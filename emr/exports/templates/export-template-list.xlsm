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125" codeName="{8C4F1C90-05EB-6A55-5F09-09C24B55AC0B}"/>
  <workbookPr codeName="ThisWorkbook" autoCompressPictures="0"/>
  <bookViews>
    <workbookView xWindow="0" yWindow="0" windowWidth="38320" windowHeight="23540"/>
  </bookViews>
  <sheets>
    <sheet name="(Config)" sheetId="12" r:id="rId1"/>
    <sheet name="Setup" sheetId="1" r:id="rId2"/>
    <sheet name="import 1" sheetId="2" r:id="rId3"/>
    <sheet name="import2" sheetId="3" r:id="rId4"/>
    <sheet name="Overview" sheetId="4" r:id="rId5"/>
    <sheet name="Admissions" sheetId="5" r:id="rId6"/>
    <sheet name="Consult " sheetId="6" r:id="rId7"/>
    <sheet name="exit" sheetId="7" r:id="rId8"/>
    <sheet name="origine" sheetId="8" r:id="rId9"/>
    <sheet name="aggregated table" sheetId="9" r:id="rId10"/>
    <sheet name="pivot" sheetId="10" r:id="rId11"/>
    <sheet name="lists" sheetId="11" r:id="rId12"/>
  </sheets>
  <definedNames>
    <definedName name="age_g1">lists!$C$8</definedName>
    <definedName name="age_g2">lists!$C$9</definedName>
    <definedName name="age_g3">lists!$C$10</definedName>
    <definedName name="age_g4">lists!$C$11</definedName>
    <definedName name="age_g5">lists!$C$12</definedName>
    <definedName name="age_g6">lists!$C$13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6" i="11" l="1"/>
  <c r="AQ1" i="3"/>
  <c r="AK1" i="2"/>
  <c r="AL1" i="2"/>
  <c r="R1" i="2"/>
  <c r="Z1" i="3"/>
  <c r="B19" i="11"/>
  <c r="AR1" i="2"/>
  <c r="AQ1" i="2"/>
  <c r="AP1" i="2"/>
  <c r="AO1" i="2"/>
  <c r="AM1" i="2"/>
  <c r="AN1" i="2"/>
  <c r="AD1" i="2"/>
  <c r="AC1" i="2"/>
  <c r="Y1" i="2" a="1"/>
  <c r="Y1" i="2"/>
  <c r="X1" i="2"/>
  <c r="W1" i="2"/>
  <c r="V1" i="2"/>
  <c r="U1" i="2"/>
  <c r="T1" i="2"/>
  <c r="S1" i="2"/>
  <c r="AB1" i="2"/>
</calcChain>
</file>

<file path=xl/sharedStrings.xml><?xml version="1.0" encoding="utf-8"?>
<sst xmlns="http://schemas.openxmlformats.org/spreadsheetml/2006/main" count="274" uniqueCount="211">
  <si>
    <t>Mission</t>
  </si>
  <si>
    <t>project</t>
  </si>
  <si>
    <t>avg consultants active</t>
  </si>
  <si>
    <t>consult days / week</t>
  </si>
  <si>
    <t>estimated target population</t>
  </si>
  <si>
    <t>estimated population 6-59m</t>
  </si>
  <si>
    <t>estimated prevalence SAM</t>
  </si>
  <si>
    <t>ID&amp;date</t>
  </si>
  <si>
    <t>MSF ID</t>
  </si>
  <si>
    <t>Admission date</t>
  </si>
  <si>
    <t>initials</t>
  </si>
  <si>
    <t>Age number</t>
  </si>
  <si>
    <t>Age (unit)</t>
  </si>
  <si>
    <t>Sex</t>
  </si>
  <si>
    <t>Address (ward/subward/village)</t>
  </si>
  <si>
    <t>Origin LGA</t>
  </si>
  <si>
    <t>Demographic status</t>
  </si>
  <si>
    <t>Admission type</t>
  </si>
  <si>
    <t>Admission criteria</t>
  </si>
  <si>
    <t>SAM Entry Diagnosis</t>
  </si>
  <si>
    <t>Old ID number</t>
  </si>
  <si>
    <t>Referral type</t>
  </si>
  <si>
    <t>Family size</t>
  </si>
  <si>
    <t>Number of children under 5</t>
  </si>
  <si>
    <t>weight (kg) adm</t>
  </si>
  <si>
    <t xml:space="preserve">Height/Length (cm) adm </t>
  </si>
  <si>
    <t>Result RdT malaria adm</t>
  </si>
  <si>
    <t>MUAC (mm) adm</t>
  </si>
  <si>
    <t>MUAC color adm</t>
  </si>
  <si>
    <t>edema adm</t>
  </si>
  <si>
    <t>coomorb. Adm</t>
  </si>
  <si>
    <t>Last Visit</t>
  </si>
  <si>
    <t>discharge Date</t>
  </si>
  <si>
    <t>Type (discharge)</t>
  </si>
  <si>
    <t>discharge date calculated</t>
  </si>
  <si>
    <t>type discharge calculated</t>
  </si>
  <si>
    <t>Duration in program (days)2</t>
  </si>
  <si>
    <t>Year (adm)3</t>
  </si>
  <si>
    <t>Month (adm)</t>
  </si>
  <si>
    <t>Week  (adm)</t>
  </si>
  <si>
    <t>Year (exit)</t>
  </si>
  <si>
    <t>Month (exit)</t>
  </si>
  <si>
    <t>Week  (exit)</t>
  </si>
  <si>
    <t>age in months</t>
  </si>
  <si>
    <t>age category</t>
  </si>
  <si>
    <t>Number of visits</t>
  </si>
  <si>
    <t>MCV before exit</t>
  </si>
  <si>
    <t>ALL vaccines before exit</t>
  </si>
  <si>
    <t>Nb of FU visits</t>
  </si>
  <si>
    <t>weight at exit</t>
  </si>
  <si>
    <t>weight gain (g/kg/d)</t>
  </si>
  <si>
    <t>#</t>
  </si>
  <si>
    <t>01#01</t>
  </si>
  <si>
    <t>01#18</t>
  </si>
  <si>
    <t>01#06</t>
  </si>
  <si>
    <t>01#07</t>
  </si>
  <si>
    <t>01#08</t>
  </si>
  <si>
    <t>01#09</t>
  </si>
  <si>
    <t>01#12</t>
  </si>
  <si>
    <t>01#13</t>
  </si>
  <si>
    <t>01#15</t>
  </si>
  <si>
    <t>01#16</t>
  </si>
  <si>
    <t>01#17</t>
  </si>
  <si>
    <t>01#27</t>
  </si>
  <si>
    <t>01#20</t>
  </si>
  <si>
    <t>16#03</t>
  </si>
  <si>
    <t>16#05</t>
  </si>
  <si>
    <t>01#30</t>
  </si>
  <si>
    <t>01#29</t>
  </si>
  <si>
    <t>at(03#03,07#01)</t>
  </si>
  <si>
    <t>at(08#11,07#01)</t>
  </si>
  <si>
    <t>at(11#03,07#01)</t>
  </si>
  <si>
    <t>at(14#03,07#01)</t>
  </si>
  <si>
    <t>at(14#09,07#01)</t>
  </si>
  <si>
    <t>at(06#31,07#01)</t>
  </si>
  <si>
    <t>at(06#17,07#01)</t>
  </si>
  <si>
    <t>at(06#18,07#01)</t>
  </si>
  <si>
    <t>at(06#19,07#01)</t>
  </si>
  <si>
    <t>at(06#20,07#01)</t>
  </si>
  <si>
    <t>at(06#32,07#01)</t>
  </si>
  <si>
    <t>at(08#13,07#01)</t>
  </si>
  <si>
    <t>at(08#12,07#01)</t>
  </si>
  <si>
    <t>at(08#14,07#01)</t>
  </si>
  <si>
    <t>at(08#15,07#01)</t>
  </si>
  <si>
    <t>at(08#16,07#01)</t>
  </si>
  <si>
    <t>at(08#17,07#01)</t>
  </si>
  <si>
    <t>at(08#18,07#01)</t>
  </si>
  <si>
    <t>at(08#24,07#01)</t>
  </si>
  <si>
    <t>at(08#25,07#01)</t>
  </si>
  <si>
    <t>at(08#04,07#01)</t>
  </si>
  <si>
    <t>at(08#05,07#01)</t>
  </si>
  <si>
    <t>at(08#06,07#01)</t>
  </si>
  <si>
    <t>at(08#07,07#01)</t>
  </si>
  <si>
    <t>at(08#08,07#01)</t>
  </si>
  <si>
    <t>at(08#09,07#01)</t>
  </si>
  <si>
    <t>at(08#30,07#01)</t>
  </si>
  <si>
    <t>at(10#03,07#01)</t>
  </si>
  <si>
    <t>at(12#03,07#01)</t>
  </si>
  <si>
    <t>at(12#05,07#01)</t>
  </si>
  <si>
    <t>at(13#03,07#01)</t>
  </si>
  <si>
    <t>at(05#03,07#01)</t>
  </si>
  <si>
    <t>MUAC</t>
  </si>
  <si>
    <t>Oedema</t>
  </si>
  <si>
    <t>Result (appetite test)</t>
  </si>
  <si>
    <t>Amoxicillin 250mg (dispense)</t>
  </si>
  <si>
    <t>infant formula (dispense)</t>
  </si>
  <si>
    <t>Measles 1</t>
  </si>
  <si>
    <t>BCG</t>
  </si>
  <si>
    <t>OPV1</t>
  </si>
  <si>
    <t>Penta 1</t>
  </si>
  <si>
    <t>PCV1</t>
  </si>
  <si>
    <t>Yellow fever</t>
  </si>
  <si>
    <t>ARI</t>
  </si>
  <si>
    <t>Malaria</t>
  </si>
  <si>
    <t>Watery Diarrhoea</t>
  </si>
  <si>
    <t>Bloody Diarrhoea</t>
  </si>
  <si>
    <t>UOF</t>
  </si>
  <si>
    <t>Measles</t>
  </si>
  <si>
    <t>Susp. Meningitis</t>
  </si>
  <si>
    <t>TB</t>
  </si>
  <si>
    <t>HIV</t>
  </si>
  <si>
    <t>principal morbidity</t>
  </si>
  <si>
    <t>Respiratory rate br/min</t>
  </si>
  <si>
    <t>Cough</t>
  </si>
  <si>
    <t>Diarrhea (nb/day)</t>
  </si>
  <si>
    <t>Vomiting</t>
  </si>
  <si>
    <t>Dehydration</t>
  </si>
  <si>
    <t>Anaemia</t>
  </si>
  <si>
    <t>Next visit</t>
  </si>
  <si>
    <t>Result test Palu</t>
  </si>
  <si>
    <t>RUTF Distributed</t>
  </si>
  <si>
    <t>Mosquito net distributed</t>
  </si>
  <si>
    <t>RUTF prescribed</t>
  </si>
  <si>
    <t>Type internal movement</t>
  </si>
  <si>
    <t>Year consult</t>
  </si>
  <si>
    <t>Month consult</t>
  </si>
  <si>
    <t>Week  consult</t>
  </si>
  <si>
    <t>new vs follow-up</t>
  </si>
  <si>
    <t>year next appointement</t>
  </si>
  <si>
    <t>month next appointment</t>
  </si>
  <si>
    <t>week next appointement</t>
  </si>
  <si>
    <t/>
  </si>
  <si>
    <t>07#02</t>
  </si>
  <si>
    <t>07#01</t>
  </si>
  <si>
    <t>07#03</t>
  </si>
  <si>
    <t>07#04</t>
  </si>
  <si>
    <t>Date</t>
  </si>
  <si>
    <t>Weight</t>
  </si>
  <si>
    <t>Height</t>
  </si>
  <si>
    <t>005504</t>
  </si>
  <si>
    <t>FAM</t>
  </si>
  <si>
    <t>Years</t>
  </si>
  <si>
    <t>Female</t>
  </si>
  <si>
    <t>Bama</t>
  </si>
  <si>
    <t>IDP</t>
  </si>
  <si>
    <t>None</t>
  </si>
  <si>
    <t>Internal Movement ITFC</t>
  </si>
  <si>
    <t>WHZs</t>
  </si>
  <si>
    <t>Spontaneous</t>
  </si>
  <si>
    <t>red</t>
  </si>
  <si>
    <t>orange</t>
  </si>
  <si>
    <t>yellow</t>
  </si>
  <si>
    <t>green</t>
  </si>
  <si>
    <t>xx</t>
  </si>
  <si>
    <t>6-59 months</t>
  </si>
  <si>
    <t>5-15 years</t>
  </si>
  <si>
    <t>&gt;=15 years</t>
  </si>
  <si>
    <t>max value</t>
  </si>
  <si>
    <t>color</t>
  </si>
  <si>
    <t>age group</t>
  </si>
  <si>
    <t>is less then</t>
  </si>
  <si>
    <t>0-5 months</t>
  </si>
  <si>
    <t>&gt; 15 years</t>
  </si>
  <si>
    <t>lastline records import 1</t>
  </si>
  <si>
    <t>lastline records import 2</t>
  </si>
  <si>
    <t>Sheet Num</t>
  </si>
  <si>
    <t>Start Cell</t>
  </si>
  <si>
    <t>A4</t>
  </si>
  <si>
    <t>01#02</t>
  </si>
  <si>
    <t>03#03</t>
  </si>
  <si>
    <t>08#11</t>
  </si>
  <si>
    <t>11#03</t>
  </si>
  <si>
    <t>14#03</t>
  </si>
  <si>
    <t>14#09</t>
  </si>
  <si>
    <t>06#31</t>
  </si>
  <si>
    <t>06#17</t>
  </si>
  <si>
    <t>06#18</t>
  </si>
  <si>
    <t>06#19</t>
  </si>
  <si>
    <t>06#20</t>
  </si>
  <si>
    <t>06#32</t>
  </si>
  <si>
    <t>08#13</t>
  </si>
  <si>
    <t>08#12</t>
  </si>
  <si>
    <t>08#14</t>
  </si>
  <si>
    <t>08#15</t>
  </si>
  <si>
    <t>08#16</t>
  </si>
  <si>
    <t>08#17</t>
  </si>
  <si>
    <t>08#18</t>
  </si>
  <si>
    <t>08#24</t>
  </si>
  <si>
    <t>08#25</t>
  </si>
  <si>
    <t>08#04</t>
  </si>
  <si>
    <t>08#05</t>
  </si>
  <si>
    <t>08#06</t>
  </si>
  <si>
    <t>08#07</t>
  </si>
  <si>
    <t>08#08</t>
  </si>
  <si>
    <t>08#09</t>
  </si>
  <si>
    <t>08#30</t>
  </si>
  <si>
    <t>10#03</t>
  </si>
  <si>
    <t>12#03</t>
  </si>
  <si>
    <t>12#05</t>
  </si>
  <si>
    <t>13#03</t>
  </si>
  <si>
    <t>05#03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</si>
</sst>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\ _F_-;\-* #,##0.00\ _F_-;_-* &quot;-&quot;??\ _F_-;_-@_-"/>
    <numFmt numFmtId="165" formatCode="0.0\ &quot;g/kg/d&quot;"/>
    <numFmt numFmtId="166" formatCode="d/mm/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8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rial"/>
    </font>
    <font>
      <sz val="11"/>
      <color theme="1"/>
      <name val="Arial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C8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</borders>
  <cellStyleXfs count="8">
    <xf numFmtId="0" fontId="0" fillId="0" borderId="0"/>
    <xf numFmtId="0" fontId="3" fillId="0" borderId="0"/>
    <xf numFmtId="0" fontId="3" fillId="0" borderId="0"/>
    <xf numFmtId="0" fontId="2" fillId="0" borderId="0"/>
    <xf numFmtId="3" fontId="2" fillId="2" borderId="0"/>
    <xf numFmtId="164" fontId="4" fillId="0" borderId="0" applyFont="0" applyFill="0" applyBorder="0" applyAlignment="0" applyProtection="0"/>
    <xf numFmtId="0" fontId="1" fillId="0" borderId="0"/>
    <xf numFmtId="0" fontId="5" fillId="0" borderId="0"/>
  </cellStyleXfs>
  <cellXfs count="38">
    <xf numFmtId="0" fontId="0" fillId="0" borderId="0" xfId="0"/>
    <xf numFmtId="0" fontId="6" fillId="0" borderId="0" xfId="0" applyFont="1" applyFill="1" applyAlignment="1">
      <alignment wrapText="1"/>
    </xf>
    <xf numFmtId="0" fontId="0" fillId="6" borderId="2" xfId="0" applyFont="1" applyFill="1" applyBorder="1"/>
    <xf numFmtId="0" fontId="0" fillId="0" borderId="0" xfId="0"/>
    <xf numFmtId="0" fontId="0" fillId="0" borderId="0" xfId="0"/>
    <xf numFmtId="0" fontId="0" fillId="0" borderId="0" xfId="0" quotePrefix="1"/>
    <xf numFmtId="165" fontId="0" fillId="0" borderId="0" xfId="0" applyNumberFormat="1" applyFont="1" applyFill="1" applyBorder="1"/>
    <xf numFmtId="0" fontId="0" fillId="0" borderId="0" xfId="0" applyAlignment="1">
      <alignment vertical="top"/>
    </xf>
    <xf numFmtId="0" fontId="0" fillId="7" borderId="10" xfId="0" applyFill="1" applyBorder="1"/>
    <xf numFmtId="0" fontId="0" fillId="4" borderId="9" xfId="0" applyFill="1" applyBorder="1"/>
    <xf numFmtId="0" fontId="0" fillId="0" borderId="0" xfId="0"/>
    <xf numFmtId="0" fontId="0" fillId="3" borderId="0" xfId="0" applyFill="1"/>
    <xf numFmtId="0" fontId="0" fillId="0" borderId="0" xfId="0" applyAlignment="1">
      <alignment horizontal="center"/>
    </xf>
    <xf numFmtId="0" fontId="0" fillId="4" borderId="11" xfId="0" applyFill="1" applyBorder="1"/>
    <xf numFmtId="0" fontId="0" fillId="7" borderId="12" xfId="0" applyFill="1" applyBorder="1"/>
    <xf numFmtId="0" fontId="0" fillId="4" borderId="13" xfId="0" applyFill="1" applyBorder="1"/>
    <xf numFmtId="0" fontId="0" fillId="7" borderId="14" xfId="0" applyFill="1" applyBorder="1"/>
    <xf numFmtId="0" fontId="0" fillId="0" borderId="0" xfId="0"/>
    <xf numFmtId="0" fontId="0" fillId="0" borderId="0" xfId="0" applyFill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5" borderId="3" xfId="0" applyFill="1" applyBorder="1"/>
    <xf numFmtId="0" fontId="0" fillId="5" borderId="4" xfId="0" applyFill="1" applyBorder="1"/>
    <xf numFmtId="0" fontId="0" fillId="3" borderId="1" xfId="0" applyFill="1" applyBorder="1"/>
    <xf numFmtId="0" fontId="0" fillId="3" borderId="8" xfId="0" applyFill="1" applyBorder="1"/>
    <xf numFmtId="0" fontId="0" fillId="3" borderId="15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6" xfId="0" applyFill="1" applyBorder="1"/>
    <xf numFmtId="19" fontId="0" fillId="0" borderId="0" xfId="0" applyNumberFormat="1"/>
    <xf numFmtId="0" fontId="7" fillId="4" borderId="16" xfId="0" applyFont="1" applyFill="1" applyBorder="1" applyAlignment="1">
      <alignment vertical="top"/>
    </xf>
    <xf numFmtId="0" fontId="8" fillId="0" borderId="0" xfId="0" applyFont="1"/>
  </cellXfs>
  <cellStyles count="8">
    <cellStyle name="Komma0" xfId="4"/>
    <cellStyle name="Milliers_Surgery" xfId="5"/>
    <cellStyle name="Normal" xfId="0" builtinId="0"/>
    <cellStyle name="Normal 2" xfId="1"/>
    <cellStyle name="Normal 3" xfId="2"/>
    <cellStyle name="Normal 4" xfId="3"/>
    <cellStyle name="Normal 5" xfId="6"/>
    <cellStyle name="Normal 6" xfId="7"/>
  </cellStyles>
  <dxfs count="2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d/mm/yyyy"/>
    </dxf>
    <dxf>
      <numFmt numFmtId="0" formatCode="General"/>
    </dxf>
    <dxf>
      <numFmt numFmtId="167" formatCode="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166" formatCode="d/mm/yy;@"/>
    </dxf>
    <dxf>
      <numFmt numFmtId="166" formatCode="d/mm/yy;@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colors>
    <mruColors>
      <color rgb="FFFFFC80"/>
      <color rgb="FFE9F98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ables/table1.xml><?xml version="1.0" encoding="utf-8"?>
<table xmlns="http://schemas.openxmlformats.org/spreadsheetml/2006/main" id="1" name="Table1" displayName="Table1" ref="A3:AR5" totalsRowShown="0">
  <autoFilter ref="A3:AR5"/>
  <tableColumns count="44">
    <tableColumn id="1" name="ID&amp;date" dataDxfId="20"/>
    <tableColumn id="2" name="MSF ID" dataDxfId="19"/>
    <tableColumn id="45" name="Admission date" dataDxfId="18"/>
    <tableColumn id="46" name="initials" dataDxfId="17"/>
    <tableColumn id="47" name="Age number" dataDxfId="16"/>
    <tableColumn id="48" name="Age (unit)"/>
    <tableColumn id="49" name="Sex"/>
    <tableColumn id="50" name="Address (ward/subward/village)"/>
    <tableColumn id="51" name="Origin LGA"/>
    <tableColumn id="52" name="Demographic status"/>
    <tableColumn id="53" name="Admission type"/>
    <tableColumn id="54" name="Admission criteria"/>
    <tableColumn id="55" name="SAM Entry Diagnosis"/>
    <tableColumn id="56" name="Old ID number"/>
    <tableColumn id="57" name="Referral type"/>
    <tableColumn id="58" name="Family size"/>
    <tableColumn id="59" name="Number of children under 5"/>
    <tableColumn id="60" name="weight (kg) adm" dataDxfId="15"/>
    <tableColumn id="61" name="Height/Length (cm) adm "/>
    <tableColumn id="62" name="Result RdT malaria adm"/>
    <tableColumn id="63" name="MUAC (mm) adm"/>
    <tableColumn id="64" name="MUAC color adm"/>
    <tableColumn id="65" name="edema adm"/>
    <tableColumn id="66" name="coomorb. Adm"/>
    <tableColumn id="67" name="Last Visit"/>
    <tableColumn id="68" name="discharge Date" dataDxfId="14"/>
    <tableColumn id="69" name="Type (discharge)"/>
    <tableColumn id="70" name="discharge date calculated" dataDxfId="13"/>
    <tableColumn id="71" name="type discharge calculated"/>
    <tableColumn id="72" name="Duration in program (days)2"/>
    <tableColumn id="73" name="Year (adm)3"/>
    <tableColumn id="74" name="Month (adm)"/>
    <tableColumn id="75" name="Week  (adm)"/>
    <tableColumn id="76" name="Year (exit)"/>
    <tableColumn id="77" name="Month (exit)"/>
    <tableColumn id="78" name="Week  (exit)"/>
    <tableColumn id="79" name="age in months" dataDxfId="12">
      <calculatedColumnFormula>IF(Table1[[#This Row],[Age (unit)]]="Months",VALUE(Table1[[#This Row],[Age number]]),IF(Table1[[#This Row],[Age (unit)]]="years",Table1[[#This Row],[Age number]]*12,""))</calculatedColumnFormula>
    </tableColumn>
    <tableColumn id="80" name="age category" dataDxfId="11"/>
    <tableColumn id="81" name="Number of visits"/>
    <tableColumn id="82" name="MCV before exit"/>
    <tableColumn id="83" name="ALL vaccines before exit"/>
    <tableColumn id="84" name="Nb of FU visits"/>
    <tableColumn id="85" name="weight at exit"/>
    <tableColumn id="86" name="weight gain (g/kg/d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2" displayName="Table2" ref="A3:AU5" totalsRowShown="0" headerRowDxfId="10">
  <autoFilter ref="A3:AU5"/>
  <tableColumns count="47">
    <tableColumn id="1" name="ID&amp;date" dataDxfId="9"/>
    <tableColumn id="2" name="MSF ID"/>
    <tableColumn id="3" name="Date" dataDxfId="8"/>
    <tableColumn id="4" name="Weight"/>
    <tableColumn id="5" name="Height"/>
    <tableColumn id="6" name="MUAC"/>
    <tableColumn id="7" name="Oedema"/>
    <tableColumn id="8" name="Result (appetite test)"/>
    <tableColumn id="9" name="Amoxicillin 250mg (dispense)"/>
    <tableColumn id="10" name="infant formula (dispense)"/>
    <tableColumn id="11" name="Measles 1"/>
    <tableColumn id="12" name="BCG"/>
    <tableColumn id="13" name="OPV1"/>
    <tableColumn id="14" name="Penta 1"/>
    <tableColumn id="15" name="PCV1"/>
    <tableColumn id="16" name="Yellow fever"/>
    <tableColumn id="17" name="ARI"/>
    <tableColumn id="18" name="Malaria"/>
    <tableColumn id="19" name="Watery Diarrhoea"/>
    <tableColumn id="20" name="Bloody Diarrhoea"/>
    <tableColumn id="21" name="UOF"/>
    <tableColumn id="22" name="Measles"/>
    <tableColumn id="23" name="Susp. Meningitis"/>
    <tableColumn id="24" name="TB"/>
    <tableColumn id="25" name="HIV"/>
    <tableColumn id="26" name="principal morbidity" dataDxfId="7">
      <calculatedColumnFormula>IF(Table2[[#This Row],[HIV]]=1,"HIV",IF(Table2[[#This Row],[TB]]=1,"TB",IF(Table2[[#This Row],[Susp. Meningitis]]=1,"Susp. Meningitis",IF(Table2[[#This Row],[Measles]]=1,"Measles",IF(Table2[[#This Row],[Malaria]]=1,"Malaria",IF(Table2[[#This Row],[Bloody Diarrhoea]]=1,"Bloody Diarrhoea",IF(Table2[[#This Row],[Watery Diarrhoea]]=1,"Watery Diarrhoea",IF(Table2[[#This Row],[ARI]]=1,"ARI",IF(Table2[[#This Row],[UOF]]=1,"UOF",IF(COUNT(Table2[[#This Row],[ARI]:[HIV]])=0,"","Other"))))))))))</calculatedColumnFormula>
    </tableColumn>
    <tableColumn id="27" name="Respiratory rate br/min"/>
    <tableColumn id="28" name="Cough"/>
    <tableColumn id="29" name="Diarrhea (nb/day)"/>
    <tableColumn id="30" name="Vomiting"/>
    <tableColumn id="31" name="Dehydration"/>
    <tableColumn id="32" name="Anaemia"/>
    <tableColumn id="33" name="Next visit" dataDxfId="6"/>
    <tableColumn id="34" name="Result test Palu"/>
    <tableColumn id="35" name="RUTF Distributed"/>
    <tableColumn id="36" name="Mosquito net distributed"/>
    <tableColumn id="37" name="RUTF prescribed"/>
    <tableColumn id="38" name="Type internal movement"/>
    <tableColumn id="39" name="Year consult"/>
    <tableColumn id="40" name="Month consult"/>
    <tableColumn id="41" name="Week  consult"/>
    <tableColumn id="47" name="age in months" dataDxfId="5">
      <calculatedColumnFormula>IFERROR(VLOOKUP(Table2[[#This Row],[MSF ID]],Table1[[#All],[MSF ID]:[age category]],37,FALSE),"")</calculatedColumnFormula>
    </tableColumn>
    <tableColumn id="42" name="age category" dataDxfId="4"/>
    <tableColumn id="43" name="new vs follow-up" dataDxfId="3"/>
    <tableColumn id="44" name="year next appointement" dataDxfId="2"/>
    <tableColumn id="45" name="month next appointment" dataDxfId="1"/>
    <tableColumn id="46" name="week next appointe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RowHeight="14" x14ac:dyDescent="0"/>
  <sheetData>
    <row r="1" spans="1:2" s="36" customFormat="1" ht="13">
      <c r="A1" s="36" t="s">
        <v>175</v>
      </c>
      <c r="B1" s="36" t="s">
        <v>176</v>
      </c>
    </row>
    <row r="2" spans="1:2" s="37" customFormat="1" ht="13">
      <c r="A2" s="37">
        <v>2</v>
      </c>
      <c r="B2" s="37" t="s">
        <v>177</v>
      </c>
    </row>
    <row r="3" spans="1:2">
      <c r="A3">
        <v>3</v>
      </c>
      <c r="B3" t="s">
        <v>177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21"/>
  <sheetViews>
    <sheetView workbookViewId="0">
      <selection activeCell="D13" sqref="D13"/>
    </sheetView>
  </sheetViews>
  <sheetFormatPr baseColWidth="10" defaultColWidth="8.83203125" defaultRowHeight="14" x14ac:dyDescent="0"/>
  <cols>
    <col min="2" max="2" width="26.5" bestFit="1" customWidth="1"/>
    <col min="3" max="3" width="17.83203125" customWidth="1"/>
    <col min="5" max="9" width="35.5" customWidth="1"/>
  </cols>
  <sheetData>
    <row r="1" spans="1:10" ht="15" thickBot="1">
      <c r="A1" s="11"/>
      <c r="B1" s="11"/>
      <c r="C1" s="11"/>
      <c r="D1" s="11"/>
      <c r="E1" s="11"/>
      <c r="F1" s="11"/>
      <c r="G1" s="11"/>
      <c r="H1" s="11"/>
      <c r="I1" s="11"/>
      <c r="J1" s="11"/>
    </row>
    <row r="2" spans="1:10">
      <c r="A2" s="11"/>
      <c r="B2" s="9" t="s">
        <v>0</v>
      </c>
      <c r="C2" s="8"/>
      <c r="D2" s="11"/>
      <c r="E2" s="11"/>
      <c r="F2" s="11"/>
      <c r="G2" s="11"/>
      <c r="H2" s="11"/>
      <c r="I2" s="11"/>
      <c r="J2" s="11"/>
    </row>
    <row r="3" spans="1:10">
      <c r="A3" s="11"/>
      <c r="B3" s="13" t="s">
        <v>1</v>
      </c>
      <c r="C3" s="14"/>
      <c r="D3" s="11"/>
      <c r="E3" s="11"/>
      <c r="F3" s="11"/>
      <c r="G3" s="11"/>
      <c r="H3" s="11"/>
      <c r="I3" s="11"/>
      <c r="J3" s="11"/>
    </row>
    <row r="4" spans="1:10">
      <c r="A4" s="11"/>
      <c r="B4" s="13" t="s">
        <v>2</v>
      </c>
      <c r="C4" s="14"/>
      <c r="D4" s="11"/>
      <c r="E4" s="11"/>
      <c r="F4" s="11"/>
      <c r="G4" s="11"/>
      <c r="H4" s="11"/>
      <c r="I4" s="11"/>
      <c r="J4" s="11"/>
    </row>
    <row r="5" spans="1:10">
      <c r="A5" s="11"/>
      <c r="B5" s="13" t="s">
        <v>3</v>
      </c>
      <c r="C5" s="14"/>
      <c r="D5" s="11"/>
      <c r="E5" s="11"/>
      <c r="F5" s="11"/>
      <c r="G5" s="11"/>
      <c r="H5" s="11"/>
      <c r="I5" s="11"/>
      <c r="J5" s="11"/>
    </row>
    <row r="6" spans="1:10">
      <c r="A6" s="11"/>
      <c r="B6" s="13" t="s">
        <v>4</v>
      </c>
      <c r="C6" s="14"/>
      <c r="D6" s="11"/>
      <c r="E6" s="11"/>
      <c r="F6" s="11"/>
      <c r="G6" s="11"/>
      <c r="H6" s="11"/>
      <c r="I6" s="11"/>
      <c r="J6" s="11"/>
    </row>
    <row r="7" spans="1:10">
      <c r="A7" s="11"/>
      <c r="B7" s="13" t="s">
        <v>5</v>
      </c>
      <c r="C7" s="14"/>
      <c r="D7" s="11"/>
      <c r="E7" s="11"/>
      <c r="F7" s="11"/>
      <c r="G7" s="11"/>
      <c r="H7" s="11"/>
      <c r="I7" s="11"/>
      <c r="J7" s="11"/>
    </row>
    <row r="8" spans="1:10" ht="15" thickBot="1">
      <c r="A8" s="11"/>
      <c r="B8" s="15" t="s">
        <v>6</v>
      </c>
      <c r="C8" s="16"/>
      <c r="D8" s="11"/>
      <c r="E8" s="11"/>
      <c r="F8" s="11"/>
      <c r="G8" s="11"/>
      <c r="H8" s="11"/>
      <c r="I8" s="11"/>
      <c r="J8" s="11"/>
    </row>
    <row r="9" spans="1:10">
      <c r="A9" s="11"/>
      <c r="B9" s="11"/>
      <c r="C9" s="11"/>
      <c r="D9" s="11"/>
      <c r="E9" s="11"/>
      <c r="F9" s="11"/>
      <c r="G9" s="11"/>
      <c r="H9" s="11"/>
      <c r="I9" s="11"/>
      <c r="J9" s="11"/>
    </row>
    <row r="10" spans="1:10">
      <c r="A10" s="11"/>
      <c r="B10" s="11"/>
      <c r="C10" s="11"/>
      <c r="D10" s="11"/>
      <c r="E10" s="11"/>
      <c r="F10" s="11"/>
      <c r="G10" s="11"/>
      <c r="H10" s="11"/>
      <c r="I10" s="11"/>
      <c r="J10" s="11"/>
    </row>
    <row r="11" spans="1:10" ht="33" customHeight="1">
      <c r="A11" s="11"/>
      <c r="B11" s="11"/>
      <c r="C11" s="11"/>
      <c r="D11" s="11"/>
      <c r="E11" s="11"/>
      <c r="F11" s="11"/>
      <c r="G11" s="11"/>
      <c r="H11" s="11"/>
      <c r="I11" s="11"/>
      <c r="J11" s="11"/>
    </row>
    <row r="12" spans="1:10" ht="33" customHeight="1">
      <c r="A12" s="11"/>
      <c r="B12" s="11"/>
      <c r="C12" s="11"/>
      <c r="D12" s="11"/>
      <c r="E12" s="11"/>
      <c r="F12" s="11"/>
      <c r="G12" s="11"/>
      <c r="H12" s="11"/>
      <c r="I12" s="11"/>
      <c r="J12" s="11"/>
    </row>
    <row r="13" spans="1:10" ht="33" customHeight="1">
      <c r="A13" s="11"/>
      <c r="B13" s="11"/>
      <c r="C13" s="11"/>
      <c r="D13" s="11"/>
      <c r="E13" s="11"/>
      <c r="F13" s="11"/>
      <c r="G13" s="11"/>
      <c r="H13" s="11"/>
      <c r="I13" s="11"/>
      <c r="J13" s="11"/>
    </row>
    <row r="14" spans="1:10" ht="33" customHeight="1">
      <c r="A14" s="11"/>
      <c r="B14" s="11"/>
      <c r="C14" s="11"/>
      <c r="D14" s="11"/>
      <c r="E14" s="11"/>
      <c r="F14" s="11"/>
      <c r="G14" s="11"/>
      <c r="H14" s="11"/>
      <c r="I14" s="11"/>
      <c r="J14" s="11"/>
    </row>
    <row r="15" spans="1:10" ht="33" customHeight="1">
      <c r="A15" s="11"/>
      <c r="B15" s="11"/>
      <c r="C15" s="11"/>
      <c r="D15" s="11"/>
      <c r="E15" s="11"/>
      <c r="F15" s="11"/>
      <c r="G15" s="11"/>
      <c r="H15" s="11"/>
      <c r="I15" s="11"/>
      <c r="J15" s="11"/>
    </row>
    <row r="16" spans="1:10" ht="33" customHeight="1">
      <c r="A16" s="11"/>
      <c r="B16" s="11"/>
      <c r="C16" s="11"/>
      <c r="D16" s="11"/>
      <c r="E16" s="11"/>
      <c r="F16" s="11"/>
      <c r="G16" s="11"/>
      <c r="H16" s="11"/>
      <c r="I16" s="11"/>
      <c r="J16" s="11"/>
    </row>
    <row r="17" spans="1:10" ht="33" customHeight="1">
      <c r="A17" s="11"/>
      <c r="B17" s="11"/>
      <c r="C17" s="11"/>
      <c r="D17" s="11"/>
      <c r="E17" s="11"/>
      <c r="F17" s="11"/>
      <c r="G17" s="11"/>
      <c r="H17" s="11"/>
      <c r="I17" s="11"/>
      <c r="J17" s="11"/>
    </row>
    <row r="18" spans="1:10" ht="33" customHeight="1">
      <c r="A18" s="11"/>
      <c r="B18" s="11"/>
      <c r="C18" s="11"/>
      <c r="D18" s="11"/>
      <c r="E18" s="11"/>
      <c r="F18" s="11"/>
      <c r="G18" s="11"/>
      <c r="H18" s="11"/>
      <c r="I18" s="11"/>
      <c r="J18" s="11"/>
    </row>
    <row r="19" spans="1:10" ht="33" customHeight="1">
      <c r="A19" s="11"/>
      <c r="B19" s="11"/>
      <c r="C19" s="11"/>
      <c r="D19" s="11"/>
      <c r="E19" s="11"/>
      <c r="F19" s="11"/>
      <c r="G19" s="11"/>
      <c r="H19" s="11"/>
      <c r="I19" s="11"/>
      <c r="J19" s="11"/>
    </row>
    <row r="20" spans="1:10" ht="33" customHeight="1">
      <c r="A20" s="11"/>
      <c r="B20" s="11"/>
      <c r="C20" s="11"/>
      <c r="D20" s="11"/>
      <c r="E20" s="11"/>
      <c r="F20" s="11"/>
      <c r="G20" s="11"/>
      <c r="H20" s="11"/>
      <c r="I20" s="11"/>
      <c r="J20" s="11"/>
    </row>
    <row r="21" spans="1:10">
      <c r="A21" s="11"/>
      <c r="B21" s="11"/>
      <c r="C21" s="11"/>
      <c r="D21" s="11"/>
      <c r="E21" s="11"/>
      <c r="F21" s="11"/>
      <c r="G21" s="11"/>
      <c r="H21" s="11"/>
      <c r="I21" s="11"/>
      <c r="J21" s="11"/>
    </row>
  </sheetData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R5301"/>
  <sheetViews>
    <sheetView workbookViewId="0">
      <selection activeCell="A4" sqref="A4"/>
    </sheetView>
  </sheetViews>
  <sheetFormatPr baseColWidth="10" defaultColWidth="8.83203125" defaultRowHeight="14" x14ac:dyDescent="0"/>
  <cols>
    <col min="1" max="1" width="13.83203125" customWidth="1"/>
    <col min="3" max="3" width="12.6640625" customWidth="1"/>
    <col min="5" max="5" width="10.5" customWidth="1"/>
    <col min="6" max="6" width="11.83203125" customWidth="1"/>
    <col min="8" max="8" width="31.5" customWidth="1"/>
    <col min="9" max="9" width="12.5" customWidth="1"/>
    <col min="10" max="10" width="20.5" customWidth="1"/>
    <col min="11" max="11" width="16.6640625" customWidth="1"/>
    <col min="12" max="12" width="19" customWidth="1"/>
    <col min="13" max="20" width="15.5" customWidth="1"/>
    <col min="21" max="21" width="18.33203125" customWidth="1"/>
    <col min="22" max="22" width="17.83203125" customWidth="1"/>
    <col min="23" max="23" width="13.5" customWidth="1"/>
    <col min="24" max="24" width="16" customWidth="1"/>
    <col min="25" max="25" width="10.83203125" customWidth="1"/>
    <col min="26" max="26" width="16" customWidth="1"/>
    <col min="27" max="27" width="17.5" customWidth="1"/>
    <col min="28" max="28" width="14.5" customWidth="1"/>
    <col min="29" max="29" width="25.33203125" customWidth="1"/>
    <col min="30" max="30" width="27.5" customWidth="1"/>
    <col min="31" max="31" width="13.6640625" customWidth="1"/>
    <col min="32" max="32" width="14.6640625" customWidth="1"/>
    <col min="33" max="33" width="14.5" customWidth="1"/>
    <col min="34" max="34" width="12.33203125" customWidth="1"/>
    <col min="35" max="35" width="14.33203125" customWidth="1"/>
    <col min="36" max="36" width="14" customWidth="1"/>
    <col min="37" max="37" width="15.5" customWidth="1"/>
    <col min="38" max="38" width="12.5" customWidth="1"/>
    <col min="39" max="40" width="17.5" customWidth="1"/>
    <col min="41" max="41" width="24.1640625" customWidth="1"/>
    <col min="42" max="42" width="15.6640625" customWidth="1"/>
    <col min="43" max="43" width="15.1640625" customWidth="1"/>
    <col min="44" max="44" width="21" customWidth="1"/>
  </cols>
  <sheetData>
    <row r="1" spans="1:44">
      <c r="R1" s="2" t="str">
        <f>IFERROR(VLOOKUP(Table1[[#This Row],[ID&amp;date]],Table2[[ID&amp;date]:[Weight]],4,FALSE),"")</f>
        <v/>
      </c>
      <c r="S1" t="str">
        <f>IFERROR(VLOOKUP(Table1[[#This Row],[ID&amp;date]],Table2[[#All],[ID&amp;date]:[MUAC]],6,FALSE),"")</f>
        <v/>
      </c>
      <c r="T1" t="str">
        <f>IFERROR(VLOOKUP(Table1[[#This Row],[ID&amp;date]],Table2[#All],34,FALSE),"")</f>
        <v/>
      </c>
      <c r="U1" s="17" t="str">
        <f>IFERROR(VLOOKUP(Table1[[#This Row],[ID&amp;date]],Table2[#All],7,FALSE),"")</f>
        <v/>
      </c>
      <c r="V1" t="e">
        <f>IF(AND(#REF!&lt;&gt;"",#REF!&gt;5,#REF!&lt;60,#REF!&lt;&gt;""),IF(#REF!&lt;lists!$B$2,lists!$C$2,IF(#REF!&lt;lists!$B$3,lists!$C$3,IF(#REF!&lt;lists!$B$4,lists!$C$4,IF(#REF!&lt;lists!$B$5,lists!$C$5)))),"")</f>
        <v>#REF!</v>
      </c>
      <c r="W1" t="str">
        <f>IFERROR(VLOOKUP(Table1[[#This Row],[ID&amp;date]],Table2[],8,FALSE),"")</f>
        <v/>
      </c>
      <c r="X1" t="str">
        <f>IFERROR(VLOOKUP(Table1[[#This Row],[ID&amp;date]],Table2[#All],27,FALSE),"")</f>
        <v/>
      </c>
      <c r="Y1" t="e">
        <f t="array" ref="Y1">MAX(IF(Table2[MSF ID]=Table1[[#This Row],[MSF ID]],Table2[Date]))</f>
        <v>#VALUE!</v>
      </c>
      <c r="AB1" t="e">
        <f ca="1">IF(#REF!&lt;&gt;"",#REF!,IF(AND(#REF!&gt;5,TODAY()-#REF!&gt;28),#REF!+28,""))</f>
        <v>#REF!</v>
      </c>
      <c r="AC1" t="str">
        <f>IFERROR(IF(#REF!&lt;&gt;"",#REF!,IF(#REF!&lt;&gt;"","defaulter calc","")),"")</f>
        <v/>
      </c>
      <c r="AD1" t="str">
        <f>IFERROR(IF(OR(#REF!="",#REF!=""),"",IF(#REF!-#REF!&gt;6,#REF!-#REF!)),"")</f>
        <v/>
      </c>
      <c r="AE1" t="s">
        <v>163</v>
      </c>
      <c r="AF1" t="s">
        <v>163</v>
      </c>
      <c r="AG1" t="s">
        <v>163</v>
      </c>
      <c r="AH1" t="s">
        <v>163</v>
      </c>
      <c r="AI1" t="s">
        <v>163</v>
      </c>
      <c r="AJ1" t="s">
        <v>163</v>
      </c>
      <c r="AK1" s="2" t="e">
        <f>IF(Table1[[#This Row],[Age (unit)]]="Months",VALUE(Table1[[#This Row],[Age number]]),IF(Table1[[#This Row],[Age (unit)]]="years",Table1[[#This Row],[Age number]]*12,""))</f>
        <v>#VALUE!</v>
      </c>
      <c r="AL1" s="2" t="str">
        <f>IFERROR(IF(Table1[[#This Row],[age in months]]="","",IF(Table1[[#This Row],[age in months]]&lt;lists!$B$8,lists!$C$8,IF(Table1[[#This Row],[age in months]]&lt;lists!$B$9,lists!$C$9,IF(Table1[[#This Row],[age in months]]&lt;lists!$B$10,lists!$C$10,IF(Table1[[#This Row],[age in months]]&lt;lists!B11,lists!$C$11,IF(Table1[[#This Row],[age in months]]&lt;lists!$B$12,lists!$C$11,IF(Table1[[#This Row],[age in months]]&lt;lists!$B$12,lists!$C$12,lists!$C$13))))))),"")</f>
        <v/>
      </c>
      <c r="AM1">
        <f>COUNTIF(Table2[MSF ID],Table1[[#This Row],[MSF ID]])</f>
        <v>0</v>
      </c>
      <c r="AN1" t="e">
        <f>IF(OR(#REF!&lt;6,#REF!="",#REF!=""),"",IF(COUNTIFS(Table2[MSF ID],Table1[[#This Row],[MSF ID]],Table2[Measles 1],1)&gt;0,"yes","No"))</f>
        <v>#REF!</v>
      </c>
      <c r="AO1" t="e">
        <f>IF(OR(#REF!&lt;12,#REF!=""),"",IF(COUNTIFS(Table2[MSF ID],Table1[[#This Row],[MSF ID]],Table2[Measles 1],"1",Table2[BCG],1,Table2[OPV1],"1",Table2[Penta 1],"1",Table2[PCV1],"1",Table2[Yellow fever],"1")&gt;0,"yes","no"))</f>
        <v>#REF!</v>
      </c>
      <c r="AP1" t="e">
        <f>#REF!-1</f>
        <v>#REF!</v>
      </c>
      <c r="AQ1" t="str">
        <f>IFERROR(VLOOKUP(Table1[[#This Row],[MSF ID]]&amp;#REF!,Table2[[#All],[ID&amp;date]:[Weight]],5,FALSE),"")</f>
        <v/>
      </c>
      <c r="AR1" t="str">
        <f>IFERROR(IF(((1000*(#REF!-#REF!)/#REF!)/#REF!)&lt;50,((1000*(#REF!-#REF!)/#REF!)/#REF!),""),"")</f>
        <v/>
      </c>
    </row>
    <row r="2" spans="1:44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6"/>
    </row>
    <row r="3" spans="1:44" ht="28">
      <c r="A3" s="3" t="s">
        <v>7</v>
      </c>
      <c r="B3" s="3" t="s">
        <v>8</v>
      </c>
      <c r="C3" s="3" t="s">
        <v>9</v>
      </c>
      <c r="D3" s="3" t="s">
        <v>10</v>
      </c>
      <c r="E3" s="21" t="s">
        <v>11</v>
      </c>
      <c r="F3" s="3" t="s">
        <v>12</v>
      </c>
      <c r="G3" s="3" t="s">
        <v>13</v>
      </c>
      <c r="H3" s="3" t="s">
        <v>14</v>
      </c>
      <c r="I3" s="3" t="s">
        <v>15</v>
      </c>
      <c r="J3" s="3" t="s">
        <v>16</v>
      </c>
      <c r="K3" s="3" t="s">
        <v>17</v>
      </c>
      <c r="L3" s="3" t="s">
        <v>18</v>
      </c>
      <c r="M3" s="3" t="s">
        <v>19</v>
      </c>
      <c r="N3" s="3" t="s">
        <v>20</v>
      </c>
      <c r="O3" s="3" t="s">
        <v>21</v>
      </c>
      <c r="P3" s="3" t="s">
        <v>22</v>
      </c>
      <c r="Q3" s="3" t="s">
        <v>23</v>
      </c>
      <c r="R3" s="3" t="s">
        <v>24</v>
      </c>
      <c r="S3" s="3" t="s">
        <v>25</v>
      </c>
      <c r="T3" s="3" t="s">
        <v>26</v>
      </c>
      <c r="U3" s="3" t="s">
        <v>27</v>
      </c>
      <c r="V3" s="3" t="s">
        <v>28</v>
      </c>
      <c r="W3" s="3" t="s">
        <v>29</v>
      </c>
      <c r="X3" s="3" t="s">
        <v>30</v>
      </c>
      <c r="Y3" s="3" t="s">
        <v>31</v>
      </c>
      <c r="Z3" s="3" t="s">
        <v>32</v>
      </c>
      <c r="AA3" s="3" t="s">
        <v>33</v>
      </c>
      <c r="AB3" s="21" t="s">
        <v>34</v>
      </c>
      <c r="AC3" s="21" t="s">
        <v>35</v>
      </c>
      <c r="AD3" s="3" t="s">
        <v>36</v>
      </c>
      <c r="AE3" s="3" t="s">
        <v>37</v>
      </c>
      <c r="AF3" s="3" t="s">
        <v>38</v>
      </c>
      <c r="AG3" s="3" t="s">
        <v>39</v>
      </c>
      <c r="AH3" s="3" t="s">
        <v>40</v>
      </c>
      <c r="AI3" s="3" t="s">
        <v>41</v>
      </c>
      <c r="AJ3" s="3" t="s">
        <v>42</v>
      </c>
      <c r="AK3" s="3" t="s">
        <v>43</v>
      </c>
      <c r="AL3" s="3" t="s">
        <v>44</v>
      </c>
      <c r="AM3" s="3" t="s">
        <v>45</v>
      </c>
      <c r="AN3" s="3" t="s">
        <v>46</v>
      </c>
      <c r="AO3" s="3" t="s">
        <v>47</v>
      </c>
      <c r="AP3" s="3" t="s">
        <v>48</v>
      </c>
      <c r="AQ3" s="3" t="s">
        <v>49</v>
      </c>
      <c r="AR3" s="3" t="s">
        <v>50</v>
      </c>
    </row>
    <row r="4" spans="1:44">
      <c r="A4" s="17" t="s">
        <v>51</v>
      </c>
      <c r="B4" s="17" t="s">
        <v>52</v>
      </c>
      <c r="C4" s="17" t="s">
        <v>53</v>
      </c>
      <c r="D4" s="17" t="s">
        <v>178</v>
      </c>
      <c r="E4" s="17" t="s">
        <v>54</v>
      </c>
      <c r="F4" s="17" t="s">
        <v>55</v>
      </c>
      <c r="G4" s="17" t="s">
        <v>56</v>
      </c>
      <c r="H4" s="17" t="s">
        <v>57</v>
      </c>
      <c r="I4" s="17" t="s">
        <v>58</v>
      </c>
      <c r="J4" s="17" t="s">
        <v>59</v>
      </c>
      <c r="K4" s="17" t="s">
        <v>60</v>
      </c>
      <c r="L4" s="17" t="s">
        <v>61</v>
      </c>
      <c r="M4" s="17" t="s">
        <v>62</v>
      </c>
      <c r="N4" s="17" t="s">
        <v>63</v>
      </c>
      <c r="O4" s="17" t="s">
        <v>64</v>
      </c>
      <c r="P4" s="17" t="s">
        <v>65</v>
      </c>
      <c r="Q4" s="17" t="s">
        <v>66</v>
      </c>
      <c r="R4" s="17" t="s">
        <v>51</v>
      </c>
      <c r="S4" s="17" t="s">
        <v>51</v>
      </c>
      <c r="T4" s="17" t="s">
        <v>51</v>
      </c>
      <c r="U4" s="17" t="s">
        <v>51</v>
      </c>
      <c r="V4" s="17" t="s">
        <v>51</v>
      </c>
      <c r="W4" s="17" t="s">
        <v>51</v>
      </c>
      <c r="X4" s="17" t="s">
        <v>51</v>
      </c>
      <c r="Y4" s="17" t="s">
        <v>51</v>
      </c>
      <c r="Z4" s="17" t="s">
        <v>67</v>
      </c>
      <c r="AA4" s="17" t="s">
        <v>68</v>
      </c>
      <c r="AB4" s="17" t="s">
        <v>51</v>
      </c>
      <c r="AC4" s="17" t="s">
        <v>51</v>
      </c>
      <c r="AD4" s="17" t="s">
        <v>51</v>
      </c>
      <c r="AE4" s="17" t="s">
        <v>51</v>
      </c>
      <c r="AF4" s="17" t="s">
        <v>51</v>
      </c>
      <c r="AG4" s="17" t="s">
        <v>51</v>
      </c>
      <c r="AH4" s="17" t="s">
        <v>51</v>
      </c>
      <c r="AI4" s="17" t="s">
        <v>51</v>
      </c>
      <c r="AJ4" s="17" t="s">
        <v>51</v>
      </c>
      <c r="AK4" s="17" t="s">
        <v>51</v>
      </c>
      <c r="AL4" s="17" t="s">
        <v>51</v>
      </c>
      <c r="AM4" s="17" t="s">
        <v>51</v>
      </c>
      <c r="AN4" s="17" t="s">
        <v>51</v>
      </c>
      <c r="AO4" s="17" t="s">
        <v>51</v>
      </c>
      <c r="AP4" s="17" t="s">
        <v>51</v>
      </c>
      <c r="AQ4" s="17" t="s">
        <v>51</v>
      </c>
      <c r="AR4" s="6" t="s">
        <v>51</v>
      </c>
    </row>
    <row r="5" spans="1:44">
      <c r="B5" s="12"/>
      <c r="C5" s="24"/>
      <c r="D5" s="12"/>
      <c r="E5" s="23"/>
      <c r="F5" s="17"/>
      <c r="G5" s="17"/>
      <c r="H5" s="17"/>
      <c r="Z5" s="22"/>
      <c r="AB5" s="22"/>
    </row>
    <row r="6" spans="1:44">
      <c r="A6" s="19"/>
      <c r="B6" s="12"/>
      <c r="C6" s="24"/>
      <c r="D6" s="12"/>
      <c r="E6" s="23"/>
      <c r="F6" s="17"/>
      <c r="G6" s="17"/>
      <c r="H6" s="17"/>
      <c r="Z6" s="22"/>
      <c r="AB6" s="22"/>
    </row>
    <row r="7" spans="1:44">
      <c r="A7" s="19"/>
      <c r="B7" s="12"/>
      <c r="C7" s="24"/>
      <c r="D7" s="12"/>
      <c r="E7" s="23"/>
      <c r="F7" s="17"/>
      <c r="G7" s="17"/>
      <c r="H7" s="17"/>
      <c r="Z7" s="22"/>
      <c r="AB7" s="22"/>
    </row>
    <row r="8" spans="1:44">
      <c r="A8" s="19"/>
      <c r="B8" s="12"/>
      <c r="C8" s="24"/>
      <c r="D8" s="12"/>
      <c r="E8" s="23"/>
      <c r="F8" s="17"/>
      <c r="G8" s="17"/>
      <c r="H8" s="17"/>
      <c r="Z8" s="22"/>
      <c r="AB8" s="22"/>
    </row>
    <row r="9" spans="1:44">
      <c r="A9" s="19"/>
      <c r="B9" s="12"/>
      <c r="C9" s="24"/>
      <c r="D9" s="12"/>
      <c r="E9" s="23"/>
      <c r="F9" s="17"/>
      <c r="G9" s="17"/>
      <c r="H9" s="17"/>
      <c r="Z9" s="22"/>
      <c r="AB9" s="22"/>
    </row>
    <row r="10" spans="1:44">
      <c r="A10" s="19"/>
      <c r="B10" s="12"/>
      <c r="C10" s="24"/>
      <c r="D10" s="12"/>
      <c r="E10" s="23"/>
      <c r="F10" s="17"/>
      <c r="G10" s="17"/>
      <c r="H10" s="17"/>
      <c r="Z10" s="22"/>
      <c r="AB10" s="22"/>
    </row>
    <row r="11" spans="1:44" ht="14.25" customHeight="1">
      <c r="A11" s="19"/>
      <c r="B11" s="12"/>
      <c r="C11" s="24"/>
      <c r="D11" s="12"/>
      <c r="E11" s="23"/>
      <c r="F11" s="17"/>
      <c r="G11" s="17"/>
      <c r="H11" s="17"/>
      <c r="Z11" s="22"/>
      <c r="AB11" s="22"/>
    </row>
    <row r="12" spans="1:44">
      <c r="A12" s="19"/>
      <c r="B12" s="12"/>
      <c r="C12" s="24"/>
      <c r="D12" s="12"/>
      <c r="E12" s="23"/>
      <c r="F12" s="17"/>
      <c r="G12" s="17"/>
      <c r="H12" s="17"/>
      <c r="Z12" s="22"/>
      <c r="AB12" s="22"/>
    </row>
    <row r="13" spans="1:44">
      <c r="A13" s="19"/>
      <c r="B13" s="12"/>
      <c r="C13" s="24"/>
      <c r="D13" s="12"/>
      <c r="E13" s="23"/>
      <c r="F13" s="17"/>
      <c r="G13" s="17"/>
      <c r="H13" s="17"/>
      <c r="Z13" s="22"/>
      <c r="AB13" s="22"/>
    </row>
    <row r="14" spans="1:44">
      <c r="A14" s="19"/>
      <c r="B14" s="12"/>
      <c r="C14" s="24"/>
      <c r="D14" s="12"/>
      <c r="E14" s="23"/>
      <c r="F14" s="17"/>
      <c r="G14" s="17"/>
      <c r="H14" s="17"/>
      <c r="Z14" s="22"/>
      <c r="AB14" s="22"/>
    </row>
    <row r="15" spans="1:44">
      <c r="A15" s="19"/>
      <c r="B15" s="12"/>
      <c r="C15" s="24"/>
      <c r="D15" s="12"/>
      <c r="E15" s="23"/>
      <c r="F15" s="17"/>
      <c r="G15" s="17"/>
      <c r="H15" s="17"/>
      <c r="Z15" s="22"/>
      <c r="AB15" s="22"/>
    </row>
    <row r="16" spans="1:44">
      <c r="A16" s="19"/>
      <c r="B16" s="12"/>
      <c r="C16" s="24"/>
      <c r="D16" s="12"/>
      <c r="E16" s="23"/>
      <c r="F16" s="17"/>
      <c r="G16" s="17"/>
      <c r="H16" s="17"/>
      <c r="Z16" s="22"/>
      <c r="AB16" s="22"/>
    </row>
    <row r="17" spans="1:28">
      <c r="A17" s="19"/>
      <c r="B17" s="12"/>
      <c r="C17" s="24"/>
      <c r="D17" s="12"/>
      <c r="E17" s="23"/>
      <c r="F17" s="17"/>
      <c r="G17" s="17"/>
      <c r="H17" s="17"/>
      <c r="Z17" s="22"/>
      <c r="AB17" s="22"/>
    </row>
    <row r="18" spans="1:28">
      <c r="A18" s="19"/>
      <c r="B18" s="12"/>
      <c r="C18" s="24"/>
      <c r="D18" s="12"/>
      <c r="E18" s="23"/>
      <c r="F18" s="17"/>
      <c r="G18" s="17"/>
      <c r="H18" s="17"/>
      <c r="Z18" s="22"/>
      <c r="AB18" s="22"/>
    </row>
    <row r="19" spans="1:28">
      <c r="A19" s="19"/>
      <c r="B19" s="12"/>
      <c r="C19" s="24"/>
      <c r="D19" s="12"/>
      <c r="E19" s="23"/>
      <c r="F19" s="17"/>
      <c r="G19" s="17"/>
      <c r="H19" s="17"/>
      <c r="Z19" s="22"/>
      <c r="AB19" s="22"/>
    </row>
    <row r="20" spans="1:28">
      <c r="A20" s="19"/>
      <c r="B20" s="12"/>
      <c r="C20" s="24"/>
      <c r="D20" s="12"/>
      <c r="E20" s="23"/>
      <c r="F20" s="17"/>
      <c r="G20" s="17"/>
      <c r="H20" s="17"/>
      <c r="Z20" s="22"/>
      <c r="AB20" s="22"/>
    </row>
    <row r="21" spans="1:28">
      <c r="A21" s="19"/>
      <c r="B21" s="12"/>
      <c r="C21" s="24"/>
      <c r="D21" s="12"/>
      <c r="E21" s="23"/>
      <c r="F21" s="17"/>
      <c r="G21" s="17"/>
      <c r="H21" s="17"/>
      <c r="Z21" s="22"/>
      <c r="AB21" s="22"/>
    </row>
    <row r="22" spans="1:28">
      <c r="A22" s="19"/>
      <c r="B22" s="12"/>
      <c r="C22" s="24"/>
      <c r="D22" s="12"/>
      <c r="E22" s="23"/>
      <c r="F22" s="17"/>
      <c r="G22" s="17"/>
      <c r="H22" s="17"/>
      <c r="Z22" s="22"/>
      <c r="AB22" s="22"/>
    </row>
    <row r="23" spans="1:28">
      <c r="A23" s="19"/>
      <c r="B23" s="12"/>
      <c r="C23" s="24"/>
      <c r="D23" s="12"/>
      <c r="E23" s="23"/>
      <c r="F23" s="17"/>
      <c r="G23" s="17"/>
      <c r="H23" s="17"/>
      <c r="Z23" s="22"/>
      <c r="AB23" s="22"/>
    </row>
    <row r="24" spans="1:28">
      <c r="A24" s="19"/>
      <c r="B24" s="12"/>
      <c r="C24" s="24"/>
      <c r="D24" s="12"/>
      <c r="E24" s="23"/>
      <c r="F24" s="17"/>
      <c r="G24" s="17"/>
      <c r="H24" s="17"/>
      <c r="Z24" s="22"/>
      <c r="AB24" s="22"/>
    </row>
    <row r="25" spans="1:28">
      <c r="A25" s="19"/>
      <c r="B25" s="12"/>
      <c r="C25" s="24"/>
      <c r="D25" s="12"/>
      <c r="E25" s="23"/>
      <c r="F25" s="17"/>
      <c r="G25" s="17"/>
      <c r="H25" s="17"/>
      <c r="Z25" s="22"/>
      <c r="AB25" s="22"/>
    </row>
    <row r="26" spans="1:28">
      <c r="A26" s="19"/>
      <c r="B26" s="12"/>
      <c r="C26" s="24"/>
      <c r="D26" s="12"/>
      <c r="E26" s="23"/>
      <c r="F26" s="17"/>
      <c r="G26" s="17"/>
      <c r="H26" s="17"/>
      <c r="Z26" s="22"/>
      <c r="AB26" s="22"/>
    </row>
    <row r="27" spans="1:28">
      <c r="A27" s="19"/>
      <c r="B27" s="12"/>
      <c r="C27" s="24"/>
      <c r="D27" s="12"/>
      <c r="E27" s="23"/>
      <c r="F27" s="17"/>
      <c r="G27" s="17"/>
      <c r="H27" s="17"/>
      <c r="Z27" s="22"/>
      <c r="AB27" s="22"/>
    </row>
    <row r="28" spans="1:28">
      <c r="A28" s="19"/>
      <c r="B28" s="12"/>
      <c r="C28" s="24"/>
      <c r="D28" s="12"/>
      <c r="E28" s="23"/>
      <c r="F28" s="17"/>
      <c r="G28" s="17"/>
      <c r="H28" s="17"/>
      <c r="Z28" s="22"/>
      <c r="AB28" s="22"/>
    </row>
    <row r="29" spans="1:28">
      <c r="A29" s="19"/>
      <c r="B29" s="12"/>
      <c r="C29" s="24"/>
      <c r="D29" s="12"/>
      <c r="E29" s="23"/>
      <c r="F29" s="17"/>
      <c r="G29" s="17"/>
      <c r="H29" s="17"/>
      <c r="Z29" s="22"/>
      <c r="AB29" s="22"/>
    </row>
    <row r="30" spans="1:28">
      <c r="A30" s="19"/>
      <c r="B30" s="12"/>
      <c r="C30" s="24"/>
      <c r="D30" s="12"/>
      <c r="E30" s="23"/>
      <c r="F30" s="17"/>
      <c r="G30" s="17"/>
      <c r="H30" s="17"/>
      <c r="Z30" s="22"/>
      <c r="AB30" s="22"/>
    </row>
    <row r="31" spans="1:28">
      <c r="A31" s="19"/>
      <c r="B31" s="12"/>
      <c r="C31" s="24"/>
      <c r="D31" s="12"/>
      <c r="E31" s="23"/>
      <c r="F31" s="17"/>
      <c r="G31" s="17"/>
      <c r="H31" s="17"/>
      <c r="Z31" s="22"/>
      <c r="AB31" s="22"/>
    </row>
    <row r="32" spans="1:28">
      <c r="A32" s="19"/>
      <c r="B32" s="12"/>
      <c r="C32" s="24"/>
      <c r="D32" s="12"/>
      <c r="E32" s="23"/>
      <c r="F32" s="17"/>
      <c r="G32" s="17"/>
      <c r="H32" s="17"/>
      <c r="Z32" s="22"/>
      <c r="AB32" s="22"/>
    </row>
    <row r="33" spans="1:28">
      <c r="A33" s="19"/>
      <c r="B33" s="12"/>
      <c r="C33" s="24"/>
      <c r="D33" s="12"/>
      <c r="E33" s="23"/>
      <c r="F33" s="17"/>
      <c r="G33" s="17"/>
      <c r="H33" s="17"/>
      <c r="Z33" s="22"/>
      <c r="AB33" s="22"/>
    </row>
    <row r="34" spans="1:28">
      <c r="A34" s="19"/>
      <c r="B34" s="12"/>
      <c r="C34" s="24"/>
      <c r="D34" s="12"/>
      <c r="E34" s="23"/>
      <c r="F34" s="17"/>
      <c r="G34" s="17"/>
      <c r="H34" s="17"/>
      <c r="Z34" s="22"/>
      <c r="AB34" s="22"/>
    </row>
    <row r="35" spans="1:28">
      <c r="A35" s="19"/>
      <c r="B35" s="12"/>
      <c r="C35" s="24"/>
      <c r="D35" s="12"/>
      <c r="E35" s="23"/>
      <c r="F35" s="17"/>
      <c r="G35" s="17"/>
      <c r="H35" s="17"/>
      <c r="Z35" s="22"/>
      <c r="AB35" s="22"/>
    </row>
    <row r="36" spans="1:28">
      <c r="A36" s="19"/>
      <c r="B36" s="12"/>
      <c r="C36" s="24"/>
      <c r="D36" s="12"/>
      <c r="E36" s="23"/>
      <c r="F36" s="17"/>
      <c r="G36" s="17"/>
      <c r="H36" s="17"/>
      <c r="Z36" s="22"/>
      <c r="AB36" s="22"/>
    </row>
    <row r="37" spans="1:28">
      <c r="A37" s="19"/>
      <c r="B37" s="12"/>
      <c r="C37" s="24"/>
      <c r="D37" s="12"/>
      <c r="E37" s="23"/>
      <c r="F37" s="17"/>
      <c r="G37" s="17"/>
      <c r="H37" s="17"/>
      <c r="Z37" s="22"/>
      <c r="AB37" s="22"/>
    </row>
    <row r="38" spans="1:28">
      <c r="A38" s="19"/>
      <c r="B38" s="12"/>
      <c r="C38" s="24"/>
      <c r="D38" s="12"/>
      <c r="E38" s="23"/>
      <c r="F38" s="17"/>
      <c r="G38" s="17"/>
      <c r="H38" s="17"/>
      <c r="Z38" s="22"/>
      <c r="AB38" s="22"/>
    </row>
    <row r="39" spans="1:28">
      <c r="A39" s="19"/>
      <c r="B39" s="12"/>
      <c r="C39" s="24"/>
      <c r="D39" s="12"/>
      <c r="E39" s="23"/>
      <c r="F39" s="17"/>
      <c r="G39" s="17"/>
      <c r="H39" s="17"/>
      <c r="Z39" s="22"/>
      <c r="AB39" s="22"/>
    </row>
    <row r="40" spans="1:28">
      <c r="A40" s="19"/>
      <c r="B40" s="12"/>
      <c r="C40" s="24"/>
      <c r="D40" s="12"/>
      <c r="E40" s="23"/>
      <c r="F40" s="17"/>
      <c r="G40" s="17"/>
      <c r="H40" s="17"/>
      <c r="Z40" s="22"/>
      <c r="AB40" s="22"/>
    </row>
    <row r="41" spans="1:28">
      <c r="A41" s="19"/>
      <c r="B41" s="12"/>
      <c r="C41" s="24"/>
      <c r="D41" s="12"/>
      <c r="E41" s="23"/>
      <c r="F41" s="17"/>
      <c r="G41" s="17"/>
      <c r="H41" s="17"/>
      <c r="Z41" s="22"/>
      <c r="AB41" s="22"/>
    </row>
    <row r="42" spans="1:28">
      <c r="A42" s="19"/>
      <c r="B42" s="12"/>
      <c r="C42" s="24"/>
      <c r="D42" s="12"/>
      <c r="E42" s="23"/>
      <c r="F42" s="17"/>
      <c r="G42" s="17"/>
      <c r="H42" s="17"/>
      <c r="Z42" s="22"/>
      <c r="AB42" s="22"/>
    </row>
    <row r="43" spans="1:28">
      <c r="A43" s="19"/>
      <c r="B43" s="12"/>
      <c r="C43" s="24"/>
      <c r="D43" s="12"/>
      <c r="E43" s="23"/>
      <c r="F43" s="17"/>
      <c r="G43" s="17"/>
      <c r="H43" s="17"/>
      <c r="Z43" s="22"/>
      <c r="AB43" s="22"/>
    </row>
    <row r="44" spans="1:28">
      <c r="A44" s="19"/>
      <c r="B44" s="12"/>
      <c r="C44" s="24"/>
      <c r="D44" s="12"/>
      <c r="E44" s="23"/>
      <c r="F44" s="17"/>
      <c r="G44" s="17"/>
      <c r="H44" s="17"/>
      <c r="Z44" s="22"/>
      <c r="AB44" s="22"/>
    </row>
    <row r="45" spans="1:28">
      <c r="A45" s="19"/>
      <c r="B45" s="12"/>
      <c r="C45" s="24"/>
      <c r="D45" s="12"/>
      <c r="E45" s="23"/>
      <c r="F45" s="17"/>
      <c r="G45" s="17"/>
      <c r="H45" s="17"/>
      <c r="Z45" s="22"/>
      <c r="AB45" s="22"/>
    </row>
    <row r="46" spans="1:28">
      <c r="A46" s="19"/>
      <c r="B46" s="12"/>
      <c r="C46" s="24"/>
      <c r="D46" s="12"/>
      <c r="E46" s="23"/>
      <c r="F46" s="17"/>
      <c r="G46" s="17"/>
      <c r="H46" s="17"/>
      <c r="Z46" s="22"/>
      <c r="AB46" s="22"/>
    </row>
    <row r="47" spans="1:28">
      <c r="A47" s="19"/>
      <c r="B47" s="12"/>
      <c r="C47" s="24"/>
      <c r="D47" s="12"/>
      <c r="E47" s="23"/>
      <c r="F47" s="17"/>
      <c r="G47" s="17"/>
      <c r="H47" s="17"/>
      <c r="Z47" s="22"/>
      <c r="AB47" s="22"/>
    </row>
    <row r="48" spans="1:28">
      <c r="A48" s="19"/>
      <c r="B48" s="12"/>
      <c r="C48" s="24"/>
      <c r="D48" s="12"/>
      <c r="E48" s="23"/>
      <c r="F48" s="17"/>
      <c r="G48" s="17"/>
      <c r="H48" s="17"/>
      <c r="Z48" s="22"/>
      <c r="AB48" s="22"/>
    </row>
    <row r="49" spans="1:28">
      <c r="A49" s="19"/>
      <c r="B49" s="12"/>
      <c r="C49" s="24"/>
      <c r="D49" s="12"/>
      <c r="E49" s="23"/>
      <c r="F49" s="17"/>
      <c r="G49" s="17"/>
      <c r="H49" s="17"/>
      <c r="Z49" s="22"/>
      <c r="AB49" s="22"/>
    </row>
    <row r="50" spans="1:28">
      <c r="A50" s="19"/>
      <c r="B50" s="12"/>
      <c r="C50" s="24"/>
      <c r="D50" s="12"/>
      <c r="E50" s="23"/>
      <c r="F50" s="17"/>
      <c r="G50" s="17"/>
      <c r="H50" s="17"/>
      <c r="Z50" s="22"/>
      <c r="AB50" s="22"/>
    </row>
    <row r="51" spans="1:28">
      <c r="A51" s="19"/>
      <c r="B51" s="12"/>
      <c r="C51" s="24"/>
      <c r="D51" s="12"/>
      <c r="E51" s="23"/>
      <c r="F51" s="17"/>
      <c r="G51" s="17"/>
      <c r="H51" s="17"/>
      <c r="Z51" s="22"/>
      <c r="AB51" s="22"/>
    </row>
    <row r="52" spans="1:28">
      <c r="A52" s="19"/>
      <c r="B52" s="12"/>
      <c r="C52" s="24"/>
      <c r="D52" s="12"/>
      <c r="E52" s="23"/>
      <c r="F52" s="17"/>
      <c r="G52" s="17"/>
      <c r="H52" s="17"/>
      <c r="Z52" s="22"/>
      <c r="AB52" s="22"/>
    </row>
    <row r="53" spans="1:28">
      <c r="A53" s="19"/>
      <c r="B53" s="12"/>
      <c r="C53" s="24"/>
      <c r="D53" s="12"/>
      <c r="E53" s="23"/>
      <c r="F53" s="17"/>
      <c r="G53" s="17"/>
      <c r="H53" s="17"/>
      <c r="Z53" s="22"/>
      <c r="AB53" s="22"/>
    </row>
    <row r="54" spans="1:28">
      <c r="A54" s="19"/>
      <c r="B54" s="12"/>
      <c r="C54" s="24"/>
      <c r="D54" s="12"/>
      <c r="E54" s="23"/>
      <c r="F54" s="17"/>
      <c r="G54" s="17"/>
      <c r="H54" s="17"/>
      <c r="Z54" s="22"/>
      <c r="AB54" s="22"/>
    </row>
    <row r="55" spans="1:28">
      <c r="A55" s="19"/>
      <c r="B55" s="12"/>
      <c r="C55" s="24"/>
      <c r="D55" s="12"/>
      <c r="E55" s="23"/>
      <c r="F55" s="17"/>
      <c r="G55" s="17"/>
      <c r="H55" s="17"/>
      <c r="Z55" s="22"/>
      <c r="AB55" s="22"/>
    </row>
    <row r="56" spans="1:28">
      <c r="A56" s="19"/>
      <c r="B56" s="12"/>
      <c r="C56" s="24"/>
      <c r="D56" s="12"/>
      <c r="E56" s="23"/>
      <c r="F56" s="17"/>
      <c r="G56" s="17"/>
      <c r="H56" s="17"/>
      <c r="Z56" s="22"/>
      <c r="AB56" s="22"/>
    </row>
    <row r="57" spans="1:28">
      <c r="A57" s="19"/>
      <c r="B57" s="12"/>
      <c r="C57" s="24"/>
      <c r="D57" s="12"/>
      <c r="E57" s="23"/>
      <c r="F57" s="17"/>
      <c r="G57" s="17"/>
      <c r="H57" s="17"/>
      <c r="Z57" s="22"/>
      <c r="AB57" s="22"/>
    </row>
    <row r="58" spans="1:28">
      <c r="A58" s="19"/>
      <c r="B58" s="12"/>
      <c r="C58" s="24"/>
      <c r="D58" s="12"/>
      <c r="E58" s="23"/>
      <c r="F58" s="17"/>
      <c r="G58" s="17"/>
      <c r="H58" s="17"/>
      <c r="Z58" s="22"/>
      <c r="AB58" s="22"/>
    </row>
    <row r="59" spans="1:28">
      <c r="A59" s="19"/>
      <c r="B59" s="12"/>
      <c r="C59" s="24"/>
      <c r="D59" s="12"/>
      <c r="E59" s="23"/>
      <c r="F59" s="17"/>
      <c r="G59" s="17"/>
      <c r="H59" s="17"/>
      <c r="Z59" s="22"/>
      <c r="AB59" s="22"/>
    </row>
    <row r="60" spans="1:28">
      <c r="A60" s="19"/>
      <c r="B60" s="12"/>
      <c r="C60" s="24"/>
      <c r="D60" s="12"/>
      <c r="E60" s="23"/>
      <c r="F60" s="17"/>
      <c r="G60" s="17"/>
      <c r="H60" s="17"/>
      <c r="Z60" s="22"/>
      <c r="AB60" s="22"/>
    </row>
    <row r="61" spans="1:28">
      <c r="A61" s="19"/>
      <c r="B61" s="12"/>
      <c r="C61" s="24"/>
      <c r="D61" s="12"/>
      <c r="E61" s="23"/>
      <c r="F61" s="17"/>
      <c r="G61" s="17"/>
      <c r="H61" s="17"/>
      <c r="Z61" s="22"/>
      <c r="AB61" s="22"/>
    </row>
    <row r="62" spans="1:28">
      <c r="A62" s="19"/>
      <c r="B62" s="12"/>
      <c r="C62" s="24"/>
      <c r="D62" s="12"/>
      <c r="E62" s="23"/>
      <c r="F62" s="17"/>
      <c r="G62" s="17"/>
      <c r="H62" s="17"/>
      <c r="Z62" s="22"/>
      <c r="AB62" s="22"/>
    </row>
    <row r="63" spans="1:28">
      <c r="A63" s="19"/>
      <c r="B63" s="12"/>
      <c r="C63" s="24"/>
      <c r="D63" s="12"/>
      <c r="E63" s="23"/>
      <c r="F63" s="17"/>
      <c r="G63" s="17"/>
      <c r="H63" s="17"/>
      <c r="Z63" s="22"/>
      <c r="AB63" s="22"/>
    </row>
    <row r="64" spans="1:28">
      <c r="A64" s="19"/>
      <c r="B64" s="12"/>
      <c r="C64" s="24"/>
      <c r="D64" s="12"/>
      <c r="E64" s="23"/>
      <c r="F64" s="17"/>
      <c r="G64" s="17"/>
      <c r="H64" s="17"/>
      <c r="Z64" s="22"/>
      <c r="AB64" s="22"/>
    </row>
    <row r="65" spans="1:28">
      <c r="A65" s="19"/>
      <c r="B65" s="12"/>
      <c r="C65" s="24"/>
      <c r="D65" s="12"/>
      <c r="E65" s="23"/>
      <c r="F65" s="17"/>
      <c r="G65" s="17"/>
      <c r="H65" s="17"/>
      <c r="Z65" s="22"/>
      <c r="AB65" s="22"/>
    </row>
    <row r="66" spans="1:28">
      <c r="A66" s="19"/>
      <c r="B66" s="12"/>
      <c r="C66" s="24"/>
      <c r="D66" s="12"/>
      <c r="E66" s="23"/>
      <c r="F66" s="17"/>
      <c r="G66" s="17"/>
      <c r="H66" s="17"/>
      <c r="Z66" s="22"/>
      <c r="AB66" s="22"/>
    </row>
    <row r="67" spans="1:28">
      <c r="A67" s="19"/>
      <c r="B67" s="12"/>
      <c r="C67" s="24"/>
      <c r="D67" s="12"/>
      <c r="E67" s="23"/>
      <c r="F67" s="17"/>
      <c r="G67" s="17"/>
      <c r="H67" s="17"/>
      <c r="Z67" s="22"/>
      <c r="AB67" s="22"/>
    </row>
    <row r="68" spans="1:28">
      <c r="A68" s="19"/>
      <c r="B68" s="12"/>
      <c r="C68" s="24"/>
      <c r="D68" s="12"/>
      <c r="E68" s="23"/>
      <c r="F68" s="17"/>
      <c r="G68" s="17"/>
      <c r="H68" s="17"/>
      <c r="Z68" s="22"/>
      <c r="AB68" s="22"/>
    </row>
    <row r="69" spans="1:28">
      <c r="A69" s="19"/>
      <c r="B69" s="12"/>
      <c r="C69" s="24"/>
      <c r="D69" s="12"/>
      <c r="E69" s="23"/>
      <c r="F69" s="17"/>
      <c r="G69" s="17"/>
      <c r="H69" s="17"/>
      <c r="Z69" s="22"/>
      <c r="AB69" s="22"/>
    </row>
    <row r="70" spans="1:28">
      <c r="A70" s="19"/>
      <c r="B70" s="12"/>
      <c r="C70" s="24"/>
      <c r="D70" s="12"/>
      <c r="E70" s="23"/>
      <c r="F70" s="17"/>
      <c r="G70" s="17"/>
      <c r="H70" s="17"/>
      <c r="Z70" s="22"/>
      <c r="AB70" s="22"/>
    </row>
    <row r="71" spans="1:28">
      <c r="A71" s="19"/>
      <c r="B71" s="12"/>
      <c r="C71" s="24"/>
      <c r="D71" s="12"/>
      <c r="E71" s="23"/>
      <c r="F71" s="17"/>
      <c r="G71" s="17"/>
      <c r="H71" s="17"/>
      <c r="Z71" s="22"/>
      <c r="AB71" s="22"/>
    </row>
    <row r="72" spans="1:28">
      <c r="A72" s="19"/>
      <c r="B72" s="12"/>
      <c r="C72" s="24"/>
      <c r="D72" s="12"/>
      <c r="E72" s="23"/>
      <c r="F72" s="17"/>
      <c r="G72" s="17"/>
      <c r="H72" s="17"/>
      <c r="Z72" s="22"/>
      <c r="AB72" s="22"/>
    </row>
    <row r="73" spans="1:28">
      <c r="A73" s="19"/>
      <c r="B73" s="12"/>
      <c r="C73" s="24"/>
      <c r="D73" s="12"/>
      <c r="E73" s="23"/>
      <c r="F73" s="17"/>
      <c r="G73" s="17"/>
      <c r="H73" s="17"/>
      <c r="Z73" s="22"/>
      <c r="AB73" s="22"/>
    </row>
    <row r="74" spans="1:28">
      <c r="A74" s="19"/>
      <c r="B74" s="12"/>
      <c r="C74" s="24"/>
      <c r="D74" s="12"/>
      <c r="E74" s="23"/>
      <c r="F74" s="17"/>
      <c r="G74" s="17"/>
      <c r="H74" s="17"/>
      <c r="Z74" s="22"/>
      <c r="AB74" s="22"/>
    </row>
    <row r="75" spans="1:28">
      <c r="A75" s="19"/>
      <c r="B75" s="12"/>
      <c r="C75" s="24"/>
      <c r="D75" s="12"/>
      <c r="E75" s="23"/>
      <c r="F75" s="17"/>
      <c r="G75" s="17"/>
      <c r="H75" s="17"/>
      <c r="Z75" s="22"/>
      <c r="AB75" s="22"/>
    </row>
    <row r="76" spans="1:28">
      <c r="A76" s="19"/>
      <c r="B76" s="12"/>
      <c r="C76" s="24"/>
      <c r="D76" s="12"/>
      <c r="E76" s="23"/>
      <c r="F76" s="17"/>
      <c r="G76" s="17"/>
      <c r="H76" s="17"/>
      <c r="Z76" s="22"/>
      <c r="AB76" s="22"/>
    </row>
    <row r="77" spans="1:28">
      <c r="A77" s="19"/>
      <c r="B77" s="12"/>
      <c r="C77" s="24"/>
      <c r="D77" s="12"/>
      <c r="E77" s="23"/>
      <c r="F77" s="17"/>
      <c r="G77" s="17"/>
      <c r="H77" s="17"/>
      <c r="Z77" s="22"/>
      <c r="AB77" s="22"/>
    </row>
    <row r="78" spans="1:28">
      <c r="A78" s="19"/>
      <c r="B78" s="12"/>
      <c r="C78" s="24"/>
      <c r="D78" s="12"/>
      <c r="E78" s="23"/>
      <c r="F78" s="17"/>
      <c r="G78" s="17"/>
      <c r="H78" s="17"/>
      <c r="Z78" s="22"/>
      <c r="AB78" s="22"/>
    </row>
    <row r="79" spans="1:28">
      <c r="A79" s="19"/>
      <c r="B79" s="12"/>
      <c r="C79" s="24"/>
      <c r="D79" s="12"/>
      <c r="E79" s="23"/>
      <c r="F79" s="17"/>
      <c r="G79" s="17"/>
      <c r="H79" s="17"/>
      <c r="Z79" s="22"/>
      <c r="AB79" s="22"/>
    </row>
    <row r="80" spans="1:28">
      <c r="A80" s="19"/>
      <c r="B80" s="12"/>
      <c r="C80" s="24"/>
      <c r="D80" s="12"/>
      <c r="E80" s="23"/>
      <c r="F80" s="17"/>
      <c r="G80" s="17"/>
      <c r="H80" s="17"/>
      <c r="Z80" s="22"/>
      <c r="AB80" s="22"/>
    </row>
    <row r="81" spans="1:28">
      <c r="A81" s="19"/>
      <c r="B81" s="12"/>
      <c r="C81" s="24"/>
      <c r="D81" s="12"/>
      <c r="E81" s="23"/>
      <c r="F81" s="17"/>
      <c r="G81" s="17"/>
      <c r="H81" s="17"/>
      <c r="Z81" s="22"/>
      <c r="AB81" s="22"/>
    </row>
    <row r="82" spans="1:28">
      <c r="A82" s="19"/>
      <c r="B82" s="12"/>
      <c r="C82" s="24"/>
      <c r="D82" s="12"/>
      <c r="E82" s="23"/>
      <c r="F82" s="17"/>
      <c r="G82" s="17"/>
      <c r="H82" s="17"/>
      <c r="Z82" s="22"/>
      <c r="AB82" s="22"/>
    </row>
    <row r="83" spans="1:28">
      <c r="A83" s="19"/>
      <c r="B83" s="12"/>
      <c r="C83" s="24"/>
      <c r="D83" s="12"/>
      <c r="E83" s="23"/>
      <c r="F83" s="17"/>
      <c r="G83" s="17"/>
      <c r="H83" s="17"/>
      <c r="Z83" s="22"/>
      <c r="AB83" s="22"/>
    </row>
    <row r="84" spans="1:28">
      <c r="A84" s="19"/>
      <c r="B84" s="12"/>
      <c r="C84" s="24"/>
      <c r="D84" s="12"/>
      <c r="E84" s="23"/>
      <c r="F84" s="17"/>
      <c r="G84" s="17"/>
      <c r="H84" s="17"/>
      <c r="Z84" s="22"/>
      <c r="AB84" s="22"/>
    </row>
    <row r="85" spans="1:28">
      <c r="A85" s="19"/>
      <c r="B85" s="12"/>
      <c r="C85" s="24"/>
      <c r="D85" s="12"/>
      <c r="E85" s="23"/>
      <c r="F85" s="17"/>
      <c r="G85" s="17"/>
      <c r="H85" s="17"/>
      <c r="Z85" s="22"/>
      <c r="AB85" s="22"/>
    </row>
    <row r="86" spans="1:28">
      <c r="A86" s="19"/>
      <c r="B86" s="12"/>
      <c r="C86" s="24"/>
      <c r="D86" s="12"/>
      <c r="E86" s="23"/>
      <c r="F86" s="17"/>
      <c r="G86" s="17"/>
      <c r="H86" s="17"/>
      <c r="Z86" s="22"/>
      <c r="AB86" s="22"/>
    </row>
    <row r="87" spans="1:28">
      <c r="A87" s="19"/>
      <c r="B87" s="12"/>
      <c r="C87" s="24"/>
      <c r="D87" s="12"/>
      <c r="E87" s="23"/>
      <c r="F87" s="17"/>
      <c r="G87" s="17"/>
      <c r="H87" s="17"/>
      <c r="Z87" s="22"/>
      <c r="AB87" s="22"/>
    </row>
    <row r="88" spans="1:28">
      <c r="A88" s="19"/>
      <c r="B88" s="12"/>
      <c r="C88" s="24"/>
      <c r="D88" s="12"/>
      <c r="E88" s="23"/>
      <c r="F88" s="17"/>
      <c r="G88" s="17"/>
      <c r="H88" s="17"/>
      <c r="Z88" s="22"/>
      <c r="AB88" s="22"/>
    </row>
    <row r="89" spans="1:28">
      <c r="A89" s="19"/>
      <c r="B89" s="12"/>
      <c r="C89" s="24"/>
      <c r="D89" s="12"/>
      <c r="E89" s="23"/>
      <c r="F89" s="17"/>
      <c r="G89" s="17"/>
      <c r="H89" s="17"/>
      <c r="Z89" s="22"/>
      <c r="AB89" s="22"/>
    </row>
    <row r="90" spans="1:28">
      <c r="A90" s="19"/>
      <c r="B90" s="12"/>
      <c r="C90" s="24"/>
      <c r="D90" s="12"/>
      <c r="E90" s="23"/>
      <c r="F90" s="17"/>
      <c r="G90" s="17"/>
      <c r="H90" s="17"/>
      <c r="Z90" s="22"/>
      <c r="AB90" s="22"/>
    </row>
    <row r="91" spans="1:28">
      <c r="A91" s="19"/>
      <c r="B91" s="12"/>
      <c r="C91" s="24"/>
      <c r="D91" s="12"/>
      <c r="E91" s="23"/>
      <c r="F91" s="17"/>
      <c r="G91" s="17"/>
      <c r="H91" s="17"/>
      <c r="Z91" s="22"/>
      <c r="AB91" s="22"/>
    </row>
    <row r="92" spans="1:28">
      <c r="A92" s="19"/>
      <c r="B92" s="12"/>
      <c r="C92" s="24"/>
      <c r="D92" s="12"/>
      <c r="E92" s="23"/>
      <c r="F92" s="17"/>
      <c r="G92" s="17"/>
      <c r="H92" s="17"/>
      <c r="Z92" s="22"/>
      <c r="AB92" s="22"/>
    </row>
    <row r="93" spans="1:28">
      <c r="A93" s="19"/>
      <c r="B93" s="12"/>
      <c r="C93" s="24"/>
      <c r="D93" s="12"/>
      <c r="E93" s="23"/>
      <c r="F93" s="17"/>
      <c r="G93" s="17"/>
      <c r="H93" s="17"/>
      <c r="Z93" s="22"/>
      <c r="AB93" s="22"/>
    </row>
    <row r="94" spans="1:28">
      <c r="A94" s="19"/>
      <c r="B94" s="12"/>
      <c r="C94" s="24"/>
      <c r="D94" s="12"/>
      <c r="E94" s="23"/>
      <c r="F94" s="17"/>
      <c r="G94" s="17"/>
      <c r="H94" s="17"/>
      <c r="Z94" s="22"/>
      <c r="AB94" s="22"/>
    </row>
    <row r="95" spans="1:28">
      <c r="A95" s="19"/>
      <c r="B95" s="12"/>
      <c r="C95" s="24"/>
      <c r="D95" s="12"/>
      <c r="E95" s="23"/>
      <c r="F95" s="17"/>
      <c r="G95" s="17"/>
      <c r="H95" s="17"/>
      <c r="Z95" s="22"/>
      <c r="AB95" s="22"/>
    </row>
    <row r="96" spans="1:28">
      <c r="A96" s="19"/>
      <c r="B96" s="12"/>
      <c r="C96" s="24"/>
      <c r="D96" s="12"/>
      <c r="E96" s="23"/>
      <c r="F96" s="17"/>
      <c r="G96" s="17"/>
      <c r="H96" s="17"/>
      <c r="Z96" s="22"/>
      <c r="AB96" s="22"/>
    </row>
    <row r="97" spans="1:28">
      <c r="A97" s="19"/>
      <c r="B97" s="12"/>
      <c r="C97" s="24"/>
      <c r="D97" s="12"/>
      <c r="E97" s="23"/>
      <c r="F97" s="17"/>
      <c r="G97" s="17"/>
      <c r="H97" s="17"/>
      <c r="Z97" s="22"/>
      <c r="AB97" s="22"/>
    </row>
    <row r="98" spans="1:28">
      <c r="A98" s="19"/>
      <c r="B98" s="12"/>
      <c r="C98" s="24"/>
      <c r="D98" s="12"/>
      <c r="E98" s="23"/>
      <c r="F98" s="17"/>
      <c r="G98" s="17"/>
      <c r="H98" s="17"/>
      <c r="Z98" s="22"/>
      <c r="AB98" s="22"/>
    </row>
    <row r="99" spans="1:28">
      <c r="A99" s="19"/>
      <c r="B99" s="12"/>
      <c r="C99" s="24"/>
      <c r="D99" s="12"/>
      <c r="E99" s="23"/>
      <c r="F99" s="17"/>
      <c r="G99" s="17"/>
      <c r="H99" s="17"/>
      <c r="Z99" s="22"/>
      <c r="AB99" s="22"/>
    </row>
    <row r="100" spans="1:28">
      <c r="A100" s="19"/>
      <c r="B100" s="12"/>
      <c r="C100" s="24"/>
      <c r="D100" s="12"/>
      <c r="E100" s="23"/>
      <c r="F100" s="17"/>
      <c r="G100" s="17"/>
      <c r="H100" s="17"/>
      <c r="Z100" s="22"/>
      <c r="AB100" s="22"/>
    </row>
    <row r="101" spans="1:28">
      <c r="A101" s="19"/>
      <c r="B101" s="12"/>
      <c r="C101" s="24"/>
      <c r="D101" s="12"/>
      <c r="E101" s="23"/>
      <c r="F101" s="17"/>
      <c r="G101" s="17"/>
      <c r="H101" s="17"/>
      <c r="Z101" s="22"/>
      <c r="AB101" s="22"/>
    </row>
    <row r="102" spans="1:28">
      <c r="A102" s="19"/>
      <c r="B102" s="12"/>
      <c r="C102" s="24"/>
      <c r="D102" s="12"/>
      <c r="E102" s="23"/>
      <c r="F102" s="17"/>
      <c r="G102" s="17"/>
      <c r="H102" s="17"/>
      <c r="Z102" s="22"/>
      <c r="AB102" s="22"/>
    </row>
    <row r="103" spans="1:28">
      <c r="A103" s="19"/>
      <c r="B103" s="12"/>
      <c r="C103" s="24"/>
      <c r="D103" s="12"/>
      <c r="E103" s="23"/>
      <c r="F103" s="17"/>
      <c r="G103" s="17"/>
      <c r="H103" s="17"/>
      <c r="Z103" s="22"/>
      <c r="AB103" s="22"/>
    </row>
    <row r="104" spans="1:28">
      <c r="A104" s="19"/>
      <c r="B104" s="12"/>
      <c r="C104" s="24"/>
      <c r="D104" s="12"/>
      <c r="E104" s="23"/>
      <c r="F104" s="17"/>
      <c r="G104" s="17"/>
      <c r="H104" s="17"/>
      <c r="Z104" s="22"/>
      <c r="AB104" s="22"/>
    </row>
    <row r="105" spans="1:28">
      <c r="A105" s="19"/>
      <c r="B105" s="12"/>
      <c r="C105" s="24"/>
      <c r="D105" s="12"/>
      <c r="E105" s="23"/>
      <c r="F105" s="17"/>
      <c r="G105" s="17"/>
      <c r="H105" s="17"/>
      <c r="Z105" s="22"/>
      <c r="AB105" s="22"/>
    </row>
    <row r="106" spans="1:28">
      <c r="A106" s="19"/>
      <c r="B106" s="12"/>
      <c r="C106" s="24"/>
      <c r="D106" s="12"/>
      <c r="E106" s="23"/>
      <c r="F106" s="17"/>
      <c r="G106" s="17"/>
      <c r="H106" s="17"/>
      <c r="Z106" s="22"/>
      <c r="AB106" s="22"/>
    </row>
    <row r="107" spans="1:28">
      <c r="A107" s="19"/>
      <c r="B107" s="12"/>
      <c r="C107" s="24"/>
      <c r="D107" s="12"/>
      <c r="E107" s="23"/>
      <c r="F107" s="17"/>
      <c r="G107" s="17"/>
      <c r="H107" s="17"/>
      <c r="Z107" s="22"/>
      <c r="AB107" s="22"/>
    </row>
    <row r="108" spans="1:28">
      <c r="A108" s="19"/>
      <c r="B108" s="12"/>
      <c r="C108" s="24"/>
      <c r="D108" s="12"/>
      <c r="E108" s="23"/>
      <c r="F108" s="17"/>
      <c r="G108" s="17"/>
      <c r="H108" s="17"/>
      <c r="Z108" s="22"/>
      <c r="AB108" s="22"/>
    </row>
    <row r="109" spans="1:28">
      <c r="A109" s="19"/>
      <c r="B109" s="12"/>
      <c r="C109" s="24"/>
      <c r="D109" s="12"/>
      <c r="E109" s="23"/>
      <c r="F109" s="17"/>
      <c r="G109" s="17"/>
      <c r="H109" s="17"/>
      <c r="Z109" s="22"/>
      <c r="AB109" s="22"/>
    </row>
    <row r="110" spans="1:28">
      <c r="A110" s="19"/>
      <c r="B110" s="12"/>
      <c r="C110" s="24"/>
      <c r="D110" s="12"/>
      <c r="E110" s="23"/>
      <c r="F110" s="17"/>
      <c r="G110" s="17"/>
      <c r="H110" s="17"/>
      <c r="Z110" s="22"/>
      <c r="AB110" s="22"/>
    </row>
    <row r="111" spans="1:28">
      <c r="A111" s="19"/>
      <c r="B111" s="12"/>
      <c r="C111" s="24"/>
      <c r="D111" s="12"/>
      <c r="E111" s="23"/>
      <c r="F111" s="17"/>
      <c r="G111" s="17"/>
      <c r="H111" s="17"/>
      <c r="Z111" s="22"/>
      <c r="AB111" s="22"/>
    </row>
    <row r="112" spans="1:28">
      <c r="A112" s="19"/>
      <c r="B112" s="12"/>
      <c r="C112" s="24"/>
      <c r="D112" s="12"/>
      <c r="E112" s="23"/>
      <c r="F112" s="17"/>
      <c r="G112" s="17"/>
      <c r="H112" s="17"/>
      <c r="Z112" s="22"/>
      <c r="AB112" s="22"/>
    </row>
    <row r="113" spans="1:28">
      <c r="A113" s="19"/>
      <c r="B113" s="12"/>
      <c r="C113" s="24"/>
      <c r="D113" s="12"/>
      <c r="E113" s="23"/>
      <c r="F113" s="17"/>
      <c r="G113" s="17"/>
      <c r="H113" s="17"/>
      <c r="Z113" s="22"/>
      <c r="AB113" s="22"/>
    </row>
    <row r="114" spans="1:28">
      <c r="A114" s="19"/>
      <c r="B114" s="12"/>
      <c r="C114" s="24"/>
      <c r="D114" s="12"/>
      <c r="E114" s="23"/>
      <c r="F114" s="17"/>
      <c r="G114" s="17"/>
      <c r="H114" s="17"/>
      <c r="Z114" s="22"/>
      <c r="AB114" s="22"/>
    </row>
    <row r="115" spans="1:28">
      <c r="A115" s="19"/>
      <c r="B115" s="12"/>
      <c r="C115" s="24"/>
      <c r="D115" s="12"/>
      <c r="E115" s="23"/>
      <c r="F115" s="17"/>
      <c r="G115" s="17"/>
      <c r="H115" s="17"/>
      <c r="Z115" s="22"/>
      <c r="AB115" s="22"/>
    </row>
    <row r="116" spans="1:28">
      <c r="A116" s="19"/>
      <c r="B116" s="12"/>
      <c r="C116" s="24"/>
      <c r="D116" s="12"/>
      <c r="E116" s="23"/>
      <c r="F116" s="17"/>
      <c r="G116" s="17"/>
      <c r="H116" s="17"/>
      <c r="Z116" s="22"/>
      <c r="AB116" s="22"/>
    </row>
    <row r="117" spans="1:28">
      <c r="A117" s="19"/>
      <c r="B117" s="12"/>
      <c r="C117" s="24"/>
      <c r="D117" s="12"/>
      <c r="E117" s="23"/>
      <c r="F117" s="17"/>
      <c r="G117" s="17"/>
      <c r="H117" s="17"/>
      <c r="Z117" s="22"/>
      <c r="AB117" s="22"/>
    </row>
    <row r="118" spans="1:28">
      <c r="A118" s="19"/>
      <c r="B118" s="12"/>
      <c r="C118" s="24"/>
      <c r="D118" s="12"/>
      <c r="E118" s="23"/>
      <c r="F118" s="17"/>
      <c r="G118" s="17"/>
      <c r="H118" s="17"/>
      <c r="Z118" s="22"/>
      <c r="AB118" s="22"/>
    </row>
    <row r="119" spans="1:28">
      <c r="A119" s="19"/>
      <c r="B119" s="12"/>
      <c r="C119" s="24"/>
      <c r="D119" s="12"/>
      <c r="E119" s="23"/>
      <c r="F119" s="17"/>
      <c r="G119" s="17"/>
      <c r="H119" s="17"/>
      <c r="Z119" s="22"/>
      <c r="AB119" s="22"/>
    </row>
    <row r="120" spans="1:28">
      <c r="A120" s="19"/>
      <c r="B120" s="12"/>
      <c r="C120" s="24"/>
      <c r="D120" s="12"/>
      <c r="E120" s="23"/>
      <c r="F120" s="17"/>
      <c r="G120" s="17"/>
      <c r="H120" s="17"/>
      <c r="Z120" s="22"/>
      <c r="AB120" s="22"/>
    </row>
    <row r="121" spans="1:28">
      <c r="A121" s="19"/>
      <c r="B121" s="12"/>
      <c r="C121" s="24"/>
      <c r="D121" s="12"/>
      <c r="E121" s="23"/>
      <c r="F121" s="17"/>
      <c r="G121" s="17"/>
      <c r="H121" s="17"/>
      <c r="Z121" s="22"/>
      <c r="AB121" s="22"/>
    </row>
    <row r="122" spans="1:28">
      <c r="A122" s="19"/>
      <c r="B122" s="12"/>
      <c r="C122" s="24"/>
      <c r="D122" s="12"/>
      <c r="E122" s="23"/>
      <c r="F122" s="17"/>
      <c r="G122" s="17"/>
      <c r="H122" s="17"/>
      <c r="Z122" s="22"/>
      <c r="AB122" s="22"/>
    </row>
    <row r="123" spans="1:28">
      <c r="A123" s="19"/>
      <c r="B123" s="12"/>
      <c r="C123" s="24"/>
      <c r="D123" s="12"/>
      <c r="E123" s="23"/>
      <c r="F123" s="17"/>
      <c r="G123" s="17"/>
      <c r="H123" s="17"/>
      <c r="Z123" s="22"/>
      <c r="AB123" s="22"/>
    </row>
    <row r="124" spans="1:28">
      <c r="A124" s="19"/>
      <c r="B124" s="12"/>
      <c r="C124" s="24"/>
      <c r="D124" s="12"/>
      <c r="E124" s="23"/>
      <c r="F124" s="17"/>
      <c r="G124" s="17"/>
      <c r="H124" s="17"/>
      <c r="Z124" s="22"/>
      <c r="AB124" s="22"/>
    </row>
    <row r="125" spans="1:28">
      <c r="A125" s="19"/>
      <c r="B125" s="12"/>
      <c r="C125" s="24"/>
      <c r="D125" s="12"/>
      <c r="E125" s="23"/>
      <c r="F125" s="17"/>
      <c r="G125" s="17"/>
      <c r="H125" s="17"/>
      <c r="Z125" s="22"/>
      <c r="AB125" s="22"/>
    </row>
    <row r="126" spans="1:28">
      <c r="A126" s="19"/>
      <c r="B126" s="12"/>
      <c r="C126" s="24"/>
      <c r="D126" s="12"/>
      <c r="E126" s="23"/>
      <c r="F126" s="17"/>
      <c r="G126" s="17"/>
      <c r="H126" s="17"/>
      <c r="Z126" s="22"/>
      <c r="AB126" s="22"/>
    </row>
    <row r="127" spans="1:28">
      <c r="A127" s="19"/>
      <c r="B127" s="12"/>
      <c r="C127" s="24"/>
      <c r="D127" s="12"/>
      <c r="E127" s="23"/>
      <c r="F127" s="17"/>
      <c r="G127" s="17"/>
      <c r="H127" s="17"/>
      <c r="Z127" s="22"/>
      <c r="AB127" s="22"/>
    </row>
    <row r="128" spans="1:28">
      <c r="A128" s="19"/>
      <c r="B128" s="12"/>
      <c r="C128" s="24"/>
      <c r="D128" s="12"/>
      <c r="E128" s="23"/>
      <c r="F128" s="17"/>
      <c r="G128" s="17"/>
      <c r="H128" s="17"/>
      <c r="Z128" s="22"/>
      <c r="AB128" s="22"/>
    </row>
    <row r="129" spans="1:28">
      <c r="A129" s="19"/>
      <c r="B129" s="12"/>
      <c r="C129" s="24"/>
      <c r="D129" s="12"/>
      <c r="E129" s="23"/>
      <c r="F129" s="17"/>
      <c r="G129" s="17"/>
      <c r="H129" s="17"/>
      <c r="Z129" s="22"/>
      <c r="AB129" s="22"/>
    </row>
    <row r="130" spans="1:28">
      <c r="A130" s="19"/>
      <c r="B130" s="12"/>
      <c r="C130" s="24"/>
      <c r="D130" s="12"/>
      <c r="E130" s="23"/>
      <c r="F130" s="17"/>
      <c r="G130" s="17"/>
      <c r="H130" s="17"/>
      <c r="Z130" s="22"/>
      <c r="AB130" s="22"/>
    </row>
    <row r="131" spans="1:28">
      <c r="A131" s="19"/>
      <c r="B131" s="12"/>
      <c r="C131" s="24"/>
      <c r="D131" s="12"/>
      <c r="E131" s="23"/>
      <c r="F131" s="17"/>
      <c r="G131" s="17"/>
      <c r="H131" s="17"/>
      <c r="Z131" s="22"/>
      <c r="AB131" s="22"/>
    </row>
    <row r="132" spans="1:28">
      <c r="A132" s="19"/>
      <c r="B132" s="12"/>
      <c r="C132" s="24"/>
      <c r="D132" s="12"/>
      <c r="E132" s="23"/>
      <c r="F132" s="17"/>
      <c r="G132" s="17"/>
      <c r="H132" s="17"/>
      <c r="Z132" s="22"/>
      <c r="AB132" s="22"/>
    </row>
    <row r="133" spans="1:28">
      <c r="A133" s="19"/>
      <c r="B133" s="12"/>
      <c r="C133" s="24"/>
      <c r="D133" s="12"/>
      <c r="E133" s="23"/>
      <c r="F133" s="17"/>
      <c r="G133" s="17"/>
      <c r="H133" s="17"/>
      <c r="Z133" s="22"/>
      <c r="AB133" s="22"/>
    </row>
    <row r="134" spans="1:28">
      <c r="A134" s="19"/>
      <c r="B134" s="12"/>
      <c r="C134" s="24"/>
      <c r="D134" s="12"/>
      <c r="E134" s="23"/>
      <c r="F134" s="17"/>
      <c r="G134" s="17"/>
      <c r="H134" s="17"/>
      <c r="Z134" s="22"/>
      <c r="AB134" s="22"/>
    </row>
    <row r="135" spans="1:28">
      <c r="A135" s="19"/>
      <c r="B135" s="12"/>
      <c r="C135" s="24"/>
      <c r="D135" s="12"/>
      <c r="E135" s="23"/>
      <c r="F135" s="17"/>
      <c r="G135" s="17"/>
      <c r="H135" s="17"/>
      <c r="Z135" s="22"/>
      <c r="AB135" s="22"/>
    </row>
    <row r="136" spans="1:28">
      <c r="A136" s="19"/>
      <c r="B136" s="12"/>
      <c r="C136" s="24"/>
      <c r="D136" s="12"/>
      <c r="E136" s="23"/>
      <c r="F136" s="17"/>
      <c r="G136" s="17"/>
      <c r="H136" s="17"/>
      <c r="Z136" s="22"/>
      <c r="AB136" s="22"/>
    </row>
    <row r="137" spans="1:28">
      <c r="A137" s="19"/>
      <c r="B137" s="12"/>
      <c r="C137" s="24"/>
      <c r="D137" s="12"/>
      <c r="E137" s="23"/>
      <c r="F137" s="17"/>
      <c r="G137" s="17"/>
      <c r="H137" s="17"/>
      <c r="Z137" s="22"/>
      <c r="AB137" s="22"/>
    </row>
    <row r="138" spans="1:28">
      <c r="A138" s="19"/>
      <c r="B138" s="12"/>
      <c r="C138" s="24"/>
      <c r="D138" s="12"/>
      <c r="E138" s="23"/>
      <c r="F138" s="17"/>
      <c r="G138" s="17"/>
      <c r="H138" s="17"/>
      <c r="Z138" s="22"/>
      <c r="AB138" s="22"/>
    </row>
    <row r="139" spans="1:28">
      <c r="A139" s="19"/>
      <c r="B139" s="12"/>
      <c r="C139" s="24"/>
      <c r="D139" s="12"/>
      <c r="E139" s="23"/>
      <c r="F139" s="17"/>
      <c r="G139" s="17"/>
      <c r="H139" s="17"/>
      <c r="Z139" s="22"/>
      <c r="AB139" s="22"/>
    </row>
    <row r="140" spans="1:28">
      <c r="A140" s="19"/>
      <c r="B140" s="12"/>
      <c r="C140" s="24"/>
      <c r="D140" s="12"/>
      <c r="E140" s="23"/>
      <c r="F140" s="17"/>
      <c r="G140" s="17"/>
      <c r="H140" s="17"/>
      <c r="Z140" s="22"/>
      <c r="AB140" s="22"/>
    </row>
    <row r="141" spans="1:28">
      <c r="A141" s="19"/>
      <c r="B141" s="12"/>
      <c r="C141" s="24"/>
      <c r="D141" s="12"/>
      <c r="E141" s="23"/>
      <c r="F141" s="17"/>
      <c r="G141" s="17"/>
      <c r="H141" s="17"/>
      <c r="Z141" s="22"/>
      <c r="AB141" s="22"/>
    </row>
    <row r="142" spans="1:28">
      <c r="A142" s="19"/>
      <c r="B142" s="12"/>
      <c r="C142" s="24"/>
      <c r="D142" s="12"/>
      <c r="E142" s="23"/>
      <c r="F142" s="17"/>
      <c r="G142" s="17"/>
      <c r="H142" s="17"/>
      <c r="Z142" s="22"/>
      <c r="AB142" s="22"/>
    </row>
    <row r="143" spans="1:28">
      <c r="A143" s="19"/>
      <c r="B143" s="12"/>
      <c r="C143" s="24"/>
      <c r="D143" s="12"/>
      <c r="E143" s="23"/>
      <c r="F143" s="17"/>
      <c r="G143" s="17"/>
      <c r="H143" s="17"/>
      <c r="Z143" s="22"/>
      <c r="AB143" s="22"/>
    </row>
    <row r="144" spans="1:28">
      <c r="A144" s="19"/>
      <c r="B144" s="12"/>
      <c r="C144" s="24"/>
      <c r="D144" s="12"/>
      <c r="E144" s="23"/>
      <c r="F144" s="17"/>
      <c r="G144" s="17"/>
      <c r="H144" s="17"/>
      <c r="Z144" s="22"/>
      <c r="AB144" s="22"/>
    </row>
    <row r="145" spans="1:28">
      <c r="A145" s="19"/>
      <c r="B145" s="12"/>
      <c r="C145" s="24"/>
      <c r="D145" s="12"/>
      <c r="E145" s="23"/>
      <c r="F145" s="17"/>
      <c r="G145" s="17"/>
      <c r="H145" s="17"/>
      <c r="Z145" s="22"/>
      <c r="AB145" s="22"/>
    </row>
    <row r="146" spans="1:28">
      <c r="A146" s="19"/>
      <c r="B146" s="12"/>
      <c r="C146" s="24"/>
      <c r="D146" s="12"/>
      <c r="E146" s="23"/>
      <c r="F146" s="17"/>
      <c r="G146" s="17"/>
      <c r="H146" s="17"/>
      <c r="Z146" s="22"/>
      <c r="AB146" s="22"/>
    </row>
    <row r="147" spans="1:28">
      <c r="A147" s="19"/>
      <c r="B147" s="12"/>
      <c r="C147" s="24"/>
      <c r="D147" s="12"/>
      <c r="E147" s="23"/>
      <c r="F147" s="17"/>
      <c r="G147" s="17"/>
      <c r="H147" s="17"/>
      <c r="Z147" s="22"/>
      <c r="AB147" s="22"/>
    </row>
    <row r="148" spans="1:28">
      <c r="A148" s="19"/>
      <c r="B148" s="12"/>
      <c r="C148" s="24"/>
      <c r="D148" s="12"/>
      <c r="E148" s="23"/>
      <c r="F148" s="17"/>
      <c r="G148" s="17"/>
      <c r="H148" s="17"/>
      <c r="Z148" s="22"/>
      <c r="AB148" s="22"/>
    </row>
    <row r="149" spans="1:28">
      <c r="A149" s="19"/>
      <c r="B149" s="12"/>
      <c r="C149" s="24"/>
      <c r="D149" s="12"/>
      <c r="E149" s="23"/>
      <c r="F149" s="17"/>
      <c r="G149" s="17"/>
      <c r="H149" s="17"/>
      <c r="Z149" s="22"/>
      <c r="AB149" s="22"/>
    </row>
    <row r="150" spans="1:28">
      <c r="A150" s="19"/>
      <c r="B150" s="12"/>
      <c r="C150" s="24"/>
      <c r="D150" s="12"/>
      <c r="E150" s="23"/>
      <c r="F150" s="17"/>
      <c r="G150" s="17"/>
      <c r="H150" s="17"/>
      <c r="Z150" s="22"/>
      <c r="AB150" s="22"/>
    </row>
    <row r="151" spans="1:28">
      <c r="A151" s="19"/>
      <c r="B151" s="12"/>
      <c r="C151" s="24"/>
      <c r="D151" s="12"/>
      <c r="E151" s="23"/>
      <c r="F151" s="17"/>
      <c r="G151" s="17"/>
      <c r="H151" s="17"/>
      <c r="Z151" s="22"/>
      <c r="AB151" s="22"/>
    </row>
    <row r="152" spans="1:28">
      <c r="A152" s="19"/>
      <c r="B152" s="12"/>
      <c r="C152" s="24"/>
      <c r="D152" s="12"/>
      <c r="E152" s="23"/>
      <c r="F152" s="17"/>
      <c r="G152" s="17"/>
      <c r="H152" s="17"/>
      <c r="Z152" s="22"/>
      <c r="AB152" s="22"/>
    </row>
    <row r="153" spans="1:28">
      <c r="A153" s="19"/>
      <c r="B153" s="12"/>
      <c r="C153" s="24"/>
      <c r="D153" s="12"/>
      <c r="E153" s="23"/>
      <c r="F153" s="17"/>
      <c r="G153" s="17"/>
      <c r="H153" s="17"/>
      <c r="Z153" s="22"/>
      <c r="AB153" s="22"/>
    </row>
    <row r="154" spans="1:28">
      <c r="A154" s="19"/>
      <c r="B154" s="12"/>
      <c r="C154" s="24"/>
      <c r="D154" s="12"/>
      <c r="E154" s="23"/>
      <c r="F154" s="17"/>
      <c r="G154" s="17"/>
      <c r="H154" s="17"/>
      <c r="Z154" s="22"/>
      <c r="AB154" s="22"/>
    </row>
    <row r="155" spans="1:28">
      <c r="A155" s="19"/>
      <c r="B155" s="12"/>
      <c r="C155" s="24"/>
      <c r="D155" s="12"/>
      <c r="E155" s="23"/>
      <c r="F155" s="17"/>
      <c r="G155" s="17"/>
      <c r="H155" s="17"/>
      <c r="Z155" s="22"/>
      <c r="AB155" s="22"/>
    </row>
    <row r="156" spans="1:28">
      <c r="A156" s="19"/>
      <c r="B156" s="12"/>
      <c r="C156" s="24"/>
      <c r="D156" s="12"/>
      <c r="E156" s="23"/>
      <c r="F156" s="17"/>
      <c r="G156" s="17"/>
      <c r="H156" s="17"/>
      <c r="Z156" s="22"/>
      <c r="AB156" s="22"/>
    </row>
    <row r="157" spans="1:28">
      <c r="A157" s="19"/>
      <c r="B157" s="12"/>
      <c r="C157" s="24"/>
      <c r="D157" s="12"/>
      <c r="E157" s="23"/>
      <c r="F157" s="17"/>
      <c r="G157" s="17"/>
      <c r="H157" s="17"/>
      <c r="Z157" s="22"/>
      <c r="AB157" s="22"/>
    </row>
    <row r="158" spans="1:28">
      <c r="A158" s="19"/>
      <c r="B158" s="12"/>
      <c r="C158" s="24"/>
      <c r="D158" s="12"/>
      <c r="E158" s="23"/>
      <c r="F158" s="17"/>
      <c r="G158" s="17"/>
      <c r="H158" s="17"/>
      <c r="Z158" s="22"/>
      <c r="AB158" s="22"/>
    </row>
    <row r="159" spans="1:28">
      <c r="A159" s="19"/>
      <c r="B159" s="12"/>
      <c r="C159" s="24"/>
      <c r="D159" s="12"/>
      <c r="E159" s="23"/>
      <c r="F159" s="17"/>
      <c r="G159" s="17"/>
      <c r="H159" s="17"/>
      <c r="Z159" s="22"/>
      <c r="AB159" s="22"/>
    </row>
    <row r="160" spans="1:28">
      <c r="A160" s="19"/>
      <c r="B160" s="12"/>
      <c r="C160" s="24"/>
      <c r="D160" s="12"/>
      <c r="E160" s="23"/>
      <c r="F160" s="17"/>
      <c r="G160" s="17"/>
      <c r="H160" s="17"/>
      <c r="Z160" s="22"/>
      <c r="AB160" s="22"/>
    </row>
    <row r="161" spans="1:28">
      <c r="A161" s="19"/>
      <c r="B161" s="12"/>
      <c r="C161" s="24"/>
      <c r="D161" s="12"/>
      <c r="E161" s="23"/>
      <c r="F161" s="17"/>
      <c r="G161" s="17"/>
      <c r="H161" s="17"/>
      <c r="Z161" s="22"/>
      <c r="AB161" s="22"/>
    </row>
    <row r="162" spans="1:28">
      <c r="A162" s="19"/>
      <c r="B162" s="12"/>
      <c r="C162" s="24"/>
      <c r="D162" s="12"/>
      <c r="E162" s="23"/>
      <c r="F162" s="17"/>
      <c r="G162" s="17"/>
      <c r="H162" s="17"/>
      <c r="Z162" s="22"/>
      <c r="AB162" s="22"/>
    </row>
    <row r="163" spans="1:28">
      <c r="A163" s="19"/>
      <c r="B163" s="12"/>
      <c r="C163" s="24"/>
      <c r="D163" s="12"/>
      <c r="E163" s="23"/>
      <c r="F163" s="17"/>
      <c r="G163" s="17"/>
      <c r="H163" s="17"/>
      <c r="Z163" s="22"/>
      <c r="AB163" s="22"/>
    </row>
    <row r="164" spans="1:28">
      <c r="A164" s="19"/>
      <c r="B164" s="12"/>
      <c r="C164" s="24"/>
      <c r="D164" s="12"/>
      <c r="E164" s="23"/>
      <c r="F164" s="17"/>
      <c r="G164" s="17"/>
      <c r="H164" s="17"/>
      <c r="Z164" s="22"/>
      <c r="AB164" s="22"/>
    </row>
    <row r="165" spans="1:28">
      <c r="A165" s="19"/>
      <c r="B165" s="12"/>
      <c r="C165" s="24"/>
      <c r="D165" s="12"/>
      <c r="E165" s="23"/>
      <c r="F165" s="17"/>
      <c r="G165" s="17"/>
      <c r="H165" s="17"/>
      <c r="Z165" s="22"/>
      <c r="AB165" s="22"/>
    </row>
    <row r="166" spans="1:28">
      <c r="A166" s="19"/>
      <c r="B166" s="12"/>
      <c r="C166" s="24"/>
      <c r="D166" s="12"/>
      <c r="E166" s="23"/>
      <c r="F166" s="17"/>
      <c r="G166" s="17"/>
      <c r="H166" s="17"/>
      <c r="Z166" s="22"/>
      <c r="AB166" s="22"/>
    </row>
    <row r="167" spans="1:28">
      <c r="A167" s="19"/>
      <c r="B167" s="12"/>
      <c r="C167" s="24"/>
      <c r="D167" s="12"/>
      <c r="E167" s="23"/>
      <c r="F167" s="17"/>
      <c r="G167" s="17"/>
      <c r="H167" s="17"/>
      <c r="Z167" s="22"/>
      <c r="AB167" s="22"/>
    </row>
    <row r="168" spans="1:28">
      <c r="A168" s="19"/>
      <c r="B168" s="12"/>
      <c r="C168" s="24"/>
      <c r="D168" s="12"/>
      <c r="E168" s="23"/>
      <c r="F168" s="17"/>
      <c r="G168" s="17"/>
      <c r="H168" s="17"/>
      <c r="Z168" s="22"/>
      <c r="AB168" s="22"/>
    </row>
    <row r="169" spans="1:28">
      <c r="A169" s="19"/>
      <c r="B169" s="12"/>
      <c r="C169" s="24"/>
      <c r="D169" s="12"/>
      <c r="E169" s="23"/>
      <c r="F169" s="17"/>
      <c r="G169" s="17"/>
      <c r="H169" s="17"/>
      <c r="Z169" s="22"/>
      <c r="AB169" s="22"/>
    </row>
    <row r="170" spans="1:28">
      <c r="A170" s="19"/>
      <c r="B170" s="12"/>
      <c r="C170" s="24"/>
      <c r="D170" s="12"/>
      <c r="E170" s="23"/>
      <c r="F170" s="17"/>
      <c r="G170" s="17"/>
      <c r="H170" s="17"/>
      <c r="Z170" s="22"/>
      <c r="AB170" s="22"/>
    </row>
    <row r="171" spans="1:28">
      <c r="A171" s="19"/>
      <c r="B171" s="12"/>
      <c r="C171" s="24"/>
      <c r="D171" s="12"/>
      <c r="E171" s="23"/>
      <c r="F171" s="17"/>
      <c r="G171" s="17"/>
      <c r="H171" s="17"/>
      <c r="Z171" s="22"/>
      <c r="AB171" s="22"/>
    </row>
    <row r="172" spans="1:28">
      <c r="A172" s="19"/>
      <c r="B172" s="12"/>
      <c r="C172" s="24"/>
      <c r="D172" s="12"/>
      <c r="E172" s="23"/>
      <c r="F172" s="17"/>
      <c r="G172" s="17"/>
      <c r="H172" s="17"/>
      <c r="Z172" s="22"/>
      <c r="AB172" s="22"/>
    </row>
    <row r="173" spans="1:28">
      <c r="A173" s="19"/>
      <c r="B173" s="12"/>
      <c r="C173" s="24"/>
      <c r="D173" s="12"/>
      <c r="E173" s="23"/>
      <c r="F173" s="17"/>
      <c r="G173" s="17"/>
      <c r="H173" s="17"/>
      <c r="Z173" s="22"/>
      <c r="AB173" s="22"/>
    </row>
    <row r="174" spans="1:28">
      <c r="A174" s="19"/>
      <c r="B174" s="12"/>
      <c r="C174" s="24"/>
      <c r="D174" s="12"/>
      <c r="E174" s="23"/>
      <c r="F174" s="17"/>
      <c r="G174" s="17"/>
      <c r="H174" s="17"/>
      <c r="Z174" s="22"/>
      <c r="AB174" s="22"/>
    </row>
    <row r="175" spans="1:28">
      <c r="A175" s="19"/>
      <c r="B175" s="12"/>
      <c r="C175" s="24"/>
      <c r="D175" s="12"/>
      <c r="E175" s="23"/>
      <c r="F175" s="17"/>
      <c r="G175" s="17"/>
      <c r="H175" s="17"/>
      <c r="Z175" s="22"/>
      <c r="AB175" s="22"/>
    </row>
    <row r="176" spans="1:28">
      <c r="A176" s="19"/>
      <c r="B176" s="12"/>
      <c r="C176" s="24"/>
      <c r="D176" s="12"/>
      <c r="E176" s="23"/>
      <c r="F176" s="17"/>
      <c r="G176" s="17"/>
      <c r="H176" s="17"/>
      <c r="Z176" s="22"/>
      <c r="AB176" s="22"/>
    </row>
    <row r="177" spans="1:28">
      <c r="A177" s="19"/>
      <c r="B177" s="12"/>
      <c r="C177" s="24"/>
      <c r="D177" s="12"/>
      <c r="E177" s="23"/>
      <c r="F177" s="17"/>
      <c r="G177" s="17"/>
      <c r="H177" s="17"/>
      <c r="Z177" s="22"/>
      <c r="AB177" s="22"/>
    </row>
    <row r="178" spans="1:28">
      <c r="A178" s="19"/>
      <c r="B178" s="12"/>
      <c r="C178" s="24"/>
      <c r="D178" s="12"/>
      <c r="E178" s="23"/>
      <c r="F178" s="17"/>
      <c r="G178" s="17"/>
      <c r="H178" s="17"/>
      <c r="Z178" s="22"/>
      <c r="AB178" s="22"/>
    </row>
    <row r="179" spans="1:28">
      <c r="A179" s="19"/>
      <c r="B179" s="12"/>
      <c r="C179" s="24"/>
      <c r="D179" s="12"/>
      <c r="E179" s="23"/>
      <c r="F179" s="17"/>
      <c r="G179" s="17"/>
      <c r="H179" s="17"/>
      <c r="Z179" s="22"/>
      <c r="AB179" s="22"/>
    </row>
    <row r="180" spans="1:28">
      <c r="A180" s="19"/>
      <c r="B180" s="12"/>
      <c r="C180" s="24"/>
      <c r="D180" s="12"/>
      <c r="E180" s="23"/>
      <c r="F180" s="17"/>
      <c r="G180" s="17"/>
      <c r="H180" s="17"/>
      <c r="Z180" s="22"/>
      <c r="AB180" s="22"/>
    </row>
    <row r="181" spans="1:28">
      <c r="A181" s="19"/>
      <c r="B181" s="12"/>
      <c r="C181" s="24"/>
      <c r="D181" s="12"/>
      <c r="E181" s="23"/>
      <c r="F181" s="17"/>
      <c r="G181" s="17"/>
      <c r="H181" s="17"/>
      <c r="Z181" s="22"/>
      <c r="AB181" s="22"/>
    </row>
    <row r="182" spans="1:28">
      <c r="A182" s="19"/>
      <c r="B182" s="12"/>
      <c r="C182" s="24"/>
      <c r="D182" s="12"/>
      <c r="E182" s="23"/>
      <c r="F182" s="17"/>
      <c r="G182" s="17"/>
      <c r="H182" s="17"/>
      <c r="Z182" s="22"/>
      <c r="AB182" s="22"/>
    </row>
    <row r="183" spans="1:28">
      <c r="A183" s="19"/>
      <c r="B183" s="12"/>
      <c r="C183" s="24"/>
      <c r="D183" s="12"/>
      <c r="E183" s="23"/>
      <c r="F183" s="17"/>
      <c r="G183" s="17"/>
      <c r="H183" s="17"/>
      <c r="Z183" s="22"/>
      <c r="AB183" s="22"/>
    </row>
    <row r="184" spans="1:28">
      <c r="A184" s="19"/>
      <c r="B184" s="12"/>
      <c r="C184" s="24"/>
      <c r="D184" s="12"/>
      <c r="E184" s="23"/>
      <c r="F184" s="17"/>
      <c r="G184" s="17"/>
      <c r="H184" s="17"/>
      <c r="Z184" s="22"/>
      <c r="AB184" s="22"/>
    </row>
    <row r="185" spans="1:28">
      <c r="A185" s="19"/>
      <c r="B185" s="12"/>
      <c r="C185" s="24"/>
      <c r="D185" s="12"/>
      <c r="E185" s="23"/>
      <c r="F185" s="17"/>
      <c r="G185" s="17"/>
      <c r="H185" s="17"/>
      <c r="Z185" s="22"/>
      <c r="AB185" s="22"/>
    </row>
    <row r="186" spans="1:28">
      <c r="A186" s="19"/>
      <c r="B186" s="12"/>
      <c r="C186" s="24"/>
      <c r="D186" s="12"/>
      <c r="E186" s="23"/>
      <c r="F186" s="17"/>
      <c r="G186" s="17"/>
      <c r="H186" s="17"/>
      <c r="Z186" s="22"/>
      <c r="AB186" s="22"/>
    </row>
    <row r="187" spans="1:28">
      <c r="A187" s="19"/>
      <c r="B187" s="12"/>
      <c r="C187" s="24"/>
      <c r="D187" s="12"/>
      <c r="E187" s="23"/>
      <c r="F187" s="17"/>
      <c r="G187" s="17"/>
      <c r="H187" s="17"/>
      <c r="Z187" s="22"/>
      <c r="AB187" s="22"/>
    </row>
    <row r="188" spans="1:28">
      <c r="A188" s="19"/>
      <c r="B188" s="12"/>
      <c r="C188" s="24"/>
      <c r="D188" s="12"/>
      <c r="E188" s="23"/>
      <c r="F188" s="17"/>
      <c r="G188" s="17"/>
      <c r="H188" s="17"/>
      <c r="Z188" s="22"/>
      <c r="AB188" s="22"/>
    </row>
    <row r="189" spans="1:28">
      <c r="A189" s="19"/>
      <c r="B189" s="12"/>
      <c r="C189" s="24"/>
      <c r="D189" s="12"/>
      <c r="E189" s="23"/>
      <c r="F189" s="17"/>
      <c r="G189" s="17"/>
      <c r="H189" s="17"/>
      <c r="Z189" s="22"/>
      <c r="AB189" s="22"/>
    </row>
    <row r="190" spans="1:28">
      <c r="A190" s="19"/>
      <c r="B190" s="12"/>
      <c r="C190" s="24"/>
      <c r="D190" s="12"/>
      <c r="E190" s="23"/>
      <c r="F190" s="17"/>
      <c r="G190" s="17"/>
      <c r="H190" s="17"/>
      <c r="Z190" s="22"/>
      <c r="AB190" s="22"/>
    </row>
    <row r="191" spans="1:28">
      <c r="A191" s="19"/>
      <c r="B191" s="12"/>
      <c r="C191" s="24"/>
      <c r="D191" s="12"/>
      <c r="E191" s="23"/>
      <c r="F191" s="17"/>
      <c r="G191" s="17"/>
      <c r="H191" s="17"/>
      <c r="Z191" s="22"/>
      <c r="AB191" s="22"/>
    </row>
    <row r="192" spans="1:28">
      <c r="A192" s="19"/>
      <c r="B192" s="12"/>
      <c r="C192" s="24"/>
      <c r="D192" s="12"/>
      <c r="E192" s="23"/>
      <c r="F192" s="17"/>
      <c r="G192" s="17"/>
      <c r="H192" s="17"/>
      <c r="Z192" s="22"/>
      <c r="AB192" s="22"/>
    </row>
    <row r="193" spans="1:28">
      <c r="A193" s="19"/>
      <c r="B193" s="12"/>
      <c r="C193" s="24"/>
      <c r="D193" s="12"/>
      <c r="E193" s="23"/>
      <c r="F193" s="17"/>
      <c r="G193" s="17"/>
      <c r="H193" s="17"/>
      <c r="Z193" s="22"/>
      <c r="AB193" s="22"/>
    </row>
    <row r="194" spans="1:28">
      <c r="A194" s="19"/>
      <c r="B194" s="12"/>
      <c r="C194" s="24"/>
      <c r="D194" s="12"/>
      <c r="E194" s="23"/>
      <c r="F194" s="17"/>
      <c r="G194" s="17"/>
      <c r="H194" s="17"/>
      <c r="Z194" s="22"/>
      <c r="AB194" s="22"/>
    </row>
    <row r="195" spans="1:28">
      <c r="A195" s="19"/>
      <c r="B195" s="12"/>
      <c r="C195" s="24"/>
      <c r="D195" s="12"/>
      <c r="E195" s="23"/>
      <c r="F195" s="17"/>
      <c r="G195" s="17"/>
      <c r="H195" s="17"/>
      <c r="Z195" s="22"/>
      <c r="AB195" s="22"/>
    </row>
    <row r="196" spans="1:28">
      <c r="A196" s="19"/>
      <c r="B196" s="12"/>
      <c r="C196" s="24"/>
      <c r="D196" s="12"/>
      <c r="E196" s="23"/>
      <c r="F196" s="17"/>
      <c r="G196" s="17"/>
      <c r="H196" s="17"/>
      <c r="Z196" s="22"/>
      <c r="AB196" s="22"/>
    </row>
    <row r="197" spans="1:28">
      <c r="A197" s="19"/>
      <c r="B197" s="12"/>
      <c r="C197" s="24"/>
      <c r="D197" s="12"/>
      <c r="E197" s="23"/>
      <c r="F197" s="17"/>
      <c r="G197" s="17"/>
      <c r="H197" s="17"/>
      <c r="Z197" s="22"/>
      <c r="AB197" s="22"/>
    </row>
    <row r="198" spans="1:28">
      <c r="A198" s="19"/>
      <c r="B198" s="12"/>
      <c r="C198" s="24"/>
      <c r="D198" s="12"/>
      <c r="E198" s="23"/>
      <c r="F198" s="17"/>
      <c r="G198" s="17"/>
      <c r="H198" s="17"/>
      <c r="Z198" s="22"/>
      <c r="AB198" s="22"/>
    </row>
    <row r="199" spans="1:28">
      <c r="A199" s="19"/>
      <c r="B199" s="12"/>
      <c r="C199" s="24"/>
      <c r="D199" s="12"/>
      <c r="E199" s="23"/>
      <c r="F199" s="17"/>
      <c r="G199" s="17"/>
      <c r="H199" s="17"/>
      <c r="Z199" s="22"/>
      <c r="AB199" s="22"/>
    </row>
    <row r="200" spans="1:28">
      <c r="A200" s="19"/>
      <c r="B200" s="12"/>
      <c r="C200" s="24"/>
      <c r="D200" s="12"/>
      <c r="E200" s="23"/>
      <c r="F200" s="17"/>
      <c r="G200" s="17"/>
      <c r="H200" s="17"/>
      <c r="Z200" s="22"/>
      <c r="AB200" s="22"/>
    </row>
    <row r="201" spans="1:28">
      <c r="A201" s="19"/>
      <c r="B201" s="12"/>
      <c r="C201" s="24"/>
      <c r="D201" s="12"/>
      <c r="E201" s="23"/>
      <c r="F201" s="17"/>
      <c r="G201" s="17"/>
      <c r="H201" s="17"/>
      <c r="Z201" s="22"/>
      <c r="AB201" s="22"/>
    </row>
    <row r="202" spans="1:28">
      <c r="A202" s="19"/>
      <c r="B202" s="12"/>
      <c r="C202" s="24"/>
      <c r="D202" s="12"/>
      <c r="E202" s="23"/>
      <c r="F202" s="17"/>
      <c r="G202" s="17"/>
      <c r="H202" s="17"/>
      <c r="Z202" s="22"/>
      <c r="AB202" s="22"/>
    </row>
    <row r="203" spans="1:28">
      <c r="A203" s="19"/>
      <c r="B203" s="12"/>
      <c r="C203" s="24"/>
      <c r="D203" s="12"/>
      <c r="E203" s="23"/>
      <c r="F203" s="17"/>
      <c r="G203" s="17"/>
      <c r="H203" s="17"/>
      <c r="Z203" s="22"/>
      <c r="AB203" s="22"/>
    </row>
    <row r="204" spans="1:28">
      <c r="A204" s="19"/>
      <c r="B204" s="12"/>
      <c r="C204" s="24"/>
      <c r="D204" s="12"/>
      <c r="E204" s="23"/>
      <c r="F204" s="17"/>
      <c r="G204" s="17"/>
      <c r="H204" s="17"/>
      <c r="Z204" s="22"/>
      <c r="AB204" s="22"/>
    </row>
    <row r="205" spans="1:28">
      <c r="A205" s="19"/>
      <c r="B205" s="12"/>
      <c r="C205" s="24"/>
      <c r="D205" s="12"/>
      <c r="E205" s="23"/>
      <c r="F205" s="17"/>
      <c r="G205" s="17"/>
      <c r="H205" s="17"/>
      <c r="Z205" s="22"/>
      <c r="AB205" s="22"/>
    </row>
    <row r="206" spans="1:28">
      <c r="A206" s="19"/>
      <c r="B206" s="12"/>
      <c r="C206" s="24"/>
      <c r="D206" s="12"/>
      <c r="E206" s="23"/>
      <c r="F206" s="17"/>
      <c r="G206" s="17"/>
      <c r="H206" s="17"/>
      <c r="Z206" s="22"/>
      <c r="AB206" s="22"/>
    </row>
    <row r="207" spans="1:28">
      <c r="A207" s="19"/>
      <c r="B207" s="12"/>
      <c r="C207" s="24"/>
      <c r="D207" s="12"/>
      <c r="E207" s="23"/>
      <c r="F207" s="17"/>
      <c r="G207" s="17"/>
      <c r="H207" s="17"/>
      <c r="Z207" s="22"/>
      <c r="AB207" s="22"/>
    </row>
    <row r="208" spans="1:28">
      <c r="A208" s="19"/>
      <c r="B208" s="12"/>
      <c r="C208" s="24"/>
      <c r="D208" s="12"/>
      <c r="E208" s="23"/>
      <c r="F208" s="17"/>
      <c r="G208" s="17"/>
      <c r="H208" s="17"/>
      <c r="Z208" s="22"/>
      <c r="AB208" s="22"/>
    </row>
    <row r="209" spans="1:28">
      <c r="A209" s="19"/>
      <c r="B209" s="12"/>
      <c r="C209" s="24"/>
      <c r="D209" s="12"/>
      <c r="E209" s="23"/>
      <c r="F209" s="17"/>
      <c r="G209" s="17"/>
      <c r="H209" s="17"/>
      <c r="Z209" s="22"/>
      <c r="AB209" s="22"/>
    </row>
    <row r="210" spans="1:28">
      <c r="A210" s="19"/>
      <c r="B210" s="12"/>
      <c r="C210" s="24"/>
      <c r="D210" s="12"/>
      <c r="E210" s="23"/>
      <c r="F210" s="17"/>
      <c r="G210" s="17"/>
      <c r="H210" s="17"/>
      <c r="Z210" s="22"/>
      <c r="AB210" s="22"/>
    </row>
    <row r="211" spans="1:28">
      <c r="A211" s="19"/>
      <c r="B211" s="12"/>
      <c r="C211" s="24"/>
      <c r="D211" s="12"/>
      <c r="E211" s="23"/>
      <c r="F211" s="17"/>
      <c r="G211" s="17"/>
      <c r="H211" s="17"/>
      <c r="Z211" s="22"/>
      <c r="AB211" s="22"/>
    </row>
    <row r="212" spans="1:28">
      <c r="A212" s="19"/>
      <c r="B212" s="12"/>
      <c r="C212" s="24"/>
      <c r="D212" s="12"/>
      <c r="E212" s="23"/>
      <c r="F212" s="17"/>
      <c r="G212" s="17"/>
      <c r="H212" s="17"/>
      <c r="Z212" s="22"/>
      <c r="AB212" s="22"/>
    </row>
    <row r="213" spans="1:28">
      <c r="A213" s="19"/>
      <c r="B213" s="12"/>
      <c r="C213" s="24"/>
      <c r="D213" s="12"/>
      <c r="E213" s="23"/>
      <c r="F213" s="17"/>
      <c r="G213" s="17"/>
      <c r="H213" s="17"/>
      <c r="Z213" s="22"/>
      <c r="AB213" s="22"/>
    </row>
    <row r="214" spans="1:28">
      <c r="A214" s="19"/>
      <c r="B214" s="12"/>
      <c r="C214" s="24"/>
      <c r="D214" s="12"/>
      <c r="E214" s="23"/>
      <c r="F214" s="17"/>
      <c r="G214" s="17"/>
      <c r="H214" s="17"/>
      <c r="Z214" s="22"/>
      <c r="AB214" s="22"/>
    </row>
    <row r="215" spans="1:28">
      <c r="A215" s="19"/>
      <c r="B215" s="12"/>
      <c r="C215" s="24"/>
      <c r="D215" s="12"/>
      <c r="E215" s="23"/>
      <c r="F215" s="17"/>
      <c r="G215" s="17"/>
      <c r="H215" s="17"/>
      <c r="Z215" s="22"/>
      <c r="AB215" s="22"/>
    </row>
    <row r="216" spans="1:28">
      <c r="A216" s="19"/>
      <c r="B216" s="12"/>
      <c r="C216" s="24"/>
      <c r="D216" s="12"/>
      <c r="E216" s="23"/>
      <c r="F216" s="17"/>
      <c r="G216" s="17"/>
      <c r="H216" s="17"/>
      <c r="Z216" s="22"/>
      <c r="AB216" s="22"/>
    </row>
    <row r="217" spans="1:28">
      <c r="A217" s="19"/>
      <c r="B217" s="12"/>
      <c r="C217" s="24"/>
      <c r="D217" s="12"/>
      <c r="E217" s="23"/>
      <c r="F217" s="17"/>
      <c r="G217" s="17"/>
      <c r="H217" s="17"/>
      <c r="Z217" s="22"/>
      <c r="AB217" s="22"/>
    </row>
    <row r="218" spans="1:28">
      <c r="A218" s="19"/>
      <c r="B218" s="12"/>
      <c r="C218" s="24"/>
      <c r="D218" s="12"/>
      <c r="E218" s="23"/>
      <c r="F218" s="17"/>
      <c r="G218" s="17"/>
      <c r="H218" s="17"/>
      <c r="Z218" s="22"/>
      <c r="AB218" s="22"/>
    </row>
    <row r="219" spans="1:28">
      <c r="A219" s="19"/>
      <c r="B219" s="12"/>
      <c r="C219" s="24"/>
      <c r="D219" s="12"/>
      <c r="E219" s="23"/>
      <c r="F219" s="17"/>
      <c r="G219" s="17"/>
      <c r="H219" s="17"/>
      <c r="Z219" s="22"/>
      <c r="AB219" s="22"/>
    </row>
    <row r="220" spans="1:28">
      <c r="A220" s="19"/>
      <c r="B220" s="12"/>
      <c r="C220" s="24"/>
      <c r="D220" s="12"/>
      <c r="E220" s="23"/>
      <c r="F220" s="17"/>
      <c r="G220" s="17"/>
      <c r="H220" s="17"/>
      <c r="Z220" s="22"/>
      <c r="AB220" s="22"/>
    </row>
    <row r="221" spans="1:28">
      <c r="A221" s="19"/>
      <c r="B221" s="12"/>
      <c r="C221" s="24"/>
      <c r="D221" s="12"/>
      <c r="E221" s="23"/>
      <c r="F221" s="17"/>
      <c r="G221" s="17"/>
      <c r="H221" s="17"/>
      <c r="Z221" s="22"/>
      <c r="AB221" s="22"/>
    </row>
    <row r="222" spans="1:28">
      <c r="A222" s="19"/>
      <c r="B222" s="12"/>
      <c r="C222" s="24"/>
      <c r="D222" s="12"/>
      <c r="E222" s="23"/>
      <c r="F222" s="17"/>
      <c r="G222" s="17"/>
      <c r="H222" s="17"/>
      <c r="Z222" s="22"/>
      <c r="AB222" s="22"/>
    </row>
    <row r="223" spans="1:28">
      <c r="A223" s="19"/>
      <c r="B223" s="12"/>
      <c r="C223" s="24"/>
      <c r="D223" s="12"/>
      <c r="E223" s="23"/>
      <c r="F223" s="17"/>
      <c r="G223" s="17"/>
      <c r="H223" s="17"/>
      <c r="Z223" s="22"/>
      <c r="AB223" s="22"/>
    </row>
    <row r="224" spans="1:28">
      <c r="A224" s="19"/>
      <c r="B224" s="12"/>
      <c r="C224" s="24"/>
      <c r="D224" s="12"/>
      <c r="E224" s="23"/>
      <c r="F224" s="17"/>
      <c r="G224" s="17"/>
      <c r="H224" s="17"/>
      <c r="Z224" s="22"/>
      <c r="AB224" s="22"/>
    </row>
    <row r="225" spans="1:28">
      <c r="A225" s="19"/>
      <c r="B225" s="12"/>
      <c r="C225" s="24"/>
      <c r="D225" s="12"/>
      <c r="E225" s="23"/>
      <c r="F225" s="17"/>
      <c r="G225" s="17"/>
      <c r="H225" s="17"/>
      <c r="Z225" s="22"/>
      <c r="AB225" s="22"/>
    </row>
    <row r="226" spans="1:28">
      <c r="A226" s="19"/>
      <c r="B226" s="12"/>
      <c r="C226" s="24"/>
      <c r="D226" s="12"/>
      <c r="E226" s="23"/>
      <c r="F226" s="17"/>
      <c r="G226" s="17"/>
      <c r="H226" s="17"/>
      <c r="Z226" s="22"/>
      <c r="AB226" s="22"/>
    </row>
    <row r="227" spans="1:28">
      <c r="A227" s="19"/>
      <c r="B227" s="12"/>
      <c r="C227" s="24"/>
      <c r="D227" s="12"/>
      <c r="E227" s="23"/>
      <c r="F227" s="17"/>
      <c r="G227" s="17"/>
      <c r="H227" s="17"/>
      <c r="Z227" s="22"/>
      <c r="AB227" s="22"/>
    </row>
    <row r="228" spans="1:28">
      <c r="A228" s="19"/>
      <c r="B228" s="12"/>
      <c r="C228" s="24"/>
      <c r="D228" s="12"/>
      <c r="E228" s="23"/>
      <c r="F228" s="17"/>
      <c r="G228" s="17"/>
      <c r="H228" s="17"/>
      <c r="Z228" s="22"/>
      <c r="AB228" s="22"/>
    </row>
    <row r="229" spans="1:28">
      <c r="A229" s="19"/>
      <c r="B229" s="12"/>
      <c r="C229" s="24"/>
      <c r="D229" s="12"/>
      <c r="E229" s="23"/>
      <c r="F229" s="17"/>
      <c r="G229" s="17"/>
      <c r="H229" s="17"/>
      <c r="Z229" s="22"/>
      <c r="AB229" s="22"/>
    </row>
    <row r="230" spans="1:28">
      <c r="A230" s="19"/>
      <c r="B230" s="12"/>
      <c r="C230" s="24"/>
      <c r="D230" s="12"/>
      <c r="E230" s="23"/>
      <c r="F230" s="17"/>
      <c r="G230" s="17"/>
      <c r="H230" s="17"/>
      <c r="Z230" s="22"/>
      <c r="AB230" s="22"/>
    </row>
    <row r="231" spans="1:28">
      <c r="A231" s="19"/>
      <c r="B231" s="12"/>
      <c r="C231" s="24"/>
      <c r="D231" s="12"/>
      <c r="E231" s="23"/>
      <c r="F231" s="17"/>
      <c r="G231" s="17"/>
      <c r="H231" s="17"/>
      <c r="Z231" s="22"/>
      <c r="AB231" s="22"/>
    </row>
    <row r="232" spans="1:28">
      <c r="A232" s="19"/>
      <c r="B232" s="12"/>
      <c r="C232" s="24"/>
      <c r="D232" s="12"/>
      <c r="E232" s="23"/>
      <c r="F232" s="17"/>
      <c r="G232" s="17"/>
      <c r="H232" s="17"/>
      <c r="Z232" s="22"/>
      <c r="AB232" s="22"/>
    </row>
    <row r="233" spans="1:28">
      <c r="A233" s="19"/>
      <c r="B233" s="12"/>
      <c r="C233" s="24"/>
      <c r="D233" s="12"/>
      <c r="E233" s="23"/>
      <c r="F233" s="17"/>
      <c r="G233" s="17"/>
      <c r="H233" s="17"/>
      <c r="Z233" s="22"/>
      <c r="AB233" s="22"/>
    </row>
    <row r="234" spans="1:28">
      <c r="A234" s="19"/>
      <c r="B234" s="12"/>
      <c r="C234" s="24"/>
      <c r="D234" s="12"/>
      <c r="E234" s="23"/>
      <c r="F234" s="17"/>
      <c r="G234" s="17"/>
      <c r="H234" s="17"/>
      <c r="Z234" s="22"/>
      <c r="AB234" s="22"/>
    </row>
    <row r="235" spans="1:28">
      <c r="A235" s="19"/>
      <c r="B235" s="12"/>
      <c r="C235" s="24"/>
      <c r="D235" s="12"/>
      <c r="E235" s="23"/>
      <c r="F235" s="17"/>
      <c r="G235" s="17"/>
      <c r="H235" s="17"/>
      <c r="Z235" s="22"/>
      <c r="AB235" s="22"/>
    </row>
    <row r="236" spans="1:28">
      <c r="A236" s="19"/>
      <c r="B236" s="12"/>
      <c r="C236" s="24"/>
      <c r="D236" s="12"/>
      <c r="E236" s="23"/>
      <c r="F236" s="17"/>
      <c r="G236" s="17"/>
      <c r="H236" s="17"/>
      <c r="Z236" s="22"/>
      <c r="AB236" s="22"/>
    </row>
    <row r="237" spans="1:28">
      <c r="A237" s="19"/>
      <c r="B237" s="12"/>
      <c r="C237" s="24"/>
      <c r="D237" s="12"/>
      <c r="E237" s="23"/>
      <c r="F237" s="17"/>
      <c r="G237" s="17"/>
      <c r="H237" s="17"/>
      <c r="Z237" s="22"/>
      <c r="AB237" s="22"/>
    </row>
    <row r="238" spans="1:28">
      <c r="A238" s="19"/>
      <c r="B238" s="12"/>
      <c r="C238" s="24"/>
      <c r="D238" s="12"/>
      <c r="E238" s="23"/>
      <c r="F238" s="17"/>
      <c r="G238" s="17"/>
      <c r="H238" s="17"/>
      <c r="Z238" s="22"/>
      <c r="AB238" s="22"/>
    </row>
    <row r="239" spans="1:28">
      <c r="A239" s="19"/>
      <c r="B239" s="12"/>
      <c r="C239" s="24"/>
      <c r="D239" s="12"/>
      <c r="E239" s="23"/>
      <c r="F239" s="17"/>
      <c r="G239" s="17"/>
      <c r="H239" s="17"/>
      <c r="Z239" s="22"/>
      <c r="AB239" s="22"/>
    </row>
    <row r="240" spans="1:28">
      <c r="A240" s="19"/>
      <c r="B240" s="12"/>
      <c r="C240" s="24"/>
      <c r="D240" s="12"/>
      <c r="E240" s="23"/>
      <c r="F240" s="17"/>
      <c r="G240" s="17"/>
      <c r="H240" s="17"/>
      <c r="Z240" s="22"/>
      <c r="AB240" s="22"/>
    </row>
    <row r="241" spans="1:28">
      <c r="A241" s="19"/>
      <c r="B241" s="12"/>
      <c r="C241" s="24"/>
      <c r="D241" s="12"/>
      <c r="E241" s="23"/>
      <c r="F241" s="17"/>
      <c r="G241" s="17"/>
      <c r="H241" s="17"/>
      <c r="Z241" s="22"/>
      <c r="AB241" s="22"/>
    </row>
    <row r="242" spans="1:28">
      <c r="A242" s="19"/>
      <c r="B242" s="12"/>
      <c r="C242" s="24"/>
      <c r="D242" s="12"/>
      <c r="E242" s="23"/>
      <c r="F242" s="17"/>
      <c r="G242" s="17"/>
      <c r="H242" s="17"/>
      <c r="Z242" s="22"/>
      <c r="AB242" s="22"/>
    </row>
    <row r="243" spans="1:28">
      <c r="A243" s="19"/>
      <c r="B243" s="12"/>
      <c r="C243" s="24"/>
      <c r="D243" s="12"/>
      <c r="E243" s="23"/>
      <c r="F243" s="17"/>
      <c r="G243" s="17"/>
      <c r="H243" s="17"/>
      <c r="Z243" s="22"/>
      <c r="AB243" s="22"/>
    </row>
    <row r="244" spans="1:28">
      <c r="A244" s="19"/>
      <c r="B244" s="12"/>
      <c r="C244" s="24"/>
      <c r="D244" s="12"/>
      <c r="E244" s="23"/>
      <c r="F244" s="17"/>
      <c r="G244" s="17"/>
      <c r="H244" s="17"/>
      <c r="Z244" s="22"/>
      <c r="AB244" s="22"/>
    </row>
    <row r="245" spans="1:28">
      <c r="A245" s="19"/>
      <c r="B245" s="12"/>
      <c r="C245" s="24"/>
      <c r="D245" s="12"/>
      <c r="E245" s="23"/>
      <c r="F245" s="17"/>
      <c r="G245" s="17"/>
      <c r="H245" s="17"/>
      <c r="Z245" s="22"/>
      <c r="AB245" s="22"/>
    </row>
    <row r="246" spans="1:28">
      <c r="A246" s="19"/>
      <c r="B246" s="12"/>
      <c r="C246" s="24"/>
      <c r="D246" s="12"/>
      <c r="E246" s="23"/>
      <c r="F246" s="17"/>
      <c r="G246" s="17"/>
      <c r="H246" s="17"/>
      <c r="Z246" s="22"/>
      <c r="AB246" s="22"/>
    </row>
    <row r="247" spans="1:28">
      <c r="A247" s="19"/>
      <c r="B247" s="12"/>
      <c r="C247" s="24"/>
      <c r="D247" s="12"/>
      <c r="E247" s="23"/>
      <c r="F247" s="17"/>
      <c r="G247" s="17"/>
      <c r="H247" s="17"/>
      <c r="Z247" s="22"/>
      <c r="AB247" s="22"/>
    </row>
    <row r="248" spans="1:28">
      <c r="A248" s="19"/>
      <c r="B248" s="12"/>
      <c r="C248" s="24"/>
      <c r="D248" s="12"/>
      <c r="E248" s="23"/>
      <c r="F248" s="17"/>
      <c r="G248" s="17"/>
      <c r="H248" s="17"/>
      <c r="Z248" s="22"/>
      <c r="AB248" s="22"/>
    </row>
    <row r="249" spans="1:28">
      <c r="A249" s="19"/>
      <c r="B249" s="12"/>
      <c r="C249" s="24"/>
      <c r="D249" s="12"/>
      <c r="E249" s="23"/>
      <c r="F249" s="17"/>
      <c r="G249" s="17"/>
      <c r="H249" s="17"/>
      <c r="Z249" s="22"/>
      <c r="AB249" s="22"/>
    </row>
    <row r="250" spans="1:28">
      <c r="A250" s="19"/>
      <c r="B250" s="12"/>
      <c r="C250" s="24"/>
      <c r="D250" s="12"/>
      <c r="E250" s="23"/>
      <c r="F250" s="17"/>
      <c r="G250" s="17"/>
      <c r="H250" s="17"/>
      <c r="Z250" s="22"/>
      <c r="AB250" s="22"/>
    </row>
    <row r="251" spans="1:28">
      <c r="A251" s="19"/>
      <c r="B251" s="12"/>
      <c r="C251" s="24"/>
      <c r="D251" s="12"/>
      <c r="E251" s="23"/>
      <c r="F251" s="17"/>
      <c r="G251" s="17"/>
      <c r="H251" s="17"/>
      <c r="Z251" s="22"/>
      <c r="AB251" s="22"/>
    </row>
    <row r="252" spans="1:28">
      <c r="A252" s="19"/>
      <c r="B252" s="12"/>
      <c r="C252" s="24"/>
      <c r="D252" s="12"/>
      <c r="E252" s="23"/>
      <c r="F252" s="17"/>
      <c r="G252" s="17"/>
      <c r="H252" s="17"/>
      <c r="Z252" s="22"/>
      <c r="AB252" s="22"/>
    </row>
    <row r="253" spans="1:28">
      <c r="A253" s="19"/>
      <c r="B253" s="12"/>
      <c r="C253" s="24"/>
      <c r="D253" s="12"/>
      <c r="E253" s="23"/>
      <c r="F253" s="17"/>
      <c r="G253" s="17"/>
      <c r="H253" s="17"/>
      <c r="Z253" s="22"/>
      <c r="AB253" s="22"/>
    </row>
    <row r="254" spans="1:28">
      <c r="A254" s="19"/>
      <c r="B254" s="12"/>
      <c r="C254" s="24"/>
      <c r="D254" s="12"/>
      <c r="E254" s="23"/>
      <c r="F254" s="17"/>
      <c r="G254" s="17"/>
      <c r="H254" s="17"/>
      <c r="Z254" s="22"/>
      <c r="AB254" s="22"/>
    </row>
    <row r="255" spans="1:28">
      <c r="A255" s="19"/>
      <c r="B255" s="12"/>
      <c r="C255" s="24"/>
      <c r="D255" s="12"/>
      <c r="E255" s="23"/>
      <c r="F255" s="17"/>
      <c r="G255" s="17"/>
      <c r="H255" s="17"/>
      <c r="Z255" s="22"/>
      <c r="AB255" s="22"/>
    </row>
    <row r="256" spans="1:28">
      <c r="A256" s="19"/>
      <c r="B256" s="12"/>
      <c r="C256" s="24"/>
      <c r="D256" s="12"/>
      <c r="E256" s="23"/>
      <c r="F256" s="17"/>
      <c r="G256" s="17"/>
      <c r="H256" s="17"/>
      <c r="Z256" s="22"/>
      <c r="AB256" s="22"/>
    </row>
    <row r="257" spans="1:28">
      <c r="A257" s="19"/>
      <c r="B257" s="12"/>
      <c r="C257" s="24"/>
      <c r="D257" s="12"/>
      <c r="E257" s="23"/>
      <c r="F257" s="17"/>
      <c r="G257" s="17"/>
      <c r="H257" s="17"/>
      <c r="Z257" s="22"/>
      <c r="AB257" s="22"/>
    </row>
    <row r="258" spans="1:28">
      <c r="A258" s="19"/>
      <c r="B258" s="12"/>
      <c r="C258" s="24"/>
      <c r="D258" s="12"/>
      <c r="E258" s="23"/>
      <c r="F258" s="17"/>
      <c r="G258" s="17"/>
      <c r="H258" s="17"/>
      <c r="Z258" s="22"/>
      <c r="AB258" s="22"/>
    </row>
    <row r="259" spans="1:28">
      <c r="A259" s="19"/>
      <c r="B259" s="12"/>
      <c r="C259" s="24"/>
      <c r="D259" s="12"/>
      <c r="E259" s="23"/>
      <c r="F259" s="17"/>
      <c r="G259" s="17"/>
      <c r="H259" s="17"/>
      <c r="Z259" s="22"/>
      <c r="AB259" s="22"/>
    </row>
    <row r="260" spans="1:28">
      <c r="A260" s="19"/>
      <c r="B260" s="12"/>
      <c r="C260" s="24"/>
      <c r="D260" s="12"/>
      <c r="E260" s="23"/>
      <c r="F260" s="17"/>
      <c r="G260" s="17"/>
      <c r="H260" s="17"/>
      <c r="Z260" s="22"/>
      <c r="AB260" s="22"/>
    </row>
    <row r="261" spans="1:28">
      <c r="A261" s="19"/>
      <c r="B261" s="12"/>
      <c r="C261" s="24"/>
      <c r="D261" s="12"/>
      <c r="E261" s="23"/>
      <c r="F261" s="17"/>
      <c r="G261" s="17"/>
      <c r="H261" s="17"/>
      <c r="Z261" s="22"/>
      <c r="AB261" s="22"/>
    </row>
    <row r="262" spans="1:28">
      <c r="A262" s="19"/>
      <c r="B262" s="12"/>
      <c r="C262" s="24"/>
      <c r="D262" s="12"/>
      <c r="E262" s="23"/>
      <c r="F262" s="17"/>
      <c r="G262" s="17"/>
      <c r="H262" s="17"/>
      <c r="Z262" s="22"/>
      <c r="AB262" s="22"/>
    </row>
    <row r="263" spans="1:28">
      <c r="A263" s="19"/>
      <c r="B263" s="12"/>
      <c r="C263" s="24"/>
      <c r="D263" s="12"/>
      <c r="E263" s="23"/>
      <c r="F263" s="17"/>
      <c r="G263" s="17"/>
      <c r="H263" s="17"/>
      <c r="Z263" s="22"/>
      <c r="AB263" s="22"/>
    </row>
    <row r="264" spans="1:28">
      <c r="A264" s="19"/>
      <c r="B264" s="12"/>
      <c r="C264" s="24"/>
      <c r="D264" s="12"/>
      <c r="E264" s="23"/>
      <c r="F264" s="17"/>
      <c r="G264" s="17"/>
      <c r="H264" s="17"/>
      <c r="Z264" s="22"/>
      <c r="AB264" s="22"/>
    </row>
    <row r="265" spans="1:28">
      <c r="A265" s="19"/>
      <c r="B265" s="12"/>
      <c r="C265" s="24"/>
      <c r="D265" s="12"/>
      <c r="E265" s="23"/>
      <c r="F265" s="17"/>
      <c r="G265" s="17"/>
      <c r="H265" s="17"/>
      <c r="Z265" s="22"/>
      <c r="AB265" s="22"/>
    </row>
    <row r="266" spans="1:28">
      <c r="A266" s="19"/>
      <c r="B266" s="12"/>
      <c r="C266" s="24"/>
      <c r="D266" s="12"/>
      <c r="E266" s="23"/>
      <c r="F266" s="17"/>
      <c r="G266" s="17"/>
      <c r="H266" s="17"/>
      <c r="Z266" s="22"/>
      <c r="AB266" s="22"/>
    </row>
    <row r="267" spans="1:28">
      <c r="A267" s="19"/>
      <c r="B267" s="12"/>
      <c r="C267" s="24"/>
      <c r="D267" s="12"/>
      <c r="E267" s="23"/>
      <c r="F267" s="17"/>
      <c r="G267" s="17"/>
      <c r="H267" s="17"/>
      <c r="Z267" s="22"/>
      <c r="AB267" s="22"/>
    </row>
    <row r="268" spans="1:28">
      <c r="A268" s="19"/>
      <c r="B268" s="12"/>
      <c r="C268" s="24"/>
      <c r="D268" s="12"/>
      <c r="E268" s="23"/>
      <c r="F268" s="17"/>
      <c r="G268" s="17"/>
      <c r="H268" s="17"/>
      <c r="Z268" s="22"/>
      <c r="AB268" s="22"/>
    </row>
    <row r="269" spans="1:28">
      <c r="A269" s="19"/>
      <c r="B269" s="12"/>
      <c r="C269" s="24"/>
      <c r="D269" s="12"/>
      <c r="E269" s="23"/>
      <c r="F269" s="17"/>
      <c r="G269" s="17"/>
      <c r="H269" s="17"/>
      <c r="Z269" s="22"/>
      <c r="AB269" s="22"/>
    </row>
    <row r="270" spans="1:28">
      <c r="A270" s="19"/>
      <c r="B270" s="12"/>
      <c r="C270" s="24"/>
      <c r="D270" s="12"/>
      <c r="E270" s="23"/>
      <c r="F270" s="17"/>
      <c r="G270" s="17"/>
      <c r="H270" s="17"/>
      <c r="Z270" s="22"/>
      <c r="AB270" s="22"/>
    </row>
    <row r="271" spans="1:28">
      <c r="A271" s="19"/>
      <c r="B271" s="12"/>
      <c r="C271" s="24"/>
      <c r="D271" s="12"/>
      <c r="E271" s="23"/>
      <c r="F271" s="17"/>
      <c r="G271" s="17"/>
      <c r="H271" s="17"/>
      <c r="Z271" s="22"/>
      <c r="AB271" s="22"/>
    </row>
    <row r="272" spans="1:28">
      <c r="A272" s="19"/>
      <c r="B272" s="12"/>
      <c r="C272" s="24"/>
      <c r="D272" s="12"/>
      <c r="E272" s="23"/>
      <c r="F272" s="17"/>
      <c r="G272" s="17"/>
      <c r="H272" s="17"/>
      <c r="Z272" s="22"/>
      <c r="AB272" s="22"/>
    </row>
    <row r="273" spans="1:28">
      <c r="A273" s="19"/>
      <c r="B273" s="12"/>
      <c r="C273" s="24"/>
      <c r="D273" s="12"/>
      <c r="E273" s="23"/>
      <c r="F273" s="17"/>
      <c r="G273" s="17"/>
      <c r="H273" s="17"/>
      <c r="Z273" s="22"/>
      <c r="AB273" s="22"/>
    </row>
    <row r="274" spans="1:28">
      <c r="A274" s="19"/>
      <c r="B274" s="12"/>
      <c r="C274" s="24"/>
      <c r="D274" s="12"/>
      <c r="E274" s="23"/>
      <c r="F274" s="17"/>
      <c r="G274" s="17"/>
      <c r="H274" s="17"/>
      <c r="Z274" s="22"/>
      <c r="AB274" s="22"/>
    </row>
    <row r="275" spans="1:28">
      <c r="A275" s="19"/>
      <c r="B275" s="12"/>
      <c r="C275" s="24"/>
      <c r="D275" s="12"/>
      <c r="E275" s="23"/>
      <c r="F275" s="17"/>
      <c r="G275" s="17"/>
      <c r="H275" s="17"/>
      <c r="Z275" s="22"/>
      <c r="AB275" s="22"/>
    </row>
    <row r="276" spans="1:28">
      <c r="A276" s="19"/>
      <c r="B276" s="12"/>
      <c r="C276" s="24"/>
      <c r="D276" s="12"/>
      <c r="E276" s="23"/>
      <c r="F276" s="17"/>
      <c r="G276" s="17"/>
      <c r="H276" s="17"/>
      <c r="Z276" s="22"/>
      <c r="AB276" s="22"/>
    </row>
    <row r="277" spans="1:28">
      <c r="A277" s="19"/>
      <c r="B277" s="12"/>
      <c r="C277" s="24"/>
      <c r="D277" s="12"/>
      <c r="E277" s="23"/>
      <c r="F277" s="17"/>
      <c r="G277" s="17"/>
      <c r="H277" s="17"/>
      <c r="Z277" s="22"/>
      <c r="AB277" s="22"/>
    </row>
    <row r="278" spans="1:28">
      <c r="A278" s="19"/>
      <c r="B278" s="12"/>
      <c r="C278" s="24"/>
      <c r="D278" s="12"/>
      <c r="E278" s="23"/>
      <c r="F278" s="17"/>
      <c r="G278" s="17"/>
      <c r="H278" s="17"/>
      <c r="Z278" s="22"/>
      <c r="AB278" s="22"/>
    </row>
    <row r="279" spans="1:28">
      <c r="A279" s="19"/>
      <c r="B279" s="12"/>
      <c r="C279" s="24"/>
      <c r="D279" s="12"/>
      <c r="E279" s="23"/>
      <c r="F279" s="17"/>
      <c r="G279" s="17"/>
      <c r="H279" s="17"/>
      <c r="Z279" s="22"/>
      <c r="AB279" s="22"/>
    </row>
    <row r="280" spans="1:28">
      <c r="A280" s="19"/>
      <c r="B280" s="12"/>
      <c r="C280" s="24"/>
      <c r="D280" s="12"/>
      <c r="E280" s="23"/>
      <c r="F280" s="17"/>
      <c r="G280" s="17"/>
      <c r="H280" s="17"/>
      <c r="Z280" s="22"/>
      <c r="AB280" s="22"/>
    </row>
    <row r="281" spans="1:28">
      <c r="A281" s="19"/>
      <c r="B281" s="12"/>
      <c r="C281" s="24"/>
      <c r="D281" s="12"/>
      <c r="E281" s="23"/>
      <c r="F281" s="17"/>
      <c r="G281" s="17"/>
      <c r="H281" s="17"/>
      <c r="Z281" s="22"/>
      <c r="AB281" s="22"/>
    </row>
    <row r="282" spans="1:28">
      <c r="A282" s="19"/>
      <c r="B282" s="12"/>
      <c r="C282" s="24"/>
      <c r="D282" s="12"/>
      <c r="E282" s="23"/>
      <c r="F282" s="17"/>
      <c r="G282" s="17"/>
      <c r="H282" s="17"/>
      <c r="Z282" s="22"/>
      <c r="AB282" s="22"/>
    </row>
    <row r="283" spans="1:28">
      <c r="A283" s="19"/>
      <c r="B283" s="12"/>
      <c r="C283" s="24"/>
      <c r="D283" s="12"/>
      <c r="E283" s="23"/>
      <c r="F283" s="17"/>
      <c r="G283" s="17"/>
      <c r="H283" s="17"/>
      <c r="Z283" s="22"/>
      <c r="AB283" s="22"/>
    </row>
    <row r="284" spans="1:28">
      <c r="A284" s="19"/>
      <c r="B284" s="12"/>
      <c r="C284" s="24"/>
      <c r="D284" s="12"/>
      <c r="E284" s="23"/>
      <c r="F284" s="17"/>
      <c r="G284" s="17"/>
      <c r="H284" s="17"/>
      <c r="Z284" s="22"/>
      <c r="AB284" s="22"/>
    </row>
    <row r="285" spans="1:28">
      <c r="A285" s="19"/>
      <c r="B285" s="12"/>
      <c r="C285" s="24"/>
      <c r="D285" s="12"/>
      <c r="E285" s="23"/>
      <c r="F285" s="17"/>
      <c r="G285" s="17"/>
      <c r="H285" s="17"/>
      <c r="Z285" s="22"/>
      <c r="AB285" s="22"/>
    </row>
    <row r="286" spans="1:28">
      <c r="A286" s="19"/>
      <c r="B286" s="12"/>
      <c r="C286" s="24"/>
      <c r="D286" s="12"/>
      <c r="E286" s="23"/>
      <c r="F286" s="17"/>
      <c r="G286" s="17"/>
      <c r="H286" s="17"/>
      <c r="Z286" s="22"/>
      <c r="AB286" s="22"/>
    </row>
    <row r="287" spans="1:28">
      <c r="A287" s="19"/>
      <c r="B287" s="12"/>
      <c r="C287" s="24"/>
      <c r="D287" s="12"/>
      <c r="E287" s="23"/>
      <c r="F287" s="17"/>
      <c r="G287" s="17"/>
      <c r="H287" s="17"/>
      <c r="Z287" s="22"/>
      <c r="AB287" s="22"/>
    </row>
    <row r="288" spans="1:28">
      <c r="A288" s="19"/>
      <c r="B288" s="12"/>
      <c r="C288" s="24"/>
      <c r="D288" s="12"/>
      <c r="E288" s="23"/>
      <c r="F288" s="17"/>
      <c r="G288" s="17"/>
      <c r="H288" s="17"/>
      <c r="Z288" s="22"/>
      <c r="AB288" s="22"/>
    </row>
    <row r="289" spans="1:28">
      <c r="A289" s="19"/>
      <c r="B289" s="12"/>
      <c r="C289" s="24"/>
      <c r="D289" s="12"/>
      <c r="E289" s="23"/>
      <c r="F289" s="17"/>
      <c r="G289" s="17"/>
      <c r="H289" s="17"/>
      <c r="Z289" s="22"/>
      <c r="AB289" s="22"/>
    </row>
    <row r="290" spans="1:28">
      <c r="A290" s="19"/>
      <c r="B290" s="12"/>
      <c r="C290" s="24"/>
      <c r="D290" s="12"/>
      <c r="E290" s="23"/>
      <c r="F290" s="17"/>
      <c r="G290" s="17"/>
      <c r="H290" s="17"/>
      <c r="Z290" s="22"/>
      <c r="AB290" s="22"/>
    </row>
    <row r="291" spans="1:28">
      <c r="A291" s="19"/>
      <c r="B291" s="12"/>
      <c r="C291" s="24"/>
      <c r="D291" s="12"/>
      <c r="E291" s="23"/>
      <c r="F291" s="17"/>
      <c r="G291" s="17"/>
      <c r="H291" s="17"/>
      <c r="Z291" s="22"/>
      <c r="AB291" s="22"/>
    </row>
    <row r="292" spans="1:28">
      <c r="A292" s="19"/>
      <c r="B292" s="12"/>
      <c r="C292" s="24"/>
      <c r="D292" s="12"/>
      <c r="E292" s="23"/>
      <c r="F292" s="17"/>
      <c r="G292" s="17"/>
      <c r="H292" s="17"/>
      <c r="Z292" s="22"/>
      <c r="AB292" s="22"/>
    </row>
    <row r="293" spans="1:28">
      <c r="A293" s="19"/>
      <c r="B293" s="12"/>
      <c r="C293" s="24"/>
      <c r="D293" s="12"/>
      <c r="E293" s="23"/>
      <c r="F293" s="17"/>
      <c r="G293" s="17"/>
      <c r="H293" s="17"/>
      <c r="Z293" s="22"/>
      <c r="AB293" s="22"/>
    </row>
    <row r="294" spans="1:28">
      <c r="A294" s="19"/>
      <c r="B294" s="12"/>
      <c r="C294" s="24"/>
      <c r="D294" s="12"/>
      <c r="E294" s="23"/>
      <c r="F294" s="17"/>
      <c r="G294" s="17"/>
      <c r="H294" s="17"/>
      <c r="Z294" s="22"/>
      <c r="AB294" s="22"/>
    </row>
    <row r="295" spans="1:28">
      <c r="A295" s="19"/>
      <c r="B295" s="12"/>
      <c r="C295" s="24"/>
      <c r="D295" s="12"/>
      <c r="E295" s="23"/>
      <c r="F295" s="17"/>
      <c r="G295" s="17"/>
      <c r="H295" s="17"/>
      <c r="Z295" s="22"/>
      <c r="AB295" s="22"/>
    </row>
    <row r="296" spans="1:28">
      <c r="A296" s="19"/>
      <c r="B296" s="12"/>
      <c r="C296" s="24"/>
      <c r="D296" s="12"/>
      <c r="E296" s="23"/>
      <c r="F296" s="17"/>
      <c r="G296" s="17"/>
      <c r="H296" s="17"/>
      <c r="Z296" s="22"/>
      <c r="AB296" s="22"/>
    </row>
    <row r="297" spans="1:28">
      <c r="A297" s="19"/>
      <c r="B297" s="12"/>
      <c r="C297" s="24"/>
      <c r="D297" s="12"/>
      <c r="E297" s="23"/>
      <c r="F297" s="17"/>
      <c r="G297" s="17"/>
      <c r="H297" s="17"/>
      <c r="Z297" s="22"/>
      <c r="AB297" s="22"/>
    </row>
    <row r="298" spans="1:28">
      <c r="A298" s="19"/>
      <c r="B298" s="12"/>
      <c r="C298" s="24"/>
      <c r="D298" s="12"/>
      <c r="E298" s="23"/>
      <c r="F298" s="17"/>
      <c r="G298" s="17"/>
      <c r="H298" s="17"/>
      <c r="Z298" s="22"/>
      <c r="AB298" s="22"/>
    </row>
    <row r="299" spans="1:28">
      <c r="A299" s="19"/>
      <c r="B299" s="12"/>
      <c r="C299" s="24"/>
      <c r="D299" s="12"/>
      <c r="E299" s="23"/>
      <c r="F299" s="17"/>
      <c r="G299" s="17"/>
      <c r="H299" s="17"/>
      <c r="Z299" s="22"/>
      <c r="AB299" s="22"/>
    </row>
    <row r="300" spans="1:28">
      <c r="A300" s="19"/>
      <c r="B300" s="12"/>
      <c r="C300" s="24"/>
      <c r="D300" s="12"/>
      <c r="E300" s="23"/>
      <c r="F300" s="17"/>
      <c r="G300" s="17"/>
      <c r="H300" s="17"/>
      <c r="Z300" s="22"/>
      <c r="AB300" s="22"/>
    </row>
    <row r="301" spans="1:28">
      <c r="A301" s="19"/>
      <c r="B301" s="12"/>
      <c r="C301" s="24"/>
      <c r="D301" s="12"/>
      <c r="E301" s="23"/>
      <c r="F301" s="17"/>
      <c r="G301" s="17"/>
      <c r="H301" s="17"/>
      <c r="Z301" s="22"/>
      <c r="AB301" s="22"/>
    </row>
    <row r="302" spans="1:28">
      <c r="A302" s="19"/>
      <c r="B302" s="12"/>
      <c r="C302" s="24"/>
      <c r="D302" s="12"/>
      <c r="E302" s="23"/>
      <c r="F302" s="17"/>
      <c r="G302" s="17"/>
      <c r="H302" s="17"/>
      <c r="Z302" s="22"/>
      <c r="AB302" s="22"/>
    </row>
    <row r="303" spans="1:28">
      <c r="A303" s="19"/>
      <c r="B303" s="12"/>
      <c r="C303" s="24"/>
      <c r="D303" s="12"/>
      <c r="E303" s="23"/>
      <c r="F303" s="17"/>
      <c r="G303" s="17"/>
      <c r="H303" s="17"/>
      <c r="Z303" s="22"/>
      <c r="AB303" s="22"/>
    </row>
    <row r="304" spans="1:28">
      <c r="A304" s="19"/>
      <c r="B304" s="12"/>
      <c r="C304" s="24"/>
      <c r="D304" s="12"/>
      <c r="E304" s="23"/>
      <c r="F304" s="17"/>
      <c r="G304" s="17"/>
      <c r="H304" s="17"/>
      <c r="Z304" s="22"/>
      <c r="AB304" s="22"/>
    </row>
    <row r="305" spans="1:28">
      <c r="A305" s="19"/>
      <c r="B305" s="12"/>
      <c r="C305" s="24"/>
      <c r="D305" s="12"/>
      <c r="E305" s="23"/>
      <c r="F305" s="17"/>
      <c r="G305" s="17"/>
      <c r="H305" s="17"/>
      <c r="Z305" s="22"/>
      <c r="AB305" s="22"/>
    </row>
    <row r="306" spans="1:28">
      <c r="A306" s="19"/>
      <c r="B306" s="12"/>
      <c r="C306" s="24"/>
      <c r="D306" s="12"/>
      <c r="E306" s="23"/>
      <c r="F306" s="17"/>
      <c r="G306" s="17"/>
      <c r="H306" s="17"/>
      <c r="Z306" s="22"/>
      <c r="AB306" s="22"/>
    </row>
    <row r="307" spans="1:28">
      <c r="A307" s="19"/>
      <c r="B307" s="12"/>
      <c r="C307" s="24"/>
      <c r="D307" s="12"/>
      <c r="E307" s="23"/>
      <c r="F307" s="17"/>
      <c r="G307" s="17"/>
      <c r="H307" s="17"/>
      <c r="Z307" s="22"/>
      <c r="AB307" s="22"/>
    </row>
    <row r="308" spans="1:28">
      <c r="A308" s="19"/>
      <c r="B308" s="12"/>
      <c r="C308" s="24"/>
      <c r="D308" s="12"/>
      <c r="E308" s="23"/>
      <c r="F308" s="17"/>
      <c r="G308" s="17"/>
      <c r="H308" s="17"/>
      <c r="Z308" s="22"/>
      <c r="AB308" s="22"/>
    </row>
    <row r="309" spans="1:28">
      <c r="A309" s="19"/>
      <c r="B309" s="12"/>
      <c r="C309" s="24"/>
      <c r="D309" s="12"/>
      <c r="E309" s="23"/>
      <c r="F309" s="17"/>
      <c r="G309" s="17"/>
      <c r="H309" s="17"/>
      <c r="Z309" s="22"/>
      <c r="AB309" s="22"/>
    </row>
    <row r="310" spans="1:28">
      <c r="A310" s="19"/>
      <c r="B310" s="12"/>
      <c r="C310" s="24"/>
      <c r="D310" s="12"/>
      <c r="E310" s="23"/>
      <c r="F310" s="17"/>
      <c r="G310" s="17"/>
      <c r="H310" s="17"/>
      <c r="Z310" s="22"/>
      <c r="AB310" s="22"/>
    </row>
    <row r="311" spans="1:28">
      <c r="A311" s="19"/>
      <c r="B311" s="12"/>
      <c r="C311" s="24"/>
      <c r="D311" s="12"/>
      <c r="E311" s="23"/>
      <c r="F311" s="17"/>
      <c r="G311" s="17"/>
      <c r="H311" s="17"/>
      <c r="Z311" s="22"/>
      <c r="AB311" s="22"/>
    </row>
    <row r="312" spans="1:28">
      <c r="A312" s="19"/>
      <c r="B312" s="12"/>
      <c r="C312" s="24"/>
      <c r="D312" s="12"/>
      <c r="E312" s="23"/>
      <c r="F312" s="17"/>
      <c r="G312" s="17"/>
      <c r="H312" s="17"/>
      <c r="Z312" s="22"/>
      <c r="AB312" s="22"/>
    </row>
    <row r="313" spans="1:28">
      <c r="A313" s="19"/>
      <c r="B313" s="12"/>
      <c r="C313" s="24"/>
      <c r="D313" s="12"/>
      <c r="E313" s="23"/>
      <c r="F313" s="17"/>
      <c r="G313" s="17"/>
      <c r="H313" s="17"/>
      <c r="Z313" s="22"/>
      <c r="AB313" s="22"/>
    </row>
    <row r="314" spans="1:28">
      <c r="A314" s="19"/>
      <c r="B314" s="12"/>
      <c r="C314" s="24"/>
      <c r="D314" s="12"/>
      <c r="E314" s="23"/>
      <c r="F314" s="17"/>
      <c r="G314" s="17"/>
      <c r="H314" s="17"/>
      <c r="Z314" s="22"/>
      <c r="AB314" s="22"/>
    </row>
    <row r="315" spans="1:28">
      <c r="A315" s="19"/>
      <c r="B315" s="12"/>
      <c r="C315" s="24"/>
      <c r="D315" s="12"/>
      <c r="E315" s="23"/>
      <c r="F315" s="17"/>
      <c r="G315" s="17"/>
      <c r="Z315" s="22"/>
      <c r="AB315" s="22"/>
    </row>
    <row r="316" spans="1:28">
      <c r="A316" s="19"/>
      <c r="B316" s="12"/>
      <c r="C316" s="24"/>
      <c r="D316" s="12"/>
      <c r="E316" s="23"/>
      <c r="F316" s="17"/>
      <c r="G316" s="17"/>
      <c r="Z316" s="22"/>
      <c r="AB316" s="22"/>
    </row>
    <row r="317" spans="1:28">
      <c r="A317" s="19"/>
      <c r="B317" s="12"/>
      <c r="C317" s="24"/>
      <c r="D317" s="12"/>
      <c r="E317" s="23"/>
      <c r="F317" s="17"/>
      <c r="G317" s="17"/>
      <c r="Z317" s="22"/>
      <c r="AB317" s="22"/>
    </row>
    <row r="318" spans="1:28">
      <c r="A318" s="19"/>
      <c r="B318" s="12"/>
      <c r="C318" s="24"/>
      <c r="D318" s="12"/>
      <c r="E318" s="23"/>
      <c r="F318" s="17"/>
      <c r="G318" s="17"/>
      <c r="Z318" s="22"/>
      <c r="AB318" s="22"/>
    </row>
    <row r="319" spans="1:28">
      <c r="A319" s="19"/>
      <c r="B319" s="12"/>
      <c r="C319" s="24"/>
      <c r="D319" s="12"/>
      <c r="E319" s="23"/>
      <c r="F319" s="17"/>
      <c r="G319" s="17"/>
      <c r="Z319" s="22"/>
      <c r="AB319" s="22"/>
    </row>
    <row r="320" spans="1:28">
      <c r="A320" s="19"/>
      <c r="B320" s="12"/>
      <c r="C320" s="24"/>
      <c r="D320" s="12"/>
      <c r="E320" s="23"/>
      <c r="F320" s="17"/>
      <c r="G320" s="17"/>
      <c r="Z320" s="22"/>
      <c r="AB320" s="22"/>
    </row>
    <row r="321" spans="1:28">
      <c r="A321" s="19"/>
      <c r="B321" s="12"/>
      <c r="C321" s="24"/>
      <c r="D321" s="12"/>
      <c r="E321" s="23"/>
      <c r="F321" s="17"/>
      <c r="G321" s="17"/>
      <c r="Z321" s="22"/>
      <c r="AB321" s="22"/>
    </row>
    <row r="322" spans="1:28">
      <c r="A322" s="19"/>
      <c r="B322" s="12"/>
      <c r="C322" s="24"/>
      <c r="D322" s="12"/>
      <c r="E322" s="23"/>
      <c r="F322" s="17"/>
      <c r="G322" s="17"/>
      <c r="Z322" s="22"/>
      <c r="AB322" s="22"/>
    </row>
    <row r="323" spans="1:28">
      <c r="A323" s="19"/>
      <c r="B323" s="12"/>
      <c r="C323" s="24"/>
      <c r="D323" s="12"/>
      <c r="E323" s="23"/>
      <c r="F323" s="17"/>
      <c r="G323" s="17"/>
      <c r="Z323" s="22"/>
      <c r="AB323" s="22"/>
    </row>
    <row r="324" spans="1:28">
      <c r="A324" s="19"/>
      <c r="B324" s="12"/>
      <c r="C324" s="24"/>
      <c r="D324" s="12"/>
      <c r="E324" s="23"/>
      <c r="F324" s="17"/>
      <c r="G324" s="17"/>
      <c r="Z324" s="22"/>
      <c r="AB324" s="22"/>
    </row>
    <row r="325" spans="1:28">
      <c r="A325" s="19"/>
      <c r="B325" s="12"/>
      <c r="C325" s="24"/>
      <c r="D325" s="12"/>
      <c r="E325" s="23"/>
      <c r="F325" s="17"/>
      <c r="G325" s="17"/>
      <c r="Z325" s="22"/>
      <c r="AB325" s="22"/>
    </row>
    <row r="326" spans="1:28">
      <c r="A326" s="19"/>
      <c r="B326" s="12"/>
      <c r="C326" s="24"/>
      <c r="D326" s="12"/>
      <c r="E326" s="23"/>
      <c r="F326" s="17"/>
      <c r="G326" s="17"/>
      <c r="Z326" s="22"/>
      <c r="AB326" s="22"/>
    </row>
    <row r="327" spans="1:28">
      <c r="A327" s="19"/>
      <c r="B327" s="12"/>
      <c r="C327" s="24"/>
      <c r="D327" s="12"/>
      <c r="E327" s="23"/>
      <c r="F327" s="17"/>
      <c r="G327" s="17"/>
      <c r="Z327" s="22"/>
      <c r="AB327" s="22"/>
    </row>
    <row r="328" spans="1:28">
      <c r="A328" s="19"/>
      <c r="B328" s="12"/>
      <c r="C328" s="24"/>
      <c r="D328" s="12"/>
      <c r="E328" s="23"/>
      <c r="F328" s="17"/>
      <c r="G328" s="17"/>
      <c r="Z328" s="22"/>
      <c r="AB328" s="22"/>
    </row>
    <row r="329" spans="1:28">
      <c r="A329" s="19"/>
      <c r="B329" s="12"/>
      <c r="C329" s="24"/>
      <c r="D329" s="12"/>
      <c r="E329" s="23"/>
      <c r="F329" s="17"/>
      <c r="G329" s="17"/>
      <c r="Z329" s="22"/>
      <c r="AB329" s="22"/>
    </row>
    <row r="330" spans="1:28">
      <c r="A330" s="19"/>
      <c r="B330" s="12"/>
      <c r="C330" s="24"/>
      <c r="D330" s="12"/>
      <c r="E330" s="23"/>
      <c r="F330" s="17"/>
      <c r="G330" s="17"/>
      <c r="Z330" s="22"/>
      <c r="AB330" s="22"/>
    </row>
    <row r="331" spans="1:28">
      <c r="A331" s="19"/>
      <c r="B331" s="12"/>
      <c r="C331" s="24"/>
      <c r="D331" s="12"/>
      <c r="E331" s="23"/>
      <c r="F331" s="17"/>
      <c r="G331" s="17"/>
      <c r="Z331" s="22"/>
      <c r="AB331" s="22"/>
    </row>
    <row r="332" spans="1:28">
      <c r="A332" s="19"/>
      <c r="B332" s="12"/>
      <c r="C332" s="24"/>
      <c r="D332" s="12"/>
      <c r="E332" s="23"/>
      <c r="F332" s="17"/>
      <c r="G332" s="17"/>
      <c r="Z332" s="22"/>
      <c r="AB332" s="22"/>
    </row>
    <row r="333" spans="1:28">
      <c r="A333" s="19"/>
      <c r="B333" s="12"/>
      <c r="C333" s="24"/>
      <c r="D333" s="12"/>
      <c r="E333" s="23"/>
      <c r="F333" s="17"/>
      <c r="G333" s="17"/>
      <c r="Z333" s="22"/>
      <c r="AB333" s="22"/>
    </row>
    <row r="334" spans="1:28">
      <c r="A334" s="19"/>
      <c r="B334" s="12"/>
      <c r="C334" s="24"/>
      <c r="D334" s="12"/>
      <c r="E334" s="23"/>
      <c r="F334" s="17"/>
      <c r="G334" s="17"/>
      <c r="Z334" s="22"/>
      <c r="AB334" s="22"/>
    </row>
    <row r="335" spans="1:28">
      <c r="A335" s="19"/>
      <c r="B335" s="12"/>
      <c r="C335" s="24"/>
      <c r="D335" s="12"/>
      <c r="E335" s="23"/>
      <c r="F335" s="17"/>
      <c r="G335" s="17"/>
      <c r="Z335" s="22"/>
      <c r="AB335" s="22"/>
    </row>
    <row r="336" spans="1:28">
      <c r="A336" s="19"/>
      <c r="B336" s="12"/>
      <c r="C336" s="24"/>
      <c r="D336" s="12"/>
      <c r="E336" s="23"/>
      <c r="F336" s="17"/>
      <c r="G336" s="17"/>
      <c r="Z336" s="22"/>
      <c r="AB336" s="22"/>
    </row>
    <row r="337" spans="1:28">
      <c r="A337" s="19"/>
      <c r="B337" s="12"/>
      <c r="C337" s="24"/>
      <c r="D337" s="12"/>
      <c r="E337" s="23"/>
      <c r="F337" s="17"/>
      <c r="G337" s="17"/>
      <c r="Z337" s="22"/>
      <c r="AB337" s="22"/>
    </row>
    <row r="338" spans="1:28">
      <c r="A338" s="19"/>
      <c r="B338" s="12"/>
      <c r="C338" s="24"/>
      <c r="D338" s="12"/>
      <c r="E338" s="23"/>
      <c r="F338" s="17"/>
      <c r="G338" s="17"/>
      <c r="Z338" s="22"/>
      <c r="AB338" s="22"/>
    </row>
    <row r="339" spans="1:28">
      <c r="A339" s="19"/>
      <c r="B339" s="12"/>
      <c r="C339" s="24"/>
      <c r="D339" s="12"/>
      <c r="E339" s="23"/>
      <c r="F339" s="17"/>
      <c r="G339" s="17"/>
      <c r="Z339" s="22"/>
      <c r="AB339" s="22"/>
    </row>
    <row r="340" spans="1:28">
      <c r="A340" s="19"/>
      <c r="B340" s="12"/>
      <c r="C340" s="24"/>
      <c r="D340" s="12"/>
      <c r="E340" s="23"/>
      <c r="F340" s="17"/>
      <c r="G340" s="17"/>
      <c r="Z340" s="22"/>
      <c r="AB340" s="22"/>
    </row>
    <row r="341" spans="1:28">
      <c r="A341" s="19"/>
      <c r="B341" s="12"/>
      <c r="C341" s="24"/>
      <c r="D341" s="12"/>
      <c r="E341" s="23"/>
      <c r="F341" s="17"/>
      <c r="G341" s="17"/>
      <c r="Z341" s="22"/>
      <c r="AB341" s="22"/>
    </row>
    <row r="342" spans="1:28">
      <c r="A342" s="19"/>
      <c r="B342" s="12"/>
      <c r="C342" s="24"/>
      <c r="D342" s="12"/>
      <c r="E342" s="23"/>
      <c r="F342" s="17"/>
      <c r="G342" s="17"/>
      <c r="Z342" s="22"/>
      <c r="AB342" s="22"/>
    </row>
    <row r="343" spans="1:28">
      <c r="A343" s="19"/>
      <c r="B343" s="12"/>
      <c r="C343" s="24"/>
      <c r="D343" s="12"/>
      <c r="E343" s="23"/>
      <c r="F343" s="17"/>
      <c r="G343" s="17"/>
      <c r="Z343" s="22"/>
      <c r="AB343" s="22"/>
    </row>
    <row r="344" spans="1:28">
      <c r="A344" s="19"/>
      <c r="B344" s="12"/>
      <c r="C344" s="24"/>
      <c r="D344" s="12"/>
      <c r="E344" s="23"/>
      <c r="F344" s="17"/>
      <c r="G344" s="17"/>
      <c r="Z344" s="22"/>
      <c r="AB344" s="22"/>
    </row>
    <row r="345" spans="1:28">
      <c r="A345" s="19"/>
      <c r="B345" s="12"/>
      <c r="C345" s="24"/>
      <c r="D345" s="12"/>
      <c r="E345" s="23"/>
      <c r="F345" s="17"/>
      <c r="G345" s="17"/>
      <c r="Z345" s="22"/>
      <c r="AB345" s="22"/>
    </row>
    <row r="346" spans="1:28">
      <c r="A346" s="19"/>
      <c r="B346" s="12"/>
      <c r="C346" s="24"/>
      <c r="D346" s="12"/>
      <c r="E346" s="23"/>
      <c r="F346" s="17"/>
      <c r="G346" s="17"/>
      <c r="Z346" s="22"/>
      <c r="AB346" s="22"/>
    </row>
    <row r="347" spans="1:28">
      <c r="A347" s="19"/>
      <c r="B347" s="12"/>
      <c r="C347" s="24"/>
      <c r="D347" s="12"/>
      <c r="E347" s="23"/>
      <c r="F347" s="17"/>
      <c r="G347" s="17"/>
      <c r="Z347" s="22"/>
      <c r="AB347" s="22"/>
    </row>
    <row r="348" spans="1:28">
      <c r="A348" s="19"/>
      <c r="B348" s="12"/>
      <c r="C348" s="24"/>
      <c r="D348" s="12"/>
      <c r="E348" s="23"/>
      <c r="F348" s="17"/>
      <c r="G348" s="17"/>
      <c r="Z348" s="22"/>
      <c r="AB348" s="22"/>
    </row>
    <row r="349" spans="1:28">
      <c r="A349" s="19"/>
      <c r="B349" s="12"/>
      <c r="C349" s="24"/>
      <c r="D349" s="12"/>
      <c r="E349" s="23"/>
      <c r="F349" s="17"/>
      <c r="G349" s="17"/>
      <c r="Z349" s="22"/>
      <c r="AB349" s="22"/>
    </row>
    <row r="350" spans="1:28">
      <c r="A350" s="19"/>
      <c r="B350" s="12"/>
      <c r="C350" s="24"/>
      <c r="D350" s="12"/>
      <c r="E350" s="23"/>
      <c r="F350" s="17"/>
      <c r="G350" s="17"/>
      <c r="Z350" s="22"/>
      <c r="AB350" s="22"/>
    </row>
    <row r="351" spans="1:28">
      <c r="A351" s="19"/>
      <c r="B351" s="12"/>
      <c r="C351" s="24"/>
      <c r="D351" s="12"/>
      <c r="E351" s="23"/>
      <c r="F351" s="17"/>
      <c r="G351" s="17"/>
      <c r="Z351" s="22"/>
      <c r="AB351" s="22"/>
    </row>
    <row r="352" spans="1:28">
      <c r="A352" s="19"/>
      <c r="B352" s="12"/>
      <c r="C352" s="24"/>
      <c r="D352" s="12"/>
      <c r="E352" s="23"/>
      <c r="F352" s="17"/>
      <c r="G352" s="17"/>
      <c r="Z352" s="22"/>
      <c r="AB352" s="22"/>
    </row>
    <row r="353" spans="1:28">
      <c r="A353" s="19"/>
      <c r="B353" s="12"/>
      <c r="C353" s="24"/>
      <c r="D353" s="12"/>
      <c r="E353" s="23"/>
      <c r="F353" s="17"/>
      <c r="G353" s="17"/>
      <c r="Z353" s="22"/>
      <c r="AB353" s="22"/>
    </row>
    <row r="354" spans="1:28">
      <c r="A354" s="19"/>
      <c r="B354" s="12"/>
      <c r="C354" s="24"/>
      <c r="D354" s="12"/>
      <c r="E354" s="23"/>
      <c r="F354" s="17"/>
      <c r="G354" s="17"/>
      <c r="Z354" s="22"/>
      <c r="AB354" s="22"/>
    </row>
    <row r="355" spans="1:28">
      <c r="A355" s="19"/>
      <c r="B355" s="12"/>
      <c r="C355" s="24"/>
      <c r="D355" s="12"/>
      <c r="E355" s="23"/>
      <c r="F355" s="17"/>
      <c r="G355" s="17"/>
      <c r="Z355" s="22"/>
      <c r="AB355" s="22"/>
    </row>
    <row r="356" spans="1:28">
      <c r="A356" s="19"/>
      <c r="B356" s="12"/>
      <c r="C356" s="24"/>
      <c r="D356" s="12"/>
      <c r="E356" s="23"/>
      <c r="F356" s="17"/>
      <c r="G356" s="17"/>
      <c r="Z356" s="22"/>
      <c r="AB356" s="22"/>
    </row>
    <row r="357" spans="1:28">
      <c r="A357" s="19"/>
      <c r="B357" s="12"/>
      <c r="C357" s="24"/>
      <c r="D357" s="12"/>
      <c r="E357" s="23"/>
      <c r="F357" s="17"/>
      <c r="G357" s="17"/>
      <c r="Z357" s="22"/>
      <c r="AB357" s="22"/>
    </row>
    <row r="358" spans="1:28">
      <c r="A358" s="19"/>
      <c r="B358" s="12"/>
      <c r="C358" s="24"/>
      <c r="D358" s="12"/>
      <c r="E358" s="23"/>
      <c r="F358" s="17"/>
      <c r="G358" s="17"/>
      <c r="Z358" s="22"/>
      <c r="AB358" s="22"/>
    </row>
    <row r="359" spans="1:28">
      <c r="A359" s="19"/>
      <c r="B359" s="12"/>
      <c r="C359" s="24"/>
      <c r="D359" s="12"/>
      <c r="E359" s="23"/>
      <c r="F359" s="17"/>
      <c r="G359" s="17"/>
      <c r="Z359" s="22"/>
      <c r="AB359" s="22"/>
    </row>
    <row r="360" spans="1:28">
      <c r="A360" s="19"/>
      <c r="B360" s="12"/>
      <c r="C360" s="24"/>
      <c r="D360" s="12"/>
      <c r="E360" s="23"/>
      <c r="F360" s="17"/>
      <c r="G360" s="17"/>
      <c r="Z360" s="22"/>
      <c r="AB360" s="22"/>
    </row>
    <row r="361" spans="1:28">
      <c r="A361" s="19"/>
      <c r="B361" s="12"/>
      <c r="C361" s="24"/>
      <c r="D361" s="12"/>
      <c r="E361" s="23"/>
      <c r="F361" s="17"/>
      <c r="G361" s="17"/>
      <c r="Z361" s="22"/>
      <c r="AB361" s="22"/>
    </row>
    <row r="362" spans="1:28">
      <c r="A362" s="19"/>
      <c r="B362" s="12"/>
      <c r="C362" s="24"/>
      <c r="D362" s="12"/>
      <c r="E362" s="23"/>
      <c r="F362" s="17"/>
      <c r="G362" s="17"/>
      <c r="Z362" s="22"/>
      <c r="AB362" s="22"/>
    </row>
    <row r="363" spans="1:28">
      <c r="A363" s="19"/>
      <c r="B363" s="12"/>
      <c r="C363" s="24"/>
      <c r="D363" s="12"/>
      <c r="E363" s="23"/>
      <c r="F363" s="17"/>
      <c r="G363" s="17"/>
      <c r="Z363" s="22"/>
      <c r="AB363" s="22"/>
    </row>
    <row r="364" spans="1:28">
      <c r="A364" s="19"/>
      <c r="B364" s="12"/>
      <c r="C364" s="24"/>
      <c r="D364" s="12"/>
      <c r="E364" s="23"/>
      <c r="F364" s="17"/>
      <c r="G364" s="17"/>
      <c r="Z364" s="22"/>
      <c r="AB364" s="22"/>
    </row>
    <row r="365" spans="1:28">
      <c r="A365" s="19"/>
      <c r="B365" s="12"/>
      <c r="C365" s="24"/>
      <c r="D365" s="12"/>
      <c r="E365" s="23"/>
      <c r="F365" s="17"/>
      <c r="G365" s="17"/>
      <c r="Z365" s="22"/>
      <c r="AB365" s="22"/>
    </row>
    <row r="366" spans="1:28">
      <c r="A366" s="19"/>
      <c r="B366" s="12"/>
      <c r="C366" s="24"/>
      <c r="D366" s="12"/>
      <c r="E366" s="23"/>
      <c r="F366" s="17"/>
      <c r="G366" s="17"/>
      <c r="Z366" s="22"/>
      <c r="AB366" s="22"/>
    </row>
    <row r="367" spans="1:28">
      <c r="A367" s="19"/>
      <c r="B367" s="12"/>
      <c r="C367" s="24"/>
      <c r="D367" s="12"/>
      <c r="E367" s="23"/>
      <c r="F367" s="17"/>
      <c r="G367" s="17"/>
      <c r="Z367" s="22"/>
      <c r="AB367" s="22"/>
    </row>
    <row r="368" spans="1:28">
      <c r="A368" s="19"/>
      <c r="B368" s="12"/>
      <c r="C368" s="24"/>
      <c r="D368" s="12"/>
      <c r="E368" s="23"/>
      <c r="F368" s="17"/>
      <c r="G368" s="17"/>
      <c r="Z368" s="22"/>
      <c r="AB368" s="22"/>
    </row>
    <row r="369" spans="1:28">
      <c r="A369" s="19"/>
      <c r="B369" s="12"/>
      <c r="C369" s="24"/>
      <c r="D369" s="12"/>
      <c r="E369" s="23"/>
      <c r="F369" s="17"/>
      <c r="G369" s="17"/>
      <c r="Z369" s="22"/>
      <c r="AB369" s="22"/>
    </row>
    <row r="370" spans="1:28">
      <c r="A370" s="19"/>
      <c r="B370" s="12"/>
      <c r="C370" s="24"/>
      <c r="D370" s="12"/>
      <c r="E370" s="23"/>
      <c r="F370" s="17"/>
      <c r="G370" s="17"/>
      <c r="Z370" s="22"/>
      <c r="AB370" s="22"/>
    </row>
    <row r="371" spans="1:28">
      <c r="A371" s="19"/>
      <c r="B371" s="12"/>
      <c r="C371" s="24"/>
      <c r="D371" s="12"/>
      <c r="E371" s="23"/>
      <c r="F371" s="17"/>
      <c r="G371" s="17"/>
      <c r="Z371" s="22"/>
      <c r="AB371" s="22"/>
    </row>
    <row r="372" spans="1:28">
      <c r="A372" s="19"/>
      <c r="B372" s="12"/>
      <c r="C372" s="24"/>
      <c r="D372" s="12"/>
      <c r="E372" s="23"/>
      <c r="F372" s="17"/>
      <c r="G372" s="17"/>
      <c r="Z372" s="22"/>
      <c r="AB372" s="22"/>
    </row>
    <row r="373" spans="1:28">
      <c r="A373" s="19"/>
      <c r="B373" s="12"/>
      <c r="C373" s="24"/>
      <c r="D373" s="12"/>
      <c r="E373" s="23"/>
      <c r="F373" s="17"/>
      <c r="G373" s="17"/>
      <c r="Z373" s="22"/>
      <c r="AB373" s="22"/>
    </row>
    <row r="374" spans="1:28">
      <c r="A374" s="19"/>
      <c r="B374" s="12"/>
      <c r="C374" s="24"/>
      <c r="D374" s="12"/>
      <c r="E374" s="23"/>
      <c r="F374" s="17"/>
      <c r="G374" s="17"/>
      <c r="Z374" s="22"/>
      <c r="AB374" s="22"/>
    </row>
    <row r="375" spans="1:28">
      <c r="A375" s="19"/>
      <c r="B375" s="12"/>
      <c r="C375" s="24"/>
      <c r="D375" s="12"/>
      <c r="E375" s="23"/>
      <c r="F375" s="17"/>
      <c r="G375" s="17"/>
      <c r="Z375" s="22"/>
      <c r="AB375" s="22"/>
    </row>
    <row r="376" spans="1:28">
      <c r="A376" s="19"/>
      <c r="B376" s="12"/>
      <c r="C376" s="24"/>
      <c r="D376" s="12"/>
      <c r="E376" s="23"/>
      <c r="F376" s="17"/>
      <c r="G376" s="17"/>
      <c r="Z376" s="22"/>
      <c r="AB376" s="22"/>
    </row>
    <row r="377" spans="1:28">
      <c r="A377" s="19"/>
      <c r="B377" s="12"/>
      <c r="C377" s="24"/>
      <c r="D377" s="12"/>
      <c r="E377" s="23"/>
      <c r="F377" s="17"/>
      <c r="G377" s="17"/>
      <c r="Z377" s="22"/>
      <c r="AB377" s="22"/>
    </row>
    <row r="378" spans="1:28">
      <c r="A378" s="19"/>
      <c r="B378" s="12"/>
      <c r="C378" s="24"/>
      <c r="D378" s="12"/>
      <c r="E378" s="23"/>
      <c r="F378" s="17"/>
      <c r="G378" s="17"/>
      <c r="Z378" s="22"/>
      <c r="AB378" s="22"/>
    </row>
    <row r="379" spans="1:28">
      <c r="A379" s="19"/>
      <c r="B379" s="12"/>
      <c r="C379" s="24"/>
      <c r="D379" s="12"/>
      <c r="E379" s="23"/>
      <c r="F379" s="17"/>
      <c r="G379" s="17"/>
      <c r="Z379" s="22"/>
      <c r="AB379" s="22"/>
    </row>
    <row r="380" spans="1:28">
      <c r="A380" s="19"/>
      <c r="B380" s="12"/>
      <c r="C380" s="24"/>
      <c r="D380" s="12"/>
      <c r="E380" s="23"/>
      <c r="F380" s="17"/>
      <c r="G380" s="17"/>
      <c r="Z380" s="22"/>
      <c r="AB380" s="22"/>
    </row>
    <row r="381" spans="1:28">
      <c r="A381" s="19"/>
      <c r="B381" s="12"/>
      <c r="C381" s="24"/>
      <c r="D381" s="12"/>
      <c r="E381" s="23"/>
      <c r="F381" s="17"/>
      <c r="G381" s="17"/>
      <c r="Z381" s="22"/>
      <c r="AB381" s="22"/>
    </row>
    <row r="382" spans="1:28">
      <c r="A382" s="19"/>
      <c r="B382" s="12"/>
      <c r="C382" s="24"/>
      <c r="D382" s="12"/>
      <c r="E382" s="23"/>
      <c r="F382" s="17"/>
      <c r="G382" s="17"/>
      <c r="Z382" s="22"/>
      <c r="AB382" s="22"/>
    </row>
    <row r="383" spans="1:28">
      <c r="A383" s="19"/>
      <c r="B383" s="12"/>
      <c r="C383" s="24"/>
      <c r="D383" s="12"/>
      <c r="E383" s="23"/>
      <c r="F383" s="17"/>
      <c r="G383" s="17"/>
      <c r="Z383" s="22"/>
      <c r="AB383" s="22"/>
    </row>
    <row r="384" spans="1:28">
      <c r="A384" s="19"/>
      <c r="B384" s="12"/>
      <c r="C384" s="24"/>
      <c r="D384" s="12"/>
      <c r="E384" s="23"/>
      <c r="F384" s="17"/>
      <c r="G384" s="17"/>
      <c r="Z384" s="22"/>
      <c r="AB384" s="22"/>
    </row>
    <row r="385" spans="1:28">
      <c r="A385" s="19"/>
      <c r="B385" s="12"/>
      <c r="C385" s="24"/>
      <c r="D385" s="12"/>
      <c r="E385" s="23"/>
      <c r="F385" s="17"/>
      <c r="G385" s="17"/>
      <c r="Z385" s="22"/>
      <c r="AB385" s="22"/>
    </row>
    <row r="386" spans="1:28">
      <c r="A386" s="19"/>
      <c r="B386" s="12"/>
      <c r="C386" s="24"/>
      <c r="D386" s="12"/>
      <c r="E386" s="23"/>
      <c r="F386" s="17"/>
      <c r="G386" s="17"/>
      <c r="Z386" s="22"/>
      <c r="AB386" s="22"/>
    </row>
    <row r="387" spans="1:28">
      <c r="A387" s="19"/>
      <c r="B387" s="12"/>
      <c r="C387" s="24"/>
      <c r="D387" s="12"/>
      <c r="E387" s="23"/>
      <c r="F387" s="17"/>
      <c r="G387" s="17"/>
      <c r="Z387" s="22"/>
      <c r="AB387" s="22"/>
    </row>
    <row r="388" spans="1:28">
      <c r="A388" s="19"/>
      <c r="B388" s="12"/>
      <c r="C388" s="24"/>
      <c r="D388" s="12"/>
      <c r="E388" s="23"/>
      <c r="F388" s="17"/>
      <c r="G388" s="17"/>
      <c r="Z388" s="22"/>
      <c r="AB388" s="22"/>
    </row>
    <row r="389" spans="1:28">
      <c r="A389" s="19"/>
      <c r="B389" s="12"/>
      <c r="C389" s="24"/>
      <c r="D389" s="12"/>
      <c r="E389" s="23"/>
      <c r="F389" s="17"/>
      <c r="G389" s="17"/>
      <c r="Z389" s="22"/>
      <c r="AB389" s="22"/>
    </row>
    <row r="390" spans="1:28">
      <c r="A390" s="19"/>
      <c r="B390" s="12"/>
      <c r="C390" s="24"/>
      <c r="D390" s="12"/>
      <c r="E390" s="23"/>
      <c r="F390" s="17"/>
      <c r="G390" s="17"/>
      <c r="Z390" s="22"/>
      <c r="AB390" s="22"/>
    </row>
    <row r="391" spans="1:28">
      <c r="A391" s="19"/>
      <c r="B391" s="12"/>
      <c r="C391" s="24"/>
      <c r="D391" s="12"/>
      <c r="E391" s="23"/>
      <c r="F391" s="17"/>
      <c r="G391" s="17"/>
      <c r="Z391" s="22"/>
      <c r="AB391" s="22"/>
    </row>
    <row r="392" spans="1:28">
      <c r="A392" s="19"/>
      <c r="B392" s="12"/>
      <c r="C392" s="24"/>
      <c r="D392" s="12"/>
      <c r="E392" s="23"/>
      <c r="F392" s="17"/>
      <c r="G392" s="17"/>
      <c r="Z392" s="22"/>
      <c r="AB392" s="22"/>
    </row>
    <row r="393" spans="1:28">
      <c r="A393" s="19"/>
      <c r="B393" s="12"/>
      <c r="C393" s="24"/>
      <c r="D393" s="12"/>
      <c r="E393" s="23"/>
      <c r="F393" s="17"/>
      <c r="G393" s="17"/>
      <c r="Z393" s="22"/>
      <c r="AB393" s="22"/>
    </row>
    <row r="394" spans="1:28">
      <c r="A394" s="19"/>
      <c r="B394" s="12"/>
      <c r="C394" s="24"/>
      <c r="D394" s="12"/>
      <c r="E394" s="23"/>
      <c r="F394" s="17"/>
      <c r="G394" s="17"/>
      <c r="Z394" s="22"/>
      <c r="AB394" s="22"/>
    </row>
    <row r="395" spans="1:28">
      <c r="A395" s="19"/>
      <c r="B395" s="12"/>
      <c r="C395" s="24"/>
      <c r="D395" s="12"/>
      <c r="E395" s="23"/>
      <c r="F395" s="17"/>
      <c r="G395" s="17"/>
      <c r="Z395" s="22"/>
      <c r="AB395" s="22"/>
    </row>
    <row r="396" spans="1:28">
      <c r="A396" s="19"/>
      <c r="B396" s="12"/>
      <c r="C396" s="24"/>
      <c r="D396" s="12"/>
      <c r="E396" s="23"/>
      <c r="F396" s="17"/>
      <c r="G396" s="17"/>
      <c r="Z396" s="22"/>
      <c r="AB396" s="22"/>
    </row>
    <row r="397" spans="1:28">
      <c r="A397" s="19"/>
      <c r="B397" s="12"/>
      <c r="C397" s="24"/>
      <c r="D397" s="12"/>
      <c r="E397" s="23"/>
      <c r="F397" s="17"/>
      <c r="G397" s="17"/>
      <c r="Z397" s="22"/>
      <c r="AB397" s="22"/>
    </row>
    <row r="398" spans="1:28">
      <c r="A398" s="19"/>
      <c r="B398" s="12"/>
      <c r="C398" s="24"/>
      <c r="D398" s="12"/>
      <c r="E398" s="23"/>
      <c r="F398" s="17"/>
      <c r="G398" s="17"/>
      <c r="Z398" s="22"/>
      <c r="AB398" s="22"/>
    </row>
    <row r="399" spans="1:28">
      <c r="A399" s="19"/>
      <c r="B399" s="12"/>
      <c r="C399" s="24"/>
      <c r="D399" s="12"/>
      <c r="E399" s="23"/>
      <c r="F399" s="17"/>
      <c r="G399" s="17"/>
      <c r="Z399" s="22"/>
      <c r="AB399" s="22"/>
    </row>
    <row r="400" spans="1:28">
      <c r="A400" s="19"/>
      <c r="B400" s="12"/>
      <c r="C400" s="24"/>
      <c r="D400" s="12"/>
      <c r="E400" s="23"/>
      <c r="F400" s="17"/>
      <c r="G400" s="17"/>
      <c r="Z400" s="22"/>
      <c r="AB400" s="22"/>
    </row>
    <row r="401" spans="1:28">
      <c r="A401" s="19"/>
      <c r="B401" s="12"/>
      <c r="C401" s="24"/>
      <c r="D401" s="12"/>
      <c r="E401" s="23"/>
      <c r="F401" s="17"/>
      <c r="G401" s="17"/>
      <c r="Z401" s="22"/>
      <c r="AB401" s="22"/>
    </row>
    <row r="402" spans="1:28">
      <c r="A402" s="19"/>
      <c r="B402" s="12"/>
      <c r="C402" s="24"/>
      <c r="D402" s="12"/>
      <c r="E402" s="23"/>
      <c r="F402" s="17"/>
      <c r="G402" s="17"/>
      <c r="Z402" s="22"/>
      <c r="AB402" s="22"/>
    </row>
    <row r="403" spans="1:28">
      <c r="A403" s="19"/>
      <c r="B403" s="12"/>
      <c r="C403" s="24"/>
      <c r="D403" s="12"/>
      <c r="E403" s="23"/>
      <c r="F403" s="17"/>
      <c r="G403" s="17"/>
      <c r="Z403" s="22"/>
      <c r="AB403" s="22"/>
    </row>
    <row r="404" spans="1:28">
      <c r="A404" s="19"/>
      <c r="B404" s="12"/>
      <c r="C404" s="24"/>
      <c r="D404" s="12"/>
      <c r="E404" s="23"/>
      <c r="F404" s="17"/>
      <c r="G404" s="17"/>
      <c r="Z404" s="22"/>
      <c r="AB404" s="22"/>
    </row>
    <row r="405" spans="1:28">
      <c r="A405" s="19"/>
      <c r="B405" s="12"/>
      <c r="C405" s="24"/>
      <c r="D405" s="12"/>
      <c r="E405" s="23"/>
      <c r="F405" s="17"/>
      <c r="G405" s="17"/>
      <c r="Z405" s="22"/>
      <c r="AB405" s="22"/>
    </row>
    <row r="406" spans="1:28">
      <c r="A406" s="19"/>
      <c r="B406" s="12"/>
      <c r="C406" s="24"/>
      <c r="D406" s="12"/>
      <c r="E406" s="23"/>
      <c r="F406" s="17"/>
      <c r="G406" s="17"/>
      <c r="Z406" s="22"/>
      <c r="AB406" s="22"/>
    </row>
    <row r="407" spans="1:28">
      <c r="A407" s="19"/>
      <c r="B407" s="12"/>
      <c r="C407" s="24"/>
      <c r="D407" s="12"/>
      <c r="E407" s="23"/>
      <c r="F407" s="17"/>
      <c r="G407" s="17"/>
      <c r="Z407" s="22"/>
      <c r="AB407" s="22"/>
    </row>
    <row r="408" spans="1:28">
      <c r="A408" s="19"/>
      <c r="B408" s="12"/>
      <c r="C408" s="24"/>
      <c r="D408" s="12"/>
      <c r="E408" s="23"/>
      <c r="F408" s="17"/>
      <c r="G408" s="17"/>
      <c r="Z408" s="22"/>
      <c r="AB408" s="22"/>
    </row>
    <row r="409" spans="1:28">
      <c r="A409" s="19"/>
      <c r="B409" s="12"/>
      <c r="C409" s="24"/>
      <c r="D409" s="12"/>
      <c r="E409" s="23"/>
      <c r="F409" s="17"/>
      <c r="G409" s="17"/>
      <c r="Z409" s="22"/>
      <c r="AB409" s="22"/>
    </row>
    <row r="410" spans="1:28">
      <c r="A410" s="19"/>
      <c r="B410" s="12"/>
      <c r="C410" s="24"/>
      <c r="D410" s="12"/>
      <c r="E410" s="23"/>
      <c r="F410" s="17"/>
      <c r="G410" s="17"/>
      <c r="Z410" s="22"/>
      <c r="AB410" s="22"/>
    </row>
    <row r="411" spans="1:28">
      <c r="A411" s="19"/>
      <c r="B411" s="12"/>
      <c r="C411" s="24"/>
      <c r="D411" s="12"/>
      <c r="E411" s="23"/>
      <c r="F411" s="17"/>
      <c r="G411" s="17"/>
      <c r="Z411" s="22"/>
      <c r="AB411" s="22"/>
    </row>
    <row r="412" spans="1:28">
      <c r="A412" s="19"/>
      <c r="B412" s="12"/>
      <c r="C412" s="24"/>
      <c r="D412" s="12"/>
      <c r="E412" s="23"/>
      <c r="F412" s="17"/>
      <c r="G412" s="17"/>
      <c r="Z412" s="22"/>
      <c r="AB412" s="22"/>
    </row>
    <row r="413" spans="1:28">
      <c r="A413" s="19"/>
      <c r="B413" s="12"/>
      <c r="C413" s="24"/>
      <c r="D413" s="12"/>
      <c r="E413" s="23"/>
      <c r="F413" s="17"/>
      <c r="G413" s="17"/>
      <c r="Z413" s="22"/>
      <c r="AB413" s="22"/>
    </row>
    <row r="414" spans="1:28">
      <c r="A414" s="19"/>
      <c r="B414" s="12"/>
      <c r="C414" s="24"/>
      <c r="D414" s="12"/>
      <c r="E414" s="23"/>
      <c r="F414" s="17"/>
      <c r="G414" s="17"/>
      <c r="Z414" s="22"/>
      <c r="AB414" s="22"/>
    </row>
    <row r="415" spans="1:28">
      <c r="A415" s="19"/>
      <c r="B415" s="12"/>
      <c r="C415" s="24"/>
      <c r="D415" s="12"/>
      <c r="E415" s="23"/>
      <c r="F415" s="17"/>
      <c r="G415" s="17"/>
      <c r="Z415" s="22"/>
      <c r="AB415" s="22"/>
    </row>
    <row r="416" spans="1:28">
      <c r="A416" s="19"/>
      <c r="B416" s="12"/>
      <c r="C416" s="24"/>
      <c r="D416" s="12"/>
      <c r="E416" s="23"/>
      <c r="F416" s="17"/>
      <c r="G416" s="17"/>
      <c r="Z416" s="22"/>
      <c r="AB416" s="22"/>
    </row>
    <row r="417" spans="1:28">
      <c r="A417" s="19"/>
      <c r="B417" s="12"/>
      <c r="C417" s="24"/>
      <c r="D417" s="12"/>
      <c r="E417" s="23"/>
      <c r="F417" s="17"/>
      <c r="G417" s="17"/>
      <c r="Z417" s="22"/>
      <c r="AB417" s="22"/>
    </row>
    <row r="418" spans="1:28">
      <c r="A418" s="19"/>
      <c r="B418" s="12"/>
      <c r="C418" s="24"/>
      <c r="D418" s="12"/>
      <c r="E418" s="23"/>
      <c r="F418" s="17"/>
      <c r="G418" s="17"/>
      <c r="Z418" s="22"/>
      <c r="AB418" s="22"/>
    </row>
    <row r="419" spans="1:28">
      <c r="A419" s="19"/>
      <c r="B419" s="12"/>
      <c r="C419" s="24"/>
      <c r="D419" s="12"/>
      <c r="E419" s="23"/>
      <c r="F419" s="17"/>
      <c r="G419" s="17"/>
      <c r="Z419" s="22"/>
      <c r="AB419" s="22"/>
    </row>
    <row r="420" spans="1:28">
      <c r="A420" s="19"/>
      <c r="B420" s="12"/>
      <c r="C420" s="24"/>
      <c r="D420" s="12"/>
      <c r="E420" s="23"/>
      <c r="F420" s="17"/>
      <c r="G420" s="17"/>
      <c r="Z420" s="22"/>
      <c r="AB420" s="22"/>
    </row>
    <row r="421" spans="1:28">
      <c r="A421" s="19"/>
      <c r="B421" s="12"/>
      <c r="C421" s="24"/>
      <c r="D421" s="12"/>
      <c r="E421" s="23"/>
      <c r="F421" s="17"/>
      <c r="G421" s="17"/>
      <c r="Z421" s="22"/>
      <c r="AB421" s="22"/>
    </row>
    <row r="422" spans="1:28">
      <c r="A422" s="19"/>
      <c r="B422" s="12"/>
      <c r="C422" s="24"/>
      <c r="D422" s="12"/>
      <c r="E422" s="23"/>
      <c r="F422" s="17"/>
      <c r="G422" s="17"/>
      <c r="Z422" s="22"/>
      <c r="AB422" s="22"/>
    </row>
    <row r="423" spans="1:28">
      <c r="A423" s="19"/>
      <c r="B423" s="12"/>
      <c r="C423" s="24"/>
      <c r="D423" s="12"/>
      <c r="E423" s="23"/>
      <c r="F423" s="17"/>
      <c r="G423" s="17"/>
      <c r="Z423" s="22"/>
      <c r="AB423" s="22"/>
    </row>
    <row r="424" spans="1:28">
      <c r="A424" s="19"/>
      <c r="B424" s="12"/>
      <c r="C424" s="24"/>
      <c r="D424" s="12"/>
      <c r="E424" s="23"/>
      <c r="F424" s="17"/>
      <c r="G424" s="17"/>
      <c r="Z424" s="22"/>
      <c r="AB424" s="22"/>
    </row>
    <row r="425" spans="1:28">
      <c r="A425" s="19"/>
      <c r="B425" s="12"/>
      <c r="C425" s="24"/>
      <c r="D425" s="12"/>
      <c r="E425" s="23"/>
      <c r="F425" s="17"/>
      <c r="G425" s="17"/>
      <c r="Z425" s="22"/>
      <c r="AB425" s="22"/>
    </row>
    <row r="426" spans="1:28">
      <c r="A426" s="19"/>
      <c r="B426" s="12"/>
      <c r="C426" s="24"/>
      <c r="D426" s="12"/>
      <c r="E426" s="23"/>
      <c r="F426" s="17"/>
      <c r="G426" s="17"/>
      <c r="Z426" s="22"/>
      <c r="AB426" s="22"/>
    </row>
    <row r="427" spans="1:28">
      <c r="A427" s="19"/>
      <c r="B427" s="12"/>
      <c r="C427" s="24"/>
      <c r="D427" s="12"/>
      <c r="E427" s="23"/>
      <c r="F427" s="17"/>
      <c r="G427" s="17"/>
      <c r="Z427" s="22"/>
      <c r="AB427" s="22"/>
    </row>
    <row r="428" spans="1:28">
      <c r="A428" s="19"/>
      <c r="B428" s="12"/>
      <c r="C428" s="24"/>
      <c r="D428" s="12"/>
      <c r="E428" s="23"/>
      <c r="F428" s="17"/>
      <c r="G428" s="17"/>
      <c r="Z428" s="22"/>
      <c r="AB428" s="22"/>
    </row>
    <row r="429" spans="1:28">
      <c r="A429" s="19"/>
      <c r="B429" s="12"/>
      <c r="C429" s="24"/>
      <c r="D429" s="12"/>
      <c r="E429" s="23"/>
      <c r="F429" s="17"/>
      <c r="G429" s="17"/>
      <c r="Z429" s="22"/>
      <c r="AB429" s="22"/>
    </row>
    <row r="430" spans="1:28">
      <c r="A430" s="19"/>
      <c r="B430" s="12"/>
      <c r="C430" s="24"/>
      <c r="D430" s="12"/>
      <c r="E430" s="23"/>
      <c r="F430" s="17"/>
      <c r="G430" s="17"/>
      <c r="Z430" s="22"/>
      <c r="AB430" s="22"/>
    </row>
    <row r="431" spans="1:28">
      <c r="A431" s="19"/>
      <c r="B431" s="12"/>
      <c r="C431" s="24"/>
      <c r="D431" s="12"/>
      <c r="E431" s="23"/>
      <c r="F431" s="17"/>
      <c r="G431" s="17"/>
      <c r="Z431" s="22"/>
      <c r="AB431" s="22"/>
    </row>
    <row r="432" spans="1:28">
      <c r="A432" s="19"/>
      <c r="B432" s="12"/>
      <c r="C432" s="24"/>
      <c r="D432" s="12"/>
      <c r="E432" s="23"/>
      <c r="F432" s="17"/>
      <c r="G432" s="17"/>
      <c r="Z432" s="22"/>
      <c r="AB432" s="22"/>
    </row>
    <row r="433" spans="1:28">
      <c r="A433" s="19"/>
      <c r="B433" s="12"/>
      <c r="C433" s="24"/>
      <c r="D433" s="12"/>
      <c r="E433" s="23"/>
      <c r="F433" s="17"/>
      <c r="G433" s="17"/>
      <c r="Z433" s="22"/>
      <c r="AB433" s="22"/>
    </row>
    <row r="434" spans="1:28">
      <c r="A434" s="19"/>
      <c r="B434" s="12"/>
      <c r="C434" s="24"/>
      <c r="D434" s="12"/>
      <c r="E434" s="23"/>
      <c r="F434" s="17"/>
      <c r="G434" s="17"/>
      <c r="Z434" s="22"/>
      <c r="AB434" s="22"/>
    </row>
    <row r="435" spans="1:28">
      <c r="A435" s="19"/>
      <c r="B435" s="12"/>
      <c r="C435" s="24"/>
      <c r="D435" s="12"/>
      <c r="E435" s="23"/>
      <c r="F435" s="17"/>
      <c r="G435" s="17"/>
      <c r="Z435" s="22"/>
      <c r="AB435" s="22"/>
    </row>
    <row r="436" spans="1:28">
      <c r="A436" s="19"/>
      <c r="B436" s="12"/>
      <c r="C436" s="24"/>
      <c r="D436" s="12"/>
      <c r="E436" s="23"/>
      <c r="F436" s="17"/>
      <c r="G436" s="17"/>
      <c r="Z436" s="22"/>
      <c r="AB436" s="22"/>
    </row>
    <row r="437" spans="1:28">
      <c r="A437" s="19"/>
      <c r="B437" s="12"/>
      <c r="C437" s="24"/>
      <c r="D437" s="12"/>
      <c r="E437" s="23"/>
      <c r="F437" s="17"/>
      <c r="G437" s="17"/>
      <c r="Z437" s="22"/>
      <c r="AB437" s="22"/>
    </row>
    <row r="438" spans="1:28">
      <c r="A438" s="19"/>
      <c r="B438" s="12"/>
      <c r="C438" s="24"/>
      <c r="D438" s="12"/>
      <c r="E438" s="23"/>
      <c r="F438" s="17"/>
      <c r="G438" s="17"/>
      <c r="Z438" s="22"/>
      <c r="AB438" s="22"/>
    </row>
    <row r="439" spans="1:28">
      <c r="A439" s="19"/>
      <c r="B439" s="12"/>
      <c r="C439" s="24"/>
      <c r="D439" s="12"/>
      <c r="E439" s="23"/>
      <c r="F439" s="17"/>
      <c r="G439" s="17"/>
      <c r="Z439" s="22"/>
      <c r="AB439" s="22"/>
    </row>
    <row r="440" spans="1:28">
      <c r="A440" s="19"/>
      <c r="B440" s="12"/>
      <c r="C440" s="24"/>
      <c r="D440" s="12"/>
      <c r="E440" s="23"/>
      <c r="F440" s="17"/>
      <c r="G440" s="17"/>
      <c r="Z440" s="22"/>
      <c r="AB440" s="22"/>
    </row>
    <row r="441" spans="1:28">
      <c r="A441" s="19"/>
      <c r="B441" s="12"/>
      <c r="C441" s="24"/>
      <c r="D441" s="12"/>
      <c r="E441" s="23"/>
      <c r="F441" s="17"/>
      <c r="G441" s="17"/>
      <c r="Z441" s="22"/>
      <c r="AB441" s="22"/>
    </row>
    <row r="442" spans="1:28">
      <c r="A442" s="19"/>
      <c r="B442" s="12"/>
      <c r="C442" s="24"/>
      <c r="D442" s="12"/>
      <c r="E442" s="23"/>
      <c r="F442" s="17"/>
      <c r="G442" s="17"/>
      <c r="Z442" s="22"/>
      <c r="AB442" s="22"/>
    </row>
    <row r="443" spans="1:28">
      <c r="A443" s="19"/>
      <c r="B443" s="12"/>
      <c r="C443" s="24"/>
      <c r="D443" s="12"/>
      <c r="E443" s="23"/>
      <c r="F443" s="17"/>
      <c r="G443" s="17"/>
      <c r="Z443" s="22"/>
      <c r="AB443" s="22"/>
    </row>
    <row r="444" spans="1:28">
      <c r="A444" s="19"/>
      <c r="B444" s="12"/>
      <c r="C444" s="24"/>
      <c r="D444" s="12"/>
      <c r="E444" s="23"/>
      <c r="F444" s="17"/>
      <c r="G444" s="17"/>
      <c r="Z444" s="22"/>
      <c r="AB444" s="22"/>
    </row>
    <row r="445" spans="1:28">
      <c r="A445" s="19"/>
      <c r="B445" s="12"/>
      <c r="C445" s="24"/>
      <c r="D445" s="12"/>
      <c r="E445" s="23"/>
      <c r="F445" s="17"/>
      <c r="G445" s="17"/>
      <c r="Z445" s="22"/>
      <c r="AB445" s="22"/>
    </row>
    <row r="446" spans="1:28">
      <c r="A446" s="19"/>
      <c r="B446" s="12"/>
      <c r="C446" s="24"/>
      <c r="D446" s="12"/>
      <c r="E446" s="23"/>
      <c r="F446" s="17"/>
      <c r="G446" s="17"/>
      <c r="Z446" s="22"/>
      <c r="AB446" s="22"/>
    </row>
    <row r="447" spans="1:28">
      <c r="A447" s="19"/>
      <c r="B447" s="12"/>
      <c r="C447" s="24"/>
      <c r="D447" s="12"/>
      <c r="E447" s="23"/>
      <c r="F447" s="17"/>
      <c r="G447" s="17"/>
      <c r="Z447" s="22"/>
      <c r="AB447" s="22"/>
    </row>
    <row r="448" spans="1:28">
      <c r="A448" s="19"/>
      <c r="B448" s="12"/>
      <c r="C448" s="24"/>
      <c r="D448" s="12"/>
      <c r="E448" s="23"/>
      <c r="F448" s="17"/>
      <c r="G448" s="17"/>
      <c r="Z448" s="22"/>
      <c r="AB448" s="22"/>
    </row>
    <row r="449" spans="1:28">
      <c r="A449" s="19"/>
      <c r="B449" s="12"/>
      <c r="C449" s="24"/>
      <c r="D449" s="12"/>
      <c r="E449" s="23"/>
      <c r="F449" s="17"/>
      <c r="G449" s="17"/>
      <c r="Z449" s="22"/>
      <c r="AB449" s="22"/>
    </row>
    <row r="450" spans="1:28">
      <c r="A450" s="19"/>
      <c r="B450" s="12"/>
      <c r="C450" s="24"/>
      <c r="D450" s="12"/>
      <c r="E450" s="23"/>
      <c r="F450" s="17"/>
      <c r="G450" s="17"/>
      <c r="Z450" s="22"/>
      <c r="AB450" s="22"/>
    </row>
    <row r="451" spans="1:28">
      <c r="A451" s="19"/>
      <c r="B451" s="12"/>
      <c r="C451" s="24"/>
      <c r="D451" s="12"/>
      <c r="E451" s="23"/>
      <c r="F451" s="17"/>
      <c r="G451" s="17"/>
      <c r="Z451" s="22"/>
      <c r="AB451" s="22"/>
    </row>
    <row r="452" spans="1:28">
      <c r="A452" s="19"/>
      <c r="B452" s="12"/>
      <c r="C452" s="24"/>
      <c r="D452" s="12"/>
      <c r="E452" s="23"/>
      <c r="F452" s="17"/>
      <c r="G452" s="17"/>
      <c r="Z452" s="22"/>
      <c r="AB452" s="22"/>
    </row>
    <row r="453" spans="1:28">
      <c r="A453" s="19"/>
      <c r="B453" s="12"/>
      <c r="C453" s="24"/>
      <c r="D453" s="12"/>
      <c r="E453" s="23"/>
      <c r="F453" s="17"/>
      <c r="G453" s="17"/>
      <c r="Z453" s="22"/>
      <c r="AB453" s="22"/>
    </row>
    <row r="454" spans="1:28">
      <c r="A454" s="19"/>
      <c r="B454" s="12"/>
      <c r="C454" s="24"/>
      <c r="D454" s="12"/>
      <c r="E454" s="23"/>
      <c r="F454" s="17"/>
      <c r="G454" s="17"/>
      <c r="Z454" s="22"/>
      <c r="AB454" s="22"/>
    </row>
    <row r="455" spans="1:28">
      <c r="A455" s="19"/>
      <c r="B455" s="12"/>
      <c r="C455" s="24"/>
      <c r="D455" s="12"/>
      <c r="E455" s="23"/>
      <c r="F455" s="17"/>
      <c r="G455" s="17"/>
      <c r="Z455" s="22"/>
      <c r="AB455" s="22"/>
    </row>
    <row r="456" spans="1:28">
      <c r="A456" s="19"/>
      <c r="B456" s="12"/>
      <c r="C456" s="24"/>
      <c r="D456" s="12"/>
      <c r="E456" s="23"/>
      <c r="F456" s="17"/>
      <c r="G456" s="17"/>
      <c r="Z456" s="22"/>
      <c r="AB456" s="22"/>
    </row>
    <row r="457" spans="1:28">
      <c r="A457" s="19"/>
      <c r="B457" s="12"/>
      <c r="C457" s="24"/>
      <c r="D457" s="12"/>
      <c r="E457" s="23"/>
      <c r="F457" s="17"/>
      <c r="G457" s="17"/>
      <c r="Z457" s="22"/>
      <c r="AB457" s="22"/>
    </row>
    <row r="458" spans="1:28">
      <c r="A458" s="19"/>
      <c r="B458" s="12"/>
      <c r="C458" s="24"/>
      <c r="D458" s="12"/>
      <c r="E458" s="23"/>
      <c r="F458" s="17"/>
      <c r="G458" s="17"/>
      <c r="Z458" s="22"/>
      <c r="AB458" s="22"/>
    </row>
    <row r="459" spans="1:28">
      <c r="A459" s="19"/>
      <c r="B459" s="12"/>
      <c r="C459" s="24"/>
      <c r="D459" s="12"/>
      <c r="E459" s="23"/>
      <c r="F459" s="17"/>
      <c r="G459" s="17"/>
      <c r="Z459" s="22"/>
      <c r="AB459" s="22"/>
    </row>
    <row r="460" spans="1:28">
      <c r="A460" s="19"/>
      <c r="B460" s="12"/>
      <c r="C460" s="24"/>
      <c r="D460" s="12"/>
      <c r="E460" s="23"/>
      <c r="F460" s="17"/>
      <c r="G460" s="17"/>
      <c r="Z460" s="22"/>
      <c r="AB460" s="22"/>
    </row>
    <row r="461" spans="1:28">
      <c r="A461" s="19"/>
      <c r="B461" s="12"/>
      <c r="C461" s="24"/>
      <c r="D461" s="12"/>
      <c r="E461" s="23"/>
      <c r="F461" s="17"/>
      <c r="G461" s="17"/>
      <c r="Z461" s="22"/>
      <c r="AB461" s="22"/>
    </row>
    <row r="462" spans="1:28">
      <c r="A462" s="19"/>
      <c r="B462" s="12"/>
      <c r="C462" s="24"/>
      <c r="D462" s="12"/>
      <c r="E462" s="23"/>
      <c r="F462" s="17"/>
      <c r="G462" s="17"/>
      <c r="Z462" s="22"/>
      <c r="AB462" s="22"/>
    </row>
    <row r="463" spans="1:28">
      <c r="A463" s="19"/>
      <c r="B463" s="12"/>
      <c r="C463" s="24"/>
      <c r="D463" s="12"/>
      <c r="E463" s="23"/>
      <c r="F463" s="17"/>
      <c r="G463" s="17"/>
      <c r="Z463" s="22"/>
      <c r="AB463" s="22"/>
    </row>
    <row r="464" spans="1:28">
      <c r="A464" s="19"/>
      <c r="B464" s="12"/>
      <c r="C464" s="24"/>
      <c r="D464" s="12"/>
      <c r="E464" s="23"/>
      <c r="F464" s="17"/>
      <c r="G464" s="17"/>
      <c r="Z464" s="22"/>
      <c r="AB464" s="22"/>
    </row>
    <row r="465" spans="1:28">
      <c r="A465" s="19"/>
      <c r="B465" s="12"/>
      <c r="C465" s="24"/>
      <c r="D465" s="12"/>
      <c r="E465" s="23"/>
      <c r="F465" s="17"/>
      <c r="G465" s="17"/>
      <c r="Z465" s="22"/>
      <c r="AB465" s="22"/>
    </row>
    <row r="466" spans="1:28">
      <c r="A466" s="19"/>
      <c r="B466" s="12"/>
      <c r="C466" s="24"/>
      <c r="D466" s="12"/>
      <c r="E466" s="23"/>
      <c r="F466" s="17"/>
      <c r="G466" s="17"/>
      <c r="Z466" s="22"/>
      <c r="AB466" s="22"/>
    </row>
    <row r="467" spans="1:28">
      <c r="A467" s="19"/>
      <c r="B467" s="12"/>
      <c r="C467" s="24"/>
      <c r="D467" s="12"/>
      <c r="E467" s="23"/>
      <c r="F467" s="17"/>
      <c r="G467" s="17"/>
      <c r="Z467" s="22"/>
      <c r="AB467" s="22"/>
    </row>
    <row r="468" spans="1:28">
      <c r="A468" s="19"/>
      <c r="B468" s="12"/>
      <c r="C468" s="24"/>
      <c r="D468" s="12"/>
      <c r="E468" s="23"/>
      <c r="F468" s="17"/>
      <c r="G468" s="17"/>
      <c r="Z468" s="22"/>
      <c r="AB468" s="22"/>
    </row>
    <row r="469" spans="1:28">
      <c r="A469" s="19"/>
      <c r="B469" s="12"/>
      <c r="C469" s="24"/>
      <c r="D469" s="12"/>
      <c r="E469" s="23"/>
      <c r="F469" s="17"/>
      <c r="G469" s="17"/>
      <c r="Z469" s="22"/>
      <c r="AB469" s="22"/>
    </row>
    <row r="470" spans="1:28">
      <c r="A470" s="19"/>
      <c r="B470" s="12"/>
      <c r="C470" s="24"/>
      <c r="D470" s="12"/>
      <c r="E470" s="23"/>
      <c r="F470" s="17"/>
      <c r="G470" s="17"/>
      <c r="Z470" s="22"/>
      <c r="AB470" s="22"/>
    </row>
    <row r="471" spans="1:28">
      <c r="A471" s="19"/>
      <c r="B471" s="12"/>
      <c r="C471" s="24"/>
      <c r="D471" s="12"/>
      <c r="E471" s="23"/>
      <c r="F471" s="17"/>
      <c r="G471" s="17"/>
      <c r="Z471" s="22"/>
      <c r="AB471" s="22"/>
    </row>
    <row r="472" spans="1:28">
      <c r="A472" s="19"/>
      <c r="B472" s="12"/>
      <c r="C472" s="24"/>
      <c r="D472" s="12"/>
      <c r="E472" s="23"/>
      <c r="F472" s="17"/>
      <c r="G472" s="17"/>
      <c r="Z472" s="22"/>
      <c r="AB472" s="22"/>
    </row>
    <row r="473" spans="1:28">
      <c r="A473" s="19"/>
      <c r="B473" s="12"/>
      <c r="C473" s="24"/>
      <c r="D473" s="12"/>
      <c r="E473" s="23"/>
      <c r="F473" s="17"/>
      <c r="G473" s="17"/>
      <c r="Z473" s="22"/>
      <c r="AB473" s="22"/>
    </row>
    <row r="474" spans="1:28">
      <c r="A474" s="19"/>
      <c r="B474" s="12"/>
      <c r="C474" s="24"/>
      <c r="D474" s="12"/>
      <c r="E474" s="23"/>
      <c r="F474" s="17"/>
      <c r="G474" s="17"/>
      <c r="Z474" s="22"/>
      <c r="AB474" s="22"/>
    </row>
    <row r="475" spans="1:28">
      <c r="A475" s="19"/>
      <c r="B475" s="12"/>
      <c r="C475" s="24"/>
      <c r="D475" s="12"/>
      <c r="E475" s="23"/>
      <c r="F475" s="17"/>
      <c r="G475" s="17"/>
      <c r="Z475" s="22"/>
      <c r="AB475" s="22"/>
    </row>
    <row r="476" spans="1:28">
      <c r="A476" s="19"/>
      <c r="B476" s="12"/>
      <c r="C476" s="24"/>
      <c r="D476" s="12"/>
      <c r="E476" s="23"/>
      <c r="F476" s="17"/>
      <c r="G476" s="17"/>
      <c r="Z476" s="22"/>
      <c r="AB476" s="22"/>
    </row>
    <row r="477" spans="1:28">
      <c r="A477" s="19"/>
      <c r="B477" s="12"/>
      <c r="C477" s="24"/>
      <c r="D477" s="12"/>
      <c r="E477" s="23"/>
      <c r="F477" s="17"/>
      <c r="G477" s="17"/>
      <c r="Z477" s="22"/>
      <c r="AB477" s="22"/>
    </row>
    <row r="478" spans="1:28">
      <c r="A478" s="19"/>
      <c r="B478" s="12"/>
      <c r="C478" s="24"/>
      <c r="D478" s="12"/>
      <c r="E478" s="23"/>
      <c r="F478" s="17"/>
      <c r="G478" s="17"/>
      <c r="Z478" s="22"/>
      <c r="AB478" s="22"/>
    </row>
    <row r="479" spans="1:28">
      <c r="A479" s="19"/>
      <c r="B479" s="12"/>
      <c r="C479" s="24"/>
      <c r="D479" s="12"/>
      <c r="E479" s="23"/>
      <c r="F479" s="17"/>
      <c r="G479" s="17"/>
      <c r="Z479" s="22"/>
      <c r="AB479" s="22"/>
    </row>
    <row r="480" spans="1:28">
      <c r="A480" s="19"/>
      <c r="B480" s="12"/>
      <c r="C480" s="24"/>
      <c r="D480" s="12"/>
      <c r="E480" s="23"/>
      <c r="F480" s="17"/>
      <c r="G480" s="17"/>
      <c r="Z480" s="22"/>
      <c r="AB480" s="22"/>
    </row>
    <row r="481" spans="1:28">
      <c r="A481" s="19"/>
      <c r="B481" s="12"/>
      <c r="C481" s="24"/>
      <c r="D481" s="12"/>
      <c r="E481" s="23"/>
      <c r="F481" s="17"/>
      <c r="G481" s="17"/>
      <c r="Z481" s="22"/>
      <c r="AB481" s="22"/>
    </row>
    <row r="482" spans="1:28">
      <c r="A482" s="19"/>
      <c r="B482" s="12"/>
      <c r="C482" s="24"/>
      <c r="D482" s="12"/>
      <c r="E482" s="23"/>
      <c r="F482" s="17"/>
      <c r="G482" s="17"/>
      <c r="Z482" s="22"/>
      <c r="AB482" s="22"/>
    </row>
    <row r="483" spans="1:28">
      <c r="A483" s="19"/>
      <c r="B483" s="12"/>
      <c r="C483" s="24"/>
      <c r="D483" s="12"/>
      <c r="E483" s="23"/>
      <c r="F483" s="17"/>
      <c r="G483" s="17"/>
      <c r="Z483" s="22"/>
      <c r="AB483" s="22"/>
    </row>
    <row r="484" spans="1:28">
      <c r="A484" s="19"/>
      <c r="B484" s="12"/>
      <c r="C484" s="24"/>
      <c r="D484" s="12"/>
      <c r="E484" s="23"/>
      <c r="F484" s="17"/>
      <c r="G484" s="17"/>
      <c r="Z484" s="22"/>
      <c r="AB484" s="22"/>
    </row>
    <row r="485" spans="1:28">
      <c r="A485" s="19"/>
      <c r="B485" s="12"/>
      <c r="C485" s="24"/>
      <c r="D485" s="12"/>
      <c r="E485" s="23"/>
      <c r="F485" s="17"/>
      <c r="G485" s="17"/>
      <c r="Z485" s="22"/>
      <c r="AB485" s="22"/>
    </row>
    <row r="486" spans="1:28">
      <c r="A486" s="19"/>
      <c r="B486" s="12"/>
      <c r="C486" s="24"/>
      <c r="D486" s="12"/>
      <c r="E486" s="23"/>
      <c r="F486" s="17"/>
      <c r="G486" s="17"/>
      <c r="Z486" s="22"/>
      <c r="AB486" s="22"/>
    </row>
    <row r="487" spans="1:28">
      <c r="A487" s="19"/>
      <c r="B487" s="12"/>
      <c r="C487" s="24"/>
      <c r="D487" s="12"/>
      <c r="E487" s="23"/>
      <c r="F487" s="17"/>
      <c r="G487" s="17"/>
      <c r="Z487" s="22"/>
      <c r="AB487" s="22"/>
    </row>
    <row r="488" spans="1:28">
      <c r="A488" s="19"/>
      <c r="B488" s="12"/>
      <c r="C488" s="24"/>
      <c r="D488" s="12"/>
      <c r="E488" s="23"/>
      <c r="F488" s="17"/>
      <c r="G488" s="17"/>
      <c r="Z488" s="22"/>
      <c r="AB488" s="22"/>
    </row>
    <row r="489" spans="1:28">
      <c r="A489" s="19"/>
      <c r="B489" s="12"/>
      <c r="C489" s="24"/>
      <c r="D489" s="12"/>
      <c r="E489" s="23"/>
      <c r="F489" s="17"/>
      <c r="G489" s="17"/>
      <c r="Z489" s="22"/>
      <c r="AB489" s="22"/>
    </row>
    <row r="490" spans="1:28">
      <c r="A490" s="19"/>
      <c r="B490" s="12"/>
      <c r="C490" s="24"/>
      <c r="D490" s="12"/>
      <c r="E490" s="23"/>
      <c r="F490" s="17"/>
      <c r="G490" s="17"/>
      <c r="Z490" s="22"/>
      <c r="AB490" s="22"/>
    </row>
    <row r="491" spans="1:28">
      <c r="A491" s="19"/>
      <c r="B491" s="12"/>
      <c r="C491" s="24"/>
      <c r="D491" s="12"/>
      <c r="E491" s="23"/>
      <c r="F491" s="17"/>
      <c r="G491" s="17"/>
      <c r="Z491" s="22"/>
      <c r="AB491" s="22"/>
    </row>
    <row r="492" spans="1:28">
      <c r="A492" s="19"/>
      <c r="B492" s="12"/>
      <c r="C492" s="24"/>
      <c r="D492" s="12"/>
      <c r="E492" s="23"/>
      <c r="F492" s="17"/>
      <c r="G492" s="17"/>
      <c r="Z492" s="22"/>
      <c r="AB492" s="22"/>
    </row>
    <row r="493" spans="1:28">
      <c r="A493" s="19"/>
      <c r="B493" s="12"/>
      <c r="C493" s="24"/>
      <c r="D493" s="12"/>
      <c r="E493" s="23"/>
      <c r="F493" s="17"/>
      <c r="G493" s="17"/>
      <c r="Z493" s="22"/>
      <c r="AB493" s="22"/>
    </row>
    <row r="494" spans="1:28">
      <c r="A494" s="19"/>
      <c r="B494" s="12"/>
      <c r="C494" s="24"/>
      <c r="D494" s="12"/>
      <c r="E494" s="23"/>
      <c r="F494" s="17"/>
      <c r="G494" s="17"/>
      <c r="Z494" s="22"/>
      <c r="AB494" s="22"/>
    </row>
    <row r="495" spans="1:28">
      <c r="A495" s="19"/>
      <c r="B495" s="12"/>
      <c r="C495" s="24"/>
      <c r="D495" s="12"/>
      <c r="E495" s="23"/>
      <c r="F495" s="17"/>
      <c r="G495" s="17"/>
      <c r="Z495" s="22"/>
      <c r="AB495" s="22"/>
    </row>
    <row r="496" spans="1:28">
      <c r="A496" s="19"/>
      <c r="B496" s="12"/>
      <c r="C496" s="24"/>
      <c r="D496" s="12"/>
      <c r="E496" s="23"/>
      <c r="F496" s="17"/>
      <c r="G496" s="17"/>
      <c r="Z496" s="22"/>
      <c r="AB496" s="22"/>
    </row>
    <row r="497" spans="1:28">
      <c r="A497" s="19"/>
      <c r="B497" s="12"/>
      <c r="C497" s="24"/>
      <c r="D497" s="12"/>
      <c r="E497" s="23"/>
      <c r="F497" s="17"/>
      <c r="G497" s="17"/>
      <c r="Z497" s="22"/>
      <c r="AB497" s="22"/>
    </row>
    <row r="498" spans="1:28">
      <c r="A498" s="19"/>
      <c r="B498" s="12"/>
      <c r="C498" s="24"/>
      <c r="D498" s="12"/>
      <c r="E498" s="23"/>
      <c r="F498" s="17"/>
      <c r="G498" s="17"/>
      <c r="Z498" s="22"/>
      <c r="AB498" s="22"/>
    </row>
    <row r="499" spans="1:28">
      <c r="A499" s="19"/>
      <c r="B499" s="12"/>
      <c r="C499" s="24"/>
      <c r="D499" s="12"/>
      <c r="E499" s="23"/>
      <c r="F499" s="17"/>
      <c r="G499" s="17"/>
      <c r="Z499" s="22"/>
      <c r="AB499" s="22"/>
    </row>
    <row r="500" spans="1:28">
      <c r="A500" s="19"/>
      <c r="B500" s="12"/>
      <c r="C500" s="24"/>
      <c r="D500" s="12"/>
      <c r="E500" s="23"/>
      <c r="F500" s="17"/>
      <c r="G500" s="17"/>
      <c r="Z500" s="22"/>
      <c r="AB500" s="22"/>
    </row>
    <row r="501" spans="1:28">
      <c r="A501" s="19"/>
      <c r="B501" s="12"/>
      <c r="C501" s="24"/>
      <c r="D501" s="12"/>
      <c r="E501" s="23"/>
      <c r="F501" s="17"/>
      <c r="G501" s="17"/>
      <c r="Z501" s="22"/>
      <c r="AB501" s="22"/>
    </row>
    <row r="502" spans="1:28">
      <c r="A502" s="19"/>
      <c r="B502" s="12"/>
      <c r="C502" s="24"/>
      <c r="D502" s="12"/>
      <c r="E502" s="23"/>
      <c r="F502" s="17"/>
      <c r="G502" s="17"/>
      <c r="Z502" s="22"/>
      <c r="AB502" s="22"/>
    </row>
    <row r="503" spans="1:28">
      <c r="A503" s="19"/>
      <c r="B503" s="12"/>
      <c r="C503" s="24"/>
      <c r="D503" s="12"/>
      <c r="E503" s="23"/>
      <c r="F503" s="17"/>
      <c r="G503" s="17"/>
      <c r="Z503" s="22"/>
      <c r="AB503" s="22"/>
    </row>
    <row r="504" spans="1:28">
      <c r="A504" s="19"/>
      <c r="B504" s="12"/>
      <c r="C504" s="24"/>
      <c r="D504" s="12"/>
      <c r="E504" s="23"/>
      <c r="F504" s="17"/>
      <c r="G504" s="17"/>
      <c r="Z504" s="22"/>
      <c r="AB504" s="22"/>
    </row>
    <row r="505" spans="1:28">
      <c r="A505" s="19"/>
      <c r="B505" s="12"/>
      <c r="C505" s="24"/>
      <c r="D505" s="12"/>
      <c r="E505" s="23"/>
      <c r="F505" s="17"/>
      <c r="G505" s="17"/>
      <c r="Z505" s="22"/>
      <c r="AB505" s="22"/>
    </row>
    <row r="506" spans="1:28">
      <c r="A506" s="19"/>
      <c r="B506" s="12"/>
      <c r="C506" s="24"/>
      <c r="D506" s="12"/>
      <c r="E506" s="23"/>
      <c r="F506" s="17"/>
      <c r="G506" s="17"/>
      <c r="Z506" s="22"/>
      <c r="AB506" s="22"/>
    </row>
    <row r="507" spans="1:28">
      <c r="A507" s="19"/>
      <c r="B507" s="12"/>
      <c r="C507" s="24"/>
      <c r="D507" s="12"/>
      <c r="E507" s="23"/>
      <c r="F507" s="17"/>
      <c r="G507" s="17"/>
      <c r="Z507" s="22"/>
      <c r="AB507" s="22"/>
    </row>
    <row r="508" spans="1:28">
      <c r="A508" s="19"/>
      <c r="B508" s="12"/>
      <c r="C508" s="24"/>
      <c r="D508" s="12"/>
      <c r="E508" s="23"/>
      <c r="F508" s="17"/>
      <c r="G508" s="17"/>
      <c r="Z508" s="22"/>
      <c r="AB508" s="22"/>
    </row>
    <row r="509" spans="1:28">
      <c r="A509" s="19"/>
      <c r="B509" s="12"/>
      <c r="C509" s="24"/>
      <c r="D509" s="12"/>
      <c r="E509" s="23"/>
      <c r="F509" s="17"/>
      <c r="G509" s="17"/>
      <c r="Z509" s="22"/>
      <c r="AB509" s="22"/>
    </row>
    <row r="510" spans="1:28">
      <c r="A510" s="19"/>
      <c r="B510" s="12"/>
      <c r="C510" s="24"/>
      <c r="D510" s="12"/>
      <c r="E510" s="23"/>
      <c r="F510" s="17"/>
      <c r="G510" s="17"/>
      <c r="Z510" s="22"/>
      <c r="AB510" s="22"/>
    </row>
    <row r="511" spans="1:28">
      <c r="A511" s="19"/>
      <c r="B511" s="12"/>
      <c r="C511" s="24"/>
      <c r="D511" s="12"/>
      <c r="E511" s="23"/>
      <c r="F511" s="17"/>
      <c r="G511" s="17"/>
      <c r="Z511" s="22"/>
      <c r="AB511" s="22"/>
    </row>
    <row r="512" spans="1:28">
      <c r="A512" s="19"/>
      <c r="B512" s="12"/>
      <c r="C512" s="24"/>
      <c r="D512" s="12"/>
      <c r="E512" s="23"/>
      <c r="F512" s="17"/>
      <c r="G512" s="17"/>
      <c r="Z512" s="22"/>
      <c r="AB512" s="22"/>
    </row>
    <row r="513" spans="1:28">
      <c r="A513" s="19"/>
      <c r="B513" s="12"/>
      <c r="C513" s="24"/>
      <c r="D513" s="12"/>
      <c r="E513" s="23"/>
      <c r="F513" s="17"/>
      <c r="G513" s="17"/>
      <c r="Z513" s="22"/>
      <c r="AB513" s="22"/>
    </row>
    <row r="514" spans="1:28">
      <c r="A514" s="19"/>
      <c r="B514" s="12"/>
      <c r="C514" s="24"/>
      <c r="D514" s="12"/>
      <c r="E514" s="23"/>
      <c r="F514" s="17"/>
      <c r="G514" s="17"/>
      <c r="Z514" s="22"/>
      <c r="AB514" s="22"/>
    </row>
    <row r="515" spans="1:28">
      <c r="A515" s="19"/>
      <c r="B515" s="12"/>
      <c r="C515" s="24"/>
      <c r="D515" s="12"/>
      <c r="E515" s="23"/>
      <c r="F515" s="17"/>
      <c r="G515" s="17"/>
      <c r="Z515" s="22"/>
      <c r="AB515" s="22"/>
    </row>
    <row r="516" spans="1:28">
      <c r="A516" s="19"/>
      <c r="B516" s="12"/>
      <c r="C516" s="24"/>
      <c r="D516" s="12"/>
      <c r="E516" s="23"/>
      <c r="F516" s="17"/>
      <c r="G516" s="17"/>
      <c r="Z516" s="22"/>
      <c r="AB516" s="22"/>
    </row>
    <row r="517" spans="1:28">
      <c r="A517" s="19"/>
      <c r="B517" s="12"/>
      <c r="C517" s="24"/>
      <c r="D517" s="12"/>
      <c r="E517" s="23"/>
      <c r="F517" s="17"/>
      <c r="G517" s="17"/>
      <c r="Z517" s="22"/>
      <c r="AB517" s="22"/>
    </row>
    <row r="518" spans="1:28">
      <c r="A518" s="19"/>
      <c r="B518" s="12"/>
      <c r="C518" s="24"/>
      <c r="D518" s="12"/>
      <c r="E518" s="23"/>
      <c r="F518" s="17"/>
      <c r="G518" s="17"/>
      <c r="Z518" s="22"/>
      <c r="AB518" s="22"/>
    </row>
    <row r="519" spans="1:28">
      <c r="A519" s="19"/>
      <c r="B519" s="12"/>
      <c r="C519" s="24"/>
      <c r="D519" s="12"/>
      <c r="E519" s="23"/>
      <c r="F519" s="17"/>
      <c r="G519" s="17"/>
      <c r="Z519" s="22"/>
      <c r="AB519" s="22"/>
    </row>
    <row r="520" spans="1:28">
      <c r="A520" s="19"/>
      <c r="B520" s="12"/>
      <c r="C520" s="24"/>
      <c r="D520" s="12"/>
      <c r="E520" s="23"/>
      <c r="F520" s="17"/>
      <c r="G520" s="17"/>
      <c r="Z520" s="22"/>
      <c r="AB520" s="22"/>
    </row>
    <row r="521" spans="1:28">
      <c r="A521" s="19"/>
      <c r="B521" s="12"/>
      <c r="C521" s="24"/>
      <c r="D521" s="12"/>
      <c r="E521" s="23"/>
      <c r="F521" s="17"/>
      <c r="G521" s="17"/>
      <c r="Z521" s="22"/>
      <c r="AB521" s="22"/>
    </row>
    <row r="522" spans="1:28">
      <c r="A522" s="19"/>
      <c r="B522" s="12"/>
      <c r="C522" s="24"/>
      <c r="D522" s="12"/>
      <c r="E522" s="23"/>
      <c r="F522" s="17"/>
      <c r="G522" s="17"/>
      <c r="Z522" s="22"/>
      <c r="AB522" s="22"/>
    </row>
    <row r="523" spans="1:28">
      <c r="A523" s="19"/>
      <c r="B523" s="12"/>
      <c r="C523" s="24"/>
      <c r="D523" s="12"/>
      <c r="E523" s="23"/>
      <c r="F523" s="17"/>
      <c r="G523" s="17"/>
      <c r="Z523" s="22"/>
      <c r="AB523" s="22"/>
    </row>
    <row r="524" spans="1:28">
      <c r="A524" s="19"/>
      <c r="B524" s="12"/>
      <c r="C524" s="24"/>
      <c r="D524" s="12"/>
      <c r="E524" s="23"/>
      <c r="F524" s="17"/>
      <c r="G524" s="17"/>
      <c r="Z524" s="22"/>
      <c r="AB524" s="22"/>
    </row>
    <row r="525" spans="1:28">
      <c r="A525" s="19"/>
      <c r="B525" s="12"/>
      <c r="C525" s="24"/>
      <c r="D525" s="12"/>
      <c r="E525" s="23"/>
      <c r="F525" s="17"/>
      <c r="G525" s="17"/>
      <c r="Z525" s="22"/>
      <c r="AB525" s="22"/>
    </row>
    <row r="526" spans="1:28">
      <c r="A526" s="19"/>
      <c r="B526" s="12"/>
      <c r="C526" s="24"/>
      <c r="D526" s="12"/>
      <c r="E526" s="23"/>
      <c r="F526" s="17"/>
      <c r="G526" s="17"/>
      <c r="Z526" s="22"/>
      <c r="AB526" s="22"/>
    </row>
    <row r="527" spans="1:28">
      <c r="A527" s="19"/>
      <c r="B527" s="12"/>
      <c r="C527" s="24"/>
      <c r="D527" s="12"/>
      <c r="E527" s="23"/>
      <c r="F527" s="17"/>
      <c r="G527" s="17"/>
      <c r="Z527" s="22"/>
      <c r="AB527" s="22"/>
    </row>
    <row r="528" spans="1:28">
      <c r="A528" s="19"/>
      <c r="B528" s="12"/>
      <c r="C528" s="24"/>
      <c r="D528" s="12"/>
      <c r="E528" s="23"/>
      <c r="F528" s="17"/>
      <c r="G528" s="17"/>
      <c r="Z528" s="22"/>
      <c r="AB528" s="22"/>
    </row>
    <row r="529" spans="1:28">
      <c r="A529" s="19"/>
      <c r="B529" s="12"/>
      <c r="C529" s="24"/>
      <c r="D529" s="12"/>
      <c r="E529" s="23"/>
      <c r="F529" s="17"/>
      <c r="G529" s="17"/>
      <c r="Z529" s="22"/>
      <c r="AB529" s="22"/>
    </row>
    <row r="530" spans="1:28">
      <c r="A530" s="19"/>
      <c r="B530" s="12"/>
      <c r="C530" s="24"/>
      <c r="D530" s="12"/>
      <c r="E530" s="23"/>
      <c r="F530" s="17"/>
      <c r="G530" s="17"/>
      <c r="Z530" s="22"/>
      <c r="AB530" s="22"/>
    </row>
    <row r="531" spans="1:28">
      <c r="A531" s="19"/>
      <c r="B531" s="12"/>
      <c r="C531" s="24"/>
      <c r="D531" s="12"/>
      <c r="E531" s="23"/>
      <c r="F531" s="17"/>
      <c r="G531" s="17"/>
      <c r="Z531" s="22"/>
      <c r="AB531" s="22"/>
    </row>
    <row r="532" spans="1:28">
      <c r="A532" s="19"/>
      <c r="B532" s="12"/>
      <c r="C532" s="24"/>
      <c r="D532" s="12"/>
      <c r="E532" s="23"/>
      <c r="F532" s="17"/>
      <c r="G532" s="17"/>
      <c r="Z532" s="22"/>
      <c r="AB532" s="22"/>
    </row>
    <row r="533" spans="1:28">
      <c r="A533" s="19"/>
      <c r="B533" s="12"/>
      <c r="C533" s="24"/>
      <c r="D533" s="12"/>
      <c r="E533" s="23"/>
      <c r="F533" s="17"/>
      <c r="G533" s="17"/>
      <c r="Z533" s="22"/>
      <c r="AB533" s="22"/>
    </row>
    <row r="534" spans="1:28">
      <c r="A534" s="19"/>
      <c r="B534" s="12"/>
      <c r="C534" s="24"/>
      <c r="D534" s="12"/>
      <c r="E534" s="23"/>
      <c r="F534" s="17"/>
      <c r="G534" s="17"/>
      <c r="Z534" s="22"/>
      <c r="AB534" s="22"/>
    </row>
    <row r="535" spans="1:28">
      <c r="A535" s="19"/>
      <c r="B535" s="12"/>
      <c r="C535" s="24"/>
      <c r="D535" s="12"/>
      <c r="E535" s="23"/>
      <c r="F535" s="17"/>
      <c r="G535" s="17"/>
      <c r="Z535" s="22"/>
      <c r="AB535" s="22"/>
    </row>
    <row r="536" spans="1:28">
      <c r="A536" s="19"/>
      <c r="B536" s="12"/>
      <c r="C536" s="24"/>
      <c r="D536" s="12"/>
      <c r="E536" s="23"/>
      <c r="F536" s="17"/>
      <c r="G536" s="17"/>
      <c r="Z536" s="22"/>
      <c r="AB536" s="22"/>
    </row>
    <row r="537" spans="1:28">
      <c r="A537" s="19"/>
      <c r="B537" s="12"/>
      <c r="C537" s="24"/>
      <c r="D537" s="12"/>
      <c r="E537" s="23"/>
      <c r="F537" s="17"/>
      <c r="G537" s="17"/>
      <c r="Z537" s="22"/>
      <c r="AB537" s="22"/>
    </row>
    <row r="538" spans="1:28">
      <c r="A538" s="19"/>
      <c r="B538" s="12"/>
      <c r="C538" s="24"/>
      <c r="D538" s="12"/>
      <c r="E538" s="23"/>
      <c r="F538" s="17"/>
      <c r="G538" s="17"/>
      <c r="Z538" s="22"/>
      <c r="AB538" s="22"/>
    </row>
    <row r="539" spans="1:28">
      <c r="A539" s="19"/>
      <c r="B539" s="12"/>
      <c r="C539" s="24"/>
      <c r="D539" s="12"/>
      <c r="E539" s="23"/>
      <c r="F539" s="17"/>
      <c r="G539" s="17"/>
      <c r="Z539" s="22"/>
      <c r="AB539" s="22"/>
    </row>
    <row r="540" spans="1:28">
      <c r="A540" s="19"/>
      <c r="B540" s="12"/>
      <c r="C540" s="24"/>
      <c r="D540" s="12"/>
      <c r="E540" s="23"/>
      <c r="F540" s="17"/>
      <c r="G540" s="17"/>
      <c r="Z540" s="22"/>
      <c r="AB540" s="22"/>
    </row>
    <row r="541" spans="1:28">
      <c r="A541" s="19"/>
      <c r="B541" s="12"/>
      <c r="C541" s="24"/>
      <c r="D541" s="12"/>
      <c r="E541" s="23"/>
      <c r="F541" s="17"/>
      <c r="G541" s="17"/>
      <c r="Z541" s="22"/>
      <c r="AB541" s="22"/>
    </row>
    <row r="542" spans="1:28">
      <c r="A542" s="19"/>
      <c r="B542" s="12"/>
      <c r="C542" s="24"/>
      <c r="D542" s="12"/>
      <c r="E542" s="23"/>
      <c r="F542" s="17"/>
      <c r="G542" s="17"/>
      <c r="Z542" s="22"/>
      <c r="AB542" s="22"/>
    </row>
    <row r="543" spans="1:28">
      <c r="A543" s="19"/>
      <c r="B543" s="12"/>
      <c r="C543" s="24"/>
      <c r="D543" s="12"/>
      <c r="E543" s="23"/>
      <c r="F543" s="17"/>
      <c r="G543" s="17"/>
      <c r="Z543" s="22"/>
      <c r="AB543" s="22"/>
    </row>
    <row r="544" spans="1:28">
      <c r="A544" s="19"/>
      <c r="B544" s="12"/>
      <c r="C544" s="24"/>
      <c r="D544" s="12"/>
      <c r="E544" s="23"/>
      <c r="F544" s="17"/>
      <c r="G544" s="17"/>
      <c r="Z544" s="22"/>
      <c r="AB544" s="22"/>
    </row>
    <row r="545" spans="1:28">
      <c r="A545" s="19"/>
      <c r="B545" s="12"/>
      <c r="C545" s="24"/>
      <c r="D545" s="12"/>
      <c r="E545" s="23"/>
      <c r="F545" s="17"/>
      <c r="G545" s="17"/>
      <c r="Z545" s="22"/>
      <c r="AB545" s="22"/>
    </row>
    <row r="546" spans="1:28">
      <c r="A546" s="19"/>
      <c r="B546" s="12"/>
      <c r="C546" s="24"/>
      <c r="D546" s="12"/>
      <c r="E546" s="23"/>
      <c r="F546" s="17"/>
      <c r="G546" s="17"/>
      <c r="Z546" s="22"/>
      <c r="AB546" s="22"/>
    </row>
    <row r="547" spans="1:28">
      <c r="A547" s="19"/>
      <c r="B547" s="12"/>
      <c r="C547" s="24"/>
      <c r="D547" s="12"/>
      <c r="E547" s="23"/>
      <c r="F547" s="17"/>
      <c r="G547" s="17"/>
      <c r="Z547" s="22"/>
      <c r="AB547" s="22"/>
    </row>
    <row r="548" spans="1:28">
      <c r="A548" s="19"/>
      <c r="B548" s="12"/>
      <c r="C548" s="24"/>
      <c r="D548" s="12"/>
      <c r="E548" s="23"/>
      <c r="F548" s="17"/>
      <c r="G548" s="17"/>
      <c r="Z548" s="22"/>
      <c r="AB548" s="22"/>
    </row>
    <row r="549" spans="1:28">
      <c r="A549" s="19"/>
      <c r="B549" s="12"/>
      <c r="C549" s="24"/>
      <c r="D549" s="12"/>
      <c r="E549" s="23"/>
      <c r="F549" s="17"/>
      <c r="G549" s="17"/>
      <c r="Z549" s="22"/>
      <c r="AB549" s="22"/>
    </row>
    <row r="550" spans="1:28">
      <c r="A550" s="19"/>
      <c r="B550" s="12"/>
      <c r="C550" s="24"/>
      <c r="D550" s="12"/>
      <c r="E550" s="23"/>
      <c r="F550" s="17"/>
      <c r="G550" s="17"/>
      <c r="Z550" s="22"/>
      <c r="AB550" s="22"/>
    </row>
    <row r="551" spans="1:28">
      <c r="A551" s="19"/>
      <c r="B551" s="12"/>
      <c r="C551" s="24"/>
      <c r="D551" s="12"/>
      <c r="E551" s="23"/>
      <c r="F551" s="17"/>
      <c r="G551" s="17"/>
      <c r="Z551" s="22"/>
      <c r="AB551" s="22"/>
    </row>
    <row r="552" spans="1:28">
      <c r="A552" s="19"/>
      <c r="B552" s="12"/>
      <c r="C552" s="24"/>
      <c r="D552" s="12"/>
      <c r="E552" s="23"/>
      <c r="F552" s="17"/>
      <c r="G552" s="17"/>
      <c r="Z552" s="22"/>
      <c r="AB552" s="22"/>
    </row>
    <row r="553" spans="1:28">
      <c r="A553" s="19"/>
      <c r="B553" s="12"/>
      <c r="C553" s="24"/>
      <c r="D553" s="12"/>
      <c r="E553" s="23"/>
      <c r="F553" s="17"/>
      <c r="G553" s="17"/>
      <c r="Z553" s="22"/>
      <c r="AB553" s="22"/>
    </row>
    <row r="554" spans="1:28">
      <c r="A554" s="19"/>
      <c r="B554" s="12"/>
      <c r="C554" s="24"/>
      <c r="D554" s="12"/>
      <c r="E554" s="23"/>
      <c r="F554" s="17"/>
      <c r="G554" s="17"/>
      <c r="Z554" s="22"/>
      <c r="AB554" s="22"/>
    </row>
    <row r="555" spans="1:28">
      <c r="A555" s="19"/>
      <c r="B555" s="12"/>
      <c r="C555" s="24"/>
      <c r="D555" s="12"/>
      <c r="E555" s="23"/>
      <c r="F555" s="17"/>
      <c r="G555" s="17"/>
      <c r="Z555" s="22"/>
      <c r="AB555" s="22"/>
    </row>
    <row r="556" spans="1:28">
      <c r="A556" s="19"/>
      <c r="B556" s="12"/>
      <c r="C556" s="24"/>
      <c r="D556" s="12"/>
      <c r="E556" s="23"/>
      <c r="F556" s="17"/>
      <c r="G556" s="17"/>
      <c r="Z556" s="22"/>
      <c r="AB556" s="22"/>
    </row>
    <row r="557" spans="1:28">
      <c r="A557" s="19"/>
      <c r="B557" s="12"/>
      <c r="C557" s="24"/>
      <c r="D557" s="12"/>
      <c r="E557" s="23"/>
      <c r="F557" s="17"/>
      <c r="G557" s="17"/>
      <c r="Z557" s="22"/>
      <c r="AB557" s="22"/>
    </row>
    <row r="558" spans="1:28">
      <c r="A558" s="19"/>
      <c r="B558" s="12"/>
      <c r="C558" s="24"/>
      <c r="D558" s="12"/>
      <c r="E558" s="23"/>
      <c r="F558" s="17"/>
      <c r="G558" s="17"/>
      <c r="Z558" s="22"/>
      <c r="AB558" s="22"/>
    </row>
    <row r="559" spans="1:28">
      <c r="A559" s="19"/>
      <c r="B559" s="12"/>
      <c r="C559" s="24"/>
      <c r="D559" s="12"/>
      <c r="E559" s="23"/>
      <c r="F559" s="17"/>
      <c r="G559" s="17"/>
      <c r="Z559" s="22"/>
      <c r="AB559" s="22"/>
    </row>
    <row r="560" spans="1:28">
      <c r="A560" s="19"/>
      <c r="B560" s="12"/>
      <c r="C560" s="24"/>
      <c r="D560" s="12"/>
      <c r="E560" s="23"/>
      <c r="F560" s="17"/>
      <c r="G560" s="17"/>
      <c r="Z560" s="22"/>
      <c r="AB560" s="22"/>
    </row>
    <row r="561" spans="1:28">
      <c r="A561" s="19"/>
      <c r="B561" s="12"/>
      <c r="C561" s="24"/>
      <c r="D561" s="12"/>
      <c r="E561" s="23"/>
      <c r="F561" s="17"/>
      <c r="G561" s="17"/>
      <c r="Z561" s="22"/>
      <c r="AB561" s="22"/>
    </row>
    <row r="562" spans="1:28">
      <c r="A562" s="19"/>
      <c r="B562" s="12"/>
      <c r="C562" s="24"/>
      <c r="D562" s="12"/>
      <c r="E562" s="23"/>
      <c r="F562" s="17"/>
      <c r="G562" s="17"/>
      <c r="Z562" s="22"/>
      <c r="AB562" s="22"/>
    </row>
    <row r="563" spans="1:28">
      <c r="A563" s="19"/>
      <c r="B563" s="12"/>
      <c r="C563" s="24"/>
      <c r="D563" s="12"/>
      <c r="E563" s="23"/>
      <c r="F563" s="17"/>
      <c r="G563" s="17"/>
      <c r="Z563" s="22"/>
      <c r="AB563" s="22"/>
    </row>
    <row r="564" spans="1:28">
      <c r="A564" s="19"/>
      <c r="B564" s="12"/>
      <c r="C564" s="24"/>
      <c r="D564" s="12"/>
      <c r="E564" s="23"/>
      <c r="F564" s="17"/>
      <c r="G564" s="17"/>
      <c r="Z564" s="22"/>
      <c r="AB564" s="22"/>
    </row>
    <row r="565" spans="1:28">
      <c r="A565" s="19"/>
      <c r="B565" s="12"/>
      <c r="C565" s="24"/>
      <c r="D565" s="12"/>
      <c r="E565" s="23"/>
      <c r="F565" s="17"/>
      <c r="G565" s="17"/>
      <c r="Z565" s="22"/>
      <c r="AB565" s="22"/>
    </row>
    <row r="566" spans="1:28">
      <c r="A566" s="19"/>
      <c r="B566" s="12"/>
      <c r="C566" s="24"/>
      <c r="D566" s="12"/>
      <c r="E566" s="23"/>
      <c r="F566" s="17"/>
      <c r="G566" s="17"/>
      <c r="Z566" s="22"/>
      <c r="AB566" s="22"/>
    </row>
    <row r="567" spans="1:28">
      <c r="A567" s="19"/>
      <c r="B567" s="12"/>
      <c r="C567" s="24"/>
      <c r="D567" s="12"/>
      <c r="E567" s="23"/>
      <c r="F567" s="17"/>
      <c r="G567" s="17"/>
      <c r="Z567" s="22"/>
      <c r="AB567" s="22"/>
    </row>
    <row r="568" spans="1:28">
      <c r="A568" s="19"/>
      <c r="B568" s="12"/>
      <c r="C568" s="24"/>
      <c r="D568" s="12"/>
      <c r="E568" s="23"/>
      <c r="F568" s="17"/>
      <c r="G568" s="17"/>
      <c r="Z568" s="22"/>
      <c r="AB568" s="22"/>
    </row>
    <row r="569" spans="1:28">
      <c r="A569" s="19"/>
      <c r="B569" s="12"/>
      <c r="C569" s="24"/>
      <c r="D569" s="12"/>
      <c r="E569" s="23"/>
      <c r="F569" s="17"/>
      <c r="G569" s="17"/>
      <c r="Z569" s="22"/>
      <c r="AB569" s="22"/>
    </row>
    <row r="570" spans="1:28">
      <c r="A570" s="19"/>
      <c r="B570" s="12"/>
      <c r="C570" s="24"/>
      <c r="D570" s="12"/>
      <c r="E570" s="23"/>
      <c r="F570" s="17"/>
      <c r="G570" s="17"/>
      <c r="Z570" s="22"/>
      <c r="AB570" s="22"/>
    </row>
    <row r="571" spans="1:28">
      <c r="A571" s="19"/>
      <c r="B571" s="12"/>
      <c r="C571" s="24"/>
      <c r="D571" s="12"/>
      <c r="E571" s="23"/>
      <c r="F571" s="17"/>
      <c r="G571" s="17"/>
      <c r="Z571" s="22"/>
      <c r="AB571" s="22"/>
    </row>
    <row r="572" spans="1:28">
      <c r="A572" s="19"/>
      <c r="B572" s="12"/>
      <c r="C572" s="24"/>
      <c r="D572" s="12"/>
      <c r="E572" s="23"/>
      <c r="F572" s="17"/>
      <c r="G572" s="17"/>
      <c r="Z572" s="22"/>
      <c r="AB572" s="22"/>
    </row>
    <row r="573" spans="1:28">
      <c r="A573" s="19"/>
      <c r="B573" s="12"/>
      <c r="C573" s="24"/>
      <c r="D573" s="12"/>
      <c r="E573" s="23"/>
      <c r="F573" s="17"/>
      <c r="G573" s="17"/>
      <c r="Z573" s="22"/>
      <c r="AB573" s="22"/>
    </row>
    <row r="574" spans="1:28">
      <c r="A574" s="19"/>
      <c r="B574" s="12"/>
      <c r="C574" s="24"/>
      <c r="D574" s="12"/>
      <c r="E574" s="23"/>
      <c r="F574" s="17"/>
      <c r="G574" s="17"/>
      <c r="Z574" s="22"/>
      <c r="AB574" s="22"/>
    </row>
    <row r="575" spans="1:28">
      <c r="A575" s="19"/>
      <c r="B575" s="12"/>
      <c r="C575" s="24"/>
      <c r="D575" s="12"/>
      <c r="E575" s="23"/>
      <c r="F575" s="17"/>
      <c r="G575" s="17"/>
      <c r="Z575" s="22"/>
      <c r="AB575" s="22"/>
    </row>
    <row r="576" spans="1:28">
      <c r="A576" s="19"/>
      <c r="B576" s="12"/>
      <c r="C576" s="24"/>
      <c r="D576" s="12"/>
      <c r="E576" s="23"/>
      <c r="F576" s="17"/>
      <c r="G576" s="17"/>
      <c r="Z576" s="22"/>
      <c r="AB576" s="22"/>
    </row>
    <row r="577" spans="1:28">
      <c r="A577" s="19"/>
      <c r="B577" s="12"/>
      <c r="C577" s="24"/>
      <c r="D577" s="12"/>
      <c r="E577" s="23"/>
      <c r="F577" s="17"/>
      <c r="G577" s="17"/>
      <c r="Z577" s="22"/>
      <c r="AB577" s="22"/>
    </row>
    <row r="578" spans="1:28">
      <c r="A578" s="19"/>
      <c r="B578" s="12"/>
      <c r="C578" s="24"/>
      <c r="D578" s="12"/>
      <c r="E578" s="23"/>
      <c r="F578" s="17"/>
      <c r="G578" s="17"/>
      <c r="Z578" s="22"/>
      <c r="AB578" s="22"/>
    </row>
    <row r="579" spans="1:28">
      <c r="A579" s="19"/>
      <c r="B579" s="12"/>
      <c r="C579" s="24"/>
      <c r="D579" s="12"/>
      <c r="E579" s="23"/>
      <c r="F579" s="17"/>
      <c r="G579" s="17"/>
      <c r="Z579" s="22"/>
      <c r="AB579" s="22"/>
    </row>
    <row r="580" spans="1:28">
      <c r="A580" s="19"/>
      <c r="B580" s="12"/>
      <c r="C580" s="24"/>
      <c r="D580" s="12"/>
      <c r="E580" s="23"/>
      <c r="F580" s="17"/>
      <c r="G580" s="17"/>
      <c r="Z580" s="22"/>
      <c r="AB580" s="22"/>
    </row>
    <row r="581" spans="1:28">
      <c r="A581" s="19"/>
      <c r="B581" s="12"/>
      <c r="C581" s="24"/>
      <c r="D581" s="12"/>
      <c r="E581" s="23"/>
      <c r="F581" s="17"/>
      <c r="G581" s="17"/>
      <c r="Z581" s="22"/>
      <c r="AB581" s="22"/>
    </row>
    <row r="582" spans="1:28">
      <c r="A582" s="19"/>
      <c r="B582" s="12"/>
      <c r="C582" s="24"/>
      <c r="D582" s="12"/>
      <c r="E582" s="23"/>
      <c r="F582" s="17"/>
      <c r="G582" s="17"/>
      <c r="Z582" s="22"/>
      <c r="AB582" s="22"/>
    </row>
    <row r="583" spans="1:28">
      <c r="A583" s="19"/>
      <c r="B583" s="12"/>
      <c r="C583" s="24"/>
      <c r="D583" s="12"/>
      <c r="E583" s="23"/>
      <c r="F583" s="17"/>
      <c r="G583" s="17"/>
      <c r="Z583" s="22"/>
      <c r="AB583" s="22"/>
    </row>
    <row r="584" spans="1:28">
      <c r="A584" s="19"/>
      <c r="B584" s="12"/>
      <c r="C584" s="24"/>
      <c r="D584" s="12"/>
      <c r="E584" s="23"/>
      <c r="F584" s="17"/>
      <c r="G584" s="17"/>
      <c r="Z584" s="22"/>
      <c r="AB584" s="22"/>
    </row>
    <row r="585" spans="1:28">
      <c r="A585" s="19"/>
      <c r="B585" s="12"/>
      <c r="C585" s="24"/>
      <c r="D585" s="12"/>
      <c r="E585" s="23"/>
      <c r="F585" s="17"/>
      <c r="G585" s="17"/>
      <c r="Z585" s="22"/>
      <c r="AB585" s="22"/>
    </row>
    <row r="586" spans="1:28">
      <c r="A586" s="19"/>
      <c r="B586" s="12"/>
      <c r="C586" s="24"/>
      <c r="D586" s="12"/>
      <c r="E586" s="23"/>
      <c r="F586" s="17"/>
      <c r="G586" s="17"/>
      <c r="Z586" s="22"/>
      <c r="AB586" s="22"/>
    </row>
    <row r="587" spans="1:28">
      <c r="A587" s="19"/>
      <c r="B587" s="12"/>
      <c r="C587" s="24"/>
      <c r="D587" s="12"/>
      <c r="E587" s="23"/>
      <c r="F587" s="17"/>
      <c r="G587" s="17"/>
      <c r="Z587" s="22"/>
      <c r="AB587" s="22"/>
    </row>
    <row r="588" spans="1:28">
      <c r="A588" s="19"/>
      <c r="B588" s="12"/>
      <c r="C588" s="24"/>
      <c r="D588" s="12"/>
      <c r="E588" s="23"/>
      <c r="F588" s="17"/>
      <c r="G588" s="17"/>
      <c r="Z588" s="22"/>
      <c r="AB588" s="22"/>
    </row>
    <row r="589" spans="1:28">
      <c r="A589" s="19"/>
      <c r="B589" s="12"/>
      <c r="C589" s="24"/>
      <c r="D589" s="12"/>
      <c r="E589" s="23"/>
      <c r="F589" s="17"/>
      <c r="G589" s="17"/>
      <c r="Z589" s="22"/>
      <c r="AB589" s="22"/>
    </row>
    <row r="590" spans="1:28">
      <c r="A590" s="19"/>
      <c r="B590" s="12"/>
      <c r="C590" s="24"/>
      <c r="D590" s="12"/>
      <c r="E590" s="23"/>
      <c r="F590" s="17"/>
      <c r="G590" s="17"/>
      <c r="Z590" s="22"/>
      <c r="AB590" s="22"/>
    </row>
    <row r="591" spans="1:28">
      <c r="A591" s="19"/>
      <c r="B591" s="12"/>
      <c r="C591" s="24"/>
      <c r="D591" s="12"/>
      <c r="E591" s="23"/>
      <c r="F591" s="17"/>
      <c r="G591" s="17"/>
      <c r="Z591" s="22"/>
      <c r="AB591" s="22"/>
    </row>
    <row r="592" spans="1:28">
      <c r="A592" s="19"/>
      <c r="B592" s="12"/>
      <c r="C592" s="24"/>
      <c r="D592" s="12"/>
      <c r="E592" s="23"/>
      <c r="F592" s="17"/>
      <c r="G592" s="17"/>
      <c r="Z592" s="22"/>
      <c r="AB592" s="22"/>
    </row>
    <row r="593" spans="1:28">
      <c r="A593" s="19"/>
      <c r="B593" s="12"/>
      <c r="C593" s="24"/>
      <c r="D593" s="12"/>
      <c r="E593" s="23"/>
      <c r="F593" s="17"/>
      <c r="G593" s="17"/>
      <c r="Z593" s="22"/>
      <c r="AB593" s="22"/>
    </row>
    <row r="594" spans="1:28">
      <c r="A594" s="19"/>
      <c r="B594" s="12"/>
      <c r="C594" s="24"/>
      <c r="D594" s="12"/>
      <c r="E594" s="23"/>
      <c r="F594" s="17"/>
      <c r="G594" s="17"/>
      <c r="Z594" s="22"/>
      <c r="AB594" s="22"/>
    </row>
    <row r="595" spans="1:28">
      <c r="A595" s="19"/>
      <c r="B595" s="12"/>
      <c r="C595" s="24"/>
      <c r="D595" s="12"/>
      <c r="E595" s="23"/>
      <c r="F595" s="17"/>
      <c r="G595" s="17"/>
      <c r="Z595" s="22"/>
      <c r="AB595" s="22"/>
    </row>
    <row r="596" spans="1:28">
      <c r="A596" s="19"/>
      <c r="B596" s="12"/>
      <c r="C596" s="24"/>
      <c r="D596" s="12"/>
      <c r="E596" s="23"/>
      <c r="F596" s="17"/>
      <c r="G596" s="17"/>
      <c r="Z596" s="22"/>
      <c r="AB596" s="22"/>
    </row>
    <row r="597" spans="1:28">
      <c r="A597" s="19"/>
      <c r="B597" s="12"/>
      <c r="C597" s="24"/>
      <c r="D597" s="12"/>
      <c r="E597" s="23"/>
      <c r="F597" s="17"/>
      <c r="G597" s="17"/>
      <c r="Z597" s="22"/>
      <c r="AB597" s="22"/>
    </row>
    <row r="598" spans="1:28">
      <c r="A598" s="19"/>
      <c r="B598" s="12"/>
      <c r="C598" s="24"/>
      <c r="D598" s="12"/>
      <c r="E598" s="23"/>
      <c r="F598" s="17"/>
      <c r="G598" s="17"/>
      <c r="Z598" s="22"/>
      <c r="AB598" s="22"/>
    </row>
    <row r="599" spans="1:28">
      <c r="A599" s="19"/>
      <c r="B599" s="12"/>
      <c r="C599" s="24"/>
      <c r="D599" s="12"/>
      <c r="E599" s="23"/>
      <c r="F599" s="17"/>
      <c r="G599" s="17"/>
      <c r="Z599" s="22"/>
      <c r="AB599" s="22"/>
    </row>
    <row r="600" spans="1:28">
      <c r="A600" s="19"/>
      <c r="B600" s="12"/>
      <c r="C600" s="24"/>
      <c r="D600" s="12"/>
      <c r="E600" s="23"/>
      <c r="F600" s="17"/>
      <c r="G600" s="17"/>
      <c r="Z600" s="22"/>
      <c r="AB600" s="22"/>
    </row>
    <row r="601" spans="1:28">
      <c r="A601" s="19"/>
      <c r="B601" s="12"/>
      <c r="C601" s="24"/>
      <c r="D601" s="12"/>
      <c r="E601" s="23"/>
      <c r="F601" s="17"/>
      <c r="G601" s="17"/>
      <c r="Z601" s="22"/>
      <c r="AB601" s="22"/>
    </row>
    <row r="602" spans="1:28">
      <c r="A602" s="19"/>
      <c r="B602" s="12"/>
      <c r="C602" s="24"/>
      <c r="D602" s="12"/>
      <c r="E602" s="23"/>
      <c r="F602" s="17"/>
      <c r="G602" s="17"/>
      <c r="Z602" s="22"/>
      <c r="AB602" s="22"/>
    </row>
    <row r="603" spans="1:28">
      <c r="A603" s="19"/>
      <c r="B603" s="12"/>
      <c r="C603" s="24"/>
      <c r="D603" s="12"/>
      <c r="E603" s="23"/>
      <c r="F603" s="17"/>
      <c r="G603" s="17"/>
      <c r="Z603" s="22"/>
      <c r="AB603" s="22"/>
    </row>
    <row r="604" spans="1:28">
      <c r="A604" s="19"/>
      <c r="B604" s="12"/>
      <c r="C604" s="24"/>
      <c r="D604" s="12"/>
      <c r="E604" s="23"/>
      <c r="F604" s="17"/>
      <c r="G604" s="17"/>
      <c r="Z604" s="22"/>
      <c r="AB604" s="22"/>
    </row>
    <row r="605" spans="1:28">
      <c r="A605" s="19"/>
      <c r="B605" s="12"/>
      <c r="C605" s="24"/>
      <c r="D605" s="12"/>
      <c r="E605" s="23"/>
      <c r="F605" s="17"/>
      <c r="G605" s="17"/>
      <c r="Z605" s="22"/>
      <c r="AB605" s="22"/>
    </row>
    <row r="606" spans="1:28">
      <c r="A606" s="19"/>
      <c r="B606" s="12"/>
      <c r="C606" s="24"/>
      <c r="D606" s="12"/>
      <c r="E606" s="23"/>
      <c r="F606" s="17"/>
      <c r="G606" s="17"/>
      <c r="Z606" s="22"/>
      <c r="AB606" s="22"/>
    </row>
    <row r="607" spans="1:28">
      <c r="A607" s="19"/>
      <c r="B607" s="12"/>
      <c r="C607" s="24"/>
      <c r="D607" s="12"/>
      <c r="E607" s="23"/>
      <c r="F607" s="17"/>
      <c r="G607" s="17"/>
      <c r="Z607" s="22"/>
      <c r="AB607" s="22"/>
    </row>
    <row r="608" spans="1:28">
      <c r="A608" s="19"/>
      <c r="B608" s="12"/>
      <c r="C608" s="24"/>
      <c r="D608" s="12"/>
      <c r="E608" s="23"/>
      <c r="F608" s="17"/>
      <c r="G608" s="17"/>
      <c r="Z608" s="22"/>
      <c r="AB608" s="22"/>
    </row>
    <row r="609" spans="1:28">
      <c r="A609" s="19"/>
      <c r="B609" s="12"/>
      <c r="C609" s="24"/>
      <c r="D609" s="12"/>
      <c r="E609" s="23"/>
      <c r="F609" s="17"/>
      <c r="G609" s="17"/>
      <c r="Z609" s="22"/>
      <c r="AB609" s="22"/>
    </row>
    <row r="610" spans="1:28">
      <c r="A610" s="19"/>
      <c r="B610" s="12"/>
      <c r="C610" s="24"/>
      <c r="D610" s="12"/>
      <c r="E610" s="23"/>
      <c r="F610" s="17"/>
      <c r="G610" s="17"/>
      <c r="Z610" s="22"/>
      <c r="AB610" s="22"/>
    </row>
    <row r="611" spans="1:28">
      <c r="A611" s="19"/>
      <c r="B611" s="12"/>
      <c r="C611" s="24"/>
      <c r="D611" s="12"/>
      <c r="E611" s="23"/>
      <c r="F611" s="17"/>
      <c r="G611" s="17"/>
      <c r="Z611" s="22"/>
      <c r="AB611" s="22"/>
    </row>
    <row r="612" spans="1:28">
      <c r="A612" s="19"/>
      <c r="B612" s="12"/>
      <c r="C612" s="24"/>
      <c r="D612" s="12"/>
      <c r="E612" s="23"/>
      <c r="F612" s="17"/>
      <c r="G612" s="17"/>
      <c r="Z612" s="22"/>
      <c r="AB612" s="22"/>
    </row>
    <row r="613" spans="1:28">
      <c r="A613" s="19"/>
      <c r="B613" s="12"/>
      <c r="C613" s="24"/>
      <c r="D613" s="12"/>
      <c r="E613" s="23"/>
      <c r="F613" s="17"/>
      <c r="G613" s="17"/>
      <c r="Z613" s="22"/>
      <c r="AB613" s="22"/>
    </row>
    <row r="614" spans="1:28">
      <c r="A614" s="19"/>
      <c r="B614" s="12"/>
      <c r="C614" s="24"/>
      <c r="D614" s="12"/>
      <c r="E614" s="23"/>
      <c r="F614" s="17"/>
      <c r="G614" s="17"/>
      <c r="Z614" s="22"/>
      <c r="AB614" s="22"/>
    </row>
    <row r="615" spans="1:28">
      <c r="A615" s="19"/>
      <c r="B615" s="12"/>
      <c r="C615" s="24"/>
      <c r="D615" s="12"/>
      <c r="E615" s="23"/>
      <c r="F615" s="17"/>
      <c r="G615" s="17"/>
      <c r="Z615" s="22"/>
      <c r="AB615" s="22"/>
    </row>
    <row r="616" spans="1:28">
      <c r="A616" s="19"/>
      <c r="B616" s="12"/>
      <c r="C616" s="24"/>
      <c r="D616" s="12"/>
      <c r="E616" s="23"/>
      <c r="F616" s="17"/>
      <c r="G616" s="17"/>
      <c r="Z616" s="22"/>
      <c r="AB616" s="22"/>
    </row>
    <row r="617" spans="1:28">
      <c r="A617" s="19"/>
      <c r="B617" s="12"/>
      <c r="C617" s="24"/>
      <c r="D617" s="12"/>
      <c r="E617" s="23"/>
      <c r="F617" s="17"/>
      <c r="G617" s="17"/>
      <c r="Z617" s="22"/>
      <c r="AB617" s="22"/>
    </row>
    <row r="618" spans="1:28">
      <c r="A618" s="19"/>
      <c r="B618" s="12"/>
      <c r="C618" s="24"/>
      <c r="D618" s="12"/>
      <c r="E618" s="23"/>
      <c r="F618" s="17"/>
      <c r="G618" s="17"/>
      <c r="Z618" s="22"/>
      <c r="AB618" s="22"/>
    </row>
    <row r="619" spans="1:28">
      <c r="A619" s="19"/>
      <c r="B619" s="12"/>
      <c r="C619" s="24"/>
      <c r="D619" s="12"/>
      <c r="E619" s="23"/>
      <c r="F619" s="17"/>
      <c r="G619" s="17"/>
      <c r="Z619" s="22"/>
      <c r="AB619" s="22"/>
    </row>
    <row r="620" spans="1:28">
      <c r="A620" s="19"/>
      <c r="B620" s="12"/>
      <c r="C620" s="24"/>
      <c r="D620" s="12"/>
      <c r="E620" s="23"/>
      <c r="F620" s="17"/>
      <c r="G620" s="17"/>
      <c r="Z620" s="22"/>
      <c r="AB620" s="22"/>
    </row>
    <row r="621" spans="1:28">
      <c r="A621" s="19"/>
      <c r="B621" s="12"/>
      <c r="C621" s="24"/>
      <c r="D621" s="12"/>
      <c r="E621" s="23"/>
      <c r="F621" s="17"/>
      <c r="G621" s="17"/>
      <c r="Z621" s="22"/>
      <c r="AB621" s="22"/>
    </row>
    <row r="622" spans="1:28">
      <c r="A622" s="19"/>
      <c r="B622" s="12"/>
      <c r="C622" s="24"/>
      <c r="D622" s="12"/>
      <c r="E622" s="23"/>
      <c r="F622" s="17"/>
      <c r="G622" s="17"/>
      <c r="Z622" s="22"/>
      <c r="AB622" s="22"/>
    </row>
    <row r="623" spans="1:28">
      <c r="A623" s="19"/>
      <c r="B623" s="12"/>
      <c r="C623" s="24"/>
      <c r="D623" s="12"/>
      <c r="E623" s="23"/>
      <c r="F623" s="17"/>
      <c r="G623" s="17"/>
      <c r="Z623" s="22"/>
      <c r="AB623" s="22"/>
    </row>
    <row r="624" spans="1:28">
      <c r="A624" s="19"/>
      <c r="B624" s="12"/>
      <c r="C624" s="24"/>
      <c r="D624" s="12"/>
      <c r="E624" s="23"/>
      <c r="F624" s="17"/>
      <c r="G624" s="17"/>
      <c r="Z624" s="22"/>
      <c r="AB624" s="22"/>
    </row>
    <row r="625" spans="1:28">
      <c r="A625" s="19"/>
      <c r="B625" s="12"/>
      <c r="C625" s="24"/>
      <c r="D625" s="12"/>
      <c r="E625" s="23"/>
      <c r="F625" s="17"/>
      <c r="G625" s="17"/>
      <c r="Z625" s="22"/>
      <c r="AB625" s="22"/>
    </row>
    <row r="626" spans="1:28">
      <c r="A626" s="19"/>
      <c r="B626" s="12"/>
      <c r="C626" s="24"/>
      <c r="D626" s="12"/>
      <c r="E626" s="23"/>
      <c r="F626" s="17"/>
      <c r="G626" s="17"/>
      <c r="Z626" s="22"/>
      <c r="AB626" s="22"/>
    </row>
    <row r="627" spans="1:28">
      <c r="A627" s="19"/>
      <c r="B627" s="12"/>
      <c r="C627" s="24"/>
      <c r="D627" s="12"/>
      <c r="E627" s="23"/>
      <c r="F627" s="17"/>
      <c r="G627" s="17"/>
      <c r="Z627" s="22"/>
      <c r="AB627" s="22"/>
    </row>
    <row r="628" spans="1:28">
      <c r="A628" s="19"/>
      <c r="B628" s="12"/>
      <c r="C628" s="24"/>
      <c r="D628" s="12"/>
      <c r="E628" s="23"/>
      <c r="F628" s="17"/>
      <c r="G628" s="17"/>
      <c r="Z628" s="22"/>
      <c r="AB628" s="22"/>
    </row>
    <row r="629" spans="1:28">
      <c r="A629" s="19"/>
      <c r="B629" s="12"/>
      <c r="C629" s="24"/>
      <c r="D629" s="12"/>
      <c r="E629" s="23"/>
      <c r="F629" s="17"/>
      <c r="G629" s="17"/>
      <c r="Z629" s="22"/>
      <c r="AB629" s="22"/>
    </row>
    <row r="630" spans="1:28">
      <c r="A630" s="19"/>
      <c r="B630" s="12"/>
      <c r="C630" s="24"/>
      <c r="D630" s="12"/>
      <c r="E630" s="23"/>
      <c r="F630" s="17"/>
      <c r="G630" s="17"/>
      <c r="Z630" s="22"/>
      <c r="AB630" s="22"/>
    </row>
    <row r="631" spans="1:28">
      <c r="A631" s="19"/>
      <c r="B631" s="12"/>
      <c r="C631" s="24"/>
      <c r="D631" s="12"/>
      <c r="E631" s="23"/>
      <c r="F631" s="17"/>
      <c r="G631" s="17"/>
      <c r="Z631" s="22"/>
      <c r="AB631" s="22"/>
    </row>
    <row r="632" spans="1:28">
      <c r="A632" s="19"/>
      <c r="B632" s="12"/>
      <c r="C632" s="24"/>
      <c r="D632" s="12"/>
      <c r="E632" s="23"/>
      <c r="F632" s="17"/>
      <c r="G632" s="17"/>
      <c r="Z632" s="22"/>
      <c r="AB632" s="22"/>
    </row>
    <row r="633" spans="1:28">
      <c r="A633" s="19"/>
      <c r="B633" s="12"/>
      <c r="C633" s="24"/>
      <c r="D633" s="12"/>
      <c r="E633" s="23"/>
      <c r="F633" s="17"/>
      <c r="G633" s="17"/>
      <c r="Z633" s="22"/>
      <c r="AB633" s="22"/>
    </row>
    <row r="634" spans="1:28">
      <c r="A634" s="19"/>
      <c r="B634" s="12"/>
      <c r="C634" s="24"/>
      <c r="D634" s="12"/>
      <c r="E634" s="23"/>
      <c r="F634" s="17"/>
      <c r="G634" s="17"/>
      <c r="Z634" s="22"/>
      <c r="AB634" s="22"/>
    </row>
    <row r="635" spans="1:28">
      <c r="A635" s="19"/>
      <c r="B635" s="12"/>
      <c r="C635" s="24"/>
      <c r="D635" s="12"/>
      <c r="E635" s="23"/>
      <c r="F635" s="17"/>
      <c r="G635" s="17"/>
      <c r="Z635" s="22"/>
      <c r="AB635" s="22"/>
    </row>
    <row r="636" spans="1:28">
      <c r="A636" s="19"/>
      <c r="B636" s="12"/>
      <c r="C636" s="24"/>
      <c r="D636" s="12"/>
      <c r="E636" s="23"/>
      <c r="F636" s="17"/>
      <c r="G636" s="17"/>
      <c r="Z636" s="22"/>
      <c r="AB636" s="22"/>
    </row>
    <row r="637" spans="1:28">
      <c r="A637" s="19"/>
      <c r="B637" s="12"/>
      <c r="C637" s="24"/>
      <c r="D637" s="12"/>
      <c r="E637" s="23"/>
      <c r="F637" s="17"/>
      <c r="G637" s="17"/>
      <c r="Z637" s="22"/>
      <c r="AB637" s="22"/>
    </row>
    <row r="638" spans="1:28">
      <c r="A638" s="19"/>
      <c r="B638" s="12"/>
      <c r="C638" s="24"/>
      <c r="D638" s="12"/>
      <c r="E638" s="23"/>
      <c r="F638" s="17"/>
      <c r="G638" s="17"/>
      <c r="Z638" s="22"/>
      <c r="AB638" s="22"/>
    </row>
    <row r="639" spans="1:28">
      <c r="A639" s="19"/>
      <c r="B639" s="12"/>
      <c r="C639" s="24"/>
      <c r="D639" s="12"/>
      <c r="E639" s="23"/>
      <c r="F639" s="17"/>
      <c r="G639" s="17"/>
      <c r="Z639" s="22"/>
      <c r="AB639" s="22"/>
    </row>
    <row r="640" spans="1:28">
      <c r="A640" s="19"/>
      <c r="B640" s="12"/>
      <c r="C640" s="24"/>
      <c r="D640" s="12"/>
      <c r="E640" s="23"/>
      <c r="F640" s="17"/>
      <c r="G640" s="17"/>
      <c r="Z640" s="22"/>
      <c r="AB640" s="22"/>
    </row>
    <row r="641" spans="1:28">
      <c r="A641" s="19"/>
      <c r="B641" s="12"/>
      <c r="C641" s="24"/>
      <c r="D641" s="12"/>
      <c r="E641" s="23"/>
      <c r="F641" s="17"/>
      <c r="G641" s="17"/>
      <c r="Z641" s="22"/>
      <c r="AB641" s="22"/>
    </row>
    <row r="642" spans="1:28">
      <c r="A642" s="19"/>
      <c r="B642" s="12"/>
      <c r="C642" s="24"/>
      <c r="D642" s="12"/>
      <c r="E642" s="23"/>
      <c r="F642" s="17"/>
      <c r="G642" s="17"/>
      <c r="Z642" s="22"/>
      <c r="AB642" s="22"/>
    </row>
    <row r="643" spans="1:28">
      <c r="A643" s="19"/>
      <c r="B643" s="12"/>
      <c r="C643" s="24"/>
      <c r="D643" s="12"/>
      <c r="E643" s="23"/>
      <c r="F643" s="17"/>
      <c r="G643" s="17"/>
      <c r="Z643" s="22"/>
      <c r="AB643" s="22"/>
    </row>
    <row r="644" spans="1:28">
      <c r="A644" s="19"/>
      <c r="B644" s="12"/>
      <c r="C644" s="24"/>
      <c r="D644" s="12"/>
      <c r="E644" s="23"/>
      <c r="F644" s="17"/>
      <c r="G644" s="17"/>
      <c r="Z644" s="22"/>
      <c r="AB644" s="22"/>
    </row>
    <row r="645" spans="1:28">
      <c r="A645" s="19"/>
      <c r="B645" s="12"/>
      <c r="C645" s="24"/>
      <c r="D645" s="12"/>
      <c r="E645" s="23"/>
      <c r="F645" s="17"/>
      <c r="G645" s="17"/>
      <c r="Z645" s="22"/>
      <c r="AB645" s="22"/>
    </row>
    <row r="646" spans="1:28">
      <c r="A646" s="19"/>
      <c r="B646" s="12"/>
      <c r="C646" s="24"/>
      <c r="D646" s="12"/>
      <c r="E646" s="23"/>
      <c r="F646" s="17"/>
      <c r="G646" s="17"/>
      <c r="Z646" s="22"/>
      <c r="AB646" s="22"/>
    </row>
    <row r="647" spans="1:28">
      <c r="A647" s="19"/>
      <c r="B647" s="12"/>
      <c r="C647" s="24"/>
      <c r="D647" s="12"/>
      <c r="E647" s="23"/>
      <c r="F647" s="17"/>
      <c r="G647" s="17"/>
      <c r="Z647" s="22"/>
      <c r="AB647" s="22"/>
    </row>
    <row r="648" spans="1:28">
      <c r="A648" s="19"/>
      <c r="B648" s="12"/>
      <c r="C648" s="24"/>
      <c r="D648" s="12"/>
      <c r="E648" s="23"/>
      <c r="F648" s="17"/>
      <c r="G648" s="17"/>
      <c r="Z648" s="22"/>
      <c r="AB648" s="22"/>
    </row>
    <row r="649" spans="1:28">
      <c r="A649" s="19"/>
      <c r="B649" s="12"/>
      <c r="C649" s="24"/>
      <c r="D649" s="12"/>
      <c r="E649" s="23"/>
      <c r="F649" s="17"/>
      <c r="G649" s="17"/>
      <c r="Z649" s="22"/>
      <c r="AB649" s="22"/>
    </row>
    <row r="650" spans="1:28">
      <c r="A650" s="19"/>
      <c r="B650" s="12"/>
      <c r="C650" s="24"/>
      <c r="D650" s="12"/>
      <c r="E650" s="23"/>
      <c r="F650" s="17"/>
      <c r="G650" s="17"/>
      <c r="Z650" s="22"/>
      <c r="AB650" s="22"/>
    </row>
    <row r="651" spans="1:28">
      <c r="A651" s="19"/>
      <c r="B651" s="12"/>
      <c r="C651" s="24"/>
      <c r="D651" s="12"/>
      <c r="E651" s="23"/>
      <c r="F651" s="17"/>
      <c r="G651" s="17"/>
      <c r="Z651" s="22"/>
      <c r="AB651" s="22"/>
    </row>
    <row r="652" spans="1:28">
      <c r="A652" s="19"/>
      <c r="B652" s="12"/>
      <c r="C652" s="24"/>
      <c r="D652" s="12"/>
      <c r="E652" s="23"/>
      <c r="F652" s="17"/>
      <c r="G652" s="17"/>
      <c r="Z652" s="22"/>
      <c r="AB652" s="22"/>
    </row>
    <row r="653" spans="1:28">
      <c r="A653" s="19"/>
      <c r="B653" s="12"/>
      <c r="C653" s="24"/>
      <c r="D653" s="12"/>
      <c r="E653" s="23"/>
      <c r="F653" s="17"/>
      <c r="G653" s="17"/>
      <c r="Z653" s="22"/>
      <c r="AB653" s="22"/>
    </row>
    <row r="654" spans="1:28">
      <c r="A654" s="19"/>
      <c r="B654" s="12"/>
      <c r="C654" s="24"/>
      <c r="D654" s="12"/>
      <c r="E654" s="23"/>
      <c r="F654" s="17"/>
      <c r="G654" s="17"/>
      <c r="Z654" s="22"/>
      <c r="AB654" s="22"/>
    </row>
    <row r="655" spans="1:28">
      <c r="A655" s="19"/>
      <c r="B655" s="12"/>
      <c r="C655" s="24"/>
      <c r="D655" s="12"/>
      <c r="E655" s="23"/>
      <c r="F655" s="17"/>
      <c r="G655" s="17"/>
      <c r="Z655" s="22"/>
      <c r="AB655" s="22"/>
    </row>
    <row r="656" spans="1:28">
      <c r="A656" s="19"/>
      <c r="B656" s="12"/>
      <c r="C656" s="24"/>
      <c r="D656" s="12"/>
      <c r="E656" s="23"/>
      <c r="F656" s="17"/>
      <c r="G656" s="17"/>
      <c r="Z656" s="22"/>
      <c r="AB656" s="22"/>
    </row>
    <row r="657" spans="1:28">
      <c r="A657" s="19"/>
      <c r="B657" s="12"/>
      <c r="C657" s="24"/>
      <c r="D657" s="12"/>
      <c r="E657" s="23"/>
      <c r="F657" s="17"/>
      <c r="G657" s="17"/>
      <c r="Z657" s="22"/>
      <c r="AB657" s="22"/>
    </row>
    <row r="658" spans="1:28">
      <c r="A658" s="19"/>
      <c r="B658" s="12"/>
      <c r="C658" s="24"/>
      <c r="D658" s="12"/>
      <c r="E658" s="23"/>
      <c r="F658" s="17"/>
      <c r="G658" s="17"/>
      <c r="Z658" s="22"/>
      <c r="AB658" s="22"/>
    </row>
    <row r="659" spans="1:28">
      <c r="A659" s="19"/>
      <c r="B659" s="12"/>
      <c r="C659" s="24"/>
      <c r="D659" s="12"/>
      <c r="E659" s="23"/>
      <c r="F659" s="17"/>
      <c r="G659" s="17"/>
      <c r="Z659" s="22"/>
      <c r="AB659" s="22"/>
    </row>
    <row r="660" spans="1:28">
      <c r="A660" s="19"/>
      <c r="B660" s="12"/>
      <c r="C660" s="24"/>
      <c r="D660" s="12"/>
      <c r="E660" s="23"/>
      <c r="F660" s="17"/>
      <c r="G660" s="17"/>
      <c r="Z660" s="22"/>
      <c r="AB660" s="22"/>
    </row>
    <row r="661" spans="1:28">
      <c r="A661" s="19"/>
      <c r="B661" s="12"/>
      <c r="C661" s="24"/>
      <c r="D661" s="12"/>
      <c r="E661" s="23"/>
      <c r="F661" s="17"/>
      <c r="G661" s="17"/>
      <c r="Z661" s="22"/>
      <c r="AB661" s="22"/>
    </row>
    <row r="662" spans="1:28">
      <c r="A662" s="19"/>
      <c r="B662" s="12"/>
      <c r="C662" s="24"/>
      <c r="D662" s="12"/>
      <c r="E662" s="23"/>
      <c r="F662" s="17"/>
      <c r="G662" s="17"/>
      <c r="Z662" s="22"/>
      <c r="AB662" s="22"/>
    </row>
    <row r="663" spans="1:28">
      <c r="A663" s="19"/>
      <c r="B663" s="12"/>
      <c r="C663" s="24"/>
      <c r="D663" s="12"/>
      <c r="E663" s="23"/>
      <c r="F663" s="17"/>
      <c r="G663" s="17"/>
      <c r="Z663" s="22"/>
      <c r="AB663" s="22"/>
    </row>
    <row r="664" spans="1:28">
      <c r="A664" s="19"/>
      <c r="B664" s="12"/>
      <c r="C664" s="24"/>
      <c r="D664" s="12"/>
      <c r="E664" s="23"/>
      <c r="F664" s="17"/>
      <c r="G664" s="17"/>
      <c r="Z664" s="22"/>
      <c r="AB664" s="22"/>
    </row>
    <row r="665" spans="1:28">
      <c r="A665" s="19"/>
      <c r="B665" s="12"/>
      <c r="C665" s="24"/>
      <c r="D665" s="12"/>
      <c r="E665" s="23"/>
      <c r="F665" s="17"/>
      <c r="G665" s="17"/>
      <c r="Z665" s="22"/>
      <c r="AB665" s="22"/>
    </row>
    <row r="666" spans="1:28">
      <c r="A666" s="19"/>
      <c r="B666" s="12"/>
      <c r="C666" s="24"/>
      <c r="D666" s="12"/>
      <c r="E666" s="23"/>
      <c r="F666" s="17"/>
      <c r="G666" s="17"/>
      <c r="Z666" s="22"/>
      <c r="AB666" s="22"/>
    </row>
    <row r="667" spans="1:28">
      <c r="A667" s="19"/>
      <c r="B667" s="12"/>
      <c r="C667" s="24"/>
      <c r="D667" s="12"/>
      <c r="E667" s="23"/>
      <c r="F667" s="17"/>
      <c r="G667" s="17"/>
      <c r="Z667" s="22"/>
      <c r="AB667" s="22"/>
    </row>
    <row r="668" spans="1:28">
      <c r="A668" s="19"/>
      <c r="B668" s="12"/>
      <c r="C668" s="24"/>
      <c r="D668" s="12"/>
      <c r="E668" s="23"/>
      <c r="F668" s="17"/>
      <c r="G668" s="17"/>
      <c r="Z668" s="22"/>
      <c r="AB668" s="22"/>
    </row>
    <row r="669" spans="1:28">
      <c r="A669" s="19"/>
      <c r="B669" s="12"/>
      <c r="C669" s="24"/>
      <c r="D669" s="12"/>
      <c r="E669" s="23"/>
      <c r="F669" s="17"/>
      <c r="G669" s="17"/>
      <c r="Z669" s="22"/>
      <c r="AB669" s="22"/>
    </row>
    <row r="670" spans="1:28">
      <c r="A670" s="19"/>
      <c r="B670" s="12"/>
      <c r="C670" s="24"/>
      <c r="D670" s="12"/>
      <c r="E670" s="23"/>
      <c r="F670" s="17"/>
      <c r="G670" s="17"/>
      <c r="Z670" s="22"/>
      <c r="AB670" s="22"/>
    </row>
    <row r="671" spans="1:28">
      <c r="A671" s="19"/>
      <c r="B671" s="12"/>
      <c r="C671" s="24"/>
      <c r="D671" s="12"/>
      <c r="E671" s="23"/>
      <c r="F671" s="17"/>
      <c r="G671" s="17"/>
      <c r="Z671" s="22"/>
      <c r="AB671" s="22"/>
    </row>
    <row r="672" spans="1:28">
      <c r="A672" s="19"/>
      <c r="B672" s="12"/>
      <c r="C672" s="24"/>
      <c r="D672" s="12"/>
      <c r="E672" s="23"/>
      <c r="F672" s="17"/>
      <c r="G672" s="17"/>
      <c r="Z672" s="22"/>
      <c r="AB672" s="22"/>
    </row>
    <row r="673" spans="1:28">
      <c r="A673" s="19"/>
      <c r="B673" s="12"/>
      <c r="C673" s="24"/>
      <c r="D673" s="12"/>
      <c r="E673" s="23"/>
      <c r="F673" s="17"/>
      <c r="G673" s="17"/>
      <c r="Z673" s="22"/>
      <c r="AB673" s="22"/>
    </row>
    <row r="674" spans="1:28">
      <c r="A674" s="19"/>
      <c r="B674" s="12"/>
      <c r="C674" s="24"/>
      <c r="D674" s="12"/>
      <c r="E674" s="23"/>
      <c r="F674" s="17"/>
      <c r="G674" s="17"/>
      <c r="Z674" s="22"/>
      <c r="AB674" s="22"/>
    </row>
    <row r="675" spans="1:28">
      <c r="A675" s="19"/>
      <c r="B675" s="12"/>
      <c r="C675" s="24"/>
      <c r="D675" s="12"/>
      <c r="E675" s="23"/>
      <c r="F675" s="17"/>
      <c r="G675" s="17"/>
      <c r="Z675" s="22"/>
      <c r="AB675" s="22"/>
    </row>
    <row r="676" spans="1:28">
      <c r="A676" s="19"/>
      <c r="B676" s="12"/>
      <c r="C676" s="24"/>
      <c r="D676" s="12"/>
      <c r="E676" s="23"/>
      <c r="F676" s="17"/>
      <c r="G676" s="17"/>
      <c r="Z676" s="22"/>
      <c r="AB676" s="22"/>
    </row>
    <row r="677" spans="1:28">
      <c r="A677" s="19"/>
      <c r="B677" s="12"/>
      <c r="C677" s="24"/>
      <c r="D677" s="12"/>
      <c r="E677" s="23"/>
      <c r="F677" s="17"/>
      <c r="G677" s="17"/>
      <c r="Z677" s="22"/>
      <c r="AB677" s="22"/>
    </row>
    <row r="678" spans="1:28">
      <c r="A678" s="19"/>
      <c r="B678" s="12"/>
      <c r="C678" s="24"/>
      <c r="D678" s="12"/>
      <c r="E678" s="23"/>
      <c r="F678" s="17"/>
      <c r="G678" s="17"/>
      <c r="Z678" s="22"/>
      <c r="AB678" s="22"/>
    </row>
    <row r="679" spans="1:28">
      <c r="A679" s="19"/>
      <c r="B679" s="12"/>
      <c r="C679" s="24"/>
      <c r="D679" s="12"/>
      <c r="E679" s="23"/>
      <c r="F679" s="17"/>
      <c r="G679" s="17"/>
      <c r="Z679" s="22"/>
      <c r="AB679" s="22"/>
    </row>
    <row r="680" spans="1:28">
      <c r="A680" s="19"/>
      <c r="B680" s="12"/>
      <c r="C680" s="24"/>
      <c r="D680" s="12"/>
      <c r="E680" s="23"/>
      <c r="F680" s="17"/>
      <c r="G680" s="17"/>
      <c r="Z680" s="22"/>
      <c r="AB680" s="22"/>
    </row>
    <row r="681" spans="1:28">
      <c r="A681" s="19"/>
      <c r="B681" s="12"/>
      <c r="C681" s="24"/>
      <c r="D681" s="12"/>
      <c r="E681" s="23"/>
      <c r="F681" s="17"/>
      <c r="G681" s="17"/>
      <c r="Z681" s="22"/>
      <c r="AB681" s="22"/>
    </row>
    <row r="682" spans="1:28">
      <c r="A682" s="19"/>
      <c r="B682" s="12"/>
      <c r="C682" s="24"/>
      <c r="D682" s="12"/>
      <c r="E682" s="23"/>
      <c r="F682" s="17"/>
      <c r="G682" s="17"/>
      <c r="Z682" s="22"/>
      <c r="AB682" s="22"/>
    </row>
    <row r="683" spans="1:28">
      <c r="A683" s="19"/>
      <c r="B683" s="12"/>
      <c r="C683" s="24"/>
      <c r="D683" s="12"/>
      <c r="E683" s="23"/>
      <c r="F683" s="17"/>
      <c r="G683" s="17"/>
      <c r="Z683" s="22"/>
      <c r="AB683" s="22"/>
    </row>
    <row r="684" spans="1:28">
      <c r="A684" s="19"/>
      <c r="B684" s="12"/>
      <c r="C684" s="24"/>
      <c r="D684" s="12"/>
      <c r="E684" s="23"/>
      <c r="F684" s="17"/>
      <c r="G684" s="17"/>
      <c r="Z684" s="22"/>
      <c r="AB684" s="22"/>
    </row>
    <row r="685" spans="1:28">
      <c r="A685" s="19"/>
      <c r="B685" s="12"/>
      <c r="C685" s="24"/>
      <c r="D685" s="12"/>
      <c r="E685" s="23"/>
      <c r="F685" s="17"/>
      <c r="G685" s="17"/>
      <c r="Z685" s="22"/>
      <c r="AB685" s="22"/>
    </row>
    <row r="686" spans="1:28">
      <c r="A686" s="19"/>
      <c r="B686" s="12"/>
      <c r="C686" s="24"/>
      <c r="D686" s="12"/>
      <c r="E686" s="23"/>
      <c r="F686" s="17"/>
      <c r="G686" s="17"/>
      <c r="Z686" s="22"/>
      <c r="AB686" s="22"/>
    </row>
    <row r="687" spans="1:28">
      <c r="A687" s="19"/>
      <c r="B687" s="12"/>
      <c r="C687" s="24"/>
      <c r="D687" s="12"/>
      <c r="E687" s="23"/>
      <c r="F687" s="17"/>
      <c r="G687" s="17"/>
      <c r="Z687" s="22"/>
      <c r="AB687" s="22"/>
    </row>
    <row r="688" spans="1:28">
      <c r="A688" s="19"/>
      <c r="B688" s="12"/>
      <c r="C688" s="24"/>
      <c r="D688" s="12"/>
      <c r="E688" s="23"/>
      <c r="F688" s="17"/>
      <c r="G688" s="17"/>
      <c r="Z688" s="22"/>
      <c r="AB688" s="22"/>
    </row>
    <row r="689" spans="1:28">
      <c r="A689" s="19"/>
      <c r="B689" s="12"/>
      <c r="C689" s="24"/>
      <c r="D689" s="12"/>
      <c r="E689" s="23"/>
      <c r="F689" s="17"/>
      <c r="G689" s="17"/>
      <c r="Z689" s="22"/>
      <c r="AB689" s="22"/>
    </row>
    <row r="690" spans="1:28">
      <c r="A690" s="19"/>
      <c r="B690" s="12"/>
      <c r="C690" s="24"/>
      <c r="D690" s="12"/>
      <c r="E690" s="23"/>
      <c r="F690" s="17"/>
      <c r="G690" s="17"/>
      <c r="Z690" s="22"/>
      <c r="AB690" s="22"/>
    </row>
    <row r="691" spans="1:28">
      <c r="A691" s="19"/>
      <c r="B691" s="12"/>
      <c r="C691" s="24"/>
      <c r="D691" s="12"/>
      <c r="E691" s="23"/>
      <c r="F691" s="17"/>
      <c r="G691" s="17"/>
      <c r="Z691" s="22"/>
      <c r="AB691" s="22"/>
    </row>
    <row r="692" spans="1:28">
      <c r="A692" s="19"/>
      <c r="B692" s="12"/>
      <c r="C692" s="24"/>
      <c r="D692" s="12"/>
      <c r="E692" s="23"/>
      <c r="F692" s="17"/>
      <c r="G692" s="17"/>
      <c r="Z692" s="22"/>
      <c r="AB692" s="22"/>
    </row>
    <row r="693" spans="1:28">
      <c r="A693" s="19"/>
      <c r="B693" s="12"/>
      <c r="C693" s="24"/>
      <c r="D693" s="12"/>
      <c r="E693" s="23"/>
      <c r="F693" s="17"/>
      <c r="G693" s="17"/>
      <c r="Z693" s="22"/>
      <c r="AB693" s="22"/>
    </row>
    <row r="694" spans="1:28">
      <c r="A694" s="19"/>
      <c r="B694" s="12"/>
      <c r="C694" s="24"/>
      <c r="D694" s="12"/>
      <c r="E694" s="23"/>
      <c r="F694" s="17"/>
      <c r="G694" s="17"/>
      <c r="Z694" s="22"/>
      <c r="AB694" s="22"/>
    </row>
    <row r="695" spans="1:28">
      <c r="A695" s="19"/>
      <c r="B695" s="12"/>
      <c r="C695" s="24"/>
      <c r="D695" s="12"/>
      <c r="E695" s="23"/>
      <c r="F695" s="17"/>
      <c r="G695" s="17"/>
      <c r="Z695" s="22"/>
      <c r="AB695" s="22"/>
    </row>
    <row r="696" spans="1:28">
      <c r="A696" s="19"/>
      <c r="B696" s="12"/>
      <c r="C696" s="24"/>
      <c r="D696" s="12"/>
      <c r="E696" s="23"/>
      <c r="F696" s="17"/>
      <c r="G696" s="17"/>
      <c r="Z696" s="22"/>
      <c r="AB696" s="22"/>
    </row>
    <row r="697" spans="1:28">
      <c r="A697" s="19"/>
      <c r="B697" s="12"/>
      <c r="C697" s="24"/>
      <c r="D697" s="12"/>
      <c r="E697" s="23"/>
      <c r="F697" s="17"/>
      <c r="G697" s="17"/>
      <c r="Z697" s="22"/>
      <c r="AB697" s="22"/>
    </row>
    <row r="698" spans="1:28">
      <c r="A698" s="19"/>
      <c r="B698" s="12"/>
      <c r="C698" s="24"/>
      <c r="D698" s="12"/>
      <c r="E698" s="23"/>
      <c r="F698" s="17"/>
      <c r="G698" s="17"/>
      <c r="Z698" s="22"/>
      <c r="AB698" s="22"/>
    </row>
    <row r="699" spans="1:28">
      <c r="A699" s="19"/>
      <c r="B699" s="12"/>
      <c r="C699" s="24"/>
      <c r="D699" s="12"/>
      <c r="E699" s="23"/>
      <c r="F699" s="17"/>
      <c r="G699" s="17"/>
      <c r="Z699" s="22"/>
      <c r="AB699" s="22"/>
    </row>
    <row r="700" spans="1:28">
      <c r="A700" s="19"/>
      <c r="B700" s="12"/>
      <c r="C700" s="24"/>
      <c r="D700" s="12"/>
      <c r="E700" s="23"/>
      <c r="F700" s="17"/>
      <c r="G700" s="17"/>
      <c r="Z700" s="22"/>
      <c r="AB700" s="22"/>
    </row>
    <row r="701" spans="1:28">
      <c r="A701" s="19"/>
      <c r="B701" s="12"/>
      <c r="C701" s="24"/>
      <c r="D701" s="12"/>
      <c r="E701" s="23"/>
      <c r="F701" s="17"/>
      <c r="G701" s="17"/>
      <c r="Z701" s="22"/>
      <c r="AB701" s="22"/>
    </row>
    <row r="702" spans="1:28">
      <c r="A702" s="19"/>
      <c r="B702" s="12"/>
      <c r="C702" s="24"/>
      <c r="D702" s="12"/>
      <c r="E702" s="23"/>
      <c r="F702" s="17"/>
      <c r="G702" s="17"/>
      <c r="Z702" s="22"/>
      <c r="AB702" s="22"/>
    </row>
    <row r="703" spans="1:28">
      <c r="A703" s="19"/>
      <c r="B703" s="12"/>
      <c r="C703" s="24"/>
      <c r="D703" s="12"/>
      <c r="E703" s="23"/>
      <c r="F703" s="17"/>
      <c r="G703" s="17"/>
      <c r="Z703" s="22"/>
      <c r="AB703" s="22"/>
    </row>
    <row r="704" spans="1:28">
      <c r="A704" s="19"/>
      <c r="B704" s="12"/>
      <c r="C704" s="24"/>
      <c r="D704" s="12"/>
      <c r="E704" s="23"/>
      <c r="F704" s="17"/>
      <c r="G704" s="17"/>
      <c r="Z704" s="22"/>
      <c r="AB704" s="22"/>
    </row>
    <row r="705" spans="1:28">
      <c r="A705" s="19"/>
      <c r="B705" s="12"/>
      <c r="C705" s="24"/>
      <c r="D705" s="12"/>
      <c r="E705" s="23"/>
      <c r="F705" s="17"/>
      <c r="G705" s="17"/>
      <c r="Z705" s="22"/>
      <c r="AB705" s="22"/>
    </row>
    <row r="706" spans="1:28">
      <c r="A706" s="19"/>
      <c r="B706" s="12"/>
      <c r="C706" s="24"/>
      <c r="D706" s="12"/>
      <c r="E706" s="23"/>
      <c r="F706" s="17"/>
      <c r="G706" s="17"/>
      <c r="Z706" s="22"/>
      <c r="AB706" s="22"/>
    </row>
    <row r="707" spans="1:28">
      <c r="A707" s="19"/>
      <c r="B707" s="12"/>
      <c r="C707" s="24"/>
      <c r="D707" s="12"/>
      <c r="E707" s="23"/>
      <c r="F707" s="17"/>
      <c r="G707" s="17"/>
      <c r="Z707" s="22"/>
      <c r="AB707" s="22"/>
    </row>
    <row r="708" spans="1:28">
      <c r="A708" s="19"/>
      <c r="B708" s="12"/>
      <c r="C708" s="24"/>
      <c r="D708" s="12"/>
      <c r="E708" s="23"/>
      <c r="F708" s="17"/>
      <c r="G708" s="17"/>
      <c r="Z708" s="22"/>
      <c r="AB708" s="22"/>
    </row>
    <row r="709" spans="1:28">
      <c r="A709" s="19"/>
      <c r="B709" s="12"/>
      <c r="C709" s="24"/>
      <c r="D709" s="12"/>
      <c r="E709" s="23"/>
      <c r="F709" s="17"/>
      <c r="G709" s="17"/>
      <c r="Z709" s="22"/>
      <c r="AB709" s="22"/>
    </row>
    <row r="710" spans="1:28">
      <c r="A710" s="19"/>
      <c r="B710" s="12"/>
      <c r="C710" s="24"/>
      <c r="D710" s="12"/>
      <c r="E710" s="23"/>
      <c r="F710" s="17"/>
      <c r="G710" s="17"/>
      <c r="Z710" s="22"/>
      <c r="AB710" s="22"/>
    </row>
    <row r="711" spans="1:28">
      <c r="A711" s="19"/>
      <c r="B711" s="12"/>
      <c r="C711" s="24"/>
      <c r="D711" s="12"/>
      <c r="E711" s="23"/>
      <c r="F711" s="17"/>
      <c r="G711" s="17"/>
      <c r="Z711" s="22"/>
      <c r="AB711" s="22"/>
    </row>
    <row r="712" spans="1:28">
      <c r="A712" s="19"/>
      <c r="B712" s="12"/>
      <c r="C712" s="24"/>
      <c r="D712" s="12"/>
      <c r="E712" s="23"/>
      <c r="F712" s="17"/>
      <c r="G712" s="17"/>
      <c r="Z712" s="22"/>
      <c r="AB712" s="22"/>
    </row>
    <row r="713" spans="1:28">
      <c r="A713" s="19"/>
      <c r="B713" s="12"/>
      <c r="C713" s="24"/>
      <c r="D713" s="12"/>
      <c r="E713" s="23"/>
      <c r="F713" s="17"/>
      <c r="G713" s="17"/>
      <c r="Z713" s="22"/>
      <c r="AB713" s="22"/>
    </row>
    <row r="714" spans="1:28">
      <c r="A714" s="19"/>
      <c r="B714" s="12"/>
      <c r="C714" s="24"/>
      <c r="D714" s="12"/>
      <c r="E714" s="23"/>
      <c r="F714" s="17"/>
      <c r="G714" s="17"/>
      <c r="Z714" s="22"/>
      <c r="AB714" s="22"/>
    </row>
    <row r="715" spans="1:28">
      <c r="A715" s="19"/>
      <c r="B715" s="12"/>
      <c r="C715" s="24"/>
      <c r="D715" s="12"/>
      <c r="E715" s="23"/>
      <c r="F715" s="17"/>
      <c r="G715" s="17"/>
      <c r="Z715" s="22"/>
      <c r="AB715" s="22"/>
    </row>
    <row r="716" spans="1:28">
      <c r="A716" s="19"/>
      <c r="B716" s="12"/>
      <c r="C716" s="24"/>
      <c r="D716" s="12"/>
      <c r="E716" s="23"/>
      <c r="F716" s="17"/>
      <c r="G716" s="17"/>
      <c r="Z716" s="22"/>
      <c r="AB716" s="22"/>
    </row>
    <row r="717" spans="1:28">
      <c r="A717" s="19"/>
      <c r="B717" s="12"/>
      <c r="C717" s="24"/>
      <c r="D717" s="12"/>
      <c r="E717" s="23"/>
      <c r="F717" s="17"/>
      <c r="G717" s="17"/>
      <c r="Z717" s="22"/>
      <c r="AB717" s="22"/>
    </row>
    <row r="718" spans="1:28">
      <c r="A718" s="19"/>
      <c r="B718" s="12"/>
      <c r="C718" s="24"/>
      <c r="D718" s="12"/>
      <c r="E718" s="23"/>
      <c r="F718" s="17"/>
      <c r="G718" s="17"/>
      <c r="Z718" s="22"/>
      <c r="AB718" s="22"/>
    </row>
    <row r="719" spans="1:28">
      <c r="A719" s="19"/>
      <c r="B719" s="12"/>
      <c r="C719" s="24"/>
      <c r="D719" s="12"/>
      <c r="E719" s="23"/>
      <c r="F719" s="17"/>
      <c r="G719" s="17"/>
      <c r="Z719" s="22"/>
      <c r="AB719" s="22"/>
    </row>
    <row r="720" spans="1:28">
      <c r="A720" s="19"/>
      <c r="B720" s="12"/>
      <c r="C720" s="24"/>
      <c r="D720" s="12"/>
      <c r="E720" s="23"/>
      <c r="F720" s="17"/>
      <c r="G720" s="17"/>
      <c r="Z720" s="22"/>
      <c r="AB720" s="22"/>
    </row>
    <row r="721" spans="1:28">
      <c r="A721" s="19"/>
      <c r="B721" s="12"/>
      <c r="C721" s="24"/>
      <c r="D721" s="12"/>
      <c r="E721" s="23"/>
      <c r="F721" s="17"/>
      <c r="G721" s="17"/>
      <c r="Z721" s="22"/>
      <c r="AB721" s="22"/>
    </row>
    <row r="722" spans="1:28">
      <c r="A722" s="19"/>
      <c r="B722" s="12"/>
      <c r="C722" s="24"/>
      <c r="D722" s="12"/>
      <c r="E722" s="23"/>
      <c r="F722" s="17"/>
      <c r="G722" s="17"/>
      <c r="Z722" s="22"/>
      <c r="AB722" s="22"/>
    </row>
    <row r="723" spans="1:28">
      <c r="A723" s="19"/>
      <c r="B723" s="12"/>
      <c r="C723" s="24"/>
      <c r="D723" s="12"/>
      <c r="E723" s="23"/>
      <c r="F723" s="17"/>
      <c r="G723" s="17"/>
      <c r="Z723" s="22"/>
      <c r="AB723" s="22"/>
    </row>
    <row r="724" spans="1:28">
      <c r="A724" s="19"/>
      <c r="B724" s="12"/>
      <c r="C724" s="24"/>
      <c r="D724" s="12"/>
      <c r="E724" s="23"/>
      <c r="F724" s="17"/>
      <c r="G724" s="17"/>
      <c r="Z724" s="22"/>
      <c r="AB724" s="22"/>
    </row>
    <row r="725" spans="1:28">
      <c r="A725" s="19"/>
      <c r="B725" s="12"/>
      <c r="C725" s="24"/>
      <c r="D725" s="12"/>
      <c r="E725" s="23"/>
      <c r="F725" s="17"/>
      <c r="G725" s="17"/>
      <c r="Z725" s="22"/>
      <c r="AB725" s="22"/>
    </row>
    <row r="726" spans="1:28">
      <c r="A726" s="19"/>
      <c r="B726" s="12"/>
      <c r="C726" s="24"/>
      <c r="D726" s="12"/>
      <c r="E726" s="23"/>
      <c r="F726" s="17"/>
      <c r="G726" s="17"/>
      <c r="Z726" s="22"/>
      <c r="AB726" s="22"/>
    </row>
    <row r="727" spans="1:28">
      <c r="A727" s="19"/>
      <c r="B727" s="12"/>
      <c r="C727" s="24"/>
      <c r="D727" s="12"/>
      <c r="E727" s="23"/>
      <c r="F727" s="17"/>
      <c r="G727" s="17"/>
      <c r="Z727" s="22"/>
      <c r="AB727" s="22"/>
    </row>
    <row r="728" spans="1:28">
      <c r="A728" s="19"/>
      <c r="B728" s="12"/>
      <c r="C728" s="24"/>
      <c r="D728" s="12"/>
      <c r="E728" s="23"/>
      <c r="F728" s="17"/>
      <c r="G728" s="17"/>
      <c r="Z728" s="22"/>
      <c r="AB728" s="22"/>
    </row>
    <row r="729" spans="1:28">
      <c r="A729" s="19"/>
      <c r="B729" s="12"/>
      <c r="C729" s="24"/>
      <c r="D729" s="12"/>
      <c r="E729" s="23"/>
      <c r="F729" s="17"/>
      <c r="G729" s="17"/>
      <c r="Z729" s="22"/>
      <c r="AB729" s="22"/>
    </row>
    <row r="730" spans="1:28">
      <c r="A730" s="19"/>
      <c r="B730" s="12"/>
      <c r="C730" s="24"/>
      <c r="D730" s="12"/>
      <c r="E730" s="23"/>
      <c r="F730" s="17"/>
      <c r="G730" s="17"/>
      <c r="Z730" s="22"/>
      <c r="AB730" s="22"/>
    </row>
    <row r="731" spans="1:28">
      <c r="A731" s="19"/>
      <c r="B731" s="12"/>
      <c r="C731" s="24"/>
      <c r="D731" s="12"/>
      <c r="E731" s="23"/>
      <c r="F731" s="17"/>
      <c r="G731" s="17"/>
      <c r="Z731" s="22"/>
      <c r="AB731" s="22"/>
    </row>
    <row r="732" spans="1:28">
      <c r="A732" s="19"/>
      <c r="B732" s="12"/>
      <c r="C732" s="24"/>
      <c r="D732" s="12"/>
      <c r="E732" s="23"/>
      <c r="F732" s="17"/>
      <c r="G732" s="17"/>
      <c r="Z732" s="22"/>
      <c r="AB732" s="22"/>
    </row>
    <row r="733" spans="1:28">
      <c r="A733" s="19"/>
      <c r="B733" s="12"/>
      <c r="C733" s="24"/>
      <c r="D733" s="12"/>
      <c r="E733" s="23"/>
      <c r="F733" s="17"/>
      <c r="G733" s="17"/>
      <c r="Z733" s="22"/>
      <c r="AB733" s="22"/>
    </row>
    <row r="734" spans="1:28">
      <c r="A734" s="19"/>
      <c r="B734" s="12"/>
      <c r="C734" s="24"/>
      <c r="D734" s="12"/>
      <c r="E734" s="23"/>
      <c r="F734" s="17"/>
      <c r="G734" s="17"/>
      <c r="Z734" s="22"/>
      <c r="AB734" s="22"/>
    </row>
    <row r="735" spans="1:28">
      <c r="A735" s="19"/>
      <c r="B735" s="12"/>
      <c r="C735" s="24"/>
      <c r="D735" s="12"/>
      <c r="E735" s="23"/>
      <c r="F735" s="17"/>
      <c r="G735" s="17"/>
      <c r="Z735" s="22"/>
      <c r="AB735" s="22"/>
    </row>
    <row r="736" spans="1:28">
      <c r="A736" s="19"/>
      <c r="B736" s="12"/>
      <c r="C736" s="24"/>
      <c r="D736" s="12"/>
      <c r="E736" s="23"/>
      <c r="F736" s="17"/>
      <c r="G736" s="17"/>
      <c r="Z736" s="22"/>
      <c r="AB736" s="22"/>
    </row>
    <row r="737" spans="1:28">
      <c r="A737" s="19"/>
      <c r="B737" s="12"/>
      <c r="C737" s="24"/>
      <c r="D737" s="12"/>
      <c r="E737" s="23"/>
      <c r="F737" s="17"/>
      <c r="G737" s="17"/>
      <c r="Z737" s="22"/>
      <c r="AB737" s="22"/>
    </row>
    <row r="738" spans="1:28">
      <c r="A738" s="19"/>
      <c r="B738" s="12"/>
      <c r="C738" s="24"/>
      <c r="D738" s="12"/>
      <c r="E738" s="23"/>
      <c r="F738" s="17"/>
      <c r="G738" s="17"/>
      <c r="Z738" s="22"/>
      <c r="AB738" s="22"/>
    </row>
    <row r="739" spans="1:28">
      <c r="A739" s="19"/>
      <c r="B739" s="12"/>
      <c r="C739" s="24"/>
      <c r="D739" s="12"/>
      <c r="E739" s="23"/>
      <c r="F739" s="17"/>
      <c r="G739" s="17"/>
      <c r="Z739" s="22"/>
      <c r="AB739" s="22"/>
    </row>
    <row r="740" spans="1:28">
      <c r="A740" s="19"/>
      <c r="B740" s="12"/>
      <c r="C740" s="24"/>
      <c r="D740" s="12"/>
      <c r="E740" s="23"/>
      <c r="F740" s="17"/>
      <c r="G740" s="17"/>
      <c r="Z740" s="22"/>
      <c r="AB740" s="22"/>
    </row>
    <row r="741" spans="1:28">
      <c r="A741" s="19"/>
      <c r="B741" s="12"/>
      <c r="C741" s="24"/>
      <c r="D741" s="12"/>
      <c r="E741" s="23"/>
      <c r="F741" s="17"/>
      <c r="G741" s="17"/>
      <c r="Z741" s="22"/>
      <c r="AB741" s="22"/>
    </row>
    <row r="742" spans="1:28">
      <c r="A742" s="19"/>
      <c r="B742" s="12"/>
      <c r="C742" s="24"/>
      <c r="D742" s="12"/>
      <c r="E742" s="23"/>
      <c r="F742" s="17"/>
      <c r="G742" s="17"/>
      <c r="Z742" s="22"/>
      <c r="AB742" s="22"/>
    </row>
    <row r="743" spans="1:28">
      <c r="A743" s="19"/>
      <c r="B743" s="12"/>
      <c r="C743" s="24"/>
      <c r="D743" s="12"/>
      <c r="E743" s="23"/>
      <c r="F743" s="17"/>
      <c r="G743" s="17"/>
      <c r="Z743" s="22"/>
      <c r="AB743" s="22"/>
    </row>
    <row r="744" spans="1:28">
      <c r="A744" s="19"/>
      <c r="B744" s="12"/>
      <c r="C744" s="24"/>
      <c r="D744" s="12"/>
      <c r="E744" s="23"/>
      <c r="F744" s="17"/>
      <c r="G744" s="17"/>
      <c r="Z744" s="22"/>
      <c r="AB744" s="22"/>
    </row>
    <row r="745" spans="1:28">
      <c r="A745" s="19"/>
      <c r="B745" s="12"/>
      <c r="C745" s="24"/>
      <c r="D745" s="12"/>
      <c r="E745" s="23"/>
      <c r="F745" s="17"/>
      <c r="G745" s="17"/>
      <c r="Z745" s="22"/>
      <c r="AB745" s="22"/>
    </row>
    <row r="746" spans="1:28">
      <c r="A746" s="19"/>
      <c r="B746" s="12"/>
      <c r="C746" s="24"/>
      <c r="D746" s="12"/>
      <c r="E746" s="23"/>
      <c r="F746" s="17"/>
      <c r="G746" s="17"/>
      <c r="Z746" s="22"/>
      <c r="AB746" s="22"/>
    </row>
    <row r="747" spans="1:28">
      <c r="A747" s="19"/>
      <c r="B747" s="12"/>
      <c r="C747" s="24"/>
      <c r="D747" s="12"/>
      <c r="E747" s="23"/>
      <c r="F747" s="17"/>
      <c r="G747" s="17"/>
      <c r="Z747" s="22"/>
      <c r="AB747" s="22"/>
    </row>
    <row r="748" spans="1:28">
      <c r="A748" s="19"/>
      <c r="B748" s="12"/>
      <c r="C748" s="24"/>
      <c r="D748" s="12"/>
      <c r="E748" s="23"/>
      <c r="F748" s="17"/>
      <c r="G748" s="17"/>
      <c r="Z748" s="22"/>
      <c r="AB748" s="22"/>
    </row>
    <row r="749" spans="1:28">
      <c r="A749" s="19"/>
      <c r="B749" s="12"/>
      <c r="C749" s="24"/>
      <c r="D749" s="12"/>
      <c r="E749" s="23"/>
      <c r="F749" s="17"/>
      <c r="G749" s="17"/>
      <c r="Z749" s="22"/>
      <c r="AB749" s="22"/>
    </row>
    <row r="750" spans="1:28">
      <c r="A750" s="19"/>
      <c r="B750" s="12"/>
      <c r="C750" s="24"/>
      <c r="D750" s="12"/>
      <c r="E750" s="23"/>
      <c r="F750" s="17"/>
      <c r="G750" s="17"/>
      <c r="Z750" s="22"/>
      <c r="AB750" s="22"/>
    </row>
    <row r="751" spans="1:28">
      <c r="A751" s="19"/>
      <c r="B751" s="12"/>
      <c r="C751" s="24"/>
      <c r="D751" s="12"/>
      <c r="E751" s="23"/>
      <c r="F751" s="17"/>
      <c r="G751" s="17"/>
      <c r="Z751" s="22"/>
      <c r="AB751" s="22"/>
    </row>
    <row r="752" spans="1:28">
      <c r="A752" s="19"/>
      <c r="B752" s="12"/>
      <c r="C752" s="24"/>
      <c r="D752" s="12"/>
      <c r="E752" s="23"/>
      <c r="F752" s="17"/>
      <c r="G752" s="17"/>
      <c r="Z752" s="22"/>
      <c r="AB752" s="22"/>
    </row>
    <row r="753" spans="1:28">
      <c r="A753" s="19"/>
      <c r="B753" s="12"/>
      <c r="C753" s="24"/>
      <c r="D753" s="12"/>
      <c r="E753" s="23"/>
      <c r="F753" s="17"/>
      <c r="G753" s="17"/>
      <c r="Z753" s="22"/>
      <c r="AB753" s="22"/>
    </row>
    <row r="754" spans="1:28">
      <c r="A754" s="19"/>
      <c r="B754" s="12"/>
      <c r="C754" s="24"/>
      <c r="D754" s="12"/>
      <c r="E754" s="23"/>
      <c r="F754" s="17"/>
      <c r="G754" s="17"/>
      <c r="Z754" s="22"/>
      <c r="AB754" s="22"/>
    </row>
    <row r="755" spans="1:28">
      <c r="A755" s="19"/>
      <c r="B755" s="12"/>
      <c r="C755" s="24"/>
      <c r="D755" s="12"/>
      <c r="E755" s="23"/>
      <c r="F755" s="17"/>
      <c r="G755" s="17"/>
      <c r="Z755" s="22"/>
      <c r="AB755" s="22"/>
    </row>
    <row r="756" spans="1:28">
      <c r="A756" s="19"/>
      <c r="B756" s="12"/>
      <c r="C756" s="24"/>
      <c r="D756" s="12"/>
      <c r="E756" s="23"/>
      <c r="F756" s="17"/>
      <c r="G756" s="17"/>
      <c r="Z756" s="22"/>
      <c r="AB756" s="22"/>
    </row>
    <row r="757" spans="1:28">
      <c r="A757" s="19"/>
      <c r="B757" s="12"/>
      <c r="C757" s="24"/>
      <c r="D757" s="12"/>
      <c r="E757" s="23"/>
      <c r="F757" s="17"/>
      <c r="G757" s="17"/>
      <c r="Z757" s="22"/>
      <c r="AB757" s="22"/>
    </row>
    <row r="758" spans="1:28">
      <c r="A758" s="19"/>
      <c r="B758" s="12"/>
      <c r="C758" s="24"/>
      <c r="D758" s="12"/>
      <c r="E758" s="23"/>
      <c r="F758" s="17"/>
      <c r="G758" s="17"/>
      <c r="Z758" s="22"/>
      <c r="AB758" s="22"/>
    </row>
    <row r="759" spans="1:28">
      <c r="A759" s="19"/>
      <c r="B759" s="12"/>
      <c r="C759" s="24"/>
      <c r="D759" s="12"/>
      <c r="E759" s="23"/>
      <c r="F759" s="17"/>
      <c r="G759" s="17"/>
      <c r="Z759" s="22"/>
      <c r="AB759" s="22"/>
    </row>
    <row r="760" spans="1:28">
      <c r="A760" s="19"/>
      <c r="B760" s="12"/>
      <c r="C760" s="24"/>
      <c r="D760" s="12"/>
      <c r="E760" s="23"/>
      <c r="F760" s="17"/>
      <c r="G760" s="17"/>
      <c r="Z760" s="22"/>
      <c r="AB760" s="22"/>
    </row>
    <row r="761" spans="1:28">
      <c r="A761" s="19"/>
      <c r="B761" s="12"/>
      <c r="C761" s="24"/>
      <c r="D761" s="12"/>
      <c r="E761" s="23"/>
      <c r="F761" s="17"/>
      <c r="G761" s="17"/>
      <c r="Z761" s="22"/>
      <c r="AB761" s="22"/>
    </row>
    <row r="762" spans="1:28">
      <c r="A762" s="19"/>
      <c r="B762" s="12"/>
      <c r="C762" s="24"/>
      <c r="D762" s="12"/>
      <c r="E762" s="23"/>
      <c r="F762" s="17"/>
      <c r="G762" s="17"/>
      <c r="Z762" s="22"/>
      <c r="AB762" s="22"/>
    </row>
    <row r="763" spans="1:28">
      <c r="A763" s="19"/>
      <c r="B763" s="12"/>
      <c r="C763" s="24"/>
      <c r="D763" s="12"/>
      <c r="E763" s="23"/>
      <c r="F763" s="17"/>
      <c r="G763" s="17"/>
      <c r="Z763" s="22"/>
      <c r="AB763" s="22"/>
    </row>
    <row r="764" spans="1:28">
      <c r="A764" s="19"/>
      <c r="B764" s="12"/>
      <c r="C764" s="24"/>
      <c r="D764" s="12"/>
      <c r="E764" s="23"/>
      <c r="F764" s="17"/>
      <c r="G764" s="17"/>
      <c r="Z764" s="22"/>
      <c r="AB764" s="22"/>
    </row>
    <row r="765" spans="1:28">
      <c r="A765" s="19"/>
      <c r="B765" s="12"/>
      <c r="C765" s="24"/>
      <c r="D765" s="12"/>
      <c r="E765" s="23"/>
      <c r="F765" s="17"/>
      <c r="G765" s="17"/>
      <c r="Z765" s="22"/>
      <c r="AB765" s="22"/>
    </row>
    <row r="766" spans="1:28">
      <c r="A766" s="19"/>
      <c r="B766" s="12"/>
      <c r="C766" s="24"/>
      <c r="D766" s="12"/>
      <c r="E766" s="23"/>
      <c r="F766" s="17"/>
      <c r="G766" s="17"/>
      <c r="Z766" s="22"/>
      <c r="AB766" s="22"/>
    </row>
    <row r="767" spans="1:28">
      <c r="A767" s="19"/>
      <c r="B767" s="12"/>
      <c r="C767" s="24"/>
      <c r="D767" s="12"/>
      <c r="E767" s="23"/>
      <c r="F767" s="17"/>
      <c r="G767" s="17"/>
      <c r="Z767" s="22"/>
      <c r="AB767" s="22"/>
    </row>
    <row r="768" spans="1:28">
      <c r="A768" s="19"/>
      <c r="B768" s="12"/>
      <c r="C768" s="24"/>
      <c r="D768" s="12"/>
      <c r="E768" s="23"/>
      <c r="F768" s="17"/>
      <c r="G768" s="17"/>
      <c r="Z768" s="22"/>
      <c r="AB768" s="22"/>
    </row>
    <row r="769" spans="1:28">
      <c r="A769" s="19"/>
      <c r="B769" s="12"/>
      <c r="C769" s="24"/>
      <c r="D769" s="12"/>
      <c r="E769" s="23"/>
      <c r="F769" s="17"/>
      <c r="G769" s="17"/>
      <c r="Z769" s="22"/>
      <c r="AB769" s="22"/>
    </row>
    <row r="770" spans="1:28">
      <c r="A770" s="19"/>
      <c r="B770" s="12"/>
      <c r="C770" s="24"/>
      <c r="D770" s="12"/>
      <c r="E770" s="23"/>
      <c r="F770" s="17"/>
      <c r="G770" s="17"/>
      <c r="Z770" s="22"/>
      <c r="AB770" s="22"/>
    </row>
    <row r="771" spans="1:28">
      <c r="A771" s="19"/>
      <c r="B771" s="12"/>
      <c r="C771" s="24"/>
      <c r="D771" s="12"/>
      <c r="E771" s="23"/>
      <c r="F771" s="17"/>
      <c r="G771" s="17"/>
      <c r="Z771" s="22"/>
      <c r="AB771" s="22"/>
    </row>
    <row r="772" spans="1:28">
      <c r="A772" s="19"/>
      <c r="B772" s="12"/>
      <c r="C772" s="24"/>
      <c r="D772" s="12"/>
      <c r="E772" s="23"/>
      <c r="F772" s="17"/>
      <c r="G772" s="17"/>
      <c r="Z772" s="22"/>
      <c r="AB772" s="22"/>
    </row>
    <row r="773" spans="1:28">
      <c r="A773" s="19"/>
      <c r="B773" s="12"/>
      <c r="C773" s="24"/>
      <c r="D773" s="12"/>
      <c r="E773" s="23"/>
      <c r="F773" s="17"/>
      <c r="G773" s="17"/>
      <c r="Z773" s="22"/>
      <c r="AB773" s="22"/>
    </row>
    <row r="774" spans="1:28">
      <c r="A774" s="19"/>
      <c r="B774" s="12"/>
      <c r="C774" s="24"/>
      <c r="D774" s="12"/>
      <c r="E774" s="23"/>
      <c r="F774" s="17"/>
      <c r="G774" s="17"/>
      <c r="Z774" s="22"/>
      <c r="AB774" s="22"/>
    </row>
    <row r="775" spans="1:28">
      <c r="A775" s="19"/>
      <c r="B775" s="12"/>
      <c r="C775" s="24"/>
      <c r="D775" s="12"/>
      <c r="E775" s="23"/>
      <c r="F775" s="17"/>
      <c r="G775" s="17"/>
      <c r="Z775" s="22"/>
      <c r="AB775" s="22"/>
    </row>
    <row r="776" spans="1:28">
      <c r="A776" s="19"/>
      <c r="B776" s="12"/>
      <c r="C776" s="24"/>
      <c r="D776" s="12"/>
      <c r="E776" s="23"/>
      <c r="F776" s="17"/>
      <c r="G776" s="17"/>
      <c r="Z776" s="22"/>
      <c r="AB776" s="22"/>
    </row>
    <row r="777" spans="1:28">
      <c r="A777" s="19"/>
      <c r="B777" s="12"/>
      <c r="C777" s="24"/>
      <c r="D777" s="12"/>
      <c r="E777" s="23"/>
      <c r="F777" s="17"/>
      <c r="G777" s="17"/>
      <c r="Z777" s="22"/>
      <c r="AB777" s="22"/>
    </row>
    <row r="778" spans="1:28">
      <c r="A778" s="19"/>
      <c r="B778" s="12"/>
      <c r="C778" s="24"/>
      <c r="D778" s="12"/>
      <c r="E778" s="23"/>
      <c r="F778" s="17"/>
      <c r="G778" s="17"/>
      <c r="Z778" s="22"/>
      <c r="AB778" s="22"/>
    </row>
    <row r="779" spans="1:28">
      <c r="A779" s="19"/>
      <c r="B779" s="12"/>
      <c r="C779" s="24"/>
      <c r="D779" s="12"/>
      <c r="E779" s="23"/>
      <c r="F779" s="17"/>
      <c r="G779" s="17"/>
      <c r="Z779" s="22"/>
      <c r="AB779" s="22"/>
    </row>
    <row r="780" spans="1:28">
      <c r="A780" s="19"/>
      <c r="B780" s="12"/>
      <c r="C780" s="24"/>
      <c r="D780" s="12"/>
      <c r="E780" s="23"/>
      <c r="F780" s="17"/>
      <c r="G780" s="17"/>
      <c r="Z780" s="22"/>
      <c r="AB780" s="22"/>
    </row>
    <row r="781" spans="1:28">
      <c r="A781" s="19"/>
      <c r="B781" s="12"/>
      <c r="C781" s="24"/>
      <c r="D781" s="12"/>
      <c r="E781" s="23"/>
      <c r="F781" s="17"/>
      <c r="G781" s="17"/>
      <c r="Z781" s="22"/>
      <c r="AB781" s="22"/>
    </row>
    <row r="782" spans="1:28">
      <c r="A782" s="19"/>
      <c r="B782" s="12"/>
      <c r="C782" s="24"/>
      <c r="D782" s="12"/>
      <c r="E782" s="23"/>
      <c r="F782" s="17"/>
      <c r="G782" s="17"/>
      <c r="Z782" s="22"/>
      <c r="AB782" s="22"/>
    </row>
    <row r="783" spans="1:28">
      <c r="A783" s="19"/>
      <c r="B783" s="12"/>
      <c r="C783" s="24"/>
      <c r="D783" s="12"/>
      <c r="E783" s="23"/>
      <c r="F783" s="17"/>
      <c r="G783" s="17"/>
      <c r="Z783" s="22"/>
      <c r="AB783" s="22"/>
    </row>
    <row r="784" spans="1:28">
      <c r="A784" s="19"/>
      <c r="B784" s="12"/>
      <c r="C784" s="24"/>
      <c r="D784" s="12"/>
      <c r="E784" s="23"/>
      <c r="F784" s="17"/>
      <c r="G784" s="17"/>
      <c r="Z784" s="22"/>
      <c r="AB784" s="22"/>
    </row>
    <row r="785" spans="1:28">
      <c r="A785" s="19"/>
      <c r="B785" s="12"/>
      <c r="C785" s="24"/>
      <c r="D785" s="12"/>
      <c r="E785" s="23"/>
      <c r="F785" s="17"/>
      <c r="G785" s="17"/>
      <c r="Z785" s="22"/>
      <c r="AB785" s="22"/>
    </row>
    <row r="786" spans="1:28">
      <c r="A786" s="19"/>
      <c r="B786" s="12"/>
      <c r="C786" s="24"/>
      <c r="D786" s="12"/>
      <c r="E786" s="23"/>
      <c r="F786" s="17"/>
      <c r="G786" s="17"/>
      <c r="Z786" s="22"/>
      <c r="AB786" s="22"/>
    </row>
    <row r="787" spans="1:28">
      <c r="A787" s="19"/>
      <c r="B787" s="12"/>
      <c r="C787" s="24"/>
      <c r="D787" s="12"/>
      <c r="E787" s="23"/>
      <c r="F787" s="17"/>
      <c r="G787" s="17"/>
      <c r="Z787" s="22"/>
      <c r="AB787" s="22"/>
    </row>
    <row r="788" spans="1:28">
      <c r="A788" s="19"/>
      <c r="B788" s="12"/>
      <c r="C788" s="24"/>
      <c r="D788" s="12"/>
      <c r="E788" s="23"/>
      <c r="F788" s="17"/>
      <c r="G788" s="17"/>
      <c r="Z788" s="22"/>
      <c r="AB788" s="22"/>
    </row>
    <row r="789" spans="1:28">
      <c r="A789" s="19"/>
      <c r="B789" s="12"/>
      <c r="C789" s="24"/>
      <c r="D789" s="12"/>
      <c r="E789" s="23"/>
      <c r="F789" s="17"/>
      <c r="G789" s="17"/>
      <c r="Z789" s="22"/>
      <c r="AB789" s="22"/>
    </row>
    <row r="790" spans="1:28">
      <c r="A790" s="19"/>
      <c r="B790" s="12"/>
      <c r="C790" s="24"/>
      <c r="D790" s="12"/>
      <c r="E790" s="23"/>
      <c r="F790" s="17"/>
      <c r="G790" s="17"/>
      <c r="Z790" s="22"/>
      <c r="AB790" s="22"/>
    </row>
    <row r="791" spans="1:28">
      <c r="A791" s="19"/>
      <c r="B791" s="12"/>
      <c r="C791" s="24"/>
      <c r="D791" s="12"/>
      <c r="E791" s="23"/>
      <c r="F791" s="17"/>
      <c r="G791" s="17"/>
      <c r="Z791" s="22"/>
      <c r="AB791" s="22"/>
    </row>
    <row r="792" spans="1:28">
      <c r="A792" s="19"/>
      <c r="B792" s="12"/>
      <c r="C792" s="24"/>
      <c r="D792" s="12"/>
      <c r="E792" s="23"/>
      <c r="F792" s="17"/>
      <c r="G792" s="17"/>
      <c r="Z792" s="22"/>
      <c r="AB792" s="22"/>
    </row>
    <row r="793" spans="1:28">
      <c r="A793" s="19"/>
      <c r="B793" s="12"/>
      <c r="C793" s="24"/>
      <c r="D793" s="12"/>
      <c r="E793" s="23"/>
      <c r="F793" s="17"/>
      <c r="G793" s="17"/>
      <c r="Z793" s="22"/>
      <c r="AB793" s="22"/>
    </row>
    <row r="794" spans="1:28">
      <c r="A794" s="19"/>
      <c r="B794" s="12"/>
      <c r="C794" s="24"/>
      <c r="D794" s="12"/>
      <c r="E794" s="23"/>
      <c r="F794" s="17"/>
      <c r="G794" s="17"/>
      <c r="Z794" s="22"/>
      <c r="AB794" s="22"/>
    </row>
    <row r="795" spans="1:28">
      <c r="A795" s="19"/>
      <c r="B795" s="12"/>
      <c r="C795" s="24"/>
      <c r="D795" s="12"/>
      <c r="E795" s="23"/>
      <c r="F795" s="17"/>
      <c r="G795" s="17"/>
      <c r="Z795" s="22"/>
      <c r="AB795" s="22"/>
    </row>
    <row r="796" spans="1:28">
      <c r="A796" s="19"/>
      <c r="B796" s="12"/>
      <c r="C796" s="24"/>
      <c r="D796" s="12"/>
      <c r="E796" s="23"/>
      <c r="F796" s="17"/>
      <c r="G796" s="17"/>
      <c r="Z796" s="22"/>
      <c r="AB796" s="22"/>
    </row>
    <row r="797" spans="1:28">
      <c r="A797" s="19"/>
      <c r="B797" s="12"/>
      <c r="C797" s="24"/>
      <c r="D797" s="12"/>
      <c r="E797" s="23"/>
      <c r="F797" s="17"/>
      <c r="G797" s="17"/>
      <c r="Z797" s="22"/>
      <c r="AB797" s="22"/>
    </row>
    <row r="798" spans="1:28">
      <c r="A798" s="19"/>
      <c r="B798" s="12"/>
      <c r="C798" s="24"/>
      <c r="D798" s="12"/>
      <c r="E798" s="23"/>
      <c r="F798" s="17"/>
      <c r="G798" s="17"/>
      <c r="Z798" s="22"/>
      <c r="AB798" s="22"/>
    </row>
    <row r="799" spans="1:28">
      <c r="A799" s="19"/>
      <c r="B799" s="12"/>
      <c r="C799" s="24"/>
      <c r="D799" s="12"/>
      <c r="E799" s="23"/>
      <c r="F799" s="17"/>
      <c r="G799" s="17"/>
      <c r="Z799" s="22"/>
      <c r="AB799" s="22"/>
    </row>
    <row r="800" spans="1:28">
      <c r="A800" s="19"/>
      <c r="B800" s="12"/>
      <c r="C800" s="24"/>
      <c r="D800" s="12"/>
      <c r="E800" s="23"/>
      <c r="F800" s="17"/>
      <c r="G800" s="17"/>
      <c r="Z800" s="22"/>
      <c r="AB800" s="22"/>
    </row>
    <row r="801" spans="1:28">
      <c r="A801" s="19"/>
      <c r="B801" s="12"/>
      <c r="C801" s="24"/>
      <c r="D801" s="12"/>
      <c r="E801" s="23"/>
      <c r="F801" s="17"/>
      <c r="G801" s="17"/>
      <c r="Z801" s="22"/>
      <c r="AB801" s="22"/>
    </row>
    <row r="802" spans="1:28">
      <c r="A802" s="19"/>
      <c r="B802" s="12"/>
      <c r="C802" s="24"/>
      <c r="D802" s="12"/>
      <c r="E802" s="23"/>
      <c r="F802" s="17"/>
      <c r="G802" s="17"/>
      <c r="Z802" s="22"/>
      <c r="AB802" s="22"/>
    </row>
    <row r="803" spans="1:28">
      <c r="A803" s="19"/>
      <c r="B803" s="12"/>
      <c r="C803" s="24"/>
      <c r="D803" s="12"/>
      <c r="E803" s="23"/>
      <c r="F803" s="17"/>
      <c r="G803" s="17"/>
      <c r="Z803" s="22"/>
      <c r="AB803" s="22"/>
    </row>
    <row r="804" spans="1:28">
      <c r="A804" s="19"/>
      <c r="B804" s="12"/>
      <c r="C804" s="24"/>
      <c r="D804" s="12"/>
      <c r="E804" s="23"/>
      <c r="F804" s="17"/>
      <c r="G804" s="17"/>
      <c r="Z804" s="22"/>
      <c r="AB804" s="22"/>
    </row>
    <row r="805" spans="1:28">
      <c r="A805" s="19"/>
      <c r="B805" s="12"/>
      <c r="C805" s="24"/>
      <c r="D805" s="12"/>
      <c r="E805" s="23"/>
      <c r="F805" s="17"/>
      <c r="G805" s="17"/>
      <c r="Z805" s="22"/>
      <c r="AB805" s="22"/>
    </row>
    <row r="806" spans="1:28">
      <c r="A806" s="19"/>
      <c r="B806" s="12"/>
      <c r="C806" s="24"/>
      <c r="D806" s="12"/>
      <c r="E806" s="23"/>
      <c r="F806" s="17"/>
      <c r="G806" s="17"/>
      <c r="Z806" s="22"/>
      <c r="AB806" s="22"/>
    </row>
    <row r="807" spans="1:28">
      <c r="A807" s="19"/>
      <c r="B807" s="12"/>
      <c r="C807" s="24"/>
      <c r="D807" s="12"/>
      <c r="E807" s="23"/>
      <c r="F807" s="17"/>
      <c r="G807" s="17"/>
      <c r="Z807" s="22"/>
      <c r="AB807" s="22"/>
    </row>
    <row r="808" spans="1:28">
      <c r="A808" s="19"/>
      <c r="B808" s="12"/>
      <c r="C808" s="24"/>
      <c r="D808" s="12"/>
      <c r="E808" s="23"/>
      <c r="F808" s="17"/>
      <c r="G808" s="17"/>
      <c r="Z808" s="22"/>
      <c r="AB808" s="22"/>
    </row>
    <row r="809" spans="1:28">
      <c r="A809" s="19"/>
      <c r="B809" s="12"/>
      <c r="C809" s="24"/>
      <c r="D809" s="12"/>
      <c r="E809" s="23"/>
      <c r="F809" s="17"/>
      <c r="G809" s="17"/>
      <c r="Z809" s="22"/>
      <c r="AB809" s="22"/>
    </row>
    <row r="810" spans="1:28">
      <c r="A810" s="19"/>
      <c r="B810" s="12"/>
      <c r="C810" s="24"/>
      <c r="D810" s="12"/>
      <c r="E810" s="23"/>
      <c r="F810" s="17"/>
      <c r="G810" s="17"/>
      <c r="Z810" s="22"/>
      <c r="AB810" s="22"/>
    </row>
    <row r="811" spans="1:28">
      <c r="A811" s="19"/>
      <c r="B811" s="12"/>
      <c r="C811" s="24"/>
      <c r="D811" s="12"/>
      <c r="E811" s="23"/>
      <c r="F811" s="17"/>
      <c r="G811" s="17"/>
      <c r="Z811" s="22"/>
      <c r="AB811" s="22"/>
    </row>
    <row r="812" spans="1:28">
      <c r="A812" s="19"/>
      <c r="B812" s="12"/>
      <c r="C812" s="24"/>
      <c r="D812" s="12"/>
      <c r="E812" s="23"/>
      <c r="F812" s="17"/>
      <c r="G812" s="17"/>
      <c r="Z812" s="22"/>
      <c r="AB812" s="22"/>
    </row>
    <row r="813" spans="1:28">
      <c r="A813" s="19"/>
      <c r="B813" s="12"/>
      <c r="C813" s="24"/>
      <c r="D813" s="12"/>
      <c r="E813" s="23"/>
      <c r="F813" s="17"/>
      <c r="G813" s="17"/>
      <c r="Z813" s="22"/>
      <c r="AB813" s="22"/>
    </row>
    <row r="814" spans="1:28">
      <c r="A814" s="19"/>
      <c r="B814" s="12"/>
      <c r="C814" s="24"/>
      <c r="D814" s="12"/>
      <c r="E814" s="23"/>
      <c r="F814" s="17"/>
      <c r="G814" s="17"/>
      <c r="Z814" s="22"/>
      <c r="AB814" s="22"/>
    </row>
    <row r="815" spans="1:28">
      <c r="A815" s="19"/>
      <c r="B815" s="12"/>
      <c r="C815" s="24"/>
      <c r="D815" s="12"/>
      <c r="E815" s="23"/>
      <c r="F815" s="17"/>
      <c r="G815" s="17"/>
      <c r="Z815" s="22"/>
      <c r="AB815" s="22"/>
    </row>
    <row r="816" spans="1:28">
      <c r="A816" s="19"/>
      <c r="B816" s="12"/>
      <c r="C816" s="24"/>
      <c r="D816" s="12"/>
      <c r="E816" s="23"/>
      <c r="F816" s="17"/>
      <c r="G816" s="17"/>
      <c r="Z816" s="22"/>
      <c r="AB816" s="22"/>
    </row>
    <row r="817" spans="1:28">
      <c r="A817" s="19"/>
      <c r="B817" s="12"/>
      <c r="C817" s="24"/>
      <c r="D817" s="12"/>
      <c r="E817" s="23"/>
      <c r="F817" s="17"/>
      <c r="G817" s="17"/>
      <c r="Z817" s="22"/>
      <c r="AB817" s="22"/>
    </row>
    <row r="818" spans="1:28">
      <c r="A818" s="19"/>
      <c r="B818" s="12"/>
      <c r="C818" s="24"/>
      <c r="D818" s="12"/>
      <c r="E818" s="23"/>
      <c r="F818" s="17"/>
      <c r="G818" s="17"/>
      <c r="Z818" s="22"/>
      <c r="AB818" s="22"/>
    </row>
    <row r="819" spans="1:28">
      <c r="A819" s="19"/>
      <c r="B819" s="12"/>
      <c r="C819" s="24"/>
      <c r="D819" s="12"/>
      <c r="E819" s="23"/>
      <c r="F819" s="17"/>
      <c r="G819" s="17"/>
      <c r="Z819" s="22"/>
      <c r="AB819" s="22"/>
    </row>
    <row r="820" spans="1:28">
      <c r="A820" s="19"/>
      <c r="B820" s="12"/>
      <c r="C820" s="24"/>
      <c r="D820" s="12"/>
      <c r="E820" s="23"/>
      <c r="F820" s="17"/>
      <c r="G820" s="17"/>
      <c r="Z820" s="22"/>
      <c r="AB820" s="22"/>
    </row>
    <row r="821" spans="1:28">
      <c r="A821" s="19"/>
      <c r="B821" s="12"/>
      <c r="C821" s="24"/>
      <c r="D821" s="12"/>
      <c r="E821" s="23"/>
      <c r="F821" s="17"/>
      <c r="G821" s="17"/>
      <c r="Z821" s="22"/>
      <c r="AB821" s="22"/>
    </row>
    <row r="822" spans="1:28">
      <c r="A822" s="19"/>
      <c r="B822" s="12"/>
      <c r="C822" s="24"/>
      <c r="D822" s="12"/>
      <c r="E822" s="23"/>
      <c r="F822" s="17"/>
      <c r="G822" s="17"/>
      <c r="Z822" s="22"/>
      <c r="AB822" s="22"/>
    </row>
    <row r="823" spans="1:28">
      <c r="A823" s="19"/>
      <c r="B823" s="12"/>
      <c r="C823" s="24"/>
      <c r="D823" s="12"/>
      <c r="E823" s="23"/>
      <c r="F823" s="17"/>
      <c r="G823" s="17"/>
      <c r="Z823" s="22"/>
      <c r="AB823" s="22"/>
    </row>
    <row r="824" spans="1:28">
      <c r="A824" s="19"/>
      <c r="B824" s="12"/>
      <c r="C824" s="24"/>
      <c r="D824" s="12"/>
      <c r="E824" s="23"/>
      <c r="F824" s="17"/>
      <c r="G824" s="17"/>
      <c r="Z824" s="22"/>
      <c r="AB824" s="22"/>
    </row>
    <row r="825" spans="1:28">
      <c r="A825" s="19"/>
      <c r="B825" s="12"/>
      <c r="C825" s="24"/>
      <c r="D825" s="12"/>
      <c r="E825" s="23"/>
      <c r="F825" s="17"/>
      <c r="G825" s="17"/>
      <c r="Z825" s="22"/>
      <c r="AB825" s="22"/>
    </row>
    <row r="826" spans="1:28">
      <c r="A826" s="19"/>
      <c r="B826" s="12"/>
      <c r="C826" s="24"/>
      <c r="D826" s="12"/>
      <c r="E826" s="23"/>
      <c r="F826" s="17"/>
      <c r="G826" s="17"/>
      <c r="Z826" s="22"/>
      <c r="AB826" s="22"/>
    </row>
    <row r="827" spans="1:28">
      <c r="A827" s="19"/>
      <c r="B827" s="12"/>
      <c r="C827" s="24"/>
      <c r="D827" s="12"/>
      <c r="E827" s="23"/>
      <c r="F827" s="17"/>
      <c r="G827" s="17"/>
      <c r="Z827" s="22"/>
      <c r="AB827" s="22"/>
    </row>
    <row r="828" spans="1:28">
      <c r="A828" s="19"/>
      <c r="B828" s="12"/>
      <c r="C828" s="24"/>
      <c r="D828" s="12"/>
      <c r="E828" s="23"/>
      <c r="F828" s="17"/>
      <c r="G828" s="17"/>
      <c r="Z828" s="22"/>
      <c r="AB828" s="22"/>
    </row>
    <row r="829" spans="1:28">
      <c r="A829" s="19"/>
      <c r="B829" s="12"/>
      <c r="C829" s="24"/>
      <c r="D829" s="12"/>
      <c r="E829" s="23"/>
      <c r="F829" s="17"/>
      <c r="G829" s="17"/>
      <c r="Z829" s="22"/>
      <c r="AB829" s="22"/>
    </row>
    <row r="830" spans="1:28">
      <c r="A830" s="19"/>
      <c r="B830" s="12"/>
      <c r="C830" s="24"/>
      <c r="D830" s="12"/>
      <c r="E830" s="23"/>
      <c r="F830" s="17"/>
      <c r="G830" s="17"/>
      <c r="Z830" s="22"/>
      <c r="AB830" s="22"/>
    </row>
    <row r="831" spans="1:28">
      <c r="A831" s="19"/>
      <c r="B831" s="12"/>
      <c r="C831" s="24"/>
      <c r="D831" s="12"/>
      <c r="E831" s="23"/>
      <c r="F831" s="17"/>
      <c r="G831" s="17"/>
      <c r="Z831" s="22"/>
      <c r="AB831" s="22"/>
    </row>
    <row r="832" spans="1:28">
      <c r="A832" s="19"/>
      <c r="B832" s="12"/>
      <c r="C832" s="24"/>
      <c r="D832" s="12"/>
      <c r="E832" s="23"/>
      <c r="F832" s="17"/>
      <c r="G832" s="17"/>
      <c r="Z832" s="22"/>
      <c r="AB832" s="22"/>
    </row>
    <row r="833" spans="1:28">
      <c r="A833" s="19"/>
      <c r="B833" s="12"/>
      <c r="C833" s="24"/>
      <c r="D833" s="12"/>
      <c r="E833" s="23"/>
      <c r="F833" s="17"/>
      <c r="G833" s="17"/>
      <c r="Z833" s="22"/>
      <c r="AB833" s="22"/>
    </row>
    <row r="834" spans="1:28">
      <c r="A834" s="19"/>
      <c r="B834" s="12"/>
      <c r="C834" s="24"/>
      <c r="D834" s="12"/>
      <c r="E834" s="23"/>
      <c r="F834" s="17"/>
      <c r="G834" s="17"/>
      <c r="Z834" s="22"/>
      <c r="AB834" s="22"/>
    </row>
    <row r="835" spans="1:28">
      <c r="A835" s="19"/>
      <c r="B835" s="12"/>
      <c r="C835" s="24"/>
      <c r="D835" s="12"/>
      <c r="E835" s="23"/>
      <c r="F835" s="17"/>
      <c r="G835" s="17"/>
      <c r="Z835" s="22"/>
      <c r="AB835" s="22"/>
    </row>
    <row r="836" spans="1:28">
      <c r="A836" s="19"/>
      <c r="B836" s="12"/>
      <c r="C836" s="24"/>
      <c r="D836" s="12"/>
      <c r="E836" s="23"/>
      <c r="F836" s="17"/>
      <c r="G836" s="17"/>
      <c r="Z836" s="22"/>
      <c r="AB836" s="22"/>
    </row>
    <row r="837" spans="1:28">
      <c r="A837" s="19"/>
      <c r="B837" s="12"/>
      <c r="C837" s="24"/>
      <c r="D837" s="12"/>
      <c r="E837" s="23"/>
      <c r="F837" s="17"/>
      <c r="G837" s="17"/>
      <c r="Z837" s="22"/>
      <c r="AB837" s="22"/>
    </row>
    <row r="838" spans="1:28">
      <c r="A838" s="19"/>
      <c r="B838" s="12"/>
      <c r="C838" s="24"/>
      <c r="D838" s="12"/>
      <c r="E838" s="23"/>
      <c r="F838" s="17"/>
      <c r="G838" s="17"/>
      <c r="Z838" s="22"/>
      <c r="AB838" s="22"/>
    </row>
    <row r="839" spans="1:28">
      <c r="A839" s="19"/>
      <c r="B839" s="12"/>
      <c r="C839" s="24"/>
      <c r="D839" s="12"/>
      <c r="E839" s="23"/>
      <c r="F839" s="17"/>
      <c r="G839" s="17"/>
      <c r="Z839" s="22"/>
      <c r="AB839" s="22"/>
    </row>
    <row r="840" spans="1:28">
      <c r="A840" s="19"/>
      <c r="B840" s="12"/>
      <c r="C840" s="24"/>
      <c r="D840" s="12"/>
      <c r="E840" s="23"/>
      <c r="F840" s="17"/>
      <c r="G840" s="17"/>
      <c r="Z840" s="22"/>
      <c r="AB840" s="22"/>
    </row>
    <row r="841" spans="1:28">
      <c r="A841" s="19"/>
      <c r="B841" s="12"/>
      <c r="C841" s="24"/>
      <c r="D841" s="12"/>
      <c r="E841" s="23"/>
      <c r="F841" s="17"/>
      <c r="G841" s="17"/>
      <c r="Z841" s="22"/>
      <c r="AB841" s="22"/>
    </row>
    <row r="842" spans="1:28">
      <c r="A842" s="19"/>
      <c r="B842" s="12"/>
      <c r="C842" s="24"/>
      <c r="D842" s="12"/>
      <c r="E842" s="23"/>
      <c r="F842" s="17"/>
      <c r="G842" s="17"/>
      <c r="Z842" s="22"/>
      <c r="AB842" s="22"/>
    </row>
    <row r="843" spans="1:28">
      <c r="A843" s="19"/>
      <c r="B843" s="12"/>
      <c r="C843" s="24"/>
      <c r="D843" s="12"/>
      <c r="E843" s="23"/>
      <c r="F843" s="17"/>
      <c r="G843" s="17"/>
      <c r="Z843" s="22"/>
      <c r="AB843" s="22"/>
    </row>
    <row r="844" spans="1:28">
      <c r="A844" s="19"/>
      <c r="B844" s="12"/>
      <c r="C844" s="24"/>
      <c r="D844" s="12"/>
      <c r="E844" s="23"/>
      <c r="F844" s="17"/>
      <c r="G844" s="17"/>
      <c r="Z844" s="22"/>
      <c r="AB844" s="22"/>
    </row>
    <row r="845" spans="1:28">
      <c r="A845" s="19"/>
      <c r="B845" s="12"/>
      <c r="C845" s="24"/>
      <c r="D845" s="12"/>
      <c r="E845" s="23"/>
      <c r="F845" s="17"/>
      <c r="G845" s="17"/>
      <c r="Z845" s="22"/>
      <c r="AB845" s="22"/>
    </row>
    <row r="846" spans="1:28">
      <c r="A846" s="19"/>
      <c r="B846" s="12"/>
      <c r="C846" s="24"/>
      <c r="D846" s="12"/>
      <c r="E846" s="23"/>
      <c r="F846" s="17"/>
      <c r="G846" s="17"/>
      <c r="Z846" s="22"/>
      <c r="AB846" s="22"/>
    </row>
    <row r="847" spans="1:28">
      <c r="A847" s="19"/>
      <c r="B847" s="12"/>
      <c r="C847" s="24"/>
      <c r="D847" s="12"/>
      <c r="E847" s="23"/>
      <c r="F847" s="17"/>
      <c r="G847" s="17"/>
      <c r="Z847" s="22"/>
      <c r="AB847" s="22"/>
    </row>
    <row r="848" spans="1:28">
      <c r="A848" s="19"/>
      <c r="B848" s="12"/>
      <c r="C848" s="24"/>
      <c r="D848" s="12"/>
      <c r="E848" s="23"/>
      <c r="F848" s="17"/>
      <c r="G848" s="17"/>
      <c r="Z848" s="22"/>
      <c r="AB848" s="22"/>
    </row>
    <row r="849" spans="1:28">
      <c r="A849" s="19"/>
      <c r="B849" s="12"/>
      <c r="C849" s="24"/>
      <c r="D849" s="12"/>
      <c r="E849" s="23"/>
      <c r="F849" s="17"/>
      <c r="G849" s="17"/>
      <c r="Z849" s="22"/>
      <c r="AB849" s="22"/>
    </row>
    <row r="850" spans="1:28">
      <c r="A850" s="19"/>
      <c r="B850" s="12"/>
      <c r="C850" s="24"/>
      <c r="D850" s="12"/>
      <c r="E850" s="23"/>
      <c r="F850" s="17"/>
      <c r="G850" s="17"/>
      <c r="Z850" s="22"/>
      <c r="AB850" s="22"/>
    </row>
    <row r="851" spans="1:28">
      <c r="A851" s="19"/>
      <c r="B851" s="12"/>
      <c r="C851" s="24"/>
      <c r="D851" s="12"/>
      <c r="E851" s="23"/>
      <c r="F851" s="17"/>
      <c r="G851" s="17"/>
      <c r="Z851" s="22"/>
      <c r="AB851" s="22"/>
    </row>
    <row r="852" spans="1:28">
      <c r="A852" s="19"/>
      <c r="B852" s="12"/>
      <c r="C852" s="24"/>
      <c r="D852" s="12"/>
      <c r="E852" s="23"/>
      <c r="F852" s="17"/>
      <c r="G852" s="17"/>
      <c r="Z852" s="22"/>
      <c r="AB852" s="22"/>
    </row>
    <row r="853" spans="1:28">
      <c r="A853" s="19"/>
      <c r="B853" s="12"/>
      <c r="C853" s="24"/>
      <c r="D853" s="12"/>
      <c r="E853" s="23"/>
      <c r="F853" s="17"/>
      <c r="G853" s="17"/>
      <c r="Z853" s="22"/>
      <c r="AB853" s="22"/>
    </row>
    <row r="854" spans="1:28">
      <c r="A854" s="19"/>
      <c r="B854" s="12"/>
      <c r="C854" s="24"/>
      <c r="D854" s="12"/>
      <c r="E854" s="23"/>
      <c r="F854" s="17"/>
      <c r="G854" s="17"/>
      <c r="Z854" s="22"/>
      <c r="AB854" s="22"/>
    </row>
    <row r="855" spans="1:28">
      <c r="A855" s="19"/>
      <c r="B855" s="12"/>
      <c r="C855" s="24"/>
      <c r="D855" s="12"/>
      <c r="E855" s="23"/>
      <c r="F855" s="17"/>
      <c r="G855" s="17"/>
      <c r="Z855" s="22"/>
      <c r="AB855" s="22"/>
    </row>
    <row r="856" spans="1:28">
      <c r="A856" s="19"/>
      <c r="B856" s="12"/>
      <c r="C856" s="24"/>
      <c r="D856" s="12"/>
      <c r="E856" s="23"/>
      <c r="F856" s="17"/>
      <c r="G856" s="17"/>
      <c r="Z856" s="22"/>
      <c r="AB856" s="22"/>
    </row>
    <row r="857" spans="1:28">
      <c r="A857" s="19"/>
      <c r="B857" s="12"/>
      <c r="C857" s="24"/>
      <c r="D857" s="12"/>
      <c r="E857" s="23"/>
      <c r="F857" s="17"/>
      <c r="G857" s="17"/>
      <c r="Z857" s="22"/>
      <c r="AB857" s="22"/>
    </row>
    <row r="858" spans="1:28">
      <c r="A858" s="19"/>
      <c r="B858" s="12"/>
      <c r="C858" s="24"/>
      <c r="D858" s="12"/>
      <c r="E858" s="23"/>
      <c r="F858" s="17"/>
      <c r="G858" s="17"/>
      <c r="Z858" s="22"/>
      <c r="AB858" s="22"/>
    </row>
    <row r="859" spans="1:28">
      <c r="A859" s="19"/>
      <c r="B859" s="12"/>
      <c r="C859" s="24"/>
      <c r="D859" s="12"/>
      <c r="E859" s="23"/>
      <c r="F859" s="17"/>
      <c r="G859" s="17"/>
      <c r="Z859" s="22"/>
      <c r="AB859" s="22"/>
    </row>
    <row r="860" spans="1:28">
      <c r="A860" s="19"/>
      <c r="B860" s="12"/>
      <c r="C860" s="24"/>
      <c r="D860" s="12"/>
      <c r="E860" s="23"/>
      <c r="F860" s="17"/>
      <c r="G860" s="17"/>
      <c r="Z860" s="22"/>
      <c r="AB860" s="22"/>
    </row>
    <row r="861" spans="1:28">
      <c r="A861" s="19"/>
      <c r="B861" s="12"/>
      <c r="C861" s="24"/>
      <c r="D861" s="12"/>
      <c r="E861" s="23"/>
      <c r="F861" s="17"/>
      <c r="G861" s="17"/>
      <c r="Z861" s="22"/>
      <c r="AB861" s="22"/>
    </row>
    <row r="862" spans="1:28">
      <c r="A862" s="19"/>
      <c r="B862" s="12"/>
      <c r="C862" s="24"/>
      <c r="D862" s="12"/>
      <c r="E862" s="23"/>
      <c r="F862" s="17"/>
      <c r="G862" s="17"/>
      <c r="Z862" s="22"/>
      <c r="AB862" s="22"/>
    </row>
    <row r="863" spans="1:28">
      <c r="A863" s="19"/>
      <c r="B863" s="12"/>
      <c r="C863" s="24"/>
      <c r="D863" s="12"/>
      <c r="E863" s="23"/>
      <c r="F863" s="17"/>
      <c r="G863" s="17"/>
      <c r="Z863" s="22"/>
      <c r="AB863" s="22"/>
    </row>
    <row r="864" spans="1:28">
      <c r="A864" s="19"/>
      <c r="B864" s="12"/>
      <c r="C864" s="24"/>
      <c r="D864" s="12"/>
      <c r="E864" s="23"/>
      <c r="F864" s="17"/>
      <c r="G864" s="17"/>
      <c r="Z864" s="22"/>
      <c r="AB864" s="22"/>
    </row>
    <row r="865" spans="1:28">
      <c r="A865" s="19"/>
      <c r="B865" s="12"/>
      <c r="C865" s="24"/>
      <c r="D865" s="12"/>
      <c r="E865" s="23"/>
      <c r="F865" s="17"/>
      <c r="G865" s="17"/>
      <c r="Z865" s="22"/>
      <c r="AB865" s="22"/>
    </row>
    <row r="866" spans="1:28">
      <c r="A866" s="19"/>
      <c r="B866" s="12"/>
      <c r="C866" s="24"/>
      <c r="D866" s="12"/>
      <c r="E866" s="23"/>
      <c r="F866" s="17"/>
      <c r="G866" s="17"/>
      <c r="Z866" s="22"/>
      <c r="AB866" s="22"/>
    </row>
    <row r="867" spans="1:28">
      <c r="A867" s="19"/>
      <c r="B867" s="12"/>
      <c r="C867" s="24"/>
      <c r="D867" s="12"/>
      <c r="E867" s="23"/>
      <c r="F867" s="17"/>
      <c r="G867" s="17"/>
      <c r="Z867" s="22"/>
      <c r="AB867" s="22"/>
    </row>
    <row r="868" spans="1:28">
      <c r="A868" s="19"/>
      <c r="B868" s="12"/>
      <c r="C868" s="24"/>
      <c r="D868" s="12"/>
      <c r="E868" s="23"/>
      <c r="F868" s="17"/>
      <c r="G868" s="17"/>
      <c r="Z868" s="22"/>
      <c r="AB868" s="22"/>
    </row>
    <row r="869" spans="1:28">
      <c r="A869" s="19"/>
      <c r="B869" s="12"/>
      <c r="C869" s="24"/>
      <c r="D869" s="12"/>
      <c r="E869" s="23"/>
      <c r="F869" s="17"/>
      <c r="G869" s="17"/>
      <c r="Z869" s="22"/>
      <c r="AB869" s="22"/>
    </row>
    <row r="870" spans="1:28">
      <c r="A870" s="19"/>
      <c r="B870" s="12"/>
      <c r="C870" s="24"/>
      <c r="D870" s="12"/>
      <c r="E870" s="23"/>
      <c r="F870" s="17"/>
      <c r="G870" s="17"/>
      <c r="Z870" s="22"/>
      <c r="AB870" s="22"/>
    </row>
    <row r="871" spans="1:28">
      <c r="A871" s="19"/>
      <c r="B871" s="12"/>
      <c r="C871" s="24"/>
      <c r="D871" s="12"/>
      <c r="E871" s="23"/>
      <c r="F871" s="17"/>
      <c r="G871" s="17"/>
      <c r="Z871" s="22"/>
      <c r="AB871" s="22"/>
    </row>
    <row r="872" spans="1:28">
      <c r="A872" s="19"/>
      <c r="B872" s="12"/>
      <c r="C872" s="24"/>
      <c r="D872" s="12"/>
      <c r="E872" s="23"/>
      <c r="F872" s="17"/>
      <c r="G872" s="17"/>
      <c r="Z872" s="22"/>
      <c r="AB872" s="22"/>
    </row>
    <row r="873" spans="1:28">
      <c r="A873" s="19"/>
      <c r="B873" s="12"/>
      <c r="C873" s="24"/>
      <c r="D873" s="12"/>
      <c r="E873" s="23"/>
      <c r="F873" s="17"/>
      <c r="G873" s="17"/>
      <c r="Z873" s="22"/>
      <c r="AB873" s="22"/>
    </row>
    <row r="874" spans="1:28">
      <c r="A874" s="19"/>
      <c r="B874" s="12"/>
      <c r="C874" s="24"/>
      <c r="D874" s="12"/>
      <c r="E874" s="23"/>
      <c r="F874" s="17"/>
      <c r="G874" s="17"/>
      <c r="Z874" s="22"/>
      <c r="AB874" s="22"/>
    </row>
    <row r="875" spans="1:28">
      <c r="A875" s="19"/>
      <c r="B875" s="12"/>
      <c r="C875" s="24"/>
      <c r="D875" s="12"/>
      <c r="E875" s="23"/>
      <c r="F875" s="17"/>
      <c r="G875" s="17"/>
      <c r="Z875" s="22"/>
      <c r="AB875" s="22"/>
    </row>
    <row r="876" spans="1:28">
      <c r="A876" s="19"/>
      <c r="B876" s="12"/>
      <c r="C876" s="24"/>
      <c r="D876" s="12"/>
      <c r="E876" s="23"/>
      <c r="F876" s="17"/>
      <c r="G876" s="17"/>
      <c r="Z876" s="22"/>
      <c r="AB876" s="22"/>
    </row>
    <row r="877" spans="1:28">
      <c r="A877" s="19"/>
      <c r="B877" s="12"/>
      <c r="C877" s="24"/>
      <c r="D877" s="12"/>
      <c r="E877" s="23"/>
      <c r="F877" s="17"/>
      <c r="G877" s="17"/>
      <c r="Z877" s="22"/>
      <c r="AB877" s="22"/>
    </row>
    <row r="878" spans="1:28">
      <c r="A878" s="19"/>
      <c r="B878" s="12"/>
      <c r="C878" s="24"/>
      <c r="D878" s="12"/>
      <c r="E878" s="23"/>
      <c r="F878" s="17"/>
      <c r="G878" s="17"/>
      <c r="Z878" s="22"/>
      <c r="AB878" s="22"/>
    </row>
    <row r="879" spans="1:28">
      <c r="A879" s="19"/>
      <c r="B879" s="12"/>
      <c r="C879" s="24"/>
      <c r="D879" s="12"/>
      <c r="E879" s="23"/>
      <c r="F879" s="17"/>
      <c r="G879" s="17"/>
      <c r="Z879" s="22"/>
      <c r="AB879" s="22"/>
    </row>
    <row r="880" spans="1:28">
      <c r="A880" s="19"/>
      <c r="B880" s="12"/>
      <c r="C880" s="24"/>
      <c r="D880" s="12"/>
      <c r="E880" s="23"/>
      <c r="F880" s="17"/>
      <c r="G880" s="17"/>
      <c r="Z880" s="22"/>
      <c r="AB880" s="22"/>
    </row>
    <row r="881" spans="1:28">
      <c r="A881" s="19"/>
      <c r="B881" s="12"/>
      <c r="C881" s="24"/>
      <c r="D881" s="12"/>
      <c r="E881" s="23"/>
      <c r="F881" s="17"/>
      <c r="G881" s="17"/>
      <c r="Z881" s="22"/>
      <c r="AB881" s="22"/>
    </row>
    <row r="882" spans="1:28">
      <c r="A882" s="19"/>
      <c r="B882" s="12"/>
      <c r="C882" s="24"/>
      <c r="D882" s="12"/>
      <c r="E882" s="23"/>
      <c r="F882" s="17"/>
      <c r="G882" s="17"/>
      <c r="Z882" s="22"/>
      <c r="AB882" s="22"/>
    </row>
    <row r="883" spans="1:28">
      <c r="A883" s="19"/>
      <c r="B883" s="12"/>
      <c r="C883" s="24"/>
      <c r="D883" s="12"/>
      <c r="E883" s="23"/>
      <c r="F883" s="17"/>
      <c r="G883" s="17"/>
      <c r="Z883" s="22"/>
      <c r="AB883" s="22"/>
    </row>
    <row r="884" spans="1:28">
      <c r="A884" s="19"/>
      <c r="B884" s="12"/>
      <c r="C884" s="24"/>
      <c r="D884" s="12"/>
      <c r="E884" s="23"/>
      <c r="F884" s="17"/>
      <c r="G884" s="17"/>
      <c r="Z884" s="22"/>
      <c r="AB884" s="22"/>
    </row>
    <row r="885" spans="1:28">
      <c r="A885" s="19"/>
      <c r="B885" s="12"/>
      <c r="C885" s="24"/>
      <c r="D885" s="12"/>
      <c r="E885" s="23"/>
      <c r="F885" s="17"/>
      <c r="G885" s="17"/>
      <c r="Z885" s="22"/>
      <c r="AB885" s="22"/>
    </row>
    <row r="886" spans="1:28">
      <c r="A886" s="19"/>
      <c r="B886" s="12"/>
      <c r="C886" s="24"/>
      <c r="D886" s="12"/>
      <c r="E886" s="23"/>
      <c r="F886" s="17"/>
      <c r="G886" s="17"/>
      <c r="Z886" s="22"/>
      <c r="AB886" s="22"/>
    </row>
    <row r="887" spans="1:28">
      <c r="A887" s="19"/>
      <c r="B887" s="12"/>
      <c r="C887" s="24"/>
      <c r="D887" s="12"/>
      <c r="E887" s="23"/>
      <c r="F887" s="17"/>
      <c r="G887" s="17"/>
      <c r="Z887" s="22"/>
      <c r="AB887" s="22"/>
    </row>
    <row r="888" spans="1:28">
      <c r="A888" s="19"/>
      <c r="B888" s="12"/>
      <c r="C888" s="24"/>
      <c r="D888" s="12"/>
      <c r="E888" s="23"/>
      <c r="F888" s="17"/>
      <c r="G888" s="17"/>
      <c r="Z888" s="22"/>
      <c r="AB888" s="22"/>
    </row>
    <row r="889" spans="1:28">
      <c r="A889" s="19"/>
      <c r="B889" s="12"/>
      <c r="C889" s="24"/>
      <c r="D889" s="12"/>
      <c r="E889" s="23"/>
      <c r="F889" s="17"/>
      <c r="G889" s="17"/>
      <c r="Z889" s="22"/>
      <c r="AB889" s="22"/>
    </row>
    <row r="890" spans="1:28">
      <c r="A890" s="19"/>
      <c r="B890" s="12"/>
      <c r="C890" s="24"/>
      <c r="D890" s="12"/>
      <c r="E890" s="23"/>
      <c r="F890" s="17"/>
      <c r="G890" s="17"/>
      <c r="Z890" s="22"/>
      <c r="AB890" s="22"/>
    </row>
    <row r="891" spans="1:28">
      <c r="A891" s="19"/>
      <c r="B891" s="12"/>
      <c r="C891" s="24"/>
      <c r="D891" s="12"/>
      <c r="E891" s="23"/>
      <c r="F891" s="17"/>
      <c r="G891" s="17"/>
      <c r="Z891" s="22"/>
      <c r="AB891" s="22"/>
    </row>
    <row r="892" spans="1:28">
      <c r="A892" s="19"/>
      <c r="B892" s="12"/>
      <c r="C892" s="24"/>
      <c r="D892" s="12"/>
      <c r="E892" s="23"/>
      <c r="F892" s="17"/>
      <c r="G892" s="17"/>
      <c r="Z892" s="22"/>
      <c r="AB892" s="22"/>
    </row>
    <row r="893" spans="1:28">
      <c r="A893" s="19"/>
      <c r="B893" s="12"/>
      <c r="C893" s="24"/>
      <c r="D893" s="12"/>
      <c r="E893" s="23"/>
      <c r="F893" s="17"/>
      <c r="G893" s="17"/>
      <c r="Z893" s="22"/>
      <c r="AB893" s="22"/>
    </row>
    <row r="894" spans="1:28">
      <c r="A894" s="19"/>
      <c r="B894" s="12"/>
      <c r="C894" s="24"/>
      <c r="D894" s="12"/>
      <c r="E894" s="23"/>
      <c r="F894" s="17"/>
      <c r="G894" s="17"/>
      <c r="Z894" s="22"/>
      <c r="AB894" s="22"/>
    </row>
    <row r="895" spans="1:28">
      <c r="A895" s="19"/>
      <c r="B895" s="12"/>
      <c r="C895" s="24"/>
      <c r="D895" s="12"/>
      <c r="E895" s="23"/>
      <c r="F895" s="17"/>
      <c r="G895" s="17"/>
      <c r="Z895" s="22"/>
      <c r="AB895" s="22"/>
    </row>
    <row r="896" spans="1:28">
      <c r="A896" s="19"/>
      <c r="B896" s="12"/>
      <c r="C896" s="24"/>
      <c r="D896" s="12"/>
      <c r="E896" s="23"/>
      <c r="F896" s="17"/>
      <c r="G896" s="17"/>
      <c r="Z896" s="22"/>
      <c r="AB896" s="22"/>
    </row>
    <row r="897" spans="1:28">
      <c r="A897" s="19"/>
      <c r="B897" s="12"/>
      <c r="C897" s="24"/>
      <c r="D897" s="12"/>
      <c r="E897" s="23"/>
      <c r="F897" s="17"/>
      <c r="G897" s="17"/>
      <c r="Z897" s="22"/>
      <c r="AB897" s="22"/>
    </row>
    <row r="898" spans="1:28">
      <c r="A898" s="19"/>
      <c r="B898" s="12"/>
      <c r="C898" s="24"/>
      <c r="D898" s="12"/>
      <c r="E898" s="23"/>
      <c r="F898" s="17"/>
      <c r="G898" s="17"/>
      <c r="Z898" s="22"/>
      <c r="AB898" s="22"/>
    </row>
    <row r="899" spans="1:28">
      <c r="A899" s="19"/>
      <c r="B899" s="12"/>
      <c r="C899" s="24"/>
      <c r="D899" s="12"/>
      <c r="E899" s="23"/>
      <c r="F899" s="17"/>
      <c r="G899" s="17"/>
      <c r="Z899" s="22"/>
      <c r="AB899" s="22"/>
    </row>
    <row r="900" spans="1:28">
      <c r="A900" s="19"/>
      <c r="B900" s="12"/>
      <c r="C900" s="24"/>
      <c r="D900" s="12"/>
      <c r="E900" s="23"/>
      <c r="F900" s="17"/>
      <c r="G900" s="17"/>
      <c r="Z900" s="22"/>
      <c r="AB900" s="22"/>
    </row>
    <row r="901" spans="1:28">
      <c r="A901" s="19"/>
      <c r="B901" s="12"/>
      <c r="C901" s="24"/>
      <c r="D901" s="12"/>
      <c r="E901" s="23"/>
      <c r="F901" s="17"/>
      <c r="G901" s="17"/>
      <c r="Z901" s="22"/>
      <c r="AB901" s="22"/>
    </row>
    <row r="902" spans="1:28">
      <c r="A902" s="19"/>
      <c r="B902" s="12"/>
      <c r="C902" s="24"/>
      <c r="D902" s="12"/>
      <c r="E902" s="23"/>
      <c r="F902" s="17"/>
      <c r="G902" s="17"/>
      <c r="Z902" s="22"/>
      <c r="AB902" s="22"/>
    </row>
    <row r="903" spans="1:28">
      <c r="A903" s="19"/>
      <c r="B903" s="12"/>
      <c r="C903" s="24"/>
      <c r="D903" s="12"/>
      <c r="E903" s="23"/>
      <c r="F903" s="17"/>
      <c r="G903" s="17"/>
      <c r="Z903" s="22"/>
      <c r="AB903" s="22"/>
    </row>
    <row r="904" spans="1:28">
      <c r="A904" s="19"/>
      <c r="B904" s="12"/>
      <c r="C904" s="24"/>
      <c r="D904" s="12"/>
      <c r="E904" s="23"/>
      <c r="F904" s="17"/>
      <c r="G904" s="17"/>
      <c r="Z904" s="22"/>
      <c r="AB904" s="22"/>
    </row>
    <row r="905" spans="1:28">
      <c r="A905" s="19"/>
      <c r="B905" s="12"/>
      <c r="C905" s="24"/>
      <c r="D905" s="12"/>
      <c r="E905" s="23"/>
      <c r="F905" s="17"/>
      <c r="G905" s="17"/>
      <c r="Z905" s="22"/>
      <c r="AB905" s="22"/>
    </row>
    <row r="906" spans="1:28">
      <c r="A906" s="19"/>
      <c r="B906" s="12"/>
      <c r="C906" s="24"/>
      <c r="D906" s="12"/>
      <c r="E906" s="23"/>
      <c r="F906" s="17"/>
      <c r="G906" s="17"/>
      <c r="Z906" s="22"/>
      <c r="AB906" s="22"/>
    </row>
    <row r="907" spans="1:28">
      <c r="A907" s="19"/>
      <c r="B907" s="12"/>
      <c r="C907" s="24"/>
      <c r="D907" s="12"/>
      <c r="E907" s="23"/>
      <c r="F907" s="17"/>
      <c r="G907" s="17"/>
      <c r="Z907" s="22"/>
      <c r="AB907" s="22"/>
    </row>
    <row r="908" spans="1:28">
      <c r="A908" s="19"/>
      <c r="B908" s="12"/>
      <c r="C908" s="24"/>
      <c r="D908" s="12"/>
      <c r="E908" s="23"/>
      <c r="F908" s="17"/>
      <c r="G908" s="17"/>
      <c r="Z908" s="22"/>
      <c r="AB908" s="22"/>
    </row>
    <row r="909" spans="1:28">
      <c r="A909" s="19"/>
      <c r="B909" s="12"/>
      <c r="C909" s="24"/>
      <c r="D909" s="12"/>
      <c r="E909" s="23"/>
      <c r="F909" s="17"/>
      <c r="G909" s="17"/>
      <c r="Z909" s="22"/>
      <c r="AB909" s="22"/>
    </row>
    <row r="910" spans="1:28">
      <c r="A910" s="19"/>
      <c r="B910" s="12"/>
      <c r="C910" s="24"/>
      <c r="D910" s="12"/>
      <c r="E910" s="23"/>
      <c r="F910" s="17"/>
      <c r="G910" s="17"/>
      <c r="Z910" s="22"/>
      <c r="AB910" s="22"/>
    </row>
    <row r="911" spans="1:28">
      <c r="A911" s="19"/>
      <c r="B911" s="12"/>
      <c r="C911" s="24"/>
      <c r="D911" s="12"/>
      <c r="E911" s="23"/>
      <c r="F911" s="17"/>
      <c r="G911" s="17"/>
      <c r="Z911" s="22"/>
      <c r="AB911" s="22"/>
    </row>
    <row r="912" spans="1:28">
      <c r="A912" s="19"/>
      <c r="B912" s="12"/>
      <c r="C912" s="24"/>
      <c r="D912" s="12"/>
      <c r="E912" s="23"/>
      <c r="F912" s="17"/>
      <c r="G912" s="17"/>
      <c r="Z912" s="22"/>
      <c r="AB912" s="22"/>
    </row>
    <row r="913" spans="1:28">
      <c r="A913" s="19"/>
      <c r="B913" s="12"/>
      <c r="C913" s="24"/>
      <c r="D913" s="12"/>
      <c r="E913" s="23"/>
      <c r="F913" s="17"/>
      <c r="G913" s="17"/>
      <c r="Z913" s="22"/>
      <c r="AB913" s="22"/>
    </row>
    <row r="914" spans="1:28">
      <c r="A914" s="19"/>
      <c r="B914" s="12"/>
      <c r="C914" s="24"/>
      <c r="D914" s="12"/>
      <c r="E914" s="23"/>
      <c r="F914" s="17"/>
      <c r="G914" s="17"/>
      <c r="Z914" s="22"/>
      <c r="AB914" s="22"/>
    </row>
    <row r="915" spans="1:28">
      <c r="A915" s="19"/>
      <c r="B915" s="12"/>
      <c r="C915" s="24"/>
      <c r="D915" s="12"/>
      <c r="E915" s="23"/>
      <c r="F915" s="17"/>
      <c r="G915" s="17"/>
      <c r="Z915" s="22"/>
      <c r="AB915" s="22"/>
    </row>
    <row r="916" spans="1:28">
      <c r="A916" s="19"/>
      <c r="B916" s="12"/>
      <c r="C916" s="24"/>
      <c r="D916" s="12"/>
      <c r="E916" s="23"/>
      <c r="F916" s="17"/>
      <c r="G916" s="17"/>
      <c r="Z916" s="22"/>
      <c r="AB916" s="22"/>
    </row>
    <row r="917" spans="1:28">
      <c r="A917" s="19"/>
      <c r="B917" s="12"/>
      <c r="C917" s="24"/>
      <c r="D917" s="12"/>
      <c r="E917" s="23"/>
      <c r="F917" s="17"/>
      <c r="G917" s="17"/>
      <c r="Z917" s="22"/>
      <c r="AB917" s="22"/>
    </row>
    <row r="918" spans="1:28">
      <c r="A918" s="19"/>
      <c r="B918" s="12"/>
      <c r="C918" s="24"/>
      <c r="D918" s="12"/>
      <c r="E918" s="23"/>
      <c r="F918" s="17"/>
      <c r="G918" s="17"/>
      <c r="Z918" s="22"/>
      <c r="AB918" s="22"/>
    </row>
    <row r="919" spans="1:28">
      <c r="A919" s="19"/>
      <c r="B919" s="12"/>
      <c r="C919" s="24"/>
      <c r="D919" s="12"/>
      <c r="E919" s="23"/>
      <c r="F919" s="17"/>
      <c r="G919" s="17"/>
      <c r="Z919" s="22"/>
      <c r="AB919" s="22"/>
    </row>
    <row r="920" spans="1:28">
      <c r="A920" s="19"/>
      <c r="B920" s="12"/>
      <c r="C920" s="24"/>
      <c r="D920" s="12"/>
      <c r="E920" s="23"/>
      <c r="F920" s="17"/>
      <c r="G920" s="17"/>
      <c r="Z920" s="22"/>
      <c r="AB920" s="22"/>
    </row>
    <row r="921" spans="1:28">
      <c r="A921" s="19"/>
      <c r="B921" s="12"/>
      <c r="C921" s="24"/>
      <c r="D921" s="12"/>
      <c r="E921" s="23"/>
      <c r="F921" s="17"/>
      <c r="G921" s="17"/>
      <c r="Z921" s="22"/>
      <c r="AB921" s="22"/>
    </row>
    <row r="922" spans="1:28">
      <c r="A922" s="19"/>
      <c r="B922" s="12"/>
      <c r="C922" s="24"/>
      <c r="D922" s="12"/>
      <c r="E922" s="23"/>
      <c r="F922" s="17"/>
      <c r="G922" s="17"/>
      <c r="Z922" s="22"/>
      <c r="AB922" s="22"/>
    </row>
    <row r="923" spans="1:28">
      <c r="A923" s="19"/>
      <c r="B923" s="12"/>
      <c r="C923" s="24"/>
      <c r="D923" s="12"/>
      <c r="E923" s="23"/>
      <c r="F923" s="17"/>
      <c r="G923" s="17"/>
      <c r="Z923" s="22"/>
      <c r="AB923" s="22"/>
    </row>
    <row r="924" spans="1:28">
      <c r="A924" s="19"/>
      <c r="B924" s="12"/>
      <c r="C924" s="24"/>
      <c r="D924" s="12"/>
      <c r="E924" s="23"/>
      <c r="F924" s="17"/>
      <c r="G924" s="17"/>
      <c r="Z924" s="22"/>
      <c r="AB924" s="22"/>
    </row>
    <row r="925" spans="1:28">
      <c r="A925" s="19"/>
      <c r="B925" s="12"/>
      <c r="C925" s="24"/>
      <c r="D925" s="12"/>
      <c r="E925" s="23"/>
      <c r="F925" s="17"/>
      <c r="G925" s="17"/>
      <c r="Z925" s="22"/>
      <c r="AB925" s="22"/>
    </row>
    <row r="926" spans="1:28">
      <c r="A926" s="19"/>
      <c r="B926" s="12"/>
      <c r="C926" s="24"/>
      <c r="D926" s="12"/>
      <c r="E926" s="23"/>
      <c r="F926" s="17"/>
      <c r="G926" s="17"/>
      <c r="Z926" s="22"/>
      <c r="AB926" s="22"/>
    </row>
    <row r="927" spans="1:28">
      <c r="A927" s="19"/>
      <c r="B927" s="12"/>
      <c r="C927" s="24"/>
      <c r="D927" s="12"/>
      <c r="E927" s="23"/>
      <c r="F927" s="17"/>
      <c r="G927" s="17"/>
      <c r="Z927" s="22"/>
      <c r="AB927" s="22"/>
    </row>
    <row r="928" spans="1:28">
      <c r="A928" s="19"/>
      <c r="B928" s="12"/>
      <c r="C928" s="24"/>
      <c r="D928" s="12"/>
      <c r="E928" s="23"/>
      <c r="F928" s="17"/>
      <c r="G928" s="17"/>
      <c r="Z928" s="22"/>
      <c r="AB928" s="22"/>
    </row>
    <row r="929" spans="1:28">
      <c r="A929" s="19"/>
      <c r="B929" s="12"/>
      <c r="C929" s="24"/>
      <c r="D929" s="12"/>
      <c r="E929" s="23"/>
      <c r="F929" s="17"/>
      <c r="G929" s="17"/>
      <c r="Z929" s="22"/>
      <c r="AB929" s="22"/>
    </row>
    <row r="930" spans="1:28">
      <c r="A930" s="19"/>
      <c r="B930" s="12"/>
      <c r="C930" s="24"/>
      <c r="D930" s="12"/>
      <c r="E930" s="23"/>
      <c r="F930" s="17"/>
      <c r="G930" s="17"/>
      <c r="Z930" s="22"/>
      <c r="AB930" s="22"/>
    </row>
    <row r="931" spans="1:28">
      <c r="A931" s="19"/>
      <c r="B931" s="12"/>
      <c r="C931" s="24"/>
      <c r="D931" s="12"/>
      <c r="E931" s="23"/>
      <c r="F931" s="17"/>
      <c r="G931" s="17"/>
      <c r="Z931" s="22"/>
      <c r="AB931" s="22"/>
    </row>
    <row r="932" spans="1:28">
      <c r="A932" s="19"/>
      <c r="B932" s="12"/>
      <c r="C932" s="24"/>
      <c r="D932" s="12"/>
      <c r="E932" s="23"/>
      <c r="F932" s="17"/>
      <c r="G932" s="17"/>
      <c r="Z932" s="22"/>
      <c r="AB932" s="22"/>
    </row>
    <row r="933" spans="1:28">
      <c r="A933" s="19"/>
      <c r="B933" s="12"/>
      <c r="C933" s="24"/>
      <c r="D933" s="12"/>
      <c r="E933" s="23"/>
      <c r="F933" s="17"/>
      <c r="G933" s="17"/>
      <c r="Z933" s="22"/>
      <c r="AB933" s="22"/>
    </row>
    <row r="934" spans="1:28">
      <c r="A934" s="19"/>
      <c r="B934" s="12"/>
      <c r="C934" s="24"/>
      <c r="D934" s="12"/>
      <c r="E934" s="23"/>
      <c r="F934" s="17"/>
      <c r="G934" s="17"/>
      <c r="Z934" s="22"/>
      <c r="AB934" s="22"/>
    </row>
    <row r="935" spans="1:28">
      <c r="A935" s="19"/>
      <c r="B935" s="12"/>
      <c r="C935" s="24"/>
      <c r="D935" s="12"/>
      <c r="E935" s="23"/>
      <c r="F935" s="17"/>
      <c r="G935" s="17"/>
      <c r="Z935" s="22"/>
      <c r="AB935" s="22"/>
    </row>
    <row r="936" spans="1:28">
      <c r="A936" s="19"/>
      <c r="B936" s="12"/>
      <c r="C936" s="24"/>
      <c r="D936" s="12"/>
      <c r="E936" s="23"/>
      <c r="F936" s="17"/>
      <c r="G936" s="17"/>
      <c r="Z936" s="22"/>
      <c r="AB936" s="22"/>
    </row>
    <row r="937" spans="1:28">
      <c r="A937" s="19"/>
      <c r="B937" s="12"/>
      <c r="C937" s="24"/>
      <c r="D937" s="12"/>
      <c r="E937" s="23"/>
      <c r="F937" s="17"/>
      <c r="G937" s="17"/>
      <c r="Z937" s="22"/>
      <c r="AB937" s="22"/>
    </row>
    <row r="938" spans="1:28">
      <c r="A938" s="19"/>
      <c r="B938" s="12"/>
      <c r="C938" s="24"/>
      <c r="D938" s="12"/>
      <c r="E938" s="23"/>
      <c r="F938" s="17"/>
      <c r="G938" s="17"/>
      <c r="Z938" s="22"/>
      <c r="AB938" s="22"/>
    </row>
    <row r="939" spans="1:28">
      <c r="A939" s="19"/>
      <c r="B939" s="12"/>
      <c r="C939" s="24"/>
      <c r="D939" s="12"/>
      <c r="E939" s="23"/>
      <c r="F939" s="17"/>
      <c r="G939" s="17"/>
      <c r="Z939" s="22"/>
      <c r="AB939" s="22"/>
    </row>
    <row r="940" spans="1:28">
      <c r="A940" s="19"/>
      <c r="B940" s="12"/>
      <c r="C940" s="24"/>
      <c r="D940" s="12"/>
      <c r="E940" s="23"/>
      <c r="F940" s="17"/>
      <c r="G940" s="17"/>
      <c r="Z940" s="22"/>
      <c r="AB940" s="22"/>
    </row>
    <row r="941" spans="1:28">
      <c r="A941" s="19"/>
      <c r="B941" s="12"/>
      <c r="C941" s="24"/>
      <c r="D941" s="12"/>
      <c r="E941" s="23"/>
      <c r="F941" s="17"/>
      <c r="G941" s="17"/>
      <c r="Z941" s="22"/>
      <c r="AB941" s="22"/>
    </row>
    <row r="942" spans="1:28">
      <c r="A942" s="19"/>
      <c r="B942" s="12"/>
      <c r="C942" s="24"/>
      <c r="D942" s="12"/>
      <c r="E942" s="23"/>
      <c r="F942" s="17"/>
      <c r="G942" s="17"/>
      <c r="Z942" s="22"/>
      <c r="AB942" s="22"/>
    </row>
    <row r="943" spans="1:28">
      <c r="A943" s="19"/>
      <c r="B943" s="12"/>
      <c r="C943" s="24"/>
      <c r="D943" s="12"/>
      <c r="E943" s="23"/>
      <c r="F943" s="17"/>
      <c r="G943" s="17"/>
      <c r="Z943" s="22"/>
      <c r="AB943" s="22"/>
    </row>
    <row r="944" spans="1:28">
      <c r="A944" s="19"/>
      <c r="B944" s="12"/>
      <c r="C944" s="24"/>
      <c r="D944" s="12"/>
      <c r="E944" s="23"/>
      <c r="F944" s="17"/>
      <c r="G944" s="17"/>
      <c r="Z944" s="22"/>
      <c r="AB944" s="22"/>
    </row>
    <row r="945" spans="1:28">
      <c r="A945" s="19"/>
      <c r="B945" s="12"/>
      <c r="C945" s="24"/>
      <c r="D945" s="12"/>
      <c r="E945" s="23"/>
      <c r="F945" s="17"/>
      <c r="G945" s="17"/>
      <c r="Z945" s="22"/>
      <c r="AB945" s="22"/>
    </row>
    <row r="946" spans="1:28">
      <c r="A946" s="19"/>
      <c r="B946" s="12"/>
      <c r="C946" s="24"/>
      <c r="D946" s="12"/>
      <c r="E946" s="23"/>
      <c r="F946" s="17"/>
      <c r="G946" s="17"/>
      <c r="Z946" s="22"/>
      <c r="AB946" s="22"/>
    </row>
    <row r="947" spans="1:28">
      <c r="A947" s="19"/>
      <c r="B947" s="12"/>
      <c r="C947" s="24"/>
      <c r="D947" s="12"/>
      <c r="E947" s="23"/>
      <c r="F947" s="17"/>
      <c r="G947" s="17"/>
      <c r="Z947" s="22"/>
      <c r="AB947" s="22"/>
    </row>
    <row r="948" spans="1:28">
      <c r="A948" s="19"/>
      <c r="B948" s="12"/>
      <c r="C948" s="24"/>
      <c r="D948" s="12"/>
      <c r="E948" s="23"/>
      <c r="F948" s="17"/>
      <c r="G948" s="17"/>
      <c r="Z948" s="22"/>
      <c r="AB948" s="22"/>
    </row>
    <row r="949" spans="1:28">
      <c r="A949" s="19"/>
      <c r="B949" s="12"/>
      <c r="C949" s="24"/>
      <c r="D949" s="12"/>
      <c r="E949" s="23"/>
      <c r="F949" s="17"/>
      <c r="G949" s="17"/>
      <c r="Z949" s="22"/>
      <c r="AB949" s="22"/>
    </row>
    <row r="950" spans="1:28">
      <c r="A950" s="19"/>
      <c r="B950" s="12"/>
      <c r="C950" s="24"/>
      <c r="D950" s="12"/>
      <c r="E950" s="23"/>
      <c r="F950" s="17"/>
      <c r="G950" s="17"/>
      <c r="Z950" s="22"/>
      <c r="AB950" s="22"/>
    </row>
    <row r="951" spans="1:28">
      <c r="A951" s="19"/>
      <c r="B951" s="12"/>
      <c r="C951" s="24"/>
      <c r="D951" s="12"/>
      <c r="E951" s="23"/>
      <c r="F951" s="17"/>
      <c r="G951" s="17"/>
      <c r="Z951" s="22"/>
      <c r="AB951" s="22"/>
    </row>
    <row r="952" spans="1:28">
      <c r="A952" s="19"/>
      <c r="B952" s="12"/>
      <c r="C952" s="24"/>
      <c r="D952" s="12"/>
      <c r="E952" s="23"/>
      <c r="F952" s="17"/>
      <c r="G952" s="17"/>
      <c r="Z952" s="22"/>
      <c r="AB952" s="22"/>
    </row>
    <row r="953" spans="1:28">
      <c r="A953" s="19"/>
      <c r="B953" s="12"/>
      <c r="C953" s="24"/>
      <c r="D953" s="12"/>
      <c r="E953" s="23"/>
      <c r="F953" s="17"/>
      <c r="G953" s="17"/>
      <c r="Z953" s="22"/>
      <c r="AB953" s="22"/>
    </row>
    <row r="954" spans="1:28">
      <c r="A954" s="19"/>
      <c r="B954" s="12"/>
      <c r="C954" s="24"/>
      <c r="D954" s="12"/>
      <c r="E954" s="23"/>
      <c r="F954" s="17"/>
      <c r="G954" s="17"/>
      <c r="Z954" s="22"/>
      <c r="AB954" s="22"/>
    </row>
    <row r="955" spans="1:28">
      <c r="A955" s="19"/>
      <c r="B955" s="12"/>
      <c r="C955" s="24"/>
      <c r="D955" s="12"/>
      <c r="E955" s="23"/>
      <c r="F955" s="17"/>
      <c r="G955" s="17"/>
      <c r="Z955" s="22"/>
      <c r="AB955" s="22"/>
    </row>
    <row r="956" spans="1:28">
      <c r="A956" s="19"/>
      <c r="B956" s="12"/>
      <c r="C956" s="24"/>
      <c r="D956" s="12"/>
      <c r="E956" s="23"/>
      <c r="F956" s="17"/>
      <c r="G956" s="17"/>
      <c r="Z956" s="22"/>
      <c r="AB956" s="22"/>
    </row>
    <row r="957" spans="1:28">
      <c r="A957" s="19"/>
      <c r="B957" s="12"/>
      <c r="C957" s="24"/>
      <c r="D957" s="12"/>
      <c r="E957" s="23"/>
      <c r="F957" s="17"/>
      <c r="G957" s="17"/>
      <c r="Z957" s="22"/>
      <c r="AB957" s="22"/>
    </row>
    <row r="958" spans="1:28">
      <c r="A958" s="19"/>
      <c r="B958" s="12"/>
      <c r="C958" s="24"/>
      <c r="D958" s="12"/>
      <c r="E958" s="23"/>
      <c r="F958" s="17"/>
      <c r="G958" s="17"/>
      <c r="Z958" s="22"/>
      <c r="AB958" s="22"/>
    </row>
    <row r="959" spans="1:28">
      <c r="A959" s="19"/>
      <c r="B959" s="12"/>
      <c r="C959" s="24"/>
      <c r="D959" s="12"/>
      <c r="E959" s="23"/>
      <c r="F959" s="17"/>
      <c r="G959" s="17"/>
      <c r="Z959" s="22"/>
      <c r="AB959" s="22"/>
    </row>
    <row r="960" spans="1:28">
      <c r="A960" s="19"/>
      <c r="B960" s="12"/>
      <c r="C960" s="24"/>
      <c r="D960" s="12"/>
      <c r="E960" s="23"/>
      <c r="F960" s="17"/>
      <c r="G960" s="17"/>
      <c r="Z960" s="22"/>
      <c r="AB960" s="22"/>
    </row>
    <row r="961" spans="1:28">
      <c r="A961" s="19"/>
      <c r="B961" s="12"/>
      <c r="C961" s="24"/>
      <c r="D961" s="12"/>
      <c r="E961" s="23"/>
      <c r="F961" s="17"/>
      <c r="G961" s="17"/>
      <c r="Z961" s="22"/>
      <c r="AB961" s="22"/>
    </row>
    <row r="962" spans="1:28">
      <c r="A962" s="19"/>
      <c r="B962" s="12"/>
      <c r="C962" s="24"/>
      <c r="D962" s="12"/>
      <c r="E962" s="23"/>
      <c r="F962" s="17"/>
      <c r="G962" s="17"/>
      <c r="Z962" s="22"/>
      <c r="AB962" s="22"/>
    </row>
    <row r="963" spans="1:28">
      <c r="A963" s="19"/>
      <c r="B963" s="12"/>
      <c r="C963" s="24"/>
      <c r="D963" s="12"/>
      <c r="E963" s="23"/>
      <c r="F963" s="17"/>
      <c r="G963" s="17"/>
      <c r="Z963" s="22"/>
      <c r="AB963" s="22"/>
    </row>
    <row r="964" spans="1:28">
      <c r="A964" s="19"/>
      <c r="B964" s="12"/>
      <c r="C964" s="24"/>
      <c r="D964" s="12"/>
      <c r="E964" s="23"/>
      <c r="F964" s="17"/>
      <c r="G964" s="17"/>
      <c r="Z964" s="22"/>
      <c r="AB964" s="22"/>
    </row>
    <row r="965" spans="1:28">
      <c r="A965" s="19"/>
      <c r="B965" s="12"/>
      <c r="C965" s="24"/>
      <c r="D965" s="12"/>
      <c r="E965" s="23"/>
      <c r="F965" s="17"/>
      <c r="G965" s="17"/>
      <c r="Z965" s="22"/>
      <c r="AB965" s="22"/>
    </row>
    <row r="966" spans="1:28">
      <c r="A966" s="19"/>
      <c r="B966" s="12"/>
      <c r="C966" s="24"/>
      <c r="D966" s="12"/>
      <c r="E966" s="23"/>
      <c r="F966" s="17"/>
      <c r="G966" s="17"/>
      <c r="Z966" s="22"/>
      <c r="AB966" s="22"/>
    </row>
    <row r="967" spans="1:28">
      <c r="A967" s="19"/>
      <c r="B967" s="12"/>
      <c r="C967" s="24"/>
      <c r="D967" s="12"/>
      <c r="E967" s="23"/>
      <c r="F967" s="17"/>
      <c r="G967" s="17"/>
      <c r="Z967" s="22"/>
      <c r="AB967" s="22"/>
    </row>
    <row r="968" spans="1:28">
      <c r="A968" s="19"/>
      <c r="B968" s="12"/>
      <c r="C968" s="24"/>
      <c r="D968" s="12"/>
      <c r="E968" s="23"/>
      <c r="F968" s="17"/>
      <c r="G968" s="17"/>
      <c r="Z968" s="22"/>
      <c r="AB968" s="22"/>
    </row>
    <row r="969" spans="1:28">
      <c r="A969" s="19"/>
      <c r="B969" s="12"/>
      <c r="C969" s="24"/>
      <c r="D969" s="12"/>
      <c r="E969" s="23"/>
      <c r="F969" s="17"/>
      <c r="G969" s="17"/>
      <c r="Z969" s="22"/>
      <c r="AB969" s="22"/>
    </row>
    <row r="970" spans="1:28">
      <c r="A970" s="19"/>
      <c r="B970" s="12"/>
      <c r="C970" s="24"/>
      <c r="D970" s="12"/>
      <c r="E970" s="23"/>
      <c r="F970" s="17"/>
      <c r="G970" s="17"/>
      <c r="Z970" s="22"/>
      <c r="AB970" s="22"/>
    </row>
    <row r="971" spans="1:28">
      <c r="A971" s="19"/>
      <c r="B971" s="12"/>
      <c r="C971" s="24"/>
      <c r="D971" s="12"/>
      <c r="E971" s="23"/>
      <c r="F971" s="17"/>
      <c r="G971" s="17"/>
      <c r="Z971" s="22"/>
      <c r="AB971" s="22"/>
    </row>
    <row r="972" spans="1:28">
      <c r="A972" s="19"/>
      <c r="B972" s="12"/>
      <c r="C972" s="24"/>
      <c r="D972" s="12"/>
      <c r="E972" s="23"/>
      <c r="F972" s="17"/>
      <c r="G972" s="17"/>
      <c r="Z972" s="22"/>
      <c r="AB972" s="22"/>
    </row>
    <row r="973" spans="1:28">
      <c r="A973" s="19"/>
      <c r="B973" s="12"/>
      <c r="C973" s="24"/>
      <c r="D973" s="12"/>
      <c r="E973" s="23"/>
      <c r="F973" s="17"/>
      <c r="G973" s="17"/>
      <c r="Z973" s="22"/>
      <c r="AB973" s="22"/>
    </row>
    <row r="974" spans="1:28">
      <c r="A974" s="19"/>
      <c r="B974" s="12"/>
      <c r="C974" s="24"/>
      <c r="D974" s="12"/>
      <c r="E974" s="23"/>
      <c r="F974" s="17"/>
      <c r="G974" s="17"/>
      <c r="Z974" s="22"/>
      <c r="AB974" s="22"/>
    </row>
    <row r="975" spans="1:28">
      <c r="A975" s="19"/>
      <c r="B975" s="12"/>
      <c r="C975" s="24"/>
      <c r="D975" s="12"/>
      <c r="E975" s="23"/>
      <c r="F975" s="17"/>
      <c r="G975" s="17"/>
      <c r="Z975" s="22"/>
      <c r="AB975" s="22"/>
    </row>
    <row r="976" spans="1:28">
      <c r="A976" s="19"/>
      <c r="B976" s="12"/>
      <c r="C976" s="24"/>
      <c r="D976" s="12"/>
      <c r="E976" s="23"/>
      <c r="F976" s="17"/>
      <c r="G976" s="17"/>
      <c r="Z976" s="22"/>
      <c r="AB976" s="22"/>
    </row>
    <row r="977" spans="1:28">
      <c r="A977" s="19"/>
      <c r="B977" s="12"/>
      <c r="C977" s="24"/>
      <c r="D977" s="12"/>
      <c r="E977" s="23"/>
      <c r="F977" s="17"/>
      <c r="G977" s="17"/>
      <c r="Z977" s="22"/>
      <c r="AB977" s="22"/>
    </row>
    <row r="978" spans="1:28">
      <c r="A978" s="19"/>
      <c r="B978" s="12"/>
      <c r="C978" s="24"/>
      <c r="D978" s="12"/>
      <c r="E978" s="23"/>
      <c r="F978" s="17"/>
      <c r="G978" s="17"/>
      <c r="Z978" s="22"/>
      <c r="AB978" s="22"/>
    </row>
    <row r="979" spans="1:28">
      <c r="A979" s="19"/>
      <c r="B979" s="12"/>
      <c r="C979" s="24"/>
      <c r="D979" s="12"/>
      <c r="E979" s="23"/>
      <c r="F979" s="17"/>
      <c r="G979" s="17"/>
      <c r="Z979" s="22"/>
      <c r="AB979" s="22"/>
    </row>
    <row r="980" spans="1:28">
      <c r="A980" s="19"/>
      <c r="B980" s="12"/>
      <c r="C980" s="24"/>
      <c r="D980" s="12"/>
      <c r="E980" s="23"/>
      <c r="F980" s="17"/>
      <c r="G980" s="17"/>
      <c r="Z980" s="22"/>
      <c r="AB980" s="22"/>
    </row>
    <row r="981" spans="1:28">
      <c r="A981" s="19"/>
      <c r="B981" s="12"/>
      <c r="C981" s="24"/>
      <c r="D981" s="12"/>
      <c r="E981" s="23"/>
      <c r="F981" s="17"/>
      <c r="G981" s="17"/>
      <c r="Z981" s="22"/>
      <c r="AB981" s="22"/>
    </row>
    <row r="982" spans="1:28">
      <c r="A982" s="19"/>
      <c r="B982" s="12"/>
      <c r="C982" s="24"/>
      <c r="D982" s="12"/>
      <c r="E982" s="23"/>
      <c r="F982" s="17"/>
      <c r="G982" s="17"/>
      <c r="Z982" s="22"/>
      <c r="AB982" s="22"/>
    </row>
    <row r="983" spans="1:28">
      <c r="A983" s="19"/>
      <c r="B983" s="12"/>
      <c r="C983" s="24"/>
      <c r="D983" s="12"/>
      <c r="E983" s="23"/>
      <c r="F983" s="17"/>
      <c r="G983" s="17"/>
      <c r="Z983" s="22"/>
      <c r="AB983" s="22"/>
    </row>
    <row r="984" spans="1:28">
      <c r="A984" s="19"/>
      <c r="B984" s="12"/>
      <c r="C984" s="24"/>
      <c r="D984" s="12"/>
      <c r="E984" s="23"/>
      <c r="F984" s="17"/>
      <c r="G984" s="17"/>
      <c r="Z984" s="22"/>
      <c r="AB984" s="22"/>
    </row>
    <row r="985" spans="1:28">
      <c r="A985" s="19"/>
      <c r="B985" s="12"/>
      <c r="C985" s="24"/>
      <c r="D985" s="12"/>
      <c r="E985" s="23"/>
      <c r="F985" s="17"/>
      <c r="G985" s="17"/>
      <c r="Z985" s="22"/>
      <c r="AB985" s="22"/>
    </row>
    <row r="986" spans="1:28">
      <c r="A986" s="19"/>
      <c r="B986" s="12"/>
      <c r="C986" s="24"/>
      <c r="D986" s="12"/>
      <c r="E986" s="23"/>
      <c r="F986" s="17"/>
      <c r="G986" s="17"/>
      <c r="Z986" s="22"/>
      <c r="AB986" s="22"/>
    </row>
    <row r="987" spans="1:28">
      <c r="A987" s="19"/>
      <c r="B987" s="12"/>
      <c r="C987" s="24"/>
      <c r="D987" s="12"/>
      <c r="E987" s="23"/>
      <c r="F987" s="17"/>
      <c r="G987" s="17"/>
      <c r="Z987" s="22"/>
      <c r="AB987" s="22"/>
    </row>
    <row r="988" spans="1:28">
      <c r="A988" s="19"/>
      <c r="B988" s="12"/>
      <c r="C988" s="24"/>
      <c r="D988" s="12"/>
      <c r="E988" s="23"/>
      <c r="F988" s="17"/>
      <c r="G988" s="17"/>
      <c r="Z988" s="22"/>
      <c r="AB988" s="22"/>
    </row>
    <row r="989" spans="1:28">
      <c r="A989" s="19"/>
      <c r="B989" s="12"/>
      <c r="C989" s="24"/>
      <c r="D989" s="12"/>
      <c r="E989" s="23"/>
      <c r="F989" s="17"/>
      <c r="G989" s="17"/>
      <c r="Z989" s="22"/>
      <c r="AB989" s="22"/>
    </row>
    <row r="990" spans="1:28">
      <c r="A990" s="19"/>
      <c r="B990" s="12"/>
      <c r="C990" s="24"/>
      <c r="D990" s="12"/>
      <c r="E990" s="23"/>
      <c r="F990" s="17"/>
      <c r="G990" s="17"/>
      <c r="Z990" s="22"/>
      <c r="AB990" s="22"/>
    </row>
    <row r="991" spans="1:28">
      <c r="A991" s="19"/>
      <c r="B991" s="12"/>
      <c r="C991" s="24"/>
      <c r="D991" s="12"/>
      <c r="E991" s="23"/>
      <c r="F991" s="17"/>
      <c r="G991" s="17"/>
      <c r="Z991" s="22"/>
      <c r="AB991" s="22"/>
    </row>
    <row r="992" spans="1:28">
      <c r="A992" s="19"/>
      <c r="B992" s="12"/>
      <c r="C992" s="24"/>
      <c r="D992" s="12"/>
      <c r="E992" s="23"/>
      <c r="F992" s="17"/>
      <c r="G992" s="17"/>
      <c r="Z992" s="22"/>
      <c r="AB992" s="22"/>
    </row>
    <row r="993" spans="1:28">
      <c r="A993" s="19"/>
      <c r="B993" s="12"/>
      <c r="C993" s="24"/>
      <c r="D993" s="12"/>
      <c r="E993" s="23"/>
      <c r="F993" s="17"/>
      <c r="G993" s="17"/>
      <c r="Z993" s="22"/>
      <c r="AB993" s="22"/>
    </row>
    <row r="994" spans="1:28">
      <c r="A994" s="19"/>
      <c r="B994" s="12"/>
      <c r="C994" s="24"/>
      <c r="D994" s="12"/>
      <c r="E994" s="23"/>
      <c r="F994" s="17"/>
      <c r="G994" s="17"/>
      <c r="Z994" s="22"/>
      <c r="AB994" s="22"/>
    </row>
    <row r="995" spans="1:28">
      <c r="A995" s="19"/>
      <c r="B995" s="12"/>
      <c r="C995" s="24"/>
      <c r="D995" s="12"/>
      <c r="E995" s="23"/>
      <c r="F995" s="17"/>
      <c r="G995" s="17"/>
      <c r="Z995" s="22"/>
      <c r="AB995" s="22"/>
    </row>
    <row r="996" spans="1:28">
      <c r="A996" s="19"/>
      <c r="B996" s="12"/>
      <c r="C996" s="24"/>
      <c r="D996" s="12"/>
      <c r="E996" s="23"/>
      <c r="F996" s="17"/>
      <c r="G996" s="17"/>
      <c r="Z996" s="22"/>
      <c r="AB996" s="22"/>
    </row>
    <row r="997" spans="1:28">
      <c r="A997" s="19"/>
      <c r="B997" s="12"/>
      <c r="C997" s="24"/>
      <c r="D997" s="12"/>
      <c r="E997" s="23"/>
      <c r="F997" s="17"/>
      <c r="G997" s="17"/>
      <c r="Z997" s="22"/>
      <c r="AB997" s="22"/>
    </row>
    <row r="998" spans="1:28">
      <c r="A998" s="19"/>
      <c r="B998" s="12"/>
      <c r="C998" s="24"/>
      <c r="D998" s="12"/>
      <c r="E998" s="23"/>
      <c r="F998" s="17"/>
      <c r="G998" s="17"/>
      <c r="Z998" s="22"/>
      <c r="AB998" s="22"/>
    </row>
    <row r="999" spans="1:28">
      <c r="A999" s="19"/>
      <c r="B999" s="12"/>
      <c r="C999" s="24"/>
      <c r="D999" s="12"/>
      <c r="E999" s="23"/>
      <c r="F999" s="17"/>
      <c r="G999" s="17"/>
      <c r="Z999" s="22"/>
      <c r="AB999" s="22"/>
    </row>
    <row r="1000" spans="1:28">
      <c r="A1000" s="19"/>
      <c r="B1000" s="12"/>
      <c r="C1000" s="24"/>
      <c r="D1000" s="12"/>
      <c r="E1000" s="23"/>
      <c r="F1000" s="17"/>
      <c r="G1000" s="17"/>
      <c r="Z1000" s="22"/>
      <c r="AB1000" s="22"/>
    </row>
    <row r="1001" spans="1:28">
      <c r="A1001" s="19"/>
      <c r="B1001" s="12"/>
      <c r="C1001" s="24"/>
      <c r="D1001" s="12"/>
      <c r="E1001" s="23"/>
      <c r="F1001" s="17"/>
      <c r="G1001" s="17"/>
      <c r="Z1001" s="22"/>
      <c r="AB1001" s="22"/>
    </row>
    <row r="1002" spans="1:28">
      <c r="A1002" s="19"/>
      <c r="B1002" s="12"/>
      <c r="C1002" s="24"/>
      <c r="D1002" s="12"/>
      <c r="E1002" s="23"/>
      <c r="F1002" s="17"/>
      <c r="G1002" s="17"/>
      <c r="Z1002" s="22"/>
      <c r="AB1002" s="22"/>
    </row>
    <row r="1003" spans="1:28">
      <c r="A1003" s="19"/>
      <c r="B1003" s="12"/>
      <c r="C1003" s="24"/>
      <c r="D1003" s="12"/>
      <c r="E1003" s="23"/>
      <c r="F1003" s="17"/>
      <c r="G1003" s="17"/>
      <c r="Z1003" s="22"/>
      <c r="AB1003" s="22"/>
    </row>
    <row r="1004" spans="1:28">
      <c r="A1004" s="19"/>
      <c r="B1004" s="12"/>
      <c r="C1004" s="24"/>
      <c r="D1004" s="12"/>
      <c r="E1004" s="23"/>
      <c r="F1004" s="17"/>
      <c r="G1004" s="17"/>
      <c r="Z1004" s="22"/>
      <c r="AB1004" s="22"/>
    </row>
    <row r="1005" spans="1:28">
      <c r="A1005" s="19"/>
      <c r="B1005" s="12"/>
      <c r="C1005" s="24"/>
      <c r="D1005" s="12"/>
      <c r="E1005" s="23"/>
      <c r="F1005" s="17"/>
      <c r="G1005" s="17"/>
      <c r="Z1005" s="22"/>
      <c r="AB1005" s="22"/>
    </row>
    <row r="1006" spans="1:28">
      <c r="A1006" s="19"/>
      <c r="B1006" s="12"/>
      <c r="C1006" s="24"/>
      <c r="D1006" s="12"/>
      <c r="E1006" s="23"/>
      <c r="F1006" s="17"/>
      <c r="G1006" s="17"/>
      <c r="Z1006" s="22"/>
      <c r="AB1006" s="22"/>
    </row>
    <row r="1007" spans="1:28">
      <c r="A1007" s="19"/>
      <c r="B1007" s="12"/>
      <c r="C1007" s="24"/>
      <c r="D1007" s="12"/>
      <c r="E1007" s="23"/>
      <c r="F1007" s="17"/>
      <c r="G1007" s="17"/>
      <c r="Z1007" s="22"/>
      <c r="AB1007" s="22"/>
    </row>
    <row r="1008" spans="1:28">
      <c r="A1008" s="19"/>
      <c r="B1008" s="12"/>
      <c r="C1008" s="24"/>
      <c r="D1008" s="12"/>
      <c r="E1008" s="23"/>
      <c r="F1008" s="17"/>
      <c r="G1008" s="17"/>
      <c r="Z1008" s="22"/>
      <c r="AB1008" s="22"/>
    </row>
    <row r="1009" spans="1:28">
      <c r="A1009" s="19"/>
      <c r="B1009" s="12"/>
      <c r="C1009" s="24"/>
      <c r="D1009" s="12"/>
      <c r="E1009" s="23"/>
      <c r="F1009" s="17"/>
      <c r="G1009" s="17"/>
      <c r="Z1009" s="22"/>
      <c r="AB1009" s="22"/>
    </row>
    <row r="1010" spans="1:28">
      <c r="A1010" s="19"/>
      <c r="B1010" s="12"/>
      <c r="C1010" s="24"/>
      <c r="D1010" s="12"/>
      <c r="E1010" s="23"/>
      <c r="F1010" s="17"/>
      <c r="G1010" s="17"/>
      <c r="Z1010" s="22"/>
      <c r="AB1010" s="22"/>
    </row>
    <row r="1011" spans="1:28">
      <c r="A1011" s="19"/>
      <c r="B1011" s="12"/>
      <c r="C1011" s="24"/>
      <c r="D1011" s="12"/>
      <c r="E1011" s="23"/>
      <c r="F1011" s="17"/>
      <c r="G1011" s="17"/>
      <c r="Z1011" s="22"/>
      <c r="AB1011" s="22"/>
    </row>
    <row r="1012" spans="1:28">
      <c r="A1012" s="19"/>
      <c r="B1012" s="12"/>
      <c r="C1012" s="24"/>
      <c r="D1012" s="12"/>
      <c r="E1012" s="23"/>
      <c r="F1012" s="17"/>
      <c r="G1012" s="17"/>
      <c r="Z1012" s="22"/>
      <c r="AB1012" s="22"/>
    </row>
    <row r="1013" spans="1:28">
      <c r="A1013" s="19"/>
      <c r="B1013" s="12"/>
      <c r="C1013" s="24"/>
      <c r="D1013" s="12"/>
      <c r="E1013" s="23"/>
      <c r="F1013" s="17"/>
      <c r="G1013" s="17"/>
      <c r="Z1013" s="22"/>
      <c r="AB1013" s="22"/>
    </row>
    <row r="1014" spans="1:28">
      <c r="A1014" s="19"/>
      <c r="B1014" s="12"/>
      <c r="C1014" s="24"/>
      <c r="D1014" s="12"/>
      <c r="E1014" s="23"/>
      <c r="F1014" s="17"/>
      <c r="G1014" s="17"/>
      <c r="Z1014" s="22"/>
      <c r="AB1014" s="22"/>
    </row>
    <row r="1015" spans="1:28">
      <c r="A1015" s="19"/>
      <c r="B1015" s="12"/>
      <c r="C1015" s="24"/>
      <c r="D1015" s="12"/>
      <c r="E1015" s="23"/>
      <c r="F1015" s="17"/>
      <c r="G1015" s="17"/>
      <c r="Z1015" s="22"/>
      <c r="AB1015" s="22"/>
    </row>
    <row r="1016" spans="1:28">
      <c r="A1016" s="19"/>
      <c r="B1016" s="12"/>
      <c r="C1016" s="24"/>
      <c r="D1016" s="12"/>
      <c r="E1016" s="23"/>
      <c r="F1016" s="17"/>
      <c r="G1016" s="17"/>
      <c r="Z1016" s="22"/>
      <c r="AB1016" s="22"/>
    </row>
    <row r="1017" spans="1:28">
      <c r="A1017" s="19"/>
      <c r="B1017" s="12"/>
      <c r="C1017" s="24"/>
      <c r="D1017" s="12"/>
      <c r="E1017" s="23"/>
      <c r="F1017" s="17"/>
      <c r="G1017" s="17"/>
      <c r="Z1017" s="22"/>
      <c r="AB1017" s="22"/>
    </row>
    <row r="1018" spans="1:28">
      <c r="A1018" s="19"/>
      <c r="B1018" s="12"/>
      <c r="C1018" s="24"/>
      <c r="D1018" s="12"/>
      <c r="E1018" s="23"/>
      <c r="F1018" s="17"/>
      <c r="G1018" s="17"/>
      <c r="Z1018" s="22"/>
      <c r="AB1018" s="22"/>
    </row>
    <row r="1019" spans="1:28">
      <c r="A1019" s="19"/>
      <c r="B1019" s="12"/>
      <c r="C1019" s="24"/>
      <c r="D1019" s="12"/>
      <c r="E1019" s="23"/>
      <c r="F1019" s="17"/>
      <c r="G1019" s="17"/>
      <c r="Z1019" s="22"/>
      <c r="AB1019" s="22"/>
    </row>
    <row r="1020" spans="1:28">
      <c r="A1020" s="19"/>
      <c r="B1020" s="12"/>
      <c r="C1020" s="24"/>
      <c r="D1020" s="12"/>
      <c r="E1020" s="23"/>
      <c r="F1020" s="17"/>
      <c r="G1020" s="17"/>
      <c r="Z1020" s="22"/>
      <c r="AB1020" s="22"/>
    </row>
    <row r="1021" spans="1:28">
      <c r="A1021" s="19"/>
      <c r="B1021" s="12"/>
      <c r="C1021" s="24"/>
      <c r="D1021" s="12"/>
      <c r="E1021" s="23"/>
      <c r="F1021" s="17"/>
      <c r="G1021" s="17"/>
      <c r="Z1021" s="22"/>
      <c r="AB1021" s="22"/>
    </row>
    <row r="1022" spans="1:28">
      <c r="A1022" s="19"/>
      <c r="B1022" s="12"/>
      <c r="C1022" s="24"/>
      <c r="D1022" s="12"/>
      <c r="E1022" s="23"/>
      <c r="F1022" s="17"/>
      <c r="G1022" s="17"/>
      <c r="Z1022" s="22"/>
      <c r="AB1022" s="22"/>
    </row>
    <row r="1023" spans="1:28">
      <c r="A1023" s="19"/>
      <c r="B1023" s="12"/>
      <c r="C1023" s="24"/>
      <c r="D1023" s="12"/>
      <c r="E1023" s="23"/>
      <c r="F1023" s="17"/>
      <c r="G1023" s="17"/>
      <c r="Z1023" s="22"/>
      <c r="AB1023" s="22"/>
    </row>
    <row r="1024" spans="1:28">
      <c r="A1024" s="19"/>
      <c r="B1024" s="12"/>
      <c r="C1024" s="24"/>
      <c r="D1024" s="12"/>
      <c r="E1024" s="23"/>
      <c r="F1024" s="17"/>
      <c r="G1024" s="17"/>
      <c r="Z1024" s="22"/>
      <c r="AB1024" s="22"/>
    </row>
    <row r="1025" spans="1:28">
      <c r="A1025" s="19"/>
      <c r="B1025" s="12"/>
      <c r="C1025" s="24"/>
      <c r="D1025" s="12"/>
      <c r="E1025" s="23"/>
      <c r="F1025" s="17"/>
      <c r="G1025" s="17"/>
      <c r="Z1025" s="22"/>
      <c r="AB1025" s="22"/>
    </row>
    <row r="1026" spans="1:28">
      <c r="A1026" s="19"/>
      <c r="B1026" s="12"/>
      <c r="C1026" s="24"/>
      <c r="D1026" s="12"/>
      <c r="E1026" s="23"/>
      <c r="F1026" s="17"/>
      <c r="G1026" s="17"/>
      <c r="Z1026" s="22"/>
      <c r="AB1026" s="22"/>
    </row>
    <row r="1027" spans="1:28">
      <c r="A1027" s="19"/>
      <c r="B1027" s="12"/>
      <c r="C1027" s="24"/>
      <c r="D1027" s="12"/>
      <c r="E1027" s="23"/>
      <c r="F1027" s="17"/>
      <c r="G1027" s="17"/>
      <c r="Z1027" s="22"/>
      <c r="AB1027" s="22"/>
    </row>
    <row r="1028" spans="1:28">
      <c r="A1028" s="19"/>
      <c r="B1028" s="12"/>
      <c r="C1028" s="24"/>
      <c r="D1028" s="12"/>
      <c r="E1028" s="23"/>
      <c r="F1028" s="17"/>
      <c r="G1028" s="17"/>
      <c r="Z1028" s="22"/>
      <c r="AB1028" s="22"/>
    </row>
    <row r="1029" spans="1:28">
      <c r="A1029" s="19"/>
      <c r="B1029" s="12"/>
      <c r="C1029" s="24"/>
      <c r="D1029" s="12"/>
      <c r="E1029" s="23"/>
      <c r="F1029" s="17"/>
      <c r="G1029" s="17"/>
      <c r="Z1029" s="22"/>
      <c r="AB1029" s="22"/>
    </row>
    <row r="1030" spans="1:28">
      <c r="A1030" s="19"/>
      <c r="B1030" s="12"/>
      <c r="C1030" s="24"/>
      <c r="D1030" s="12"/>
      <c r="E1030" s="23"/>
      <c r="F1030" s="17"/>
      <c r="G1030" s="17"/>
      <c r="Z1030" s="22"/>
      <c r="AB1030" s="22"/>
    </row>
    <row r="1031" spans="1:28">
      <c r="A1031" s="19"/>
      <c r="B1031" s="12"/>
      <c r="C1031" s="24"/>
      <c r="D1031" s="12"/>
      <c r="E1031" s="23"/>
      <c r="F1031" s="17"/>
      <c r="G1031" s="17"/>
      <c r="Z1031" s="22"/>
      <c r="AB1031" s="22"/>
    </row>
    <row r="1032" spans="1:28">
      <c r="A1032" s="19"/>
      <c r="B1032" s="12"/>
      <c r="C1032" s="24"/>
      <c r="D1032" s="12"/>
      <c r="E1032" s="23"/>
      <c r="F1032" s="17"/>
      <c r="G1032" s="17"/>
      <c r="Z1032" s="22"/>
      <c r="AB1032" s="22"/>
    </row>
    <row r="1033" spans="1:28">
      <c r="A1033" s="19"/>
      <c r="B1033" s="12"/>
      <c r="C1033" s="24"/>
      <c r="D1033" s="12"/>
      <c r="E1033" s="23"/>
      <c r="F1033" s="17"/>
      <c r="G1033" s="17"/>
      <c r="Z1033" s="22"/>
      <c r="AB1033" s="22"/>
    </row>
    <row r="1034" spans="1:28">
      <c r="A1034" s="19"/>
      <c r="B1034" s="12"/>
      <c r="C1034" s="24"/>
      <c r="D1034" s="12"/>
      <c r="E1034" s="23"/>
      <c r="F1034" s="17"/>
      <c r="G1034" s="17"/>
      <c r="Z1034" s="22"/>
      <c r="AB1034" s="22"/>
    </row>
    <row r="1035" spans="1:28">
      <c r="A1035" s="19"/>
      <c r="B1035" s="12"/>
      <c r="C1035" s="24"/>
      <c r="D1035" s="12"/>
      <c r="E1035" s="23"/>
      <c r="F1035" s="17"/>
      <c r="G1035" s="17"/>
      <c r="Z1035" s="22"/>
      <c r="AB1035" s="22"/>
    </row>
    <row r="1036" spans="1:28">
      <c r="A1036" s="19"/>
      <c r="B1036" s="12"/>
      <c r="C1036" s="24"/>
      <c r="D1036" s="12"/>
      <c r="E1036" s="23"/>
      <c r="F1036" s="17"/>
      <c r="G1036" s="17"/>
      <c r="Z1036" s="22"/>
      <c r="AB1036" s="22"/>
    </row>
    <row r="1037" spans="1:28">
      <c r="A1037" s="19"/>
      <c r="B1037" s="12"/>
      <c r="C1037" s="24"/>
      <c r="D1037" s="12"/>
      <c r="E1037" s="23"/>
      <c r="F1037" s="17"/>
      <c r="G1037" s="17"/>
      <c r="Z1037" s="22"/>
      <c r="AB1037" s="22"/>
    </row>
    <row r="1038" spans="1:28">
      <c r="A1038" s="19"/>
      <c r="B1038" s="12"/>
      <c r="C1038" s="24"/>
      <c r="D1038" s="12"/>
      <c r="E1038" s="23"/>
      <c r="F1038" s="17"/>
      <c r="G1038" s="17"/>
      <c r="Z1038" s="22"/>
      <c r="AB1038" s="22"/>
    </row>
    <row r="1039" spans="1:28">
      <c r="A1039" s="19"/>
      <c r="B1039" s="12"/>
      <c r="C1039" s="24"/>
      <c r="D1039" s="12"/>
      <c r="E1039" s="23"/>
      <c r="F1039" s="17"/>
      <c r="G1039" s="17"/>
      <c r="Z1039" s="22"/>
      <c r="AB1039" s="22"/>
    </row>
    <row r="1040" spans="1:28">
      <c r="A1040" s="19"/>
      <c r="B1040" s="12"/>
      <c r="C1040" s="24"/>
      <c r="D1040" s="12"/>
      <c r="E1040" s="23"/>
      <c r="F1040" s="17"/>
      <c r="G1040" s="17"/>
      <c r="Z1040" s="22"/>
      <c r="AB1040" s="22"/>
    </row>
    <row r="1041" spans="1:28">
      <c r="A1041" s="19"/>
      <c r="B1041" s="12"/>
      <c r="C1041" s="24"/>
      <c r="D1041" s="12"/>
      <c r="E1041" s="23"/>
      <c r="F1041" s="17"/>
      <c r="G1041" s="17"/>
      <c r="Z1041" s="22"/>
      <c r="AB1041" s="22"/>
    </row>
    <row r="1042" spans="1:28">
      <c r="A1042" s="19"/>
      <c r="B1042" s="12"/>
      <c r="C1042" s="24"/>
      <c r="D1042" s="12"/>
      <c r="E1042" s="23"/>
      <c r="F1042" s="17"/>
      <c r="G1042" s="17"/>
      <c r="Z1042" s="22"/>
      <c r="AB1042" s="22"/>
    </row>
    <row r="1043" spans="1:28">
      <c r="A1043" s="19"/>
      <c r="B1043" s="12"/>
      <c r="C1043" s="24"/>
      <c r="D1043" s="12"/>
      <c r="E1043" s="23"/>
      <c r="F1043" s="17"/>
      <c r="G1043" s="17"/>
      <c r="Z1043" s="22"/>
      <c r="AB1043" s="22"/>
    </row>
    <row r="1044" spans="1:28">
      <c r="A1044" s="19"/>
      <c r="B1044" s="12"/>
      <c r="C1044" s="24"/>
      <c r="D1044" s="12"/>
      <c r="E1044" s="23"/>
      <c r="F1044" s="17"/>
      <c r="G1044" s="17"/>
      <c r="Z1044" s="22"/>
      <c r="AB1044" s="22"/>
    </row>
    <row r="1045" spans="1:28">
      <c r="A1045" s="19"/>
      <c r="B1045" s="12"/>
      <c r="C1045" s="24"/>
      <c r="D1045" s="12"/>
      <c r="E1045" s="23"/>
      <c r="F1045" s="17"/>
      <c r="G1045" s="17"/>
      <c r="Z1045" s="22"/>
      <c r="AB1045" s="22"/>
    </row>
    <row r="1046" spans="1:28">
      <c r="A1046" s="19"/>
      <c r="B1046" s="12"/>
      <c r="C1046" s="24"/>
      <c r="D1046" s="12"/>
      <c r="E1046" s="23"/>
      <c r="F1046" s="17"/>
      <c r="G1046" s="17"/>
      <c r="Z1046" s="22"/>
      <c r="AB1046" s="22"/>
    </row>
    <row r="1047" spans="1:28">
      <c r="A1047" s="19"/>
      <c r="B1047" s="12"/>
      <c r="C1047" s="24"/>
      <c r="D1047" s="12"/>
      <c r="E1047" s="23"/>
      <c r="F1047" s="17"/>
      <c r="G1047" s="17"/>
      <c r="Z1047" s="22"/>
      <c r="AB1047" s="22"/>
    </row>
    <row r="1048" spans="1:28">
      <c r="A1048" s="19"/>
      <c r="B1048" s="12"/>
      <c r="C1048" s="24"/>
      <c r="D1048" s="12"/>
      <c r="E1048" s="23"/>
      <c r="F1048" s="17"/>
      <c r="G1048" s="17"/>
      <c r="Z1048" s="22"/>
      <c r="AB1048" s="22"/>
    </row>
    <row r="1049" spans="1:28">
      <c r="A1049" s="19"/>
      <c r="B1049" s="12"/>
      <c r="C1049" s="24"/>
      <c r="D1049" s="12"/>
      <c r="E1049" s="23"/>
      <c r="F1049" s="17"/>
      <c r="G1049" s="17"/>
      <c r="Z1049" s="22"/>
      <c r="AB1049" s="22"/>
    </row>
    <row r="1050" spans="1:28">
      <c r="A1050" s="19"/>
      <c r="B1050" s="12"/>
      <c r="C1050" s="24"/>
      <c r="D1050" s="12"/>
      <c r="E1050" s="23"/>
      <c r="F1050" s="17"/>
      <c r="G1050" s="17"/>
      <c r="Z1050" s="22"/>
      <c r="AB1050" s="22"/>
    </row>
    <row r="1051" spans="1:28">
      <c r="A1051" s="19"/>
      <c r="B1051" s="12"/>
      <c r="C1051" s="24"/>
      <c r="D1051" s="12"/>
      <c r="E1051" s="23"/>
      <c r="F1051" s="17"/>
      <c r="G1051" s="17"/>
      <c r="Z1051" s="22"/>
      <c r="AB1051" s="22"/>
    </row>
    <row r="1052" spans="1:28">
      <c r="A1052" s="19"/>
      <c r="B1052" s="12"/>
      <c r="C1052" s="24"/>
      <c r="D1052" s="12"/>
      <c r="E1052" s="23"/>
      <c r="F1052" s="17"/>
      <c r="G1052" s="17"/>
      <c r="Z1052" s="22"/>
      <c r="AB1052" s="22"/>
    </row>
    <row r="1053" spans="1:28">
      <c r="A1053" s="19"/>
      <c r="B1053" s="12"/>
      <c r="C1053" s="24"/>
      <c r="D1053" s="12"/>
      <c r="E1053" s="23"/>
      <c r="F1053" s="17"/>
      <c r="G1053" s="17"/>
      <c r="Z1053" s="22"/>
      <c r="AB1053" s="22"/>
    </row>
    <row r="1054" spans="1:28">
      <c r="A1054" s="19"/>
      <c r="B1054" s="12"/>
      <c r="C1054" s="24"/>
      <c r="D1054" s="12"/>
      <c r="E1054" s="23"/>
      <c r="F1054" s="17"/>
      <c r="G1054" s="17"/>
      <c r="Z1054" s="22"/>
      <c r="AB1054" s="22"/>
    </row>
    <row r="1055" spans="1:28">
      <c r="A1055" s="19"/>
      <c r="B1055" s="12"/>
      <c r="C1055" s="24"/>
      <c r="D1055" s="12"/>
      <c r="E1055" s="23"/>
      <c r="F1055" s="17"/>
      <c r="G1055" s="17"/>
      <c r="Z1055" s="22"/>
      <c r="AB1055" s="22"/>
    </row>
    <row r="1056" spans="1:28">
      <c r="A1056" s="19"/>
      <c r="B1056" s="12"/>
      <c r="C1056" s="24"/>
      <c r="D1056" s="12"/>
      <c r="E1056" s="23"/>
      <c r="F1056" s="17"/>
      <c r="G1056" s="17"/>
      <c r="Z1056" s="22"/>
      <c r="AB1056" s="22"/>
    </row>
    <row r="1057" spans="1:28">
      <c r="A1057" s="19"/>
      <c r="B1057" s="12"/>
      <c r="C1057" s="24"/>
      <c r="D1057" s="12"/>
      <c r="E1057" s="23"/>
      <c r="F1057" s="17"/>
      <c r="G1057" s="17"/>
      <c r="Z1057" s="22"/>
      <c r="AB1057" s="22"/>
    </row>
    <row r="1058" spans="1:28">
      <c r="A1058" s="19"/>
      <c r="B1058" s="12"/>
      <c r="C1058" s="24"/>
      <c r="D1058" s="12"/>
      <c r="E1058" s="23"/>
      <c r="F1058" s="17"/>
      <c r="G1058" s="17"/>
      <c r="Z1058" s="22"/>
      <c r="AB1058" s="22"/>
    </row>
    <row r="1059" spans="1:28">
      <c r="A1059" s="19"/>
      <c r="B1059" s="12"/>
      <c r="C1059" s="24"/>
      <c r="D1059" s="12"/>
      <c r="E1059" s="23"/>
      <c r="F1059" s="17"/>
      <c r="G1059" s="17"/>
      <c r="Z1059" s="22"/>
      <c r="AB1059" s="22"/>
    </row>
    <row r="1060" spans="1:28">
      <c r="A1060" s="19"/>
      <c r="B1060" s="12"/>
      <c r="C1060" s="24"/>
      <c r="D1060" s="12"/>
      <c r="E1060" s="23"/>
      <c r="F1060" s="17"/>
      <c r="G1060" s="17"/>
      <c r="Z1060" s="22"/>
      <c r="AB1060" s="22"/>
    </row>
    <row r="1061" spans="1:28">
      <c r="A1061" s="19"/>
      <c r="B1061" s="12"/>
      <c r="C1061" s="24"/>
      <c r="D1061" s="12"/>
      <c r="E1061" s="23"/>
      <c r="F1061" s="17"/>
      <c r="G1061" s="17"/>
      <c r="Z1061" s="22"/>
      <c r="AB1061" s="22"/>
    </row>
    <row r="1062" spans="1:28">
      <c r="A1062" s="19"/>
      <c r="B1062" s="12"/>
      <c r="C1062" s="24"/>
      <c r="D1062" s="12"/>
      <c r="E1062" s="23"/>
      <c r="F1062" s="17"/>
      <c r="G1062" s="17"/>
      <c r="Z1062" s="22"/>
      <c r="AB1062" s="22"/>
    </row>
    <row r="1063" spans="1:28">
      <c r="A1063" s="19"/>
      <c r="B1063" s="12"/>
      <c r="C1063" s="24"/>
      <c r="D1063" s="12"/>
      <c r="E1063" s="23"/>
      <c r="F1063" s="17"/>
      <c r="G1063" s="17"/>
      <c r="Z1063" s="22"/>
      <c r="AB1063" s="22"/>
    </row>
    <row r="1064" spans="1:28">
      <c r="A1064" s="19"/>
      <c r="B1064" s="12"/>
      <c r="C1064" s="24"/>
      <c r="D1064" s="12"/>
      <c r="E1064" s="23"/>
      <c r="F1064" s="17"/>
      <c r="G1064" s="17"/>
      <c r="Z1064" s="22"/>
      <c r="AB1064" s="22"/>
    </row>
    <row r="1065" spans="1:28">
      <c r="A1065" s="19"/>
      <c r="B1065" s="12"/>
      <c r="C1065" s="24"/>
      <c r="D1065" s="12"/>
      <c r="E1065" s="23"/>
      <c r="F1065" s="17"/>
      <c r="G1065" s="17"/>
      <c r="Z1065" s="22"/>
      <c r="AB1065" s="22"/>
    </row>
    <row r="1066" spans="1:28">
      <c r="A1066" s="19"/>
      <c r="B1066" s="12"/>
      <c r="C1066" s="24"/>
      <c r="D1066" s="12"/>
      <c r="E1066" s="23"/>
      <c r="F1066" s="17"/>
      <c r="G1066" s="17"/>
      <c r="Z1066" s="22"/>
      <c r="AB1066" s="22"/>
    </row>
    <row r="1067" spans="1:28">
      <c r="A1067" s="19"/>
      <c r="B1067" s="12"/>
      <c r="C1067" s="24"/>
      <c r="D1067" s="12"/>
      <c r="E1067" s="23"/>
      <c r="F1067" s="17"/>
      <c r="G1067" s="17"/>
      <c r="Z1067" s="22"/>
      <c r="AB1067" s="22"/>
    </row>
    <row r="1068" spans="1:28">
      <c r="A1068" s="19"/>
      <c r="B1068" s="12"/>
      <c r="C1068" s="24"/>
      <c r="D1068" s="12"/>
      <c r="E1068" s="23"/>
      <c r="F1068" s="17"/>
      <c r="G1068" s="17"/>
      <c r="Z1068" s="22"/>
      <c r="AB1068" s="22"/>
    </row>
    <row r="1069" spans="1:28">
      <c r="A1069" s="19"/>
      <c r="B1069" s="12"/>
      <c r="C1069" s="24"/>
      <c r="D1069" s="12"/>
      <c r="E1069" s="23"/>
      <c r="F1069" s="17"/>
      <c r="G1069" s="17"/>
      <c r="Z1069" s="22"/>
      <c r="AB1069" s="22"/>
    </row>
    <row r="1070" spans="1:28">
      <c r="A1070" s="19"/>
      <c r="B1070" s="12"/>
      <c r="C1070" s="24"/>
      <c r="D1070" s="12"/>
      <c r="E1070" s="23"/>
      <c r="F1070" s="17"/>
      <c r="G1070" s="17"/>
      <c r="Z1070" s="22"/>
      <c r="AB1070" s="22"/>
    </row>
    <row r="1071" spans="1:28">
      <c r="A1071" s="19"/>
      <c r="B1071" s="12"/>
      <c r="C1071" s="24"/>
      <c r="D1071" s="12"/>
      <c r="E1071" s="23"/>
      <c r="F1071" s="17"/>
      <c r="G1071" s="17"/>
      <c r="Z1071" s="22"/>
      <c r="AB1071" s="22"/>
    </row>
    <row r="1072" spans="1:28">
      <c r="A1072" s="19"/>
      <c r="B1072" s="12"/>
      <c r="C1072" s="24"/>
      <c r="D1072" s="12"/>
      <c r="E1072" s="23"/>
      <c r="F1072" s="17"/>
      <c r="G1072" s="17"/>
      <c r="Z1072" s="22"/>
      <c r="AB1072" s="22"/>
    </row>
    <row r="1073" spans="1:28">
      <c r="A1073" s="19"/>
      <c r="B1073" s="12"/>
      <c r="C1073" s="24"/>
      <c r="D1073" s="12"/>
      <c r="E1073" s="23"/>
      <c r="F1073" s="17"/>
      <c r="G1073" s="17"/>
      <c r="Z1073" s="22"/>
      <c r="AB1073" s="22"/>
    </row>
    <row r="1074" spans="1:28">
      <c r="A1074" s="19"/>
      <c r="B1074" s="12"/>
      <c r="C1074" s="24"/>
      <c r="D1074" s="12"/>
      <c r="E1074" s="23"/>
      <c r="F1074" s="17"/>
      <c r="G1074" s="17"/>
      <c r="Z1074" s="22"/>
      <c r="AB1074" s="22"/>
    </row>
    <row r="1075" spans="1:28">
      <c r="A1075" s="19"/>
      <c r="B1075" s="12"/>
      <c r="C1075" s="24"/>
      <c r="D1075" s="12"/>
      <c r="E1075" s="23"/>
      <c r="F1075" s="17"/>
      <c r="G1075" s="17"/>
      <c r="Z1075" s="22"/>
      <c r="AB1075" s="22"/>
    </row>
    <row r="1076" spans="1:28">
      <c r="A1076" s="19"/>
      <c r="B1076" s="12"/>
      <c r="C1076" s="24"/>
      <c r="D1076" s="12"/>
      <c r="E1076" s="23"/>
      <c r="F1076" s="17"/>
      <c r="G1076" s="17"/>
      <c r="Z1076" s="22"/>
      <c r="AB1076" s="22"/>
    </row>
    <row r="1077" spans="1:28">
      <c r="A1077" s="19"/>
      <c r="B1077" s="12"/>
      <c r="C1077" s="24"/>
      <c r="D1077" s="12"/>
      <c r="E1077" s="23"/>
      <c r="F1077" s="17"/>
      <c r="G1077" s="17"/>
      <c r="Z1077" s="22"/>
      <c r="AB1077" s="22"/>
    </row>
    <row r="1078" spans="1:28">
      <c r="A1078" s="19"/>
      <c r="B1078" s="12"/>
      <c r="C1078" s="24"/>
      <c r="D1078" s="12"/>
      <c r="E1078" s="23"/>
      <c r="F1078" s="17"/>
      <c r="G1078" s="17"/>
      <c r="Z1078" s="22"/>
      <c r="AB1078" s="22"/>
    </row>
    <row r="1079" spans="1:28">
      <c r="A1079" s="19"/>
      <c r="B1079" s="12"/>
      <c r="C1079" s="24"/>
      <c r="D1079" s="12"/>
      <c r="E1079" s="23"/>
      <c r="F1079" s="17"/>
      <c r="G1079" s="17"/>
      <c r="Z1079" s="22"/>
      <c r="AB1079" s="22"/>
    </row>
    <row r="1080" spans="1:28">
      <c r="A1080" s="19"/>
      <c r="B1080" s="12"/>
      <c r="C1080" s="24"/>
      <c r="D1080" s="12"/>
      <c r="E1080" s="23"/>
      <c r="F1080" s="17"/>
      <c r="G1080" s="17"/>
      <c r="Z1080" s="22"/>
      <c r="AB1080" s="22"/>
    </row>
    <row r="1081" spans="1:28">
      <c r="A1081" s="19"/>
      <c r="B1081" s="12"/>
      <c r="C1081" s="24"/>
      <c r="D1081" s="12"/>
      <c r="E1081" s="23"/>
      <c r="F1081" s="17"/>
      <c r="G1081" s="17"/>
      <c r="Z1081" s="22"/>
      <c r="AB1081" s="22"/>
    </row>
    <row r="1082" spans="1:28">
      <c r="A1082" s="19"/>
      <c r="B1082" s="12"/>
      <c r="C1082" s="24"/>
      <c r="D1082" s="12"/>
      <c r="E1082" s="23"/>
      <c r="F1082" s="17"/>
      <c r="G1082" s="17"/>
      <c r="Z1082" s="22"/>
      <c r="AB1082" s="22"/>
    </row>
    <row r="1083" spans="1:28">
      <c r="A1083" s="19"/>
      <c r="B1083" s="12"/>
      <c r="C1083" s="24"/>
      <c r="D1083" s="12"/>
      <c r="E1083" s="23"/>
      <c r="F1083" s="17"/>
      <c r="G1083" s="17"/>
      <c r="Z1083" s="22"/>
      <c r="AB1083" s="22"/>
    </row>
    <row r="1084" spans="1:28">
      <c r="A1084" s="19"/>
      <c r="B1084" s="12"/>
      <c r="C1084" s="24"/>
      <c r="D1084" s="12"/>
      <c r="E1084" s="23"/>
      <c r="F1084" s="17"/>
      <c r="G1084" s="17"/>
      <c r="Z1084" s="22"/>
      <c r="AB1084" s="22"/>
    </row>
    <row r="1085" spans="1:28">
      <c r="A1085" s="19"/>
      <c r="B1085" s="12"/>
      <c r="C1085" s="24"/>
      <c r="D1085" s="12"/>
      <c r="E1085" s="23"/>
      <c r="F1085" s="17"/>
      <c r="G1085" s="17"/>
      <c r="Z1085" s="22"/>
      <c r="AB1085" s="22"/>
    </row>
    <row r="1086" spans="1:28">
      <c r="A1086" s="19"/>
      <c r="B1086" s="12"/>
      <c r="C1086" s="24"/>
      <c r="D1086" s="12"/>
      <c r="E1086" s="23"/>
      <c r="F1086" s="17"/>
      <c r="G1086" s="17"/>
      <c r="Z1086" s="22"/>
      <c r="AB1086" s="22"/>
    </row>
    <row r="1087" spans="1:28">
      <c r="A1087" s="19"/>
      <c r="B1087" s="12"/>
      <c r="C1087" s="24"/>
      <c r="D1087" s="12"/>
      <c r="E1087" s="23"/>
      <c r="F1087" s="17"/>
      <c r="G1087" s="17"/>
      <c r="Z1087" s="22"/>
      <c r="AB1087" s="22"/>
    </row>
    <row r="1088" spans="1:28">
      <c r="A1088" s="19"/>
      <c r="B1088" s="12"/>
      <c r="C1088" s="24"/>
      <c r="D1088" s="12"/>
      <c r="E1088" s="23"/>
      <c r="F1088" s="17"/>
      <c r="G1088" s="17"/>
      <c r="Z1088" s="22"/>
      <c r="AB1088" s="22"/>
    </row>
    <row r="1089" spans="1:28">
      <c r="A1089" s="19"/>
      <c r="B1089" s="12"/>
      <c r="C1089" s="24"/>
      <c r="D1089" s="12"/>
      <c r="E1089" s="23"/>
      <c r="F1089" s="17"/>
      <c r="G1089" s="17"/>
      <c r="Z1089" s="22"/>
      <c r="AB1089" s="22"/>
    </row>
    <row r="1090" spans="1:28">
      <c r="A1090" s="19"/>
      <c r="B1090" s="12"/>
      <c r="C1090" s="24"/>
      <c r="D1090" s="12"/>
      <c r="E1090" s="23"/>
      <c r="F1090" s="17"/>
      <c r="G1090" s="17"/>
      <c r="Z1090" s="22"/>
      <c r="AB1090" s="22"/>
    </row>
    <row r="1091" spans="1:28">
      <c r="A1091" s="19"/>
      <c r="B1091" s="12"/>
      <c r="C1091" s="24"/>
      <c r="D1091" s="12"/>
      <c r="E1091" s="23"/>
      <c r="F1091" s="17"/>
      <c r="G1091" s="17"/>
      <c r="Z1091" s="22"/>
      <c r="AB1091" s="22"/>
    </row>
    <row r="1092" spans="1:28">
      <c r="A1092" s="19"/>
      <c r="B1092" s="12"/>
      <c r="C1092" s="24"/>
      <c r="D1092" s="12"/>
      <c r="E1092" s="23"/>
      <c r="F1092" s="17"/>
      <c r="G1092" s="17"/>
      <c r="Z1092" s="22"/>
      <c r="AB1092" s="22"/>
    </row>
    <row r="1093" spans="1:28">
      <c r="A1093" s="19"/>
      <c r="B1093" s="12"/>
      <c r="C1093" s="24"/>
      <c r="D1093" s="12"/>
      <c r="E1093" s="23"/>
      <c r="F1093" s="17"/>
      <c r="G1093" s="17"/>
      <c r="Z1093" s="22"/>
      <c r="AB1093" s="22"/>
    </row>
    <row r="1094" spans="1:28">
      <c r="A1094" s="19"/>
      <c r="B1094" s="12"/>
      <c r="C1094" s="24"/>
      <c r="D1094" s="12"/>
      <c r="E1094" s="23"/>
      <c r="F1094" s="17"/>
      <c r="G1094" s="17"/>
      <c r="Z1094" s="22"/>
      <c r="AB1094" s="22"/>
    </row>
    <row r="1095" spans="1:28">
      <c r="A1095" s="19"/>
      <c r="B1095" s="12"/>
      <c r="C1095" s="24"/>
      <c r="D1095" s="12"/>
      <c r="E1095" s="23"/>
      <c r="F1095" s="17"/>
      <c r="G1095" s="17"/>
      <c r="Z1095" s="22"/>
      <c r="AB1095" s="22"/>
    </row>
    <row r="1096" spans="1:28">
      <c r="A1096" s="19"/>
      <c r="B1096" s="12"/>
      <c r="C1096" s="24"/>
      <c r="D1096" s="12"/>
      <c r="E1096" s="23"/>
      <c r="F1096" s="17"/>
      <c r="G1096" s="17"/>
      <c r="Z1096" s="22"/>
      <c r="AB1096" s="22"/>
    </row>
    <row r="1097" spans="1:28">
      <c r="A1097" s="19"/>
      <c r="B1097" s="12"/>
      <c r="C1097" s="24"/>
      <c r="D1097" s="12"/>
      <c r="E1097" s="23"/>
      <c r="F1097" s="17"/>
      <c r="G1097" s="17"/>
      <c r="Z1097" s="22"/>
      <c r="AB1097" s="22"/>
    </row>
    <row r="1098" spans="1:28">
      <c r="A1098" s="19"/>
      <c r="B1098" s="12"/>
      <c r="C1098" s="24"/>
      <c r="D1098" s="12"/>
      <c r="E1098" s="23"/>
      <c r="F1098" s="17"/>
      <c r="G1098" s="17"/>
      <c r="Z1098" s="22"/>
      <c r="AB1098" s="22"/>
    </row>
    <row r="1099" spans="1:28">
      <c r="A1099" s="19"/>
      <c r="B1099" s="12"/>
      <c r="C1099" s="24"/>
      <c r="D1099" s="12"/>
      <c r="E1099" s="23"/>
      <c r="F1099" s="17"/>
      <c r="G1099" s="17"/>
      <c r="Z1099" s="22"/>
      <c r="AB1099" s="22"/>
    </row>
    <row r="1100" spans="1:28">
      <c r="A1100" s="19"/>
      <c r="B1100" s="12"/>
      <c r="C1100" s="24"/>
      <c r="D1100" s="12"/>
      <c r="E1100" s="23"/>
      <c r="F1100" s="17"/>
      <c r="G1100" s="17"/>
      <c r="Z1100" s="22"/>
      <c r="AB1100" s="22"/>
    </row>
    <row r="1101" spans="1:28">
      <c r="A1101" s="19"/>
      <c r="B1101" s="12"/>
      <c r="C1101" s="24"/>
      <c r="D1101" s="12"/>
      <c r="E1101" s="23"/>
      <c r="F1101" s="17"/>
      <c r="G1101" s="17"/>
      <c r="Z1101" s="22"/>
      <c r="AB1101" s="22"/>
    </row>
    <row r="1102" spans="1:28">
      <c r="A1102" s="19"/>
      <c r="B1102" s="12"/>
      <c r="C1102" s="24"/>
      <c r="D1102" s="12"/>
      <c r="E1102" s="23"/>
      <c r="F1102" s="17"/>
      <c r="G1102" s="17"/>
      <c r="Z1102" s="22"/>
      <c r="AB1102" s="22"/>
    </row>
    <row r="1103" spans="1:28">
      <c r="A1103" s="19"/>
      <c r="B1103" s="12"/>
      <c r="C1103" s="24"/>
      <c r="D1103" s="12"/>
      <c r="E1103" s="23"/>
      <c r="F1103" s="17"/>
      <c r="G1103" s="17"/>
      <c r="Z1103" s="22"/>
      <c r="AB1103" s="22"/>
    </row>
    <row r="1104" spans="1:28">
      <c r="A1104" s="19"/>
      <c r="B1104" s="12"/>
      <c r="C1104" s="24"/>
      <c r="D1104" s="12"/>
      <c r="E1104" s="23"/>
      <c r="F1104" s="17"/>
      <c r="G1104" s="17"/>
      <c r="Z1104" s="22"/>
      <c r="AB1104" s="22"/>
    </row>
    <row r="1105" spans="1:28">
      <c r="A1105" s="19"/>
      <c r="B1105" s="12"/>
      <c r="C1105" s="24"/>
      <c r="D1105" s="12"/>
      <c r="E1105" s="23"/>
      <c r="F1105" s="17"/>
      <c r="G1105" s="17"/>
      <c r="Z1105" s="22"/>
      <c r="AB1105" s="22"/>
    </row>
    <row r="1106" spans="1:28">
      <c r="A1106" s="19"/>
      <c r="B1106" s="12"/>
      <c r="C1106" s="24"/>
      <c r="D1106" s="12"/>
      <c r="E1106" s="23"/>
      <c r="F1106" s="17"/>
      <c r="G1106" s="17"/>
      <c r="Z1106" s="22"/>
      <c r="AB1106" s="22"/>
    </row>
    <row r="1107" spans="1:28">
      <c r="A1107" s="19"/>
      <c r="B1107" s="12"/>
      <c r="C1107" s="24"/>
      <c r="D1107" s="12"/>
      <c r="E1107" s="23"/>
      <c r="F1107" s="17"/>
      <c r="G1107" s="17"/>
      <c r="Z1107" s="22"/>
      <c r="AB1107" s="22"/>
    </row>
    <row r="1108" spans="1:28">
      <c r="A1108" s="19"/>
      <c r="B1108" s="12"/>
      <c r="C1108" s="24"/>
      <c r="D1108" s="12"/>
      <c r="E1108" s="23"/>
      <c r="F1108" s="17"/>
      <c r="G1108" s="17"/>
      <c r="Z1108" s="22"/>
      <c r="AB1108" s="22"/>
    </row>
    <row r="1109" spans="1:28">
      <c r="A1109" s="19"/>
      <c r="B1109" s="12"/>
      <c r="C1109" s="24"/>
      <c r="D1109" s="12"/>
      <c r="E1109" s="23"/>
      <c r="F1109" s="17"/>
      <c r="G1109" s="17"/>
      <c r="Z1109" s="22"/>
      <c r="AB1109" s="22"/>
    </row>
    <row r="1110" spans="1:28">
      <c r="A1110" s="19"/>
      <c r="B1110" s="12"/>
      <c r="C1110" s="24"/>
      <c r="D1110" s="12"/>
      <c r="E1110" s="23"/>
      <c r="F1110" s="17"/>
      <c r="G1110" s="17"/>
      <c r="Z1110" s="22"/>
      <c r="AB1110" s="22"/>
    </row>
    <row r="1111" spans="1:28">
      <c r="A1111" s="19"/>
      <c r="B1111" s="12"/>
      <c r="C1111" s="24"/>
      <c r="D1111" s="12"/>
      <c r="E1111" s="23"/>
      <c r="F1111" s="17"/>
      <c r="G1111" s="17"/>
      <c r="Z1111" s="22"/>
      <c r="AB1111" s="22"/>
    </row>
    <row r="1112" spans="1:28">
      <c r="A1112" s="19"/>
      <c r="B1112" s="12"/>
      <c r="C1112" s="24"/>
      <c r="D1112" s="12"/>
      <c r="E1112" s="23"/>
      <c r="F1112" s="17"/>
      <c r="G1112" s="17"/>
      <c r="Z1112" s="22"/>
      <c r="AB1112" s="22"/>
    </row>
    <row r="1113" spans="1:28">
      <c r="A1113" s="19"/>
      <c r="B1113" s="12"/>
      <c r="C1113" s="24"/>
      <c r="D1113" s="12"/>
      <c r="E1113" s="23"/>
      <c r="F1113" s="17"/>
      <c r="G1113" s="17"/>
      <c r="Z1113" s="22"/>
      <c r="AB1113" s="22"/>
    </row>
    <row r="1114" spans="1:28">
      <c r="A1114" s="19"/>
      <c r="B1114" s="12"/>
      <c r="C1114" s="24"/>
      <c r="D1114" s="12"/>
      <c r="E1114" s="23"/>
      <c r="F1114" s="17"/>
      <c r="G1114" s="17"/>
      <c r="Z1114" s="22"/>
      <c r="AB1114" s="22"/>
    </row>
    <row r="1115" spans="1:28">
      <c r="A1115" s="19"/>
      <c r="B1115" s="12"/>
      <c r="C1115" s="24"/>
      <c r="D1115" s="12"/>
      <c r="E1115" s="23"/>
      <c r="F1115" s="17"/>
      <c r="G1115" s="17"/>
      <c r="Z1115" s="22"/>
      <c r="AB1115" s="22"/>
    </row>
    <row r="1116" spans="1:28">
      <c r="A1116" s="19"/>
      <c r="B1116" s="12"/>
      <c r="C1116" s="24"/>
      <c r="D1116" s="12"/>
      <c r="E1116" s="23"/>
      <c r="F1116" s="17"/>
      <c r="G1116" s="17"/>
      <c r="Z1116" s="22"/>
      <c r="AB1116" s="22"/>
    </row>
    <row r="1117" spans="1:28">
      <c r="A1117" s="19"/>
      <c r="B1117" s="12"/>
      <c r="C1117" s="24"/>
      <c r="D1117" s="12"/>
      <c r="E1117" s="23"/>
      <c r="F1117" s="17"/>
      <c r="G1117" s="17"/>
      <c r="Z1117" s="22"/>
      <c r="AB1117" s="22"/>
    </row>
    <row r="1118" spans="1:28">
      <c r="A1118" s="19"/>
      <c r="B1118" s="12"/>
      <c r="C1118" s="24"/>
      <c r="D1118" s="12"/>
      <c r="E1118" s="23"/>
      <c r="F1118" s="17"/>
      <c r="G1118" s="17"/>
      <c r="Z1118" s="22"/>
      <c r="AB1118" s="22"/>
    </row>
    <row r="1119" spans="1:28">
      <c r="A1119" s="19"/>
      <c r="B1119" s="12"/>
      <c r="C1119" s="24"/>
      <c r="D1119" s="12"/>
      <c r="E1119" s="23"/>
      <c r="F1119" s="17"/>
      <c r="G1119" s="17"/>
      <c r="Z1119" s="22"/>
      <c r="AB1119" s="22"/>
    </row>
    <row r="1120" spans="1:28">
      <c r="A1120" s="19"/>
      <c r="B1120" s="12"/>
      <c r="C1120" s="24"/>
      <c r="D1120" s="12"/>
      <c r="E1120" s="23"/>
      <c r="F1120" s="17"/>
      <c r="G1120" s="17"/>
      <c r="Z1120" s="22"/>
      <c r="AB1120" s="22"/>
    </row>
    <row r="1121" spans="1:28">
      <c r="A1121" s="19"/>
      <c r="B1121" s="12"/>
      <c r="C1121" s="24"/>
      <c r="D1121" s="12"/>
      <c r="E1121" s="23"/>
      <c r="F1121" s="17"/>
      <c r="G1121" s="17"/>
      <c r="Z1121" s="22"/>
      <c r="AB1121" s="22"/>
    </row>
    <row r="1122" spans="1:28">
      <c r="A1122" s="19"/>
      <c r="B1122" s="12"/>
      <c r="C1122" s="24"/>
      <c r="D1122" s="12"/>
      <c r="E1122" s="23"/>
      <c r="F1122" s="17"/>
      <c r="G1122" s="17"/>
      <c r="Z1122" s="22"/>
      <c r="AB1122" s="22"/>
    </row>
    <row r="1123" spans="1:28">
      <c r="A1123" s="19"/>
      <c r="B1123" s="12"/>
      <c r="C1123" s="24"/>
      <c r="D1123" s="12"/>
      <c r="E1123" s="23"/>
      <c r="F1123" s="17"/>
      <c r="G1123" s="17"/>
      <c r="Z1123" s="22"/>
      <c r="AB1123" s="22"/>
    </row>
    <row r="1124" spans="1:28">
      <c r="A1124" s="19"/>
      <c r="B1124" s="12"/>
      <c r="C1124" s="24"/>
      <c r="D1124" s="12"/>
      <c r="E1124" s="23"/>
      <c r="F1124" s="17"/>
      <c r="G1124" s="17"/>
      <c r="Z1124" s="22"/>
      <c r="AB1124" s="22"/>
    </row>
    <row r="1125" spans="1:28">
      <c r="A1125" s="19"/>
      <c r="B1125" s="12"/>
      <c r="C1125" s="24"/>
      <c r="D1125" s="12"/>
      <c r="E1125" s="23"/>
      <c r="F1125" s="17"/>
      <c r="G1125" s="17"/>
      <c r="Z1125" s="22"/>
      <c r="AB1125" s="22"/>
    </row>
    <row r="1126" spans="1:28">
      <c r="A1126" s="19"/>
      <c r="B1126" s="12"/>
      <c r="C1126" s="24"/>
      <c r="D1126" s="12"/>
      <c r="E1126" s="23"/>
      <c r="F1126" s="17"/>
      <c r="G1126" s="17"/>
      <c r="Z1126" s="22"/>
      <c r="AB1126" s="22"/>
    </row>
    <row r="1127" spans="1:28">
      <c r="A1127" s="19"/>
      <c r="B1127" s="12"/>
      <c r="C1127" s="24"/>
      <c r="D1127" s="12"/>
      <c r="E1127" s="23"/>
      <c r="F1127" s="17"/>
      <c r="G1127" s="17"/>
      <c r="Z1127" s="22"/>
      <c r="AB1127" s="22"/>
    </row>
    <row r="1128" spans="1:28">
      <c r="A1128" s="19"/>
      <c r="B1128" s="12"/>
      <c r="C1128" s="24"/>
      <c r="D1128" s="12"/>
      <c r="E1128" s="23"/>
      <c r="F1128" s="17"/>
      <c r="G1128" s="17"/>
      <c r="Z1128" s="22"/>
      <c r="AB1128" s="22"/>
    </row>
    <row r="1129" spans="1:28">
      <c r="A1129" s="19"/>
      <c r="B1129" s="12"/>
      <c r="C1129" s="24"/>
      <c r="D1129" s="12"/>
      <c r="E1129" s="23"/>
      <c r="F1129" s="17"/>
      <c r="G1129" s="17"/>
      <c r="Z1129" s="22"/>
      <c r="AB1129" s="22"/>
    </row>
    <row r="1130" spans="1:28">
      <c r="A1130" s="19"/>
      <c r="B1130" s="12"/>
      <c r="C1130" s="24"/>
      <c r="D1130" s="12"/>
      <c r="E1130" s="23"/>
      <c r="F1130" s="17"/>
      <c r="G1130" s="17"/>
      <c r="Z1130" s="22"/>
      <c r="AB1130" s="22"/>
    </row>
    <row r="1131" spans="1:28">
      <c r="A1131" s="19"/>
      <c r="B1131" s="12"/>
      <c r="C1131" s="24"/>
      <c r="D1131" s="12"/>
      <c r="E1131" s="23"/>
      <c r="F1131" s="17"/>
      <c r="G1131" s="17"/>
      <c r="Z1131" s="22"/>
      <c r="AB1131" s="22"/>
    </row>
    <row r="1132" spans="1:28">
      <c r="A1132" s="19"/>
      <c r="B1132" s="12"/>
      <c r="C1132" s="24"/>
      <c r="D1132" s="12"/>
      <c r="E1132" s="23"/>
      <c r="F1132" s="17"/>
      <c r="G1132" s="17"/>
      <c r="Z1132" s="22"/>
      <c r="AB1132" s="22"/>
    </row>
    <row r="1133" spans="1:28">
      <c r="A1133" s="19"/>
      <c r="B1133" s="12"/>
      <c r="C1133" s="24"/>
      <c r="D1133" s="12"/>
      <c r="E1133" s="23"/>
      <c r="F1133" s="17"/>
      <c r="G1133" s="17"/>
      <c r="Z1133" s="22"/>
      <c r="AB1133" s="22"/>
    </row>
    <row r="1134" spans="1:28">
      <c r="A1134" s="19"/>
      <c r="B1134" s="12"/>
      <c r="C1134" s="24"/>
      <c r="D1134" s="12"/>
      <c r="E1134" s="23"/>
      <c r="F1134" s="17"/>
      <c r="G1134" s="17"/>
      <c r="Z1134" s="22"/>
      <c r="AB1134" s="22"/>
    </row>
    <row r="1135" spans="1:28">
      <c r="A1135" s="19"/>
      <c r="B1135" s="12"/>
      <c r="C1135" s="24"/>
      <c r="D1135" s="12"/>
      <c r="E1135" s="23"/>
      <c r="F1135" s="17"/>
      <c r="G1135" s="17"/>
      <c r="Z1135" s="22"/>
      <c r="AB1135" s="22"/>
    </row>
    <row r="1136" spans="1:28">
      <c r="A1136" s="19"/>
      <c r="B1136" s="12"/>
      <c r="C1136" s="24"/>
      <c r="D1136" s="12"/>
      <c r="E1136" s="23"/>
      <c r="F1136" s="17"/>
      <c r="G1136" s="17"/>
      <c r="Z1136" s="22"/>
      <c r="AB1136" s="22"/>
    </row>
    <row r="1137" spans="1:28">
      <c r="A1137" s="19"/>
      <c r="B1137" s="12"/>
      <c r="C1137" s="24"/>
      <c r="D1137" s="12"/>
      <c r="E1137" s="23"/>
      <c r="F1137" s="17"/>
      <c r="G1137" s="17"/>
      <c r="Z1137" s="22"/>
      <c r="AB1137" s="22"/>
    </row>
    <row r="1138" spans="1:28">
      <c r="A1138" s="19"/>
      <c r="B1138" s="12"/>
      <c r="C1138" s="24"/>
      <c r="D1138" s="12"/>
      <c r="E1138" s="23"/>
      <c r="F1138" s="17"/>
      <c r="G1138" s="17"/>
      <c r="Z1138" s="22"/>
      <c r="AB1138" s="22"/>
    </row>
    <row r="1139" spans="1:28">
      <c r="A1139" s="19"/>
      <c r="B1139" s="12"/>
      <c r="C1139" s="24"/>
      <c r="D1139" s="12"/>
      <c r="E1139" s="23"/>
      <c r="F1139" s="17"/>
      <c r="G1139" s="17"/>
      <c r="Z1139" s="22"/>
      <c r="AB1139" s="22"/>
    </row>
    <row r="1140" spans="1:28">
      <c r="A1140" s="19"/>
      <c r="B1140" s="12"/>
      <c r="C1140" s="24"/>
      <c r="D1140" s="12"/>
      <c r="E1140" s="23"/>
      <c r="F1140" s="17"/>
      <c r="G1140" s="17"/>
      <c r="Z1140" s="22"/>
      <c r="AB1140" s="22"/>
    </row>
    <row r="1141" spans="1:28">
      <c r="A1141" s="19"/>
      <c r="B1141" s="12"/>
      <c r="C1141" s="24"/>
      <c r="D1141" s="12"/>
      <c r="E1141" s="23"/>
      <c r="F1141" s="17"/>
      <c r="G1141" s="17"/>
      <c r="Z1141" s="22"/>
      <c r="AB1141" s="22"/>
    </row>
    <row r="1142" spans="1:28">
      <c r="A1142" s="19"/>
      <c r="B1142" s="12"/>
      <c r="C1142" s="24"/>
      <c r="D1142" s="12"/>
      <c r="E1142" s="23"/>
      <c r="F1142" s="17"/>
      <c r="G1142" s="17"/>
      <c r="Z1142" s="22"/>
      <c r="AB1142" s="22"/>
    </row>
    <row r="1143" spans="1:28">
      <c r="A1143" s="19"/>
      <c r="B1143" s="12"/>
      <c r="C1143" s="24"/>
      <c r="D1143" s="12"/>
      <c r="E1143" s="23"/>
      <c r="F1143" s="17"/>
      <c r="G1143" s="17"/>
      <c r="Z1143" s="22"/>
      <c r="AB1143" s="22"/>
    </row>
    <row r="1144" spans="1:28">
      <c r="A1144" s="19"/>
      <c r="B1144" s="12"/>
      <c r="C1144" s="24"/>
      <c r="D1144" s="12"/>
      <c r="E1144" s="23"/>
      <c r="F1144" s="17"/>
      <c r="G1144" s="17"/>
      <c r="Z1144" s="22"/>
      <c r="AB1144" s="22"/>
    </row>
    <row r="1145" spans="1:28">
      <c r="A1145" s="19"/>
      <c r="B1145" s="12"/>
      <c r="C1145" s="24"/>
      <c r="D1145" s="12"/>
      <c r="E1145" s="23"/>
      <c r="F1145" s="17"/>
      <c r="G1145" s="17"/>
      <c r="Z1145" s="22"/>
      <c r="AB1145" s="22"/>
    </row>
    <row r="1146" spans="1:28">
      <c r="A1146" s="19"/>
      <c r="B1146" s="12"/>
      <c r="C1146" s="24"/>
      <c r="D1146" s="12"/>
      <c r="E1146" s="23"/>
      <c r="F1146" s="17"/>
      <c r="G1146" s="17"/>
      <c r="Z1146" s="22"/>
      <c r="AB1146" s="22"/>
    </row>
    <row r="1147" spans="1:28">
      <c r="A1147" s="19"/>
      <c r="B1147" s="12"/>
      <c r="C1147" s="24"/>
      <c r="D1147" s="12"/>
      <c r="E1147" s="23"/>
      <c r="F1147" s="17"/>
      <c r="G1147" s="17"/>
      <c r="Z1147" s="22"/>
      <c r="AB1147" s="22"/>
    </row>
    <row r="1148" spans="1:28">
      <c r="A1148" s="19"/>
      <c r="B1148" s="12"/>
      <c r="C1148" s="24"/>
      <c r="D1148" s="12"/>
      <c r="E1148" s="23"/>
      <c r="F1148" s="17"/>
      <c r="G1148" s="17"/>
      <c r="Z1148" s="22"/>
      <c r="AB1148" s="22"/>
    </row>
    <row r="1149" spans="1:28">
      <c r="A1149" s="19"/>
      <c r="B1149" s="12"/>
      <c r="C1149" s="24"/>
      <c r="D1149" s="12"/>
      <c r="E1149" s="23"/>
      <c r="F1149" s="17"/>
      <c r="G1149" s="17"/>
      <c r="Z1149" s="22"/>
      <c r="AB1149" s="22"/>
    </row>
    <row r="1150" spans="1:28">
      <c r="A1150" s="19"/>
      <c r="B1150" s="12"/>
      <c r="C1150" s="24"/>
      <c r="D1150" s="12"/>
      <c r="E1150" s="23"/>
      <c r="F1150" s="17"/>
      <c r="G1150" s="17"/>
      <c r="Z1150" s="22"/>
      <c r="AB1150" s="22"/>
    </row>
    <row r="1151" spans="1:28">
      <c r="A1151" s="19"/>
      <c r="B1151" s="12"/>
      <c r="C1151" s="24"/>
      <c r="D1151" s="12"/>
      <c r="E1151" s="23"/>
      <c r="F1151" s="17"/>
      <c r="G1151" s="17"/>
      <c r="Z1151" s="22"/>
      <c r="AB1151" s="22"/>
    </row>
    <row r="1152" spans="1:28">
      <c r="A1152" s="19"/>
      <c r="B1152" s="12"/>
      <c r="C1152" s="24"/>
      <c r="D1152" s="12"/>
      <c r="E1152" s="23"/>
      <c r="F1152" s="17"/>
      <c r="G1152" s="17"/>
      <c r="Z1152" s="22"/>
      <c r="AB1152" s="22"/>
    </row>
    <row r="1153" spans="1:28">
      <c r="A1153" s="19"/>
      <c r="B1153" s="12"/>
      <c r="C1153" s="24"/>
      <c r="D1153" s="12"/>
      <c r="E1153" s="23"/>
      <c r="F1153" s="17"/>
      <c r="G1153" s="17"/>
      <c r="Z1153" s="22"/>
      <c r="AB1153" s="22"/>
    </row>
    <row r="1154" spans="1:28">
      <c r="A1154" s="19"/>
      <c r="B1154" s="12"/>
      <c r="C1154" s="24"/>
      <c r="D1154" s="12"/>
      <c r="E1154" s="23"/>
      <c r="F1154" s="17"/>
      <c r="G1154" s="17"/>
      <c r="Z1154" s="22"/>
      <c r="AB1154" s="22"/>
    </row>
    <row r="1155" spans="1:28">
      <c r="A1155" s="19"/>
      <c r="B1155" s="12"/>
      <c r="C1155" s="24"/>
      <c r="D1155" s="12"/>
      <c r="E1155" s="23"/>
      <c r="F1155" s="17"/>
      <c r="G1155" s="17"/>
      <c r="Z1155" s="22"/>
      <c r="AB1155" s="22"/>
    </row>
    <row r="1156" spans="1:28">
      <c r="A1156" s="19"/>
      <c r="B1156" s="12"/>
      <c r="C1156" s="24"/>
      <c r="D1156" s="12"/>
      <c r="E1156" s="23"/>
      <c r="F1156" s="17"/>
      <c r="G1156" s="17"/>
      <c r="Z1156" s="22"/>
      <c r="AB1156" s="22"/>
    </row>
    <row r="1157" spans="1:28">
      <c r="A1157" s="19"/>
      <c r="B1157" s="12"/>
      <c r="C1157" s="24"/>
      <c r="D1157" s="12"/>
      <c r="E1157" s="23"/>
      <c r="F1157" s="17"/>
      <c r="G1157" s="17"/>
      <c r="Z1157" s="22"/>
      <c r="AB1157" s="22"/>
    </row>
    <row r="1158" spans="1:28">
      <c r="A1158" s="19"/>
      <c r="B1158" s="12"/>
      <c r="C1158" s="24"/>
      <c r="D1158" s="12"/>
      <c r="E1158" s="23"/>
      <c r="F1158" s="17"/>
      <c r="G1158" s="17"/>
      <c r="Z1158" s="22"/>
      <c r="AB1158" s="22"/>
    </row>
    <row r="1159" spans="1:28">
      <c r="A1159" s="19"/>
      <c r="B1159" s="12"/>
      <c r="C1159" s="24"/>
      <c r="D1159" s="12"/>
      <c r="E1159" s="23"/>
      <c r="F1159" s="17"/>
      <c r="G1159" s="17"/>
      <c r="Z1159" s="22"/>
      <c r="AB1159" s="22"/>
    </row>
    <row r="1160" spans="1:28">
      <c r="A1160" s="19"/>
      <c r="B1160" s="12"/>
      <c r="C1160" s="24"/>
      <c r="D1160" s="12"/>
      <c r="E1160" s="23"/>
      <c r="F1160" s="17"/>
      <c r="G1160" s="17"/>
      <c r="Z1160" s="22"/>
      <c r="AB1160" s="22"/>
    </row>
    <row r="1161" spans="1:28">
      <c r="A1161" s="19"/>
      <c r="B1161" s="12"/>
      <c r="C1161" s="24"/>
      <c r="D1161" s="12"/>
      <c r="E1161" s="23"/>
      <c r="F1161" s="17"/>
      <c r="G1161" s="17"/>
      <c r="Z1161" s="22"/>
      <c r="AB1161" s="22"/>
    </row>
    <row r="1162" spans="1:28">
      <c r="A1162" s="19"/>
      <c r="B1162" s="12"/>
      <c r="C1162" s="24"/>
      <c r="D1162" s="12"/>
      <c r="E1162" s="23"/>
      <c r="F1162" s="17"/>
      <c r="G1162" s="17"/>
      <c r="Z1162" s="22"/>
      <c r="AB1162" s="22"/>
    </row>
    <row r="1163" spans="1:28">
      <c r="A1163" s="19"/>
      <c r="B1163" s="12"/>
      <c r="C1163" s="24"/>
      <c r="D1163" s="12"/>
      <c r="E1163" s="23"/>
      <c r="F1163" s="17"/>
      <c r="G1163" s="17"/>
      <c r="Z1163" s="22"/>
      <c r="AB1163" s="22"/>
    </row>
    <row r="1164" spans="1:28">
      <c r="A1164" s="19"/>
      <c r="B1164" s="12"/>
      <c r="C1164" s="24"/>
      <c r="D1164" s="12"/>
      <c r="E1164" s="23"/>
      <c r="F1164" s="17"/>
      <c r="G1164" s="17"/>
      <c r="Z1164" s="22"/>
      <c r="AB1164" s="22"/>
    </row>
    <row r="1165" spans="1:28">
      <c r="A1165" s="19"/>
      <c r="B1165" s="12"/>
      <c r="C1165" s="24"/>
      <c r="D1165" s="12"/>
      <c r="E1165" s="23"/>
      <c r="F1165" s="17"/>
      <c r="G1165" s="17"/>
      <c r="Z1165" s="22"/>
      <c r="AB1165" s="22"/>
    </row>
    <row r="1166" spans="1:28">
      <c r="A1166" s="19"/>
      <c r="B1166" s="12"/>
      <c r="C1166" s="24"/>
      <c r="D1166" s="12"/>
      <c r="E1166" s="23"/>
      <c r="F1166" s="17"/>
      <c r="G1166" s="17"/>
      <c r="Z1166" s="22"/>
      <c r="AB1166" s="22"/>
    </row>
    <row r="1167" spans="1:28">
      <c r="A1167" s="19"/>
      <c r="B1167" s="12"/>
      <c r="C1167" s="24"/>
      <c r="D1167" s="12"/>
      <c r="E1167" s="23"/>
      <c r="F1167" s="17"/>
      <c r="G1167" s="17"/>
      <c r="Z1167" s="22"/>
      <c r="AB1167" s="22"/>
    </row>
    <row r="1168" spans="1:28">
      <c r="A1168" s="19"/>
      <c r="B1168" s="12"/>
      <c r="C1168" s="24"/>
      <c r="D1168" s="12"/>
      <c r="E1168" s="23"/>
      <c r="F1168" s="17"/>
      <c r="G1168" s="17"/>
      <c r="Z1168" s="22"/>
      <c r="AB1168" s="22"/>
    </row>
    <row r="1169" spans="1:28">
      <c r="A1169" s="19"/>
      <c r="B1169" s="12"/>
      <c r="C1169" s="24"/>
      <c r="D1169" s="12"/>
      <c r="E1169" s="23"/>
      <c r="F1169" s="17"/>
      <c r="G1169" s="17"/>
      <c r="Z1169" s="22"/>
      <c r="AB1169" s="22"/>
    </row>
    <row r="1170" spans="1:28">
      <c r="A1170" s="19"/>
      <c r="B1170" s="12"/>
      <c r="C1170" s="24"/>
      <c r="D1170" s="12"/>
      <c r="E1170" s="23"/>
      <c r="F1170" s="17"/>
      <c r="G1170" s="17"/>
      <c r="Z1170" s="22"/>
      <c r="AB1170" s="22"/>
    </row>
    <row r="1171" spans="1:28">
      <c r="A1171" s="19"/>
      <c r="B1171" s="12"/>
      <c r="C1171" s="24"/>
      <c r="D1171" s="12"/>
      <c r="E1171" s="23"/>
      <c r="F1171" s="17"/>
      <c r="G1171" s="17"/>
      <c r="Z1171" s="22"/>
      <c r="AB1171" s="22"/>
    </row>
    <row r="1172" spans="1:28">
      <c r="A1172" s="19"/>
      <c r="B1172" s="12"/>
      <c r="C1172" s="24"/>
      <c r="D1172" s="12"/>
      <c r="E1172" s="23"/>
      <c r="F1172" s="17"/>
      <c r="G1172" s="17"/>
      <c r="Z1172" s="22"/>
      <c r="AB1172" s="22"/>
    </row>
    <row r="1173" spans="1:28">
      <c r="A1173" s="19"/>
      <c r="B1173" s="12"/>
      <c r="C1173" s="24"/>
      <c r="D1173" s="12"/>
      <c r="E1173" s="23"/>
      <c r="F1173" s="17"/>
      <c r="G1173" s="17"/>
      <c r="Z1173" s="22"/>
      <c r="AB1173" s="22"/>
    </row>
    <row r="1174" spans="1:28">
      <c r="A1174" s="19"/>
      <c r="B1174" s="12"/>
      <c r="C1174" s="24"/>
      <c r="D1174" s="12"/>
      <c r="E1174" s="23"/>
      <c r="F1174" s="17"/>
      <c r="G1174" s="17"/>
      <c r="Z1174" s="22"/>
      <c r="AB1174" s="22"/>
    </row>
    <row r="1175" spans="1:28">
      <c r="A1175" s="19"/>
      <c r="B1175" s="12"/>
      <c r="C1175" s="24"/>
      <c r="D1175" s="12"/>
      <c r="E1175" s="23"/>
      <c r="F1175" s="17"/>
      <c r="G1175" s="17"/>
      <c r="Z1175" s="22"/>
      <c r="AB1175" s="22"/>
    </row>
    <row r="1176" spans="1:28">
      <c r="A1176" s="19"/>
      <c r="B1176" s="12"/>
      <c r="C1176" s="24"/>
      <c r="D1176" s="12"/>
      <c r="E1176" s="23"/>
      <c r="F1176" s="17"/>
      <c r="G1176" s="17"/>
      <c r="Z1176" s="22"/>
      <c r="AB1176" s="22"/>
    </row>
    <row r="1177" spans="1:28">
      <c r="A1177" s="19"/>
      <c r="B1177" s="12"/>
      <c r="C1177" s="24"/>
      <c r="D1177" s="12"/>
      <c r="E1177" s="23"/>
      <c r="F1177" s="17"/>
      <c r="G1177" s="17"/>
      <c r="Z1177" s="22"/>
      <c r="AB1177" s="22"/>
    </row>
    <row r="1178" spans="1:28">
      <c r="A1178" s="19"/>
      <c r="B1178" s="12"/>
      <c r="C1178" s="24"/>
      <c r="D1178" s="12"/>
      <c r="E1178" s="23"/>
      <c r="F1178" s="17"/>
      <c r="G1178" s="17"/>
      <c r="Z1178" s="22"/>
      <c r="AB1178" s="22"/>
    </row>
    <row r="1179" spans="1:28">
      <c r="A1179" s="19"/>
      <c r="B1179" s="12"/>
      <c r="C1179" s="24"/>
      <c r="D1179" s="12"/>
      <c r="E1179" s="23"/>
      <c r="F1179" s="17"/>
      <c r="G1179" s="17"/>
      <c r="Z1179" s="22"/>
      <c r="AB1179" s="22"/>
    </row>
    <row r="1180" spans="1:28">
      <c r="A1180" s="19"/>
      <c r="B1180" s="12"/>
      <c r="C1180" s="24"/>
      <c r="D1180" s="12"/>
      <c r="E1180" s="23"/>
      <c r="F1180" s="17"/>
      <c r="G1180" s="17"/>
      <c r="Z1180" s="22"/>
      <c r="AB1180" s="22"/>
    </row>
    <row r="1181" spans="1:28">
      <c r="A1181" s="19"/>
      <c r="B1181" s="12"/>
      <c r="C1181" s="24"/>
      <c r="D1181" s="12"/>
      <c r="E1181" s="23"/>
      <c r="F1181" s="17"/>
      <c r="G1181" s="17"/>
      <c r="Z1181" s="22"/>
      <c r="AB1181" s="22"/>
    </row>
    <row r="1182" spans="1:28">
      <c r="A1182" s="19"/>
      <c r="B1182" s="12"/>
      <c r="C1182" s="24"/>
      <c r="D1182" s="12"/>
      <c r="E1182" s="23"/>
      <c r="F1182" s="17"/>
      <c r="G1182" s="17"/>
      <c r="Z1182" s="22"/>
      <c r="AB1182" s="22"/>
    </row>
    <row r="1183" spans="1:28">
      <c r="A1183" s="19"/>
      <c r="B1183" s="12"/>
      <c r="C1183" s="24"/>
      <c r="D1183" s="12"/>
      <c r="E1183" s="23"/>
      <c r="F1183" s="17"/>
      <c r="G1183" s="17"/>
      <c r="Z1183" s="22"/>
      <c r="AB1183" s="22"/>
    </row>
    <row r="1184" spans="1:28">
      <c r="A1184" s="19"/>
      <c r="B1184" s="12"/>
      <c r="C1184" s="24"/>
      <c r="D1184" s="12"/>
      <c r="E1184" s="23"/>
      <c r="F1184" s="17"/>
      <c r="G1184" s="17"/>
      <c r="Z1184" s="22"/>
      <c r="AB1184" s="22"/>
    </row>
    <row r="1185" spans="1:28">
      <c r="A1185" s="19"/>
      <c r="B1185" s="12"/>
      <c r="C1185" s="24"/>
      <c r="D1185" s="12"/>
      <c r="E1185" s="23"/>
      <c r="F1185" s="17"/>
      <c r="G1185" s="17"/>
      <c r="Z1185" s="22"/>
      <c r="AB1185" s="22"/>
    </row>
    <row r="1186" spans="1:28">
      <c r="A1186" s="19"/>
      <c r="B1186" s="12"/>
      <c r="C1186" s="24"/>
      <c r="D1186" s="12"/>
      <c r="E1186" s="23"/>
      <c r="F1186" s="17"/>
      <c r="G1186" s="17"/>
      <c r="Z1186" s="22"/>
      <c r="AB1186" s="22"/>
    </row>
    <row r="1187" spans="1:28">
      <c r="A1187" s="19"/>
      <c r="B1187" s="12"/>
      <c r="C1187" s="24"/>
      <c r="D1187" s="12"/>
      <c r="E1187" s="23"/>
      <c r="F1187" s="17"/>
      <c r="G1187" s="17"/>
      <c r="Z1187" s="22"/>
      <c r="AB1187" s="22"/>
    </row>
    <row r="1188" spans="1:28">
      <c r="A1188" s="19"/>
      <c r="B1188" s="12"/>
      <c r="C1188" s="24"/>
      <c r="D1188" s="12"/>
      <c r="E1188" s="23"/>
      <c r="F1188" s="17"/>
      <c r="G1188" s="17"/>
      <c r="Z1188" s="22"/>
      <c r="AB1188" s="22"/>
    </row>
    <row r="1189" spans="1:28">
      <c r="A1189" s="19"/>
      <c r="B1189" s="12"/>
      <c r="C1189" s="24"/>
      <c r="D1189" s="12"/>
      <c r="E1189" s="23"/>
      <c r="F1189" s="17"/>
      <c r="G1189" s="17"/>
      <c r="Z1189" s="22"/>
      <c r="AB1189" s="22"/>
    </row>
    <row r="1190" spans="1:28">
      <c r="A1190" s="19"/>
      <c r="B1190" s="12"/>
      <c r="C1190" s="24"/>
      <c r="D1190" s="12"/>
      <c r="E1190" s="23"/>
      <c r="F1190" s="17"/>
      <c r="G1190" s="17"/>
      <c r="Z1190" s="22"/>
      <c r="AB1190" s="22"/>
    </row>
    <row r="1191" spans="1:28">
      <c r="A1191" s="19"/>
      <c r="B1191" s="12"/>
      <c r="C1191" s="24"/>
      <c r="D1191" s="12"/>
      <c r="E1191" s="23"/>
      <c r="F1191" s="17"/>
      <c r="G1191" s="17"/>
      <c r="Z1191" s="22"/>
      <c r="AB1191" s="22"/>
    </row>
    <row r="1192" spans="1:28">
      <c r="A1192" s="19"/>
      <c r="B1192" s="12"/>
      <c r="C1192" s="24"/>
      <c r="D1192" s="12"/>
      <c r="E1192" s="23"/>
      <c r="F1192" s="17"/>
      <c r="G1192" s="17"/>
      <c r="Z1192" s="22"/>
      <c r="AB1192" s="22"/>
    </row>
    <row r="1193" spans="1:28">
      <c r="A1193" s="19"/>
      <c r="B1193" s="12"/>
      <c r="C1193" s="24"/>
      <c r="D1193" s="12"/>
      <c r="E1193" s="23"/>
      <c r="F1193" s="17"/>
      <c r="G1193" s="17"/>
      <c r="Z1193" s="22"/>
      <c r="AB1193" s="22"/>
    </row>
    <row r="1194" spans="1:28">
      <c r="A1194" s="19"/>
      <c r="B1194" s="12"/>
      <c r="C1194" s="24"/>
      <c r="D1194" s="12"/>
      <c r="E1194" s="23"/>
      <c r="F1194" s="17"/>
      <c r="G1194" s="17"/>
      <c r="Z1194" s="22"/>
      <c r="AB1194" s="22"/>
    </row>
    <row r="1195" spans="1:28">
      <c r="A1195" s="19"/>
      <c r="B1195" s="12"/>
      <c r="C1195" s="24"/>
      <c r="D1195" s="12"/>
      <c r="E1195" s="23"/>
      <c r="F1195" s="17"/>
      <c r="G1195" s="17"/>
      <c r="Z1195" s="22"/>
      <c r="AB1195" s="22"/>
    </row>
    <row r="1196" spans="1:28">
      <c r="A1196" s="19"/>
      <c r="B1196" s="12"/>
      <c r="C1196" s="24"/>
      <c r="D1196" s="12"/>
      <c r="E1196" s="23"/>
      <c r="F1196" s="17"/>
      <c r="G1196" s="17"/>
      <c r="Z1196" s="22"/>
      <c r="AB1196" s="22"/>
    </row>
    <row r="1197" spans="1:28">
      <c r="A1197" s="19"/>
      <c r="B1197" s="12"/>
      <c r="C1197" s="24"/>
      <c r="D1197" s="12"/>
      <c r="E1197" s="23"/>
      <c r="F1197" s="17"/>
      <c r="G1197" s="17"/>
      <c r="Z1197" s="22"/>
      <c r="AB1197" s="22"/>
    </row>
    <row r="1198" spans="1:28">
      <c r="A1198" s="19"/>
      <c r="B1198" s="12"/>
      <c r="C1198" s="24"/>
      <c r="D1198" s="12"/>
      <c r="E1198" s="23"/>
      <c r="F1198" s="17"/>
      <c r="G1198" s="17"/>
      <c r="Z1198" s="22"/>
      <c r="AB1198" s="22"/>
    </row>
    <row r="1199" spans="1:28">
      <c r="A1199" s="19"/>
      <c r="B1199" s="12"/>
      <c r="C1199" s="24"/>
      <c r="D1199" s="12"/>
      <c r="E1199" s="23"/>
      <c r="F1199" s="17"/>
      <c r="G1199" s="17"/>
      <c r="Z1199" s="22"/>
      <c r="AB1199" s="22"/>
    </row>
    <row r="1200" spans="1:28">
      <c r="A1200" s="19"/>
      <c r="B1200" s="12"/>
      <c r="C1200" s="24"/>
      <c r="D1200" s="12"/>
      <c r="E1200" s="23"/>
      <c r="F1200" s="17"/>
      <c r="G1200" s="17"/>
      <c r="Z1200" s="22"/>
      <c r="AB1200" s="22"/>
    </row>
    <row r="1201" spans="1:28">
      <c r="A1201" s="19"/>
      <c r="B1201" s="12"/>
      <c r="C1201" s="24"/>
      <c r="D1201" s="12"/>
      <c r="E1201" s="23"/>
      <c r="F1201" s="17"/>
      <c r="G1201" s="17"/>
      <c r="Z1201" s="22"/>
      <c r="AB1201" s="22"/>
    </row>
    <row r="1202" spans="1:28">
      <c r="A1202" s="19"/>
      <c r="B1202" s="12"/>
      <c r="C1202" s="24"/>
      <c r="D1202" s="12"/>
      <c r="E1202" s="23"/>
      <c r="F1202" s="17"/>
      <c r="G1202" s="17"/>
      <c r="Z1202" s="22"/>
      <c r="AB1202" s="22"/>
    </row>
    <row r="1203" spans="1:28">
      <c r="A1203" s="19"/>
      <c r="B1203" s="12"/>
      <c r="C1203" s="24"/>
      <c r="D1203" s="12"/>
      <c r="E1203" s="23"/>
      <c r="F1203" s="17"/>
      <c r="G1203" s="17"/>
      <c r="Z1203" s="22"/>
      <c r="AB1203" s="22"/>
    </row>
    <row r="1204" spans="1:28">
      <c r="A1204" s="19"/>
      <c r="B1204" s="12"/>
      <c r="C1204" s="24"/>
      <c r="D1204" s="12"/>
      <c r="E1204" s="23"/>
      <c r="F1204" s="17"/>
      <c r="G1204" s="17"/>
      <c r="Z1204" s="22"/>
      <c r="AB1204" s="22"/>
    </row>
    <row r="1205" spans="1:28">
      <c r="A1205" s="19"/>
      <c r="B1205" s="12"/>
      <c r="C1205" s="24"/>
      <c r="D1205" s="12"/>
      <c r="E1205" s="23"/>
      <c r="F1205" s="17"/>
      <c r="G1205" s="17"/>
      <c r="Z1205" s="22"/>
      <c r="AB1205" s="22"/>
    </row>
    <row r="1206" spans="1:28">
      <c r="A1206" s="19"/>
      <c r="B1206" s="12"/>
      <c r="C1206" s="24"/>
      <c r="D1206" s="12"/>
      <c r="E1206" s="23"/>
      <c r="F1206" s="17"/>
      <c r="G1206" s="17"/>
      <c r="Z1206" s="22"/>
      <c r="AB1206" s="22"/>
    </row>
    <row r="1207" spans="1:28">
      <c r="A1207" s="19"/>
      <c r="B1207" s="12"/>
      <c r="C1207" s="24"/>
      <c r="D1207" s="12"/>
      <c r="E1207" s="23"/>
      <c r="F1207" s="17"/>
      <c r="G1207" s="17"/>
      <c r="Z1207" s="22"/>
      <c r="AB1207" s="22"/>
    </row>
    <row r="1208" spans="1:28">
      <c r="A1208" s="19"/>
      <c r="B1208" s="12"/>
      <c r="C1208" s="24"/>
      <c r="D1208" s="12"/>
      <c r="E1208" s="23"/>
      <c r="F1208" s="17"/>
      <c r="G1208" s="17"/>
      <c r="Z1208" s="22"/>
      <c r="AB1208" s="22"/>
    </row>
    <row r="1209" spans="1:28">
      <c r="A1209" s="19"/>
      <c r="B1209" s="12"/>
      <c r="C1209" s="24"/>
      <c r="D1209" s="12"/>
      <c r="E1209" s="23"/>
      <c r="F1209" s="17"/>
      <c r="G1209" s="17"/>
      <c r="Z1209" s="22"/>
      <c r="AB1209" s="22"/>
    </row>
    <row r="1210" spans="1:28">
      <c r="A1210" s="19"/>
      <c r="B1210" s="12"/>
      <c r="C1210" s="24"/>
      <c r="D1210" s="12"/>
      <c r="E1210" s="23"/>
      <c r="F1210" s="17"/>
      <c r="G1210" s="17"/>
      <c r="Z1210" s="22"/>
      <c r="AB1210" s="22"/>
    </row>
    <row r="1211" spans="1:28">
      <c r="A1211" s="19"/>
      <c r="B1211" s="12"/>
      <c r="C1211" s="24"/>
      <c r="D1211" s="12"/>
      <c r="E1211" s="23"/>
      <c r="F1211" s="17"/>
      <c r="G1211" s="17"/>
      <c r="Z1211" s="22"/>
      <c r="AB1211" s="22"/>
    </row>
    <row r="1212" spans="1:28">
      <c r="A1212" s="19"/>
      <c r="B1212" s="12"/>
      <c r="C1212" s="24"/>
      <c r="D1212" s="12"/>
      <c r="E1212" s="23"/>
      <c r="F1212" s="17"/>
      <c r="G1212" s="17"/>
      <c r="Z1212" s="22"/>
      <c r="AB1212" s="22"/>
    </row>
    <row r="1213" spans="1:28">
      <c r="A1213" s="19"/>
      <c r="B1213" s="12"/>
      <c r="C1213" s="24"/>
      <c r="D1213" s="12"/>
      <c r="E1213" s="23"/>
      <c r="F1213" s="17"/>
      <c r="G1213" s="17"/>
      <c r="Z1213" s="22"/>
      <c r="AB1213" s="22"/>
    </row>
    <row r="1214" spans="1:28">
      <c r="A1214" s="19"/>
      <c r="B1214" s="12"/>
      <c r="C1214" s="24"/>
      <c r="D1214" s="12"/>
      <c r="E1214" s="23"/>
      <c r="F1214" s="17"/>
      <c r="G1214" s="17"/>
      <c r="Z1214" s="22"/>
      <c r="AB1214" s="22"/>
    </row>
    <row r="1215" spans="1:28">
      <c r="A1215" s="19"/>
      <c r="B1215" s="12"/>
      <c r="C1215" s="24"/>
      <c r="D1215" s="12"/>
      <c r="E1215" s="23"/>
      <c r="F1215" s="17"/>
      <c r="G1215" s="17"/>
      <c r="Z1215" s="22"/>
      <c r="AB1215" s="22"/>
    </row>
    <row r="1216" spans="1:28">
      <c r="A1216" s="19"/>
      <c r="B1216" s="12"/>
      <c r="C1216" s="24"/>
      <c r="D1216" s="12"/>
      <c r="E1216" s="23"/>
      <c r="F1216" s="17"/>
      <c r="G1216" s="17"/>
      <c r="Z1216" s="22"/>
      <c r="AB1216" s="22"/>
    </row>
    <row r="1217" spans="1:28">
      <c r="A1217" s="19"/>
      <c r="B1217" s="12"/>
      <c r="C1217" s="24"/>
      <c r="D1217" s="12"/>
      <c r="E1217" s="23"/>
      <c r="F1217" s="17"/>
      <c r="G1217" s="17"/>
      <c r="Z1217" s="22"/>
      <c r="AB1217" s="22"/>
    </row>
    <row r="1218" spans="1:28">
      <c r="A1218" s="19"/>
      <c r="B1218" s="12"/>
      <c r="C1218" s="24"/>
      <c r="D1218" s="12"/>
      <c r="E1218" s="23"/>
      <c r="F1218" s="17"/>
      <c r="G1218" s="17"/>
      <c r="Z1218" s="22"/>
      <c r="AB1218" s="22"/>
    </row>
    <row r="1219" spans="1:28">
      <c r="A1219" s="19"/>
      <c r="B1219" s="12"/>
      <c r="C1219" s="24"/>
      <c r="D1219" s="12"/>
      <c r="E1219" s="23"/>
      <c r="F1219" s="17"/>
      <c r="G1219" s="17"/>
      <c r="Z1219" s="22"/>
      <c r="AB1219" s="22"/>
    </row>
    <row r="1220" spans="1:28">
      <c r="A1220" s="19"/>
      <c r="B1220" s="12"/>
      <c r="C1220" s="24"/>
      <c r="D1220" s="12"/>
      <c r="E1220" s="23"/>
      <c r="F1220" s="17"/>
      <c r="G1220" s="17"/>
      <c r="Z1220" s="22"/>
      <c r="AB1220" s="22"/>
    </row>
    <row r="1221" spans="1:28">
      <c r="A1221" s="19"/>
      <c r="B1221" s="12"/>
      <c r="C1221" s="24"/>
      <c r="D1221" s="12"/>
      <c r="E1221" s="23"/>
      <c r="F1221" s="17"/>
      <c r="G1221" s="17"/>
      <c r="Z1221" s="22"/>
      <c r="AB1221" s="22"/>
    </row>
    <row r="1222" spans="1:28">
      <c r="A1222" s="19"/>
      <c r="B1222" s="12"/>
      <c r="C1222" s="24"/>
      <c r="D1222" s="12"/>
      <c r="E1222" s="23"/>
      <c r="F1222" s="17"/>
      <c r="G1222" s="17"/>
      <c r="Z1222" s="22"/>
      <c r="AB1222" s="22"/>
    </row>
    <row r="1223" spans="1:28">
      <c r="A1223" s="19"/>
      <c r="B1223" s="12"/>
      <c r="C1223" s="24"/>
      <c r="D1223" s="12"/>
      <c r="E1223" s="23"/>
      <c r="F1223" s="17"/>
      <c r="G1223" s="17"/>
      <c r="Z1223" s="22"/>
      <c r="AB1223" s="22"/>
    </row>
    <row r="1224" spans="1:28">
      <c r="A1224" s="19"/>
      <c r="B1224" s="12"/>
      <c r="C1224" s="24"/>
      <c r="D1224" s="12"/>
      <c r="E1224" s="23"/>
      <c r="F1224" s="17"/>
      <c r="G1224" s="17"/>
      <c r="Z1224" s="22"/>
      <c r="AB1224" s="22"/>
    </row>
    <row r="1225" spans="1:28">
      <c r="A1225" s="19"/>
      <c r="B1225" s="12"/>
      <c r="C1225" s="24"/>
      <c r="D1225" s="12"/>
      <c r="E1225" s="23"/>
      <c r="F1225" s="17"/>
      <c r="G1225" s="17"/>
      <c r="Z1225" s="22"/>
      <c r="AB1225" s="22"/>
    </row>
    <row r="1226" spans="1:28">
      <c r="A1226" s="19"/>
      <c r="B1226" s="12"/>
      <c r="C1226" s="24"/>
      <c r="D1226" s="12"/>
      <c r="E1226" s="23"/>
      <c r="F1226" s="17"/>
      <c r="G1226" s="17"/>
      <c r="Z1226" s="22"/>
      <c r="AB1226" s="22"/>
    </row>
    <row r="1227" spans="1:28">
      <c r="A1227" s="19"/>
      <c r="B1227" s="12"/>
      <c r="C1227" s="24"/>
      <c r="D1227" s="12"/>
      <c r="E1227" s="23"/>
      <c r="F1227" s="17"/>
      <c r="G1227" s="17"/>
      <c r="Z1227" s="22"/>
      <c r="AB1227" s="22"/>
    </row>
    <row r="1228" spans="1:28">
      <c r="A1228" s="19"/>
      <c r="B1228" s="12"/>
      <c r="C1228" s="24"/>
      <c r="D1228" s="12"/>
      <c r="E1228" s="23"/>
      <c r="F1228" s="17"/>
      <c r="G1228" s="17"/>
      <c r="Z1228" s="22"/>
      <c r="AB1228" s="22"/>
    </row>
    <row r="1229" spans="1:28">
      <c r="A1229" s="19"/>
      <c r="B1229" s="12"/>
      <c r="C1229" s="24"/>
      <c r="D1229" s="12"/>
      <c r="E1229" s="23"/>
      <c r="F1229" s="17"/>
      <c r="G1229" s="17"/>
      <c r="Z1229" s="22"/>
      <c r="AB1229" s="22"/>
    </row>
    <row r="1230" spans="1:28">
      <c r="A1230" s="19"/>
      <c r="B1230" s="12"/>
      <c r="C1230" s="24"/>
      <c r="D1230" s="12"/>
      <c r="E1230" s="23"/>
      <c r="F1230" s="17"/>
      <c r="G1230" s="17"/>
      <c r="Z1230" s="22"/>
      <c r="AB1230" s="22"/>
    </row>
    <row r="1231" spans="1:28">
      <c r="A1231" s="19"/>
      <c r="B1231" s="12"/>
      <c r="C1231" s="24"/>
      <c r="D1231" s="12"/>
      <c r="E1231" s="23"/>
      <c r="F1231" s="17"/>
      <c r="G1231" s="17"/>
      <c r="Z1231" s="22"/>
      <c r="AB1231" s="22"/>
    </row>
    <row r="1232" spans="1:28">
      <c r="A1232" s="19"/>
      <c r="B1232" s="12"/>
      <c r="C1232" s="24"/>
      <c r="D1232" s="12"/>
      <c r="E1232" s="23"/>
      <c r="F1232" s="17"/>
      <c r="G1232" s="17"/>
      <c r="Z1232" s="22"/>
      <c r="AB1232" s="22"/>
    </row>
    <row r="1233" spans="1:28">
      <c r="A1233" s="19"/>
      <c r="B1233" s="12"/>
      <c r="C1233" s="24"/>
      <c r="D1233" s="12"/>
      <c r="E1233" s="23"/>
      <c r="F1233" s="17"/>
      <c r="G1233" s="17"/>
      <c r="Z1233" s="22"/>
      <c r="AB1233" s="22"/>
    </row>
    <row r="1234" spans="1:28">
      <c r="A1234" s="19"/>
      <c r="B1234" s="12"/>
      <c r="C1234" s="24"/>
      <c r="D1234" s="12"/>
      <c r="E1234" s="23"/>
      <c r="F1234" s="17"/>
      <c r="G1234" s="17"/>
      <c r="Z1234" s="22"/>
      <c r="AB1234" s="22"/>
    </row>
    <row r="1235" spans="1:28">
      <c r="A1235" s="19"/>
      <c r="B1235" s="12"/>
      <c r="C1235" s="24"/>
      <c r="D1235" s="12"/>
      <c r="E1235" s="23"/>
      <c r="F1235" s="17"/>
      <c r="G1235" s="17"/>
      <c r="Z1235" s="22"/>
      <c r="AB1235" s="22"/>
    </row>
    <row r="1236" spans="1:28">
      <c r="A1236" s="19"/>
      <c r="B1236" s="12"/>
      <c r="C1236" s="24"/>
      <c r="D1236" s="12"/>
      <c r="E1236" s="23"/>
      <c r="F1236" s="17"/>
      <c r="G1236" s="17"/>
      <c r="Z1236" s="22"/>
      <c r="AB1236" s="22"/>
    </row>
    <row r="1237" spans="1:28">
      <c r="A1237" s="19"/>
      <c r="B1237" s="12"/>
      <c r="C1237" s="24"/>
      <c r="D1237" s="12"/>
      <c r="E1237" s="23"/>
      <c r="F1237" s="17"/>
      <c r="G1237" s="17"/>
      <c r="Z1237" s="22"/>
      <c r="AB1237" s="22"/>
    </row>
    <row r="1238" spans="1:28">
      <c r="A1238" s="19"/>
      <c r="B1238" s="12"/>
      <c r="C1238" s="24"/>
      <c r="D1238" s="12"/>
      <c r="E1238" s="23"/>
      <c r="F1238" s="17"/>
      <c r="G1238" s="17"/>
      <c r="Z1238" s="22"/>
      <c r="AB1238" s="22"/>
    </row>
    <row r="1239" spans="1:28">
      <c r="A1239" s="19"/>
      <c r="B1239" s="12"/>
      <c r="C1239" s="24"/>
      <c r="D1239" s="12"/>
      <c r="E1239" s="23"/>
      <c r="F1239" s="17"/>
      <c r="G1239" s="17"/>
      <c r="Z1239" s="22"/>
      <c r="AB1239" s="22"/>
    </row>
    <row r="1240" spans="1:28">
      <c r="A1240" s="19"/>
      <c r="B1240" s="12"/>
      <c r="C1240" s="24"/>
      <c r="D1240" s="12"/>
      <c r="E1240" s="23"/>
      <c r="F1240" s="17"/>
      <c r="G1240" s="17"/>
      <c r="Z1240" s="22"/>
      <c r="AB1240" s="22"/>
    </row>
    <row r="1241" spans="1:28">
      <c r="A1241" s="19"/>
      <c r="B1241" s="12"/>
      <c r="C1241" s="24"/>
      <c r="D1241" s="12"/>
      <c r="E1241" s="23"/>
      <c r="F1241" s="17"/>
      <c r="G1241" s="17"/>
      <c r="Z1241" s="22"/>
      <c r="AB1241" s="22"/>
    </row>
    <row r="1242" spans="1:28">
      <c r="A1242" s="19"/>
      <c r="B1242" s="12"/>
      <c r="C1242" s="24"/>
      <c r="D1242" s="12"/>
      <c r="E1242" s="23"/>
      <c r="F1242" s="17"/>
      <c r="G1242" s="17"/>
      <c r="Z1242" s="22"/>
      <c r="AB1242" s="22"/>
    </row>
    <row r="1243" spans="1:28">
      <c r="A1243" s="19"/>
      <c r="B1243" s="12"/>
      <c r="C1243" s="24"/>
      <c r="D1243" s="12"/>
      <c r="E1243" s="23"/>
      <c r="F1243" s="17"/>
      <c r="G1243" s="17"/>
      <c r="Z1243" s="22"/>
      <c r="AB1243" s="22"/>
    </row>
    <row r="1244" spans="1:28">
      <c r="A1244" s="19"/>
      <c r="B1244" s="12"/>
      <c r="C1244" s="24"/>
      <c r="D1244" s="12"/>
      <c r="E1244" s="23"/>
      <c r="F1244" s="17"/>
      <c r="G1244" s="17"/>
      <c r="Z1244" s="22"/>
      <c r="AB1244" s="22"/>
    </row>
    <row r="1245" spans="1:28">
      <c r="A1245" s="19"/>
      <c r="B1245" s="12"/>
      <c r="C1245" s="24"/>
      <c r="D1245" s="12"/>
      <c r="E1245" s="23"/>
      <c r="F1245" s="17"/>
      <c r="G1245" s="17"/>
      <c r="Z1245" s="22"/>
      <c r="AB1245" s="22"/>
    </row>
    <row r="1246" spans="1:28">
      <c r="A1246" s="19"/>
      <c r="B1246" s="12"/>
      <c r="C1246" s="24"/>
      <c r="D1246" s="12"/>
      <c r="E1246" s="23"/>
      <c r="F1246" s="17"/>
      <c r="G1246" s="17"/>
      <c r="Z1246" s="22"/>
      <c r="AB1246" s="22"/>
    </row>
    <row r="1247" spans="1:28">
      <c r="A1247" s="19"/>
      <c r="B1247" s="12"/>
      <c r="C1247" s="24"/>
      <c r="D1247" s="12"/>
      <c r="E1247" s="23"/>
      <c r="F1247" s="17"/>
      <c r="G1247" s="17"/>
      <c r="Z1247" s="22"/>
      <c r="AB1247" s="22"/>
    </row>
    <row r="1248" spans="1:28">
      <c r="A1248" s="19"/>
      <c r="B1248" s="12"/>
      <c r="C1248" s="24"/>
      <c r="D1248" s="12"/>
      <c r="E1248" s="23"/>
      <c r="F1248" s="17"/>
      <c r="G1248" s="17"/>
      <c r="Z1248" s="22"/>
      <c r="AB1248" s="22"/>
    </row>
    <row r="1249" spans="1:28">
      <c r="A1249" s="19"/>
      <c r="B1249" s="12"/>
      <c r="C1249" s="24"/>
      <c r="D1249" s="12"/>
      <c r="E1249" s="23"/>
      <c r="F1249" s="17"/>
      <c r="G1249" s="17"/>
      <c r="Z1249" s="22"/>
      <c r="AB1249" s="22"/>
    </row>
    <row r="1250" spans="1:28">
      <c r="A1250" s="19"/>
      <c r="B1250" s="12"/>
      <c r="C1250" s="24"/>
      <c r="D1250" s="12"/>
      <c r="E1250" s="23"/>
      <c r="F1250" s="17"/>
      <c r="G1250" s="17"/>
      <c r="Z1250" s="22"/>
      <c r="AB1250" s="22"/>
    </row>
    <row r="1251" spans="1:28">
      <c r="A1251" s="19"/>
      <c r="B1251" s="12"/>
      <c r="C1251" s="24"/>
      <c r="D1251" s="12"/>
      <c r="E1251" s="23"/>
      <c r="F1251" s="17"/>
      <c r="G1251" s="17"/>
      <c r="Z1251" s="22"/>
      <c r="AB1251" s="22"/>
    </row>
    <row r="1252" spans="1:28">
      <c r="A1252" s="19"/>
      <c r="B1252" s="12"/>
      <c r="C1252" s="24"/>
      <c r="D1252" s="12"/>
      <c r="E1252" s="23"/>
      <c r="F1252" s="17"/>
      <c r="G1252" s="17"/>
      <c r="Z1252" s="22"/>
      <c r="AB1252" s="22"/>
    </row>
    <row r="1253" spans="1:28">
      <c r="A1253" s="19"/>
      <c r="B1253" s="12"/>
      <c r="C1253" s="24"/>
      <c r="D1253" s="12"/>
      <c r="E1253" s="23"/>
      <c r="F1253" s="17"/>
      <c r="G1253" s="17"/>
      <c r="Z1253" s="22"/>
      <c r="AB1253" s="22"/>
    </row>
    <row r="1254" spans="1:28">
      <c r="A1254" s="19"/>
      <c r="B1254" s="12"/>
      <c r="C1254" s="24"/>
      <c r="D1254" s="12"/>
      <c r="E1254" s="23"/>
      <c r="F1254" s="17"/>
      <c r="G1254" s="17"/>
      <c r="Z1254" s="22"/>
      <c r="AB1254" s="22"/>
    </row>
    <row r="1255" spans="1:28">
      <c r="A1255" s="19"/>
      <c r="B1255" s="12"/>
      <c r="C1255" s="24"/>
      <c r="D1255" s="12"/>
      <c r="E1255" s="23"/>
      <c r="F1255" s="17"/>
      <c r="G1255" s="17"/>
      <c r="Z1255" s="22"/>
      <c r="AB1255" s="22"/>
    </row>
    <row r="1256" spans="1:28">
      <c r="A1256" s="19"/>
      <c r="B1256" s="12"/>
      <c r="C1256" s="24"/>
      <c r="D1256" s="12"/>
      <c r="E1256" s="23"/>
      <c r="F1256" s="17"/>
      <c r="G1256" s="17"/>
      <c r="Z1256" s="22"/>
      <c r="AB1256" s="22"/>
    </row>
    <row r="1257" spans="1:28">
      <c r="A1257" s="19"/>
      <c r="B1257" s="12"/>
      <c r="C1257" s="24"/>
      <c r="D1257" s="12"/>
      <c r="E1257" s="23"/>
      <c r="F1257" s="17"/>
      <c r="G1257" s="17"/>
      <c r="Z1257" s="22"/>
      <c r="AB1257" s="22"/>
    </row>
    <row r="1258" spans="1:28">
      <c r="A1258" s="19"/>
      <c r="B1258" s="12"/>
      <c r="C1258" s="24"/>
      <c r="D1258" s="12"/>
      <c r="E1258" s="23"/>
      <c r="F1258" s="17"/>
      <c r="G1258" s="17"/>
      <c r="Z1258" s="22"/>
      <c r="AB1258" s="22"/>
    </row>
    <row r="1259" spans="1:28">
      <c r="A1259" s="19"/>
      <c r="B1259" s="12"/>
      <c r="C1259" s="24"/>
      <c r="D1259" s="12"/>
      <c r="E1259" s="23"/>
      <c r="F1259" s="17"/>
      <c r="G1259" s="17"/>
      <c r="Z1259" s="22"/>
      <c r="AB1259" s="22"/>
    </row>
    <row r="1260" spans="1:28">
      <c r="A1260" s="19"/>
      <c r="B1260" s="12"/>
      <c r="C1260" s="24"/>
      <c r="D1260" s="12"/>
      <c r="E1260" s="23"/>
      <c r="F1260" s="17"/>
      <c r="G1260" s="17"/>
      <c r="Z1260" s="22"/>
      <c r="AB1260" s="22"/>
    </row>
    <row r="1261" spans="1:28">
      <c r="A1261" s="19"/>
      <c r="B1261" s="12"/>
      <c r="C1261" s="24"/>
      <c r="D1261" s="12"/>
      <c r="E1261" s="23"/>
      <c r="F1261" s="17"/>
      <c r="G1261" s="17"/>
      <c r="Z1261" s="22"/>
      <c r="AB1261" s="22"/>
    </row>
    <row r="1262" spans="1:28">
      <c r="A1262" s="19"/>
      <c r="B1262" s="12"/>
      <c r="C1262" s="24"/>
      <c r="D1262" s="12"/>
      <c r="E1262" s="23"/>
      <c r="F1262" s="17"/>
      <c r="G1262" s="17"/>
      <c r="Z1262" s="22"/>
      <c r="AB1262" s="22"/>
    </row>
    <row r="1263" spans="1:28">
      <c r="A1263" s="19"/>
      <c r="B1263" s="12"/>
      <c r="C1263" s="24"/>
      <c r="D1263" s="12"/>
      <c r="E1263" s="23"/>
      <c r="F1263" s="17"/>
      <c r="G1263" s="17"/>
      <c r="Z1263" s="22"/>
      <c r="AB1263" s="22"/>
    </row>
    <row r="1264" spans="1:28">
      <c r="A1264" s="19"/>
      <c r="B1264" s="12"/>
      <c r="C1264" s="24"/>
      <c r="D1264" s="12"/>
      <c r="E1264" s="23"/>
      <c r="F1264" s="17"/>
      <c r="G1264" s="17"/>
      <c r="Z1264" s="22"/>
      <c r="AB1264" s="22"/>
    </row>
    <row r="1265" spans="1:28">
      <c r="A1265" s="19"/>
      <c r="B1265" s="12"/>
      <c r="C1265" s="24"/>
      <c r="D1265" s="12"/>
      <c r="E1265" s="23"/>
      <c r="F1265" s="17"/>
      <c r="G1265" s="17"/>
      <c r="Z1265" s="22"/>
      <c r="AB1265" s="22"/>
    </row>
    <row r="1266" spans="1:28">
      <c r="A1266" s="19"/>
      <c r="B1266" s="12"/>
      <c r="C1266" s="24"/>
      <c r="D1266" s="12"/>
      <c r="E1266" s="23"/>
      <c r="F1266" s="17"/>
      <c r="G1266" s="17"/>
      <c r="Z1266" s="22"/>
      <c r="AB1266" s="22"/>
    </row>
    <row r="1267" spans="1:28">
      <c r="A1267" s="19"/>
      <c r="B1267" s="12"/>
      <c r="C1267" s="24"/>
      <c r="D1267" s="12"/>
      <c r="E1267" s="23"/>
      <c r="F1267" s="17"/>
      <c r="G1267" s="17"/>
      <c r="Z1267" s="22"/>
      <c r="AB1267" s="22"/>
    </row>
    <row r="1268" spans="1:28">
      <c r="A1268" s="19"/>
      <c r="B1268" s="12"/>
      <c r="C1268" s="24"/>
      <c r="D1268" s="12"/>
      <c r="E1268" s="23"/>
      <c r="F1268" s="17"/>
      <c r="G1268" s="17"/>
      <c r="Z1268" s="22"/>
      <c r="AB1268" s="22"/>
    </row>
    <row r="1269" spans="1:28">
      <c r="A1269" s="19"/>
      <c r="B1269" s="12"/>
      <c r="C1269" s="24"/>
      <c r="D1269" s="12"/>
      <c r="E1269" s="23"/>
      <c r="F1269" s="17"/>
      <c r="G1269" s="17"/>
      <c r="Z1269" s="22"/>
      <c r="AB1269" s="22"/>
    </row>
    <row r="1270" spans="1:28">
      <c r="A1270" s="19"/>
      <c r="B1270" s="12"/>
      <c r="C1270" s="24"/>
      <c r="D1270" s="12"/>
      <c r="E1270" s="23"/>
      <c r="F1270" s="17"/>
      <c r="G1270" s="17"/>
      <c r="Z1270" s="22"/>
      <c r="AB1270" s="22"/>
    </row>
    <row r="1271" spans="1:28">
      <c r="A1271" s="19"/>
      <c r="B1271" s="12"/>
      <c r="C1271" s="24"/>
      <c r="D1271" s="12"/>
      <c r="E1271" s="23"/>
      <c r="F1271" s="17"/>
      <c r="G1271" s="17"/>
      <c r="Z1271" s="22"/>
      <c r="AB1271" s="22"/>
    </row>
    <row r="1272" spans="1:28">
      <c r="A1272" s="19"/>
      <c r="B1272" s="12"/>
      <c r="C1272" s="24"/>
      <c r="D1272" s="12"/>
      <c r="E1272" s="23"/>
      <c r="F1272" s="17"/>
      <c r="G1272" s="17"/>
      <c r="Z1272" s="22"/>
      <c r="AB1272" s="22"/>
    </row>
    <row r="1273" spans="1:28">
      <c r="A1273" s="19"/>
      <c r="B1273" s="12"/>
      <c r="C1273" s="24"/>
      <c r="D1273" s="12"/>
      <c r="E1273" s="23"/>
      <c r="F1273" s="17"/>
      <c r="G1273" s="17"/>
      <c r="Z1273" s="22"/>
      <c r="AB1273" s="22"/>
    </row>
    <row r="1274" spans="1:28">
      <c r="A1274" s="19"/>
      <c r="B1274" s="12"/>
      <c r="C1274" s="24"/>
      <c r="D1274" s="12"/>
      <c r="E1274" s="23"/>
      <c r="F1274" s="17"/>
      <c r="G1274" s="17"/>
      <c r="Z1274" s="22"/>
      <c r="AB1274" s="22"/>
    </row>
    <row r="1275" spans="1:28">
      <c r="A1275" s="19"/>
      <c r="B1275" s="12"/>
      <c r="C1275" s="24"/>
      <c r="D1275" s="12"/>
      <c r="E1275" s="23"/>
      <c r="F1275" s="17"/>
      <c r="G1275" s="17"/>
      <c r="Z1275" s="22"/>
      <c r="AB1275" s="22"/>
    </row>
    <row r="1276" spans="1:28">
      <c r="A1276" s="19"/>
      <c r="B1276" s="12"/>
      <c r="C1276" s="24"/>
      <c r="D1276" s="12"/>
      <c r="E1276" s="23"/>
      <c r="F1276" s="17"/>
      <c r="G1276" s="17"/>
      <c r="Z1276" s="22"/>
      <c r="AB1276" s="22"/>
    </row>
    <row r="1277" spans="1:28">
      <c r="A1277" s="19"/>
      <c r="B1277" s="12"/>
      <c r="C1277" s="24"/>
      <c r="D1277" s="12"/>
      <c r="E1277" s="23"/>
      <c r="F1277" s="17"/>
      <c r="G1277" s="17"/>
      <c r="Z1277" s="22"/>
      <c r="AB1277" s="22"/>
    </row>
    <row r="1278" spans="1:28">
      <c r="A1278" s="19"/>
      <c r="B1278" s="12"/>
      <c r="C1278" s="24"/>
      <c r="D1278" s="12"/>
      <c r="E1278" s="23"/>
      <c r="F1278" s="17"/>
      <c r="G1278" s="17"/>
      <c r="Z1278" s="22"/>
      <c r="AB1278" s="22"/>
    </row>
    <row r="1279" spans="1:28">
      <c r="A1279" s="19"/>
      <c r="B1279" s="12"/>
      <c r="C1279" s="24"/>
      <c r="D1279" s="12"/>
      <c r="E1279" s="23"/>
      <c r="F1279" s="17"/>
      <c r="G1279" s="17"/>
      <c r="Z1279" s="22"/>
      <c r="AB1279" s="22"/>
    </row>
    <row r="1280" spans="1:28">
      <c r="A1280" s="19"/>
      <c r="B1280" s="12"/>
      <c r="C1280" s="24"/>
      <c r="D1280" s="12"/>
      <c r="E1280" s="23"/>
      <c r="F1280" s="17"/>
      <c r="G1280" s="17"/>
      <c r="Z1280" s="22"/>
      <c r="AB1280" s="22"/>
    </row>
    <row r="1281" spans="1:28">
      <c r="A1281" s="19"/>
      <c r="B1281" s="12"/>
      <c r="C1281" s="24"/>
      <c r="D1281" s="12"/>
      <c r="E1281" s="23"/>
      <c r="F1281" s="17"/>
      <c r="G1281" s="17"/>
      <c r="Z1281" s="22"/>
      <c r="AB1281" s="22"/>
    </row>
    <row r="1282" spans="1:28">
      <c r="A1282" s="19"/>
      <c r="B1282" s="12"/>
      <c r="C1282" s="24"/>
      <c r="D1282" s="12"/>
      <c r="E1282" s="23"/>
      <c r="F1282" s="17"/>
      <c r="G1282" s="17"/>
      <c r="Z1282" s="22"/>
      <c r="AB1282" s="22"/>
    </row>
    <row r="1283" spans="1:28">
      <c r="A1283" s="19"/>
      <c r="B1283" s="12"/>
      <c r="C1283" s="24"/>
      <c r="D1283" s="12"/>
      <c r="E1283" s="23"/>
      <c r="F1283" s="17"/>
      <c r="G1283" s="17"/>
      <c r="Z1283" s="22"/>
      <c r="AB1283" s="22"/>
    </row>
    <row r="1284" spans="1:28">
      <c r="A1284" s="19"/>
      <c r="B1284" s="12"/>
      <c r="C1284" s="24"/>
      <c r="D1284" s="12"/>
      <c r="E1284" s="23"/>
      <c r="F1284" s="17"/>
      <c r="G1284" s="17"/>
      <c r="Z1284" s="22"/>
      <c r="AB1284" s="22"/>
    </row>
    <row r="1285" spans="1:28">
      <c r="A1285" s="19"/>
      <c r="B1285" s="12"/>
      <c r="C1285" s="24"/>
      <c r="D1285" s="12"/>
      <c r="E1285" s="23"/>
      <c r="F1285" s="17"/>
      <c r="G1285" s="17"/>
      <c r="Z1285" s="22"/>
      <c r="AB1285" s="22"/>
    </row>
    <row r="1286" spans="1:28">
      <c r="A1286" s="19"/>
      <c r="B1286" s="12"/>
      <c r="C1286" s="24"/>
      <c r="D1286" s="12"/>
      <c r="E1286" s="23"/>
      <c r="F1286" s="17"/>
      <c r="G1286" s="17"/>
      <c r="Z1286" s="22"/>
      <c r="AB1286" s="22"/>
    </row>
    <row r="1287" spans="1:28">
      <c r="A1287" s="19"/>
      <c r="B1287" s="12"/>
      <c r="C1287" s="24"/>
      <c r="D1287" s="12"/>
      <c r="E1287" s="23"/>
      <c r="F1287" s="17"/>
      <c r="G1287" s="17"/>
      <c r="Z1287" s="22"/>
      <c r="AB1287" s="22"/>
    </row>
    <row r="1288" spans="1:28">
      <c r="A1288" s="19"/>
      <c r="B1288" s="12"/>
      <c r="C1288" s="24"/>
      <c r="D1288" s="12"/>
      <c r="E1288" s="23"/>
      <c r="F1288" s="17"/>
      <c r="G1288" s="17"/>
      <c r="Z1288" s="22"/>
      <c r="AB1288" s="22"/>
    </row>
    <row r="1289" spans="1:28">
      <c r="A1289" s="19"/>
      <c r="B1289" s="12"/>
      <c r="C1289" s="24"/>
      <c r="D1289" s="12"/>
      <c r="E1289" s="23"/>
      <c r="F1289" s="17"/>
      <c r="G1289" s="17"/>
      <c r="Z1289" s="22"/>
      <c r="AB1289" s="22"/>
    </row>
    <row r="1290" spans="1:28">
      <c r="A1290" s="19"/>
      <c r="B1290" s="12"/>
      <c r="C1290" s="24"/>
      <c r="D1290" s="12"/>
      <c r="E1290" s="23"/>
      <c r="F1290" s="17"/>
      <c r="G1290" s="17"/>
      <c r="Z1290" s="22"/>
      <c r="AB1290" s="22"/>
    </row>
    <row r="1291" spans="1:28">
      <c r="A1291" s="19"/>
      <c r="B1291" s="12"/>
      <c r="C1291" s="24"/>
      <c r="D1291" s="12"/>
      <c r="E1291" s="23"/>
      <c r="F1291" s="17"/>
      <c r="G1291" s="17"/>
      <c r="Z1291" s="22"/>
      <c r="AB1291" s="22"/>
    </row>
    <row r="1292" spans="1:28">
      <c r="A1292" s="19"/>
      <c r="B1292" s="12"/>
      <c r="C1292" s="24"/>
      <c r="D1292" s="12"/>
      <c r="E1292" s="23"/>
      <c r="F1292" s="17"/>
      <c r="G1292" s="17"/>
      <c r="Z1292" s="22"/>
      <c r="AB1292" s="22"/>
    </row>
    <row r="1293" spans="1:28">
      <c r="A1293" s="19"/>
      <c r="B1293" s="12"/>
      <c r="C1293" s="24"/>
      <c r="D1293" s="12"/>
      <c r="E1293" s="23"/>
      <c r="F1293" s="17"/>
      <c r="G1293" s="17"/>
      <c r="Z1293" s="22"/>
      <c r="AB1293" s="22"/>
    </row>
    <row r="1294" spans="1:28">
      <c r="A1294" s="19"/>
      <c r="B1294" s="12"/>
      <c r="C1294" s="24"/>
      <c r="D1294" s="12"/>
      <c r="E1294" s="23"/>
      <c r="F1294" s="17"/>
      <c r="G1294" s="17"/>
      <c r="Z1294" s="22"/>
      <c r="AB1294" s="22"/>
    </row>
    <row r="1295" spans="1:28">
      <c r="A1295" s="19"/>
      <c r="B1295" s="12"/>
      <c r="C1295" s="24"/>
      <c r="D1295" s="12"/>
      <c r="E1295" s="23"/>
      <c r="F1295" s="17"/>
      <c r="G1295" s="17"/>
      <c r="Z1295" s="22"/>
      <c r="AB1295" s="22"/>
    </row>
    <row r="1296" spans="1:28">
      <c r="A1296" s="19"/>
      <c r="B1296" s="12"/>
      <c r="C1296" s="24"/>
      <c r="D1296" s="12"/>
      <c r="E1296" s="23"/>
      <c r="F1296" s="17"/>
      <c r="G1296" s="17"/>
      <c r="Z1296" s="22"/>
      <c r="AB1296" s="22"/>
    </row>
    <row r="1297" spans="1:28">
      <c r="A1297" s="19"/>
      <c r="B1297" s="12"/>
      <c r="C1297" s="24"/>
      <c r="D1297" s="12"/>
      <c r="E1297" s="23"/>
      <c r="F1297" s="17"/>
      <c r="G1297" s="17"/>
      <c r="Z1297" s="22"/>
      <c r="AB1297" s="22"/>
    </row>
    <row r="1298" spans="1:28">
      <c r="A1298" s="19"/>
      <c r="B1298" s="12"/>
      <c r="C1298" s="24"/>
      <c r="D1298" s="12"/>
      <c r="E1298" s="23"/>
      <c r="F1298" s="17"/>
      <c r="G1298" s="17"/>
      <c r="Z1298" s="22"/>
      <c r="AB1298" s="22"/>
    </row>
    <row r="1299" spans="1:28">
      <c r="A1299" s="19"/>
      <c r="B1299" s="12"/>
      <c r="C1299" s="24"/>
      <c r="D1299" s="12"/>
      <c r="E1299" s="23"/>
      <c r="F1299" s="17"/>
      <c r="G1299" s="17"/>
      <c r="Z1299" s="22"/>
      <c r="AB1299" s="22"/>
    </row>
    <row r="1300" spans="1:28">
      <c r="A1300" s="19"/>
      <c r="B1300" s="12"/>
      <c r="C1300" s="24"/>
      <c r="D1300" s="12"/>
      <c r="E1300" s="23"/>
      <c r="F1300" s="17"/>
      <c r="G1300" s="17"/>
      <c r="Z1300" s="22"/>
      <c r="AB1300" s="22"/>
    </row>
    <row r="1301" spans="1:28">
      <c r="A1301" s="19"/>
      <c r="B1301" s="12"/>
      <c r="C1301" s="24"/>
      <c r="D1301" s="12"/>
      <c r="E1301" s="23"/>
      <c r="F1301" s="17"/>
      <c r="G1301" s="17"/>
      <c r="Z1301" s="22"/>
      <c r="AB1301" s="22"/>
    </row>
    <row r="1302" spans="1:28">
      <c r="A1302" s="19"/>
      <c r="B1302" s="12"/>
      <c r="C1302" s="24"/>
      <c r="D1302" s="12"/>
      <c r="E1302" s="23"/>
      <c r="F1302" s="17"/>
      <c r="G1302" s="17"/>
      <c r="Z1302" s="22"/>
      <c r="AB1302" s="22"/>
    </row>
    <row r="1303" spans="1:28">
      <c r="A1303" s="19"/>
      <c r="B1303" s="12"/>
      <c r="C1303" s="24"/>
      <c r="D1303" s="12"/>
      <c r="E1303" s="23"/>
      <c r="F1303" s="17"/>
      <c r="G1303" s="17"/>
      <c r="Z1303" s="22"/>
      <c r="AB1303" s="22"/>
    </row>
    <row r="1304" spans="1:28">
      <c r="A1304" s="19"/>
      <c r="B1304" s="12"/>
      <c r="C1304" s="24"/>
      <c r="D1304" s="12"/>
      <c r="E1304" s="23"/>
      <c r="F1304" s="17"/>
      <c r="G1304" s="17"/>
      <c r="Z1304" s="22"/>
      <c r="AB1304" s="22"/>
    </row>
    <row r="1305" spans="1:28">
      <c r="A1305" s="19"/>
      <c r="B1305" s="12"/>
      <c r="C1305" s="24"/>
      <c r="D1305" s="12"/>
      <c r="E1305" s="23"/>
      <c r="F1305" s="17"/>
      <c r="G1305" s="17"/>
      <c r="Z1305" s="22"/>
      <c r="AB1305" s="22"/>
    </row>
    <row r="1306" spans="1:28">
      <c r="A1306" s="19"/>
      <c r="B1306" s="12"/>
      <c r="C1306" s="24"/>
      <c r="D1306" s="12"/>
      <c r="E1306" s="23"/>
      <c r="F1306" s="17"/>
      <c r="G1306" s="17"/>
      <c r="Z1306" s="22"/>
      <c r="AB1306" s="22"/>
    </row>
    <row r="1307" spans="1:28">
      <c r="A1307" s="19"/>
      <c r="B1307" s="12"/>
      <c r="C1307" s="24"/>
      <c r="D1307" s="12"/>
      <c r="E1307" s="23"/>
      <c r="F1307" s="17"/>
      <c r="G1307" s="17"/>
      <c r="Z1307" s="22"/>
      <c r="AB1307" s="22"/>
    </row>
    <row r="1308" spans="1:28">
      <c r="A1308" s="19"/>
      <c r="B1308" s="12"/>
      <c r="C1308" s="24"/>
      <c r="D1308" s="12"/>
      <c r="E1308" s="23"/>
      <c r="F1308" s="17"/>
      <c r="G1308" s="17"/>
      <c r="Z1308" s="22"/>
      <c r="AB1308" s="22"/>
    </row>
    <row r="1309" spans="1:28">
      <c r="A1309" s="19"/>
      <c r="B1309" s="12"/>
      <c r="C1309" s="24"/>
      <c r="D1309" s="12"/>
      <c r="E1309" s="23"/>
      <c r="F1309" s="17"/>
      <c r="G1309" s="17"/>
      <c r="Z1309" s="22"/>
      <c r="AB1309" s="22"/>
    </row>
    <row r="1310" spans="1:28">
      <c r="A1310" s="19"/>
      <c r="B1310" s="12"/>
      <c r="C1310" s="24"/>
      <c r="D1310" s="12"/>
      <c r="E1310" s="23"/>
      <c r="F1310" s="17"/>
      <c r="G1310" s="17"/>
      <c r="Z1310" s="22"/>
      <c r="AB1310" s="22"/>
    </row>
    <row r="1311" spans="1:28">
      <c r="A1311" s="19"/>
      <c r="B1311" s="12"/>
      <c r="C1311" s="24"/>
      <c r="D1311" s="12"/>
      <c r="E1311" s="23"/>
      <c r="F1311" s="17"/>
      <c r="G1311" s="17"/>
      <c r="Z1311" s="22"/>
      <c r="AB1311" s="22"/>
    </row>
    <row r="1312" spans="1:28">
      <c r="A1312" s="19"/>
      <c r="B1312" s="12"/>
      <c r="C1312" s="24"/>
      <c r="D1312" s="12"/>
      <c r="E1312" s="23"/>
      <c r="F1312" s="17"/>
      <c r="G1312" s="17"/>
      <c r="Z1312" s="22"/>
      <c r="AB1312" s="22"/>
    </row>
    <row r="1313" spans="1:28">
      <c r="A1313" s="19"/>
      <c r="B1313" s="12"/>
      <c r="C1313" s="24"/>
      <c r="D1313" s="12"/>
      <c r="E1313" s="23"/>
      <c r="F1313" s="17"/>
      <c r="G1313" s="17"/>
      <c r="Z1313" s="22"/>
      <c r="AB1313" s="22"/>
    </row>
    <row r="1314" spans="1:28">
      <c r="A1314" s="19"/>
      <c r="B1314" s="12"/>
      <c r="C1314" s="24"/>
      <c r="D1314" s="12"/>
      <c r="E1314" s="23"/>
      <c r="F1314" s="17"/>
      <c r="G1314" s="17"/>
      <c r="Z1314" s="22"/>
      <c r="AB1314" s="22"/>
    </row>
    <row r="1315" spans="1:28">
      <c r="A1315" s="19"/>
      <c r="B1315" s="12"/>
      <c r="C1315" s="24"/>
      <c r="D1315" s="12"/>
      <c r="E1315" s="23"/>
      <c r="F1315" s="17"/>
      <c r="G1315" s="17"/>
      <c r="Z1315" s="22"/>
      <c r="AB1315" s="22"/>
    </row>
    <row r="1316" spans="1:28">
      <c r="A1316" s="19"/>
      <c r="B1316" s="12"/>
      <c r="C1316" s="24"/>
      <c r="D1316" s="12"/>
      <c r="E1316" s="23"/>
      <c r="F1316" s="17"/>
      <c r="G1316" s="17"/>
      <c r="Z1316" s="22"/>
      <c r="AB1316" s="22"/>
    </row>
    <row r="1317" spans="1:28">
      <c r="A1317" s="19"/>
      <c r="B1317" s="12"/>
      <c r="C1317" s="24"/>
      <c r="D1317" s="12"/>
      <c r="E1317" s="23"/>
      <c r="F1317" s="17"/>
      <c r="G1317" s="17"/>
      <c r="Z1317" s="22"/>
      <c r="AB1317" s="22"/>
    </row>
    <row r="1318" spans="1:28">
      <c r="A1318" s="19"/>
      <c r="B1318" s="12"/>
      <c r="C1318" s="24"/>
      <c r="D1318" s="12"/>
      <c r="E1318" s="23"/>
      <c r="F1318" s="17"/>
      <c r="G1318" s="17"/>
      <c r="Z1318" s="22"/>
      <c r="AB1318" s="22"/>
    </row>
    <row r="1319" spans="1:28">
      <c r="A1319" s="19"/>
      <c r="B1319" s="12"/>
      <c r="C1319" s="24"/>
      <c r="D1319" s="12"/>
      <c r="E1319" s="23"/>
      <c r="F1319" s="17"/>
      <c r="G1319" s="17"/>
      <c r="Z1319" s="22"/>
      <c r="AB1319" s="22"/>
    </row>
    <row r="1320" spans="1:28">
      <c r="A1320" s="19"/>
      <c r="B1320" s="12"/>
      <c r="C1320" s="24"/>
      <c r="D1320" s="12"/>
      <c r="E1320" s="23"/>
      <c r="F1320" s="17"/>
      <c r="G1320" s="17"/>
      <c r="Z1320" s="22"/>
      <c r="AB1320" s="22"/>
    </row>
    <row r="1321" spans="1:28">
      <c r="A1321" s="19"/>
      <c r="B1321" s="12"/>
      <c r="C1321" s="24"/>
      <c r="D1321" s="12"/>
      <c r="E1321" s="23"/>
      <c r="F1321" s="17"/>
      <c r="G1321" s="17"/>
      <c r="Z1321" s="22"/>
      <c r="AB1321" s="22"/>
    </row>
    <row r="1322" spans="1:28">
      <c r="A1322" s="19"/>
      <c r="B1322" s="12"/>
      <c r="C1322" s="24"/>
      <c r="D1322" s="12"/>
      <c r="E1322" s="23"/>
      <c r="F1322" s="17"/>
      <c r="G1322" s="17"/>
      <c r="Z1322" s="22"/>
      <c r="AB1322" s="22"/>
    </row>
    <row r="1323" spans="1:28">
      <c r="A1323" s="19"/>
      <c r="B1323" s="12"/>
      <c r="C1323" s="24"/>
      <c r="D1323" s="12"/>
      <c r="E1323" s="23"/>
      <c r="F1323" s="17"/>
      <c r="G1323" s="17"/>
      <c r="Z1323" s="22"/>
      <c r="AB1323" s="22"/>
    </row>
    <row r="1324" spans="1:28">
      <c r="A1324" s="19"/>
      <c r="B1324" s="12"/>
      <c r="C1324" s="24"/>
      <c r="D1324" s="12"/>
      <c r="E1324" s="23"/>
      <c r="F1324" s="17"/>
      <c r="G1324" s="17"/>
      <c r="Z1324" s="22"/>
      <c r="AB1324" s="22"/>
    </row>
    <row r="1325" spans="1:28">
      <c r="A1325" s="19"/>
      <c r="B1325" s="12"/>
      <c r="C1325" s="24"/>
      <c r="D1325" s="12"/>
      <c r="E1325" s="23"/>
      <c r="F1325" s="17"/>
      <c r="G1325" s="17"/>
      <c r="Z1325" s="22"/>
      <c r="AB1325" s="22"/>
    </row>
    <row r="1326" spans="1:28">
      <c r="A1326" s="19"/>
      <c r="B1326" s="12"/>
      <c r="C1326" s="24"/>
      <c r="D1326" s="12"/>
      <c r="E1326" s="23"/>
      <c r="F1326" s="17"/>
      <c r="G1326" s="17"/>
      <c r="Z1326" s="22"/>
      <c r="AB1326" s="22"/>
    </row>
    <row r="1327" spans="1:28">
      <c r="A1327" s="19"/>
      <c r="B1327" s="12"/>
      <c r="C1327" s="24"/>
      <c r="D1327" s="12"/>
      <c r="E1327" s="23"/>
      <c r="F1327" s="17"/>
      <c r="G1327" s="17"/>
      <c r="Z1327" s="22"/>
      <c r="AB1327" s="22"/>
    </row>
    <row r="1328" spans="1:28">
      <c r="A1328" s="19"/>
      <c r="B1328" s="12"/>
      <c r="C1328" s="24"/>
      <c r="D1328" s="12"/>
      <c r="E1328" s="23"/>
      <c r="F1328" s="17"/>
      <c r="G1328" s="17"/>
      <c r="Z1328" s="22"/>
      <c r="AB1328" s="22"/>
    </row>
    <row r="1329" spans="1:28">
      <c r="A1329" s="19"/>
      <c r="B1329" s="12"/>
      <c r="C1329" s="24"/>
      <c r="D1329" s="12"/>
      <c r="E1329" s="23"/>
      <c r="F1329" s="17"/>
      <c r="G1329" s="17"/>
      <c r="Z1329" s="22"/>
      <c r="AB1329" s="22"/>
    </row>
    <row r="1330" spans="1:28">
      <c r="A1330" s="19"/>
      <c r="B1330" s="12"/>
      <c r="C1330" s="24"/>
      <c r="D1330" s="12"/>
      <c r="E1330" s="23"/>
      <c r="F1330" s="17"/>
      <c r="G1330" s="17"/>
      <c r="Z1330" s="22"/>
      <c r="AB1330" s="22"/>
    </row>
    <row r="1331" spans="1:28">
      <c r="A1331" s="19"/>
      <c r="B1331" s="12"/>
      <c r="C1331" s="24"/>
      <c r="D1331" s="12"/>
      <c r="E1331" s="23"/>
      <c r="F1331" s="17"/>
      <c r="G1331" s="17"/>
      <c r="Z1331" s="22"/>
      <c r="AB1331" s="22"/>
    </row>
    <row r="1332" spans="1:28">
      <c r="A1332" s="19"/>
      <c r="B1332" s="12"/>
      <c r="C1332" s="24"/>
      <c r="D1332" s="12"/>
      <c r="E1332" s="23"/>
      <c r="F1332" s="17"/>
      <c r="G1332" s="17"/>
      <c r="Z1332" s="22"/>
      <c r="AB1332" s="22"/>
    </row>
    <row r="1333" spans="1:28">
      <c r="A1333" s="19"/>
      <c r="B1333" s="12"/>
      <c r="C1333" s="24"/>
      <c r="D1333" s="12"/>
      <c r="E1333" s="23"/>
      <c r="F1333" s="17"/>
      <c r="G1333" s="17"/>
      <c r="Z1333" s="22"/>
      <c r="AB1333" s="22"/>
    </row>
    <row r="1334" spans="1:28">
      <c r="A1334" s="19"/>
      <c r="B1334" s="12"/>
      <c r="C1334" s="24"/>
      <c r="D1334" s="12"/>
      <c r="E1334" s="23"/>
      <c r="F1334" s="17"/>
      <c r="G1334" s="17"/>
      <c r="Z1334" s="22"/>
      <c r="AB1334" s="22"/>
    </row>
    <row r="1335" spans="1:28">
      <c r="A1335" s="19"/>
      <c r="B1335" s="12"/>
      <c r="C1335" s="24"/>
      <c r="D1335" s="12"/>
      <c r="E1335" s="23"/>
      <c r="F1335" s="17"/>
      <c r="G1335" s="17"/>
      <c r="Z1335" s="22"/>
      <c r="AB1335" s="22"/>
    </row>
    <row r="1336" spans="1:28">
      <c r="A1336" s="19"/>
      <c r="B1336" s="12"/>
      <c r="C1336" s="24"/>
      <c r="D1336" s="12"/>
      <c r="E1336" s="23"/>
      <c r="F1336" s="17"/>
      <c r="G1336" s="17"/>
      <c r="Z1336" s="22"/>
      <c r="AB1336" s="22"/>
    </row>
    <row r="1337" spans="1:28">
      <c r="A1337" s="19"/>
      <c r="B1337" s="12"/>
      <c r="C1337" s="24"/>
      <c r="D1337" s="12"/>
      <c r="E1337" s="23"/>
      <c r="F1337" s="17"/>
      <c r="G1337" s="17"/>
      <c r="Z1337" s="22"/>
      <c r="AB1337" s="22"/>
    </row>
    <row r="1338" spans="1:28">
      <c r="A1338" s="19"/>
      <c r="B1338" s="12"/>
      <c r="C1338" s="24"/>
      <c r="D1338" s="12"/>
      <c r="E1338" s="23"/>
      <c r="F1338" s="17"/>
      <c r="G1338" s="17"/>
      <c r="Z1338" s="22"/>
      <c r="AB1338" s="22"/>
    </row>
    <row r="1339" spans="1:28">
      <c r="A1339" s="19"/>
      <c r="B1339" s="12"/>
      <c r="C1339" s="24"/>
      <c r="D1339" s="12"/>
      <c r="E1339" s="23"/>
      <c r="F1339" s="17"/>
      <c r="G1339" s="17"/>
      <c r="Z1339" s="22"/>
      <c r="AB1339" s="22"/>
    </row>
    <row r="1340" spans="1:28">
      <c r="A1340" s="19"/>
      <c r="B1340" s="12"/>
      <c r="C1340" s="24"/>
      <c r="D1340" s="12"/>
      <c r="E1340" s="23"/>
      <c r="F1340" s="17"/>
      <c r="G1340" s="17"/>
      <c r="Z1340" s="22"/>
      <c r="AB1340" s="22"/>
    </row>
    <row r="1341" spans="1:28">
      <c r="A1341" s="19"/>
      <c r="B1341" s="12"/>
      <c r="C1341" s="24"/>
      <c r="D1341" s="12"/>
      <c r="E1341" s="23"/>
      <c r="F1341" s="17"/>
      <c r="G1341" s="17"/>
      <c r="Z1341" s="22"/>
      <c r="AB1341" s="22"/>
    </row>
    <row r="1342" spans="1:28">
      <c r="A1342" s="19"/>
      <c r="B1342" s="12"/>
      <c r="C1342" s="24"/>
      <c r="D1342" s="12"/>
      <c r="E1342" s="23"/>
      <c r="F1342" s="17"/>
      <c r="G1342" s="17"/>
      <c r="Z1342" s="22"/>
      <c r="AB1342" s="22"/>
    </row>
    <row r="1343" spans="1:28">
      <c r="A1343" s="19"/>
      <c r="B1343" s="12"/>
      <c r="C1343" s="24"/>
      <c r="D1343" s="12"/>
      <c r="E1343" s="23"/>
      <c r="F1343" s="17"/>
      <c r="G1343" s="17"/>
      <c r="Z1343" s="22"/>
      <c r="AB1343" s="22"/>
    </row>
    <row r="1344" spans="1:28">
      <c r="A1344" s="19"/>
      <c r="B1344" s="12"/>
      <c r="C1344" s="24"/>
      <c r="D1344" s="12"/>
      <c r="E1344" s="23"/>
      <c r="F1344" s="17"/>
      <c r="G1344" s="17"/>
      <c r="Z1344" s="22"/>
      <c r="AB1344" s="22"/>
    </row>
    <row r="1345" spans="1:28">
      <c r="A1345" s="19"/>
      <c r="B1345" s="12"/>
      <c r="C1345" s="24"/>
      <c r="D1345" s="12"/>
      <c r="E1345" s="23"/>
      <c r="F1345" s="17"/>
      <c r="G1345" s="17"/>
      <c r="Z1345" s="22"/>
      <c r="AB1345" s="22"/>
    </row>
    <row r="1346" spans="1:28">
      <c r="A1346" s="19"/>
      <c r="B1346" s="12"/>
      <c r="C1346" s="24"/>
      <c r="D1346" s="12"/>
      <c r="E1346" s="23"/>
      <c r="F1346" s="17"/>
      <c r="G1346" s="17"/>
      <c r="Z1346" s="22"/>
      <c r="AB1346" s="22"/>
    </row>
    <row r="1347" spans="1:28">
      <c r="A1347" s="19"/>
      <c r="B1347" s="12"/>
      <c r="C1347" s="24"/>
      <c r="D1347" s="12"/>
      <c r="E1347" s="23"/>
      <c r="F1347" s="17"/>
      <c r="G1347" s="17"/>
      <c r="Z1347" s="22"/>
      <c r="AB1347" s="22"/>
    </row>
    <row r="1348" spans="1:28">
      <c r="A1348" s="19"/>
      <c r="B1348" s="12"/>
      <c r="C1348" s="24"/>
      <c r="D1348" s="12"/>
      <c r="E1348" s="23"/>
      <c r="F1348" s="17"/>
      <c r="G1348" s="17"/>
      <c r="Z1348" s="22"/>
      <c r="AB1348" s="22"/>
    </row>
    <row r="1349" spans="1:28">
      <c r="A1349" s="19"/>
      <c r="B1349" s="12"/>
      <c r="C1349" s="24"/>
      <c r="D1349" s="12"/>
      <c r="E1349" s="23"/>
      <c r="F1349" s="17"/>
      <c r="G1349" s="17"/>
      <c r="Z1349" s="22"/>
      <c r="AB1349" s="22"/>
    </row>
    <row r="1350" spans="1:28">
      <c r="A1350" s="19"/>
      <c r="B1350" s="12"/>
      <c r="C1350" s="24"/>
      <c r="D1350" s="12"/>
      <c r="E1350" s="23"/>
      <c r="F1350" s="17"/>
      <c r="G1350" s="17"/>
      <c r="Z1350" s="22"/>
      <c r="AB1350" s="22"/>
    </row>
    <row r="1351" spans="1:28">
      <c r="A1351" s="19"/>
      <c r="B1351" s="12"/>
      <c r="C1351" s="24"/>
      <c r="D1351" s="12"/>
      <c r="E1351" s="23"/>
      <c r="F1351" s="17"/>
      <c r="G1351" s="17"/>
      <c r="Z1351" s="22"/>
      <c r="AB1351" s="22"/>
    </row>
    <row r="1352" spans="1:28">
      <c r="A1352" s="19"/>
      <c r="B1352" s="12"/>
      <c r="C1352" s="24"/>
      <c r="D1352" s="12"/>
      <c r="E1352" s="23"/>
      <c r="F1352" s="17"/>
      <c r="G1352" s="17"/>
      <c r="Z1352" s="22"/>
      <c r="AB1352" s="22"/>
    </row>
    <row r="1353" spans="1:28">
      <c r="A1353" s="19"/>
      <c r="B1353" s="12"/>
      <c r="C1353" s="24"/>
      <c r="D1353" s="12"/>
      <c r="E1353" s="23"/>
      <c r="F1353" s="17"/>
      <c r="G1353" s="17"/>
      <c r="Z1353" s="22"/>
      <c r="AB1353" s="22"/>
    </row>
    <row r="1354" spans="1:28">
      <c r="A1354" s="19"/>
      <c r="B1354" s="12"/>
      <c r="C1354" s="24"/>
      <c r="D1354" s="12"/>
      <c r="E1354" s="23"/>
      <c r="F1354" s="17"/>
      <c r="G1354" s="17"/>
      <c r="Z1354" s="22"/>
      <c r="AB1354" s="22"/>
    </row>
    <row r="1355" spans="1:28">
      <c r="A1355" s="19"/>
      <c r="B1355" s="12"/>
      <c r="C1355" s="24"/>
      <c r="D1355" s="12"/>
      <c r="E1355" s="23"/>
      <c r="F1355" s="17"/>
      <c r="G1355" s="17"/>
      <c r="Z1355" s="22"/>
      <c r="AB1355" s="22"/>
    </row>
    <row r="1356" spans="1:28">
      <c r="A1356" s="19"/>
      <c r="B1356" s="12"/>
      <c r="C1356" s="24"/>
      <c r="D1356" s="12"/>
      <c r="E1356" s="23"/>
      <c r="F1356" s="17"/>
      <c r="G1356" s="17"/>
      <c r="Z1356" s="22"/>
      <c r="AB1356" s="22"/>
    </row>
    <row r="1357" spans="1:28">
      <c r="A1357" s="19"/>
      <c r="B1357" s="12"/>
      <c r="C1357" s="24"/>
      <c r="D1357" s="12"/>
      <c r="E1357" s="23"/>
      <c r="F1357" s="17"/>
      <c r="G1357" s="17"/>
      <c r="Z1357" s="22"/>
      <c r="AB1357" s="22"/>
    </row>
    <row r="1358" spans="1:28">
      <c r="A1358" s="19"/>
      <c r="B1358" s="12"/>
      <c r="C1358" s="24"/>
      <c r="D1358" s="12"/>
      <c r="E1358" s="23"/>
      <c r="F1358" s="17"/>
      <c r="G1358" s="17"/>
      <c r="Z1358" s="22"/>
      <c r="AB1358" s="22"/>
    </row>
    <row r="1359" spans="1:28">
      <c r="A1359" s="19"/>
      <c r="B1359" s="12"/>
      <c r="C1359" s="24"/>
      <c r="D1359" s="12"/>
      <c r="E1359" s="23"/>
      <c r="F1359" s="17"/>
      <c r="G1359" s="17"/>
      <c r="Z1359" s="22"/>
      <c r="AB1359" s="22"/>
    </row>
    <row r="1360" spans="1:28">
      <c r="A1360" s="19"/>
      <c r="B1360" s="12"/>
      <c r="C1360" s="24"/>
      <c r="D1360" s="12"/>
      <c r="E1360" s="23"/>
      <c r="F1360" s="17"/>
      <c r="G1360" s="17"/>
      <c r="Z1360" s="22"/>
      <c r="AB1360" s="22"/>
    </row>
    <row r="1361" spans="1:28">
      <c r="A1361" s="19"/>
      <c r="B1361" s="12"/>
      <c r="C1361" s="24"/>
      <c r="D1361" s="12"/>
      <c r="E1361" s="23"/>
      <c r="F1361" s="17"/>
      <c r="G1361" s="17"/>
      <c r="Z1361" s="22"/>
      <c r="AB1361" s="22"/>
    </row>
    <row r="1362" spans="1:28">
      <c r="A1362" s="19"/>
      <c r="B1362" s="12"/>
      <c r="C1362" s="24"/>
      <c r="D1362" s="12"/>
      <c r="E1362" s="23"/>
      <c r="F1362" s="17"/>
      <c r="G1362" s="17"/>
      <c r="Z1362" s="22"/>
      <c r="AB1362" s="22"/>
    </row>
    <row r="1363" spans="1:28">
      <c r="A1363" s="19"/>
      <c r="B1363" s="12"/>
      <c r="C1363" s="24"/>
      <c r="D1363" s="12"/>
      <c r="E1363" s="23"/>
      <c r="F1363" s="17"/>
      <c r="G1363" s="17"/>
      <c r="Z1363" s="22"/>
      <c r="AB1363" s="22"/>
    </row>
    <row r="1364" spans="1:28">
      <c r="A1364" s="19"/>
      <c r="B1364" s="12"/>
      <c r="C1364" s="24"/>
      <c r="D1364" s="12"/>
      <c r="E1364" s="23"/>
      <c r="F1364" s="17"/>
      <c r="G1364" s="17"/>
      <c r="Z1364" s="22"/>
      <c r="AB1364" s="22"/>
    </row>
    <row r="1365" spans="1:28">
      <c r="A1365" s="19"/>
      <c r="B1365" s="12"/>
      <c r="C1365" s="24"/>
      <c r="D1365" s="12"/>
      <c r="E1365" s="23"/>
      <c r="F1365" s="17"/>
      <c r="G1365" s="17"/>
      <c r="Z1365" s="22"/>
      <c r="AB1365" s="22"/>
    </row>
    <row r="1366" spans="1:28">
      <c r="A1366" s="19"/>
      <c r="B1366" s="12"/>
      <c r="C1366" s="24"/>
      <c r="D1366" s="12"/>
      <c r="E1366" s="23"/>
      <c r="F1366" s="17"/>
      <c r="G1366" s="17"/>
      <c r="Z1366" s="22"/>
      <c r="AB1366" s="22"/>
    </row>
    <row r="1367" spans="1:28">
      <c r="A1367" s="19"/>
      <c r="B1367" s="12"/>
      <c r="C1367" s="24"/>
      <c r="D1367" s="12"/>
      <c r="E1367" s="23"/>
      <c r="F1367" s="17"/>
      <c r="G1367" s="17"/>
      <c r="Z1367" s="22"/>
      <c r="AB1367" s="22"/>
    </row>
    <row r="1368" spans="1:28">
      <c r="A1368" s="19"/>
      <c r="B1368" s="12"/>
      <c r="C1368" s="24"/>
      <c r="D1368" s="12"/>
      <c r="E1368" s="23"/>
      <c r="F1368" s="17"/>
      <c r="G1368" s="17"/>
      <c r="Z1368" s="22"/>
      <c r="AB1368" s="22"/>
    </row>
    <row r="1369" spans="1:28">
      <c r="A1369" s="19"/>
      <c r="B1369" s="12"/>
      <c r="C1369" s="24"/>
      <c r="D1369" s="12"/>
      <c r="E1369" s="23"/>
      <c r="F1369" s="17"/>
      <c r="G1369" s="17"/>
      <c r="Z1369" s="22"/>
      <c r="AB1369" s="22"/>
    </row>
    <row r="1370" spans="1:28">
      <c r="A1370" s="19"/>
      <c r="B1370" s="12"/>
      <c r="C1370" s="24"/>
      <c r="D1370" s="12"/>
      <c r="E1370" s="23"/>
      <c r="F1370" s="17"/>
      <c r="G1370" s="17"/>
      <c r="Z1370" s="22"/>
      <c r="AB1370" s="22"/>
    </row>
    <row r="1371" spans="1:28">
      <c r="A1371" s="19"/>
      <c r="B1371" s="12"/>
      <c r="C1371" s="24"/>
      <c r="D1371" s="12"/>
      <c r="E1371" s="23"/>
      <c r="F1371" s="17"/>
      <c r="G1371" s="17"/>
      <c r="Z1371" s="22"/>
      <c r="AB1371" s="22"/>
    </row>
    <row r="1372" spans="1:28">
      <c r="A1372" s="19"/>
      <c r="B1372" s="12"/>
      <c r="C1372" s="24"/>
      <c r="D1372" s="12"/>
      <c r="E1372" s="23"/>
      <c r="F1372" s="17"/>
      <c r="G1372" s="17"/>
      <c r="Z1372" s="22"/>
      <c r="AB1372" s="22"/>
    </row>
    <row r="1373" spans="1:28">
      <c r="A1373" s="19"/>
      <c r="B1373" s="12"/>
      <c r="C1373" s="24"/>
      <c r="D1373" s="12"/>
      <c r="E1373" s="23"/>
      <c r="F1373" s="17"/>
      <c r="G1373" s="17"/>
      <c r="Z1373" s="22"/>
      <c r="AB1373" s="22"/>
    </row>
    <row r="1374" spans="1:28">
      <c r="A1374" s="19"/>
      <c r="B1374" s="12"/>
      <c r="C1374" s="24"/>
      <c r="D1374" s="12"/>
      <c r="E1374" s="23"/>
      <c r="F1374" s="17"/>
      <c r="G1374" s="17"/>
      <c r="Z1374" s="22"/>
      <c r="AB1374" s="22"/>
    </row>
    <row r="1375" spans="1:28">
      <c r="A1375" s="19"/>
      <c r="B1375" s="12"/>
      <c r="C1375" s="24"/>
      <c r="D1375" s="12"/>
      <c r="E1375" s="23"/>
      <c r="F1375" s="17"/>
      <c r="G1375" s="17"/>
      <c r="Z1375" s="22"/>
      <c r="AB1375" s="22"/>
    </row>
    <row r="1376" spans="1:28">
      <c r="A1376" s="19"/>
      <c r="B1376" s="12"/>
      <c r="C1376" s="24"/>
      <c r="D1376" s="12"/>
      <c r="E1376" s="23"/>
      <c r="F1376" s="17"/>
      <c r="G1376" s="17"/>
      <c r="Z1376" s="22"/>
      <c r="AB1376" s="22"/>
    </row>
    <row r="1377" spans="1:28">
      <c r="A1377" s="19"/>
      <c r="B1377" s="12"/>
      <c r="C1377" s="24"/>
      <c r="D1377" s="12"/>
      <c r="E1377" s="23"/>
      <c r="F1377" s="17"/>
      <c r="G1377" s="17"/>
      <c r="Z1377" s="22"/>
      <c r="AB1377" s="22"/>
    </row>
    <row r="1378" spans="1:28">
      <c r="A1378" s="19"/>
      <c r="B1378" s="12"/>
      <c r="C1378" s="24"/>
      <c r="D1378" s="12"/>
      <c r="E1378" s="23"/>
      <c r="F1378" s="17"/>
      <c r="G1378" s="17"/>
      <c r="Z1378" s="22"/>
      <c r="AB1378" s="22"/>
    </row>
    <row r="1379" spans="1:28">
      <c r="A1379" s="19"/>
      <c r="B1379" s="12"/>
      <c r="C1379" s="24"/>
      <c r="D1379" s="12"/>
      <c r="E1379" s="23"/>
      <c r="F1379" s="17"/>
      <c r="G1379" s="17"/>
      <c r="Z1379" s="22"/>
      <c r="AB1379" s="22"/>
    </row>
    <row r="1380" spans="1:28">
      <c r="A1380" s="19"/>
      <c r="B1380" s="12"/>
      <c r="C1380" s="24"/>
      <c r="D1380" s="12"/>
      <c r="E1380" s="23"/>
      <c r="F1380" s="17"/>
      <c r="G1380" s="17"/>
      <c r="Z1380" s="22"/>
      <c r="AB1380" s="22"/>
    </row>
    <row r="1381" spans="1:28">
      <c r="A1381" s="19"/>
      <c r="B1381" s="12"/>
      <c r="C1381" s="24"/>
      <c r="D1381" s="12"/>
      <c r="E1381" s="23"/>
      <c r="F1381" s="17"/>
      <c r="G1381" s="17"/>
      <c r="Z1381" s="22"/>
      <c r="AB1381" s="22"/>
    </row>
    <row r="1382" spans="1:28">
      <c r="A1382" s="19"/>
      <c r="B1382" s="12"/>
      <c r="C1382" s="24"/>
      <c r="D1382" s="12"/>
      <c r="E1382" s="23"/>
      <c r="F1382" s="17"/>
      <c r="G1382" s="17"/>
      <c r="Z1382" s="22"/>
      <c r="AB1382" s="22"/>
    </row>
    <row r="1383" spans="1:28">
      <c r="A1383" s="19"/>
      <c r="B1383" s="12"/>
      <c r="C1383" s="24"/>
      <c r="D1383" s="12"/>
      <c r="E1383" s="23"/>
      <c r="F1383" s="17"/>
      <c r="G1383" s="17"/>
      <c r="Z1383" s="22"/>
      <c r="AB1383" s="22"/>
    </row>
    <row r="1384" spans="1:28">
      <c r="A1384" s="19"/>
      <c r="B1384" s="12"/>
      <c r="C1384" s="24"/>
      <c r="D1384" s="12"/>
      <c r="E1384" s="23"/>
      <c r="F1384" s="17"/>
      <c r="G1384" s="17"/>
      <c r="Z1384" s="22"/>
      <c r="AB1384" s="22"/>
    </row>
    <row r="1385" spans="1:28">
      <c r="A1385" s="19"/>
      <c r="B1385" s="12"/>
      <c r="C1385" s="24"/>
      <c r="D1385" s="12"/>
      <c r="E1385" s="23"/>
      <c r="F1385" s="17"/>
      <c r="G1385" s="17"/>
      <c r="Z1385" s="22"/>
      <c r="AB1385" s="22"/>
    </row>
    <row r="1386" spans="1:28">
      <c r="A1386" s="19"/>
      <c r="B1386" s="12"/>
      <c r="C1386" s="24"/>
      <c r="D1386" s="12"/>
      <c r="E1386" s="23"/>
      <c r="F1386" s="17"/>
      <c r="G1386" s="17"/>
      <c r="Z1386" s="22"/>
      <c r="AB1386" s="22"/>
    </row>
    <row r="1387" spans="1:28">
      <c r="A1387" s="19"/>
      <c r="B1387" s="12"/>
      <c r="C1387" s="24"/>
      <c r="D1387" s="12"/>
      <c r="E1387" s="23"/>
      <c r="F1387" s="17"/>
      <c r="G1387" s="17"/>
      <c r="Z1387" s="22"/>
      <c r="AB1387" s="22"/>
    </row>
    <row r="1388" spans="1:28">
      <c r="A1388" s="19"/>
      <c r="B1388" s="12"/>
      <c r="C1388" s="24"/>
      <c r="D1388" s="12"/>
      <c r="E1388" s="23"/>
      <c r="F1388" s="17"/>
      <c r="G1388" s="17"/>
      <c r="Z1388" s="22"/>
      <c r="AB1388" s="22"/>
    </row>
    <row r="1389" spans="1:28">
      <c r="A1389" s="19"/>
      <c r="B1389" s="12"/>
      <c r="C1389" s="24"/>
      <c r="D1389" s="12"/>
      <c r="E1389" s="23"/>
      <c r="F1389" s="17"/>
      <c r="G1389" s="17"/>
      <c r="Z1389" s="22"/>
      <c r="AB1389" s="22"/>
    </row>
    <row r="1390" spans="1:28">
      <c r="A1390" s="19"/>
      <c r="B1390" s="12"/>
      <c r="C1390" s="24"/>
      <c r="D1390" s="12"/>
      <c r="E1390" s="23"/>
      <c r="F1390" s="17"/>
      <c r="G1390" s="17"/>
      <c r="Z1390" s="22"/>
      <c r="AB1390" s="22"/>
    </row>
    <row r="1391" spans="1:28">
      <c r="A1391" s="19"/>
      <c r="B1391" s="12"/>
      <c r="C1391" s="24"/>
      <c r="D1391" s="12"/>
      <c r="E1391" s="23"/>
      <c r="F1391" s="17"/>
      <c r="G1391" s="17"/>
      <c r="Z1391" s="22"/>
      <c r="AB1391" s="22"/>
    </row>
    <row r="1392" spans="1:28">
      <c r="A1392" s="19"/>
      <c r="B1392" s="12"/>
      <c r="C1392" s="24"/>
      <c r="D1392" s="12"/>
      <c r="E1392" s="23"/>
      <c r="F1392" s="17"/>
      <c r="G1392" s="17"/>
      <c r="Z1392" s="22"/>
      <c r="AB1392" s="22"/>
    </row>
    <row r="1393" spans="1:28">
      <c r="A1393" s="19"/>
      <c r="B1393" s="12"/>
      <c r="C1393" s="24"/>
      <c r="D1393" s="12"/>
      <c r="E1393" s="23"/>
      <c r="F1393" s="17"/>
      <c r="G1393" s="17"/>
      <c r="Z1393" s="22"/>
      <c r="AB1393" s="22"/>
    </row>
    <row r="1394" spans="1:28">
      <c r="A1394" s="19"/>
      <c r="B1394" s="12"/>
      <c r="C1394" s="24"/>
      <c r="D1394" s="12"/>
      <c r="E1394" s="23"/>
      <c r="F1394" s="17"/>
      <c r="G1394" s="17"/>
      <c r="Z1394" s="22"/>
      <c r="AB1394" s="22"/>
    </row>
    <row r="1395" spans="1:28">
      <c r="A1395" s="19"/>
      <c r="B1395" s="12"/>
      <c r="C1395" s="24"/>
      <c r="D1395" s="12"/>
      <c r="E1395" s="23"/>
      <c r="F1395" s="17"/>
      <c r="G1395" s="17"/>
      <c r="Z1395" s="22"/>
      <c r="AB1395" s="22"/>
    </row>
    <row r="1396" spans="1:28">
      <c r="A1396" s="19"/>
      <c r="B1396" s="12"/>
      <c r="C1396" s="24"/>
      <c r="D1396" s="12"/>
      <c r="E1396" s="23"/>
      <c r="F1396" s="17"/>
      <c r="G1396" s="17"/>
      <c r="Z1396" s="22"/>
      <c r="AB1396" s="22"/>
    </row>
    <row r="1397" spans="1:28">
      <c r="A1397" s="19"/>
      <c r="B1397" s="12"/>
      <c r="C1397" s="24"/>
      <c r="D1397" s="12"/>
      <c r="E1397" s="23"/>
      <c r="F1397" s="17"/>
      <c r="G1397" s="17"/>
      <c r="Z1397" s="22"/>
      <c r="AB1397" s="22"/>
    </row>
    <row r="1398" spans="1:28">
      <c r="A1398" s="19"/>
      <c r="B1398" s="12"/>
      <c r="C1398" s="24"/>
      <c r="D1398" s="12"/>
      <c r="E1398" s="23"/>
      <c r="F1398" s="17"/>
      <c r="G1398" s="17"/>
      <c r="Z1398" s="22"/>
      <c r="AB1398" s="22"/>
    </row>
    <row r="1399" spans="1:28">
      <c r="A1399" s="19"/>
      <c r="B1399" s="12"/>
      <c r="C1399" s="24"/>
      <c r="D1399" s="12"/>
      <c r="E1399" s="23"/>
      <c r="F1399" s="17"/>
      <c r="G1399" s="17"/>
      <c r="Z1399" s="22"/>
      <c r="AB1399" s="22"/>
    </row>
    <row r="1400" spans="1:28">
      <c r="A1400" s="19"/>
      <c r="B1400" s="12"/>
      <c r="C1400" s="24"/>
      <c r="D1400" s="12"/>
      <c r="E1400" s="23"/>
      <c r="F1400" s="17"/>
      <c r="G1400" s="17"/>
      <c r="Z1400" s="22"/>
      <c r="AB1400" s="22"/>
    </row>
    <row r="1401" spans="1:28">
      <c r="A1401" s="19"/>
      <c r="B1401" s="12"/>
      <c r="C1401" s="24"/>
      <c r="D1401" s="12"/>
      <c r="E1401" s="23"/>
      <c r="F1401" s="17"/>
      <c r="G1401" s="17"/>
      <c r="Z1401" s="22"/>
      <c r="AB1401" s="22"/>
    </row>
    <row r="1402" spans="1:28">
      <c r="A1402" s="19"/>
      <c r="B1402" s="12"/>
      <c r="C1402" s="24"/>
      <c r="D1402" s="12"/>
      <c r="E1402" s="23"/>
      <c r="F1402" s="17"/>
      <c r="G1402" s="17"/>
      <c r="Z1402" s="22"/>
      <c r="AB1402" s="22"/>
    </row>
    <row r="1403" spans="1:28">
      <c r="A1403" s="19"/>
      <c r="B1403" s="12"/>
      <c r="C1403" s="24"/>
      <c r="D1403" s="12"/>
      <c r="E1403" s="23"/>
      <c r="F1403" s="17"/>
      <c r="G1403" s="17"/>
      <c r="Z1403" s="22"/>
      <c r="AB1403" s="22"/>
    </row>
    <row r="1404" spans="1:28">
      <c r="A1404" s="19"/>
      <c r="B1404" s="12"/>
      <c r="C1404" s="24"/>
      <c r="D1404" s="12"/>
      <c r="E1404" s="23"/>
      <c r="F1404" s="17"/>
      <c r="G1404" s="17"/>
      <c r="Z1404" s="22"/>
      <c r="AB1404" s="22"/>
    </row>
    <row r="1405" spans="1:28">
      <c r="A1405" s="19"/>
      <c r="B1405" s="12"/>
      <c r="C1405" s="24"/>
      <c r="D1405" s="12"/>
      <c r="E1405" s="23"/>
      <c r="F1405" s="17"/>
      <c r="G1405" s="17"/>
      <c r="Z1405" s="22"/>
      <c r="AB1405" s="22"/>
    </row>
    <row r="1406" spans="1:28">
      <c r="A1406" s="19"/>
      <c r="B1406" s="12"/>
      <c r="C1406" s="24"/>
      <c r="D1406" s="12"/>
      <c r="E1406" s="23"/>
      <c r="F1406" s="17"/>
      <c r="G1406" s="17"/>
      <c r="Z1406" s="22"/>
      <c r="AB1406" s="22"/>
    </row>
    <row r="1407" spans="1:28">
      <c r="A1407" s="19"/>
      <c r="B1407" s="12"/>
      <c r="C1407" s="24"/>
      <c r="D1407" s="12"/>
      <c r="E1407" s="23"/>
      <c r="F1407" s="17"/>
      <c r="G1407" s="17"/>
      <c r="Z1407" s="22"/>
      <c r="AB1407" s="22"/>
    </row>
    <row r="1408" spans="1:28">
      <c r="A1408" s="19"/>
      <c r="B1408" s="12"/>
      <c r="C1408" s="24"/>
      <c r="D1408" s="12"/>
      <c r="E1408" s="23"/>
      <c r="F1408" s="17"/>
      <c r="G1408" s="17"/>
      <c r="Z1408" s="22"/>
      <c r="AB1408" s="22"/>
    </row>
    <row r="1409" spans="1:28">
      <c r="A1409" s="19"/>
      <c r="B1409" s="12"/>
      <c r="C1409" s="24"/>
      <c r="D1409" s="12"/>
      <c r="E1409" s="23"/>
      <c r="F1409" s="17"/>
      <c r="G1409" s="17"/>
      <c r="Z1409" s="22"/>
      <c r="AB1409" s="22"/>
    </row>
    <row r="1410" spans="1:28">
      <c r="A1410" s="19"/>
      <c r="B1410" s="12"/>
      <c r="C1410" s="24"/>
      <c r="D1410" s="12"/>
      <c r="E1410" s="23"/>
      <c r="F1410" s="17"/>
      <c r="G1410" s="17"/>
      <c r="Z1410" s="22"/>
      <c r="AB1410" s="22"/>
    </row>
    <row r="1411" spans="1:28">
      <c r="A1411" s="19"/>
      <c r="B1411" s="12"/>
      <c r="C1411" s="24"/>
      <c r="D1411" s="12"/>
      <c r="E1411" s="23"/>
      <c r="F1411" s="17"/>
      <c r="G1411" s="17"/>
      <c r="Z1411" s="22"/>
      <c r="AB1411" s="22"/>
    </row>
    <row r="1412" spans="1:28">
      <c r="A1412" s="19"/>
      <c r="B1412" s="12"/>
      <c r="C1412" s="24"/>
      <c r="D1412" s="12"/>
      <c r="E1412" s="23"/>
      <c r="F1412" s="17"/>
      <c r="G1412" s="17"/>
      <c r="Z1412" s="22"/>
      <c r="AB1412" s="22"/>
    </row>
    <row r="1413" spans="1:28">
      <c r="A1413" s="19"/>
      <c r="B1413" s="12"/>
      <c r="C1413" s="24"/>
      <c r="D1413" s="12"/>
      <c r="E1413" s="23"/>
      <c r="F1413" s="17"/>
      <c r="G1413" s="17"/>
      <c r="Z1413" s="22"/>
      <c r="AB1413" s="22"/>
    </row>
    <row r="1414" spans="1:28">
      <c r="A1414" s="19"/>
      <c r="B1414" s="12"/>
      <c r="C1414" s="24"/>
      <c r="D1414" s="12"/>
      <c r="E1414" s="23"/>
      <c r="F1414" s="17"/>
      <c r="G1414" s="17"/>
      <c r="Z1414" s="22"/>
      <c r="AB1414" s="22"/>
    </row>
    <row r="1415" spans="1:28">
      <c r="A1415" s="19"/>
      <c r="B1415" s="12"/>
      <c r="C1415" s="24"/>
      <c r="D1415" s="12"/>
      <c r="E1415" s="23"/>
      <c r="F1415" s="17"/>
      <c r="G1415" s="17"/>
      <c r="Z1415" s="22"/>
      <c r="AB1415" s="22"/>
    </row>
    <row r="1416" spans="1:28">
      <c r="A1416" s="19"/>
      <c r="B1416" s="12"/>
      <c r="C1416" s="24"/>
      <c r="D1416" s="12"/>
      <c r="E1416" s="23"/>
      <c r="F1416" s="17"/>
      <c r="G1416" s="17"/>
      <c r="Z1416" s="22"/>
      <c r="AB1416" s="22"/>
    </row>
    <row r="1417" spans="1:28">
      <c r="A1417" s="19"/>
      <c r="B1417" s="12"/>
      <c r="C1417" s="24"/>
      <c r="D1417" s="12"/>
      <c r="E1417" s="23"/>
      <c r="F1417" s="17"/>
      <c r="G1417" s="17"/>
      <c r="Z1417" s="22"/>
      <c r="AB1417" s="22"/>
    </row>
    <row r="1418" spans="1:28">
      <c r="A1418" s="19"/>
      <c r="B1418" s="12"/>
      <c r="C1418" s="24"/>
      <c r="D1418" s="12"/>
      <c r="E1418" s="23"/>
      <c r="F1418" s="17"/>
      <c r="G1418" s="17"/>
      <c r="Z1418" s="22"/>
      <c r="AB1418" s="22"/>
    </row>
    <row r="1419" spans="1:28">
      <c r="A1419" s="19"/>
      <c r="B1419" s="12"/>
      <c r="C1419" s="24"/>
      <c r="D1419" s="12"/>
      <c r="E1419" s="23"/>
      <c r="F1419" s="17"/>
      <c r="G1419" s="17"/>
      <c r="Z1419" s="22"/>
      <c r="AB1419" s="22"/>
    </row>
    <row r="1420" spans="1:28">
      <c r="A1420" s="19"/>
      <c r="B1420" s="12"/>
      <c r="C1420" s="24"/>
      <c r="D1420" s="12"/>
      <c r="E1420" s="23"/>
      <c r="F1420" s="17"/>
      <c r="G1420" s="17"/>
      <c r="Z1420" s="22"/>
      <c r="AB1420" s="22"/>
    </row>
    <row r="1421" spans="1:28">
      <c r="A1421" s="19"/>
      <c r="B1421" s="12"/>
      <c r="C1421" s="24"/>
      <c r="D1421" s="12"/>
      <c r="E1421" s="23"/>
      <c r="F1421" s="17"/>
      <c r="G1421" s="17"/>
      <c r="Z1421" s="22"/>
      <c r="AB1421" s="22"/>
    </row>
    <row r="1422" spans="1:28">
      <c r="A1422" s="19"/>
      <c r="B1422" s="12"/>
      <c r="C1422" s="24"/>
      <c r="D1422" s="12"/>
      <c r="E1422" s="23"/>
      <c r="F1422" s="17"/>
      <c r="G1422" s="17"/>
      <c r="Z1422" s="22"/>
      <c r="AB1422" s="22"/>
    </row>
    <row r="1423" spans="1:28">
      <c r="A1423" s="19"/>
      <c r="B1423" s="12"/>
      <c r="C1423" s="24"/>
      <c r="D1423" s="12"/>
      <c r="E1423" s="23"/>
      <c r="F1423" s="17"/>
      <c r="G1423" s="17"/>
      <c r="Z1423" s="22"/>
      <c r="AB1423" s="22"/>
    </row>
    <row r="1424" spans="1:28">
      <c r="A1424" s="19"/>
      <c r="B1424" s="12"/>
      <c r="C1424" s="24"/>
      <c r="D1424" s="12"/>
      <c r="E1424" s="23"/>
      <c r="F1424" s="17"/>
      <c r="G1424" s="17"/>
      <c r="Z1424" s="22"/>
      <c r="AB1424" s="22"/>
    </row>
    <row r="1425" spans="1:28">
      <c r="A1425" s="19"/>
      <c r="B1425" s="12"/>
      <c r="C1425" s="24"/>
      <c r="D1425" s="12"/>
      <c r="E1425" s="23"/>
      <c r="F1425" s="17"/>
      <c r="G1425" s="17"/>
      <c r="Z1425" s="22"/>
      <c r="AB1425" s="22"/>
    </row>
    <row r="1426" spans="1:28">
      <c r="A1426" s="19"/>
      <c r="B1426" s="12"/>
      <c r="C1426" s="24"/>
      <c r="D1426" s="12"/>
      <c r="E1426" s="23"/>
      <c r="F1426" s="17"/>
      <c r="G1426" s="17"/>
      <c r="Z1426" s="22"/>
      <c r="AB1426" s="22"/>
    </row>
    <row r="1427" spans="1:28">
      <c r="A1427" s="19"/>
      <c r="B1427" s="12"/>
      <c r="C1427" s="24"/>
      <c r="D1427" s="12"/>
      <c r="E1427" s="23"/>
      <c r="F1427" s="17"/>
      <c r="G1427" s="17"/>
      <c r="Z1427" s="22"/>
      <c r="AB1427" s="22"/>
    </row>
    <row r="1428" spans="1:28">
      <c r="A1428" s="19"/>
      <c r="B1428" s="12"/>
      <c r="C1428" s="24"/>
      <c r="D1428" s="12"/>
      <c r="E1428" s="23"/>
      <c r="F1428" s="17"/>
      <c r="G1428" s="17"/>
      <c r="Z1428" s="22"/>
      <c r="AB1428" s="22"/>
    </row>
    <row r="1429" spans="1:28">
      <c r="A1429" s="19"/>
      <c r="B1429" s="12"/>
      <c r="C1429" s="24"/>
      <c r="D1429" s="12"/>
      <c r="E1429" s="23"/>
      <c r="F1429" s="17"/>
      <c r="G1429" s="17"/>
      <c r="Z1429" s="22"/>
      <c r="AB1429" s="22"/>
    </row>
    <row r="1430" spans="1:28">
      <c r="A1430" s="19"/>
      <c r="B1430" s="12"/>
      <c r="C1430" s="24"/>
      <c r="D1430" s="12"/>
      <c r="E1430" s="23"/>
      <c r="F1430" s="17"/>
      <c r="G1430" s="17"/>
      <c r="Z1430" s="22"/>
      <c r="AB1430" s="22"/>
    </row>
    <row r="1431" spans="1:28">
      <c r="A1431" s="19"/>
      <c r="B1431" s="12"/>
      <c r="C1431" s="24"/>
      <c r="D1431" s="12"/>
      <c r="E1431" s="23"/>
      <c r="F1431" s="17"/>
      <c r="G1431" s="17"/>
      <c r="Z1431" s="22"/>
      <c r="AB1431" s="22"/>
    </row>
    <row r="1432" spans="1:28">
      <c r="A1432" s="19"/>
      <c r="B1432" s="12"/>
      <c r="C1432" s="24"/>
      <c r="D1432" s="12"/>
      <c r="E1432" s="23"/>
      <c r="F1432" s="17"/>
      <c r="G1432" s="17"/>
      <c r="Z1432" s="22"/>
      <c r="AB1432" s="22"/>
    </row>
    <row r="1433" spans="1:28">
      <c r="A1433" s="19"/>
      <c r="B1433" s="12"/>
      <c r="C1433" s="24"/>
      <c r="D1433" s="12"/>
      <c r="E1433" s="23"/>
      <c r="F1433" s="17"/>
      <c r="G1433" s="17"/>
      <c r="Z1433" s="22"/>
      <c r="AB1433" s="22"/>
    </row>
    <row r="1434" spans="1:28">
      <c r="A1434" s="19"/>
      <c r="B1434" s="12"/>
      <c r="C1434" s="24"/>
      <c r="D1434" s="12"/>
      <c r="E1434" s="23"/>
      <c r="F1434" s="17"/>
      <c r="G1434" s="17"/>
      <c r="Z1434" s="22"/>
      <c r="AB1434" s="22"/>
    </row>
    <row r="1435" spans="1:28">
      <c r="A1435" s="19"/>
      <c r="B1435" s="12"/>
      <c r="C1435" s="24"/>
      <c r="D1435" s="12"/>
      <c r="E1435" s="23"/>
      <c r="F1435" s="17"/>
      <c r="G1435" s="17"/>
      <c r="Z1435" s="22"/>
      <c r="AB1435" s="22"/>
    </row>
    <row r="1436" spans="1:28">
      <c r="A1436" s="19"/>
      <c r="B1436" s="12"/>
      <c r="C1436" s="24"/>
      <c r="D1436" s="12"/>
      <c r="E1436" s="23"/>
      <c r="F1436" s="17"/>
      <c r="G1436" s="17"/>
      <c r="Z1436" s="22"/>
      <c r="AB1436" s="22"/>
    </row>
    <row r="1437" spans="1:28">
      <c r="A1437" s="19"/>
      <c r="B1437" s="12"/>
      <c r="C1437" s="24"/>
      <c r="D1437" s="12"/>
      <c r="E1437" s="23"/>
      <c r="F1437" s="17"/>
      <c r="G1437" s="17"/>
      <c r="Z1437" s="22"/>
      <c r="AB1437" s="22"/>
    </row>
    <row r="1438" spans="1:28">
      <c r="A1438" s="19"/>
      <c r="B1438" s="12"/>
      <c r="C1438" s="24"/>
      <c r="D1438" s="12"/>
      <c r="E1438" s="23"/>
      <c r="F1438" s="17"/>
      <c r="G1438" s="17"/>
      <c r="Z1438" s="22"/>
      <c r="AB1438" s="22"/>
    </row>
    <row r="1439" spans="1:28">
      <c r="A1439" s="19"/>
      <c r="B1439" s="12"/>
      <c r="C1439" s="24"/>
      <c r="D1439" s="12"/>
      <c r="E1439" s="23"/>
      <c r="F1439" s="17"/>
      <c r="G1439" s="17"/>
      <c r="Z1439" s="22"/>
      <c r="AB1439" s="22"/>
    </row>
    <row r="1440" spans="1:28">
      <c r="A1440" s="19"/>
      <c r="B1440" s="12"/>
      <c r="C1440" s="24"/>
      <c r="D1440" s="12"/>
      <c r="E1440" s="23"/>
      <c r="F1440" s="17"/>
      <c r="G1440" s="17"/>
      <c r="Z1440" s="22"/>
      <c r="AB1440" s="22"/>
    </row>
    <row r="1441" spans="1:28">
      <c r="A1441" s="19"/>
      <c r="B1441" s="12"/>
      <c r="C1441" s="24"/>
      <c r="D1441" s="12"/>
      <c r="E1441" s="23"/>
      <c r="F1441" s="17"/>
      <c r="G1441" s="17"/>
      <c r="Z1441" s="22"/>
      <c r="AB1441" s="22"/>
    </row>
    <row r="1442" spans="1:28">
      <c r="A1442" s="19"/>
      <c r="B1442" s="12"/>
      <c r="C1442" s="24"/>
      <c r="D1442" s="12"/>
      <c r="E1442" s="23"/>
      <c r="F1442" s="17"/>
      <c r="G1442" s="17"/>
      <c r="Z1442" s="22"/>
      <c r="AB1442" s="22"/>
    </row>
    <row r="1443" spans="1:28">
      <c r="A1443" s="19"/>
      <c r="B1443" s="12"/>
      <c r="C1443" s="24"/>
      <c r="D1443" s="12"/>
      <c r="E1443" s="23"/>
      <c r="F1443" s="17"/>
      <c r="G1443" s="17"/>
      <c r="Z1443" s="22"/>
      <c r="AB1443" s="22"/>
    </row>
    <row r="1444" spans="1:28">
      <c r="A1444" s="19"/>
      <c r="B1444" s="12"/>
      <c r="C1444" s="24"/>
      <c r="D1444" s="12"/>
      <c r="E1444" s="23"/>
      <c r="F1444" s="17"/>
      <c r="G1444" s="17"/>
      <c r="Z1444" s="22"/>
      <c r="AB1444" s="22"/>
    </row>
    <row r="1445" spans="1:28">
      <c r="A1445" s="19"/>
      <c r="B1445" s="12"/>
      <c r="C1445" s="24"/>
      <c r="D1445" s="12"/>
      <c r="E1445" s="23"/>
      <c r="F1445" s="17"/>
      <c r="G1445" s="17"/>
      <c r="Z1445" s="22"/>
      <c r="AB1445" s="22"/>
    </row>
    <row r="1446" spans="1:28">
      <c r="A1446" s="19"/>
      <c r="B1446" s="12"/>
      <c r="C1446" s="24"/>
      <c r="D1446" s="12"/>
      <c r="E1446" s="23"/>
      <c r="F1446" s="17"/>
      <c r="G1446" s="17"/>
      <c r="Z1446" s="22"/>
      <c r="AB1446" s="22"/>
    </row>
    <row r="1447" spans="1:28">
      <c r="A1447" s="19"/>
      <c r="B1447" s="12"/>
      <c r="C1447" s="24"/>
      <c r="D1447" s="12"/>
      <c r="E1447" s="23"/>
      <c r="F1447" s="17"/>
      <c r="G1447" s="17"/>
      <c r="Z1447" s="22"/>
      <c r="AB1447" s="22"/>
    </row>
    <row r="1448" spans="1:28">
      <c r="A1448" s="19"/>
      <c r="B1448" s="12"/>
      <c r="C1448" s="24"/>
      <c r="D1448" s="12"/>
      <c r="E1448" s="23"/>
      <c r="F1448" s="17"/>
      <c r="G1448" s="17"/>
      <c r="Z1448" s="22"/>
      <c r="AB1448" s="22"/>
    </row>
    <row r="1449" spans="1:28">
      <c r="A1449" s="19"/>
      <c r="B1449" s="12"/>
      <c r="C1449" s="24"/>
      <c r="D1449" s="12"/>
      <c r="E1449" s="23"/>
      <c r="F1449" s="17"/>
      <c r="G1449" s="17"/>
      <c r="Z1449" s="22"/>
      <c r="AB1449" s="22"/>
    </row>
    <row r="1450" spans="1:28">
      <c r="A1450" s="19"/>
      <c r="B1450" s="12"/>
      <c r="C1450" s="24"/>
      <c r="D1450" s="12"/>
      <c r="E1450" s="23"/>
      <c r="F1450" s="17"/>
      <c r="G1450" s="17"/>
      <c r="Z1450" s="22"/>
      <c r="AB1450" s="22"/>
    </row>
    <row r="1451" spans="1:28">
      <c r="A1451" s="19"/>
      <c r="B1451" s="12"/>
      <c r="C1451" s="24"/>
      <c r="D1451" s="12"/>
      <c r="E1451" s="23"/>
      <c r="F1451" s="17"/>
      <c r="G1451" s="17"/>
      <c r="Z1451" s="22"/>
      <c r="AB1451" s="22"/>
    </row>
    <row r="1452" spans="1:28">
      <c r="A1452" s="19"/>
      <c r="B1452" s="12"/>
      <c r="C1452" s="24"/>
      <c r="D1452" s="12"/>
      <c r="E1452" s="23"/>
      <c r="F1452" s="17"/>
      <c r="G1452" s="17"/>
      <c r="Z1452" s="22"/>
      <c r="AB1452" s="22"/>
    </row>
    <row r="1453" spans="1:28">
      <c r="A1453" s="19"/>
      <c r="B1453" s="12"/>
      <c r="C1453" s="24"/>
      <c r="D1453" s="12"/>
      <c r="E1453" s="23"/>
      <c r="F1453" s="17"/>
      <c r="G1453" s="17"/>
      <c r="Z1453" s="22"/>
      <c r="AB1453" s="22"/>
    </row>
    <row r="1454" spans="1:28">
      <c r="A1454" s="19"/>
      <c r="B1454" s="12"/>
      <c r="C1454" s="24"/>
      <c r="D1454" s="12"/>
      <c r="E1454" s="23"/>
      <c r="F1454" s="17"/>
      <c r="G1454" s="17"/>
      <c r="Z1454" s="22"/>
      <c r="AB1454" s="22"/>
    </row>
    <row r="1455" spans="1:28">
      <c r="A1455" s="19"/>
      <c r="B1455" s="12"/>
      <c r="C1455" s="24"/>
      <c r="D1455" s="12"/>
      <c r="E1455" s="23"/>
      <c r="F1455" s="17"/>
      <c r="G1455" s="17"/>
      <c r="Z1455" s="22"/>
      <c r="AB1455" s="22"/>
    </row>
    <row r="1456" spans="1:28">
      <c r="A1456" s="19"/>
      <c r="B1456" s="12"/>
      <c r="C1456" s="24"/>
      <c r="D1456" s="12"/>
      <c r="E1456" s="23"/>
      <c r="F1456" s="17"/>
      <c r="G1456" s="17"/>
      <c r="Z1456" s="22"/>
      <c r="AB1456" s="22"/>
    </row>
    <row r="1457" spans="1:28">
      <c r="A1457" s="19"/>
      <c r="B1457" s="12"/>
      <c r="C1457" s="24"/>
      <c r="D1457" s="12"/>
      <c r="E1457" s="23"/>
      <c r="F1457" s="17"/>
      <c r="G1457" s="17"/>
      <c r="Z1457" s="22"/>
      <c r="AB1457" s="22"/>
    </row>
    <row r="1458" spans="1:28">
      <c r="A1458" s="19"/>
      <c r="B1458" s="12"/>
      <c r="C1458" s="24"/>
      <c r="D1458" s="12"/>
      <c r="E1458" s="23"/>
      <c r="F1458" s="17"/>
      <c r="G1458" s="17"/>
      <c r="Z1458" s="22"/>
      <c r="AB1458" s="22"/>
    </row>
    <row r="1459" spans="1:28">
      <c r="A1459" s="19"/>
      <c r="B1459" s="12"/>
      <c r="C1459" s="24"/>
      <c r="D1459" s="12"/>
      <c r="E1459" s="23"/>
      <c r="F1459" s="17"/>
      <c r="G1459" s="17"/>
      <c r="Z1459" s="22"/>
      <c r="AB1459" s="22"/>
    </row>
    <row r="1460" spans="1:28">
      <c r="A1460" s="19"/>
      <c r="B1460" s="12"/>
      <c r="C1460" s="24"/>
      <c r="D1460" s="12"/>
      <c r="E1460" s="23"/>
      <c r="F1460" s="17"/>
      <c r="G1460" s="17"/>
      <c r="Z1460" s="22"/>
      <c r="AB1460" s="22"/>
    </row>
    <row r="1461" spans="1:28">
      <c r="A1461" s="19"/>
      <c r="B1461" s="12"/>
      <c r="C1461" s="24"/>
      <c r="D1461" s="12"/>
      <c r="E1461" s="23"/>
      <c r="F1461" s="17"/>
      <c r="G1461" s="17"/>
      <c r="Z1461" s="22"/>
      <c r="AB1461" s="22"/>
    </row>
    <row r="1462" spans="1:28">
      <c r="A1462" s="19"/>
      <c r="B1462" s="12"/>
      <c r="C1462" s="24"/>
      <c r="D1462" s="12"/>
      <c r="E1462" s="23"/>
      <c r="F1462" s="17"/>
      <c r="G1462" s="17"/>
      <c r="Z1462" s="22"/>
      <c r="AB1462" s="22"/>
    </row>
    <row r="1463" spans="1:28">
      <c r="A1463" s="19"/>
      <c r="B1463" s="12"/>
      <c r="C1463" s="24"/>
      <c r="D1463" s="12"/>
      <c r="E1463" s="23"/>
      <c r="F1463" s="17"/>
      <c r="G1463" s="17"/>
      <c r="Z1463" s="22"/>
      <c r="AB1463" s="22"/>
    </row>
    <row r="1464" spans="1:28">
      <c r="A1464" s="19"/>
      <c r="B1464" s="12"/>
      <c r="C1464" s="24"/>
      <c r="D1464" s="12"/>
      <c r="E1464" s="23"/>
      <c r="F1464" s="17"/>
      <c r="G1464" s="17"/>
      <c r="Z1464" s="22"/>
      <c r="AB1464" s="22"/>
    </row>
    <row r="1465" spans="1:28">
      <c r="A1465" s="19"/>
      <c r="B1465" s="12"/>
      <c r="C1465" s="24"/>
      <c r="D1465" s="12"/>
      <c r="E1465" s="23"/>
      <c r="F1465" s="17"/>
      <c r="G1465" s="17"/>
      <c r="Z1465" s="22"/>
      <c r="AB1465" s="22"/>
    </row>
    <row r="1466" spans="1:28">
      <c r="A1466" s="19"/>
      <c r="B1466" s="12"/>
      <c r="C1466" s="24"/>
      <c r="D1466" s="12"/>
      <c r="E1466" s="23"/>
      <c r="F1466" s="17"/>
      <c r="G1466" s="17"/>
      <c r="Z1466" s="22"/>
      <c r="AB1466" s="22"/>
    </row>
    <row r="1467" spans="1:28">
      <c r="A1467" s="19"/>
      <c r="B1467" s="12"/>
      <c r="C1467" s="24"/>
      <c r="D1467" s="12"/>
      <c r="E1467" s="23"/>
      <c r="F1467" s="17"/>
      <c r="G1467" s="17"/>
      <c r="Z1467" s="22"/>
      <c r="AB1467" s="22"/>
    </row>
    <row r="1468" spans="1:28">
      <c r="A1468" s="19"/>
      <c r="B1468" s="12"/>
      <c r="C1468" s="24"/>
      <c r="D1468" s="12"/>
      <c r="E1468" s="23"/>
      <c r="F1468" s="17"/>
      <c r="G1468" s="17"/>
      <c r="Z1468" s="22"/>
      <c r="AB1468" s="22"/>
    </row>
    <row r="1469" spans="1:28">
      <c r="A1469" s="19"/>
      <c r="B1469" s="12"/>
      <c r="C1469" s="24"/>
      <c r="D1469" s="12"/>
      <c r="E1469" s="23"/>
      <c r="F1469" s="17"/>
      <c r="G1469" s="17"/>
      <c r="Z1469" s="22"/>
      <c r="AB1469" s="22"/>
    </row>
    <row r="1470" spans="1:28">
      <c r="A1470" s="19"/>
      <c r="B1470" s="12"/>
      <c r="C1470" s="24"/>
      <c r="D1470" s="12"/>
      <c r="E1470" s="23"/>
      <c r="F1470" s="17"/>
      <c r="G1470" s="17"/>
      <c r="Z1470" s="22"/>
      <c r="AB1470" s="22"/>
    </row>
    <row r="1471" spans="1:28">
      <c r="A1471" s="19"/>
      <c r="B1471" s="12"/>
      <c r="C1471" s="24"/>
      <c r="D1471" s="12"/>
      <c r="E1471" s="23"/>
      <c r="F1471" s="17"/>
      <c r="G1471" s="17"/>
      <c r="Z1471" s="22"/>
      <c r="AB1471" s="22"/>
    </row>
    <row r="1472" spans="1:28">
      <c r="A1472" s="19"/>
      <c r="B1472" s="26"/>
      <c r="C1472" s="25"/>
      <c r="D1472" s="12"/>
      <c r="E1472" s="23"/>
      <c r="F1472" s="18"/>
      <c r="G1472" s="18"/>
      <c r="Z1472" s="22"/>
      <c r="AB1472" s="22"/>
    </row>
    <row r="1473" spans="1:28">
      <c r="A1473" s="19"/>
      <c r="B1473" s="12"/>
      <c r="C1473" s="24"/>
      <c r="D1473" s="12"/>
      <c r="E1473" s="23"/>
      <c r="F1473" s="17"/>
      <c r="G1473" s="17"/>
      <c r="Z1473" s="22"/>
      <c r="AB1473" s="22"/>
    </row>
    <row r="1474" spans="1:28">
      <c r="A1474" s="19"/>
      <c r="B1474" s="12"/>
      <c r="C1474" s="24"/>
      <c r="D1474" s="12"/>
      <c r="E1474" s="23"/>
      <c r="F1474" s="17"/>
      <c r="G1474" s="17"/>
      <c r="Z1474" s="22"/>
      <c r="AB1474" s="22"/>
    </row>
    <row r="1475" spans="1:28">
      <c r="A1475" s="19"/>
      <c r="B1475" s="12"/>
      <c r="C1475" s="24"/>
      <c r="D1475" s="12"/>
      <c r="E1475" s="23"/>
      <c r="F1475" s="17"/>
      <c r="G1475" s="17"/>
      <c r="Z1475" s="22"/>
      <c r="AB1475" s="22"/>
    </row>
    <row r="1476" spans="1:28">
      <c r="A1476" s="19"/>
      <c r="B1476" s="12"/>
      <c r="C1476" s="24"/>
      <c r="D1476" s="12"/>
      <c r="E1476" s="23"/>
      <c r="F1476" s="17"/>
      <c r="G1476" s="17"/>
      <c r="Z1476" s="22"/>
      <c r="AB1476" s="22"/>
    </row>
    <row r="1477" spans="1:28">
      <c r="A1477" s="19"/>
      <c r="B1477" s="12"/>
      <c r="C1477" s="24"/>
      <c r="D1477" s="12"/>
      <c r="E1477" s="23"/>
      <c r="F1477" s="17"/>
      <c r="G1477" s="17"/>
      <c r="Z1477" s="22"/>
      <c r="AB1477" s="22"/>
    </row>
    <row r="1478" spans="1:28">
      <c r="A1478" s="19"/>
      <c r="B1478" s="12"/>
      <c r="C1478" s="24"/>
      <c r="D1478" s="12"/>
      <c r="E1478" s="23"/>
      <c r="F1478" s="17"/>
      <c r="G1478" s="17"/>
      <c r="Z1478" s="22"/>
      <c r="AB1478" s="22"/>
    </row>
    <row r="1479" spans="1:28">
      <c r="A1479" s="19"/>
      <c r="B1479" s="12"/>
      <c r="C1479" s="24"/>
      <c r="D1479" s="12"/>
      <c r="E1479" s="23"/>
      <c r="F1479" s="17"/>
      <c r="G1479" s="17"/>
      <c r="Z1479" s="22"/>
      <c r="AB1479" s="22"/>
    </row>
    <row r="1480" spans="1:28">
      <c r="A1480" s="19"/>
      <c r="B1480" s="12"/>
      <c r="C1480" s="24"/>
      <c r="D1480" s="12"/>
      <c r="E1480" s="23"/>
      <c r="F1480" s="17"/>
      <c r="G1480" s="17"/>
      <c r="Z1480" s="22"/>
      <c r="AB1480" s="22"/>
    </row>
    <row r="1481" spans="1:28">
      <c r="A1481" s="19"/>
      <c r="B1481" s="12"/>
      <c r="C1481" s="24"/>
      <c r="D1481" s="12"/>
      <c r="E1481" s="23"/>
      <c r="F1481" s="17"/>
      <c r="G1481" s="17"/>
      <c r="Z1481" s="22"/>
      <c r="AB1481" s="22"/>
    </row>
    <row r="1482" spans="1:28">
      <c r="A1482" s="19"/>
      <c r="B1482" s="12"/>
      <c r="C1482" s="24"/>
      <c r="D1482" s="12"/>
      <c r="E1482" s="23"/>
      <c r="F1482" s="17"/>
      <c r="G1482" s="17"/>
      <c r="Z1482" s="22"/>
      <c r="AB1482" s="22"/>
    </row>
    <row r="1483" spans="1:28">
      <c r="A1483" s="19"/>
      <c r="B1483" s="12"/>
      <c r="C1483" s="24"/>
      <c r="D1483" s="12"/>
      <c r="E1483" s="23"/>
      <c r="F1483" s="17"/>
      <c r="G1483" s="17"/>
      <c r="Z1483" s="22"/>
      <c r="AB1483" s="22"/>
    </row>
    <row r="1484" spans="1:28">
      <c r="A1484" s="19"/>
      <c r="B1484" s="12"/>
      <c r="C1484" s="24"/>
      <c r="D1484" s="12"/>
      <c r="E1484" s="23"/>
      <c r="F1484" s="17"/>
      <c r="G1484" s="17"/>
      <c r="Z1484" s="22"/>
      <c r="AB1484" s="22"/>
    </row>
    <row r="1485" spans="1:28">
      <c r="A1485" s="19"/>
      <c r="B1485" s="12"/>
      <c r="C1485" s="24"/>
      <c r="D1485" s="12"/>
      <c r="E1485" s="23"/>
      <c r="F1485" s="17"/>
      <c r="G1485" s="17"/>
      <c r="Z1485" s="22"/>
      <c r="AB1485" s="22"/>
    </row>
    <row r="1486" spans="1:28">
      <c r="A1486" s="19"/>
      <c r="B1486" s="12"/>
      <c r="C1486" s="24"/>
      <c r="D1486" s="12"/>
      <c r="E1486" s="23"/>
      <c r="F1486" s="17"/>
      <c r="G1486" s="17"/>
      <c r="Z1486" s="22"/>
      <c r="AB1486" s="22"/>
    </row>
    <row r="1487" spans="1:28">
      <c r="A1487" s="19"/>
      <c r="B1487" s="12"/>
      <c r="C1487" s="24"/>
      <c r="D1487" s="12"/>
      <c r="E1487" s="23"/>
      <c r="F1487" s="17"/>
      <c r="G1487" s="17"/>
      <c r="Z1487" s="22"/>
      <c r="AB1487" s="22"/>
    </row>
    <row r="1488" spans="1:28">
      <c r="A1488" s="19"/>
      <c r="B1488" s="12"/>
      <c r="C1488" s="24"/>
      <c r="D1488" s="12"/>
      <c r="E1488" s="23"/>
      <c r="F1488" s="17"/>
      <c r="G1488" s="17"/>
      <c r="Z1488" s="22"/>
      <c r="AB1488" s="22"/>
    </row>
    <row r="1489" spans="1:28">
      <c r="A1489" s="19"/>
      <c r="B1489" s="12"/>
      <c r="C1489" s="24"/>
      <c r="D1489" s="12"/>
      <c r="E1489" s="23"/>
      <c r="F1489" s="17"/>
      <c r="G1489" s="17"/>
      <c r="Z1489" s="22"/>
      <c r="AB1489" s="22"/>
    </row>
    <row r="1490" spans="1:28">
      <c r="A1490" s="19"/>
      <c r="B1490" s="12"/>
      <c r="C1490" s="24"/>
      <c r="D1490" s="12"/>
      <c r="E1490" s="23"/>
      <c r="F1490" s="17"/>
      <c r="G1490" s="17"/>
      <c r="Z1490" s="22"/>
      <c r="AB1490" s="22"/>
    </row>
    <row r="1491" spans="1:28">
      <c r="A1491" s="19"/>
      <c r="B1491" s="12"/>
      <c r="C1491" s="24"/>
      <c r="D1491" s="12"/>
      <c r="E1491" s="23"/>
      <c r="F1491" s="17"/>
      <c r="G1491" s="17"/>
      <c r="Z1491" s="22"/>
      <c r="AB1491" s="22"/>
    </row>
    <row r="1492" spans="1:28">
      <c r="A1492" s="19"/>
      <c r="B1492" s="12"/>
      <c r="C1492" s="24"/>
      <c r="D1492" s="12"/>
      <c r="E1492" s="23"/>
      <c r="F1492" s="17"/>
      <c r="G1492" s="17"/>
      <c r="Z1492" s="22"/>
      <c r="AB1492" s="22"/>
    </row>
    <row r="1493" spans="1:28">
      <c r="A1493" s="19"/>
      <c r="B1493" s="12"/>
      <c r="C1493" s="24"/>
      <c r="D1493" s="12"/>
      <c r="E1493" s="23"/>
      <c r="F1493" s="17"/>
      <c r="G1493" s="17"/>
      <c r="Z1493" s="22"/>
      <c r="AB1493" s="22"/>
    </row>
    <row r="1494" spans="1:28">
      <c r="A1494" s="19"/>
      <c r="B1494" s="12"/>
      <c r="C1494" s="24"/>
      <c r="D1494" s="12"/>
      <c r="E1494" s="23"/>
      <c r="F1494" s="17"/>
      <c r="G1494" s="17"/>
      <c r="Z1494" s="22"/>
      <c r="AB1494" s="22"/>
    </row>
    <row r="1495" spans="1:28">
      <c r="A1495" s="19"/>
      <c r="B1495" s="12"/>
      <c r="C1495" s="24"/>
      <c r="D1495" s="12"/>
      <c r="E1495" s="23"/>
      <c r="F1495" s="17"/>
      <c r="G1495" s="17"/>
      <c r="Z1495" s="22"/>
      <c r="AB1495" s="22"/>
    </row>
    <row r="1496" spans="1:28">
      <c r="A1496" s="19"/>
      <c r="B1496" s="12"/>
      <c r="C1496" s="24"/>
      <c r="D1496" s="12"/>
      <c r="E1496" s="23"/>
      <c r="F1496" s="17"/>
      <c r="G1496" s="17"/>
      <c r="Z1496" s="22"/>
      <c r="AB1496" s="22"/>
    </row>
    <row r="1497" spans="1:28">
      <c r="A1497" s="19"/>
      <c r="B1497" s="12"/>
      <c r="C1497" s="24"/>
      <c r="D1497" s="12"/>
      <c r="E1497" s="23"/>
      <c r="F1497" s="17"/>
      <c r="G1497" s="17"/>
      <c r="Z1497" s="22"/>
      <c r="AB1497" s="22"/>
    </row>
    <row r="1498" spans="1:28">
      <c r="A1498" s="19"/>
      <c r="B1498" s="12"/>
      <c r="C1498" s="24"/>
      <c r="D1498" s="12"/>
      <c r="E1498" s="23"/>
      <c r="F1498" s="17"/>
      <c r="G1498" s="17"/>
      <c r="Z1498" s="22"/>
      <c r="AB1498" s="22"/>
    </row>
    <row r="1499" spans="1:28">
      <c r="A1499" s="19"/>
      <c r="B1499" s="12"/>
      <c r="C1499" s="24"/>
      <c r="D1499" s="12"/>
      <c r="E1499" s="23"/>
      <c r="F1499" s="17"/>
      <c r="G1499" s="17"/>
      <c r="Z1499" s="22"/>
      <c r="AB1499" s="22"/>
    </row>
    <row r="1500" spans="1:28">
      <c r="A1500" s="19"/>
      <c r="B1500" s="12"/>
      <c r="C1500" s="24"/>
      <c r="D1500" s="12"/>
      <c r="E1500" s="23"/>
      <c r="F1500" s="17"/>
      <c r="G1500" s="17"/>
      <c r="Z1500" s="22"/>
      <c r="AB1500" s="22"/>
    </row>
    <row r="1501" spans="1:28">
      <c r="A1501" s="19"/>
      <c r="B1501" s="12"/>
      <c r="C1501" s="24"/>
      <c r="D1501" s="12"/>
      <c r="E1501" s="23"/>
      <c r="F1501" s="17"/>
      <c r="G1501" s="17"/>
      <c r="Z1501" s="22"/>
      <c r="AB1501" s="22"/>
    </row>
    <row r="1502" spans="1:28">
      <c r="A1502" s="19"/>
      <c r="B1502" s="12"/>
      <c r="C1502" s="24"/>
      <c r="D1502" s="12"/>
      <c r="E1502" s="23"/>
      <c r="F1502" s="17"/>
      <c r="G1502" s="17"/>
      <c r="Z1502" s="22"/>
      <c r="AB1502" s="22"/>
    </row>
    <row r="1503" spans="1:28">
      <c r="A1503" s="19"/>
      <c r="B1503" s="12"/>
      <c r="C1503" s="24"/>
      <c r="D1503" s="12"/>
      <c r="E1503" s="23"/>
      <c r="F1503" s="17"/>
      <c r="G1503" s="17"/>
      <c r="Z1503" s="22"/>
      <c r="AB1503" s="22"/>
    </row>
    <row r="1504" spans="1:28">
      <c r="A1504" s="19"/>
      <c r="B1504" s="12"/>
      <c r="C1504" s="24"/>
      <c r="D1504" s="12"/>
      <c r="E1504" s="23"/>
      <c r="F1504" s="17"/>
      <c r="G1504" s="17"/>
      <c r="Z1504" s="22"/>
      <c r="AB1504" s="22"/>
    </row>
    <row r="1505" spans="1:28">
      <c r="A1505" s="19"/>
      <c r="B1505" s="12"/>
      <c r="C1505" s="24"/>
      <c r="D1505" s="12"/>
      <c r="E1505" s="23"/>
      <c r="F1505" s="17"/>
      <c r="G1505" s="17"/>
      <c r="Z1505" s="22"/>
      <c r="AB1505" s="22"/>
    </row>
    <row r="1506" spans="1:28">
      <c r="A1506" s="19"/>
      <c r="B1506" s="12"/>
      <c r="C1506" s="24"/>
      <c r="D1506" s="12"/>
      <c r="E1506" s="23"/>
      <c r="F1506" s="17"/>
      <c r="G1506" s="17"/>
      <c r="Z1506" s="22"/>
      <c r="AB1506" s="22"/>
    </row>
    <row r="1507" spans="1:28">
      <c r="A1507" s="19"/>
      <c r="B1507" s="12"/>
      <c r="C1507" s="24"/>
      <c r="D1507" s="12"/>
      <c r="E1507" s="23"/>
      <c r="F1507" s="17"/>
      <c r="G1507" s="17"/>
      <c r="Z1507" s="22"/>
      <c r="AB1507" s="22"/>
    </row>
    <row r="1508" spans="1:28">
      <c r="A1508" s="19"/>
      <c r="B1508" s="12"/>
      <c r="C1508" s="24"/>
      <c r="D1508" s="12"/>
      <c r="E1508" s="23"/>
      <c r="F1508" s="17"/>
      <c r="G1508" s="17"/>
      <c r="Z1508" s="22"/>
      <c r="AB1508" s="22"/>
    </row>
    <row r="1509" spans="1:28">
      <c r="A1509" s="19"/>
      <c r="B1509" s="12"/>
      <c r="C1509" s="24"/>
      <c r="D1509" s="12"/>
      <c r="E1509" s="23"/>
      <c r="F1509" s="17"/>
      <c r="G1509" s="17"/>
      <c r="Z1509" s="22"/>
      <c r="AB1509" s="22"/>
    </row>
    <row r="1510" spans="1:28">
      <c r="A1510" s="19"/>
      <c r="B1510" s="12"/>
      <c r="C1510" s="24"/>
      <c r="D1510" s="12"/>
      <c r="E1510" s="23"/>
      <c r="F1510" s="17"/>
      <c r="G1510" s="17"/>
      <c r="Z1510" s="22"/>
      <c r="AB1510" s="22"/>
    </row>
    <row r="1511" spans="1:28">
      <c r="A1511" s="19"/>
      <c r="B1511" s="12"/>
      <c r="C1511" s="24"/>
      <c r="D1511" s="12"/>
      <c r="E1511" s="23"/>
      <c r="F1511" s="17"/>
      <c r="G1511" s="17"/>
      <c r="Z1511" s="22"/>
      <c r="AB1511" s="22"/>
    </row>
    <row r="1512" spans="1:28">
      <c r="A1512" s="19"/>
      <c r="B1512" s="12"/>
      <c r="C1512" s="24"/>
      <c r="D1512" s="12"/>
      <c r="E1512" s="23"/>
      <c r="F1512" s="17"/>
      <c r="G1512" s="17"/>
      <c r="Z1512" s="22"/>
      <c r="AB1512" s="22"/>
    </row>
    <row r="1513" spans="1:28">
      <c r="A1513" s="19"/>
      <c r="B1513" s="12"/>
      <c r="C1513" s="24"/>
      <c r="D1513" s="12"/>
      <c r="E1513" s="23"/>
      <c r="F1513" s="17"/>
      <c r="G1513" s="17"/>
      <c r="Z1513" s="22"/>
      <c r="AB1513" s="22"/>
    </row>
    <row r="1514" spans="1:28">
      <c r="A1514" s="19"/>
      <c r="B1514" s="12"/>
      <c r="C1514" s="24"/>
      <c r="D1514" s="12"/>
      <c r="E1514" s="23"/>
      <c r="F1514" s="17"/>
      <c r="G1514" s="17"/>
      <c r="Z1514" s="22"/>
      <c r="AB1514" s="22"/>
    </row>
    <row r="1515" spans="1:28">
      <c r="A1515" s="19"/>
      <c r="B1515" s="12"/>
      <c r="C1515" s="24"/>
      <c r="D1515" s="12"/>
      <c r="E1515" s="23"/>
      <c r="F1515" s="17"/>
      <c r="G1515" s="17"/>
      <c r="Z1515" s="22"/>
      <c r="AB1515" s="22"/>
    </row>
    <row r="1516" spans="1:28">
      <c r="A1516" s="19"/>
      <c r="B1516" s="12"/>
      <c r="C1516" s="24"/>
      <c r="D1516" s="12"/>
      <c r="E1516" s="23"/>
      <c r="F1516" s="17"/>
      <c r="G1516" s="17"/>
      <c r="Z1516" s="22"/>
      <c r="AB1516" s="22"/>
    </row>
    <row r="1517" spans="1:28">
      <c r="A1517" s="19"/>
      <c r="B1517" s="12"/>
      <c r="C1517" s="24"/>
      <c r="D1517" s="12"/>
      <c r="E1517" s="23"/>
      <c r="F1517" s="17"/>
      <c r="G1517" s="17"/>
      <c r="Z1517" s="22"/>
      <c r="AB1517" s="22"/>
    </row>
    <row r="1518" spans="1:28">
      <c r="A1518" s="19"/>
      <c r="B1518" s="12"/>
      <c r="C1518" s="24"/>
      <c r="D1518" s="12"/>
      <c r="E1518" s="23"/>
      <c r="F1518" s="17"/>
      <c r="G1518" s="17"/>
      <c r="Z1518" s="22"/>
      <c r="AB1518" s="22"/>
    </row>
    <row r="1519" spans="1:28">
      <c r="A1519" s="19"/>
      <c r="B1519" s="12"/>
      <c r="C1519" s="24"/>
      <c r="D1519" s="12"/>
      <c r="E1519" s="23"/>
      <c r="F1519" s="17"/>
      <c r="G1519" s="17"/>
      <c r="Z1519" s="22"/>
      <c r="AB1519" s="22"/>
    </row>
    <row r="1520" spans="1:28">
      <c r="A1520" s="19"/>
      <c r="B1520" s="12"/>
      <c r="C1520" s="24"/>
      <c r="D1520" s="12"/>
      <c r="E1520" s="23"/>
      <c r="F1520" s="17"/>
      <c r="G1520" s="17"/>
      <c r="Z1520" s="22"/>
      <c r="AB1520" s="22"/>
    </row>
    <row r="1521" spans="1:28">
      <c r="A1521" s="19"/>
      <c r="B1521" s="12"/>
      <c r="C1521" s="24"/>
      <c r="D1521" s="12"/>
      <c r="E1521" s="23"/>
      <c r="F1521" s="17"/>
      <c r="G1521" s="17"/>
      <c r="Z1521" s="22"/>
      <c r="AB1521" s="22"/>
    </row>
    <row r="1522" spans="1:28">
      <c r="A1522" s="19"/>
      <c r="B1522" s="12"/>
      <c r="C1522" s="24"/>
      <c r="D1522" s="12"/>
      <c r="E1522" s="23"/>
      <c r="F1522" s="17"/>
      <c r="G1522" s="17"/>
      <c r="Z1522" s="22"/>
      <c r="AB1522" s="22"/>
    </row>
    <row r="1523" spans="1:28">
      <c r="A1523" s="19"/>
      <c r="B1523" s="12"/>
      <c r="C1523" s="24"/>
      <c r="D1523" s="12"/>
      <c r="E1523" s="23"/>
      <c r="F1523" s="17"/>
      <c r="G1523" s="17"/>
      <c r="Z1523" s="22"/>
      <c r="AB1523" s="22"/>
    </row>
    <row r="1524" spans="1:28">
      <c r="A1524" s="19"/>
      <c r="B1524" s="12"/>
      <c r="C1524" s="24"/>
      <c r="D1524" s="12"/>
      <c r="E1524" s="23"/>
      <c r="F1524" s="17"/>
      <c r="G1524" s="17"/>
      <c r="Z1524" s="22"/>
      <c r="AB1524" s="22"/>
    </row>
    <row r="1525" spans="1:28">
      <c r="A1525" s="19"/>
      <c r="B1525" s="12"/>
      <c r="C1525" s="24"/>
      <c r="D1525" s="12"/>
      <c r="E1525" s="23"/>
      <c r="F1525" s="17"/>
      <c r="G1525" s="17"/>
      <c r="Z1525" s="22"/>
      <c r="AB1525" s="22"/>
    </row>
    <row r="1526" spans="1:28">
      <c r="A1526" s="19"/>
      <c r="B1526" s="12"/>
      <c r="C1526" s="24"/>
      <c r="D1526" s="12"/>
      <c r="E1526" s="23"/>
      <c r="F1526" s="17"/>
      <c r="G1526" s="17"/>
      <c r="Z1526" s="22"/>
      <c r="AB1526" s="22"/>
    </row>
    <row r="1527" spans="1:28">
      <c r="A1527" s="19"/>
      <c r="B1527" s="12"/>
      <c r="C1527" s="24"/>
      <c r="D1527" s="12"/>
      <c r="E1527" s="23"/>
      <c r="F1527" s="17"/>
      <c r="G1527" s="17"/>
      <c r="Z1527" s="22"/>
      <c r="AB1527" s="22"/>
    </row>
    <row r="1528" spans="1:28">
      <c r="A1528" s="19"/>
      <c r="B1528" s="12"/>
      <c r="C1528" s="24"/>
      <c r="D1528" s="12"/>
      <c r="E1528" s="23"/>
      <c r="F1528" s="17"/>
      <c r="G1528" s="17"/>
      <c r="Z1528" s="22"/>
      <c r="AB1528" s="22"/>
    </row>
    <row r="1529" spans="1:28">
      <c r="A1529" s="19"/>
      <c r="B1529" s="12"/>
      <c r="C1529" s="24"/>
      <c r="D1529" s="12"/>
      <c r="E1529" s="23"/>
      <c r="F1529" s="17"/>
      <c r="G1529" s="17"/>
      <c r="Z1529" s="22"/>
      <c r="AB1529" s="22"/>
    </row>
    <row r="1530" spans="1:28">
      <c r="A1530" s="19"/>
      <c r="B1530" s="12"/>
      <c r="C1530" s="24"/>
      <c r="D1530" s="12"/>
      <c r="E1530" s="23"/>
      <c r="F1530" s="17"/>
      <c r="G1530" s="17"/>
      <c r="Z1530" s="22"/>
      <c r="AB1530" s="22"/>
    </row>
    <row r="1531" spans="1:28">
      <c r="A1531" s="19"/>
      <c r="B1531" s="12"/>
      <c r="C1531" s="24"/>
      <c r="D1531" s="12"/>
      <c r="E1531" s="23"/>
      <c r="F1531" s="17"/>
      <c r="G1531" s="17"/>
      <c r="Z1531" s="22"/>
      <c r="AB1531" s="22"/>
    </row>
    <row r="1532" spans="1:28">
      <c r="A1532" s="19"/>
      <c r="B1532" s="12"/>
      <c r="C1532" s="24"/>
      <c r="D1532" s="12"/>
      <c r="E1532" s="23"/>
      <c r="F1532" s="17"/>
      <c r="G1532" s="17"/>
      <c r="Z1532" s="22"/>
      <c r="AB1532" s="22"/>
    </row>
    <row r="1533" spans="1:28">
      <c r="A1533" s="19"/>
      <c r="B1533" s="12"/>
      <c r="C1533" s="24"/>
      <c r="D1533" s="12"/>
      <c r="E1533" s="23"/>
      <c r="F1533" s="17"/>
      <c r="G1533" s="17"/>
      <c r="Z1533" s="22"/>
      <c r="AB1533" s="22"/>
    </row>
    <row r="1534" spans="1:28">
      <c r="A1534" s="19"/>
      <c r="B1534" s="12"/>
      <c r="C1534" s="24"/>
      <c r="D1534" s="12"/>
      <c r="E1534" s="23"/>
      <c r="F1534" s="17"/>
      <c r="G1534" s="17"/>
      <c r="Z1534" s="22"/>
      <c r="AB1534" s="22"/>
    </row>
    <row r="1535" spans="1:28">
      <c r="A1535" s="19"/>
      <c r="B1535" s="12"/>
      <c r="C1535" s="24"/>
      <c r="D1535" s="12"/>
      <c r="E1535" s="23"/>
      <c r="F1535" s="17"/>
      <c r="G1535" s="17"/>
      <c r="Z1535" s="22"/>
      <c r="AB1535" s="22"/>
    </row>
    <row r="1536" spans="1:28">
      <c r="A1536" s="19"/>
      <c r="B1536" s="12"/>
      <c r="C1536" s="24"/>
      <c r="D1536" s="12"/>
      <c r="E1536" s="23"/>
      <c r="F1536" s="17"/>
      <c r="G1536" s="17"/>
      <c r="Z1536" s="22"/>
      <c r="AB1536" s="22"/>
    </row>
    <row r="1537" spans="1:28">
      <c r="A1537" s="19"/>
      <c r="B1537" s="12"/>
      <c r="C1537" s="24"/>
      <c r="D1537" s="12"/>
      <c r="E1537" s="23"/>
      <c r="F1537" s="17"/>
      <c r="G1537" s="17"/>
      <c r="Z1537" s="22"/>
      <c r="AB1537" s="22"/>
    </row>
    <row r="1538" spans="1:28">
      <c r="A1538" s="19"/>
      <c r="B1538" s="12"/>
      <c r="C1538" s="24"/>
      <c r="D1538" s="12"/>
      <c r="E1538" s="23"/>
      <c r="F1538" s="17"/>
      <c r="G1538" s="17"/>
      <c r="Z1538" s="22"/>
      <c r="AB1538" s="22"/>
    </row>
    <row r="1539" spans="1:28">
      <c r="A1539" s="19"/>
      <c r="B1539" s="12"/>
      <c r="C1539" s="24"/>
      <c r="D1539" s="12"/>
      <c r="E1539" s="23"/>
      <c r="F1539" s="17"/>
      <c r="G1539" s="17"/>
      <c r="Z1539" s="22"/>
      <c r="AB1539" s="22"/>
    </row>
    <row r="1540" spans="1:28">
      <c r="A1540" s="19"/>
      <c r="B1540" s="12"/>
      <c r="C1540" s="24"/>
      <c r="D1540" s="12"/>
      <c r="E1540" s="23"/>
      <c r="F1540" s="17"/>
      <c r="G1540" s="17"/>
      <c r="Z1540" s="22"/>
      <c r="AB1540" s="22"/>
    </row>
    <row r="1541" spans="1:28">
      <c r="A1541" s="19"/>
      <c r="B1541" s="12"/>
      <c r="C1541" s="24"/>
      <c r="D1541" s="12"/>
      <c r="E1541" s="23"/>
      <c r="F1541" s="17"/>
      <c r="G1541" s="17"/>
      <c r="Z1541" s="22"/>
      <c r="AB1541" s="22"/>
    </row>
    <row r="1542" spans="1:28">
      <c r="A1542" s="19"/>
      <c r="B1542" s="12"/>
      <c r="C1542" s="24"/>
      <c r="D1542" s="12"/>
      <c r="E1542" s="23"/>
      <c r="F1542" s="17"/>
      <c r="G1542" s="17"/>
      <c r="Z1542" s="22"/>
      <c r="AB1542" s="22"/>
    </row>
    <row r="1543" spans="1:28">
      <c r="A1543" s="19"/>
      <c r="B1543" s="12"/>
      <c r="C1543" s="24"/>
      <c r="D1543" s="12"/>
      <c r="E1543" s="23"/>
      <c r="F1543" s="17"/>
      <c r="G1543" s="17"/>
      <c r="Z1543" s="22"/>
      <c r="AB1543" s="22"/>
    </row>
    <row r="1544" spans="1:28">
      <c r="A1544" s="19"/>
      <c r="B1544" s="12"/>
      <c r="C1544" s="24"/>
      <c r="D1544" s="12"/>
      <c r="E1544" s="23"/>
      <c r="F1544" s="17"/>
      <c r="G1544" s="17"/>
      <c r="Z1544" s="22"/>
      <c r="AB1544" s="22"/>
    </row>
    <row r="1545" spans="1:28">
      <c r="A1545" s="19"/>
      <c r="B1545" s="12"/>
      <c r="C1545" s="24"/>
      <c r="D1545" s="12"/>
      <c r="E1545" s="23"/>
      <c r="F1545" s="17"/>
      <c r="G1545" s="17"/>
      <c r="Z1545" s="22"/>
      <c r="AB1545" s="22"/>
    </row>
    <row r="1546" spans="1:28">
      <c r="A1546" s="19"/>
      <c r="B1546" s="12"/>
      <c r="C1546" s="24"/>
      <c r="D1546" s="12"/>
      <c r="E1546" s="23"/>
      <c r="F1546" s="17"/>
      <c r="G1546" s="17"/>
      <c r="Z1546" s="22"/>
      <c r="AB1546" s="22"/>
    </row>
    <row r="1547" spans="1:28">
      <c r="A1547" s="19"/>
      <c r="B1547" s="12"/>
      <c r="C1547" s="24"/>
      <c r="D1547" s="12"/>
      <c r="E1547" s="23"/>
      <c r="F1547" s="17"/>
      <c r="G1547" s="17"/>
      <c r="Z1547" s="22"/>
      <c r="AB1547" s="22"/>
    </row>
    <row r="1548" spans="1:28">
      <c r="A1548" s="19"/>
      <c r="B1548" s="12"/>
      <c r="C1548" s="24"/>
      <c r="D1548" s="12"/>
      <c r="E1548" s="23"/>
      <c r="F1548" s="17"/>
      <c r="G1548" s="17"/>
      <c r="Z1548" s="22"/>
      <c r="AB1548" s="22"/>
    </row>
    <row r="1549" spans="1:28">
      <c r="A1549" s="19"/>
      <c r="B1549" s="12"/>
      <c r="C1549" s="24"/>
      <c r="D1549" s="12"/>
      <c r="E1549" s="23"/>
      <c r="F1549" s="17"/>
      <c r="G1549" s="17"/>
      <c r="Z1549" s="22"/>
      <c r="AB1549" s="22"/>
    </row>
    <row r="1550" spans="1:28">
      <c r="A1550" s="19"/>
      <c r="B1550" s="12"/>
      <c r="C1550" s="24"/>
      <c r="D1550" s="12"/>
      <c r="E1550" s="23"/>
      <c r="F1550" s="17"/>
      <c r="G1550" s="17"/>
      <c r="Z1550" s="22"/>
      <c r="AB1550" s="22"/>
    </row>
    <row r="1551" spans="1:28">
      <c r="A1551" s="19"/>
      <c r="B1551" s="12"/>
      <c r="C1551" s="24"/>
      <c r="D1551" s="12"/>
      <c r="E1551" s="23"/>
      <c r="F1551" s="17"/>
      <c r="G1551" s="17"/>
      <c r="Z1551" s="22"/>
      <c r="AB1551" s="22"/>
    </row>
    <row r="1552" spans="1:28">
      <c r="A1552" s="19"/>
      <c r="B1552" s="12"/>
      <c r="C1552" s="24"/>
      <c r="D1552" s="12"/>
      <c r="E1552" s="23"/>
      <c r="F1552" s="17"/>
      <c r="G1552" s="17"/>
      <c r="Z1552" s="22"/>
      <c r="AB1552" s="22"/>
    </row>
    <row r="1553" spans="1:28">
      <c r="A1553" s="19"/>
      <c r="B1553" s="12"/>
      <c r="C1553" s="24"/>
      <c r="D1553" s="12"/>
      <c r="E1553" s="23"/>
      <c r="F1553" s="17"/>
      <c r="G1553" s="17"/>
      <c r="Z1553" s="22"/>
      <c r="AB1553" s="22"/>
    </row>
    <row r="1554" spans="1:28">
      <c r="A1554" s="19"/>
      <c r="B1554" s="12"/>
      <c r="C1554" s="24"/>
      <c r="D1554" s="12"/>
      <c r="E1554" s="23"/>
      <c r="F1554" s="17"/>
      <c r="G1554" s="17"/>
      <c r="Z1554" s="22"/>
      <c r="AB1554" s="22"/>
    </row>
    <row r="1555" spans="1:28">
      <c r="A1555" s="19"/>
      <c r="B1555" s="12"/>
      <c r="C1555" s="24"/>
      <c r="D1555" s="12"/>
      <c r="E1555" s="23"/>
      <c r="F1555" s="17"/>
      <c r="G1555" s="17"/>
      <c r="Z1555" s="22"/>
      <c r="AB1555" s="22"/>
    </row>
    <row r="1556" spans="1:28">
      <c r="A1556" s="19"/>
      <c r="B1556" s="12"/>
      <c r="C1556" s="24"/>
      <c r="D1556" s="12"/>
      <c r="E1556" s="23"/>
      <c r="F1556" s="17"/>
      <c r="G1556" s="17"/>
      <c r="Z1556" s="22"/>
      <c r="AB1556" s="22"/>
    </row>
    <row r="1557" spans="1:28">
      <c r="A1557" s="19"/>
      <c r="B1557" s="12"/>
      <c r="C1557" s="24"/>
      <c r="D1557" s="12"/>
      <c r="E1557" s="23"/>
      <c r="F1557" s="17"/>
      <c r="G1557" s="17"/>
      <c r="Z1557" s="22"/>
      <c r="AB1557" s="22"/>
    </row>
    <row r="1558" spans="1:28">
      <c r="A1558" s="19"/>
      <c r="B1558" s="12"/>
      <c r="C1558" s="24"/>
      <c r="D1558" s="12"/>
      <c r="E1558" s="23"/>
      <c r="F1558" s="17"/>
      <c r="G1558" s="17"/>
      <c r="Z1558" s="22"/>
      <c r="AB1558" s="22"/>
    </row>
    <row r="1559" spans="1:28">
      <c r="A1559" s="19"/>
      <c r="B1559" s="12"/>
      <c r="C1559" s="24"/>
      <c r="D1559" s="12"/>
      <c r="E1559" s="23"/>
      <c r="F1559" s="17"/>
      <c r="G1559" s="17"/>
      <c r="Z1559" s="22"/>
      <c r="AB1559" s="22"/>
    </row>
    <row r="1560" spans="1:28">
      <c r="A1560" s="19"/>
      <c r="B1560" s="12"/>
      <c r="C1560" s="24"/>
      <c r="D1560" s="12"/>
      <c r="E1560" s="23"/>
      <c r="F1560" s="17"/>
      <c r="G1560" s="17"/>
      <c r="Z1560" s="22"/>
      <c r="AB1560" s="22"/>
    </row>
    <row r="1561" spans="1:28">
      <c r="A1561" s="19"/>
      <c r="B1561" s="12"/>
      <c r="C1561" s="24"/>
      <c r="D1561" s="12"/>
      <c r="E1561" s="23"/>
      <c r="F1561" s="17"/>
      <c r="G1561" s="17"/>
      <c r="Z1561" s="22"/>
      <c r="AB1561" s="22"/>
    </row>
    <row r="1562" spans="1:28">
      <c r="A1562" s="19"/>
      <c r="B1562" s="12"/>
      <c r="C1562" s="24"/>
      <c r="D1562" s="12"/>
      <c r="E1562" s="23"/>
      <c r="F1562" s="17"/>
      <c r="G1562" s="17"/>
      <c r="Z1562" s="22"/>
      <c r="AB1562" s="22"/>
    </row>
    <row r="1563" spans="1:28">
      <c r="A1563" s="19"/>
      <c r="B1563" s="12"/>
      <c r="C1563" s="24"/>
      <c r="D1563" s="12"/>
      <c r="E1563" s="23"/>
      <c r="F1563" s="17"/>
      <c r="G1563" s="17"/>
      <c r="Z1563" s="22"/>
      <c r="AB1563" s="22"/>
    </row>
    <row r="1564" spans="1:28">
      <c r="A1564" s="19"/>
      <c r="B1564" s="12"/>
      <c r="C1564" s="24"/>
      <c r="D1564" s="12"/>
      <c r="E1564" s="23"/>
      <c r="F1564" s="17"/>
      <c r="G1564" s="17"/>
      <c r="Z1564" s="22"/>
      <c r="AB1564" s="22"/>
    </row>
    <row r="1565" spans="1:28">
      <c r="A1565" s="19"/>
      <c r="B1565" s="12"/>
      <c r="C1565" s="24"/>
      <c r="D1565" s="12"/>
      <c r="E1565" s="23"/>
      <c r="F1565" s="17"/>
      <c r="G1565" s="17"/>
      <c r="Z1565" s="22"/>
      <c r="AB1565" s="22"/>
    </row>
    <row r="1566" spans="1:28">
      <c r="A1566" s="19"/>
      <c r="B1566" s="12"/>
      <c r="C1566" s="24"/>
      <c r="D1566" s="12"/>
      <c r="E1566" s="23"/>
      <c r="F1566" s="17"/>
      <c r="G1566" s="17"/>
      <c r="Z1566" s="22"/>
      <c r="AB1566" s="22"/>
    </row>
    <row r="1567" spans="1:28">
      <c r="A1567" s="19"/>
      <c r="B1567" s="12"/>
      <c r="C1567" s="24"/>
      <c r="D1567" s="12"/>
      <c r="E1567" s="23"/>
      <c r="F1567" s="17"/>
      <c r="G1567" s="17"/>
      <c r="Z1567" s="22"/>
      <c r="AB1567" s="22"/>
    </row>
    <row r="1568" spans="1:28">
      <c r="A1568" s="19"/>
      <c r="B1568" s="12"/>
      <c r="C1568" s="24"/>
      <c r="D1568" s="12"/>
      <c r="E1568" s="23"/>
      <c r="F1568" s="17"/>
      <c r="G1568" s="17"/>
      <c r="Z1568" s="22"/>
      <c r="AB1568" s="22"/>
    </row>
    <row r="1569" spans="1:28">
      <c r="A1569" s="19"/>
      <c r="B1569" s="12"/>
      <c r="C1569" s="24"/>
      <c r="D1569" s="12"/>
      <c r="E1569" s="23"/>
      <c r="F1569" s="17"/>
      <c r="G1569" s="17"/>
      <c r="Z1569" s="22"/>
      <c r="AB1569" s="22"/>
    </row>
    <row r="1570" spans="1:28">
      <c r="A1570" s="19"/>
      <c r="B1570" s="12"/>
      <c r="C1570" s="24"/>
      <c r="D1570" s="12"/>
      <c r="E1570" s="23"/>
      <c r="F1570" s="17"/>
      <c r="G1570" s="17"/>
      <c r="Z1570" s="22"/>
      <c r="AB1570" s="22"/>
    </row>
    <row r="1571" spans="1:28">
      <c r="A1571" s="19"/>
      <c r="B1571" s="12"/>
      <c r="C1571" s="24"/>
      <c r="D1571" s="12"/>
      <c r="E1571" s="23"/>
      <c r="F1571" s="17"/>
      <c r="G1571" s="17"/>
      <c r="Z1571" s="22"/>
      <c r="AB1571" s="22"/>
    </row>
    <row r="1572" spans="1:28">
      <c r="A1572" s="19"/>
      <c r="B1572" s="12"/>
      <c r="C1572" s="24"/>
      <c r="D1572" s="12"/>
      <c r="E1572" s="23"/>
      <c r="F1572" s="17"/>
      <c r="G1572" s="17"/>
      <c r="Z1572" s="22"/>
      <c r="AB1572" s="22"/>
    </row>
    <row r="1573" spans="1:28">
      <c r="A1573" s="19"/>
      <c r="B1573" s="12"/>
      <c r="C1573" s="24"/>
      <c r="D1573" s="12"/>
      <c r="E1573" s="23"/>
      <c r="F1573" s="17"/>
      <c r="G1573" s="17"/>
      <c r="Z1573" s="22"/>
      <c r="AB1573" s="22"/>
    </row>
    <row r="1574" spans="1:28">
      <c r="A1574" s="19"/>
      <c r="B1574" s="12"/>
      <c r="C1574" s="24"/>
      <c r="D1574" s="12"/>
      <c r="E1574" s="23"/>
      <c r="F1574" s="17"/>
      <c r="G1574" s="17"/>
      <c r="Z1574" s="22"/>
      <c r="AB1574" s="22"/>
    </row>
    <row r="1575" spans="1:28">
      <c r="A1575" s="19"/>
      <c r="B1575" s="12"/>
      <c r="C1575" s="24"/>
      <c r="D1575" s="12"/>
      <c r="E1575" s="23"/>
      <c r="F1575" s="17"/>
      <c r="G1575" s="17"/>
      <c r="Z1575" s="22"/>
      <c r="AB1575" s="22"/>
    </row>
    <row r="1576" spans="1:28">
      <c r="A1576" s="19"/>
      <c r="B1576" s="12"/>
      <c r="C1576" s="24"/>
      <c r="D1576" s="12"/>
      <c r="E1576" s="23"/>
      <c r="F1576" s="17"/>
      <c r="G1576" s="17"/>
      <c r="Z1576" s="22"/>
      <c r="AB1576" s="22"/>
    </row>
    <row r="1577" spans="1:28">
      <c r="A1577" s="19"/>
      <c r="B1577" s="12"/>
      <c r="C1577" s="24"/>
      <c r="D1577" s="12"/>
      <c r="E1577" s="23"/>
      <c r="F1577" s="17"/>
      <c r="G1577" s="17"/>
      <c r="Z1577" s="22"/>
      <c r="AB1577" s="22"/>
    </row>
    <row r="1578" spans="1:28">
      <c r="A1578" s="19"/>
      <c r="B1578" s="12"/>
      <c r="C1578" s="24"/>
      <c r="D1578" s="12"/>
      <c r="E1578" s="23"/>
      <c r="F1578" s="17"/>
      <c r="G1578" s="17"/>
      <c r="Z1578" s="22"/>
      <c r="AB1578" s="22"/>
    </row>
    <row r="1579" spans="1:28">
      <c r="A1579" s="19"/>
      <c r="B1579" s="12"/>
      <c r="C1579" s="24"/>
      <c r="D1579" s="12"/>
      <c r="E1579" s="23"/>
      <c r="F1579" s="17"/>
      <c r="G1579" s="17"/>
      <c r="Z1579" s="22"/>
      <c r="AB1579" s="22"/>
    </row>
    <row r="1580" spans="1:28">
      <c r="A1580" s="19"/>
      <c r="B1580" s="12"/>
      <c r="C1580" s="24"/>
      <c r="D1580" s="12"/>
      <c r="E1580" s="23"/>
      <c r="F1580" s="17"/>
      <c r="G1580" s="17"/>
      <c r="Z1580" s="22"/>
      <c r="AB1580" s="22"/>
    </row>
    <row r="1581" spans="1:28">
      <c r="A1581" s="19"/>
      <c r="B1581" s="12"/>
      <c r="C1581" s="24"/>
      <c r="D1581" s="12"/>
      <c r="E1581" s="23"/>
      <c r="F1581" s="17"/>
      <c r="G1581" s="17"/>
      <c r="Z1581" s="22"/>
      <c r="AB1581" s="22"/>
    </row>
    <row r="1582" spans="1:28">
      <c r="A1582" s="19"/>
      <c r="B1582" s="12"/>
      <c r="C1582" s="24"/>
      <c r="D1582" s="12"/>
      <c r="E1582" s="23"/>
      <c r="F1582" s="17"/>
      <c r="G1582" s="17"/>
      <c r="Z1582" s="22"/>
      <c r="AB1582" s="22"/>
    </row>
    <row r="1583" spans="1:28">
      <c r="A1583" s="19"/>
      <c r="B1583" s="12"/>
      <c r="C1583" s="24"/>
      <c r="D1583" s="12"/>
      <c r="E1583" s="23"/>
      <c r="F1583" s="17"/>
      <c r="G1583" s="17"/>
      <c r="Z1583" s="22"/>
      <c r="AB1583" s="22"/>
    </row>
    <row r="1584" spans="1:28">
      <c r="A1584" s="19"/>
      <c r="B1584" s="12"/>
      <c r="C1584" s="24"/>
      <c r="D1584" s="12"/>
      <c r="E1584" s="23"/>
      <c r="F1584" s="17"/>
      <c r="G1584" s="17"/>
      <c r="Z1584" s="22"/>
      <c r="AB1584" s="22"/>
    </row>
    <row r="1585" spans="1:28">
      <c r="A1585" s="19"/>
      <c r="B1585" s="12"/>
      <c r="C1585" s="24"/>
      <c r="D1585" s="12"/>
      <c r="E1585" s="23"/>
      <c r="F1585" s="17"/>
      <c r="G1585" s="17"/>
      <c r="Z1585" s="22"/>
      <c r="AB1585" s="22"/>
    </row>
    <row r="1586" spans="1:28">
      <c r="A1586" s="19"/>
      <c r="B1586" s="12"/>
      <c r="C1586" s="24"/>
      <c r="D1586" s="12"/>
      <c r="E1586" s="23"/>
      <c r="F1586" s="17"/>
      <c r="G1586" s="17"/>
      <c r="Z1586" s="22"/>
      <c r="AB1586" s="22"/>
    </row>
    <row r="1587" spans="1:28">
      <c r="A1587" s="19"/>
      <c r="B1587" s="12"/>
      <c r="C1587" s="24"/>
      <c r="D1587" s="12"/>
      <c r="E1587" s="23"/>
      <c r="F1587" s="17"/>
      <c r="G1587" s="17"/>
      <c r="Z1587" s="22"/>
      <c r="AB1587" s="22"/>
    </row>
    <row r="1588" spans="1:28">
      <c r="A1588" s="19"/>
      <c r="B1588" s="12"/>
      <c r="C1588" s="24"/>
      <c r="D1588" s="12"/>
      <c r="E1588" s="23"/>
      <c r="F1588" s="17"/>
      <c r="G1588" s="17"/>
      <c r="Z1588" s="22"/>
      <c r="AB1588" s="22"/>
    </row>
    <row r="1589" spans="1:28">
      <c r="A1589" s="19"/>
      <c r="B1589" s="12"/>
      <c r="C1589" s="24"/>
      <c r="D1589" s="12"/>
      <c r="E1589" s="23"/>
      <c r="F1589" s="17"/>
      <c r="G1589" s="17"/>
      <c r="Z1589" s="22"/>
      <c r="AB1589" s="22"/>
    </row>
    <row r="1590" spans="1:28">
      <c r="A1590" s="19"/>
      <c r="B1590" s="12"/>
      <c r="C1590" s="24"/>
      <c r="D1590" s="12"/>
      <c r="E1590" s="23"/>
      <c r="F1590" s="17"/>
      <c r="G1590" s="17"/>
      <c r="Z1590" s="22"/>
      <c r="AB1590" s="22"/>
    </row>
    <row r="1591" spans="1:28">
      <c r="A1591" s="19"/>
      <c r="B1591" s="12"/>
      <c r="C1591" s="24"/>
      <c r="D1591" s="12"/>
      <c r="E1591" s="23"/>
      <c r="F1591" s="17"/>
      <c r="G1591" s="17"/>
      <c r="Z1591" s="22"/>
      <c r="AB1591" s="22"/>
    </row>
    <row r="1592" spans="1:28">
      <c r="A1592" s="19"/>
      <c r="B1592" s="12"/>
      <c r="C1592" s="24"/>
      <c r="D1592" s="12"/>
      <c r="E1592" s="23"/>
      <c r="F1592" s="17"/>
      <c r="G1592" s="17"/>
      <c r="Z1592" s="22"/>
      <c r="AB1592" s="22"/>
    </row>
    <row r="1593" spans="1:28">
      <c r="A1593" s="19"/>
      <c r="B1593" s="12"/>
      <c r="C1593" s="24"/>
      <c r="D1593" s="12"/>
      <c r="E1593" s="23"/>
      <c r="F1593" s="17"/>
      <c r="G1593" s="17"/>
      <c r="Z1593" s="22"/>
      <c r="AB1593" s="22"/>
    </row>
    <row r="1594" spans="1:28">
      <c r="A1594" s="19"/>
      <c r="B1594" s="12"/>
      <c r="C1594" s="24"/>
      <c r="D1594" s="12"/>
      <c r="E1594" s="23"/>
      <c r="F1594" s="17"/>
      <c r="G1594" s="17"/>
      <c r="Z1594" s="22"/>
      <c r="AB1594" s="22"/>
    </row>
    <row r="1595" spans="1:28">
      <c r="A1595" s="19"/>
      <c r="B1595" s="12"/>
      <c r="C1595" s="24"/>
      <c r="D1595" s="12"/>
      <c r="E1595" s="23"/>
      <c r="F1595" s="17"/>
      <c r="G1595" s="17"/>
      <c r="Z1595" s="22"/>
      <c r="AB1595" s="22"/>
    </row>
    <row r="1596" spans="1:28">
      <c r="A1596" s="19"/>
      <c r="B1596" s="12"/>
      <c r="C1596" s="24"/>
      <c r="D1596" s="12"/>
      <c r="E1596" s="23"/>
      <c r="F1596" s="17"/>
      <c r="G1596" s="17"/>
      <c r="Z1596" s="22"/>
      <c r="AB1596" s="22"/>
    </row>
    <row r="1597" spans="1:28">
      <c r="A1597" s="19"/>
      <c r="B1597" s="12"/>
      <c r="C1597" s="24"/>
      <c r="D1597" s="12"/>
      <c r="E1597" s="23"/>
      <c r="F1597" s="17"/>
      <c r="G1597" s="17"/>
      <c r="Z1597" s="22"/>
      <c r="AB1597" s="22"/>
    </row>
    <row r="1598" spans="1:28">
      <c r="A1598" s="19"/>
      <c r="B1598" s="12"/>
      <c r="C1598" s="24"/>
      <c r="D1598" s="12"/>
      <c r="E1598" s="23"/>
      <c r="F1598" s="17"/>
      <c r="G1598" s="17"/>
      <c r="Z1598" s="22"/>
      <c r="AB1598" s="22"/>
    </row>
    <row r="1599" spans="1:28">
      <c r="A1599" s="19"/>
      <c r="B1599" s="12"/>
      <c r="C1599" s="24"/>
      <c r="D1599" s="12"/>
      <c r="E1599" s="23"/>
      <c r="F1599" s="17"/>
      <c r="G1599" s="17"/>
      <c r="Z1599" s="22"/>
      <c r="AB1599" s="22"/>
    </row>
    <row r="1600" spans="1:28">
      <c r="A1600" s="19"/>
      <c r="B1600" s="12"/>
      <c r="C1600" s="24"/>
      <c r="D1600" s="12"/>
      <c r="E1600" s="23"/>
      <c r="F1600" s="17"/>
      <c r="G1600" s="17"/>
      <c r="Z1600" s="22"/>
      <c r="AB1600" s="22"/>
    </row>
    <row r="1601" spans="1:28">
      <c r="A1601" s="19"/>
      <c r="B1601" s="12"/>
      <c r="C1601" s="24"/>
      <c r="D1601" s="12"/>
      <c r="E1601" s="23"/>
      <c r="F1601" s="17"/>
      <c r="G1601" s="17"/>
      <c r="Z1601" s="22"/>
      <c r="AB1601" s="22"/>
    </row>
    <row r="1602" spans="1:28">
      <c r="A1602" s="19"/>
      <c r="B1602" s="12"/>
      <c r="C1602" s="24"/>
      <c r="D1602" s="12"/>
      <c r="E1602" s="23"/>
      <c r="F1602" s="17"/>
      <c r="G1602" s="17"/>
      <c r="Z1602" s="22"/>
      <c r="AB1602" s="22"/>
    </row>
    <row r="1603" spans="1:28">
      <c r="A1603" s="19"/>
      <c r="B1603" s="12"/>
      <c r="C1603" s="24"/>
      <c r="D1603" s="12"/>
      <c r="E1603" s="23"/>
      <c r="F1603" s="17"/>
      <c r="G1603" s="17"/>
      <c r="Z1603" s="22"/>
      <c r="AB1603" s="22"/>
    </row>
    <row r="1604" spans="1:28">
      <c r="A1604" s="19"/>
      <c r="B1604" s="12"/>
      <c r="C1604" s="24"/>
      <c r="D1604" s="12"/>
      <c r="E1604" s="23"/>
      <c r="F1604" s="17"/>
      <c r="G1604" s="17"/>
      <c r="Z1604" s="22"/>
      <c r="AB1604" s="22"/>
    </row>
    <row r="1605" spans="1:28">
      <c r="A1605" s="19"/>
      <c r="B1605" s="12"/>
      <c r="C1605" s="24"/>
      <c r="D1605" s="12"/>
      <c r="E1605" s="23"/>
      <c r="F1605" s="17"/>
      <c r="G1605" s="17"/>
      <c r="Z1605" s="22"/>
      <c r="AB1605" s="22"/>
    </row>
    <row r="1606" spans="1:28">
      <c r="A1606" s="19"/>
      <c r="B1606" s="12"/>
      <c r="C1606" s="24"/>
      <c r="D1606" s="12"/>
      <c r="E1606" s="23"/>
      <c r="F1606" s="17"/>
      <c r="G1606" s="17"/>
      <c r="Z1606" s="22"/>
      <c r="AB1606" s="22"/>
    </row>
    <row r="1607" spans="1:28">
      <c r="A1607" s="19"/>
      <c r="B1607" s="12"/>
      <c r="C1607" s="24"/>
      <c r="D1607" s="12"/>
      <c r="E1607" s="23"/>
      <c r="F1607" s="17"/>
      <c r="G1607" s="17"/>
      <c r="Z1607" s="22"/>
      <c r="AB1607" s="22"/>
    </row>
    <row r="1608" spans="1:28">
      <c r="A1608" s="19"/>
      <c r="B1608" s="12"/>
      <c r="C1608" s="24"/>
      <c r="D1608" s="12"/>
      <c r="E1608" s="23"/>
      <c r="F1608" s="17"/>
      <c r="G1608" s="17"/>
      <c r="Z1608" s="22"/>
      <c r="AB1608" s="22"/>
    </row>
    <row r="1609" spans="1:28">
      <c r="A1609" s="19"/>
      <c r="B1609" s="12"/>
      <c r="C1609" s="24"/>
      <c r="D1609" s="12"/>
      <c r="E1609" s="23"/>
      <c r="F1609" s="17"/>
      <c r="G1609" s="17"/>
      <c r="Z1609" s="22"/>
      <c r="AB1609" s="22"/>
    </row>
    <row r="1610" spans="1:28">
      <c r="A1610" s="19"/>
      <c r="B1610" s="12"/>
      <c r="C1610" s="24"/>
      <c r="D1610" s="12"/>
      <c r="E1610" s="23"/>
      <c r="F1610" s="17"/>
      <c r="G1610" s="17"/>
      <c r="Z1610" s="22"/>
      <c r="AB1610" s="22"/>
    </row>
    <row r="1611" spans="1:28">
      <c r="A1611" s="19"/>
      <c r="B1611" s="12"/>
      <c r="C1611" s="24"/>
      <c r="D1611" s="12"/>
      <c r="E1611" s="23"/>
      <c r="F1611" s="17"/>
      <c r="G1611" s="17"/>
      <c r="Z1611" s="22"/>
      <c r="AB1611" s="22"/>
    </row>
    <row r="1612" spans="1:28">
      <c r="A1612" s="19"/>
      <c r="B1612" s="12"/>
      <c r="C1612" s="24"/>
      <c r="D1612" s="12"/>
      <c r="E1612" s="23"/>
      <c r="F1612" s="17"/>
      <c r="G1612" s="17"/>
      <c r="Z1612" s="22"/>
      <c r="AB1612" s="22"/>
    </row>
    <row r="1613" spans="1:28">
      <c r="A1613" s="19"/>
      <c r="B1613" s="12"/>
      <c r="C1613" s="24"/>
      <c r="D1613" s="12"/>
      <c r="E1613" s="23"/>
      <c r="F1613" s="17"/>
      <c r="G1613" s="17"/>
      <c r="Z1613" s="22"/>
      <c r="AB1613" s="22"/>
    </row>
    <row r="1614" spans="1:28">
      <c r="A1614" s="19"/>
      <c r="B1614" s="12"/>
      <c r="C1614" s="24"/>
      <c r="D1614" s="12"/>
      <c r="E1614" s="23"/>
      <c r="F1614" s="17"/>
      <c r="G1614" s="17"/>
      <c r="Z1614" s="22"/>
      <c r="AB1614" s="22"/>
    </row>
    <row r="1615" spans="1:28">
      <c r="A1615" s="19"/>
      <c r="B1615" s="12"/>
      <c r="C1615" s="24"/>
      <c r="D1615" s="12"/>
      <c r="E1615" s="23"/>
      <c r="F1615" s="17"/>
      <c r="G1615" s="17"/>
      <c r="Z1615" s="22"/>
      <c r="AB1615" s="22"/>
    </row>
    <row r="1616" spans="1:28">
      <c r="A1616" s="19"/>
      <c r="B1616" s="12"/>
      <c r="C1616" s="24"/>
      <c r="D1616" s="12"/>
      <c r="E1616" s="23"/>
      <c r="F1616" s="17"/>
      <c r="G1616" s="17"/>
      <c r="Z1616" s="22"/>
      <c r="AB1616" s="22"/>
    </row>
    <row r="1617" spans="1:28">
      <c r="A1617" s="19"/>
      <c r="B1617" s="12"/>
      <c r="C1617" s="24"/>
      <c r="D1617" s="12"/>
      <c r="E1617" s="23"/>
      <c r="F1617" s="17"/>
      <c r="G1617" s="17"/>
      <c r="Z1617" s="22"/>
      <c r="AB1617" s="22"/>
    </row>
    <row r="1618" spans="1:28">
      <c r="A1618" s="19"/>
      <c r="B1618" s="12"/>
      <c r="C1618" s="24"/>
      <c r="D1618" s="12"/>
      <c r="E1618" s="23"/>
      <c r="F1618" s="17"/>
      <c r="G1618" s="17"/>
      <c r="Z1618" s="22"/>
      <c r="AB1618" s="22"/>
    </row>
    <row r="1619" spans="1:28">
      <c r="A1619" s="19"/>
      <c r="B1619" s="12"/>
      <c r="C1619" s="24"/>
      <c r="D1619" s="12"/>
      <c r="E1619" s="23"/>
      <c r="F1619" s="17"/>
      <c r="G1619" s="17"/>
      <c r="Z1619" s="22"/>
      <c r="AB1619" s="22"/>
    </row>
    <row r="1620" spans="1:28">
      <c r="A1620" s="19"/>
      <c r="B1620" s="12"/>
      <c r="C1620" s="24"/>
      <c r="D1620" s="12"/>
      <c r="E1620" s="23"/>
      <c r="F1620" s="17"/>
      <c r="G1620" s="17"/>
      <c r="Z1620" s="22"/>
      <c r="AB1620" s="22"/>
    </row>
    <row r="1621" spans="1:28">
      <c r="A1621" s="19"/>
      <c r="B1621" s="12"/>
      <c r="C1621" s="24"/>
      <c r="D1621" s="12"/>
      <c r="E1621" s="23"/>
      <c r="F1621" s="17"/>
      <c r="G1621" s="17"/>
      <c r="Z1621" s="22"/>
      <c r="AB1621" s="22"/>
    </row>
    <row r="1622" spans="1:28">
      <c r="A1622" s="19"/>
      <c r="B1622" s="12"/>
      <c r="C1622" s="24"/>
      <c r="D1622" s="12"/>
      <c r="E1622" s="23"/>
      <c r="F1622" s="17"/>
      <c r="G1622" s="17"/>
      <c r="Z1622" s="22"/>
      <c r="AB1622" s="22"/>
    </row>
    <row r="1623" spans="1:28">
      <c r="A1623" s="19"/>
      <c r="B1623" s="12"/>
      <c r="C1623" s="24"/>
      <c r="D1623" s="12"/>
      <c r="E1623" s="23"/>
      <c r="F1623" s="17"/>
      <c r="G1623" s="17"/>
      <c r="Z1623" s="22"/>
      <c r="AB1623" s="22"/>
    </row>
    <row r="1624" spans="1:28">
      <c r="A1624" s="19"/>
      <c r="B1624" s="12"/>
      <c r="C1624" s="24"/>
      <c r="D1624" s="12"/>
      <c r="E1624" s="23"/>
      <c r="F1624" s="17"/>
      <c r="G1624" s="17"/>
      <c r="Z1624" s="22"/>
      <c r="AB1624" s="22"/>
    </row>
    <row r="1625" spans="1:28">
      <c r="A1625" s="19"/>
      <c r="B1625" s="12"/>
      <c r="C1625" s="24"/>
      <c r="D1625" s="12"/>
      <c r="E1625" s="23"/>
      <c r="F1625" s="17"/>
      <c r="G1625" s="17"/>
      <c r="Z1625" s="22"/>
      <c r="AB1625" s="22"/>
    </row>
    <row r="1626" spans="1:28">
      <c r="A1626" s="19"/>
      <c r="B1626" s="12"/>
      <c r="C1626" s="24"/>
      <c r="D1626" s="12"/>
      <c r="E1626" s="23"/>
      <c r="F1626" s="17"/>
      <c r="G1626" s="17"/>
      <c r="Z1626" s="22"/>
      <c r="AB1626" s="22"/>
    </row>
    <row r="1627" spans="1:28">
      <c r="A1627" s="19"/>
      <c r="B1627" s="12"/>
      <c r="C1627" s="24"/>
      <c r="D1627" s="12"/>
      <c r="E1627" s="23"/>
      <c r="F1627" s="17"/>
      <c r="G1627" s="17"/>
      <c r="Z1627" s="22"/>
      <c r="AB1627" s="22"/>
    </row>
    <row r="1628" spans="1:28">
      <c r="A1628" s="19"/>
      <c r="B1628" s="12"/>
      <c r="C1628" s="24"/>
      <c r="D1628" s="12"/>
      <c r="E1628" s="23"/>
      <c r="F1628" s="17"/>
      <c r="G1628" s="17"/>
      <c r="Z1628" s="22"/>
      <c r="AB1628" s="22"/>
    </row>
    <row r="1629" spans="1:28">
      <c r="A1629" s="19"/>
      <c r="B1629" s="12"/>
      <c r="C1629" s="24"/>
      <c r="D1629" s="12"/>
      <c r="E1629" s="23"/>
      <c r="F1629" s="17"/>
      <c r="G1629" s="17"/>
      <c r="Z1629" s="22"/>
      <c r="AB1629" s="22"/>
    </row>
    <row r="1630" spans="1:28">
      <c r="A1630" s="19"/>
      <c r="B1630" s="12"/>
      <c r="C1630" s="24"/>
      <c r="D1630" s="12"/>
      <c r="E1630" s="23"/>
      <c r="F1630" s="17"/>
      <c r="G1630" s="17"/>
      <c r="Z1630" s="22"/>
      <c r="AB1630" s="22"/>
    </row>
    <row r="1631" spans="1:28">
      <c r="A1631" s="19"/>
      <c r="B1631" s="12"/>
      <c r="C1631" s="24"/>
      <c r="D1631" s="12"/>
      <c r="E1631" s="23"/>
      <c r="F1631" s="17"/>
      <c r="G1631" s="17"/>
      <c r="Z1631" s="22"/>
      <c r="AB1631" s="22"/>
    </row>
    <row r="1632" spans="1:28">
      <c r="A1632" s="19"/>
      <c r="B1632" s="12"/>
      <c r="C1632" s="24"/>
      <c r="D1632" s="12"/>
      <c r="E1632" s="23"/>
      <c r="F1632" s="17"/>
      <c r="G1632" s="17"/>
      <c r="Z1632" s="22"/>
      <c r="AB1632" s="22"/>
    </row>
    <row r="1633" spans="1:28">
      <c r="A1633" s="19"/>
      <c r="B1633" s="12"/>
      <c r="C1633" s="24"/>
      <c r="D1633" s="12"/>
      <c r="E1633" s="23"/>
      <c r="F1633" s="17"/>
      <c r="G1633" s="17"/>
      <c r="Z1633" s="22"/>
      <c r="AB1633" s="22"/>
    </row>
    <row r="1634" spans="1:28">
      <c r="A1634" s="19"/>
      <c r="B1634" s="12"/>
      <c r="C1634" s="24"/>
      <c r="D1634" s="12"/>
      <c r="E1634" s="23"/>
      <c r="F1634" s="17"/>
      <c r="G1634" s="17"/>
      <c r="Z1634" s="22"/>
      <c r="AB1634" s="22"/>
    </row>
    <row r="1635" spans="1:28">
      <c r="A1635" s="19"/>
      <c r="B1635" s="12"/>
      <c r="C1635" s="24"/>
      <c r="D1635" s="12"/>
      <c r="E1635" s="23"/>
      <c r="F1635" s="17"/>
      <c r="G1635" s="17"/>
      <c r="Z1635" s="22"/>
      <c r="AB1635" s="22"/>
    </row>
    <row r="1636" spans="1:28">
      <c r="A1636" s="19"/>
      <c r="B1636" s="12"/>
      <c r="C1636" s="24"/>
      <c r="D1636" s="12"/>
      <c r="E1636" s="23"/>
      <c r="F1636" s="17"/>
      <c r="G1636" s="17"/>
      <c r="Z1636" s="22"/>
      <c r="AB1636" s="22"/>
    </row>
    <row r="1637" spans="1:28">
      <c r="A1637" s="19"/>
      <c r="B1637" s="12"/>
      <c r="C1637" s="24"/>
      <c r="D1637" s="12"/>
      <c r="E1637" s="23"/>
      <c r="F1637" s="17"/>
      <c r="G1637" s="17"/>
      <c r="Z1637" s="22"/>
      <c r="AB1637" s="22"/>
    </row>
    <row r="1638" spans="1:28">
      <c r="A1638" s="19"/>
      <c r="B1638" s="12"/>
      <c r="C1638" s="24"/>
      <c r="D1638" s="12"/>
      <c r="E1638" s="23"/>
      <c r="F1638" s="17"/>
      <c r="G1638" s="17"/>
      <c r="Z1638" s="22"/>
      <c r="AB1638" s="22"/>
    </row>
    <row r="1639" spans="1:28">
      <c r="A1639" s="19"/>
      <c r="B1639" s="12"/>
      <c r="C1639" s="24"/>
      <c r="D1639" s="12"/>
      <c r="E1639" s="23"/>
      <c r="F1639" s="17"/>
      <c r="G1639" s="17"/>
      <c r="Z1639" s="22"/>
      <c r="AB1639" s="22"/>
    </row>
    <row r="1640" spans="1:28">
      <c r="A1640" s="19"/>
      <c r="B1640" s="12"/>
      <c r="C1640" s="24"/>
      <c r="D1640" s="12"/>
      <c r="E1640" s="23"/>
      <c r="F1640" s="17"/>
      <c r="G1640" s="17"/>
      <c r="Z1640" s="22"/>
      <c r="AB1640" s="22"/>
    </row>
    <row r="1641" spans="1:28">
      <c r="A1641" s="19"/>
      <c r="B1641" s="12"/>
      <c r="C1641" s="24"/>
      <c r="D1641" s="12"/>
      <c r="E1641" s="23"/>
      <c r="F1641" s="17"/>
      <c r="G1641" s="17"/>
      <c r="Z1641" s="22"/>
      <c r="AB1641" s="22"/>
    </row>
    <row r="1642" spans="1:28">
      <c r="A1642" s="19"/>
      <c r="B1642" s="12"/>
      <c r="C1642" s="24"/>
      <c r="D1642" s="12"/>
      <c r="E1642" s="23"/>
      <c r="F1642" s="17"/>
      <c r="G1642" s="17"/>
      <c r="Z1642" s="22"/>
      <c r="AB1642" s="22"/>
    </row>
    <row r="1643" spans="1:28">
      <c r="A1643" s="19"/>
      <c r="B1643" s="12"/>
      <c r="C1643" s="24"/>
      <c r="D1643" s="12"/>
      <c r="E1643" s="23"/>
      <c r="F1643" s="17"/>
      <c r="G1643" s="17"/>
      <c r="Z1643" s="22"/>
      <c r="AB1643" s="22"/>
    </row>
    <row r="1644" spans="1:28">
      <c r="A1644" s="19"/>
      <c r="B1644" s="12"/>
      <c r="C1644" s="24"/>
      <c r="D1644" s="12"/>
      <c r="E1644" s="23"/>
      <c r="F1644" s="17"/>
      <c r="G1644" s="17"/>
      <c r="Z1644" s="22"/>
      <c r="AB1644" s="22"/>
    </row>
    <row r="1645" spans="1:28">
      <c r="A1645" s="19"/>
      <c r="B1645" s="12"/>
      <c r="C1645" s="24"/>
      <c r="D1645" s="12"/>
      <c r="E1645" s="23"/>
      <c r="F1645" s="17"/>
      <c r="G1645" s="17"/>
      <c r="Z1645" s="22"/>
      <c r="AB1645" s="22"/>
    </row>
    <row r="1646" spans="1:28">
      <c r="A1646" s="19"/>
      <c r="B1646" s="12"/>
      <c r="C1646" s="24"/>
      <c r="D1646" s="12"/>
      <c r="E1646" s="23"/>
      <c r="F1646" s="17"/>
      <c r="G1646" s="17"/>
      <c r="Z1646" s="22"/>
      <c r="AB1646" s="22"/>
    </row>
    <row r="1647" spans="1:28">
      <c r="A1647" s="19"/>
      <c r="B1647" s="12"/>
      <c r="C1647" s="24"/>
      <c r="D1647" s="12"/>
      <c r="E1647" s="23"/>
      <c r="F1647" s="17"/>
      <c r="G1647" s="17"/>
      <c r="Z1647" s="22"/>
      <c r="AB1647" s="22"/>
    </row>
    <row r="1648" spans="1:28">
      <c r="A1648" s="19"/>
      <c r="B1648" s="12"/>
      <c r="C1648" s="24"/>
      <c r="D1648" s="12"/>
      <c r="E1648" s="23"/>
      <c r="F1648" s="17"/>
      <c r="G1648" s="17"/>
      <c r="Z1648" s="22"/>
      <c r="AB1648" s="22"/>
    </row>
    <row r="1649" spans="1:28">
      <c r="A1649" s="19"/>
      <c r="B1649" s="12"/>
      <c r="C1649" s="24"/>
      <c r="D1649" s="12"/>
      <c r="E1649" s="23"/>
      <c r="F1649" s="17"/>
      <c r="G1649" s="17"/>
      <c r="Z1649" s="22"/>
      <c r="AB1649" s="22"/>
    </row>
    <row r="1650" spans="1:28">
      <c r="A1650" s="19"/>
      <c r="B1650" s="12"/>
      <c r="C1650" s="24"/>
      <c r="D1650" s="12"/>
      <c r="E1650" s="23"/>
      <c r="F1650" s="17"/>
      <c r="G1650" s="17"/>
      <c r="Z1650" s="22"/>
      <c r="AB1650" s="22"/>
    </row>
    <row r="1651" spans="1:28">
      <c r="A1651" s="19"/>
      <c r="B1651" s="12"/>
      <c r="C1651" s="24"/>
      <c r="D1651" s="12"/>
      <c r="E1651" s="23"/>
      <c r="F1651" s="17"/>
      <c r="G1651" s="17"/>
      <c r="Z1651" s="22"/>
      <c r="AB1651" s="22"/>
    </row>
    <row r="1652" spans="1:28">
      <c r="A1652" s="19"/>
      <c r="B1652" s="12"/>
      <c r="C1652" s="24"/>
      <c r="D1652" s="12"/>
      <c r="E1652" s="23"/>
      <c r="F1652" s="17"/>
      <c r="G1652" s="17"/>
      <c r="Z1652" s="22"/>
      <c r="AB1652" s="22"/>
    </row>
    <row r="1653" spans="1:28">
      <c r="A1653" s="19"/>
      <c r="B1653" s="12"/>
      <c r="C1653" s="24"/>
      <c r="D1653" s="12"/>
      <c r="E1653" s="23"/>
      <c r="F1653" s="17"/>
      <c r="G1653" s="17"/>
      <c r="Z1653" s="22"/>
      <c r="AB1653" s="22"/>
    </row>
    <row r="1654" spans="1:28">
      <c r="A1654" s="19"/>
      <c r="B1654" s="12"/>
      <c r="C1654" s="24"/>
      <c r="D1654" s="12"/>
      <c r="E1654" s="23"/>
      <c r="F1654" s="17"/>
      <c r="G1654" s="17"/>
      <c r="Z1654" s="22"/>
      <c r="AB1654" s="22"/>
    </row>
    <row r="1655" spans="1:28">
      <c r="A1655" s="19"/>
      <c r="B1655" s="12"/>
      <c r="C1655" s="24"/>
      <c r="D1655" s="12"/>
      <c r="E1655" s="23"/>
      <c r="F1655" s="17"/>
      <c r="G1655" s="17"/>
      <c r="Z1655" s="22"/>
      <c r="AB1655" s="22"/>
    </row>
    <row r="1656" spans="1:28">
      <c r="A1656" s="19"/>
      <c r="B1656" s="12"/>
      <c r="C1656" s="24"/>
      <c r="D1656" s="12"/>
      <c r="E1656" s="23"/>
      <c r="F1656" s="17"/>
      <c r="G1656" s="17"/>
      <c r="Z1656" s="22"/>
      <c r="AB1656" s="22"/>
    </row>
    <row r="1657" spans="1:28">
      <c r="A1657" s="19"/>
      <c r="B1657" s="12"/>
      <c r="C1657" s="24"/>
      <c r="D1657" s="12"/>
      <c r="E1657" s="23"/>
      <c r="F1657" s="17"/>
      <c r="G1657" s="17"/>
      <c r="Z1657" s="22"/>
      <c r="AB1657" s="22"/>
    </row>
    <row r="1658" spans="1:28">
      <c r="A1658" s="19"/>
      <c r="B1658" s="12"/>
      <c r="C1658" s="24"/>
      <c r="D1658" s="12"/>
      <c r="E1658" s="23"/>
      <c r="F1658" s="17"/>
      <c r="G1658" s="17"/>
      <c r="Z1658" s="22"/>
      <c r="AB1658" s="22"/>
    </row>
    <row r="1659" spans="1:28">
      <c r="A1659" s="19"/>
      <c r="B1659" s="12"/>
      <c r="C1659" s="24"/>
      <c r="D1659" s="12"/>
      <c r="E1659" s="23"/>
      <c r="F1659" s="17"/>
      <c r="G1659" s="17"/>
      <c r="Z1659" s="22"/>
      <c r="AB1659" s="22"/>
    </row>
    <row r="1660" spans="1:28">
      <c r="A1660" s="19"/>
      <c r="B1660" s="12"/>
      <c r="C1660" s="24"/>
      <c r="D1660" s="12"/>
      <c r="E1660" s="23"/>
      <c r="F1660" s="17"/>
      <c r="G1660" s="17"/>
      <c r="Z1660" s="22"/>
      <c r="AB1660" s="22"/>
    </row>
    <row r="1661" spans="1:28">
      <c r="A1661" s="19"/>
      <c r="B1661" s="12"/>
      <c r="C1661" s="24"/>
      <c r="D1661" s="12"/>
      <c r="E1661" s="23"/>
      <c r="F1661" s="17"/>
      <c r="G1661" s="17"/>
      <c r="Z1661" s="22"/>
      <c r="AB1661" s="22"/>
    </row>
    <row r="1662" spans="1:28">
      <c r="A1662" s="19"/>
      <c r="B1662" s="12"/>
      <c r="C1662" s="24"/>
      <c r="D1662" s="12"/>
      <c r="E1662" s="23"/>
      <c r="F1662" s="17"/>
      <c r="G1662" s="17"/>
      <c r="Z1662" s="22"/>
      <c r="AB1662" s="22"/>
    </row>
    <row r="1663" spans="1:28">
      <c r="A1663" s="19"/>
      <c r="B1663" s="12"/>
      <c r="C1663" s="24"/>
      <c r="D1663" s="12"/>
      <c r="E1663" s="23"/>
      <c r="F1663" s="17"/>
      <c r="G1663" s="17"/>
      <c r="Z1663" s="22"/>
      <c r="AB1663" s="22"/>
    </row>
    <row r="1664" spans="1:28">
      <c r="A1664" s="19"/>
      <c r="B1664" s="12"/>
      <c r="C1664" s="24"/>
      <c r="D1664" s="12"/>
      <c r="E1664" s="23"/>
      <c r="F1664" s="17"/>
      <c r="G1664" s="17"/>
      <c r="Z1664" s="22"/>
      <c r="AB1664" s="22"/>
    </row>
    <row r="1665" spans="1:28">
      <c r="A1665" s="19"/>
      <c r="B1665" s="12"/>
      <c r="C1665" s="24"/>
      <c r="D1665" s="12"/>
      <c r="E1665" s="23"/>
      <c r="F1665" s="17"/>
      <c r="G1665" s="17"/>
      <c r="Z1665" s="22"/>
      <c r="AB1665" s="22"/>
    </row>
    <row r="1666" spans="1:28">
      <c r="A1666" s="19"/>
      <c r="B1666" s="12"/>
      <c r="C1666" s="24"/>
      <c r="D1666" s="12"/>
      <c r="E1666" s="23"/>
      <c r="F1666" s="17"/>
      <c r="G1666" s="17"/>
      <c r="Z1666" s="22"/>
      <c r="AB1666" s="22"/>
    </row>
    <row r="1667" spans="1:28">
      <c r="A1667" s="19"/>
      <c r="B1667" s="12"/>
      <c r="C1667" s="24"/>
      <c r="D1667" s="12"/>
      <c r="E1667" s="23"/>
      <c r="F1667" s="17"/>
      <c r="G1667" s="17"/>
      <c r="Z1667" s="22"/>
      <c r="AB1667" s="22"/>
    </row>
    <row r="1668" spans="1:28">
      <c r="A1668" s="19"/>
      <c r="B1668" s="12"/>
      <c r="C1668" s="24"/>
      <c r="D1668" s="12"/>
      <c r="E1668" s="23"/>
      <c r="F1668" s="17"/>
      <c r="G1668" s="17"/>
      <c r="Z1668" s="22"/>
      <c r="AB1668" s="22"/>
    </row>
    <row r="1669" spans="1:28">
      <c r="A1669" s="19"/>
      <c r="B1669" s="12"/>
      <c r="C1669" s="24"/>
      <c r="D1669" s="12"/>
      <c r="E1669" s="23"/>
      <c r="F1669" s="17"/>
      <c r="G1669" s="17"/>
      <c r="Z1669" s="22"/>
      <c r="AB1669" s="22"/>
    </row>
    <row r="1670" spans="1:28">
      <c r="A1670" s="19"/>
      <c r="B1670" s="12"/>
      <c r="C1670" s="24"/>
      <c r="D1670" s="12"/>
      <c r="E1670" s="23"/>
      <c r="F1670" s="17"/>
      <c r="G1670" s="17"/>
      <c r="Z1670" s="22"/>
      <c r="AB1670" s="22"/>
    </row>
    <row r="1671" spans="1:28">
      <c r="A1671" s="19"/>
      <c r="B1671" s="12"/>
      <c r="C1671" s="24"/>
      <c r="D1671" s="12"/>
      <c r="E1671" s="23"/>
      <c r="F1671" s="17"/>
      <c r="G1671" s="17"/>
      <c r="Z1671" s="22"/>
      <c r="AB1671" s="22"/>
    </row>
    <row r="1672" spans="1:28">
      <c r="A1672" s="19"/>
      <c r="B1672" s="12"/>
      <c r="C1672" s="24"/>
      <c r="D1672" s="12"/>
      <c r="E1672" s="23"/>
      <c r="F1672" s="17"/>
      <c r="G1672" s="17"/>
      <c r="Z1672" s="22"/>
      <c r="AB1672" s="22"/>
    </row>
    <row r="1673" spans="1:28">
      <c r="A1673" s="19"/>
      <c r="B1673" s="12"/>
      <c r="C1673" s="24"/>
      <c r="D1673" s="12"/>
      <c r="E1673" s="23"/>
      <c r="F1673" s="17"/>
      <c r="G1673" s="17"/>
      <c r="Z1673" s="22"/>
      <c r="AB1673" s="22"/>
    </row>
    <row r="1674" spans="1:28">
      <c r="A1674" s="19"/>
      <c r="B1674" s="12"/>
      <c r="C1674" s="24"/>
      <c r="D1674" s="12"/>
      <c r="E1674" s="23"/>
      <c r="F1674" s="17"/>
      <c r="G1674" s="17"/>
      <c r="Z1674" s="22"/>
      <c r="AB1674" s="22"/>
    </row>
    <row r="1675" spans="1:28">
      <c r="A1675" s="19"/>
      <c r="B1675" s="12"/>
      <c r="C1675" s="24"/>
      <c r="D1675" s="12"/>
      <c r="E1675" s="23"/>
      <c r="F1675" s="17"/>
      <c r="G1675" s="17"/>
      <c r="Z1675" s="22"/>
      <c r="AB1675" s="22"/>
    </row>
    <row r="1676" spans="1:28">
      <c r="A1676" s="19"/>
      <c r="B1676" s="12"/>
      <c r="C1676" s="24"/>
      <c r="D1676" s="12"/>
      <c r="E1676" s="23"/>
      <c r="F1676" s="17"/>
      <c r="G1676" s="17"/>
      <c r="Z1676" s="22"/>
      <c r="AB1676" s="22"/>
    </row>
    <row r="1677" spans="1:28">
      <c r="A1677" s="19"/>
      <c r="B1677" s="12"/>
      <c r="C1677" s="24"/>
      <c r="D1677" s="12"/>
      <c r="E1677" s="23"/>
      <c r="F1677" s="17"/>
      <c r="G1677" s="17"/>
      <c r="Z1677" s="22"/>
      <c r="AB1677" s="22"/>
    </row>
    <row r="1678" spans="1:28">
      <c r="A1678" s="19"/>
      <c r="B1678" s="12"/>
      <c r="C1678" s="24"/>
      <c r="D1678" s="12"/>
      <c r="E1678" s="23"/>
      <c r="F1678" s="17"/>
      <c r="G1678" s="17"/>
      <c r="Z1678" s="22"/>
      <c r="AB1678" s="22"/>
    </row>
    <row r="1679" spans="1:28">
      <c r="A1679" s="19"/>
      <c r="B1679" s="12"/>
      <c r="C1679" s="24"/>
      <c r="D1679" s="12"/>
      <c r="E1679" s="23"/>
      <c r="F1679" s="17"/>
      <c r="G1679" s="17"/>
      <c r="Z1679" s="22"/>
      <c r="AB1679" s="22"/>
    </row>
    <row r="1680" spans="1:28">
      <c r="A1680" s="19"/>
      <c r="B1680" s="12"/>
      <c r="C1680" s="24"/>
      <c r="D1680" s="12"/>
      <c r="E1680" s="23"/>
      <c r="F1680" s="17"/>
      <c r="G1680" s="17"/>
      <c r="Z1680" s="22"/>
      <c r="AB1680" s="22"/>
    </row>
    <row r="1681" spans="1:28">
      <c r="A1681" s="19"/>
      <c r="B1681" s="12"/>
      <c r="C1681" s="24"/>
      <c r="D1681" s="12"/>
      <c r="E1681" s="23"/>
      <c r="F1681" s="17"/>
      <c r="G1681" s="17"/>
      <c r="Z1681" s="22"/>
      <c r="AB1681" s="22"/>
    </row>
    <row r="1682" spans="1:28">
      <c r="A1682" s="19"/>
      <c r="B1682" s="12"/>
      <c r="C1682" s="24"/>
      <c r="D1682" s="12"/>
      <c r="E1682" s="23"/>
      <c r="F1682" s="17"/>
      <c r="G1682" s="17"/>
      <c r="Z1682" s="22"/>
      <c r="AB1682" s="22"/>
    </row>
    <row r="1683" spans="1:28">
      <c r="A1683" s="19"/>
      <c r="B1683" s="12"/>
      <c r="C1683" s="24"/>
      <c r="D1683" s="12"/>
      <c r="E1683" s="23"/>
      <c r="F1683" s="17"/>
      <c r="G1683" s="17"/>
      <c r="Z1683" s="22"/>
      <c r="AB1683" s="22"/>
    </row>
    <row r="1684" spans="1:28">
      <c r="A1684" s="19"/>
      <c r="B1684" s="12"/>
      <c r="C1684" s="24"/>
      <c r="D1684" s="12"/>
      <c r="E1684" s="23"/>
      <c r="F1684" s="17"/>
      <c r="G1684" s="17"/>
      <c r="Z1684" s="22"/>
      <c r="AB1684" s="22"/>
    </row>
    <row r="1685" spans="1:28">
      <c r="A1685" s="19"/>
      <c r="B1685" s="12"/>
      <c r="C1685" s="24"/>
      <c r="D1685" s="12"/>
      <c r="E1685" s="23"/>
      <c r="F1685" s="17"/>
      <c r="G1685" s="17"/>
      <c r="Z1685" s="22"/>
      <c r="AB1685" s="22"/>
    </row>
    <row r="1686" spans="1:28">
      <c r="A1686" s="19"/>
      <c r="B1686" s="12"/>
      <c r="C1686" s="24"/>
      <c r="D1686" s="12"/>
      <c r="E1686" s="23"/>
      <c r="F1686" s="17"/>
      <c r="G1686" s="17"/>
      <c r="Z1686" s="22"/>
      <c r="AB1686" s="22"/>
    </row>
    <row r="1687" spans="1:28">
      <c r="A1687" s="19"/>
      <c r="B1687" s="12"/>
      <c r="C1687" s="24"/>
      <c r="D1687" s="12"/>
      <c r="E1687" s="23"/>
      <c r="F1687" s="17"/>
      <c r="G1687" s="17"/>
      <c r="Z1687" s="22"/>
      <c r="AB1687" s="22"/>
    </row>
    <row r="1688" spans="1:28">
      <c r="A1688" s="19"/>
      <c r="B1688" s="12"/>
      <c r="C1688" s="24"/>
      <c r="D1688" s="12"/>
      <c r="E1688" s="23"/>
      <c r="F1688" s="17"/>
      <c r="G1688" s="17"/>
      <c r="Z1688" s="22"/>
      <c r="AB1688" s="22"/>
    </row>
    <row r="1689" spans="1:28">
      <c r="A1689" s="19"/>
      <c r="B1689" s="12"/>
      <c r="C1689" s="24"/>
      <c r="D1689" s="12"/>
      <c r="E1689" s="23"/>
      <c r="F1689" s="17"/>
      <c r="G1689" s="17"/>
      <c r="Z1689" s="22"/>
      <c r="AB1689" s="22"/>
    </row>
    <row r="1690" spans="1:28">
      <c r="A1690" s="19"/>
      <c r="B1690" s="12"/>
      <c r="C1690" s="24"/>
      <c r="D1690" s="12"/>
      <c r="E1690" s="23"/>
      <c r="F1690" s="17"/>
      <c r="G1690" s="17"/>
      <c r="Z1690" s="22"/>
      <c r="AB1690" s="22"/>
    </row>
    <row r="1691" spans="1:28">
      <c r="A1691" s="19"/>
      <c r="B1691" s="12"/>
      <c r="C1691" s="24"/>
      <c r="D1691" s="12"/>
      <c r="E1691" s="23"/>
      <c r="F1691" s="17"/>
      <c r="G1691" s="17"/>
      <c r="Z1691" s="22"/>
      <c r="AB1691" s="22"/>
    </row>
    <row r="1692" spans="1:28">
      <c r="A1692" s="19"/>
      <c r="B1692" s="12"/>
      <c r="C1692" s="24"/>
      <c r="D1692" s="12"/>
      <c r="E1692" s="23"/>
      <c r="F1692" s="17"/>
      <c r="G1692" s="17"/>
      <c r="Z1692" s="22"/>
      <c r="AB1692" s="22"/>
    </row>
    <row r="1693" spans="1:28">
      <c r="A1693" s="19"/>
      <c r="B1693" s="12"/>
      <c r="C1693" s="24"/>
      <c r="D1693" s="12"/>
      <c r="E1693" s="23"/>
      <c r="F1693" s="17"/>
      <c r="G1693" s="17"/>
      <c r="Z1693" s="22"/>
      <c r="AB1693" s="22"/>
    </row>
    <row r="1694" spans="1:28">
      <c r="A1694" s="19"/>
      <c r="B1694" s="12"/>
      <c r="C1694" s="24"/>
      <c r="D1694" s="12"/>
      <c r="E1694" s="23"/>
      <c r="F1694" s="17"/>
      <c r="G1694" s="17"/>
      <c r="Z1694" s="22"/>
      <c r="AB1694" s="22"/>
    </row>
    <row r="1695" spans="1:28">
      <c r="A1695" s="19"/>
      <c r="B1695" s="12"/>
      <c r="C1695" s="24"/>
      <c r="D1695" s="12"/>
      <c r="E1695" s="23"/>
      <c r="F1695" s="17"/>
      <c r="G1695" s="17"/>
      <c r="Z1695" s="22"/>
      <c r="AB1695" s="22"/>
    </row>
    <row r="1696" spans="1:28">
      <c r="A1696" s="19"/>
      <c r="B1696" s="12"/>
      <c r="C1696" s="24"/>
      <c r="D1696" s="12"/>
      <c r="E1696" s="23"/>
      <c r="F1696" s="17"/>
      <c r="G1696" s="17"/>
      <c r="Z1696" s="22"/>
      <c r="AB1696" s="22"/>
    </row>
    <row r="1697" spans="1:28">
      <c r="A1697" s="19"/>
      <c r="B1697" s="12"/>
      <c r="C1697" s="24"/>
      <c r="D1697" s="12"/>
      <c r="E1697" s="23"/>
      <c r="F1697" s="17"/>
      <c r="G1697" s="17"/>
      <c r="Z1697" s="22"/>
      <c r="AB1697" s="22"/>
    </row>
    <row r="1698" spans="1:28">
      <c r="A1698" s="19"/>
      <c r="B1698" s="12"/>
      <c r="C1698" s="24"/>
      <c r="D1698" s="12"/>
      <c r="E1698" s="23"/>
      <c r="F1698" s="17"/>
      <c r="G1698" s="17"/>
      <c r="Z1698" s="22"/>
      <c r="AB1698" s="22"/>
    </row>
    <row r="1699" spans="1:28">
      <c r="A1699" s="19"/>
      <c r="B1699" s="12"/>
      <c r="C1699" s="24"/>
      <c r="D1699" s="12"/>
      <c r="E1699" s="23"/>
      <c r="F1699" s="17"/>
      <c r="G1699" s="17"/>
      <c r="Z1699" s="22"/>
      <c r="AB1699" s="22"/>
    </row>
    <row r="1700" spans="1:28">
      <c r="A1700" s="19"/>
      <c r="B1700" s="12"/>
      <c r="C1700" s="24"/>
      <c r="D1700" s="12"/>
      <c r="E1700" s="23"/>
      <c r="F1700" s="17"/>
      <c r="G1700" s="17"/>
      <c r="Z1700" s="22"/>
      <c r="AB1700" s="22"/>
    </row>
    <row r="1701" spans="1:28">
      <c r="A1701" s="19"/>
      <c r="B1701" s="12"/>
      <c r="C1701" s="24"/>
      <c r="D1701" s="12"/>
      <c r="E1701" s="23"/>
      <c r="F1701" s="17"/>
      <c r="G1701" s="17"/>
      <c r="Z1701" s="22"/>
      <c r="AB1701" s="22"/>
    </row>
    <row r="1702" spans="1:28">
      <c r="A1702" s="19"/>
      <c r="B1702" s="12"/>
      <c r="C1702" s="24"/>
      <c r="D1702" s="12"/>
      <c r="E1702" s="23"/>
      <c r="F1702" s="17"/>
      <c r="G1702" s="17"/>
      <c r="Z1702" s="22"/>
      <c r="AB1702" s="22"/>
    </row>
    <row r="1703" spans="1:28">
      <c r="A1703" s="19"/>
      <c r="B1703" s="12"/>
      <c r="C1703" s="24"/>
      <c r="D1703" s="12"/>
      <c r="E1703" s="23"/>
      <c r="F1703" s="17"/>
      <c r="G1703" s="17"/>
      <c r="Z1703" s="22"/>
      <c r="AB1703" s="22"/>
    </row>
    <row r="1704" spans="1:28">
      <c r="A1704" s="19"/>
      <c r="B1704" s="12"/>
      <c r="C1704" s="24"/>
      <c r="D1704" s="12"/>
      <c r="E1704" s="23"/>
      <c r="F1704" s="17"/>
      <c r="G1704" s="17"/>
      <c r="Z1704" s="22"/>
      <c r="AB1704" s="22"/>
    </row>
    <row r="1705" spans="1:28">
      <c r="A1705" s="19"/>
      <c r="B1705" s="12"/>
      <c r="C1705" s="24"/>
      <c r="D1705" s="12"/>
      <c r="E1705" s="23"/>
      <c r="F1705" s="17"/>
      <c r="G1705" s="17"/>
      <c r="Z1705" s="22"/>
      <c r="AB1705" s="22"/>
    </row>
    <row r="1706" spans="1:28">
      <c r="A1706" s="19"/>
      <c r="B1706" s="12"/>
      <c r="C1706" s="24"/>
      <c r="D1706" s="12"/>
      <c r="E1706" s="23"/>
      <c r="F1706" s="17"/>
      <c r="G1706" s="17"/>
      <c r="Z1706" s="22"/>
      <c r="AB1706" s="22"/>
    </row>
    <row r="1707" spans="1:28">
      <c r="A1707" s="19"/>
      <c r="B1707" s="12"/>
      <c r="C1707" s="24"/>
      <c r="D1707" s="12"/>
      <c r="E1707" s="23"/>
      <c r="F1707" s="17"/>
      <c r="G1707" s="17"/>
      <c r="Z1707" s="22"/>
      <c r="AB1707" s="22"/>
    </row>
    <row r="1708" spans="1:28">
      <c r="A1708" s="19"/>
      <c r="B1708" s="12"/>
      <c r="C1708" s="24"/>
      <c r="D1708" s="12"/>
      <c r="E1708" s="23"/>
      <c r="F1708" s="17"/>
      <c r="G1708" s="17"/>
      <c r="Z1708" s="22"/>
      <c r="AB1708" s="22"/>
    </row>
    <row r="1709" spans="1:28">
      <c r="A1709" s="19"/>
      <c r="B1709" s="12"/>
      <c r="C1709" s="24"/>
      <c r="D1709" s="12"/>
      <c r="E1709" s="23"/>
      <c r="F1709" s="17"/>
      <c r="G1709" s="17"/>
      <c r="Z1709" s="22"/>
      <c r="AB1709" s="22"/>
    </row>
    <row r="1710" spans="1:28">
      <c r="A1710" s="19"/>
      <c r="B1710" s="12"/>
      <c r="C1710" s="24"/>
      <c r="D1710" s="12"/>
      <c r="E1710" s="23"/>
      <c r="F1710" s="17"/>
      <c r="G1710" s="17"/>
      <c r="Z1710" s="22"/>
      <c r="AB1710" s="22"/>
    </row>
    <row r="1711" spans="1:28">
      <c r="A1711" s="19"/>
      <c r="B1711" s="12"/>
      <c r="C1711" s="24"/>
      <c r="D1711" s="12"/>
      <c r="E1711" s="23"/>
      <c r="F1711" s="17"/>
      <c r="G1711" s="17"/>
      <c r="Z1711" s="22"/>
      <c r="AB1711" s="22"/>
    </row>
    <row r="1712" spans="1:28">
      <c r="A1712" s="19"/>
      <c r="B1712" s="12"/>
      <c r="C1712" s="24"/>
      <c r="D1712" s="12"/>
      <c r="E1712" s="23"/>
      <c r="F1712" s="17"/>
      <c r="G1712" s="17"/>
      <c r="Z1712" s="22"/>
      <c r="AB1712" s="22"/>
    </row>
    <row r="1713" spans="1:28">
      <c r="A1713" s="19"/>
      <c r="B1713" s="12"/>
      <c r="C1713" s="24"/>
      <c r="D1713" s="12"/>
      <c r="E1713" s="23"/>
      <c r="F1713" s="17"/>
      <c r="G1713" s="17"/>
      <c r="Z1713" s="22"/>
      <c r="AB1713" s="22"/>
    </row>
    <row r="1714" spans="1:28">
      <c r="A1714" s="19"/>
      <c r="B1714" s="12"/>
      <c r="C1714" s="24"/>
      <c r="D1714" s="12"/>
      <c r="E1714" s="23"/>
      <c r="F1714" s="17"/>
      <c r="G1714" s="17"/>
      <c r="Z1714" s="22"/>
      <c r="AB1714" s="22"/>
    </row>
    <row r="1715" spans="1:28">
      <c r="A1715" s="19"/>
      <c r="B1715" s="12"/>
      <c r="C1715" s="24"/>
      <c r="D1715" s="12"/>
      <c r="E1715" s="23"/>
      <c r="F1715" s="17"/>
      <c r="G1715" s="17"/>
      <c r="Z1715" s="22"/>
      <c r="AB1715" s="22"/>
    </row>
    <row r="1716" spans="1:28">
      <c r="A1716" s="19"/>
      <c r="B1716" s="12"/>
      <c r="C1716" s="24"/>
      <c r="D1716" s="12"/>
      <c r="E1716" s="23"/>
      <c r="F1716" s="17"/>
      <c r="G1716" s="17"/>
      <c r="Z1716" s="22"/>
      <c r="AB1716" s="22"/>
    </row>
    <row r="1717" spans="1:28">
      <c r="A1717" s="19"/>
      <c r="B1717" s="12"/>
      <c r="C1717" s="24"/>
      <c r="D1717" s="12"/>
      <c r="E1717" s="23"/>
      <c r="F1717" s="17"/>
      <c r="G1717" s="17"/>
      <c r="Z1717" s="22"/>
      <c r="AB1717" s="22"/>
    </row>
    <row r="1718" spans="1:28">
      <c r="A1718" s="19"/>
      <c r="B1718" s="12"/>
      <c r="C1718" s="24"/>
      <c r="D1718" s="12"/>
      <c r="E1718" s="23"/>
      <c r="F1718" s="17"/>
      <c r="G1718" s="17"/>
      <c r="Z1718" s="22"/>
      <c r="AB1718" s="22"/>
    </row>
    <row r="1719" spans="1:28">
      <c r="A1719" s="19"/>
      <c r="B1719" s="12"/>
      <c r="C1719" s="24"/>
      <c r="D1719" s="12"/>
      <c r="E1719" s="23"/>
      <c r="F1719" s="17"/>
      <c r="G1719" s="17"/>
      <c r="Z1719" s="22"/>
      <c r="AB1719" s="22"/>
    </row>
    <row r="1720" spans="1:28">
      <c r="A1720" s="19"/>
      <c r="B1720" s="12"/>
      <c r="C1720" s="24"/>
      <c r="D1720" s="12"/>
      <c r="E1720" s="23"/>
      <c r="F1720" s="17"/>
      <c r="G1720" s="17"/>
      <c r="Z1720" s="22"/>
      <c r="AB1720" s="22"/>
    </row>
    <row r="1721" spans="1:28">
      <c r="A1721" s="19"/>
      <c r="B1721" s="12"/>
      <c r="C1721" s="24"/>
      <c r="D1721" s="12"/>
      <c r="E1721" s="23"/>
      <c r="F1721" s="17"/>
      <c r="G1721" s="17"/>
      <c r="Z1721" s="22"/>
      <c r="AB1721" s="22"/>
    </row>
    <row r="1722" spans="1:28">
      <c r="A1722" s="19"/>
      <c r="B1722" s="12"/>
      <c r="C1722" s="24"/>
      <c r="D1722" s="12"/>
      <c r="E1722" s="23"/>
      <c r="F1722" s="17"/>
      <c r="G1722" s="17"/>
      <c r="Z1722" s="22"/>
      <c r="AB1722" s="22"/>
    </row>
    <row r="1723" spans="1:28">
      <c r="A1723" s="19"/>
      <c r="B1723" s="12"/>
      <c r="C1723" s="24"/>
      <c r="D1723" s="12"/>
      <c r="E1723" s="23"/>
      <c r="F1723" s="17"/>
      <c r="G1723" s="17"/>
      <c r="Z1723" s="22"/>
      <c r="AB1723" s="22"/>
    </row>
    <row r="1724" spans="1:28">
      <c r="A1724" s="19"/>
      <c r="B1724" s="12"/>
      <c r="C1724" s="24"/>
      <c r="D1724" s="12"/>
      <c r="E1724" s="23"/>
      <c r="F1724" s="17"/>
      <c r="G1724" s="17"/>
      <c r="Z1724" s="22"/>
      <c r="AB1724" s="22"/>
    </row>
    <row r="1725" spans="1:28">
      <c r="A1725" s="19"/>
      <c r="B1725" s="12"/>
      <c r="C1725" s="24"/>
      <c r="D1725" s="12"/>
      <c r="E1725" s="23"/>
      <c r="F1725" s="17"/>
      <c r="G1725" s="17"/>
      <c r="Z1725" s="22"/>
      <c r="AB1725" s="22"/>
    </row>
    <row r="1726" spans="1:28">
      <c r="A1726" s="19"/>
      <c r="B1726" s="12"/>
      <c r="C1726" s="24"/>
      <c r="D1726" s="12"/>
      <c r="E1726" s="23"/>
      <c r="F1726" s="17"/>
      <c r="G1726" s="17"/>
      <c r="Z1726" s="22"/>
      <c r="AB1726" s="22"/>
    </row>
    <row r="1727" spans="1:28">
      <c r="A1727" s="19"/>
      <c r="B1727" s="12"/>
      <c r="C1727" s="24"/>
      <c r="D1727" s="12"/>
      <c r="E1727" s="23"/>
      <c r="F1727" s="17"/>
      <c r="G1727" s="17"/>
      <c r="Z1727" s="22"/>
      <c r="AB1727" s="22"/>
    </row>
    <row r="1728" spans="1:28">
      <c r="A1728" s="19"/>
      <c r="B1728" s="12"/>
      <c r="C1728" s="24"/>
      <c r="D1728" s="12"/>
      <c r="E1728" s="23"/>
      <c r="F1728" s="17"/>
      <c r="G1728" s="17"/>
      <c r="Z1728" s="22"/>
      <c r="AB1728" s="22"/>
    </row>
    <row r="1729" spans="1:28">
      <c r="A1729" s="19"/>
      <c r="B1729" s="12"/>
      <c r="C1729" s="24"/>
      <c r="D1729" s="12"/>
      <c r="E1729" s="23"/>
      <c r="F1729" s="17"/>
      <c r="G1729" s="17"/>
      <c r="Z1729" s="22"/>
      <c r="AB1729" s="22"/>
    </row>
    <row r="1730" spans="1:28">
      <c r="A1730" s="19"/>
      <c r="B1730" s="12"/>
      <c r="C1730" s="24"/>
      <c r="D1730" s="12"/>
      <c r="E1730" s="23"/>
      <c r="F1730" s="17"/>
      <c r="G1730" s="17"/>
      <c r="Z1730" s="22"/>
      <c r="AB1730" s="22"/>
    </row>
    <row r="1731" spans="1:28">
      <c r="A1731" s="19"/>
      <c r="B1731" s="12"/>
      <c r="C1731" s="24"/>
      <c r="D1731" s="12"/>
      <c r="E1731" s="23"/>
      <c r="F1731" s="17"/>
      <c r="G1731" s="17"/>
      <c r="Z1731" s="22"/>
      <c r="AB1731" s="22"/>
    </row>
    <row r="1732" spans="1:28">
      <c r="A1732" s="19"/>
      <c r="B1732" s="12"/>
      <c r="C1732" s="24"/>
      <c r="D1732" s="12"/>
      <c r="E1732" s="23"/>
      <c r="F1732" s="17"/>
      <c r="G1732" s="17"/>
      <c r="Z1732" s="22"/>
      <c r="AB1732" s="22"/>
    </row>
    <row r="1733" spans="1:28">
      <c r="A1733" s="19"/>
      <c r="B1733" s="12"/>
      <c r="C1733" s="24"/>
      <c r="D1733" s="12"/>
      <c r="E1733" s="23"/>
      <c r="F1733" s="17"/>
      <c r="G1733" s="17"/>
      <c r="Z1733" s="22"/>
      <c r="AB1733" s="22"/>
    </row>
    <row r="1734" spans="1:28">
      <c r="A1734" s="19"/>
      <c r="B1734" s="12"/>
      <c r="C1734" s="24"/>
      <c r="D1734" s="12"/>
      <c r="E1734" s="23"/>
      <c r="F1734" s="17"/>
      <c r="G1734" s="17"/>
      <c r="Z1734" s="22"/>
      <c r="AB1734" s="22"/>
    </row>
    <row r="1735" spans="1:28">
      <c r="A1735" s="19"/>
      <c r="B1735" s="12"/>
      <c r="C1735" s="24"/>
      <c r="D1735" s="12"/>
      <c r="E1735" s="23"/>
      <c r="F1735" s="17"/>
      <c r="G1735" s="17"/>
      <c r="Z1735" s="22"/>
      <c r="AB1735" s="22"/>
    </row>
    <row r="1736" spans="1:28">
      <c r="A1736" s="19"/>
      <c r="B1736" s="12"/>
      <c r="C1736" s="24"/>
      <c r="D1736" s="12"/>
      <c r="E1736" s="23"/>
      <c r="F1736" s="17"/>
      <c r="G1736" s="17"/>
      <c r="Z1736" s="22"/>
      <c r="AB1736" s="22"/>
    </row>
    <row r="1737" spans="1:28">
      <c r="A1737" s="19"/>
      <c r="B1737" s="12"/>
      <c r="C1737" s="24"/>
      <c r="D1737" s="12"/>
      <c r="E1737" s="23"/>
      <c r="F1737" s="17"/>
      <c r="G1737" s="17"/>
      <c r="Z1737" s="22"/>
      <c r="AB1737" s="22"/>
    </row>
    <row r="1738" spans="1:28">
      <c r="A1738" s="19"/>
      <c r="B1738" s="12"/>
      <c r="C1738" s="24"/>
      <c r="D1738" s="12"/>
      <c r="E1738" s="23"/>
      <c r="F1738" s="17"/>
      <c r="G1738" s="17"/>
      <c r="Z1738" s="22"/>
      <c r="AB1738" s="22"/>
    </row>
    <row r="1739" spans="1:28">
      <c r="A1739" s="19"/>
      <c r="B1739" s="12"/>
      <c r="C1739" s="24"/>
      <c r="D1739" s="12"/>
      <c r="E1739" s="23"/>
      <c r="F1739" s="17"/>
      <c r="G1739" s="17"/>
      <c r="Z1739" s="22"/>
      <c r="AB1739" s="22"/>
    </row>
    <row r="1740" spans="1:28">
      <c r="A1740" s="19"/>
      <c r="B1740" s="12"/>
      <c r="C1740" s="24"/>
      <c r="D1740" s="12"/>
      <c r="E1740" s="23"/>
      <c r="F1740" s="17"/>
      <c r="G1740" s="17"/>
      <c r="Z1740" s="22"/>
      <c r="AB1740" s="22"/>
    </row>
    <row r="1741" spans="1:28">
      <c r="A1741" s="19"/>
      <c r="B1741" s="12"/>
      <c r="C1741" s="24"/>
      <c r="D1741" s="12"/>
      <c r="E1741" s="23"/>
      <c r="F1741" s="17"/>
      <c r="G1741" s="17"/>
      <c r="Z1741" s="22"/>
      <c r="AB1741" s="22"/>
    </row>
    <row r="1742" spans="1:28">
      <c r="A1742" s="19"/>
      <c r="B1742" s="12"/>
      <c r="C1742" s="24"/>
      <c r="D1742" s="12"/>
      <c r="E1742" s="23"/>
      <c r="F1742" s="17"/>
      <c r="G1742" s="17"/>
      <c r="Z1742" s="22"/>
      <c r="AB1742" s="22"/>
    </row>
    <row r="1743" spans="1:28">
      <c r="A1743" s="19"/>
      <c r="B1743" s="12"/>
      <c r="C1743" s="24"/>
      <c r="D1743" s="12"/>
      <c r="E1743" s="23"/>
      <c r="F1743" s="17"/>
      <c r="G1743" s="17"/>
      <c r="Z1743" s="22"/>
      <c r="AB1743" s="22"/>
    </row>
    <row r="1744" spans="1:28">
      <c r="A1744" s="19"/>
      <c r="B1744" s="12"/>
      <c r="C1744" s="24"/>
      <c r="D1744" s="12"/>
      <c r="E1744" s="23"/>
      <c r="F1744" s="17"/>
      <c r="G1744" s="17"/>
      <c r="Z1744" s="22"/>
      <c r="AB1744" s="22"/>
    </row>
    <row r="1745" spans="1:28">
      <c r="A1745" s="19"/>
      <c r="B1745" s="12"/>
      <c r="C1745" s="24"/>
      <c r="D1745" s="12"/>
      <c r="E1745" s="23"/>
      <c r="F1745" s="17"/>
      <c r="G1745" s="17"/>
      <c r="Z1745" s="22"/>
      <c r="AB1745" s="22"/>
    </row>
    <row r="1746" spans="1:28">
      <c r="A1746" s="19"/>
      <c r="B1746" s="12"/>
      <c r="C1746" s="24"/>
      <c r="D1746" s="12"/>
      <c r="E1746" s="23"/>
      <c r="F1746" s="17"/>
      <c r="G1746" s="17"/>
      <c r="Z1746" s="22"/>
      <c r="AB1746" s="22"/>
    </row>
    <row r="1747" spans="1:28">
      <c r="A1747" s="19"/>
      <c r="B1747" s="12"/>
      <c r="C1747" s="24"/>
      <c r="D1747" s="12"/>
      <c r="E1747" s="23"/>
      <c r="F1747" s="17"/>
      <c r="G1747" s="17"/>
      <c r="Z1747" s="22"/>
      <c r="AB1747" s="22"/>
    </row>
    <row r="1748" spans="1:28">
      <c r="A1748" s="19"/>
      <c r="B1748" s="12"/>
      <c r="C1748" s="24"/>
      <c r="D1748" s="12"/>
      <c r="E1748" s="23"/>
      <c r="F1748" s="17"/>
      <c r="G1748" s="17"/>
      <c r="Z1748" s="22"/>
      <c r="AB1748" s="22"/>
    </row>
    <row r="1749" spans="1:28">
      <c r="A1749" s="19"/>
      <c r="B1749" s="12"/>
      <c r="C1749" s="24"/>
      <c r="D1749" s="12"/>
      <c r="E1749" s="23"/>
      <c r="F1749" s="17"/>
      <c r="G1749" s="17"/>
      <c r="Z1749" s="22"/>
      <c r="AB1749" s="22"/>
    </row>
    <row r="1750" spans="1:28">
      <c r="A1750" s="19"/>
      <c r="B1750" s="12"/>
      <c r="C1750" s="24"/>
      <c r="D1750" s="12"/>
      <c r="E1750" s="23"/>
      <c r="F1750" s="17"/>
      <c r="G1750" s="17"/>
      <c r="Z1750" s="22"/>
      <c r="AB1750" s="22"/>
    </row>
    <row r="1751" spans="1:28">
      <c r="A1751" s="19"/>
      <c r="B1751" s="12"/>
      <c r="C1751" s="24"/>
      <c r="D1751" s="12"/>
      <c r="E1751" s="23"/>
      <c r="F1751" s="17"/>
      <c r="G1751" s="17"/>
      <c r="Z1751" s="22"/>
      <c r="AB1751" s="22"/>
    </row>
    <row r="1752" spans="1:28">
      <c r="A1752" s="19"/>
      <c r="B1752" s="12"/>
      <c r="C1752" s="24"/>
      <c r="D1752" s="12"/>
      <c r="E1752" s="23"/>
      <c r="F1752" s="17"/>
      <c r="G1752" s="17"/>
      <c r="Z1752" s="22"/>
      <c r="AB1752" s="22"/>
    </row>
    <row r="1753" spans="1:28">
      <c r="A1753" s="19"/>
      <c r="B1753" s="12"/>
      <c r="C1753" s="24"/>
      <c r="D1753" s="12"/>
      <c r="E1753" s="23"/>
      <c r="F1753" s="17"/>
      <c r="G1753" s="17"/>
      <c r="Z1753" s="22"/>
      <c r="AB1753" s="22"/>
    </row>
    <row r="1754" spans="1:28">
      <c r="A1754" s="19"/>
      <c r="B1754" s="12"/>
      <c r="C1754" s="24"/>
      <c r="D1754" s="12"/>
      <c r="E1754" s="23"/>
      <c r="F1754" s="17"/>
      <c r="G1754" s="17"/>
      <c r="Z1754" s="22"/>
      <c r="AB1754" s="22"/>
    </row>
    <row r="1755" spans="1:28">
      <c r="A1755" s="19"/>
      <c r="B1755" s="12"/>
      <c r="C1755" s="24"/>
      <c r="D1755" s="12"/>
      <c r="E1755" s="23"/>
      <c r="F1755" s="17"/>
      <c r="G1755" s="17"/>
      <c r="Z1755" s="22"/>
      <c r="AB1755" s="22"/>
    </row>
    <row r="1756" spans="1:28">
      <c r="A1756" s="19"/>
      <c r="B1756" s="12"/>
      <c r="C1756" s="24"/>
      <c r="D1756" s="12"/>
      <c r="E1756" s="23"/>
      <c r="F1756" s="17"/>
      <c r="G1756" s="17"/>
      <c r="Z1756" s="22"/>
      <c r="AB1756" s="22"/>
    </row>
    <row r="1757" spans="1:28">
      <c r="A1757" s="19"/>
      <c r="B1757" s="12"/>
      <c r="C1757" s="24"/>
      <c r="D1757" s="12"/>
      <c r="E1757" s="23"/>
      <c r="F1757" s="17"/>
      <c r="G1757" s="17"/>
      <c r="Z1757" s="22"/>
      <c r="AB1757" s="22"/>
    </row>
    <row r="1758" spans="1:28">
      <c r="A1758" s="19"/>
      <c r="B1758" s="12"/>
      <c r="C1758" s="24"/>
      <c r="D1758" s="12"/>
      <c r="E1758" s="23"/>
      <c r="F1758" s="17"/>
      <c r="G1758" s="17"/>
      <c r="Z1758" s="22"/>
      <c r="AB1758" s="22"/>
    </row>
    <row r="1759" spans="1:28">
      <c r="A1759" s="19"/>
      <c r="B1759" s="12"/>
      <c r="C1759" s="24"/>
      <c r="D1759" s="12"/>
      <c r="E1759" s="23"/>
      <c r="F1759" s="17"/>
      <c r="G1759" s="17"/>
      <c r="Z1759" s="22"/>
      <c r="AB1759" s="22"/>
    </row>
    <row r="1760" spans="1:28">
      <c r="A1760" s="19"/>
      <c r="B1760" s="12"/>
      <c r="C1760" s="24"/>
      <c r="D1760" s="12"/>
      <c r="E1760" s="23"/>
      <c r="F1760" s="17"/>
      <c r="G1760" s="17"/>
      <c r="Z1760" s="22"/>
      <c r="AB1760" s="22"/>
    </row>
    <row r="1761" spans="1:28">
      <c r="A1761" s="19"/>
      <c r="B1761" s="12"/>
      <c r="C1761" s="24"/>
      <c r="D1761" s="12"/>
      <c r="E1761" s="23"/>
      <c r="F1761" s="17"/>
      <c r="G1761" s="17"/>
      <c r="Z1761" s="22"/>
      <c r="AB1761" s="22"/>
    </row>
    <row r="1762" spans="1:28">
      <c r="A1762" s="19"/>
      <c r="B1762" s="12"/>
      <c r="C1762" s="24"/>
      <c r="D1762" s="12"/>
      <c r="E1762" s="23"/>
      <c r="F1762" s="17"/>
      <c r="G1762" s="17"/>
      <c r="Z1762" s="22"/>
      <c r="AB1762" s="22"/>
    </row>
    <row r="1763" spans="1:28">
      <c r="A1763" s="19"/>
      <c r="B1763" s="12"/>
      <c r="C1763" s="24"/>
      <c r="D1763" s="12"/>
      <c r="E1763" s="23"/>
      <c r="F1763" s="17"/>
      <c r="G1763" s="17"/>
      <c r="Z1763" s="22"/>
      <c r="AB1763" s="22"/>
    </row>
    <row r="1764" spans="1:28">
      <c r="A1764" s="19"/>
      <c r="B1764" s="12"/>
      <c r="C1764" s="24"/>
      <c r="D1764" s="12"/>
      <c r="E1764" s="23"/>
      <c r="F1764" s="17"/>
      <c r="G1764" s="17"/>
      <c r="Z1764" s="22"/>
      <c r="AB1764" s="22"/>
    </row>
    <row r="1765" spans="1:28">
      <c r="A1765" s="19"/>
      <c r="B1765" s="12"/>
      <c r="C1765" s="24"/>
      <c r="D1765" s="12"/>
      <c r="E1765" s="23"/>
      <c r="F1765" s="17"/>
      <c r="G1765" s="17"/>
      <c r="Z1765" s="22"/>
      <c r="AB1765" s="22"/>
    </row>
    <row r="1766" spans="1:28">
      <c r="A1766" s="19"/>
      <c r="B1766" s="12"/>
      <c r="C1766" s="24"/>
      <c r="D1766" s="12"/>
      <c r="E1766" s="23"/>
      <c r="F1766" s="17"/>
      <c r="G1766" s="17"/>
      <c r="Z1766" s="22"/>
      <c r="AB1766" s="22"/>
    </row>
    <row r="1767" spans="1:28">
      <c r="A1767" s="19"/>
      <c r="B1767" s="12"/>
      <c r="C1767" s="24"/>
      <c r="D1767" s="12"/>
      <c r="E1767" s="23"/>
      <c r="F1767" s="17"/>
      <c r="G1767" s="17"/>
      <c r="Z1767" s="22"/>
      <c r="AB1767" s="22"/>
    </row>
    <row r="1768" spans="1:28">
      <c r="A1768" s="19"/>
      <c r="B1768" s="12"/>
      <c r="C1768" s="24"/>
      <c r="D1768" s="12"/>
      <c r="E1768" s="23"/>
      <c r="F1768" s="17"/>
      <c r="G1768" s="17"/>
      <c r="Z1768" s="22"/>
      <c r="AB1768" s="22"/>
    </row>
    <row r="1769" spans="1:28">
      <c r="A1769" s="19"/>
      <c r="B1769" s="12"/>
      <c r="C1769" s="24"/>
      <c r="D1769" s="12"/>
      <c r="E1769" s="23"/>
      <c r="F1769" s="17"/>
      <c r="G1769" s="17"/>
      <c r="Z1769" s="22"/>
      <c r="AB1769" s="22"/>
    </row>
    <row r="1770" spans="1:28">
      <c r="A1770" s="19"/>
      <c r="B1770" s="12"/>
      <c r="C1770" s="24"/>
      <c r="D1770" s="12"/>
      <c r="E1770" s="23"/>
      <c r="F1770" s="17"/>
      <c r="G1770" s="17"/>
      <c r="Z1770" s="22"/>
      <c r="AB1770" s="22"/>
    </row>
    <row r="1771" spans="1:28">
      <c r="A1771" s="19"/>
      <c r="B1771" s="12"/>
      <c r="C1771" s="24"/>
      <c r="D1771" s="12"/>
      <c r="E1771" s="23"/>
      <c r="F1771" s="17"/>
      <c r="G1771" s="17"/>
      <c r="Z1771" s="22"/>
      <c r="AB1771" s="22"/>
    </row>
    <row r="1772" spans="1:28">
      <c r="A1772" s="19"/>
      <c r="B1772" s="12"/>
      <c r="C1772" s="24"/>
      <c r="D1772" s="12"/>
      <c r="E1772" s="23"/>
      <c r="F1772" s="17"/>
      <c r="G1772" s="17"/>
      <c r="Z1772" s="22"/>
      <c r="AB1772" s="22"/>
    </row>
    <row r="1773" spans="1:28">
      <c r="A1773" s="19"/>
      <c r="B1773" s="12"/>
      <c r="C1773" s="24"/>
      <c r="D1773" s="12"/>
      <c r="E1773" s="23"/>
      <c r="F1773" s="17"/>
      <c r="G1773" s="17"/>
      <c r="Z1773" s="22"/>
      <c r="AB1773" s="22"/>
    </row>
    <row r="1774" spans="1:28">
      <c r="A1774" s="19"/>
      <c r="B1774" s="12"/>
      <c r="C1774" s="24"/>
      <c r="D1774" s="12"/>
      <c r="E1774" s="23"/>
      <c r="F1774" s="17"/>
      <c r="G1774" s="17"/>
      <c r="Z1774" s="22"/>
      <c r="AB1774" s="22"/>
    </row>
    <row r="1775" spans="1:28">
      <c r="A1775" s="19"/>
      <c r="B1775" s="12"/>
      <c r="C1775" s="24"/>
      <c r="D1775" s="12"/>
      <c r="E1775" s="23"/>
      <c r="F1775" s="17"/>
      <c r="G1775" s="17"/>
      <c r="Z1775" s="22"/>
      <c r="AB1775" s="22"/>
    </row>
    <row r="1776" spans="1:28">
      <c r="A1776" s="19"/>
      <c r="B1776" s="12"/>
      <c r="C1776" s="24"/>
      <c r="D1776" s="12"/>
      <c r="E1776" s="23"/>
      <c r="F1776" s="17"/>
      <c r="G1776" s="17"/>
      <c r="Z1776" s="22"/>
      <c r="AB1776" s="22"/>
    </row>
    <row r="1777" spans="1:28">
      <c r="A1777" s="19"/>
      <c r="B1777" s="12"/>
      <c r="C1777" s="24"/>
      <c r="D1777" s="12"/>
      <c r="E1777" s="23"/>
      <c r="F1777" s="17"/>
      <c r="G1777" s="17"/>
      <c r="Z1777" s="22"/>
      <c r="AB1777" s="22"/>
    </row>
    <row r="1778" spans="1:28">
      <c r="A1778" s="19"/>
      <c r="B1778" s="12"/>
      <c r="C1778" s="24"/>
      <c r="D1778" s="12"/>
      <c r="E1778" s="23"/>
      <c r="F1778" s="17"/>
      <c r="G1778" s="17"/>
      <c r="Z1778" s="22"/>
      <c r="AB1778" s="22"/>
    </row>
    <row r="1779" spans="1:28">
      <c r="A1779" s="19"/>
      <c r="B1779" s="12"/>
      <c r="C1779" s="24"/>
      <c r="D1779" s="12"/>
      <c r="E1779" s="23"/>
      <c r="F1779" s="17"/>
      <c r="G1779" s="17"/>
      <c r="Z1779" s="22"/>
      <c r="AB1779" s="22"/>
    </row>
    <row r="1780" spans="1:28">
      <c r="A1780" s="19"/>
      <c r="B1780" s="12"/>
      <c r="C1780" s="24"/>
      <c r="D1780" s="12"/>
      <c r="E1780" s="23"/>
      <c r="F1780" s="17"/>
      <c r="G1780" s="17"/>
      <c r="Z1780" s="22"/>
      <c r="AB1780" s="22"/>
    </row>
    <row r="1781" spans="1:28">
      <c r="A1781" s="19"/>
      <c r="B1781" s="12"/>
      <c r="C1781" s="24"/>
      <c r="D1781" s="12"/>
      <c r="E1781" s="23"/>
      <c r="F1781" s="17"/>
      <c r="G1781" s="17"/>
      <c r="Z1781" s="22"/>
      <c r="AB1781" s="22"/>
    </row>
    <row r="1782" spans="1:28">
      <c r="A1782" s="19"/>
      <c r="B1782" s="12"/>
      <c r="C1782" s="24"/>
      <c r="D1782" s="12"/>
      <c r="E1782" s="23"/>
      <c r="F1782" s="17"/>
      <c r="G1782" s="17"/>
      <c r="Z1782" s="22"/>
      <c r="AB1782" s="22"/>
    </row>
    <row r="1783" spans="1:28">
      <c r="A1783" s="19"/>
      <c r="B1783" s="12"/>
      <c r="C1783" s="24"/>
      <c r="D1783" s="12"/>
      <c r="E1783" s="23"/>
      <c r="F1783" s="17"/>
      <c r="G1783" s="17"/>
      <c r="Z1783" s="22"/>
      <c r="AB1783" s="22"/>
    </row>
    <row r="1784" spans="1:28">
      <c r="A1784" s="19"/>
      <c r="B1784" s="12"/>
      <c r="C1784" s="24"/>
      <c r="D1784" s="12"/>
      <c r="E1784" s="23"/>
      <c r="F1784" s="17"/>
      <c r="G1784" s="17"/>
      <c r="Z1784" s="22"/>
      <c r="AB1784" s="22"/>
    </row>
    <row r="1785" spans="1:28">
      <c r="A1785" s="19"/>
      <c r="B1785" s="12"/>
      <c r="C1785" s="24"/>
      <c r="D1785" s="12"/>
      <c r="E1785" s="23"/>
      <c r="F1785" s="17"/>
      <c r="G1785" s="17"/>
      <c r="Z1785" s="22"/>
      <c r="AB1785" s="22"/>
    </row>
    <row r="1786" spans="1:28">
      <c r="A1786" s="19"/>
      <c r="B1786" s="12"/>
      <c r="C1786" s="24"/>
      <c r="D1786" s="12"/>
      <c r="E1786" s="23"/>
      <c r="F1786" s="17"/>
      <c r="G1786" s="17"/>
      <c r="Z1786" s="22"/>
      <c r="AB1786" s="22"/>
    </row>
    <row r="1787" spans="1:28">
      <c r="A1787" s="19"/>
      <c r="B1787" s="12"/>
      <c r="C1787" s="24"/>
      <c r="D1787" s="12"/>
      <c r="E1787" s="23"/>
      <c r="F1787" s="17"/>
      <c r="G1787" s="17"/>
      <c r="Z1787" s="22"/>
      <c r="AB1787" s="22"/>
    </row>
    <row r="1788" spans="1:28">
      <c r="A1788" s="19"/>
      <c r="B1788" s="12"/>
      <c r="C1788" s="24"/>
      <c r="D1788" s="12"/>
      <c r="E1788" s="23"/>
      <c r="F1788" s="17"/>
      <c r="G1788" s="17"/>
      <c r="Z1788" s="22"/>
      <c r="AB1788" s="22"/>
    </row>
    <row r="1789" spans="1:28">
      <c r="A1789" s="19"/>
      <c r="B1789" s="12"/>
      <c r="C1789" s="24"/>
      <c r="D1789" s="12"/>
      <c r="E1789" s="23"/>
      <c r="F1789" s="17"/>
      <c r="G1789" s="17"/>
      <c r="Z1789" s="22"/>
      <c r="AB1789" s="22"/>
    </row>
    <row r="1790" spans="1:28">
      <c r="A1790" s="19"/>
      <c r="B1790" s="12"/>
      <c r="C1790" s="24"/>
      <c r="D1790" s="12"/>
      <c r="E1790" s="23"/>
      <c r="F1790" s="17"/>
      <c r="G1790" s="17"/>
      <c r="Z1790" s="22"/>
      <c r="AB1790" s="22"/>
    </row>
    <row r="1791" spans="1:28">
      <c r="A1791" s="19"/>
      <c r="B1791" s="12"/>
      <c r="C1791" s="24"/>
      <c r="D1791" s="12"/>
      <c r="E1791" s="23"/>
      <c r="F1791" s="17"/>
      <c r="G1791" s="17"/>
      <c r="Z1791" s="22"/>
      <c r="AB1791" s="22"/>
    </row>
    <row r="1792" spans="1:28">
      <c r="A1792" s="19"/>
      <c r="B1792" s="12"/>
      <c r="C1792" s="24"/>
      <c r="D1792" s="12"/>
      <c r="E1792" s="23"/>
      <c r="F1792" s="17"/>
      <c r="G1792" s="17"/>
      <c r="Z1792" s="22"/>
      <c r="AB1792" s="22"/>
    </row>
    <row r="1793" spans="1:28">
      <c r="A1793" s="19"/>
      <c r="B1793" s="12"/>
      <c r="C1793" s="24"/>
      <c r="D1793" s="12"/>
      <c r="E1793" s="23"/>
      <c r="F1793" s="17"/>
      <c r="G1793" s="17"/>
      <c r="Z1793" s="22"/>
      <c r="AB1793" s="22"/>
    </row>
    <row r="1794" spans="1:28">
      <c r="A1794" s="19"/>
      <c r="B1794" s="12"/>
      <c r="C1794" s="24"/>
      <c r="D1794" s="12"/>
      <c r="E1794" s="23"/>
      <c r="F1794" s="17"/>
      <c r="G1794" s="17"/>
      <c r="Z1794" s="22"/>
      <c r="AB1794" s="22"/>
    </row>
    <row r="1795" spans="1:28">
      <c r="A1795" s="19"/>
      <c r="B1795" s="12"/>
      <c r="C1795" s="24"/>
      <c r="D1795" s="12"/>
      <c r="E1795" s="23"/>
      <c r="F1795" s="17"/>
      <c r="G1795" s="17"/>
      <c r="Z1795" s="22"/>
      <c r="AB1795" s="22"/>
    </row>
    <row r="1796" spans="1:28">
      <c r="A1796" s="19"/>
      <c r="B1796" s="12"/>
      <c r="C1796" s="24"/>
      <c r="D1796" s="12"/>
      <c r="E1796" s="23"/>
      <c r="F1796" s="17"/>
      <c r="G1796" s="17"/>
      <c r="Z1796" s="22"/>
      <c r="AB1796" s="22"/>
    </row>
    <row r="1797" spans="1:28">
      <c r="A1797" s="19"/>
      <c r="B1797" s="12"/>
      <c r="C1797" s="24"/>
      <c r="D1797" s="12"/>
      <c r="E1797" s="23"/>
      <c r="F1797" s="17"/>
      <c r="G1797" s="17"/>
      <c r="Z1797" s="22"/>
      <c r="AB1797" s="22"/>
    </row>
    <row r="1798" spans="1:28">
      <c r="A1798" s="19"/>
      <c r="B1798" s="12"/>
      <c r="C1798" s="24"/>
      <c r="D1798" s="12"/>
      <c r="E1798" s="23"/>
      <c r="F1798" s="17"/>
      <c r="G1798" s="17"/>
      <c r="Z1798" s="22"/>
      <c r="AB1798" s="22"/>
    </row>
    <row r="1799" spans="1:28">
      <c r="A1799" s="19"/>
      <c r="B1799" s="12"/>
      <c r="C1799" s="24"/>
      <c r="D1799" s="12"/>
      <c r="E1799" s="23"/>
      <c r="F1799" s="17"/>
      <c r="G1799" s="17"/>
      <c r="Z1799" s="22"/>
      <c r="AB1799" s="22"/>
    </row>
    <row r="1800" spans="1:28">
      <c r="A1800" s="19"/>
      <c r="B1800" s="12"/>
      <c r="C1800" s="24"/>
      <c r="D1800" s="12"/>
      <c r="E1800" s="23"/>
      <c r="F1800" s="17"/>
      <c r="G1800" s="17"/>
      <c r="Z1800" s="22"/>
      <c r="AB1800" s="22"/>
    </row>
    <row r="1801" spans="1:28">
      <c r="A1801" s="19"/>
      <c r="B1801" s="12"/>
      <c r="C1801" s="24"/>
      <c r="D1801" s="12"/>
      <c r="E1801" s="23"/>
      <c r="F1801" s="17"/>
      <c r="G1801" s="17"/>
      <c r="Z1801" s="22"/>
      <c r="AB1801" s="22"/>
    </row>
    <row r="1802" spans="1:28">
      <c r="A1802" s="19"/>
      <c r="B1802" s="12"/>
      <c r="C1802" s="24"/>
      <c r="D1802" s="12"/>
      <c r="E1802" s="23"/>
      <c r="F1802" s="17"/>
      <c r="G1802" s="17"/>
      <c r="Z1802" s="22"/>
      <c r="AB1802" s="22"/>
    </row>
    <row r="1803" spans="1:28">
      <c r="A1803" s="19"/>
      <c r="B1803" s="12"/>
      <c r="C1803" s="24"/>
      <c r="D1803" s="12"/>
      <c r="E1803" s="23"/>
      <c r="F1803" s="17"/>
      <c r="G1803" s="17"/>
      <c r="Z1803" s="22"/>
      <c r="AB1803" s="22"/>
    </row>
    <row r="1804" spans="1:28">
      <c r="A1804" s="19"/>
      <c r="B1804" s="12"/>
      <c r="C1804" s="24"/>
      <c r="D1804" s="12"/>
      <c r="E1804" s="23"/>
      <c r="F1804" s="17"/>
      <c r="G1804" s="17"/>
      <c r="Z1804" s="22"/>
      <c r="AB1804" s="22"/>
    </row>
    <row r="1805" spans="1:28">
      <c r="A1805" s="19"/>
      <c r="B1805" s="12"/>
      <c r="C1805" s="24"/>
      <c r="D1805" s="12"/>
      <c r="E1805" s="23"/>
      <c r="F1805" s="17"/>
      <c r="G1805" s="17"/>
      <c r="Z1805" s="22"/>
      <c r="AB1805" s="22"/>
    </row>
    <row r="1806" spans="1:28">
      <c r="A1806" s="19"/>
      <c r="B1806" s="12"/>
      <c r="C1806" s="24"/>
      <c r="D1806" s="12"/>
      <c r="E1806" s="23"/>
      <c r="F1806" s="17"/>
      <c r="G1806" s="17"/>
      <c r="Z1806" s="22"/>
      <c r="AB1806" s="22"/>
    </row>
    <row r="1807" spans="1:28">
      <c r="A1807" s="19"/>
      <c r="B1807" s="12"/>
      <c r="C1807" s="24"/>
      <c r="D1807" s="12"/>
      <c r="E1807" s="23"/>
      <c r="F1807" s="17"/>
      <c r="G1807" s="17"/>
      <c r="Z1807" s="22"/>
      <c r="AB1807" s="22"/>
    </row>
    <row r="1808" spans="1:28">
      <c r="A1808" s="19"/>
      <c r="B1808" s="12"/>
      <c r="C1808" s="24"/>
      <c r="D1808" s="12"/>
      <c r="E1808" s="23"/>
      <c r="F1808" s="17"/>
      <c r="G1808" s="17"/>
      <c r="Z1808" s="22"/>
      <c r="AB1808" s="22"/>
    </row>
    <row r="1809" spans="1:28">
      <c r="A1809" s="19"/>
      <c r="B1809" s="12"/>
      <c r="C1809" s="24"/>
      <c r="D1809" s="12"/>
      <c r="E1809" s="23"/>
      <c r="F1809" s="17"/>
      <c r="G1809" s="17"/>
      <c r="Z1809" s="22"/>
      <c r="AB1809" s="22"/>
    </row>
    <row r="1810" spans="1:28">
      <c r="A1810" s="19"/>
      <c r="B1810" s="12"/>
      <c r="C1810" s="24"/>
      <c r="D1810" s="12"/>
      <c r="E1810" s="23"/>
      <c r="F1810" s="17"/>
      <c r="G1810" s="17"/>
      <c r="Z1810" s="22"/>
      <c r="AB1810" s="22"/>
    </row>
    <row r="1811" spans="1:28">
      <c r="A1811" s="19"/>
      <c r="B1811" s="12"/>
      <c r="C1811" s="24"/>
      <c r="D1811" s="12"/>
      <c r="E1811" s="23"/>
      <c r="F1811" s="17"/>
      <c r="G1811" s="17"/>
      <c r="Z1811" s="22"/>
      <c r="AB1811" s="22"/>
    </row>
    <row r="1812" spans="1:28">
      <c r="A1812" s="19"/>
      <c r="B1812" s="12"/>
      <c r="C1812" s="24"/>
      <c r="D1812" s="12"/>
      <c r="E1812" s="23"/>
      <c r="F1812" s="17"/>
      <c r="G1812" s="17"/>
      <c r="Z1812" s="22"/>
      <c r="AB1812" s="22"/>
    </row>
    <row r="1813" spans="1:28">
      <c r="A1813" s="19"/>
      <c r="B1813" s="12"/>
      <c r="C1813" s="24"/>
      <c r="D1813" s="12"/>
      <c r="E1813" s="23"/>
      <c r="F1813" s="17"/>
      <c r="G1813" s="17"/>
      <c r="Z1813" s="22"/>
      <c r="AB1813" s="22"/>
    </row>
    <row r="1814" spans="1:28">
      <c r="A1814" s="19"/>
      <c r="B1814" s="12"/>
      <c r="C1814" s="24"/>
      <c r="D1814" s="12"/>
      <c r="E1814" s="23"/>
      <c r="F1814" s="17"/>
      <c r="G1814" s="17"/>
      <c r="Z1814" s="22"/>
      <c r="AB1814" s="22"/>
    </row>
    <row r="1815" spans="1:28">
      <c r="A1815" s="19"/>
      <c r="B1815" s="12"/>
      <c r="C1815" s="24"/>
      <c r="D1815" s="12"/>
      <c r="E1815" s="23"/>
      <c r="F1815" s="17"/>
      <c r="G1815" s="17"/>
      <c r="Z1815" s="22"/>
      <c r="AB1815" s="22"/>
    </row>
    <row r="1816" spans="1:28">
      <c r="A1816" s="19"/>
      <c r="B1816" s="12"/>
      <c r="C1816" s="24"/>
      <c r="D1816" s="12"/>
      <c r="E1816" s="23"/>
      <c r="F1816" s="17"/>
      <c r="G1816" s="17"/>
      <c r="Z1816" s="22"/>
      <c r="AB1816" s="22"/>
    </row>
    <row r="1817" spans="1:28">
      <c r="A1817" s="19"/>
      <c r="B1817" s="12"/>
      <c r="C1817" s="24"/>
      <c r="D1817" s="12"/>
      <c r="E1817" s="23"/>
      <c r="F1817" s="17"/>
      <c r="G1817" s="17"/>
      <c r="Z1817" s="22"/>
      <c r="AB1817" s="22"/>
    </row>
    <row r="1818" spans="1:28">
      <c r="A1818" s="19"/>
      <c r="B1818" s="12"/>
      <c r="C1818" s="24"/>
      <c r="D1818" s="12"/>
      <c r="E1818" s="23"/>
      <c r="F1818" s="17"/>
      <c r="G1818" s="17"/>
      <c r="Z1818" s="22"/>
      <c r="AB1818" s="22"/>
    </row>
    <row r="1819" spans="1:28">
      <c r="A1819" s="19"/>
      <c r="B1819" s="12"/>
      <c r="C1819" s="24"/>
      <c r="D1819" s="12"/>
      <c r="E1819" s="23"/>
      <c r="F1819" s="17"/>
      <c r="G1819" s="17"/>
      <c r="Z1819" s="22"/>
      <c r="AB1819" s="22"/>
    </row>
    <row r="1820" spans="1:28">
      <c r="A1820" s="19"/>
      <c r="B1820" s="12"/>
      <c r="C1820" s="24"/>
      <c r="D1820" s="12"/>
      <c r="E1820" s="23"/>
      <c r="F1820" s="17"/>
      <c r="G1820" s="17"/>
      <c r="Z1820" s="22"/>
      <c r="AB1820" s="22"/>
    </row>
    <row r="1821" spans="1:28">
      <c r="A1821" s="19"/>
      <c r="B1821" s="12"/>
      <c r="C1821" s="24"/>
      <c r="D1821" s="12"/>
      <c r="E1821" s="23"/>
      <c r="F1821" s="17"/>
      <c r="G1821" s="17"/>
      <c r="Z1821" s="22"/>
      <c r="AB1821" s="22"/>
    </row>
    <row r="1822" spans="1:28">
      <c r="A1822" s="19"/>
      <c r="B1822" s="12"/>
      <c r="C1822" s="24"/>
      <c r="D1822" s="12"/>
      <c r="E1822" s="23"/>
      <c r="F1822" s="17"/>
      <c r="G1822" s="17"/>
      <c r="Z1822" s="22"/>
      <c r="AB1822" s="22"/>
    </row>
    <row r="1823" spans="1:28">
      <c r="A1823" s="19"/>
      <c r="B1823" s="12"/>
      <c r="C1823" s="24"/>
      <c r="D1823" s="12"/>
      <c r="E1823" s="23"/>
      <c r="F1823" s="17"/>
      <c r="G1823" s="17"/>
      <c r="Z1823" s="22"/>
      <c r="AB1823" s="22"/>
    </row>
    <row r="1824" spans="1:28">
      <c r="A1824" s="19"/>
      <c r="B1824" s="12"/>
      <c r="C1824" s="24"/>
      <c r="D1824" s="12"/>
      <c r="E1824" s="23"/>
      <c r="F1824" s="17"/>
      <c r="G1824" s="17"/>
      <c r="Z1824" s="22"/>
      <c r="AB1824" s="22"/>
    </row>
    <row r="1825" spans="1:28">
      <c r="A1825" s="19"/>
      <c r="B1825" s="12"/>
      <c r="C1825" s="24"/>
      <c r="D1825" s="12"/>
      <c r="E1825" s="23"/>
      <c r="F1825" s="17"/>
      <c r="G1825" s="17"/>
      <c r="Z1825" s="22"/>
      <c r="AB1825" s="22"/>
    </row>
    <row r="1826" spans="1:28">
      <c r="A1826" s="19"/>
      <c r="B1826" s="12"/>
      <c r="C1826" s="24"/>
      <c r="D1826" s="12"/>
      <c r="E1826" s="23"/>
      <c r="F1826" s="17"/>
      <c r="G1826" s="17"/>
      <c r="Z1826" s="22"/>
      <c r="AB1826" s="22"/>
    </row>
    <row r="1827" spans="1:28">
      <c r="A1827" s="19"/>
      <c r="B1827" s="12"/>
      <c r="C1827" s="24"/>
      <c r="D1827" s="12"/>
      <c r="E1827" s="23"/>
      <c r="F1827" s="17"/>
      <c r="G1827" s="17"/>
      <c r="Z1827" s="22"/>
      <c r="AB1827" s="22"/>
    </row>
    <row r="1828" spans="1:28">
      <c r="A1828" s="19"/>
      <c r="B1828" s="12"/>
      <c r="C1828" s="24"/>
      <c r="D1828" s="12"/>
      <c r="E1828" s="23"/>
      <c r="F1828" s="17"/>
      <c r="G1828" s="17"/>
      <c r="Z1828" s="22"/>
      <c r="AB1828" s="22"/>
    </row>
    <row r="1829" spans="1:28">
      <c r="A1829" s="19"/>
      <c r="B1829" s="12"/>
      <c r="C1829" s="24"/>
      <c r="D1829" s="12"/>
      <c r="E1829" s="23"/>
      <c r="F1829" s="17"/>
      <c r="G1829" s="17"/>
      <c r="Z1829" s="22"/>
      <c r="AB1829" s="22"/>
    </row>
    <row r="1830" spans="1:28">
      <c r="A1830" s="19"/>
      <c r="B1830" s="12"/>
      <c r="C1830" s="24"/>
      <c r="D1830" s="12"/>
      <c r="E1830" s="23"/>
      <c r="F1830" s="17"/>
      <c r="G1830" s="17"/>
      <c r="Z1830" s="22"/>
      <c r="AB1830" s="22"/>
    </row>
    <row r="1831" spans="1:28">
      <c r="A1831" s="19"/>
      <c r="B1831" s="12"/>
      <c r="C1831" s="24"/>
      <c r="D1831" s="12"/>
      <c r="E1831" s="23"/>
      <c r="F1831" s="17"/>
      <c r="G1831" s="17"/>
      <c r="Z1831" s="22"/>
      <c r="AB1831" s="22"/>
    </row>
    <row r="1832" spans="1:28">
      <c r="A1832" s="19"/>
      <c r="B1832" s="12"/>
      <c r="C1832" s="24"/>
      <c r="D1832" s="12"/>
      <c r="E1832" s="23"/>
      <c r="F1832" s="17"/>
      <c r="G1832" s="17"/>
      <c r="Z1832" s="22"/>
      <c r="AB1832" s="22"/>
    </row>
    <row r="1833" spans="1:28">
      <c r="A1833" s="19"/>
      <c r="B1833" s="12"/>
      <c r="C1833" s="24"/>
      <c r="D1833" s="12"/>
      <c r="E1833" s="23"/>
      <c r="F1833" s="17"/>
      <c r="G1833" s="17"/>
      <c r="Z1833" s="22"/>
      <c r="AB1833" s="22"/>
    </row>
    <row r="1834" spans="1:28">
      <c r="A1834" s="19"/>
      <c r="B1834" s="12"/>
      <c r="C1834" s="24"/>
      <c r="D1834" s="12"/>
      <c r="E1834" s="23"/>
      <c r="F1834" s="17"/>
      <c r="G1834" s="17"/>
      <c r="Z1834" s="22"/>
      <c r="AB1834" s="22"/>
    </row>
    <row r="1835" spans="1:28">
      <c r="A1835" s="19"/>
      <c r="B1835" s="12"/>
      <c r="C1835" s="24"/>
      <c r="D1835" s="12"/>
      <c r="E1835" s="23"/>
      <c r="F1835" s="17"/>
      <c r="G1835" s="17"/>
      <c r="Z1835" s="22"/>
      <c r="AB1835" s="22"/>
    </row>
    <row r="1836" spans="1:28">
      <c r="A1836" s="19"/>
      <c r="B1836" s="12"/>
      <c r="C1836" s="24"/>
      <c r="D1836" s="12"/>
      <c r="E1836" s="23"/>
      <c r="F1836" s="17"/>
      <c r="G1836" s="17"/>
      <c r="Z1836" s="22"/>
      <c r="AB1836" s="22"/>
    </row>
    <row r="1837" spans="1:28">
      <c r="A1837" s="19"/>
      <c r="B1837" s="12"/>
      <c r="C1837" s="24"/>
      <c r="D1837" s="12"/>
      <c r="E1837" s="23"/>
      <c r="F1837" s="17"/>
      <c r="G1837" s="17"/>
      <c r="Z1837" s="22"/>
      <c r="AB1837" s="22"/>
    </row>
    <row r="1838" spans="1:28">
      <c r="A1838" s="19"/>
      <c r="B1838" s="12"/>
      <c r="C1838" s="24"/>
      <c r="D1838" s="12"/>
      <c r="E1838" s="23"/>
      <c r="F1838" s="17"/>
      <c r="G1838" s="17"/>
      <c r="Z1838" s="22"/>
      <c r="AB1838" s="22"/>
    </row>
    <row r="1839" spans="1:28">
      <c r="A1839" s="19"/>
      <c r="B1839" s="12"/>
      <c r="C1839" s="24"/>
      <c r="D1839" s="12"/>
      <c r="E1839" s="23"/>
      <c r="F1839" s="17"/>
      <c r="G1839" s="17"/>
      <c r="Z1839" s="22"/>
      <c r="AB1839" s="22"/>
    </row>
    <row r="1840" spans="1:28">
      <c r="A1840" s="19"/>
      <c r="B1840" s="12"/>
      <c r="C1840" s="24"/>
      <c r="D1840" s="12"/>
      <c r="E1840" s="23"/>
      <c r="F1840" s="17"/>
      <c r="G1840" s="17"/>
      <c r="Z1840" s="22"/>
      <c r="AB1840" s="22"/>
    </row>
    <row r="1841" spans="1:28">
      <c r="A1841" s="19"/>
      <c r="B1841" s="12"/>
      <c r="C1841" s="24"/>
      <c r="D1841" s="12"/>
      <c r="E1841" s="23"/>
      <c r="F1841" s="17"/>
      <c r="G1841" s="17"/>
      <c r="Z1841" s="22"/>
      <c r="AB1841" s="22"/>
    </row>
    <row r="1842" spans="1:28">
      <c r="A1842" s="19"/>
      <c r="B1842" s="12"/>
      <c r="C1842" s="24"/>
      <c r="D1842" s="12"/>
      <c r="E1842" s="23"/>
      <c r="F1842" s="17"/>
      <c r="G1842" s="17"/>
      <c r="Z1842" s="22"/>
      <c r="AB1842" s="22"/>
    </row>
    <row r="1843" spans="1:28">
      <c r="A1843" s="19"/>
      <c r="B1843" s="12"/>
      <c r="C1843" s="24"/>
      <c r="D1843" s="12"/>
      <c r="E1843" s="23"/>
      <c r="F1843" s="17"/>
      <c r="G1843" s="17"/>
      <c r="Z1843" s="22"/>
      <c r="AB1843" s="22"/>
    </row>
    <row r="1844" spans="1:28">
      <c r="A1844" s="19"/>
      <c r="B1844" s="12"/>
      <c r="C1844" s="24"/>
      <c r="D1844" s="12"/>
      <c r="E1844" s="23"/>
      <c r="F1844" s="17"/>
      <c r="G1844" s="17"/>
      <c r="Z1844" s="22"/>
      <c r="AB1844" s="22"/>
    </row>
    <row r="1845" spans="1:28">
      <c r="A1845" s="19"/>
      <c r="B1845" s="12"/>
      <c r="C1845" s="24"/>
      <c r="D1845" s="12"/>
      <c r="E1845" s="23"/>
      <c r="F1845" s="17"/>
      <c r="G1845" s="17"/>
      <c r="Z1845" s="22"/>
      <c r="AB1845" s="22"/>
    </row>
    <row r="1846" spans="1:28">
      <c r="A1846" s="19"/>
      <c r="B1846" s="12"/>
      <c r="C1846" s="24"/>
      <c r="D1846" s="12"/>
      <c r="E1846" s="23"/>
      <c r="F1846" s="17"/>
      <c r="G1846" s="17"/>
      <c r="Z1846" s="22"/>
      <c r="AB1846" s="22"/>
    </row>
    <row r="1847" spans="1:28">
      <c r="A1847" s="19"/>
      <c r="B1847" s="12"/>
      <c r="C1847" s="24"/>
      <c r="D1847" s="12"/>
      <c r="E1847" s="23"/>
      <c r="F1847" s="17"/>
      <c r="G1847" s="17"/>
      <c r="Z1847" s="22"/>
      <c r="AB1847" s="22"/>
    </row>
    <row r="1848" spans="1:28">
      <c r="A1848" s="19"/>
      <c r="B1848" s="12"/>
      <c r="C1848" s="24"/>
      <c r="D1848" s="12"/>
      <c r="E1848" s="23"/>
      <c r="F1848" s="17"/>
      <c r="G1848" s="17"/>
      <c r="Z1848" s="22"/>
      <c r="AB1848" s="22"/>
    </row>
    <row r="1849" spans="1:28">
      <c r="A1849" s="19"/>
      <c r="B1849" s="12"/>
      <c r="C1849" s="24"/>
      <c r="D1849" s="12"/>
      <c r="E1849" s="23"/>
      <c r="F1849" s="17"/>
      <c r="G1849" s="17"/>
      <c r="Z1849" s="22"/>
      <c r="AB1849" s="22"/>
    </row>
    <row r="1850" spans="1:28">
      <c r="A1850" s="19"/>
      <c r="B1850" s="12"/>
      <c r="C1850" s="24"/>
      <c r="D1850" s="12"/>
      <c r="E1850" s="23"/>
      <c r="F1850" s="17"/>
      <c r="G1850" s="17"/>
      <c r="Z1850" s="22"/>
      <c r="AB1850" s="22"/>
    </row>
    <row r="1851" spans="1:28">
      <c r="A1851" s="19"/>
      <c r="B1851" s="12"/>
      <c r="C1851" s="24"/>
      <c r="D1851" s="12"/>
      <c r="E1851" s="23"/>
      <c r="F1851" s="17"/>
      <c r="G1851" s="17"/>
      <c r="Z1851" s="22"/>
      <c r="AB1851" s="22"/>
    </row>
    <row r="1852" spans="1:28">
      <c r="A1852" s="19"/>
      <c r="B1852" s="12"/>
      <c r="C1852" s="24"/>
      <c r="D1852" s="12"/>
      <c r="E1852" s="23"/>
      <c r="F1852" s="17"/>
      <c r="G1852" s="17"/>
      <c r="Z1852" s="22"/>
      <c r="AB1852" s="22"/>
    </row>
    <row r="1853" spans="1:28">
      <c r="A1853" s="19"/>
      <c r="B1853" s="12"/>
      <c r="C1853" s="24"/>
      <c r="D1853" s="12"/>
      <c r="E1853" s="23"/>
      <c r="F1853" s="17"/>
      <c r="G1853" s="17"/>
      <c r="Z1853" s="22"/>
      <c r="AB1853" s="22"/>
    </row>
    <row r="1854" spans="1:28">
      <c r="A1854" s="19"/>
      <c r="B1854" s="12"/>
      <c r="C1854" s="24"/>
      <c r="D1854" s="12"/>
      <c r="E1854" s="23"/>
      <c r="F1854" s="17"/>
      <c r="G1854" s="17"/>
      <c r="Z1854" s="22"/>
      <c r="AB1854" s="22"/>
    </row>
    <row r="1855" spans="1:28">
      <c r="A1855" s="19"/>
      <c r="B1855" s="12"/>
      <c r="C1855" s="24"/>
      <c r="D1855" s="12"/>
      <c r="E1855" s="23"/>
      <c r="F1855" s="17"/>
      <c r="G1855" s="17"/>
      <c r="Z1855" s="22"/>
      <c r="AB1855" s="22"/>
    </row>
    <row r="1856" spans="1:28">
      <c r="A1856" s="19"/>
      <c r="B1856" s="12"/>
      <c r="C1856" s="24"/>
      <c r="D1856" s="12"/>
      <c r="E1856" s="23"/>
      <c r="F1856" s="17"/>
      <c r="G1856" s="17"/>
      <c r="Z1856" s="22"/>
      <c r="AB1856" s="22"/>
    </row>
    <row r="1857" spans="1:28">
      <c r="A1857" s="19"/>
      <c r="B1857" s="12"/>
      <c r="C1857" s="24"/>
      <c r="D1857" s="12"/>
      <c r="E1857" s="23"/>
      <c r="F1857" s="17"/>
      <c r="G1857" s="17"/>
      <c r="Z1857" s="22"/>
      <c r="AB1857" s="22"/>
    </row>
    <row r="1858" spans="1:28">
      <c r="A1858" s="19"/>
      <c r="B1858" s="12"/>
      <c r="C1858" s="24"/>
      <c r="D1858" s="12"/>
      <c r="E1858" s="23"/>
      <c r="F1858" s="17"/>
      <c r="G1858" s="17"/>
      <c r="Z1858" s="22"/>
      <c r="AB1858" s="22"/>
    </row>
    <row r="1859" spans="1:28">
      <c r="A1859" s="19"/>
      <c r="B1859" s="12"/>
      <c r="C1859" s="24"/>
      <c r="D1859" s="12"/>
      <c r="E1859" s="23"/>
      <c r="F1859" s="17"/>
      <c r="G1859" s="17"/>
      <c r="Z1859" s="22"/>
      <c r="AB1859" s="22"/>
    </row>
    <row r="1860" spans="1:28">
      <c r="A1860" s="19"/>
      <c r="B1860" s="12"/>
      <c r="C1860" s="24"/>
      <c r="D1860" s="12"/>
      <c r="E1860" s="23"/>
      <c r="F1860" s="17"/>
      <c r="G1860" s="17"/>
      <c r="Z1860" s="22"/>
      <c r="AB1860" s="22"/>
    </row>
    <row r="1861" spans="1:28">
      <c r="A1861" s="19"/>
      <c r="B1861" s="12"/>
      <c r="C1861" s="24"/>
      <c r="D1861" s="12"/>
      <c r="E1861" s="23"/>
      <c r="F1861" s="17"/>
      <c r="G1861" s="17"/>
      <c r="Z1861" s="22"/>
      <c r="AB1861" s="22"/>
    </row>
    <row r="1862" spans="1:28">
      <c r="A1862" s="19"/>
      <c r="B1862" s="12"/>
      <c r="C1862" s="24"/>
      <c r="D1862" s="12"/>
      <c r="E1862" s="23"/>
      <c r="F1862" s="17"/>
      <c r="G1862" s="17"/>
      <c r="Z1862" s="22"/>
      <c r="AB1862" s="22"/>
    </row>
    <row r="1863" spans="1:28">
      <c r="A1863" s="19"/>
      <c r="B1863" s="12"/>
      <c r="C1863" s="24"/>
      <c r="D1863" s="12"/>
      <c r="E1863" s="23"/>
      <c r="F1863" s="17"/>
      <c r="G1863" s="17"/>
      <c r="Z1863" s="22"/>
      <c r="AB1863" s="22"/>
    </row>
    <row r="1864" spans="1:28">
      <c r="A1864" s="19"/>
      <c r="B1864" s="12"/>
      <c r="C1864" s="24"/>
      <c r="D1864" s="12"/>
      <c r="E1864" s="23"/>
      <c r="F1864" s="17"/>
      <c r="G1864" s="17"/>
      <c r="Z1864" s="22"/>
      <c r="AB1864" s="22"/>
    </row>
    <row r="1865" spans="1:28">
      <c r="A1865" s="19"/>
      <c r="B1865" s="12"/>
      <c r="C1865" s="24"/>
      <c r="D1865" s="12"/>
      <c r="E1865" s="23"/>
      <c r="F1865" s="17"/>
      <c r="G1865" s="17"/>
      <c r="Z1865" s="22"/>
      <c r="AB1865" s="22"/>
    </row>
    <row r="1866" spans="1:28">
      <c r="A1866" s="19"/>
      <c r="B1866" s="12"/>
      <c r="C1866" s="24"/>
      <c r="D1866" s="12"/>
      <c r="E1866" s="23"/>
      <c r="F1866" s="17"/>
      <c r="G1866" s="17"/>
      <c r="Z1866" s="22"/>
      <c r="AB1866" s="22"/>
    </row>
    <row r="1867" spans="1:28">
      <c r="A1867" s="19"/>
      <c r="B1867" s="12"/>
      <c r="C1867" s="24"/>
      <c r="D1867" s="12"/>
      <c r="E1867" s="23"/>
      <c r="F1867" s="17"/>
      <c r="G1867" s="17"/>
      <c r="Z1867" s="22"/>
      <c r="AB1867" s="22"/>
    </row>
    <row r="1868" spans="1:28">
      <c r="A1868" s="19"/>
      <c r="B1868" s="12"/>
      <c r="C1868" s="24"/>
      <c r="D1868" s="12"/>
      <c r="E1868" s="23"/>
      <c r="F1868" s="17"/>
      <c r="G1868" s="17"/>
      <c r="Z1868" s="22"/>
      <c r="AB1868" s="22"/>
    </row>
    <row r="1869" spans="1:28">
      <c r="A1869" s="19"/>
      <c r="B1869" s="12"/>
      <c r="C1869" s="24"/>
      <c r="D1869" s="12"/>
      <c r="E1869" s="23"/>
      <c r="F1869" s="17"/>
      <c r="G1869" s="17"/>
      <c r="Z1869" s="22"/>
      <c r="AB1869" s="22"/>
    </row>
    <row r="1870" spans="1:28">
      <c r="A1870" s="19"/>
      <c r="B1870" s="12"/>
      <c r="C1870" s="24"/>
      <c r="D1870" s="12"/>
      <c r="E1870" s="23"/>
      <c r="F1870" s="17"/>
      <c r="G1870" s="17"/>
      <c r="Z1870" s="22"/>
      <c r="AB1870" s="22"/>
    </row>
    <row r="1871" spans="1:28">
      <c r="A1871" s="19"/>
      <c r="B1871" s="12"/>
      <c r="C1871" s="24"/>
      <c r="D1871" s="12"/>
      <c r="E1871" s="23"/>
      <c r="F1871" s="17"/>
      <c r="G1871" s="17"/>
      <c r="Z1871" s="22"/>
      <c r="AB1871" s="22"/>
    </row>
    <row r="1872" spans="1:28">
      <c r="A1872" s="19"/>
      <c r="B1872" s="12"/>
      <c r="C1872" s="24"/>
      <c r="D1872" s="12"/>
      <c r="E1872" s="23"/>
      <c r="F1872" s="17"/>
      <c r="G1872" s="17"/>
      <c r="Z1872" s="22"/>
      <c r="AB1872" s="22"/>
    </row>
    <row r="1873" spans="1:28">
      <c r="A1873" s="19"/>
      <c r="B1873" s="12"/>
      <c r="C1873" s="24"/>
      <c r="D1873" s="12"/>
      <c r="E1873" s="23"/>
      <c r="F1873" s="17"/>
      <c r="G1873" s="17"/>
      <c r="Z1873" s="22"/>
      <c r="AB1873" s="22"/>
    </row>
    <row r="1874" spans="1:28">
      <c r="A1874" s="19"/>
      <c r="B1874" s="12"/>
      <c r="C1874" s="24"/>
      <c r="D1874" s="12"/>
      <c r="E1874" s="23"/>
      <c r="F1874" s="17"/>
      <c r="G1874" s="17"/>
      <c r="Z1874" s="22"/>
      <c r="AB1874" s="22"/>
    </row>
    <row r="1875" spans="1:28">
      <c r="A1875" s="19"/>
      <c r="B1875" s="12"/>
      <c r="C1875" s="24"/>
      <c r="D1875" s="12"/>
      <c r="E1875" s="23"/>
      <c r="F1875" s="17"/>
      <c r="G1875" s="17"/>
      <c r="Z1875" s="22"/>
      <c r="AB1875" s="22"/>
    </row>
    <row r="1876" spans="1:28">
      <c r="A1876" s="19"/>
      <c r="B1876" s="12"/>
      <c r="C1876" s="24"/>
      <c r="D1876" s="12"/>
      <c r="E1876" s="23"/>
      <c r="F1876" s="17"/>
      <c r="G1876" s="17"/>
      <c r="Z1876" s="22"/>
      <c r="AB1876" s="22"/>
    </row>
    <row r="1877" spans="1:28">
      <c r="A1877" s="19"/>
      <c r="B1877" s="12"/>
      <c r="C1877" s="24"/>
      <c r="D1877" s="12"/>
      <c r="E1877" s="23"/>
      <c r="F1877" s="17"/>
      <c r="G1877" s="17"/>
      <c r="Z1877" s="22"/>
      <c r="AB1877" s="22"/>
    </row>
    <row r="1878" spans="1:28">
      <c r="A1878" s="19"/>
      <c r="B1878" s="12"/>
      <c r="C1878" s="24"/>
      <c r="D1878" s="12"/>
      <c r="E1878" s="23"/>
      <c r="F1878" s="17"/>
      <c r="G1878" s="17"/>
      <c r="Z1878" s="22"/>
      <c r="AB1878" s="22"/>
    </row>
    <row r="1879" spans="1:28">
      <c r="A1879" s="19"/>
      <c r="B1879" s="12"/>
      <c r="C1879" s="24"/>
      <c r="D1879" s="12"/>
      <c r="E1879" s="23"/>
      <c r="F1879" s="17"/>
      <c r="G1879" s="17"/>
      <c r="Z1879" s="22"/>
      <c r="AB1879" s="22"/>
    </row>
    <row r="1880" spans="1:28">
      <c r="A1880" s="19"/>
      <c r="B1880" s="12"/>
      <c r="C1880" s="24"/>
      <c r="D1880" s="12"/>
      <c r="E1880" s="23"/>
      <c r="F1880" s="17"/>
      <c r="G1880" s="17"/>
      <c r="Z1880" s="22"/>
      <c r="AB1880" s="22"/>
    </row>
    <row r="1881" spans="1:28">
      <c r="A1881" s="19"/>
      <c r="B1881" s="12"/>
      <c r="C1881" s="24"/>
      <c r="D1881" s="12"/>
      <c r="E1881" s="23"/>
      <c r="F1881" s="17"/>
      <c r="G1881" s="17"/>
      <c r="Z1881" s="22"/>
      <c r="AB1881" s="22"/>
    </row>
    <row r="1882" spans="1:28">
      <c r="A1882" s="19"/>
      <c r="B1882" s="12"/>
      <c r="C1882" s="24"/>
      <c r="D1882" s="12"/>
      <c r="E1882" s="23"/>
      <c r="F1882" s="17"/>
      <c r="G1882" s="17"/>
      <c r="Z1882" s="22"/>
      <c r="AB1882" s="22"/>
    </row>
    <row r="1883" spans="1:28">
      <c r="A1883" s="19"/>
      <c r="B1883" s="12"/>
      <c r="C1883" s="24"/>
      <c r="D1883" s="12"/>
      <c r="E1883" s="23"/>
      <c r="F1883" s="17"/>
      <c r="G1883" s="17"/>
      <c r="Z1883" s="22"/>
      <c r="AB1883" s="22"/>
    </row>
    <row r="1884" spans="1:28">
      <c r="A1884" s="19"/>
      <c r="B1884" s="12"/>
      <c r="C1884" s="24"/>
      <c r="D1884" s="12"/>
      <c r="E1884" s="23"/>
      <c r="F1884" s="17"/>
      <c r="G1884" s="17"/>
      <c r="Z1884" s="22"/>
      <c r="AB1884" s="22"/>
    </row>
    <row r="1885" spans="1:28">
      <c r="A1885" s="19"/>
      <c r="B1885" s="12"/>
      <c r="C1885" s="24"/>
      <c r="D1885" s="12"/>
      <c r="E1885" s="23"/>
      <c r="F1885" s="17"/>
      <c r="G1885" s="17"/>
      <c r="Z1885" s="22"/>
      <c r="AB1885" s="22"/>
    </row>
    <row r="1886" spans="1:28">
      <c r="A1886" s="19"/>
      <c r="B1886" s="12"/>
      <c r="C1886" s="24"/>
      <c r="D1886" s="12"/>
      <c r="E1886" s="23"/>
      <c r="F1886" s="17"/>
      <c r="G1886" s="17"/>
      <c r="Z1886" s="22"/>
      <c r="AB1886" s="22"/>
    </row>
    <row r="1887" spans="1:28">
      <c r="A1887" s="19"/>
      <c r="B1887" s="12"/>
      <c r="C1887" s="24"/>
      <c r="D1887" s="12"/>
      <c r="E1887" s="23"/>
      <c r="F1887" s="17"/>
      <c r="G1887" s="17"/>
      <c r="Z1887" s="22"/>
      <c r="AB1887" s="22"/>
    </row>
    <row r="1888" spans="1:28">
      <c r="A1888" s="19"/>
      <c r="B1888" s="12"/>
      <c r="C1888" s="24"/>
      <c r="D1888" s="12"/>
      <c r="E1888" s="23"/>
      <c r="F1888" s="17"/>
      <c r="G1888" s="17"/>
      <c r="Z1888" s="22"/>
      <c r="AB1888" s="22"/>
    </row>
    <row r="1889" spans="1:28">
      <c r="A1889" s="19"/>
      <c r="B1889" s="12"/>
      <c r="C1889" s="24"/>
      <c r="D1889" s="12"/>
      <c r="E1889" s="23"/>
      <c r="F1889" s="17"/>
      <c r="G1889" s="17"/>
      <c r="Z1889" s="22"/>
      <c r="AB1889" s="22"/>
    </row>
    <row r="1890" spans="1:28">
      <c r="A1890" s="19"/>
      <c r="B1890" s="12"/>
      <c r="C1890" s="24"/>
      <c r="D1890" s="12"/>
      <c r="E1890" s="23"/>
      <c r="F1890" s="17"/>
      <c r="G1890" s="17"/>
      <c r="Z1890" s="22"/>
      <c r="AB1890" s="22"/>
    </row>
    <row r="1891" spans="1:28">
      <c r="A1891" s="19"/>
      <c r="B1891" s="12"/>
      <c r="C1891" s="24"/>
      <c r="D1891" s="12"/>
      <c r="E1891" s="23"/>
      <c r="F1891" s="17"/>
      <c r="G1891" s="17"/>
      <c r="Z1891" s="22"/>
      <c r="AB1891" s="22"/>
    </row>
    <row r="1892" spans="1:28">
      <c r="A1892" s="19"/>
      <c r="B1892" s="12"/>
      <c r="C1892" s="24"/>
      <c r="D1892" s="12"/>
      <c r="E1892" s="23"/>
      <c r="F1892" s="17"/>
      <c r="G1892" s="17"/>
      <c r="Z1892" s="22"/>
      <c r="AB1892" s="22"/>
    </row>
    <row r="1893" spans="1:28">
      <c r="A1893" s="19"/>
      <c r="B1893" s="12"/>
      <c r="C1893" s="24"/>
      <c r="D1893" s="12"/>
      <c r="E1893" s="23"/>
      <c r="F1893" s="17"/>
      <c r="G1893" s="17"/>
      <c r="Z1893" s="22"/>
      <c r="AB1893" s="22"/>
    </row>
    <row r="1894" spans="1:28">
      <c r="A1894" s="19"/>
      <c r="B1894" s="12"/>
      <c r="C1894" s="24"/>
      <c r="D1894" s="12"/>
      <c r="E1894" s="23"/>
      <c r="F1894" s="17"/>
      <c r="G1894" s="17"/>
      <c r="Z1894" s="22"/>
      <c r="AB1894" s="22"/>
    </row>
    <row r="1895" spans="1:28">
      <c r="A1895" s="19"/>
      <c r="B1895" s="12"/>
      <c r="C1895" s="24"/>
      <c r="D1895" s="12"/>
      <c r="E1895" s="23"/>
      <c r="F1895" s="17"/>
      <c r="G1895" s="17"/>
      <c r="Z1895" s="22"/>
      <c r="AB1895" s="22"/>
    </row>
    <row r="1896" spans="1:28">
      <c r="A1896" s="19"/>
      <c r="B1896" s="12"/>
      <c r="C1896" s="24"/>
      <c r="D1896" s="12"/>
      <c r="E1896" s="23"/>
      <c r="F1896" s="17"/>
      <c r="G1896" s="17"/>
      <c r="Z1896" s="22"/>
      <c r="AB1896" s="22"/>
    </row>
    <row r="1897" spans="1:28">
      <c r="A1897" s="19"/>
      <c r="B1897" s="12"/>
      <c r="C1897" s="24"/>
      <c r="D1897" s="12"/>
      <c r="E1897" s="23"/>
      <c r="F1897" s="17"/>
      <c r="G1897" s="17"/>
      <c r="Z1897" s="22"/>
      <c r="AB1897" s="22"/>
    </row>
    <row r="1898" spans="1:28">
      <c r="A1898" s="19"/>
      <c r="B1898" s="12"/>
      <c r="C1898" s="24"/>
      <c r="D1898" s="12"/>
      <c r="E1898" s="23"/>
      <c r="F1898" s="17"/>
      <c r="G1898" s="17"/>
      <c r="Z1898" s="22"/>
      <c r="AB1898" s="22"/>
    </row>
    <row r="1899" spans="1:28">
      <c r="A1899" s="19"/>
      <c r="B1899" s="12"/>
      <c r="C1899" s="24"/>
      <c r="D1899" s="12"/>
      <c r="E1899" s="23"/>
      <c r="F1899" s="17"/>
      <c r="G1899" s="17"/>
      <c r="Z1899" s="22"/>
      <c r="AB1899" s="22"/>
    </row>
    <row r="1900" spans="1:28">
      <c r="A1900" s="19"/>
      <c r="B1900" s="12"/>
      <c r="C1900" s="24"/>
      <c r="D1900" s="12"/>
      <c r="E1900" s="23"/>
      <c r="F1900" s="17"/>
      <c r="G1900" s="17"/>
      <c r="Z1900" s="22"/>
      <c r="AB1900" s="22"/>
    </row>
    <row r="1901" spans="1:28">
      <c r="A1901" s="19"/>
      <c r="B1901" s="12"/>
      <c r="C1901" s="24"/>
      <c r="D1901" s="12"/>
      <c r="E1901" s="23"/>
      <c r="F1901" s="17"/>
      <c r="G1901" s="17"/>
      <c r="Z1901" s="22"/>
      <c r="AB1901" s="22"/>
    </row>
    <row r="1902" spans="1:28">
      <c r="A1902" s="19"/>
      <c r="B1902" s="12"/>
      <c r="C1902" s="24"/>
      <c r="D1902" s="12"/>
      <c r="E1902" s="23"/>
      <c r="F1902" s="17"/>
      <c r="G1902" s="17"/>
      <c r="Z1902" s="22"/>
      <c r="AB1902" s="22"/>
    </row>
    <row r="1903" spans="1:28">
      <c r="A1903" s="19"/>
      <c r="B1903" s="12"/>
      <c r="C1903" s="24"/>
      <c r="D1903" s="12"/>
      <c r="E1903" s="23"/>
      <c r="F1903" s="17"/>
      <c r="G1903" s="17"/>
      <c r="Z1903" s="22"/>
      <c r="AB1903" s="22"/>
    </row>
    <row r="1904" spans="1:28">
      <c r="A1904" s="19"/>
      <c r="B1904" s="12"/>
      <c r="C1904" s="24"/>
      <c r="D1904" s="12"/>
      <c r="E1904" s="23"/>
      <c r="F1904" s="17"/>
      <c r="G1904" s="17"/>
      <c r="Z1904" s="22"/>
      <c r="AB1904" s="22"/>
    </row>
    <row r="1905" spans="1:28">
      <c r="A1905" s="19"/>
      <c r="B1905" s="12"/>
      <c r="C1905" s="24"/>
      <c r="D1905" s="12"/>
      <c r="E1905" s="23"/>
      <c r="F1905" s="17"/>
      <c r="G1905" s="17"/>
      <c r="Z1905" s="22"/>
      <c r="AB1905" s="22"/>
    </row>
    <row r="1906" spans="1:28">
      <c r="A1906" s="19"/>
      <c r="B1906" s="12"/>
      <c r="C1906" s="24"/>
      <c r="D1906" s="12"/>
      <c r="E1906" s="23"/>
      <c r="F1906" s="17"/>
      <c r="G1906" s="17"/>
      <c r="Z1906" s="22"/>
      <c r="AB1906" s="22"/>
    </row>
    <row r="1907" spans="1:28">
      <c r="A1907" s="19"/>
      <c r="B1907" s="12"/>
      <c r="C1907" s="24"/>
      <c r="D1907" s="12"/>
      <c r="E1907" s="23"/>
      <c r="F1907" s="17"/>
      <c r="G1907" s="17"/>
      <c r="Z1907" s="22"/>
      <c r="AB1907" s="22"/>
    </row>
    <row r="1908" spans="1:28">
      <c r="A1908" s="19"/>
      <c r="B1908" s="12"/>
      <c r="C1908" s="24"/>
      <c r="D1908" s="12"/>
      <c r="E1908" s="23"/>
      <c r="F1908" s="17"/>
      <c r="G1908" s="17"/>
      <c r="Z1908" s="22"/>
      <c r="AB1908" s="22"/>
    </row>
    <row r="1909" spans="1:28">
      <c r="A1909" s="19"/>
      <c r="B1909" s="12"/>
      <c r="C1909" s="24"/>
      <c r="D1909" s="12"/>
      <c r="E1909" s="23"/>
      <c r="F1909" s="17"/>
      <c r="G1909" s="17"/>
      <c r="Z1909" s="22"/>
      <c r="AB1909" s="22"/>
    </row>
    <row r="1910" spans="1:28">
      <c r="A1910" s="19"/>
      <c r="B1910" s="12"/>
      <c r="C1910" s="24"/>
      <c r="D1910" s="12"/>
      <c r="E1910" s="23"/>
      <c r="F1910" s="17"/>
      <c r="G1910" s="17"/>
      <c r="Z1910" s="22"/>
      <c r="AB1910" s="22"/>
    </row>
    <row r="1911" spans="1:28">
      <c r="A1911" s="19"/>
      <c r="B1911" s="12"/>
      <c r="C1911" s="24"/>
      <c r="D1911" s="12"/>
      <c r="E1911" s="23"/>
      <c r="F1911" s="17"/>
      <c r="G1911" s="17"/>
      <c r="Z1911" s="22"/>
      <c r="AB1911" s="22"/>
    </row>
    <row r="1912" spans="1:28">
      <c r="A1912" s="19"/>
      <c r="B1912" s="12"/>
      <c r="C1912" s="24"/>
      <c r="D1912" s="12"/>
      <c r="E1912" s="23"/>
      <c r="F1912" s="17"/>
      <c r="G1912" s="17"/>
      <c r="Z1912" s="22"/>
      <c r="AB1912" s="22"/>
    </row>
    <row r="1913" spans="1:28">
      <c r="A1913" s="19"/>
      <c r="B1913" s="12"/>
      <c r="C1913" s="24"/>
      <c r="D1913" s="12"/>
      <c r="E1913" s="23"/>
      <c r="F1913" s="17"/>
      <c r="G1913" s="17"/>
      <c r="Z1913" s="22"/>
      <c r="AB1913" s="22"/>
    </row>
    <row r="1914" spans="1:28">
      <c r="A1914" s="19"/>
      <c r="B1914" s="12"/>
      <c r="C1914" s="24"/>
      <c r="D1914" s="12"/>
      <c r="E1914" s="23"/>
      <c r="F1914" s="17"/>
      <c r="G1914" s="17"/>
      <c r="Z1914" s="22"/>
      <c r="AB1914" s="22"/>
    </row>
    <row r="1915" spans="1:28">
      <c r="A1915" s="19"/>
      <c r="B1915" s="12"/>
      <c r="C1915" s="24"/>
      <c r="D1915" s="12"/>
      <c r="E1915" s="23"/>
      <c r="F1915" s="17"/>
      <c r="G1915" s="17"/>
      <c r="Z1915" s="22"/>
      <c r="AB1915" s="22"/>
    </row>
    <row r="1916" spans="1:28">
      <c r="A1916" s="19"/>
      <c r="B1916" s="12"/>
      <c r="C1916" s="24"/>
      <c r="D1916" s="12"/>
      <c r="E1916" s="23"/>
      <c r="F1916" s="17"/>
      <c r="G1916" s="17"/>
      <c r="Z1916" s="22"/>
      <c r="AB1916" s="22"/>
    </row>
    <row r="1917" spans="1:28">
      <c r="A1917" s="19"/>
      <c r="B1917" s="12"/>
      <c r="C1917" s="24"/>
      <c r="D1917" s="12"/>
      <c r="E1917" s="23"/>
      <c r="F1917" s="17"/>
      <c r="G1917" s="17"/>
      <c r="Z1917" s="22"/>
      <c r="AB1917" s="22"/>
    </row>
    <row r="1918" spans="1:28">
      <c r="A1918" s="19"/>
      <c r="B1918" s="12"/>
      <c r="C1918" s="24"/>
      <c r="D1918" s="12"/>
      <c r="E1918" s="23"/>
      <c r="F1918" s="17"/>
      <c r="G1918" s="17"/>
      <c r="Z1918" s="22"/>
      <c r="AB1918" s="22"/>
    </row>
    <row r="1919" spans="1:28">
      <c r="A1919" s="19"/>
      <c r="B1919" s="12"/>
      <c r="C1919" s="24"/>
      <c r="D1919" s="12"/>
      <c r="E1919" s="23"/>
      <c r="F1919" s="17"/>
      <c r="G1919" s="17"/>
      <c r="Z1919" s="22"/>
      <c r="AB1919" s="22"/>
    </row>
    <row r="1920" spans="1:28">
      <c r="A1920" s="19"/>
      <c r="B1920" s="12"/>
      <c r="C1920" s="24"/>
      <c r="D1920" s="12"/>
      <c r="E1920" s="23"/>
      <c r="F1920" s="17"/>
      <c r="G1920" s="17"/>
      <c r="Z1920" s="22"/>
      <c r="AB1920" s="22"/>
    </row>
    <row r="1921" spans="1:28">
      <c r="A1921" s="19"/>
      <c r="B1921" s="12"/>
      <c r="C1921" s="24"/>
      <c r="D1921" s="12"/>
      <c r="E1921" s="23"/>
      <c r="F1921" s="17"/>
      <c r="G1921" s="17"/>
      <c r="Z1921" s="22"/>
      <c r="AB1921" s="22"/>
    </row>
    <row r="1922" spans="1:28">
      <c r="A1922" s="19"/>
      <c r="B1922" s="12"/>
      <c r="C1922" s="24"/>
      <c r="D1922" s="12"/>
      <c r="E1922" s="23"/>
      <c r="F1922" s="17"/>
      <c r="G1922" s="17"/>
      <c r="Z1922" s="22"/>
      <c r="AB1922" s="22"/>
    </row>
    <row r="1923" spans="1:28">
      <c r="A1923" s="19"/>
      <c r="B1923" s="12"/>
      <c r="C1923" s="24"/>
      <c r="D1923" s="12"/>
      <c r="E1923" s="23"/>
      <c r="F1923" s="17"/>
      <c r="G1923" s="17"/>
      <c r="Z1923" s="22"/>
      <c r="AB1923" s="22"/>
    </row>
    <row r="1924" spans="1:28">
      <c r="A1924" s="19"/>
      <c r="B1924" s="12"/>
      <c r="C1924" s="24"/>
      <c r="D1924" s="12"/>
      <c r="E1924" s="23"/>
      <c r="F1924" s="17"/>
      <c r="G1924" s="17"/>
      <c r="Z1924" s="22"/>
      <c r="AB1924" s="22"/>
    </row>
    <row r="1925" spans="1:28">
      <c r="A1925" s="19"/>
      <c r="B1925" s="12"/>
      <c r="C1925" s="24"/>
      <c r="D1925" s="12"/>
      <c r="E1925" s="23"/>
      <c r="F1925" s="17"/>
      <c r="G1925" s="17"/>
      <c r="Z1925" s="22"/>
      <c r="AB1925" s="22"/>
    </row>
    <row r="1926" spans="1:28">
      <c r="A1926" s="19"/>
      <c r="B1926" s="12"/>
      <c r="C1926" s="24"/>
      <c r="D1926" s="12"/>
      <c r="E1926" s="23"/>
      <c r="F1926" s="17"/>
      <c r="G1926" s="17"/>
      <c r="Z1926" s="22"/>
      <c r="AB1926" s="22"/>
    </row>
    <row r="1927" spans="1:28">
      <c r="A1927" s="19"/>
      <c r="B1927" s="12"/>
      <c r="C1927" s="24"/>
      <c r="D1927" s="12"/>
      <c r="E1927" s="23"/>
      <c r="F1927" s="17"/>
      <c r="G1927" s="17"/>
      <c r="Z1927" s="22"/>
      <c r="AB1927" s="22"/>
    </row>
    <row r="1928" spans="1:28">
      <c r="A1928" s="19"/>
      <c r="B1928" s="12"/>
      <c r="C1928" s="24"/>
      <c r="D1928" s="12"/>
      <c r="E1928" s="23"/>
      <c r="F1928" s="17"/>
      <c r="G1928" s="17"/>
      <c r="Z1928" s="22"/>
      <c r="AB1928" s="22"/>
    </row>
    <row r="1929" spans="1:28">
      <c r="A1929" s="19"/>
      <c r="B1929" s="12"/>
      <c r="C1929" s="24"/>
      <c r="D1929" s="12"/>
      <c r="E1929" s="23"/>
      <c r="F1929" s="17"/>
      <c r="G1929" s="17"/>
      <c r="Z1929" s="22"/>
      <c r="AB1929" s="22"/>
    </row>
    <row r="1930" spans="1:28">
      <c r="A1930" s="19"/>
      <c r="B1930" s="12"/>
      <c r="C1930" s="24"/>
      <c r="D1930" s="12"/>
      <c r="E1930" s="23"/>
      <c r="F1930" s="17"/>
      <c r="G1930" s="17"/>
      <c r="Z1930" s="22"/>
      <c r="AB1930" s="22"/>
    </row>
    <row r="1931" spans="1:28">
      <c r="A1931" s="19"/>
      <c r="B1931" s="12"/>
      <c r="C1931" s="24"/>
      <c r="D1931" s="12"/>
      <c r="E1931" s="23"/>
      <c r="F1931" s="17"/>
      <c r="G1931" s="17"/>
      <c r="Z1931" s="22"/>
      <c r="AB1931" s="22"/>
    </row>
    <row r="1932" spans="1:28">
      <c r="A1932" s="19"/>
      <c r="B1932" s="12"/>
      <c r="C1932" s="24"/>
      <c r="D1932" s="12"/>
      <c r="E1932" s="23"/>
      <c r="F1932" s="17"/>
      <c r="G1932" s="17"/>
      <c r="Z1932" s="22"/>
      <c r="AB1932" s="22"/>
    </row>
    <row r="1933" spans="1:28">
      <c r="A1933" s="19"/>
      <c r="B1933" s="12"/>
      <c r="C1933" s="24"/>
      <c r="D1933" s="12"/>
      <c r="E1933" s="23"/>
      <c r="F1933" s="17"/>
      <c r="G1933" s="17"/>
      <c r="Z1933" s="22"/>
      <c r="AB1933" s="22"/>
    </row>
    <row r="1934" spans="1:28">
      <c r="A1934" s="19"/>
      <c r="B1934" s="12"/>
      <c r="C1934" s="24"/>
      <c r="D1934" s="12"/>
      <c r="E1934" s="23"/>
      <c r="F1934" s="17"/>
      <c r="G1934" s="17"/>
      <c r="Z1934" s="22"/>
      <c r="AB1934" s="22"/>
    </row>
    <row r="1935" spans="1:28">
      <c r="A1935" s="19"/>
      <c r="B1935" s="12"/>
      <c r="C1935" s="24"/>
      <c r="D1935" s="12"/>
      <c r="E1935" s="23"/>
      <c r="F1935" s="17"/>
      <c r="G1935" s="17"/>
      <c r="Z1935" s="22"/>
      <c r="AB1935" s="22"/>
    </row>
    <row r="1936" spans="1:28">
      <c r="A1936" s="19"/>
      <c r="B1936" s="12"/>
      <c r="C1936" s="24"/>
      <c r="D1936" s="12"/>
      <c r="E1936" s="23"/>
      <c r="F1936" s="17"/>
      <c r="G1936" s="17"/>
      <c r="Z1936" s="22"/>
      <c r="AB1936" s="22"/>
    </row>
    <row r="1937" spans="1:28">
      <c r="A1937" s="19"/>
      <c r="B1937" s="12"/>
      <c r="C1937" s="24"/>
      <c r="D1937" s="12"/>
      <c r="E1937" s="23"/>
      <c r="F1937" s="17"/>
      <c r="G1937" s="17"/>
      <c r="Z1937" s="22"/>
      <c r="AB1937" s="22"/>
    </row>
    <row r="1938" spans="1:28">
      <c r="A1938" s="19"/>
      <c r="B1938" s="12"/>
      <c r="C1938" s="24"/>
      <c r="D1938" s="12"/>
      <c r="E1938" s="23"/>
      <c r="F1938" s="17"/>
      <c r="G1938" s="17"/>
      <c r="Z1938" s="22"/>
      <c r="AB1938" s="22"/>
    </row>
    <row r="1939" spans="1:28">
      <c r="A1939" s="19"/>
      <c r="B1939" s="12"/>
      <c r="C1939" s="24"/>
      <c r="D1939" s="12"/>
      <c r="E1939" s="23"/>
      <c r="F1939" s="17"/>
      <c r="G1939" s="17"/>
      <c r="Z1939" s="22"/>
      <c r="AB1939" s="22"/>
    </row>
    <row r="1940" spans="1:28">
      <c r="A1940" s="19"/>
      <c r="B1940" s="12"/>
      <c r="C1940" s="24"/>
      <c r="D1940" s="12"/>
      <c r="E1940" s="23"/>
      <c r="F1940" s="17"/>
      <c r="G1940" s="17"/>
      <c r="Z1940" s="22"/>
      <c r="AB1940" s="22"/>
    </row>
    <row r="1941" spans="1:28">
      <c r="A1941" s="19"/>
      <c r="B1941" s="12"/>
      <c r="C1941" s="24"/>
      <c r="D1941" s="12"/>
      <c r="E1941" s="23"/>
      <c r="F1941" s="17"/>
      <c r="G1941" s="17"/>
      <c r="Z1941" s="22"/>
      <c r="AB1941" s="22"/>
    </row>
    <row r="1942" spans="1:28">
      <c r="A1942" s="19"/>
      <c r="B1942" s="12"/>
      <c r="C1942" s="24"/>
      <c r="D1942" s="12"/>
      <c r="E1942" s="23"/>
      <c r="F1942" s="17"/>
      <c r="G1942" s="17"/>
      <c r="Z1942" s="22"/>
      <c r="AB1942" s="22"/>
    </row>
    <row r="1943" spans="1:28">
      <c r="A1943" s="19"/>
      <c r="B1943" s="12"/>
      <c r="C1943" s="24"/>
      <c r="D1943" s="12"/>
      <c r="E1943" s="23"/>
      <c r="F1943" s="17"/>
      <c r="G1943" s="17"/>
      <c r="Z1943" s="22"/>
      <c r="AB1943" s="22"/>
    </row>
    <row r="1944" spans="1:28">
      <c r="A1944" s="19"/>
      <c r="B1944" s="12"/>
      <c r="C1944" s="24"/>
      <c r="D1944" s="12"/>
      <c r="E1944" s="23"/>
      <c r="F1944" s="17"/>
      <c r="G1944" s="17"/>
      <c r="Z1944" s="22"/>
      <c r="AB1944" s="22"/>
    </row>
    <row r="1945" spans="1:28">
      <c r="A1945" s="19"/>
      <c r="B1945" s="12"/>
      <c r="C1945" s="24"/>
      <c r="D1945" s="12"/>
      <c r="E1945" s="23"/>
      <c r="F1945" s="17"/>
      <c r="G1945" s="17"/>
      <c r="Z1945" s="22"/>
      <c r="AB1945" s="22"/>
    </row>
    <row r="1946" spans="1:28">
      <c r="A1946" s="19"/>
      <c r="B1946" s="12"/>
      <c r="C1946" s="24"/>
      <c r="D1946" s="12"/>
      <c r="E1946" s="23"/>
      <c r="F1946" s="17"/>
      <c r="G1946" s="17"/>
      <c r="Z1946" s="22"/>
      <c r="AB1946" s="22"/>
    </row>
    <row r="1947" spans="1:28">
      <c r="A1947" s="19"/>
      <c r="B1947" s="12"/>
      <c r="C1947" s="24"/>
      <c r="D1947" s="12"/>
      <c r="E1947" s="23"/>
      <c r="F1947" s="17"/>
      <c r="G1947" s="17"/>
      <c r="Z1947" s="22"/>
      <c r="AB1947" s="22"/>
    </row>
    <row r="1948" spans="1:28">
      <c r="A1948" s="19"/>
      <c r="B1948" s="12"/>
      <c r="C1948" s="24"/>
      <c r="D1948" s="12"/>
      <c r="E1948" s="23"/>
      <c r="F1948" s="17"/>
      <c r="G1948" s="17"/>
      <c r="Z1948" s="22"/>
      <c r="AB1948" s="22"/>
    </row>
    <row r="1949" spans="1:28">
      <c r="A1949" s="19"/>
      <c r="B1949" s="12"/>
      <c r="C1949" s="24"/>
      <c r="D1949" s="12"/>
      <c r="E1949" s="23"/>
      <c r="F1949" s="17"/>
      <c r="G1949" s="17"/>
      <c r="Z1949" s="22"/>
      <c r="AB1949" s="22"/>
    </row>
    <row r="1950" spans="1:28">
      <c r="A1950" s="19"/>
      <c r="B1950" s="12"/>
      <c r="C1950" s="24"/>
      <c r="D1950" s="12"/>
      <c r="E1950" s="23"/>
      <c r="F1950" s="17"/>
      <c r="G1950" s="17"/>
      <c r="Z1950" s="22"/>
      <c r="AB1950" s="22"/>
    </row>
    <row r="1951" spans="1:28">
      <c r="A1951" s="19"/>
      <c r="B1951" s="12"/>
      <c r="C1951" s="24"/>
      <c r="D1951" s="12"/>
      <c r="E1951" s="23"/>
      <c r="F1951" s="17"/>
      <c r="G1951" s="17"/>
      <c r="Z1951" s="22"/>
      <c r="AB1951" s="22"/>
    </row>
    <row r="1952" spans="1:28">
      <c r="A1952" s="19"/>
      <c r="B1952" s="12"/>
      <c r="C1952" s="24"/>
      <c r="D1952" s="12"/>
      <c r="E1952" s="23"/>
      <c r="F1952" s="17"/>
      <c r="G1952" s="17"/>
      <c r="Z1952" s="22"/>
      <c r="AB1952" s="22"/>
    </row>
    <row r="1953" spans="1:28">
      <c r="A1953" s="19"/>
      <c r="B1953" s="12"/>
      <c r="C1953" s="24"/>
      <c r="D1953" s="12"/>
      <c r="E1953" s="23"/>
      <c r="F1953" s="17"/>
      <c r="G1953" s="17"/>
      <c r="Z1953" s="22"/>
      <c r="AB1953" s="22"/>
    </row>
    <row r="1954" spans="1:28">
      <c r="A1954" s="19"/>
      <c r="B1954" s="12"/>
      <c r="C1954" s="24"/>
      <c r="D1954" s="12"/>
      <c r="E1954" s="23"/>
      <c r="F1954" s="17"/>
      <c r="G1954" s="17"/>
      <c r="Z1954" s="22"/>
      <c r="AB1954" s="22"/>
    </row>
    <row r="1955" spans="1:28">
      <c r="A1955" s="19"/>
      <c r="B1955" s="12"/>
      <c r="C1955" s="24"/>
      <c r="D1955" s="12"/>
      <c r="E1955" s="23"/>
      <c r="F1955" s="17"/>
      <c r="G1955" s="17"/>
      <c r="Z1955" s="22"/>
      <c r="AB1955" s="22"/>
    </row>
    <row r="1956" spans="1:28">
      <c r="A1956" s="19"/>
      <c r="B1956" s="12"/>
      <c r="C1956" s="24"/>
      <c r="D1956" s="12"/>
      <c r="E1956" s="23"/>
      <c r="F1956" s="17"/>
      <c r="G1956" s="17"/>
      <c r="Z1956" s="22"/>
      <c r="AB1956" s="22"/>
    </row>
    <row r="1957" spans="1:28">
      <c r="A1957" s="19"/>
      <c r="B1957" s="12"/>
      <c r="C1957" s="24"/>
      <c r="D1957" s="12"/>
      <c r="E1957" s="23"/>
      <c r="F1957" s="17"/>
      <c r="G1957" s="17"/>
      <c r="Z1957" s="22"/>
      <c r="AB1957" s="22"/>
    </row>
    <row r="1958" spans="1:28">
      <c r="A1958" s="19"/>
      <c r="B1958" s="12"/>
      <c r="C1958" s="24"/>
      <c r="D1958" s="12"/>
      <c r="E1958" s="23"/>
      <c r="F1958" s="17"/>
      <c r="G1958" s="17"/>
      <c r="Z1958" s="22"/>
      <c r="AB1958" s="22"/>
    </row>
    <row r="1959" spans="1:28">
      <c r="A1959" s="19"/>
      <c r="B1959" s="12"/>
      <c r="C1959" s="24"/>
      <c r="D1959" s="12"/>
      <c r="E1959" s="23"/>
      <c r="F1959" s="17"/>
      <c r="G1959" s="17"/>
      <c r="Z1959" s="22"/>
      <c r="AB1959" s="22"/>
    </row>
    <row r="1960" spans="1:28">
      <c r="A1960" s="19"/>
      <c r="B1960" s="12"/>
      <c r="C1960" s="24"/>
      <c r="D1960" s="12"/>
      <c r="E1960" s="23"/>
      <c r="F1960" s="17"/>
      <c r="G1960" s="17"/>
      <c r="Z1960" s="22"/>
      <c r="AB1960" s="22"/>
    </row>
    <row r="1961" spans="1:28">
      <c r="A1961" s="19"/>
      <c r="B1961" s="12"/>
      <c r="C1961" s="24"/>
      <c r="D1961" s="12"/>
      <c r="E1961" s="23"/>
      <c r="F1961" s="17"/>
      <c r="G1961" s="17"/>
      <c r="Z1961" s="22"/>
      <c r="AB1961" s="22"/>
    </row>
    <row r="1962" spans="1:28">
      <c r="A1962" s="19"/>
      <c r="B1962" s="12"/>
      <c r="C1962" s="24"/>
      <c r="D1962" s="12"/>
      <c r="E1962" s="23"/>
      <c r="F1962" s="17"/>
      <c r="G1962" s="17"/>
      <c r="Z1962" s="22"/>
      <c r="AB1962" s="22"/>
    </row>
    <row r="1963" spans="1:28">
      <c r="A1963" s="19"/>
      <c r="B1963" s="12"/>
      <c r="C1963" s="24"/>
      <c r="D1963" s="12"/>
      <c r="E1963" s="23"/>
      <c r="F1963" s="17"/>
      <c r="G1963" s="17"/>
      <c r="Z1963" s="22"/>
      <c r="AB1963" s="22"/>
    </row>
    <row r="1964" spans="1:28">
      <c r="A1964" s="19"/>
      <c r="B1964" s="12"/>
      <c r="C1964" s="24"/>
      <c r="D1964" s="12"/>
      <c r="E1964" s="23"/>
      <c r="F1964" s="17"/>
      <c r="G1964" s="17"/>
      <c r="Z1964" s="22"/>
      <c r="AB1964" s="22"/>
    </row>
    <row r="1965" spans="1:28">
      <c r="A1965" s="19"/>
      <c r="B1965" s="12"/>
      <c r="C1965" s="24"/>
      <c r="D1965" s="12"/>
      <c r="E1965" s="23"/>
      <c r="F1965" s="17"/>
      <c r="G1965" s="17"/>
      <c r="Z1965" s="22"/>
      <c r="AB1965" s="22"/>
    </row>
    <row r="1966" spans="1:28">
      <c r="A1966" s="19"/>
      <c r="B1966" s="12"/>
      <c r="C1966" s="24"/>
      <c r="D1966" s="12"/>
      <c r="E1966" s="23"/>
      <c r="F1966" s="17"/>
      <c r="G1966" s="17"/>
      <c r="Z1966" s="22"/>
      <c r="AB1966" s="22"/>
    </row>
    <row r="1967" spans="1:28">
      <c r="A1967" s="19"/>
      <c r="B1967" s="12"/>
      <c r="C1967" s="24"/>
      <c r="D1967" s="12"/>
      <c r="E1967" s="23"/>
      <c r="F1967" s="17"/>
      <c r="G1967" s="17"/>
      <c r="Z1967" s="22"/>
      <c r="AB1967" s="22"/>
    </row>
    <row r="1968" spans="1:28">
      <c r="A1968" s="19"/>
      <c r="B1968" s="12"/>
      <c r="C1968" s="24"/>
      <c r="D1968" s="12"/>
      <c r="E1968" s="23"/>
      <c r="F1968" s="17"/>
      <c r="G1968" s="17"/>
      <c r="Z1968" s="22"/>
      <c r="AB1968" s="22"/>
    </row>
    <row r="1969" spans="1:28">
      <c r="A1969" s="19"/>
      <c r="B1969" s="12"/>
      <c r="C1969" s="24"/>
      <c r="D1969" s="12"/>
      <c r="E1969" s="23"/>
      <c r="F1969" s="17"/>
      <c r="G1969" s="17"/>
      <c r="Z1969" s="22"/>
      <c r="AB1969" s="22"/>
    </row>
    <row r="1970" spans="1:28">
      <c r="A1970" s="19"/>
      <c r="B1970" s="12"/>
      <c r="C1970" s="24"/>
      <c r="D1970" s="12"/>
      <c r="E1970" s="23"/>
      <c r="F1970" s="17"/>
      <c r="G1970" s="17"/>
      <c r="Z1970" s="22"/>
      <c r="AB1970" s="22"/>
    </row>
    <row r="1971" spans="1:28">
      <c r="A1971" s="19"/>
      <c r="B1971" s="12"/>
      <c r="C1971" s="24"/>
      <c r="D1971" s="12"/>
      <c r="E1971" s="23"/>
      <c r="F1971" s="17"/>
      <c r="G1971" s="17"/>
      <c r="Z1971" s="22"/>
      <c r="AB1971" s="22"/>
    </row>
    <row r="1972" spans="1:28">
      <c r="A1972" s="19"/>
      <c r="B1972" s="12"/>
      <c r="C1972" s="24"/>
      <c r="D1972" s="12"/>
      <c r="E1972" s="23"/>
      <c r="F1972" s="17"/>
      <c r="G1972" s="17"/>
      <c r="Z1972" s="22"/>
      <c r="AB1972" s="22"/>
    </row>
    <row r="1973" spans="1:28">
      <c r="A1973" s="19"/>
      <c r="B1973" s="12"/>
      <c r="C1973" s="24"/>
      <c r="D1973" s="12"/>
      <c r="E1973" s="23"/>
      <c r="F1973" s="17"/>
      <c r="G1973" s="17"/>
      <c r="Z1973" s="22"/>
      <c r="AB1973" s="22"/>
    </row>
    <row r="1974" spans="1:28">
      <c r="A1974" s="19"/>
      <c r="B1974" s="12"/>
      <c r="C1974" s="24"/>
      <c r="D1974" s="12"/>
      <c r="E1974" s="23"/>
      <c r="F1974" s="17"/>
      <c r="G1974" s="17"/>
      <c r="Z1974" s="22"/>
      <c r="AB1974" s="22"/>
    </row>
    <row r="1975" spans="1:28">
      <c r="A1975" s="19"/>
      <c r="B1975" s="12"/>
      <c r="C1975" s="24"/>
      <c r="D1975" s="12"/>
      <c r="E1975" s="23"/>
      <c r="F1975" s="17"/>
      <c r="G1975" s="17"/>
      <c r="Z1975" s="22"/>
      <c r="AB1975" s="22"/>
    </row>
    <row r="1976" spans="1:28">
      <c r="A1976" s="19"/>
      <c r="B1976" s="12"/>
      <c r="C1976" s="24"/>
      <c r="D1976" s="12"/>
      <c r="E1976" s="23"/>
      <c r="F1976" s="17"/>
      <c r="G1976" s="17"/>
      <c r="Z1976" s="22"/>
      <c r="AB1976" s="22"/>
    </row>
    <row r="1977" spans="1:28">
      <c r="A1977" s="19"/>
      <c r="B1977" s="12"/>
      <c r="C1977" s="24"/>
      <c r="D1977" s="12"/>
      <c r="E1977" s="23"/>
      <c r="F1977" s="17"/>
      <c r="G1977" s="17"/>
      <c r="Z1977" s="22"/>
      <c r="AB1977" s="22"/>
    </row>
    <row r="1978" spans="1:28">
      <c r="A1978" s="19"/>
      <c r="B1978" s="12"/>
      <c r="C1978" s="24"/>
      <c r="D1978" s="12"/>
      <c r="E1978" s="23"/>
      <c r="F1978" s="17"/>
      <c r="G1978" s="17"/>
      <c r="Z1978" s="22"/>
      <c r="AB1978" s="22"/>
    </row>
    <row r="1979" spans="1:28">
      <c r="A1979" s="19"/>
      <c r="B1979" s="12"/>
      <c r="C1979" s="24"/>
      <c r="D1979" s="12"/>
      <c r="E1979" s="23"/>
      <c r="F1979" s="17"/>
      <c r="G1979" s="17"/>
      <c r="Z1979" s="22"/>
      <c r="AB1979" s="22"/>
    </row>
    <row r="1980" spans="1:28">
      <c r="A1980" s="19"/>
      <c r="B1980" s="12"/>
      <c r="C1980" s="24"/>
      <c r="D1980" s="12"/>
      <c r="E1980" s="23"/>
      <c r="F1980" s="17"/>
      <c r="G1980" s="17"/>
      <c r="Z1980" s="22"/>
      <c r="AB1980" s="22"/>
    </row>
    <row r="1981" spans="1:28">
      <c r="A1981" s="19"/>
      <c r="B1981" s="12"/>
      <c r="C1981" s="24"/>
      <c r="D1981" s="12"/>
      <c r="E1981" s="23"/>
      <c r="F1981" s="17"/>
      <c r="G1981" s="17"/>
      <c r="Z1981" s="22"/>
      <c r="AB1981" s="22"/>
    </row>
    <row r="1982" spans="1:28">
      <c r="A1982" s="19"/>
      <c r="B1982" s="12"/>
      <c r="C1982" s="24"/>
      <c r="D1982" s="12"/>
      <c r="E1982" s="23"/>
      <c r="F1982" s="17"/>
      <c r="G1982" s="17"/>
      <c r="Z1982" s="22"/>
      <c r="AB1982" s="22"/>
    </row>
    <row r="1983" spans="1:28">
      <c r="A1983" s="19"/>
      <c r="B1983" s="12"/>
      <c r="C1983" s="24"/>
      <c r="D1983" s="12"/>
      <c r="E1983" s="23"/>
      <c r="F1983" s="17"/>
      <c r="G1983" s="17"/>
      <c r="Z1983" s="22"/>
      <c r="AB1983" s="22"/>
    </row>
    <row r="1984" spans="1:28">
      <c r="A1984" s="19"/>
      <c r="B1984" s="12"/>
      <c r="C1984" s="24"/>
      <c r="D1984" s="12"/>
      <c r="E1984" s="23"/>
      <c r="F1984" s="17"/>
      <c r="G1984" s="17"/>
      <c r="Z1984" s="22"/>
      <c r="AB1984" s="22"/>
    </row>
    <row r="1985" spans="1:28">
      <c r="A1985" s="19"/>
      <c r="B1985" s="12"/>
      <c r="C1985" s="24"/>
      <c r="D1985" s="12"/>
      <c r="E1985" s="23"/>
      <c r="F1985" s="17"/>
      <c r="G1985" s="17"/>
      <c r="Z1985" s="22"/>
      <c r="AB1985" s="22"/>
    </row>
    <row r="1986" spans="1:28">
      <c r="A1986" s="19"/>
      <c r="B1986" s="12"/>
      <c r="C1986" s="24"/>
      <c r="D1986" s="12"/>
      <c r="E1986" s="23"/>
      <c r="F1986" s="17"/>
      <c r="G1986" s="17"/>
      <c r="Z1986" s="22"/>
      <c r="AB1986" s="22"/>
    </row>
    <row r="1987" spans="1:28">
      <c r="A1987" s="19"/>
      <c r="B1987" s="12"/>
      <c r="C1987" s="24"/>
      <c r="D1987" s="12"/>
      <c r="E1987" s="23"/>
      <c r="F1987" s="17"/>
      <c r="G1987" s="17"/>
      <c r="Z1987" s="22"/>
      <c r="AB1987" s="22"/>
    </row>
    <row r="1988" spans="1:28">
      <c r="A1988" s="19"/>
      <c r="B1988" s="12"/>
      <c r="C1988" s="24"/>
      <c r="D1988" s="12"/>
      <c r="E1988" s="23"/>
      <c r="F1988" s="17"/>
      <c r="G1988" s="17"/>
      <c r="Z1988" s="22"/>
      <c r="AB1988" s="22"/>
    </row>
    <row r="1989" spans="1:28">
      <c r="A1989" s="19"/>
      <c r="B1989" s="12"/>
      <c r="C1989" s="24"/>
      <c r="D1989" s="12"/>
      <c r="E1989" s="23"/>
      <c r="F1989" s="17"/>
      <c r="G1989" s="17"/>
      <c r="Z1989" s="22"/>
      <c r="AB1989" s="22"/>
    </row>
    <row r="1990" spans="1:28">
      <c r="A1990" s="19"/>
      <c r="B1990" s="12"/>
      <c r="C1990" s="24"/>
      <c r="D1990" s="12"/>
      <c r="E1990" s="23"/>
      <c r="F1990" s="17"/>
      <c r="G1990" s="17"/>
      <c r="Z1990" s="22"/>
      <c r="AB1990" s="22"/>
    </row>
    <row r="1991" spans="1:28">
      <c r="A1991" s="19"/>
      <c r="B1991" s="12"/>
      <c r="C1991" s="24"/>
      <c r="D1991" s="12"/>
      <c r="E1991" s="23"/>
      <c r="F1991" s="17"/>
      <c r="G1991" s="17"/>
      <c r="Z1991" s="22"/>
      <c r="AB1991" s="22"/>
    </row>
    <row r="1992" spans="1:28">
      <c r="A1992" s="19"/>
      <c r="B1992" s="12"/>
      <c r="C1992" s="24"/>
      <c r="D1992" s="12"/>
      <c r="E1992" s="23"/>
      <c r="F1992" s="17"/>
      <c r="G1992" s="17"/>
      <c r="Z1992" s="22"/>
      <c r="AB1992" s="22"/>
    </row>
    <row r="1993" spans="1:28">
      <c r="A1993" s="19"/>
      <c r="B1993" s="12"/>
      <c r="C1993" s="24"/>
      <c r="D1993" s="12"/>
      <c r="E1993" s="23"/>
      <c r="F1993" s="17"/>
      <c r="G1993" s="17"/>
      <c r="Z1993" s="22"/>
      <c r="AB1993" s="22"/>
    </row>
    <row r="1994" spans="1:28">
      <c r="A1994" s="19"/>
      <c r="B1994" s="12"/>
      <c r="C1994" s="24"/>
      <c r="D1994" s="12"/>
      <c r="E1994" s="23"/>
      <c r="F1994" s="17"/>
      <c r="G1994" s="17"/>
      <c r="Z1994" s="22"/>
      <c r="AB1994" s="22"/>
    </row>
    <row r="1995" spans="1:28">
      <c r="A1995" s="19"/>
      <c r="B1995" s="12"/>
      <c r="C1995" s="24"/>
      <c r="D1995" s="12"/>
      <c r="E1995" s="23"/>
      <c r="F1995" s="17"/>
      <c r="G1995" s="17"/>
      <c r="Z1995" s="22"/>
      <c r="AB1995" s="22"/>
    </row>
    <row r="1996" spans="1:28">
      <c r="A1996" s="19"/>
      <c r="B1996" s="12"/>
      <c r="C1996" s="24"/>
      <c r="D1996" s="12"/>
      <c r="E1996" s="23"/>
      <c r="F1996" s="17"/>
      <c r="G1996" s="17"/>
      <c r="Z1996" s="22"/>
      <c r="AB1996" s="22"/>
    </row>
    <row r="1997" spans="1:28">
      <c r="A1997" s="19"/>
      <c r="B1997" s="12"/>
      <c r="C1997" s="24"/>
      <c r="D1997" s="12"/>
      <c r="E1997" s="23"/>
      <c r="F1997" s="17"/>
      <c r="G1997" s="17"/>
      <c r="Z1997" s="22"/>
      <c r="AB1997" s="22"/>
    </row>
    <row r="1998" spans="1:28">
      <c r="A1998" s="19"/>
      <c r="B1998" s="12"/>
      <c r="C1998" s="24"/>
      <c r="D1998" s="12"/>
      <c r="E1998" s="23"/>
      <c r="F1998" s="17"/>
      <c r="G1998" s="17"/>
      <c r="Z1998" s="22"/>
      <c r="AB1998" s="22"/>
    </row>
    <row r="1999" spans="1:28">
      <c r="A1999" s="19"/>
      <c r="B1999" s="12"/>
      <c r="C1999" s="24"/>
      <c r="D1999" s="12"/>
      <c r="E1999" s="23"/>
      <c r="F1999" s="17"/>
      <c r="G1999" s="17"/>
      <c r="Z1999" s="22"/>
      <c r="AB1999" s="22"/>
    </row>
    <row r="2000" spans="1:28">
      <c r="A2000" s="19"/>
      <c r="B2000" s="12"/>
      <c r="C2000" s="24"/>
      <c r="D2000" s="12"/>
      <c r="E2000" s="23"/>
      <c r="F2000" s="17"/>
      <c r="G2000" s="17"/>
      <c r="Z2000" s="22"/>
      <c r="AB2000" s="22"/>
    </row>
    <row r="2001" spans="1:28">
      <c r="A2001" s="19"/>
      <c r="B2001" s="12"/>
      <c r="C2001" s="24"/>
      <c r="D2001" s="12"/>
      <c r="E2001" s="23"/>
      <c r="F2001" s="17"/>
      <c r="G2001" s="17"/>
      <c r="Z2001" s="22"/>
      <c r="AB2001" s="22"/>
    </row>
    <row r="2002" spans="1:28">
      <c r="A2002" s="19"/>
      <c r="B2002" s="12"/>
      <c r="C2002" s="24"/>
      <c r="D2002" s="12"/>
      <c r="E2002" s="23"/>
      <c r="F2002" s="17"/>
      <c r="G2002" s="17"/>
      <c r="Z2002" s="22"/>
      <c r="AB2002" s="22"/>
    </row>
    <row r="2003" spans="1:28">
      <c r="A2003" s="19"/>
      <c r="B2003" s="12"/>
      <c r="C2003" s="24"/>
      <c r="D2003" s="12"/>
      <c r="E2003" s="23"/>
      <c r="F2003" s="17"/>
      <c r="G2003" s="17"/>
      <c r="Z2003" s="22"/>
      <c r="AB2003" s="22"/>
    </row>
    <row r="2004" spans="1:28">
      <c r="A2004" s="19"/>
      <c r="B2004" s="12"/>
      <c r="C2004" s="24"/>
      <c r="D2004" s="12"/>
      <c r="E2004" s="23"/>
      <c r="F2004" s="17"/>
      <c r="G2004" s="17"/>
      <c r="Z2004" s="22"/>
      <c r="AB2004" s="22"/>
    </row>
    <row r="2005" spans="1:28">
      <c r="A2005" s="19"/>
      <c r="B2005" s="12"/>
      <c r="C2005" s="24"/>
      <c r="D2005" s="12"/>
      <c r="E2005" s="23"/>
      <c r="F2005" s="17"/>
      <c r="G2005" s="17"/>
      <c r="Z2005" s="22"/>
      <c r="AB2005" s="22"/>
    </row>
    <row r="2006" spans="1:28">
      <c r="A2006" s="19"/>
      <c r="B2006" s="12"/>
      <c r="C2006" s="24"/>
      <c r="D2006" s="12"/>
      <c r="E2006" s="23"/>
      <c r="F2006" s="17"/>
      <c r="G2006" s="17"/>
      <c r="Z2006" s="22"/>
      <c r="AB2006" s="22"/>
    </row>
    <row r="2007" spans="1:28">
      <c r="A2007" s="19"/>
      <c r="B2007" s="12"/>
      <c r="C2007" s="24"/>
      <c r="D2007" s="12"/>
      <c r="E2007" s="23"/>
      <c r="F2007" s="17"/>
      <c r="G2007" s="17"/>
      <c r="Z2007" s="22"/>
      <c r="AB2007" s="22"/>
    </row>
    <row r="2008" spans="1:28">
      <c r="A2008" s="19"/>
      <c r="B2008" s="12"/>
      <c r="C2008" s="24"/>
      <c r="D2008" s="12"/>
      <c r="E2008" s="23"/>
      <c r="F2008" s="17"/>
      <c r="G2008" s="17"/>
      <c r="Z2008" s="22"/>
      <c r="AB2008" s="22"/>
    </row>
    <row r="2009" spans="1:28">
      <c r="A2009" s="19"/>
      <c r="B2009" s="12"/>
      <c r="C2009" s="24"/>
      <c r="D2009" s="12"/>
      <c r="E2009" s="23"/>
      <c r="F2009" s="17"/>
      <c r="G2009" s="17"/>
      <c r="Z2009" s="22"/>
      <c r="AB2009" s="22"/>
    </row>
    <row r="2010" spans="1:28">
      <c r="A2010" s="19"/>
      <c r="B2010" s="12"/>
      <c r="C2010" s="24"/>
      <c r="D2010" s="12"/>
      <c r="E2010" s="23"/>
      <c r="F2010" s="17"/>
      <c r="G2010" s="17"/>
      <c r="Z2010" s="22"/>
      <c r="AB2010" s="22"/>
    </row>
    <row r="2011" spans="1:28">
      <c r="A2011" s="19"/>
      <c r="B2011" s="12"/>
      <c r="C2011" s="24"/>
      <c r="D2011" s="12"/>
      <c r="E2011" s="23"/>
      <c r="F2011" s="17"/>
      <c r="G2011" s="17"/>
      <c r="Z2011" s="22"/>
      <c r="AB2011" s="22"/>
    </row>
    <row r="2012" spans="1:28">
      <c r="A2012" s="19"/>
      <c r="B2012" s="12"/>
      <c r="C2012" s="24"/>
      <c r="D2012" s="12"/>
      <c r="E2012" s="23"/>
      <c r="F2012" s="17"/>
      <c r="G2012" s="17"/>
      <c r="Z2012" s="22"/>
      <c r="AB2012" s="22"/>
    </row>
    <row r="2013" spans="1:28">
      <c r="A2013" s="19"/>
      <c r="B2013" s="12"/>
      <c r="C2013" s="24"/>
      <c r="D2013" s="12"/>
      <c r="E2013" s="23"/>
      <c r="F2013" s="17"/>
      <c r="G2013" s="17"/>
      <c r="Z2013" s="22"/>
      <c r="AB2013" s="22"/>
    </row>
    <row r="2014" spans="1:28">
      <c r="A2014" s="19"/>
      <c r="B2014" s="12"/>
      <c r="C2014" s="24"/>
      <c r="D2014" s="12"/>
      <c r="E2014" s="23"/>
      <c r="F2014" s="17"/>
      <c r="G2014" s="17"/>
      <c r="Z2014" s="22"/>
      <c r="AB2014" s="22"/>
    </row>
    <row r="2015" spans="1:28">
      <c r="A2015" s="19"/>
      <c r="B2015" s="12"/>
      <c r="C2015" s="24"/>
      <c r="D2015" s="12"/>
      <c r="E2015" s="23"/>
      <c r="F2015" s="17"/>
      <c r="G2015" s="17"/>
      <c r="Z2015" s="22"/>
      <c r="AB2015" s="22"/>
    </row>
    <row r="2016" spans="1:28">
      <c r="A2016" s="19"/>
      <c r="B2016" s="12"/>
      <c r="C2016" s="24"/>
      <c r="D2016" s="12"/>
      <c r="E2016" s="23"/>
      <c r="F2016" s="17"/>
      <c r="G2016" s="17"/>
      <c r="Z2016" s="22"/>
      <c r="AB2016" s="22"/>
    </row>
    <row r="2017" spans="1:28">
      <c r="A2017" s="19"/>
      <c r="B2017" s="12"/>
      <c r="C2017" s="24"/>
      <c r="D2017" s="12"/>
      <c r="E2017" s="23"/>
      <c r="F2017" s="17"/>
      <c r="G2017" s="17"/>
      <c r="Z2017" s="22"/>
      <c r="AB2017" s="22"/>
    </row>
    <row r="2018" spans="1:28">
      <c r="A2018" s="19"/>
      <c r="B2018" s="12"/>
      <c r="C2018" s="24"/>
      <c r="D2018" s="12"/>
      <c r="E2018" s="23"/>
      <c r="F2018" s="17"/>
      <c r="G2018" s="17"/>
      <c r="Z2018" s="22"/>
      <c r="AB2018" s="22"/>
    </row>
    <row r="2019" spans="1:28">
      <c r="A2019" s="19"/>
      <c r="B2019" s="12"/>
      <c r="C2019" s="24"/>
      <c r="D2019" s="12"/>
      <c r="E2019" s="23"/>
      <c r="F2019" s="17"/>
      <c r="G2019" s="17"/>
      <c r="Z2019" s="22"/>
      <c r="AB2019" s="22"/>
    </row>
    <row r="2020" spans="1:28">
      <c r="A2020" s="19"/>
      <c r="B2020" s="12"/>
      <c r="C2020" s="24"/>
      <c r="D2020" s="12"/>
      <c r="E2020" s="23"/>
      <c r="F2020" s="17"/>
      <c r="G2020" s="17"/>
      <c r="Z2020" s="22"/>
      <c r="AB2020" s="22"/>
    </row>
    <row r="2021" spans="1:28">
      <c r="A2021" s="19"/>
      <c r="B2021" s="12"/>
      <c r="C2021" s="24"/>
      <c r="D2021" s="12"/>
      <c r="E2021" s="23"/>
      <c r="F2021" s="17"/>
      <c r="G2021" s="17"/>
      <c r="Z2021" s="22"/>
      <c r="AB2021" s="22"/>
    </row>
    <row r="2022" spans="1:28">
      <c r="A2022" s="19"/>
      <c r="B2022" s="12"/>
      <c r="C2022" s="24"/>
      <c r="D2022" s="12"/>
      <c r="E2022" s="23"/>
      <c r="F2022" s="17"/>
      <c r="G2022" s="17"/>
      <c r="Z2022" s="22"/>
      <c r="AB2022" s="22"/>
    </row>
    <row r="2023" spans="1:28">
      <c r="A2023" s="19"/>
      <c r="B2023" s="12"/>
      <c r="C2023" s="24"/>
      <c r="D2023" s="12"/>
      <c r="E2023" s="23"/>
      <c r="F2023" s="17"/>
      <c r="G2023" s="17"/>
      <c r="Z2023" s="22"/>
      <c r="AB2023" s="22"/>
    </row>
    <row r="2024" spans="1:28">
      <c r="A2024" s="19"/>
      <c r="B2024" s="12"/>
      <c r="C2024" s="24"/>
      <c r="D2024" s="12"/>
      <c r="E2024" s="23"/>
      <c r="F2024" s="17"/>
      <c r="G2024" s="17"/>
      <c r="Z2024" s="22"/>
      <c r="AB2024" s="22"/>
    </row>
    <row r="2025" spans="1:28">
      <c r="A2025" s="19"/>
      <c r="B2025" s="12"/>
      <c r="C2025" s="24"/>
      <c r="D2025" s="12"/>
      <c r="E2025" s="23"/>
      <c r="F2025" s="17"/>
      <c r="G2025" s="17"/>
      <c r="Z2025" s="22"/>
      <c r="AB2025" s="22"/>
    </row>
    <row r="2026" spans="1:28">
      <c r="A2026" s="19"/>
      <c r="B2026" s="12"/>
      <c r="C2026" s="24"/>
      <c r="D2026" s="12"/>
      <c r="E2026" s="23"/>
      <c r="F2026" s="17"/>
      <c r="G2026" s="17"/>
      <c r="Z2026" s="22"/>
      <c r="AB2026" s="22"/>
    </row>
    <row r="2027" spans="1:28">
      <c r="A2027" s="19"/>
      <c r="B2027" s="12"/>
      <c r="C2027" s="24"/>
      <c r="D2027" s="12"/>
      <c r="E2027" s="23"/>
      <c r="F2027" s="17"/>
      <c r="G2027" s="17"/>
      <c r="Z2027" s="22"/>
      <c r="AB2027" s="22"/>
    </row>
    <row r="2028" spans="1:28">
      <c r="A2028" s="19"/>
      <c r="B2028" s="12"/>
      <c r="C2028" s="24"/>
      <c r="D2028" s="12"/>
      <c r="E2028" s="23"/>
      <c r="F2028" s="17"/>
      <c r="G2028" s="17"/>
      <c r="Z2028" s="22"/>
      <c r="AB2028" s="22"/>
    </row>
    <row r="2029" spans="1:28">
      <c r="A2029" s="19"/>
      <c r="B2029" s="12"/>
      <c r="C2029" s="24"/>
      <c r="D2029" s="12"/>
      <c r="E2029" s="23"/>
      <c r="F2029" s="17"/>
      <c r="G2029" s="17"/>
      <c r="Z2029" s="22"/>
      <c r="AB2029" s="22"/>
    </row>
    <row r="2030" spans="1:28">
      <c r="A2030" s="19"/>
      <c r="B2030" s="12"/>
      <c r="C2030" s="24"/>
      <c r="D2030" s="12"/>
      <c r="E2030" s="23"/>
      <c r="F2030" s="17"/>
      <c r="G2030" s="17"/>
      <c r="Z2030" s="22"/>
      <c r="AB2030" s="22"/>
    </row>
    <row r="2031" spans="1:28">
      <c r="A2031" s="19"/>
      <c r="B2031" s="12"/>
      <c r="C2031" s="24"/>
      <c r="D2031" s="12"/>
      <c r="E2031" s="23"/>
      <c r="F2031" s="17"/>
      <c r="G2031" s="17"/>
      <c r="Z2031" s="22"/>
      <c r="AB2031" s="22"/>
    </row>
    <row r="2032" spans="1:28">
      <c r="A2032" s="19"/>
      <c r="B2032" s="12"/>
      <c r="C2032" s="24"/>
      <c r="D2032" s="12"/>
      <c r="E2032" s="23"/>
      <c r="F2032" s="17"/>
      <c r="G2032" s="17"/>
      <c r="Z2032" s="22"/>
      <c r="AB2032" s="22"/>
    </row>
    <row r="2033" spans="1:28">
      <c r="A2033" s="19"/>
      <c r="B2033" s="12"/>
      <c r="C2033" s="24"/>
      <c r="D2033" s="12"/>
      <c r="E2033" s="23"/>
      <c r="F2033" s="17"/>
      <c r="G2033" s="17"/>
      <c r="Z2033" s="22"/>
      <c r="AB2033" s="22"/>
    </row>
    <row r="2034" spans="1:28">
      <c r="A2034" s="19"/>
      <c r="B2034" s="12"/>
      <c r="C2034" s="24"/>
      <c r="D2034" s="12"/>
      <c r="E2034" s="23"/>
      <c r="F2034" s="17"/>
      <c r="G2034" s="17"/>
      <c r="Z2034" s="22"/>
      <c r="AB2034" s="22"/>
    </row>
    <row r="2035" spans="1:28">
      <c r="A2035" s="19"/>
      <c r="B2035" s="12"/>
      <c r="C2035" s="24"/>
      <c r="D2035" s="12"/>
      <c r="E2035" s="23"/>
      <c r="F2035" s="17"/>
      <c r="G2035" s="17"/>
      <c r="Z2035" s="22"/>
      <c r="AB2035" s="22"/>
    </row>
    <row r="2036" spans="1:28">
      <c r="A2036" s="19"/>
      <c r="B2036" s="12"/>
      <c r="C2036" s="24"/>
      <c r="D2036" s="12"/>
      <c r="E2036" s="23"/>
      <c r="F2036" s="17"/>
      <c r="G2036" s="17"/>
      <c r="Z2036" s="22"/>
      <c r="AB2036" s="22"/>
    </row>
    <row r="2037" spans="1:28">
      <c r="A2037" s="19"/>
      <c r="B2037" s="12"/>
      <c r="C2037" s="24"/>
      <c r="D2037" s="12"/>
      <c r="E2037" s="23"/>
      <c r="F2037" s="17"/>
      <c r="G2037" s="17"/>
      <c r="Z2037" s="22"/>
      <c r="AB2037" s="22"/>
    </row>
    <row r="2038" spans="1:28">
      <c r="A2038" s="19"/>
      <c r="B2038" s="12"/>
      <c r="C2038" s="24"/>
      <c r="D2038" s="12"/>
      <c r="E2038" s="23"/>
      <c r="F2038" s="17"/>
      <c r="G2038" s="17"/>
      <c r="Z2038" s="22"/>
      <c r="AB2038" s="22"/>
    </row>
    <row r="2039" spans="1:28">
      <c r="A2039" s="19"/>
      <c r="B2039" s="12"/>
      <c r="C2039" s="24"/>
      <c r="D2039" s="12"/>
      <c r="E2039" s="23"/>
      <c r="F2039" s="17"/>
      <c r="G2039" s="17"/>
      <c r="Z2039" s="22"/>
      <c r="AB2039" s="22"/>
    </row>
    <row r="2040" spans="1:28">
      <c r="A2040" s="19"/>
      <c r="B2040" s="12"/>
      <c r="C2040" s="24"/>
      <c r="D2040" s="12"/>
      <c r="E2040" s="23"/>
      <c r="F2040" s="17"/>
      <c r="G2040" s="17"/>
      <c r="Z2040" s="22"/>
      <c r="AB2040" s="22"/>
    </row>
    <row r="2041" spans="1:28">
      <c r="A2041" s="19"/>
      <c r="B2041" s="12"/>
      <c r="C2041" s="24"/>
      <c r="D2041" s="12"/>
      <c r="E2041" s="23"/>
      <c r="F2041" s="17"/>
      <c r="G2041" s="17"/>
      <c r="Z2041" s="22"/>
      <c r="AB2041" s="22"/>
    </row>
    <row r="2042" spans="1:28">
      <c r="A2042" s="19"/>
      <c r="B2042" s="12"/>
      <c r="C2042" s="24"/>
      <c r="D2042" s="12"/>
      <c r="E2042" s="23"/>
      <c r="F2042" s="17"/>
      <c r="G2042" s="17"/>
      <c r="Z2042" s="22"/>
      <c r="AB2042" s="22"/>
    </row>
    <row r="2043" spans="1:28">
      <c r="A2043" s="19"/>
      <c r="B2043" s="12"/>
      <c r="C2043" s="24"/>
      <c r="D2043" s="12"/>
      <c r="E2043" s="23"/>
      <c r="F2043" s="17"/>
      <c r="G2043" s="17"/>
      <c r="Z2043" s="22"/>
      <c r="AB2043" s="22"/>
    </row>
    <row r="2044" spans="1:28">
      <c r="A2044" s="19"/>
      <c r="B2044" s="12"/>
      <c r="C2044" s="24"/>
      <c r="D2044" s="12"/>
      <c r="E2044" s="23"/>
      <c r="F2044" s="17"/>
      <c r="G2044" s="17"/>
      <c r="Z2044" s="22"/>
      <c r="AB2044" s="22"/>
    </row>
    <row r="2045" spans="1:28">
      <c r="A2045" s="19"/>
      <c r="B2045" s="12"/>
      <c r="C2045" s="24"/>
      <c r="D2045" s="12"/>
      <c r="E2045" s="23"/>
      <c r="F2045" s="17"/>
      <c r="G2045" s="17"/>
      <c r="Z2045" s="22"/>
      <c r="AB2045" s="22"/>
    </row>
    <row r="2046" spans="1:28">
      <c r="A2046" s="19"/>
      <c r="B2046" s="12"/>
      <c r="C2046" s="24"/>
      <c r="D2046" s="12"/>
      <c r="E2046" s="23"/>
      <c r="F2046" s="17"/>
      <c r="G2046" s="17"/>
      <c r="Z2046" s="22"/>
      <c r="AB2046" s="22"/>
    </row>
    <row r="2047" spans="1:28">
      <c r="A2047" s="19"/>
      <c r="B2047" s="12"/>
      <c r="C2047" s="24"/>
      <c r="D2047" s="12"/>
      <c r="E2047" s="23"/>
      <c r="F2047" s="17"/>
      <c r="G2047" s="17"/>
      <c r="Z2047" s="22"/>
      <c r="AB2047" s="22"/>
    </row>
    <row r="2048" spans="1:28">
      <c r="A2048" s="19"/>
      <c r="B2048" s="12"/>
      <c r="C2048" s="24"/>
      <c r="D2048" s="12"/>
      <c r="E2048" s="23"/>
      <c r="F2048" s="17"/>
      <c r="G2048" s="17"/>
      <c r="Z2048" s="22"/>
      <c r="AB2048" s="22"/>
    </row>
    <row r="2049" spans="1:28">
      <c r="A2049" s="19"/>
      <c r="B2049" s="12"/>
      <c r="C2049" s="24"/>
      <c r="D2049" s="12"/>
      <c r="E2049" s="23"/>
      <c r="F2049" s="17"/>
      <c r="G2049" s="17"/>
      <c r="Z2049" s="22"/>
      <c r="AB2049" s="22"/>
    </row>
    <row r="2050" spans="1:28">
      <c r="A2050" s="19"/>
      <c r="B2050" s="12"/>
      <c r="C2050" s="24"/>
      <c r="D2050" s="12"/>
      <c r="E2050" s="23"/>
      <c r="F2050" s="17"/>
      <c r="G2050" s="17"/>
      <c r="Z2050" s="22"/>
      <c r="AB2050" s="22"/>
    </row>
    <row r="2051" spans="1:28">
      <c r="A2051" s="19"/>
      <c r="B2051" s="12"/>
      <c r="C2051" s="24"/>
      <c r="D2051" s="12"/>
      <c r="E2051" s="23"/>
      <c r="F2051" s="17"/>
      <c r="G2051" s="17"/>
      <c r="Z2051" s="22"/>
      <c r="AB2051" s="22"/>
    </row>
    <row r="2052" spans="1:28">
      <c r="A2052" s="19"/>
      <c r="B2052" s="12"/>
      <c r="C2052" s="24"/>
      <c r="D2052" s="12"/>
      <c r="E2052" s="23"/>
      <c r="F2052" s="17"/>
      <c r="G2052" s="17"/>
      <c r="Z2052" s="22"/>
      <c r="AB2052" s="22"/>
    </row>
    <row r="2053" spans="1:28">
      <c r="A2053" s="19"/>
      <c r="B2053" s="12"/>
      <c r="C2053" s="24"/>
      <c r="D2053" s="12"/>
      <c r="E2053" s="23"/>
      <c r="F2053" s="17"/>
      <c r="G2053" s="17"/>
      <c r="Z2053" s="22"/>
      <c r="AB2053" s="22"/>
    </row>
    <row r="2054" spans="1:28">
      <c r="A2054" s="19"/>
      <c r="B2054" s="12"/>
      <c r="C2054" s="24"/>
      <c r="D2054" s="12"/>
      <c r="E2054" s="23"/>
      <c r="F2054" s="17"/>
      <c r="G2054" s="17"/>
      <c r="Z2054" s="22"/>
      <c r="AB2054" s="22"/>
    </row>
    <row r="2055" spans="1:28">
      <c r="A2055" s="19"/>
      <c r="B2055" s="12"/>
      <c r="C2055" s="24"/>
      <c r="D2055" s="12"/>
      <c r="E2055" s="23"/>
      <c r="F2055" s="17"/>
      <c r="G2055" s="17"/>
      <c r="Z2055" s="22"/>
      <c r="AB2055" s="22"/>
    </row>
    <row r="2056" spans="1:28">
      <c r="A2056" s="19"/>
      <c r="B2056" s="12"/>
      <c r="C2056" s="24"/>
      <c r="D2056" s="12"/>
      <c r="E2056" s="23"/>
      <c r="F2056" s="17"/>
      <c r="G2056" s="17"/>
      <c r="Z2056" s="22"/>
      <c r="AB2056" s="22"/>
    </row>
    <row r="2057" spans="1:28">
      <c r="A2057" s="19"/>
      <c r="B2057" s="12"/>
      <c r="C2057" s="24"/>
      <c r="D2057" s="12"/>
      <c r="E2057" s="23"/>
      <c r="F2057" s="17"/>
      <c r="G2057" s="17"/>
      <c r="Z2057" s="22"/>
      <c r="AB2057" s="22"/>
    </row>
    <row r="2058" spans="1:28">
      <c r="A2058" s="19"/>
      <c r="B2058" s="12"/>
      <c r="C2058" s="24"/>
      <c r="D2058" s="12"/>
      <c r="E2058" s="23"/>
      <c r="F2058" s="17"/>
      <c r="G2058" s="17"/>
      <c r="Z2058" s="22"/>
      <c r="AB2058" s="22"/>
    </row>
    <row r="2059" spans="1:28">
      <c r="A2059" s="19"/>
      <c r="B2059" s="12"/>
      <c r="C2059" s="24"/>
      <c r="D2059" s="12"/>
      <c r="E2059" s="23"/>
      <c r="F2059" s="17"/>
      <c r="G2059" s="17"/>
      <c r="Z2059" s="22"/>
      <c r="AB2059" s="22"/>
    </row>
    <row r="2060" spans="1:28">
      <c r="A2060" s="19"/>
      <c r="B2060" s="12"/>
      <c r="C2060" s="24"/>
      <c r="D2060" s="12"/>
      <c r="E2060" s="23"/>
      <c r="F2060" s="17"/>
      <c r="G2060" s="17"/>
      <c r="Z2060" s="22"/>
      <c r="AB2060" s="22"/>
    </row>
    <row r="2061" spans="1:28">
      <c r="A2061" s="19"/>
      <c r="B2061" s="12"/>
      <c r="C2061" s="24"/>
      <c r="D2061" s="12"/>
      <c r="E2061" s="23"/>
      <c r="F2061" s="17"/>
      <c r="G2061" s="17"/>
      <c r="Z2061" s="22"/>
      <c r="AB2061" s="22"/>
    </row>
    <row r="2062" spans="1:28">
      <c r="A2062" s="19"/>
      <c r="B2062" s="12"/>
      <c r="C2062" s="24"/>
      <c r="D2062" s="12"/>
      <c r="E2062" s="23"/>
      <c r="F2062" s="17"/>
      <c r="G2062" s="17"/>
      <c r="Z2062" s="22"/>
      <c r="AB2062" s="22"/>
    </row>
    <row r="2063" spans="1:28">
      <c r="A2063" s="19"/>
      <c r="B2063" s="12"/>
      <c r="C2063" s="24"/>
      <c r="D2063" s="12"/>
      <c r="E2063" s="23"/>
      <c r="F2063" s="17"/>
      <c r="G2063" s="17"/>
      <c r="Z2063" s="22"/>
      <c r="AB2063" s="22"/>
    </row>
    <row r="2064" spans="1:28">
      <c r="A2064" s="19"/>
      <c r="B2064" s="12"/>
      <c r="C2064" s="24"/>
      <c r="D2064" s="12"/>
      <c r="E2064" s="23"/>
      <c r="F2064" s="17"/>
      <c r="G2064" s="17"/>
      <c r="Z2064" s="22"/>
      <c r="AB2064" s="22"/>
    </row>
    <row r="2065" spans="1:28">
      <c r="A2065" s="19"/>
      <c r="B2065" s="12"/>
      <c r="C2065" s="24"/>
      <c r="D2065" s="12"/>
      <c r="E2065" s="23"/>
      <c r="F2065" s="17"/>
      <c r="G2065" s="17"/>
      <c r="Z2065" s="22"/>
      <c r="AB2065" s="22"/>
    </row>
    <row r="2066" spans="1:28">
      <c r="A2066" s="19"/>
      <c r="B2066" s="12"/>
      <c r="C2066" s="24"/>
      <c r="D2066" s="12"/>
      <c r="E2066" s="23"/>
      <c r="F2066" s="17"/>
      <c r="G2066" s="17"/>
      <c r="Z2066" s="22"/>
      <c r="AB2066" s="22"/>
    </row>
    <row r="2067" spans="1:28">
      <c r="A2067" s="19"/>
      <c r="B2067" s="12"/>
      <c r="C2067" s="24"/>
      <c r="D2067" s="12"/>
      <c r="E2067" s="23"/>
      <c r="F2067" s="17"/>
      <c r="G2067" s="17"/>
      <c r="Z2067" s="22"/>
      <c r="AB2067" s="22"/>
    </row>
    <row r="2068" spans="1:28">
      <c r="A2068" s="19"/>
      <c r="B2068" s="12"/>
      <c r="C2068" s="24"/>
      <c r="D2068" s="12"/>
      <c r="E2068" s="23"/>
      <c r="F2068" s="17"/>
      <c r="G2068" s="17"/>
      <c r="Z2068" s="22"/>
      <c r="AB2068" s="22"/>
    </row>
    <row r="2069" spans="1:28">
      <c r="A2069" s="19"/>
      <c r="B2069" s="12"/>
      <c r="C2069" s="24"/>
      <c r="D2069" s="12"/>
      <c r="E2069" s="23"/>
      <c r="F2069" s="17"/>
      <c r="G2069" s="17"/>
      <c r="Z2069" s="22"/>
      <c r="AB2069" s="22"/>
    </row>
    <row r="2070" spans="1:28">
      <c r="A2070" s="19"/>
      <c r="B2070" s="12"/>
      <c r="C2070" s="24"/>
      <c r="D2070" s="12"/>
      <c r="E2070" s="23"/>
      <c r="F2070" s="17"/>
      <c r="G2070" s="17"/>
      <c r="Z2070" s="22"/>
      <c r="AB2070" s="22"/>
    </row>
    <row r="2071" spans="1:28">
      <c r="A2071" s="19"/>
      <c r="B2071" s="12"/>
      <c r="C2071" s="24"/>
      <c r="D2071" s="12"/>
      <c r="E2071" s="23"/>
      <c r="F2071" s="17"/>
      <c r="G2071" s="17"/>
      <c r="Z2071" s="22"/>
      <c r="AB2071" s="22"/>
    </row>
    <row r="2072" spans="1:28">
      <c r="A2072" s="19"/>
      <c r="B2072" s="12"/>
      <c r="C2072" s="24"/>
      <c r="D2072" s="12"/>
      <c r="E2072" s="23"/>
      <c r="F2072" s="17"/>
      <c r="G2072" s="17"/>
      <c r="Z2072" s="22"/>
      <c r="AB2072" s="22"/>
    </row>
    <row r="2073" spans="1:28">
      <c r="A2073" s="19"/>
      <c r="B2073" s="12"/>
      <c r="C2073" s="24"/>
      <c r="D2073" s="12"/>
      <c r="E2073" s="23"/>
      <c r="F2073" s="17"/>
      <c r="G2073" s="17"/>
      <c r="Z2073" s="22"/>
      <c r="AB2073" s="22"/>
    </row>
    <row r="2074" spans="1:28">
      <c r="A2074" s="19"/>
      <c r="B2074" s="12"/>
      <c r="C2074" s="24"/>
      <c r="D2074" s="12"/>
      <c r="E2074" s="23"/>
      <c r="F2074" s="17"/>
      <c r="G2074" s="17"/>
      <c r="Z2074" s="22"/>
      <c r="AB2074" s="22"/>
    </row>
    <row r="2075" spans="1:28">
      <c r="A2075" s="19"/>
      <c r="B2075" s="12"/>
      <c r="C2075" s="24"/>
      <c r="D2075" s="12"/>
      <c r="E2075" s="23"/>
      <c r="F2075" s="17"/>
      <c r="G2075" s="17"/>
      <c r="Z2075" s="22"/>
      <c r="AB2075" s="22"/>
    </row>
    <row r="2076" spans="1:28">
      <c r="A2076" s="19"/>
      <c r="B2076" s="12"/>
      <c r="C2076" s="24"/>
      <c r="D2076" s="12"/>
      <c r="E2076" s="23"/>
      <c r="F2076" s="17"/>
      <c r="G2076" s="17"/>
      <c r="Z2076" s="22"/>
      <c r="AB2076" s="22"/>
    </row>
    <row r="2077" spans="1:28">
      <c r="A2077" s="19"/>
      <c r="B2077" s="12"/>
      <c r="C2077" s="24"/>
      <c r="D2077" s="12"/>
      <c r="E2077" s="23"/>
      <c r="F2077" s="17"/>
      <c r="G2077" s="17"/>
      <c r="Z2077" s="22"/>
      <c r="AB2077" s="22"/>
    </row>
    <row r="2078" spans="1:28">
      <c r="A2078" s="19"/>
      <c r="B2078" s="12"/>
      <c r="C2078" s="24"/>
      <c r="D2078" s="12"/>
      <c r="E2078" s="23"/>
      <c r="F2078" s="17"/>
      <c r="G2078" s="17"/>
      <c r="Z2078" s="22"/>
      <c r="AB2078" s="22"/>
    </row>
    <row r="2079" spans="1:28">
      <c r="A2079" s="19"/>
      <c r="B2079" s="12"/>
      <c r="C2079" s="24"/>
      <c r="D2079" s="12"/>
      <c r="E2079" s="23"/>
      <c r="F2079" s="17"/>
      <c r="G2079" s="17"/>
      <c r="Z2079" s="22"/>
      <c r="AB2079" s="22"/>
    </row>
    <row r="2080" spans="1:28">
      <c r="A2080" s="19"/>
      <c r="B2080" s="12"/>
      <c r="C2080" s="24"/>
      <c r="D2080" s="12"/>
      <c r="E2080" s="23"/>
      <c r="F2080" s="17"/>
      <c r="G2080" s="17"/>
      <c r="Z2080" s="22"/>
      <c r="AB2080" s="22"/>
    </row>
    <row r="2081" spans="1:28">
      <c r="A2081" s="19"/>
      <c r="B2081" s="12"/>
      <c r="C2081" s="24"/>
      <c r="D2081" s="12"/>
      <c r="E2081" s="23"/>
      <c r="F2081" s="17"/>
      <c r="G2081" s="17"/>
      <c r="Z2081" s="22"/>
      <c r="AB2081" s="22"/>
    </row>
    <row r="2082" spans="1:28">
      <c r="A2082" s="19"/>
      <c r="B2082" s="12"/>
      <c r="C2082" s="24"/>
      <c r="D2082" s="12"/>
      <c r="E2082" s="23"/>
      <c r="F2082" s="17"/>
      <c r="G2082" s="17"/>
      <c r="Z2082" s="22"/>
      <c r="AB2082" s="22"/>
    </row>
    <row r="2083" spans="1:28">
      <c r="A2083" s="19"/>
      <c r="B2083" s="12"/>
      <c r="C2083" s="24"/>
      <c r="D2083" s="12"/>
      <c r="E2083" s="23"/>
      <c r="F2083" s="17"/>
      <c r="G2083" s="17"/>
      <c r="Z2083" s="22"/>
      <c r="AB2083" s="22"/>
    </row>
    <row r="2084" spans="1:28">
      <c r="A2084" s="19"/>
      <c r="B2084" s="12"/>
      <c r="C2084" s="24"/>
      <c r="D2084" s="12"/>
      <c r="E2084" s="23"/>
      <c r="F2084" s="17"/>
      <c r="G2084" s="17"/>
      <c r="Z2084" s="22"/>
      <c r="AB2084" s="22"/>
    </row>
    <row r="2085" spans="1:28">
      <c r="A2085" s="19"/>
      <c r="B2085" s="12"/>
      <c r="C2085" s="24"/>
      <c r="D2085" s="12"/>
      <c r="E2085" s="23"/>
      <c r="F2085" s="17"/>
      <c r="G2085" s="17"/>
      <c r="Z2085" s="22"/>
      <c r="AB2085" s="22"/>
    </row>
    <row r="2086" spans="1:28">
      <c r="A2086" s="19"/>
      <c r="B2086" s="12"/>
      <c r="C2086" s="24"/>
      <c r="D2086" s="12"/>
      <c r="E2086" s="23"/>
      <c r="F2086" s="17"/>
      <c r="G2086" s="17"/>
      <c r="Z2086" s="22"/>
      <c r="AB2086" s="22"/>
    </row>
    <row r="2087" spans="1:28">
      <c r="A2087" s="19"/>
      <c r="B2087" s="12"/>
      <c r="C2087" s="24"/>
      <c r="D2087" s="12"/>
      <c r="E2087" s="23"/>
      <c r="F2087" s="17"/>
      <c r="G2087" s="17"/>
      <c r="Z2087" s="22"/>
      <c r="AB2087" s="22"/>
    </row>
    <row r="2088" spans="1:28">
      <c r="A2088" s="19"/>
      <c r="B2088" s="12"/>
      <c r="C2088" s="24"/>
      <c r="D2088" s="12"/>
      <c r="E2088" s="23"/>
      <c r="F2088" s="17"/>
      <c r="G2088" s="17"/>
      <c r="Z2088" s="22"/>
      <c r="AB2088" s="22"/>
    </row>
    <row r="2089" spans="1:28">
      <c r="A2089" s="19"/>
      <c r="B2089" s="12"/>
      <c r="C2089" s="24"/>
      <c r="D2089" s="12"/>
      <c r="E2089" s="23"/>
      <c r="F2089" s="17"/>
      <c r="G2089" s="17"/>
      <c r="Z2089" s="22"/>
      <c r="AB2089" s="22"/>
    </row>
    <row r="2090" spans="1:28">
      <c r="A2090" s="19"/>
      <c r="B2090" s="12"/>
      <c r="C2090" s="24"/>
      <c r="D2090" s="12"/>
      <c r="E2090" s="23"/>
      <c r="F2090" s="17"/>
      <c r="G2090" s="17"/>
      <c r="Z2090" s="22"/>
      <c r="AB2090" s="22"/>
    </row>
    <row r="2091" spans="1:28">
      <c r="A2091" s="19"/>
      <c r="B2091" s="12"/>
      <c r="C2091" s="24"/>
      <c r="D2091" s="12"/>
      <c r="E2091" s="23"/>
      <c r="F2091" s="17"/>
      <c r="G2091" s="17"/>
      <c r="Z2091" s="22"/>
      <c r="AB2091" s="22"/>
    </row>
    <row r="2092" spans="1:28">
      <c r="A2092" s="19"/>
      <c r="B2092" s="12"/>
      <c r="C2092" s="24"/>
      <c r="D2092" s="12"/>
      <c r="E2092" s="23"/>
      <c r="F2092" s="17"/>
      <c r="G2092" s="17"/>
      <c r="Z2092" s="22"/>
      <c r="AB2092" s="22"/>
    </row>
    <row r="2093" spans="1:28">
      <c r="A2093" s="19"/>
      <c r="B2093" s="12"/>
      <c r="C2093" s="24"/>
      <c r="D2093" s="12"/>
      <c r="E2093" s="23"/>
      <c r="F2093" s="17"/>
      <c r="G2093" s="17"/>
      <c r="Z2093" s="22"/>
      <c r="AB2093" s="22"/>
    </row>
    <row r="2094" spans="1:28">
      <c r="A2094" s="19"/>
      <c r="B2094" s="12"/>
      <c r="C2094" s="24"/>
      <c r="D2094" s="12"/>
      <c r="E2094" s="23"/>
      <c r="F2094" s="17"/>
      <c r="G2094" s="17"/>
      <c r="Z2094" s="22"/>
      <c r="AB2094" s="22"/>
    </row>
    <row r="2095" spans="1:28">
      <c r="A2095" s="19"/>
      <c r="B2095" s="12"/>
      <c r="C2095" s="24"/>
      <c r="D2095" s="12"/>
      <c r="E2095" s="23"/>
      <c r="F2095" s="17"/>
      <c r="G2095" s="17"/>
      <c r="Z2095" s="22"/>
      <c r="AB2095" s="22"/>
    </row>
    <row r="2096" spans="1:28">
      <c r="A2096" s="19"/>
      <c r="B2096" s="12"/>
      <c r="C2096" s="24"/>
      <c r="D2096" s="12"/>
      <c r="E2096" s="23"/>
      <c r="F2096" s="17"/>
      <c r="G2096" s="17"/>
      <c r="Z2096" s="22"/>
      <c r="AB2096" s="22"/>
    </row>
    <row r="2097" spans="1:28">
      <c r="A2097" s="19"/>
      <c r="B2097" s="12"/>
      <c r="C2097" s="24"/>
      <c r="D2097" s="12"/>
      <c r="E2097" s="23"/>
      <c r="F2097" s="17"/>
      <c r="G2097" s="17"/>
      <c r="Z2097" s="22"/>
      <c r="AB2097" s="22"/>
    </row>
    <row r="2098" spans="1:28">
      <c r="A2098" s="19"/>
      <c r="B2098" s="12"/>
      <c r="C2098" s="24"/>
      <c r="D2098" s="12"/>
      <c r="E2098" s="23"/>
      <c r="F2098" s="17"/>
      <c r="G2098" s="17"/>
      <c r="Z2098" s="22"/>
      <c r="AB2098" s="22"/>
    </row>
    <row r="2099" spans="1:28">
      <c r="A2099" s="19"/>
      <c r="B2099" s="12"/>
      <c r="C2099" s="24"/>
      <c r="D2099" s="12"/>
      <c r="E2099" s="23"/>
      <c r="F2099" s="17"/>
      <c r="G2099" s="17"/>
      <c r="Z2099" s="22"/>
      <c r="AB2099" s="22"/>
    </row>
    <row r="2100" spans="1:28">
      <c r="A2100" s="19"/>
      <c r="B2100" s="12"/>
      <c r="C2100" s="24"/>
      <c r="D2100" s="12"/>
      <c r="E2100" s="23"/>
      <c r="F2100" s="17"/>
      <c r="G2100" s="17"/>
      <c r="Z2100" s="22"/>
      <c r="AB2100" s="22"/>
    </row>
    <row r="2101" spans="1:28">
      <c r="A2101" s="19"/>
      <c r="B2101" s="12"/>
      <c r="C2101" s="24"/>
      <c r="D2101" s="12"/>
      <c r="E2101" s="23"/>
      <c r="F2101" s="17"/>
      <c r="G2101" s="17"/>
      <c r="Z2101" s="22"/>
      <c r="AB2101" s="22"/>
    </row>
    <row r="2102" spans="1:28">
      <c r="A2102" s="19"/>
      <c r="B2102" s="12"/>
      <c r="C2102" s="24"/>
      <c r="D2102" s="12"/>
      <c r="E2102" s="23"/>
      <c r="F2102" s="17"/>
      <c r="G2102" s="17"/>
      <c r="Z2102" s="22"/>
      <c r="AB2102" s="22"/>
    </row>
    <row r="2103" spans="1:28">
      <c r="A2103" s="19"/>
      <c r="B2103" s="12"/>
      <c r="C2103" s="24"/>
      <c r="D2103" s="12"/>
      <c r="E2103" s="23"/>
      <c r="F2103" s="17"/>
      <c r="G2103" s="17"/>
      <c r="Z2103" s="22"/>
      <c r="AB2103" s="22"/>
    </row>
    <row r="2104" spans="1:28">
      <c r="A2104" s="19"/>
      <c r="B2104" s="12"/>
      <c r="C2104" s="24"/>
      <c r="D2104" s="12"/>
      <c r="E2104" s="23"/>
      <c r="F2104" s="17"/>
      <c r="G2104" s="17"/>
      <c r="Z2104" s="22"/>
      <c r="AB2104" s="22"/>
    </row>
    <row r="2105" spans="1:28">
      <c r="A2105" s="19"/>
      <c r="B2105" s="12"/>
      <c r="C2105" s="24"/>
      <c r="D2105" s="12"/>
      <c r="E2105" s="23"/>
      <c r="F2105" s="17"/>
      <c r="G2105" s="17"/>
      <c r="Z2105" s="22"/>
      <c r="AB2105" s="22"/>
    </row>
    <row r="2106" spans="1:28">
      <c r="A2106" s="19"/>
      <c r="B2106" s="12"/>
      <c r="C2106" s="24"/>
      <c r="D2106" s="12"/>
      <c r="E2106" s="23"/>
      <c r="F2106" s="17"/>
      <c r="G2106" s="17"/>
      <c r="Z2106" s="22"/>
      <c r="AB2106" s="22"/>
    </row>
    <row r="2107" spans="1:28">
      <c r="A2107" s="19"/>
      <c r="B2107" s="12"/>
      <c r="C2107" s="24"/>
      <c r="D2107" s="12"/>
      <c r="E2107" s="23"/>
      <c r="F2107" s="17"/>
      <c r="G2107" s="17"/>
      <c r="Z2107" s="22"/>
      <c r="AB2107" s="22"/>
    </row>
    <row r="2108" spans="1:28">
      <c r="A2108" s="19"/>
      <c r="B2108" s="12"/>
      <c r="C2108" s="24"/>
      <c r="D2108" s="12"/>
      <c r="E2108" s="23"/>
      <c r="F2108" s="17"/>
      <c r="G2108" s="17"/>
      <c r="Z2108" s="22"/>
      <c r="AB2108" s="22"/>
    </row>
    <row r="2109" spans="1:28">
      <c r="A2109" s="19"/>
      <c r="B2109" s="12"/>
      <c r="C2109" s="24"/>
      <c r="D2109" s="12"/>
      <c r="E2109" s="23"/>
      <c r="F2109" s="17"/>
      <c r="G2109" s="17"/>
      <c r="Z2109" s="22"/>
      <c r="AB2109" s="22"/>
    </row>
    <row r="2110" spans="1:28">
      <c r="A2110" s="19"/>
      <c r="B2110" s="12"/>
      <c r="C2110" s="24"/>
      <c r="D2110" s="12"/>
      <c r="E2110" s="23"/>
      <c r="F2110" s="17"/>
      <c r="G2110" s="17"/>
      <c r="Z2110" s="22"/>
      <c r="AB2110" s="22"/>
    </row>
    <row r="2111" spans="1:28">
      <c r="A2111" s="19"/>
      <c r="B2111" s="12"/>
      <c r="C2111" s="24"/>
      <c r="D2111" s="12"/>
      <c r="E2111" s="23"/>
      <c r="F2111" s="17"/>
      <c r="G2111" s="17"/>
      <c r="Z2111" s="22"/>
      <c r="AB2111" s="22"/>
    </row>
    <row r="2112" spans="1:28">
      <c r="A2112" s="19"/>
      <c r="B2112" s="12"/>
      <c r="C2112" s="24"/>
      <c r="D2112" s="12"/>
      <c r="E2112" s="23"/>
      <c r="F2112" s="17"/>
      <c r="G2112" s="17"/>
      <c r="Z2112" s="22"/>
      <c r="AB2112" s="22"/>
    </row>
    <row r="2113" spans="1:28">
      <c r="A2113" s="19"/>
      <c r="B2113" s="12"/>
      <c r="C2113" s="24"/>
      <c r="D2113" s="12"/>
      <c r="E2113" s="23"/>
      <c r="F2113" s="17"/>
      <c r="G2113" s="17"/>
      <c r="Z2113" s="22"/>
      <c r="AB2113" s="22"/>
    </row>
    <row r="2114" spans="1:28">
      <c r="A2114" s="19"/>
      <c r="B2114" s="12"/>
      <c r="C2114" s="24"/>
      <c r="D2114" s="12"/>
      <c r="E2114" s="23"/>
      <c r="F2114" s="17"/>
      <c r="G2114" s="17"/>
      <c r="Z2114" s="22"/>
      <c r="AB2114" s="22"/>
    </row>
    <row r="2115" spans="1:28">
      <c r="A2115" s="19"/>
      <c r="B2115" s="12"/>
      <c r="C2115" s="24"/>
      <c r="D2115" s="12"/>
      <c r="E2115" s="23"/>
      <c r="F2115" s="17"/>
      <c r="G2115" s="17"/>
      <c r="Z2115" s="22"/>
      <c r="AB2115" s="22"/>
    </row>
    <row r="2116" spans="1:28">
      <c r="A2116" s="19"/>
      <c r="B2116" s="12"/>
      <c r="C2116" s="24"/>
      <c r="D2116" s="12"/>
      <c r="E2116" s="23"/>
      <c r="F2116" s="17"/>
      <c r="G2116" s="17"/>
      <c r="Z2116" s="22"/>
      <c r="AB2116" s="22"/>
    </row>
    <row r="2117" spans="1:28">
      <c r="A2117" s="19"/>
      <c r="B2117" s="12"/>
      <c r="C2117" s="24"/>
      <c r="D2117" s="12"/>
      <c r="E2117" s="23"/>
      <c r="F2117" s="17"/>
      <c r="G2117" s="17"/>
      <c r="Z2117" s="22"/>
      <c r="AB2117" s="22"/>
    </row>
    <row r="2118" spans="1:28">
      <c r="A2118" s="19"/>
      <c r="B2118" s="12"/>
      <c r="C2118" s="24"/>
      <c r="D2118" s="12"/>
      <c r="E2118" s="23"/>
      <c r="F2118" s="17"/>
      <c r="G2118" s="17"/>
      <c r="Z2118" s="22"/>
      <c r="AB2118" s="22"/>
    </row>
    <row r="2119" spans="1:28">
      <c r="A2119" s="19"/>
      <c r="B2119" s="12"/>
      <c r="C2119" s="24"/>
      <c r="D2119" s="12"/>
      <c r="E2119" s="23"/>
      <c r="F2119" s="17"/>
      <c r="G2119" s="17"/>
      <c r="Z2119" s="22"/>
      <c r="AB2119" s="22"/>
    </row>
    <row r="2120" spans="1:28">
      <c r="A2120" s="19"/>
      <c r="B2120" s="12"/>
      <c r="C2120" s="24"/>
      <c r="D2120" s="12"/>
      <c r="E2120" s="23"/>
      <c r="F2120" s="17"/>
      <c r="G2120" s="17"/>
      <c r="Z2120" s="22"/>
      <c r="AB2120" s="22"/>
    </row>
    <row r="2121" spans="1:28">
      <c r="A2121" s="19"/>
      <c r="B2121" s="12"/>
      <c r="C2121" s="24"/>
      <c r="D2121" s="12"/>
      <c r="E2121" s="23"/>
      <c r="F2121" s="17"/>
      <c r="G2121" s="17"/>
      <c r="Z2121" s="22"/>
      <c r="AB2121" s="22"/>
    </row>
    <row r="2122" spans="1:28">
      <c r="A2122" s="19"/>
      <c r="B2122" s="12"/>
      <c r="C2122" s="24"/>
      <c r="D2122" s="12"/>
      <c r="E2122" s="23"/>
      <c r="F2122" s="17"/>
      <c r="G2122" s="17"/>
      <c r="Z2122" s="22"/>
      <c r="AB2122" s="22"/>
    </row>
    <row r="2123" spans="1:28">
      <c r="A2123" s="19"/>
      <c r="B2123" s="12"/>
      <c r="C2123" s="24"/>
      <c r="D2123" s="12"/>
      <c r="E2123" s="23"/>
      <c r="F2123" s="17"/>
      <c r="G2123" s="17"/>
      <c r="Z2123" s="22"/>
      <c r="AB2123" s="22"/>
    </row>
    <row r="2124" spans="1:28">
      <c r="A2124" s="19"/>
      <c r="B2124" s="12"/>
      <c r="C2124" s="24"/>
      <c r="D2124" s="12"/>
      <c r="E2124" s="23"/>
      <c r="F2124" s="17"/>
      <c r="G2124" s="17"/>
      <c r="Z2124" s="22"/>
      <c r="AB2124" s="22"/>
    </row>
    <row r="2125" spans="1:28">
      <c r="A2125" s="19"/>
      <c r="B2125" s="12"/>
      <c r="C2125" s="24"/>
      <c r="D2125" s="12"/>
      <c r="E2125" s="23"/>
      <c r="F2125" s="17"/>
      <c r="G2125" s="17"/>
      <c r="Z2125" s="22"/>
      <c r="AB2125" s="22"/>
    </row>
    <row r="2126" spans="1:28">
      <c r="A2126" s="19"/>
      <c r="B2126" s="12"/>
      <c r="C2126" s="24"/>
      <c r="D2126" s="12"/>
      <c r="E2126" s="23"/>
      <c r="F2126" s="17"/>
      <c r="G2126" s="17"/>
      <c r="Z2126" s="22"/>
      <c r="AB2126" s="22"/>
    </row>
    <row r="2127" spans="1:28">
      <c r="A2127" s="19"/>
      <c r="B2127" s="12"/>
      <c r="C2127" s="24"/>
      <c r="D2127" s="12"/>
      <c r="E2127" s="23"/>
      <c r="F2127" s="17"/>
      <c r="G2127" s="17"/>
      <c r="Z2127" s="22"/>
      <c r="AB2127" s="22"/>
    </row>
    <row r="2128" spans="1:28">
      <c r="A2128" s="19"/>
      <c r="B2128" s="12"/>
      <c r="C2128" s="24"/>
      <c r="D2128" s="12"/>
      <c r="E2128" s="23"/>
      <c r="F2128" s="17"/>
      <c r="G2128" s="17"/>
      <c r="Z2128" s="22"/>
      <c r="AB2128" s="22"/>
    </row>
    <row r="2129" spans="1:28">
      <c r="A2129" s="19"/>
      <c r="B2129" s="12"/>
      <c r="C2129" s="24"/>
      <c r="D2129" s="12"/>
      <c r="E2129" s="23"/>
      <c r="F2129" s="17"/>
      <c r="G2129" s="17"/>
      <c r="Z2129" s="22"/>
      <c r="AB2129" s="22"/>
    </row>
    <row r="2130" spans="1:28">
      <c r="A2130" s="19"/>
      <c r="B2130" s="12"/>
      <c r="C2130" s="24"/>
      <c r="D2130" s="12"/>
      <c r="E2130" s="23"/>
      <c r="F2130" s="17"/>
      <c r="G2130" s="17"/>
      <c r="Z2130" s="22"/>
      <c r="AB2130" s="22"/>
    </row>
    <row r="2131" spans="1:28">
      <c r="A2131" s="19"/>
      <c r="B2131" s="12"/>
      <c r="C2131" s="24"/>
      <c r="D2131" s="12"/>
      <c r="E2131" s="23"/>
      <c r="F2131" s="17"/>
      <c r="G2131" s="17"/>
      <c r="Z2131" s="22"/>
      <c r="AB2131" s="22"/>
    </row>
    <row r="2132" spans="1:28">
      <c r="A2132" s="19"/>
      <c r="B2132" s="12"/>
      <c r="C2132" s="24"/>
      <c r="D2132" s="12"/>
      <c r="E2132" s="23"/>
      <c r="F2132" s="17"/>
      <c r="G2132" s="17"/>
      <c r="Z2132" s="22"/>
      <c r="AB2132" s="22"/>
    </row>
    <row r="2133" spans="1:28">
      <c r="A2133" s="19"/>
      <c r="B2133" s="12"/>
      <c r="C2133" s="24"/>
      <c r="D2133" s="12"/>
      <c r="E2133" s="23"/>
      <c r="F2133" s="17"/>
      <c r="G2133" s="17"/>
      <c r="Z2133" s="22"/>
      <c r="AB2133" s="22"/>
    </row>
    <row r="2134" spans="1:28">
      <c r="A2134" s="19"/>
      <c r="B2134" s="12"/>
      <c r="C2134" s="24"/>
      <c r="D2134" s="12"/>
      <c r="E2134" s="23"/>
      <c r="F2134" s="17"/>
      <c r="G2134" s="17"/>
      <c r="Z2134" s="22"/>
      <c r="AB2134" s="22"/>
    </row>
    <row r="2135" spans="1:28">
      <c r="A2135" s="19"/>
      <c r="B2135" s="12"/>
      <c r="C2135" s="24"/>
      <c r="D2135" s="12"/>
      <c r="E2135" s="23"/>
      <c r="F2135" s="17"/>
      <c r="G2135" s="17"/>
      <c r="Z2135" s="22"/>
      <c r="AB2135" s="22"/>
    </row>
    <row r="2136" spans="1:28">
      <c r="A2136" s="19"/>
      <c r="B2136" s="12"/>
      <c r="C2136" s="24"/>
      <c r="D2136" s="12"/>
      <c r="E2136" s="23"/>
      <c r="F2136" s="17"/>
      <c r="G2136" s="17"/>
      <c r="Z2136" s="22"/>
      <c r="AB2136" s="22"/>
    </row>
    <row r="2137" spans="1:28">
      <c r="A2137" s="19"/>
      <c r="B2137" s="12"/>
      <c r="C2137" s="24"/>
      <c r="D2137" s="12"/>
      <c r="E2137" s="23"/>
      <c r="F2137" s="17"/>
      <c r="G2137" s="17"/>
      <c r="Z2137" s="22"/>
      <c r="AB2137" s="22"/>
    </row>
    <row r="2138" spans="1:28">
      <c r="A2138" s="19"/>
      <c r="B2138" s="12"/>
      <c r="C2138" s="24"/>
      <c r="D2138" s="12"/>
      <c r="E2138" s="23"/>
      <c r="F2138" s="17"/>
      <c r="G2138" s="17"/>
      <c r="Z2138" s="22"/>
      <c r="AB2138" s="22"/>
    </row>
    <row r="2139" spans="1:28">
      <c r="A2139" s="19"/>
      <c r="B2139" s="12"/>
      <c r="C2139" s="24"/>
      <c r="D2139" s="12"/>
      <c r="E2139" s="23"/>
      <c r="F2139" s="17"/>
      <c r="G2139" s="17"/>
      <c r="Z2139" s="22"/>
      <c r="AB2139" s="22"/>
    </row>
    <row r="2140" spans="1:28">
      <c r="A2140" s="19"/>
      <c r="B2140" s="12"/>
      <c r="C2140" s="24"/>
      <c r="D2140" s="12"/>
      <c r="E2140" s="23"/>
      <c r="F2140" s="17"/>
      <c r="G2140" s="17"/>
      <c r="Z2140" s="22"/>
      <c r="AB2140" s="22"/>
    </row>
    <row r="2141" spans="1:28">
      <c r="A2141" s="19"/>
      <c r="B2141" s="12"/>
      <c r="C2141" s="24"/>
      <c r="D2141" s="12"/>
      <c r="E2141" s="23"/>
      <c r="F2141" s="17"/>
      <c r="G2141" s="17"/>
      <c r="Z2141" s="22"/>
      <c r="AB2141" s="22"/>
    </row>
    <row r="2142" spans="1:28">
      <c r="A2142" s="19"/>
      <c r="B2142" s="12"/>
      <c r="C2142" s="24"/>
      <c r="D2142" s="12"/>
      <c r="E2142" s="23"/>
      <c r="F2142" s="17"/>
      <c r="G2142" s="17"/>
      <c r="Z2142" s="22"/>
      <c r="AB2142" s="22"/>
    </row>
    <row r="2143" spans="1:28">
      <c r="A2143" s="19"/>
      <c r="B2143" s="12"/>
      <c r="C2143" s="24"/>
      <c r="D2143" s="12"/>
      <c r="E2143" s="23"/>
      <c r="F2143" s="17"/>
      <c r="G2143" s="17"/>
      <c r="Z2143" s="22"/>
      <c r="AB2143" s="22"/>
    </row>
    <row r="2144" spans="1:28">
      <c r="A2144" s="19"/>
      <c r="B2144" s="12"/>
      <c r="C2144" s="24"/>
      <c r="D2144" s="12"/>
      <c r="E2144" s="23"/>
      <c r="F2144" s="17"/>
      <c r="G2144" s="17"/>
      <c r="Z2144" s="22"/>
      <c r="AB2144" s="22"/>
    </row>
    <row r="2145" spans="1:28">
      <c r="A2145" s="19"/>
      <c r="B2145" s="12"/>
      <c r="C2145" s="24"/>
      <c r="D2145" s="12"/>
      <c r="E2145" s="23"/>
      <c r="F2145" s="17"/>
      <c r="G2145" s="17"/>
      <c r="Z2145" s="22"/>
      <c r="AB2145" s="22"/>
    </row>
    <row r="2146" spans="1:28">
      <c r="A2146" s="19"/>
      <c r="B2146" s="12"/>
      <c r="C2146" s="24"/>
      <c r="D2146" s="12"/>
      <c r="E2146" s="23"/>
      <c r="F2146" s="17"/>
      <c r="G2146" s="17"/>
      <c r="Z2146" s="22"/>
      <c r="AB2146" s="22"/>
    </row>
    <row r="2147" spans="1:28">
      <c r="A2147" s="19"/>
      <c r="B2147" s="12"/>
      <c r="C2147" s="24"/>
      <c r="D2147" s="12"/>
      <c r="E2147" s="23"/>
      <c r="F2147" s="17"/>
      <c r="G2147" s="17"/>
      <c r="Z2147" s="22"/>
      <c r="AB2147" s="22"/>
    </row>
    <row r="2148" spans="1:28">
      <c r="A2148" s="19"/>
      <c r="B2148" s="12"/>
      <c r="C2148" s="24"/>
      <c r="D2148" s="12"/>
      <c r="E2148" s="23"/>
      <c r="F2148" s="17"/>
      <c r="G2148" s="17"/>
      <c r="Z2148" s="22"/>
      <c r="AB2148" s="22"/>
    </row>
    <row r="2149" spans="1:28">
      <c r="A2149" s="19"/>
      <c r="B2149" s="12"/>
      <c r="C2149" s="24"/>
      <c r="D2149" s="12"/>
      <c r="E2149" s="23"/>
      <c r="F2149" s="17"/>
      <c r="G2149" s="17"/>
      <c r="Z2149" s="22"/>
      <c r="AB2149" s="22"/>
    </row>
    <row r="2150" spans="1:28">
      <c r="A2150" s="19"/>
      <c r="B2150" s="12"/>
      <c r="C2150" s="24"/>
      <c r="D2150" s="12"/>
      <c r="E2150" s="23"/>
      <c r="F2150" s="17"/>
      <c r="G2150" s="17"/>
      <c r="Z2150" s="22"/>
      <c r="AB2150" s="22"/>
    </row>
    <row r="2151" spans="1:28">
      <c r="A2151" s="19"/>
      <c r="B2151" s="12"/>
      <c r="C2151" s="24"/>
      <c r="D2151" s="12"/>
      <c r="E2151" s="23"/>
      <c r="F2151" s="17"/>
      <c r="G2151" s="17"/>
      <c r="Z2151" s="22"/>
      <c r="AB2151" s="22"/>
    </row>
    <row r="2152" spans="1:28">
      <c r="A2152" s="19"/>
      <c r="B2152" s="12"/>
      <c r="C2152" s="24"/>
      <c r="D2152" s="12"/>
      <c r="E2152" s="23"/>
      <c r="F2152" s="17"/>
      <c r="G2152" s="17"/>
      <c r="Z2152" s="22"/>
      <c r="AB2152" s="22"/>
    </row>
    <row r="2153" spans="1:28">
      <c r="A2153" s="19"/>
      <c r="B2153" s="12"/>
      <c r="C2153" s="24"/>
      <c r="D2153" s="12"/>
      <c r="E2153" s="23"/>
      <c r="F2153" s="17"/>
      <c r="G2153" s="17"/>
      <c r="Z2153" s="22"/>
      <c r="AB2153" s="22"/>
    </row>
    <row r="2154" spans="1:28">
      <c r="A2154" s="19"/>
      <c r="B2154" s="12"/>
      <c r="C2154" s="24"/>
      <c r="D2154" s="12"/>
      <c r="E2154" s="23"/>
      <c r="F2154" s="17"/>
      <c r="G2154" s="17"/>
      <c r="Z2154" s="22"/>
      <c r="AB2154" s="22"/>
    </row>
    <row r="2155" spans="1:28">
      <c r="A2155" s="19"/>
      <c r="B2155" s="12"/>
      <c r="C2155" s="24"/>
      <c r="D2155" s="12"/>
      <c r="E2155" s="23"/>
      <c r="F2155" s="17"/>
      <c r="G2155" s="17"/>
      <c r="Z2155" s="22"/>
      <c r="AB2155" s="22"/>
    </row>
    <row r="2156" spans="1:28">
      <c r="A2156" s="19"/>
      <c r="B2156" s="12"/>
      <c r="C2156" s="24"/>
      <c r="D2156" s="12"/>
      <c r="E2156" s="23"/>
      <c r="F2156" s="17"/>
      <c r="G2156" s="17"/>
      <c r="Z2156" s="22"/>
      <c r="AB2156" s="22"/>
    </row>
    <row r="2157" spans="1:28">
      <c r="A2157" s="19"/>
      <c r="B2157" s="12"/>
      <c r="C2157" s="24"/>
      <c r="D2157" s="12"/>
      <c r="E2157" s="23"/>
      <c r="F2157" s="17"/>
      <c r="G2157" s="17"/>
      <c r="Z2157" s="22"/>
      <c r="AB2157" s="22"/>
    </row>
    <row r="2158" spans="1:28">
      <c r="A2158" s="19"/>
      <c r="B2158" s="12"/>
      <c r="C2158" s="24"/>
      <c r="D2158" s="12"/>
      <c r="E2158" s="23"/>
      <c r="F2158" s="17"/>
      <c r="G2158" s="17"/>
      <c r="Z2158" s="22"/>
      <c r="AB2158" s="22"/>
    </row>
    <row r="2159" spans="1:28">
      <c r="A2159" s="19"/>
      <c r="B2159" s="12"/>
      <c r="C2159" s="24"/>
      <c r="D2159" s="12"/>
      <c r="E2159" s="23"/>
      <c r="F2159" s="17"/>
      <c r="G2159" s="17"/>
      <c r="Z2159" s="22"/>
      <c r="AB2159" s="22"/>
    </row>
    <row r="2160" spans="1:28">
      <c r="A2160" s="19"/>
      <c r="B2160" s="12"/>
      <c r="C2160" s="24"/>
      <c r="D2160" s="12"/>
      <c r="E2160" s="23"/>
      <c r="F2160" s="17"/>
      <c r="G2160" s="17"/>
      <c r="Z2160" s="22"/>
      <c r="AB2160" s="22"/>
    </row>
    <row r="2161" spans="1:28">
      <c r="A2161" s="19"/>
      <c r="B2161" s="12"/>
      <c r="C2161" s="24"/>
      <c r="D2161" s="12"/>
      <c r="E2161" s="23"/>
      <c r="F2161" s="17"/>
      <c r="G2161" s="17"/>
      <c r="Z2161" s="22"/>
      <c r="AB2161" s="22"/>
    </row>
    <row r="2162" spans="1:28">
      <c r="A2162" s="19"/>
      <c r="B2162" s="12"/>
      <c r="C2162" s="24"/>
      <c r="D2162" s="12"/>
      <c r="E2162" s="23"/>
      <c r="F2162" s="17"/>
      <c r="G2162" s="17"/>
      <c r="Z2162" s="22"/>
      <c r="AB2162" s="22"/>
    </row>
    <row r="2163" spans="1:28">
      <c r="A2163" s="19"/>
      <c r="B2163" s="12"/>
      <c r="C2163" s="24"/>
      <c r="D2163" s="12"/>
      <c r="E2163" s="23"/>
      <c r="F2163" s="17"/>
      <c r="G2163" s="17"/>
      <c r="Z2163" s="22"/>
      <c r="AB2163" s="22"/>
    </row>
    <row r="2164" spans="1:28">
      <c r="A2164" s="19"/>
      <c r="B2164" s="12"/>
      <c r="C2164" s="24"/>
      <c r="D2164" s="12"/>
      <c r="E2164" s="23"/>
      <c r="F2164" s="17"/>
      <c r="G2164" s="17"/>
      <c r="Z2164" s="22"/>
      <c r="AB2164" s="22"/>
    </row>
    <row r="2165" spans="1:28">
      <c r="A2165" s="19"/>
      <c r="B2165" s="12"/>
      <c r="C2165" s="24"/>
      <c r="D2165" s="12"/>
      <c r="E2165" s="23"/>
      <c r="F2165" s="17"/>
      <c r="G2165" s="17"/>
      <c r="Z2165" s="22"/>
      <c r="AB2165" s="22"/>
    </row>
    <row r="2166" spans="1:28">
      <c r="A2166" s="19"/>
      <c r="B2166" s="12"/>
      <c r="C2166" s="24"/>
      <c r="D2166" s="12"/>
      <c r="E2166" s="23"/>
      <c r="F2166" s="17"/>
      <c r="G2166" s="17"/>
      <c r="Z2166" s="22"/>
      <c r="AB2166" s="22"/>
    </row>
    <row r="2167" spans="1:28">
      <c r="A2167" s="19"/>
      <c r="B2167" s="12"/>
      <c r="C2167" s="24"/>
      <c r="D2167" s="12"/>
      <c r="E2167" s="23"/>
      <c r="F2167" s="17"/>
      <c r="G2167" s="17"/>
      <c r="Z2167" s="22"/>
      <c r="AB2167" s="22"/>
    </row>
    <row r="2168" spans="1:28">
      <c r="A2168" s="19"/>
      <c r="B2168" s="12"/>
      <c r="C2168" s="24"/>
      <c r="D2168" s="12"/>
      <c r="E2168" s="23"/>
      <c r="F2168" s="17"/>
      <c r="G2168" s="17"/>
      <c r="Z2168" s="22"/>
      <c r="AB2168" s="22"/>
    </row>
    <row r="2169" spans="1:28">
      <c r="A2169" s="19"/>
      <c r="B2169" s="12"/>
      <c r="C2169" s="24"/>
      <c r="D2169" s="12"/>
      <c r="E2169" s="23"/>
      <c r="F2169" s="17"/>
      <c r="G2169" s="17"/>
      <c r="Z2169" s="22"/>
      <c r="AB2169" s="22"/>
    </row>
    <row r="2170" spans="1:28">
      <c r="A2170" s="19"/>
      <c r="B2170" s="12"/>
      <c r="C2170" s="24"/>
      <c r="D2170" s="12"/>
      <c r="E2170" s="23"/>
      <c r="F2170" s="17"/>
      <c r="G2170" s="17"/>
      <c r="Z2170" s="22"/>
      <c r="AB2170" s="22"/>
    </row>
    <row r="2171" spans="1:28">
      <c r="A2171" s="19"/>
      <c r="B2171" s="12"/>
      <c r="C2171" s="24"/>
      <c r="D2171" s="12"/>
      <c r="E2171" s="23"/>
      <c r="F2171" s="17"/>
      <c r="G2171" s="17"/>
      <c r="Z2171" s="22"/>
      <c r="AB2171" s="22"/>
    </row>
    <row r="2172" spans="1:28">
      <c r="A2172" s="19"/>
      <c r="B2172" s="12"/>
      <c r="C2172" s="24"/>
      <c r="D2172" s="12"/>
      <c r="E2172" s="23"/>
      <c r="F2172" s="17"/>
      <c r="G2172" s="17"/>
      <c r="Z2172" s="22"/>
      <c r="AB2172" s="22"/>
    </row>
    <row r="2173" spans="1:28">
      <c r="A2173" s="19"/>
      <c r="B2173" s="12"/>
      <c r="C2173" s="24"/>
      <c r="D2173" s="12"/>
      <c r="E2173" s="23"/>
      <c r="F2173" s="17"/>
      <c r="G2173" s="17"/>
      <c r="Z2173" s="22"/>
      <c r="AB2173" s="22"/>
    </row>
    <row r="2174" spans="1:28">
      <c r="A2174" s="19"/>
      <c r="B2174" s="12"/>
      <c r="C2174" s="24"/>
      <c r="D2174" s="12"/>
      <c r="E2174" s="23"/>
      <c r="F2174" s="17"/>
      <c r="G2174" s="17"/>
      <c r="Z2174" s="22"/>
      <c r="AB2174" s="22"/>
    </row>
    <row r="2175" spans="1:28">
      <c r="A2175" s="19"/>
      <c r="B2175" s="12"/>
      <c r="C2175" s="24"/>
      <c r="D2175" s="12"/>
      <c r="E2175" s="23"/>
      <c r="F2175" s="17"/>
      <c r="G2175" s="17"/>
      <c r="Z2175" s="22"/>
      <c r="AB2175" s="22"/>
    </row>
    <row r="2176" spans="1:28">
      <c r="A2176" s="19"/>
      <c r="B2176" s="12"/>
      <c r="C2176" s="24"/>
      <c r="D2176" s="12"/>
      <c r="E2176" s="23"/>
      <c r="F2176" s="17"/>
      <c r="G2176" s="17"/>
      <c r="Z2176" s="22"/>
      <c r="AB2176" s="22"/>
    </row>
    <row r="2177" spans="1:28">
      <c r="A2177" s="19"/>
      <c r="B2177" s="12"/>
      <c r="C2177" s="24"/>
      <c r="D2177" s="12"/>
      <c r="E2177" s="23"/>
      <c r="F2177" s="17"/>
      <c r="G2177" s="17"/>
      <c r="Z2177" s="22"/>
      <c r="AB2177" s="22"/>
    </row>
    <row r="2178" spans="1:28">
      <c r="A2178" s="19"/>
      <c r="B2178" s="12"/>
      <c r="C2178" s="24"/>
      <c r="D2178" s="12"/>
      <c r="E2178" s="23"/>
      <c r="F2178" s="17"/>
      <c r="G2178" s="17"/>
      <c r="Z2178" s="22"/>
      <c r="AB2178" s="22"/>
    </row>
    <row r="2179" spans="1:28">
      <c r="A2179" s="19"/>
      <c r="B2179" s="12"/>
      <c r="C2179" s="24"/>
      <c r="D2179" s="12"/>
      <c r="E2179" s="23"/>
      <c r="F2179" s="17"/>
      <c r="G2179" s="17"/>
      <c r="Z2179" s="22"/>
      <c r="AB2179" s="22"/>
    </row>
    <row r="2180" spans="1:28">
      <c r="A2180" s="19"/>
      <c r="B2180" s="12"/>
      <c r="C2180" s="24"/>
      <c r="D2180" s="12"/>
      <c r="E2180" s="23"/>
      <c r="F2180" s="17"/>
      <c r="G2180" s="17"/>
      <c r="Z2180" s="22"/>
      <c r="AB2180" s="22"/>
    </row>
    <row r="2181" spans="1:28">
      <c r="A2181" s="19"/>
      <c r="B2181" s="12"/>
      <c r="C2181" s="24"/>
      <c r="D2181" s="12"/>
      <c r="E2181" s="23"/>
      <c r="F2181" s="17"/>
      <c r="G2181" s="17"/>
      <c r="Z2181" s="22"/>
      <c r="AB2181" s="22"/>
    </row>
    <row r="2182" spans="1:28">
      <c r="A2182" s="19"/>
      <c r="B2182" s="12"/>
      <c r="C2182" s="24"/>
      <c r="D2182" s="12"/>
      <c r="E2182" s="23"/>
      <c r="F2182" s="17"/>
      <c r="G2182" s="17"/>
      <c r="Z2182" s="22"/>
      <c r="AB2182" s="22"/>
    </row>
    <row r="2183" spans="1:28">
      <c r="A2183" s="19"/>
      <c r="B2183" s="12"/>
      <c r="C2183" s="24"/>
      <c r="D2183" s="12"/>
      <c r="E2183" s="23"/>
      <c r="F2183" s="17"/>
      <c r="G2183" s="17"/>
      <c r="Z2183" s="22"/>
      <c r="AB2183" s="22"/>
    </row>
    <row r="2184" spans="1:28">
      <c r="A2184" s="19"/>
      <c r="B2184" s="12"/>
      <c r="C2184" s="24"/>
      <c r="D2184" s="12"/>
      <c r="E2184" s="23"/>
      <c r="F2184" s="17"/>
      <c r="G2184" s="17"/>
      <c r="Z2184" s="22"/>
      <c r="AB2184" s="22"/>
    </row>
    <row r="2185" spans="1:28">
      <c r="A2185" s="19"/>
      <c r="B2185" s="12"/>
      <c r="C2185" s="24"/>
      <c r="D2185" s="12"/>
      <c r="E2185" s="23"/>
      <c r="F2185" s="17"/>
      <c r="G2185" s="17"/>
      <c r="Z2185" s="22"/>
      <c r="AB2185" s="22"/>
    </row>
    <row r="2186" spans="1:28">
      <c r="A2186" s="19"/>
      <c r="B2186" s="12"/>
      <c r="C2186" s="24"/>
      <c r="D2186" s="12"/>
      <c r="E2186" s="23"/>
      <c r="F2186" s="17"/>
      <c r="G2186" s="17"/>
      <c r="Z2186" s="22"/>
      <c r="AB2186" s="22"/>
    </row>
    <row r="2187" spans="1:28">
      <c r="A2187" s="19"/>
      <c r="B2187" s="12"/>
      <c r="C2187" s="24"/>
      <c r="D2187" s="12"/>
      <c r="E2187" s="23"/>
      <c r="F2187" s="17"/>
      <c r="G2187" s="17"/>
      <c r="Z2187" s="22"/>
      <c r="AB2187" s="22"/>
    </row>
    <row r="2188" spans="1:28">
      <c r="A2188" s="19"/>
      <c r="B2188" s="12"/>
      <c r="C2188" s="24"/>
      <c r="D2188" s="12"/>
      <c r="E2188" s="23"/>
      <c r="F2188" s="17"/>
      <c r="G2188" s="17"/>
      <c r="Z2188" s="22"/>
      <c r="AB2188" s="22"/>
    </row>
    <row r="2189" spans="1:28">
      <c r="A2189" s="19"/>
      <c r="B2189" s="12"/>
      <c r="C2189" s="24"/>
      <c r="D2189" s="12"/>
      <c r="E2189" s="23"/>
      <c r="F2189" s="17"/>
      <c r="G2189" s="17"/>
      <c r="Z2189" s="22"/>
      <c r="AB2189" s="22"/>
    </row>
    <row r="2190" spans="1:28">
      <c r="A2190" s="19"/>
      <c r="B2190" s="12"/>
      <c r="C2190" s="24"/>
      <c r="D2190" s="12"/>
      <c r="E2190" s="23"/>
      <c r="F2190" s="17"/>
      <c r="G2190" s="17"/>
      <c r="Z2190" s="22"/>
      <c r="AB2190" s="22"/>
    </row>
    <row r="2191" spans="1:28">
      <c r="A2191" s="19"/>
      <c r="B2191" s="12"/>
      <c r="C2191" s="24"/>
      <c r="D2191" s="12"/>
      <c r="E2191" s="23"/>
      <c r="F2191" s="17"/>
      <c r="G2191" s="17"/>
      <c r="Z2191" s="22"/>
      <c r="AB2191" s="22"/>
    </row>
    <row r="2192" spans="1:28">
      <c r="A2192" s="19"/>
      <c r="B2192" s="12"/>
      <c r="C2192" s="24"/>
      <c r="D2192" s="12"/>
      <c r="E2192" s="23"/>
      <c r="F2192" s="17"/>
      <c r="G2192" s="17"/>
      <c r="Z2192" s="22"/>
      <c r="AB2192" s="22"/>
    </row>
    <row r="2193" spans="1:28">
      <c r="A2193" s="19"/>
      <c r="B2193" s="12"/>
      <c r="C2193" s="24"/>
      <c r="D2193" s="12"/>
      <c r="E2193" s="23"/>
      <c r="F2193" s="17"/>
      <c r="G2193" s="17"/>
      <c r="Z2193" s="22"/>
      <c r="AB2193" s="22"/>
    </row>
    <row r="2194" spans="1:28">
      <c r="A2194" s="19"/>
      <c r="B2194" s="12"/>
      <c r="C2194" s="24"/>
      <c r="D2194" s="12"/>
      <c r="E2194" s="23"/>
      <c r="F2194" s="17"/>
      <c r="G2194" s="17"/>
      <c r="Z2194" s="22"/>
      <c r="AB2194" s="22"/>
    </row>
    <row r="2195" spans="1:28">
      <c r="A2195" s="19"/>
      <c r="B2195" s="12"/>
      <c r="C2195" s="24"/>
      <c r="D2195" s="12"/>
      <c r="E2195" s="23"/>
      <c r="F2195" s="17"/>
      <c r="G2195" s="17"/>
      <c r="Z2195" s="22"/>
      <c r="AB2195" s="22"/>
    </row>
    <row r="2196" spans="1:28">
      <c r="A2196" s="19"/>
      <c r="B2196" s="12"/>
      <c r="C2196" s="24"/>
      <c r="D2196" s="12"/>
      <c r="E2196" s="23"/>
      <c r="F2196" s="17"/>
      <c r="G2196" s="17"/>
      <c r="Z2196" s="22"/>
      <c r="AB2196" s="22"/>
    </row>
    <row r="2197" spans="1:28">
      <c r="A2197" s="19"/>
      <c r="B2197" s="12"/>
      <c r="C2197" s="24"/>
      <c r="D2197" s="12"/>
      <c r="E2197" s="23"/>
      <c r="F2197" s="17"/>
      <c r="G2197" s="17"/>
      <c r="Z2197" s="22"/>
      <c r="AB2197" s="22"/>
    </row>
    <row r="2198" spans="1:28">
      <c r="A2198" s="19"/>
      <c r="B2198" s="12"/>
      <c r="C2198" s="24"/>
      <c r="D2198" s="12"/>
      <c r="E2198" s="23"/>
      <c r="F2198" s="17"/>
      <c r="G2198" s="17"/>
      <c r="Z2198" s="22"/>
      <c r="AB2198" s="22"/>
    </row>
    <row r="2199" spans="1:28">
      <c r="A2199" s="19"/>
      <c r="B2199" s="12"/>
      <c r="C2199" s="24"/>
      <c r="D2199" s="12"/>
      <c r="E2199" s="23"/>
      <c r="F2199" s="17"/>
      <c r="G2199" s="17"/>
      <c r="Z2199" s="22"/>
      <c r="AB2199" s="22"/>
    </row>
    <row r="2200" spans="1:28">
      <c r="A2200" s="19"/>
      <c r="B2200" s="12"/>
      <c r="C2200" s="24"/>
      <c r="D2200" s="12"/>
      <c r="E2200" s="23"/>
      <c r="F2200" s="17"/>
      <c r="G2200" s="17"/>
      <c r="Z2200" s="22"/>
      <c r="AB2200" s="22"/>
    </row>
    <row r="2201" spans="1:28">
      <c r="A2201" s="19"/>
      <c r="B2201" s="12"/>
      <c r="C2201" s="24"/>
      <c r="D2201" s="12"/>
      <c r="E2201" s="23"/>
      <c r="F2201" s="17"/>
      <c r="G2201" s="17"/>
      <c r="Z2201" s="22"/>
      <c r="AB2201" s="22"/>
    </row>
    <row r="2202" spans="1:28">
      <c r="A2202" s="19"/>
      <c r="B2202" s="12"/>
      <c r="C2202" s="24"/>
      <c r="D2202" s="12"/>
      <c r="E2202" s="23"/>
      <c r="F2202" s="17"/>
      <c r="G2202" s="17"/>
      <c r="Z2202" s="22"/>
      <c r="AB2202" s="22"/>
    </row>
    <row r="2203" spans="1:28">
      <c r="A2203" s="19"/>
      <c r="B2203" s="12"/>
      <c r="C2203" s="24"/>
      <c r="D2203" s="12"/>
      <c r="E2203" s="23"/>
      <c r="F2203" s="17"/>
      <c r="G2203" s="17"/>
      <c r="Z2203" s="22"/>
      <c r="AB2203" s="22"/>
    </row>
    <row r="2204" spans="1:28">
      <c r="A2204" s="19"/>
      <c r="B2204" s="12"/>
      <c r="C2204" s="24"/>
      <c r="D2204" s="12"/>
      <c r="E2204" s="23"/>
      <c r="F2204" s="17"/>
      <c r="G2204" s="17"/>
      <c r="Z2204" s="22"/>
      <c r="AB2204" s="22"/>
    </row>
    <row r="2205" spans="1:28">
      <c r="A2205" s="19"/>
      <c r="B2205" s="12"/>
      <c r="C2205" s="24"/>
      <c r="D2205" s="12"/>
      <c r="E2205" s="23"/>
      <c r="F2205" s="17"/>
      <c r="G2205" s="17"/>
      <c r="Z2205" s="22"/>
      <c r="AB2205" s="22"/>
    </row>
    <row r="2206" spans="1:28">
      <c r="A2206" s="19"/>
      <c r="B2206" s="12"/>
      <c r="C2206" s="24"/>
      <c r="D2206" s="12"/>
      <c r="E2206" s="23"/>
      <c r="F2206" s="17"/>
      <c r="G2206" s="17"/>
      <c r="Z2206" s="22"/>
      <c r="AB2206" s="22"/>
    </row>
    <row r="2207" spans="1:28">
      <c r="A2207" s="19"/>
      <c r="B2207" s="12"/>
      <c r="C2207" s="24"/>
      <c r="D2207" s="12"/>
      <c r="E2207" s="23"/>
      <c r="F2207" s="17"/>
      <c r="G2207" s="17"/>
      <c r="Z2207" s="22"/>
      <c r="AB2207" s="22"/>
    </row>
    <row r="2208" spans="1:28">
      <c r="A2208" s="19"/>
      <c r="B2208" s="12"/>
      <c r="C2208" s="24"/>
      <c r="D2208" s="12"/>
      <c r="E2208" s="23"/>
      <c r="F2208" s="17"/>
      <c r="G2208" s="17"/>
      <c r="Z2208" s="22"/>
      <c r="AB2208" s="22"/>
    </row>
    <row r="2209" spans="1:28">
      <c r="A2209" s="19"/>
      <c r="B2209" s="12"/>
      <c r="C2209" s="24"/>
      <c r="D2209" s="12"/>
      <c r="E2209" s="23"/>
      <c r="F2209" s="17"/>
      <c r="G2209" s="17"/>
      <c r="Z2209" s="22"/>
      <c r="AB2209" s="22"/>
    </row>
    <row r="2210" spans="1:28">
      <c r="A2210" s="19"/>
      <c r="B2210" s="12"/>
      <c r="C2210" s="24"/>
      <c r="D2210" s="12"/>
      <c r="E2210" s="23"/>
      <c r="F2210" s="17"/>
      <c r="G2210" s="17"/>
      <c r="Z2210" s="22"/>
      <c r="AB2210" s="22"/>
    </row>
    <row r="2211" spans="1:28">
      <c r="A2211" s="19"/>
      <c r="B2211" s="12"/>
      <c r="C2211" s="24"/>
      <c r="D2211" s="12"/>
      <c r="E2211" s="23"/>
      <c r="F2211" s="17"/>
      <c r="G2211" s="17"/>
      <c r="Z2211" s="22"/>
      <c r="AB2211" s="22"/>
    </row>
    <row r="2212" spans="1:28">
      <c r="A2212" s="19"/>
      <c r="B2212" s="12"/>
      <c r="C2212" s="24"/>
      <c r="D2212" s="12"/>
      <c r="E2212" s="23"/>
      <c r="F2212" s="17"/>
      <c r="G2212" s="17"/>
      <c r="Z2212" s="22"/>
      <c r="AB2212" s="22"/>
    </row>
    <row r="2213" spans="1:28">
      <c r="A2213" s="19"/>
      <c r="B2213" s="12"/>
      <c r="C2213" s="24"/>
      <c r="D2213" s="12"/>
      <c r="E2213" s="23"/>
      <c r="F2213" s="17"/>
      <c r="G2213" s="17"/>
      <c r="Z2213" s="22"/>
      <c r="AB2213" s="22"/>
    </row>
    <row r="2214" spans="1:28">
      <c r="A2214" s="19"/>
      <c r="B2214" s="12"/>
      <c r="C2214" s="24"/>
      <c r="D2214" s="12"/>
      <c r="E2214" s="23"/>
      <c r="F2214" s="17"/>
      <c r="G2214" s="17"/>
      <c r="Z2214" s="22"/>
      <c r="AB2214" s="22"/>
    </row>
    <row r="2215" spans="1:28">
      <c r="A2215" s="19"/>
      <c r="B2215" s="12"/>
      <c r="C2215" s="24"/>
      <c r="D2215" s="12"/>
      <c r="E2215" s="23"/>
      <c r="F2215" s="17"/>
      <c r="G2215" s="17"/>
      <c r="Z2215" s="22"/>
      <c r="AB2215" s="22"/>
    </row>
    <row r="2216" spans="1:28">
      <c r="A2216" s="19"/>
      <c r="B2216" s="12"/>
      <c r="C2216" s="24"/>
      <c r="D2216" s="12"/>
      <c r="E2216" s="23"/>
      <c r="F2216" s="17"/>
      <c r="G2216" s="17"/>
      <c r="Z2216" s="22"/>
      <c r="AB2216" s="22"/>
    </row>
    <row r="2217" spans="1:28">
      <c r="A2217" s="19"/>
      <c r="B2217" s="12"/>
      <c r="C2217" s="24"/>
      <c r="D2217" s="12"/>
      <c r="E2217" s="23"/>
      <c r="F2217" s="17"/>
      <c r="G2217" s="17"/>
      <c r="Z2217" s="22"/>
      <c r="AB2217" s="22"/>
    </row>
    <row r="2218" spans="1:28">
      <c r="A2218" s="19"/>
      <c r="B2218" s="12"/>
      <c r="C2218" s="24"/>
      <c r="D2218" s="12"/>
      <c r="E2218" s="23"/>
      <c r="F2218" s="17"/>
      <c r="G2218" s="17"/>
      <c r="Z2218" s="22"/>
      <c r="AB2218" s="22"/>
    </row>
    <row r="2219" spans="1:28">
      <c r="A2219" s="19"/>
      <c r="B2219" s="12"/>
      <c r="C2219" s="24"/>
      <c r="D2219" s="12"/>
      <c r="E2219" s="23"/>
      <c r="F2219" s="17"/>
      <c r="G2219" s="17"/>
      <c r="Z2219" s="22"/>
      <c r="AB2219" s="22"/>
    </row>
    <row r="2220" spans="1:28">
      <c r="A2220" s="19"/>
      <c r="B2220" s="12"/>
      <c r="C2220" s="24"/>
      <c r="D2220" s="12"/>
      <c r="E2220" s="23"/>
      <c r="F2220" s="17"/>
      <c r="G2220" s="17"/>
      <c r="Z2220" s="22"/>
      <c r="AB2220" s="22"/>
    </row>
    <row r="2221" spans="1:28">
      <c r="A2221" s="19"/>
      <c r="B2221" s="12"/>
      <c r="C2221" s="24"/>
      <c r="D2221" s="12"/>
      <c r="E2221" s="23"/>
      <c r="F2221" s="17"/>
      <c r="G2221" s="17"/>
      <c r="Z2221" s="22"/>
      <c r="AB2221" s="22"/>
    </row>
    <row r="2222" spans="1:28">
      <c r="A2222" s="19"/>
      <c r="B2222" s="12"/>
      <c r="C2222" s="24"/>
      <c r="D2222" s="12"/>
      <c r="E2222" s="23"/>
      <c r="F2222" s="17"/>
      <c r="G2222" s="17"/>
      <c r="Z2222" s="22"/>
      <c r="AB2222" s="22"/>
    </row>
    <row r="2223" spans="1:28">
      <c r="A2223" s="19"/>
      <c r="B2223" s="12"/>
      <c r="C2223" s="24"/>
      <c r="D2223" s="12"/>
      <c r="E2223" s="23"/>
      <c r="F2223" s="17"/>
      <c r="G2223" s="17"/>
      <c r="Z2223" s="22"/>
      <c r="AB2223" s="22"/>
    </row>
    <row r="2224" spans="1:28">
      <c r="A2224" s="19"/>
      <c r="B2224" s="12"/>
      <c r="C2224" s="24"/>
      <c r="D2224" s="12"/>
      <c r="E2224" s="23"/>
      <c r="F2224" s="17"/>
      <c r="G2224" s="17"/>
      <c r="Z2224" s="22"/>
      <c r="AB2224" s="22"/>
    </row>
    <row r="2225" spans="1:28">
      <c r="A2225" s="19"/>
      <c r="B2225" s="12"/>
      <c r="C2225" s="24"/>
      <c r="D2225" s="12"/>
      <c r="E2225" s="23"/>
      <c r="F2225" s="17"/>
      <c r="G2225" s="17"/>
      <c r="Z2225" s="22"/>
      <c r="AB2225" s="22"/>
    </row>
    <row r="2226" spans="1:28">
      <c r="A2226" s="19"/>
      <c r="B2226" s="12"/>
      <c r="C2226" s="24"/>
      <c r="D2226" s="12"/>
      <c r="E2226" s="23"/>
      <c r="F2226" s="17"/>
      <c r="G2226" s="17"/>
      <c r="Z2226" s="22"/>
      <c r="AB2226" s="22"/>
    </row>
    <row r="2227" spans="1:28">
      <c r="A2227" s="19"/>
      <c r="B2227" s="12"/>
      <c r="C2227" s="24"/>
      <c r="D2227" s="12"/>
      <c r="E2227" s="23"/>
      <c r="F2227" s="17"/>
      <c r="G2227" s="17"/>
      <c r="Z2227" s="22"/>
      <c r="AB2227" s="22"/>
    </row>
    <row r="2228" spans="1:28">
      <c r="A2228" s="19"/>
      <c r="B2228" s="12"/>
      <c r="C2228" s="24"/>
      <c r="D2228" s="12"/>
      <c r="E2228" s="23"/>
      <c r="F2228" s="17"/>
      <c r="G2228" s="17"/>
      <c r="Z2228" s="22"/>
      <c r="AB2228" s="22"/>
    </row>
    <row r="2229" spans="1:28">
      <c r="A2229" s="19"/>
      <c r="B2229" s="12"/>
      <c r="C2229" s="24"/>
      <c r="D2229" s="12"/>
      <c r="E2229" s="23"/>
      <c r="F2229" s="17"/>
      <c r="G2229" s="17"/>
      <c r="Z2229" s="22"/>
      <c r="AB2229" s="22"/>
    </row>
    <row r="2230" spans="1:28">
      <c r="A2230" s="19"/>
      <c r="B2230" s="12"/>
      <c r="C2230" s="24"/>
      <c r="D2230" s="12"/>
      <c r="E2230" s="23"/>
      <c r="F2230" s="17"/>
      <c r="G2230" s="17"/>
      <c r="Z2230" s="22"/>
      <c r="AB2230" s="22"/>
    </row>
    <row r="2231" spans="1:28">
      <c r="A2231" s="19"/>
      <c r="B2231" s="12"/>
      <c r="C2231" s="24"/>
      <c r="D2231" s="12"/>
      <c r="E2231" s="23"/>
      <c r="F2231" s="17"/>
      <c r="G2231" s="17"/>
      <c r="Z2231" s="22"/>
      <c r="AB2231" s="22"/>
    </row>
    <row r="2232" spans="1:28">
      <c r="A2232" s="19"/>
      <c r="B2232" s="12"/>
      <c r="C2232" s="24"/>
      <c r="D2232" s="12"/>
      <c r="E2232" s="23"/>
      <c r="F2232" s="17"/>
      <c r="G2232" s="17"/>
      <c r="Z2232" s="22"/>
      <c r="AB2232" s="22"/>
    </row>
    <row r="2233" spans="1:28">
      <c r="A2233" s="19"/>
      <c r="B2233" s="12"/>
      <c r="C2233" s="24"/>
      <c r="D2233" s="12"/>
      <c r="E2233" s="23"/>
      <c r="F2233" s="17"/>
      <c r="G2233" s="17"/>
      <c r="Z2233" s="22"/>
      <c r="AB2233" s="22"/>
    </row>
    <row r="2234" spans="1:28">
      <c r="A2234" s="19"/>
      <c r="B2234" s="12"/>
      <c r="C2234" s="24"/>
      <c r="D2234" s="12"/>
      <c r="E2234" s="23"/>
      <c r="F2234" s="17"/>
      <c r="G2234" s="17"/>
      <c r="Z2234" s="22"/>
      <c r="AB2234" s="22"/>
    </row>
    <row r="2235" spans="1:28">
      <c r="A2235" s="19"/>
      <c r="B2235" s="12"/>
      <c r="C2235" s="24"/>
      <c r="D2235" s="12"/>
      <c r="E2235" s="23"/>
      <c r="F2235" s="17"/>
      <c r="G2235" s="17"/>
      <c r="Z2235" s="22"/>
      <c r="AB2235" s="22"/>
    </row>
    <row r="2236" spans="1:28">
      <c r="A2236" s="19"/>
      <c r="B2236" s="12"/>
      <c r="C2236" s="24"/>
      <c r="D2236" s="12"/>
      <c r="E2236" s="23"/>
      <c r="F2236" s="17"/>
      <c r="G2236" s="17"/>
      <c r="Z2236" s="22"/>
      <c r="AB2236" s="22"/>
    </row>
    <row r="2237" spans="1:28">
      <c r="A2237" s="19"/>
      <c r="B2237" s="12"/>
      <c r="C2237" s="24"/>
      <c r="D2237" s="12"/>
      <c r="E2237" s="23"/>
      <c r="F2237" s="17"/>
      <c r="G2237" s="17"/>
      <c r="Z2237" s="22"/>
      <c r="AB2237" s="22"/>
    </row>
    <row r="2238" spans="1:28">
      <c r="A2238" s="19"/>
      <c r="B2238" s="12"/>
      <c r="C2238" s="24"/>
      <c r="D2238" s="12"/>
      <c r="E2238" s="23"/>
      <c r="F2238" s="17"/>
      <c r="G2238" s="17"/>
      <c r="Z2238" s="22"/>
      <c r="AB2238" s="22"/>
    </row>
    <row r="2239" spans="1:28">
      <c r="A2239" s="19"/>
      <c r="B2239" s="12"/>
      <c r="C2239" s="24"/>
      <c r="D2239" s="12"/>
      <c r="E2239" s="23"/>
      <c r="F2239" s="17"/>
      <c r="G2239" s="17"/>
      <c r="Z2239" s="22"/>
      <c r="AB2239" s="22"/>
    </row>
    <row r="2240" spans="1:28">
      <c r="A2240" s="19"/>
      <c r="B2240" s="12"/>
      <c r="C2240" s="24"/>
      <c r="D2240" s="12"/>
      <c r="E2240" s="23"/>
      <c r="F2240" s="17"/>
      <c r="G2240" s="17"/>
      <c r="Z2240" s="22"/>
      <c r="AB2240" s="22"/>
    </row>
    <row r="2241" spans="1:28">
      <c r="A2241" s="19"/>
      <c r="B2241" s="12"/>
      <c r="C2241" s="24"/>
      <c r="D2241" s="12"/>
      <c r="E2241" s="23"/>
      <c r="F2241" s="17"/>
      <c r="G2241" s="17"/>
      <c r="Z2241" s="22"/>
      <c r="AB2241" s="22"/>
    </row>
    <row r="2242" spans="1:28">
      <c r="A2242" s="19"/>
      <c r="B2242" s="12"/>
      <c r="C2242" s="24"/>
      <c r="D2242" s="12"/>
      <c r="E2242" s="23"/>
      <c r="F2242" s="17"/>
      <c r="G2242" s="17"/>
      <c r="Z2242" s="22"/>
      <c r="AB2242" s="22"/>
    </row>
    <row r="2243" spans="1:28">
      <c r="A2243" s="19"/>
      <c r="B2243" s="12"/>
      <c r="C2243" s="24"/>
      <c r="D2243" s="12"/>
      <c r="E2243" s="23"/>
      <c r="F2243" s="17"/>
      <c r="G2243" s="17"/>
      <c r="Z2243" s="22"/>
      <c r="AB2243" s="22"/>
    </row>
    <row r="2244" spans="1:28">
      <c r="A2244" s="19"/>
      <c r="B2244" s="12"/>
      <c r="C2244" s="24"/>
      <c r="D2244" s="12"/>
      <c r="E2244" s="23"/>
      <c r="F2244" s="17"/>
      <c r="G2244" s="17"/>
      <c r="Z2244" s="22"/>
      <c r="AB2244" s="22"/>
    </row>
    <row r="2245" spans="1:28">
      <c r="A2245" s="19"/>
      <c r="B2245" s="12"/>
      <c r="C2245" s="24"/>
      <c r="D2245" s="12"/>
      <c r="E2245" s="23"/>
      <c r="F2245" s="17"/>
      <c r="G2245" s="17"/>
      <c r="Z2245" s="22"/>
      <c r="AB2245" s="22"/>
    </row>
    <row r="2246" spans="1:28">
      <c r="A2246" s="19"/>
      <c r="B2246" s="12"/>
      <c r="C2246" s="24"/>
      <c r="D2246" s="12"/>
      <c r="E2246" s="23"/>
      <c r="F2246" s="17"/>
      <c r="G2246" s="17"/>
      <c r="Z2246" s="22"/>
      <c r="AB2246" s="22"/>
    </row>
    <row r="2247" spans="1:28">
      <c r="A2247" s="19"/>
      <c r="B2247" s="12"/>
      <c r="C2247" s="24"/>
      <c r="D2247" s="12"/>
      <c r="E2247" s="23"/>
      <c r="F2247" s="17"/>
      <c r="G2247" s="17"/>
      <c r="Z2247" s="22"/>
      <c r="AB2247" s="22"/>
    </row>
    <row r="2248" spans="1:28">
      <c r="A2248" s="19"/>
      <c r="B2248" s="12"/>
      <c r="C2248" s="24"/>
      <c r="D2248" s="12"/>
      <c r="E2248" s="23"/>
      <c r="F2248" s="17"/>
      <c r="G2248" s="17"/>
      <c r="Z2248" s="22"/>
      <c r="AB2248" s="22"/>
    </row>
    <row r="2249" spans="1:28">
      <c r="A2249" s="19"/>
      <c r="B2249" s="12"/>
      <c r="C2249" s="24"/>
      <c r="D2249" s="12"/>
      <c r="E2249" s="23"/>
      <c r="F2249" s="17"/>
      <c r="G2249" s="17"/>
      <c r="Z2249" s="22"/>
      <c r="AB2249" s="22"/>
    </row>
    <row r="2250" spans="1:28">
      <c r="A2250" s="19"/>
      <c r="B2250" s="12"/>
      <c r="C2250" s="24"/>
      <c r="D2250" s="12"/>
      <c r="E2250" s="23"/>
      <c r="F2250" s="17"/>
      <c r="G2250" s="17"/>
      <c r="Z2250" s="22"/>
      <c r="AB2250" s="22"/>
    </row>
    <row r="2251" spans="1:28">
      <c r="A2251" s="19"/>
      <c r="B2251" s="12"/>
      <c r="C2251" s="24"/>
      <c r="D2251" s="12"/>
      <c r="E2251" s="23"/>
      <c r="F2251" s="17"/>
      <c r="G2251" s="17"/>
      <c r="Z2251" s="22"/>
      <c r="AB2251" s="22"/>
    </row>
    <row r="2252" spans="1:28">
      <c r="A2252" s="19"/>
      <c r="B2252" s="12"/>
      <c r="C2252" s="24"/>
      <c r="D2252" s="12"/>
      <c r="E2252" s="23"/>
      <c r="F2252" s="17"/>
      <c r="G2252" s="17"/>
      <c r="Z2252" s="22"/>
      <c r="AB2252" s="22"/>
    </row>
    <row r="2253" spans="1:28">
      <c r="A2253" s="19"/>
      <c r="B2253" s="12"/>
      <c r="C2253" s="24"/>
      <c r="D2253" s="12"/>
      <c r="E2253" s="23"/>
      <c r="F2253" s="17"/>
      <c r="G2253" s="17"/>
      <c r="Z2253" s="22"/>
      <c r="AB2253" s="22"/>
    </row>
    <row r="2254" spans="1:28">
      <c r="A2254" s="19"/>
      <c r="B2254" s="12"/>
      <c r="C2254" s="24"/>
      <c r="D2254" s="12"/>
      <c r="E2254" s="23"/>
      <c r="F2254" s="17"/>
      <c r="G2254" s="17"/>
      <c r="Z2254" s="22"/>
      <c r="AB2254" s="22"/>
    </row>
    <row r="2255" spans="1:28">
      <c r="A2255" s="19"/>
      <c r="B2255" s="12"/>
      <c r="C2255" s="24"/>
      <c r="D2255" s="12"/>
      <c r="E2255" s="23"/>
      <c r="F2255" s="17"/>
      <c r="G2255" s="17"/>
      <c r="Z2255" s="22"/>
      <c r="AB2255" s="22"/>
    </row>
    <row r="2256" spans="1:28">
      <c r="A2256" s="19"/>
      <c r="B2256" s="12"/>
      <c r="C2256" s="24"/>
      <c r="D2256" s="12"/>
      <c r="E2256" s="23"/>
      <c r="F2256" s="17"/>
      <c r="G2256" s="17"/>
      <c r="Z2256" s="22"/>
      <c r="AB2256" s="22"/>
    </row>
    <row r="2257" spans="1:28">
      <c r="A2257" s="19"/>
      <c r="B2257" s="12"/>
      <c r="C2257" s="24"/>
      <c r="D2257" s="12"/>
      <c r="E2257" s="23"/>
      <c r="F2257" s="17"/>
      <c r="G2257" s="17"/>
      <c r="Z2257" s="22"/>
      <c r="AB2257" s="22"/>
    </row>
    <row r="2258" spans="1:28">
      <c r="A2258" s="19"/>
      <c r="B2258" s="12"/>
      <c r="C2258" s="24"/>
      <c r="D2258" s="12"/>
      <c r="E2258" s="23"/>
      <c r="F2258" s="17"/>
      <c r="G2258" s="17"/>
      <c r="Z2258" s="22"/>
      <c r="AB2258" s="22"/>
    </row>
    <row r="2259" spans="1:28">
      <c r="A2259" s="19"/>
      <c r="B2259" s="12"/>
      <c r="C2259" s="24"/>
      <c r="D2259" s="12"/>
      <c r="E2259" s="23"/>
      <c r="F2259" s="17"/>
      <c r="G2259" s="17"/>
      <c r="Z2259" s="22"/>
      <c r="AB2259" s="22"/>
    </row>
    <row r="2260" spans="1:28">
      <c r="A2260" s="19"/>
      <c r="B2260" s="12"/>
      <c r="C2260" s="24"/>
      <c r="D2260" s="12"/>
      <c r="E2260" s="23"/>
      <c r="F2260" s="17"/>
      <c r="G2260" s="17"/>
      <c r="Z2260" s="22"/>
      <c r="AB2260" s="22"/>
    </row>
    <row r="2261" spans="1:28">
      <c r="A2261" s="19"/>
      <c r="B2261" s="12"/>
      <c r="C2261" s="24"/>
      <c r="D2261" s="12"/>
      <c r="E2261" s="23"/>
      <c r="F2261" s="17"/>
      <c r="G2261" s="17"/>
      <c r="Z2261" s="22"/>
      <c r="AB2261" s="22"/>
    </row>
    <row r="2262" spans="1:28">
      <c r="A2262" s="19"/>
      <c r="B2262" s="12"/>
      <c r="C2262" s="24"/>
      <c r="D2262" s="12"/>
      <c r="E2262" s="23"/>
      <c r="F2262" s="17"/>
      <c r="G2262" s="17"/>
      <c r="Z2262" s="22"/>
      <c r="AB2262" s="22"/>
    </row>
    <row r="2263" spans="1:28">
      <c r="A2263" s="19"/>
      <c r="B2263" s="12"/>
      <c r="C2263" s="24"/>
      <c r="D2263" s="12"/>
      <c r="E2263" s="23"/>
      <c r="F2263" s="17"/>
      <c r="G2263" s="17"/>
      <c r="Z2263" s="22"/>
      <c r="AB2263" s="22"/>
    </row>
    <row r="2264" spans="1:28">
      <c r="A2264" s="19"/>
      <c r="B2264" s="12"/>
      <c r="C2264" s="24"/>
      <c r="D2264" s="12"/>
      <c r="E2264" s="23"/>
      <c r="F2264" s="17"/>
      <c r="G2264" s="17"/>
      <c r="Z2264" s="22"/>
      <c r="AB2264" s="22"/>
    </row>
    <row r="2265" spans="1:28">
      <c r="A2265" s="19"/>
      <c r="B2265" s="12"/>
      <c r="C2265" s="24"/>
      <c r="D2265" s="12"/>
      <c r="E2265" s="23"/>
      <c r="F2265" s="17"/>
      <c r="G2265" s="17"/>
      <c r="Z2265" s="22"/>
      <c r="AB2265" s="22"/>
    </row>
    <row r="2266" spans="1:28">
      <c r="A2266" s="19"/>
      <c r="B2266" s="12"/>
      <c r="C2266" s="24"/>
      <c r="D2266" s="12"/>
      <c r="E2266" s="23"/>
      <c r="F2266" s="17"/>
      <c r="G2266" s="17"/>
      <c r="Z2266" s="22"/>
      <c r="AB2266" s="22"/>
    </row>
    <row r="2267" spans="1:28">
      <c r="A2267" s="19"/>
      <c r="B2267" s="12"/>
      <c r="C2267" s="24"/>
      <c r="D2267" s="12"/>
      <c r="E2267" s="23"/>
      <c r="F2267" s="17"/>
      <c r="G2267" s="17"/>
      <c r="Z2267" s="22"/>
      <c r="AB2267" s="22"/>
    </row>
    <row r="2268" spans="1:28">
      <c r="A2268" s="19"/>
      <c r="B2268" s="12"/>
      <c r="C2268" s="24"/>
      <c r="D2268" s="12"/>
      <c r="E2268" s="23"/>
      <c r="F2268" s="17"/>
      <c r="G2268" s="17"/>
      <c r="Z2268" s="22"/>
      <c r="AB2268" s="22"/>
    </row>
    <row r="2269" spans="1:28">
      <c r="A2269" s="19"/>
      <c r="B2269" s="12"/>
      <c r="C2269" s="24"/>
      <c r="D2269" s="12"/>
      <c r="E2269" s="23"/>
      <c r="F2269" s="17"/>
      <c r="G2269" s="17"/>
      <c r="Z2269" s="22"/>
      <c r="AB2269" s="22"/>
    </row>
    <row r="2270" spans="1:28">
      <c r="A2270" s="19"/>
      <c r="B2270" s="12"/>
      <c r="C2270" s="24"/>
      <c r="D2270" s="12"/>
      <c r="E2270" s="23"/>
      <c r="F2270" s="17"/>
      <c r="G2270" s="17"/>
      <c r="Z2270" s="22"/>
      <c r="AB2270" s="22"/>
    </row>
    <row r="2271" spans="1:28">
      <c r="A2271" s="19"/>
      <c r="B2271" s="12"/>
      <c r="C2271" s="24"/>
      <c r="D2271" s="12"/>
      <c r="E2271" s="23"/>
      <c r="F2271" s="17"/>
      <c r="G2271" s="17"/>
      <c r="Z2271" s="22"/>
      <c r="AB2271" s="22"/>
    </row>
    <row r="2272" spans="1:28">
      <c r="A2272" s="19"/>
      <c r="B2272" s="12"/>
      <c r="C2272" s="24"/>
      <c r="D2272" s="12"/>
      <c r="E2272" s="23"/>
      <c r="F2272" s="17"/>
      <c r="G2272" s="17"/>
      <c r="Z2272" s="22"/>
      <c r="AB2272" s="22"/>
    </row>
    <row r="2273" spans="1:28">
      <c r="A2273" s="19"/>
      <c r="B2273" s="12"/>
      <c r="C2273" s="24"/>
      <c r="D2273" s="12"/>
      <c r="E2273" s="23"/>
      <c r="F2273" s="17"/>
      <c r="G2273" s="17"/>
      <c r="Z2273" s="22"/>
      <c r="AB2273" s="22"/>
    </row>
    <row r="2274" spans="1:28">
      <c r="A2274" s="19"/>
      <c r="B2274" s="12"/>
      <c r="C2274" s="24"/>
      <c r="D2274" s="12"/>
      <c r="E2274" s="23"/>
      <c r="F2274" s="17"/>
      <c r="G2274" s="17"/>
      <c r="Z2274" s="22"/>
      <c r="AB2274" s="22"/>
    </row>
    <row r="2275" spans="1:28">
      <c r="A2275" s="19"/>
      <c r="B2275" s="12"/>
      <c r="C2275" s="24"/>
      <c r="D2275" s="12"/>
      <c r="E2275" s="23"/>
      <c r="F2275" s="17"/>
      <c r="G2275" s="17"/>
      <c r="Z2275" s="22"/>
      <c r="AB2275" s="22"/>
    </row>
    <row r="2276" spans="1:28">
      <c r="A2276" s="19"/>
      <c r="B2276" s="12"/>
      <c r="C2276" s="24"/>
      <c r="D2276" s="12"/>
      <c r="E2276" s="23"/>
      <c r="F2276" s="17"/>
      <c r="G2276" s="17"/>
      <c r="Z2276" s="22"/>
      <c r="AB2276" s="22"/>
    </row>
    <row r="2277" spans="1:28">
      <c r="A2277" s="19"/>
      <c r="B2277" s="12"/>
      <c r="C2277" s="24"/>
      <c r="D2277" s="12"/>
      <c r="E2277" s="23"/>
      <c r="F2277" s="17"/>
      <c r="G2277" s="17"/>
      <c r="Z2277" s="22"/>
      <c r="AB2277" s="22"/>
    </row>
    <row r="2278" spans="1:28">
      <c r="A2278" s="19"/>
      <c r="B2278" s="12"/>
      <c r="C2278" s="24"/>
      <c r="D2278" s="12"/>
      <c r="E2278" s="23"/>
      <c r="F2278" s="17"/>
      <c r="G2278" s="17"/>
      <c r="Z2278" s="22"/>
      <c r="AB2278" s="22"/>
    </row>
    <row r="2279" spans="1:28">
      <c r="A2279" s="19"/>
      <c r="B2279" s="12"/>
      <c r="C2279" s="24"/>
      <c r="D2279" s="12"/>
      <c r="E2279" s="23"/>
      <c r="F2279" s="17"/>
      <c r="G2279" s="17"/>
      <c r="Z2279" s="22"/>
      <c r="AB2279" s="22"/>
    </row>
    <row r="2280" spans="1:28">
      <c r="A2280" s="19"/>
      <c r="B2280" s="12"/>
      <c r="C2280" s="24"/>
      <c r="D2280" s="12"/>
      <c r="E2280" s="23"/>
      <c r="F2280" s="17"/>
      <c r="G2280" s="17"/>
      <c r="Z2280" s="22"/>
      <c r="AB2280" s="22"/>
    </row>
    <row r="2281" spans="1:28">
      <c r="A2281" s="19"/>
      <c r="B2281" s="12"/>
      <c r="C2281" s="24"/>
      <c r="D2281" s="12"/>
      <c r="E2281" s="23"/>
      <c r="F2281" s="17"/>
      <c r="G2281" s="17"/>
      <c r="Z2281" s="22"/>
      <c r="AB2281" s="22"/>
    </row>
    <row r="2282" spans="1:28">
      <c r="A2282" s="19"/>
      <c r="B2282" s="12"/>
      <c r="C2282" s="24"/>
      <c r="D2282" s="12"/>
      <c r="E2282" s="23"/>
      <c r="F2282" s="17"/>
      <c r="G2282" s="17"/>
      <c r="Z2282" s="22"/>
      <c r="AB2282" s="22"/>
    </row>
    <row r="2283" spans="1:28">
      <c r="A2283" s="19"/>
      <c r="B2283" s="12"/>
      <c r="C2283" s="24"/>
      <c r="D2283" s="12"/>
      <c r="E2283" s="23"/>
      <c r="F2283" s="17"/>
      <c r="G2283" s="17"/>
      <c r="Z2283" s="22"/>
      <c r="AB2283" s="22"/>
    </row>
    <row r="2284" spans="1:28">
      <c r="A2284" s="19"/>
      <c r="B2284" s="12"/>
      <c r="C2284" s="24"/>
      <c r="D2284" s="12"/>
      <c r="E2284" s="23"/>
      <c r="F2284" s="17"/>
      <c r="G2284" s="17"/>
      <c r="Z2284" s="22"/>
      <c r="AB2284" s="22"/>
    </row>
    <row r="2285" spans="1:28">
      <c r="A2285" s="19"/>
      <c r="B2285" s="12"/>
      <c r="C2285" s="24"/>
      <c r="D2285" s="12"/>
      <c r="E2285" s="23"/>
      <c r="F2285" s="17"/>
      <c r="G2285" s="17"/>
      <c r="Z2285" s="22"/>
      <c r="AB2285" s="22"/>
    </row>
    <row r="2286" spans="1:28">
      <c r="A2286" s="19"/>
      <c r="B2286" s="12"/>
      <c r="C2286" s="24"/>
      <c r="D2286" s="12"/>
      <c r="E2286" s="23"/>
      <c r="F2286" s="17"/>
      <c r="G2286" s="17"/>
      <c r="Z2286" s="22"/>
      <c r="AB2286" s="22"/>
    </row>
    <row r="2287" spans="1:28">
      <c r="A2287" s="19"/>
      <c r="B2287" s="12"/>
      <c r="C2287" s="24"/>
      <c r="D2287" s="12"/>
      <c r="E2287" s="23"/>
      <c r="F2287" s="17"/>
      <c r="G2287" s="17"/>
      <c r="Z2287" s="22"/>
      <c r="AB2287" s="22"/>
    </row>
    <row r="2288" spans="1:28">
      <c r="A2288" s="19"/>
      <c r="B2288" s="12"/>
      <c r="C2288" s="24"/>
      <c r="D2288" s="12"/>
      <c r="E2288" s="23"/>
      <c r="F2288" s="17"/>
      <c r="G2288" s="17"/>
      <c r="Z2288" s="22"/>
      <c r="AB2288" s="22"/>
    </row>
    <row r="2289" spans="1:28">
      <c r="A2289" s="19"/>
      <c r="B2289" s="12"/>
      <c r="C2289" s="24"/>
      <c r="D2289" s="12"/>
      <c r="E2289" s="23"/>
      <c r="F2289" s="17"/>
      <c r="G2289" s="17"/>
      <c r="Z2289" s="22"/>
      <c r="AB2289" s="22"/>
    </row>
    <row r="2290" spans="1:28">
      <c r="A2290" s="19"/>
      <c r="B2290" s="12"/>
      <c r="C2290" s="24"/>
      <c r="D2290" s="12"/>
      <c r="E2290" s="23"/>
      <c r="F2290" s="17"/>
      <c r="G2290" s="17"/>
      <c r="Z2290" s="22"/>
      <c r="AB2290" s="22"/>
    </row>
    <row r="2291" spans="1:28">
      <c r="A2291" s="19"/>
      <c r="B2291" s="12"/>
      <c r="C2291" s="24"/>
      <c r="D2291" s="12"/>
      <c r="E2291" s="23"/>
      <c r="F2291" s="17"/>
      <c r="G2291" s="17"/>
      <c r="Z2291" s="22"/>
      <c r="AB2291" s="22"/>
    </row>
    <row r="2292" spans="1:28">
      <c r="A2292" s="19"/>
      <c r="B2292" s="12"/>
      <c r="C2292" s="24"/>
      <c r="D2292" s="12"/>
      <c r="E2292" s="23"/>
      <c r="F2292" s="17"/>
      <c r="G2292" s="17"/>
      <c r="Z2292" s="22"/>
      <c r="AB2292" s="22"/>
    </row>
    <row r="2293" spans="1:28">
      <c r="A2293" s="19"/>
      <c r="B2293" s="12"/>
      <c r="C2293" s="24"/>
      <c r="D2293" s="12"/>
      <c r="E2293" s="23"/>
      <c r="F2293" s="17"/>
      <c r="G2293" s="17"/>
      <c r="Z2293" s="22"/>
      <c r="AB2293" s="22"/>
    </row>
    <row r="2294" spans="1:28">
      <c r="A2294" s="19"/>
      <c r="B2294" s="12"/>
      <c r="C2294" s="24"/>
      <c r="D2294" s="12"/>
      <c r="E2294" s="23"/>
      <c r="F2294" s="17"/>
      <c r="G2294" s="17"/>
      <c r="Z2294" s="22"/>
      <c r="AB2294" s="22"/>
    </row>
    <row r="2295" spans="1:28">
      <c r="A2295" s="19"/>
      <c r="B2295" s="12"/>
      <c r="C2295" s="24"/>
      <c r="D2295" s="12"/>
      <c r="E2295" s="23"/>
      <c r="F2295" s="17"/>
      <c r="G2295" s="17"/>
      <c r="Z2295" s="22"/>
      <c r="AB2295" s="22"/>
    </row>
    <row r="2296" spans="1:28">
      <c r="A2296" s="19"/>
      <c r="B2296" s="12"/>
      <c r="C2296" s="24"/>
      <c r="D2296" s="12"/>
      <c r="E2296" s="23"/>
      <c r="F2296" s="17"/>
      <c r="G2296" s="17"/>
      <c r="Z2296" s="22"/>
      <c r="AB2296" s="22"/>
    </row>
    <row r="2297" spans="1:28">
      <c r="A2297" s="19"/>
      <c r="B2297" s="12"/>
      <c r="C2297" s="24"/>
      <c r="D2297" s="12"/>
      <c r="E2297" s="23"/>
      <c r="F2297" s="17"/>
      <c r="G2297" s="17"/>
      <c r="Z2297" s="22"/>
      <c r="AB2297" s="22"/>
    </row>
    <row r="2298" spans="1:28">
      <c r="A2298" s="19"/>
      <c r="B2298" s="12"/>
      <c r="C2298" s="24"/>
      <c r="D2298" s="12"/>
      <c r="E2298" s="23"/>
      <c r="F2298" s="17"/>
      <c r="G2298" s="17"/>
      <c r="Z2298" s="22"/>
      <c r="AB2298" s="22"/>
    </row>
    <row r="2299" spans="1:28">
      <c r="A2299" s="19"/>
      <c r="B2299" s="12"/>
      <c r="C2299" s="24"/>
      <c r="D2299" s="12"/>
      <c r="E2299" s="23"/>
      <c r="F2299" s="17"/>
      <c r="G2299" s="17"/>
      <c r="Z2299" s="22"/>
      <c r="AB2299" s="22"/>
    </row>
    <row r="2300" spans="1:28">
      <c r="A2300" s="19"/>
      <c r="B2300" s="12"/>
      <c r="C2300" s="24"/>
      <c r="D2300" s="12"/>
      <c r="E2300" s="23"/>
      <c r="F2300" s="17"/>
      <c r="G2300" s="17"/>
      <c r="Z2300" s="22"/>
      <c r="AB2300" s="22"/>
    </row>
    <row r="2301" spans="1:28">
      <c r="A2301" s="19"/>
      <c r="B2301" s="12"/>
      <c r="C2301" s="24"/>
      <c r="D2301" s="12"/>
      <c r="E2301" s="23"/>
      <c r="F2301" s="17"/>
      <c r="G2301" s="17"/>
      <c r="Z2301" s="22"/>
      <c r="AB2301" s="22"/>
    </row>
    <row r="2302" spans="1:28">
      <c r="A2302" s="19"/>
      <c r="B2302" s="12"/>
      <c r="C2302" s="24"/>
      <c r="D2302" s="12"/>
      <c r="E2302" s="23"/>
      <c r="F2302" s="17"/>
      <c r="G2302" s="17"/>
      <c r="Z2302" s="22"/>
      <c r="AB2302" s="22"/>
    </row>
    <row r="2303" spans="1:28">
      <c r="A2303" s="19"/>
      <c r="B2303" s="12"/>
      <c r="C2303" s="24"/>
      <c r="D2303" s="12"/>
      <c r="E2303" s="23"/>
      <c r="F2303" s="17"/>
      <c r="G2303" s="17"/>
      <c r="Z2303" s="22"/>
      <c r="AB2303" s="22"/>
    </row>
    <row r="2304" spans="1:28">
      <c r="A2304" s="19"/>
      <c r="B2304" s="12"/>
      <c r="C2304" s="24"/>
      <c r="D2304" s="12"/>
      <c r="E2304" s="23"/>
      <c r="F2304" s="17"/>
      <c r="G2304" s="17"/>
      <c r="Z2304" s="22"/>
      <c r="AB2304" s="22"/>
    </row>
    <row r="2305" spans="1:28">
      <c r="A2305" s="19"/>
      <c r="B2305" s="12"/>
      <c r="C2305" s="24"/>
      <c r="D2305" s="12"/>
      <c r="E2305" s="23"/>
      <c r="F2305" s="17"/>
      <c r="G2305" s="17"/>
      <c r="Z2305" s="22"/>
      <c r="AB2305" s="22"/>
    </row>
    <row r="2306" spans="1:28">
      <c r="A2306" s="19"/>
      <c r="B2306" s="12"/>
      <c r="C2306" s="24"/>
      <c r="D2306" s="12"/>
      <c r="E2306" s="23"/>
      <c r="F2306" s="17"/>
      <c r="G2306" s="17"/>
      <c r="Z2306" s="22"/>
      <c r="AB2306" s="22"/>
    </row>
    <row r="2307" spans="1:28">
      <c r="A2307" s="19"/>
      <c r="B2307" s="12"/>
      <c r="C2307" s="24"/>
      <c r="D2307" s="12"/>
      <c r="E2307" s="23"/>
      <c r="F2307" s="17"/>
      <c r="G2307" s="17"/>
      <c r="Z2307" s="22"/>
      <c r="AB2307" s="22"/>
    </row>
    <row r="2308" spans="1:28">
      <c r="A2308" s="19"/>
      <c r="B2308" s="12"/>
      <c r="C2308" s="24"/>
      <c r="D2308" s="12"/>
      <c r="E2308" s="23"/>
      <c r="F2308" s="17"/>
      <c r="G2308" s="17"/>
      <c r="Z2308" s="22"/>
      <c r="AB2308" s="22"/>
    </row>
    <row r="2309" spans="1:28">
      <c r="A2309" s="19"/>
      <c r="B2309" s="12"/>
      <c r="C2309" s="24"/>
      <c r="D2309" s="12"/>
      <c r="E2309" s="23"/>
      <c r="F2309" s="17"/>
      <c r="G2309" s="17"/>
      <c r="Z2309" s="22"/>
      <c r="AB2309" s="22"/>
    </row>
    <row r="2310" spans="1:28">
      <c r="A2310" s="19"/>
      <c r="B2310" s="12"/>
      <c r="C2310" s="24"/>
      <c r="D2310" s="12"/>
      <c r="E2310" s="23"/>
      <c r="F2310" s="17"/>
      <c r="G2310" s="17"/>
      <c r="Z2310" s="22"/>
      <c r="AB2310" s="22"/>
    </row>
    <row r="2311" spans="1:28">
      <c r="A2311" s="19"/>
      <c r="B2311" s="12"/>
      <c r="C2311" s="24"/>
      <c r="D2311" s="12"/>
      <c r="E2311" s="23"/>
      <c r="F2311" s="17"/>
      <c r="G2311" s="17"/>
      <c r="Z2311" s="22"/>
      <c r="AB2311" s="22"/>
    </row>
    <row r="2312" spans="1:28">
      <c r="A2312" s="19"/>
      <c r="B2312" s="12"/>
      <c r="C2312" s="24"/>
      <c r="D2312" s="12"/>
      <c r="E2312" s="23"/>
      <c r="F2312" s="17"/>
      <c r="G2312" s="17"/>
      <c r="Z2312" s="22"/>
      <c r="AB2312" s="22"/>
    </row>
    <row r="2313" spans="1:28">
      <c r="A2313" s="19"/>
      <c r="B2313" s="12"/>
      <c r="C2313" s="24"/>
      <c r="D2313" s="12"/>
      <c r="E2313" s="23"/>
      <c r="F2313" s="17"/>
      <c r="G2313" s="17"/>
      <c r="Z2313" s="22"/>
      <c r="AB2313" s="22"/>
    </row>
    <row r="2314" spans="1:28">
      <c r="A2314" s="19"/>
      <c r="B2314" s="12"/>
      <c r="C2314" s="24"/>
      <c r="D2314" s="12"/>
      <c r="E2314" s="23"/>
      <c r="F2314" s="17"/>
      <c r="G2314" s="17"/>
      <c r="Z2314" s="22"/>
      <c r="AB2314" s="22"/>
    </row>
    <row r="2315" spans="1:28">
      <c r="A2315" s="19"/>
      <c r="B2315" s="12"/>
      <c r="C2315" s="24"/>
      <c r="D2315" s="12"/>
      <c r="E2315" s="23"/>
      <c r="F2315" s="17"/>
      <c r="G2315" s="17"/>
      <c r="Z2315" s="22"/>
      <c r="AB2315" s="22"/>
    </row>
    <row r="2316" spans="1:28">
      <c r="A2316" s="19"/>
      <c r="B2316" s="12"/>
      <c r="C2316" s="24"/>
      <c r="D2316" s="12"/>
      <c r="E2316" s="23"/>
      <c r="F2316" s="17"/>
      <c r="G2316" s="17"/>
      <c r="Z2316" s="22"/>
      <c r="AB2316" s="22"/>
    </row>
    <row r="2317" spans="1:28">
      <c r="A2317" s="19"/>
      <c r="B2317" s="12"/>
      <c r="C2317" s="24"/>
      <c r="D2317" s="12"/>
      <c r="E2317" s="23"/>
      <c r="F2317" s="17"/>
      <c r="G2317" s="17"/>
      <c r="Z2317" s="22"/>
      <c r="AB2317" s="22"/>
    </row>
    <row r="2318" spans="1:28">
      <c r="A2318" s="19"/>
      <c r="B2318" s="12"/>
      <c r="C2318" s="24"/>
      <c r="D2318" s="12"/>
      <c r="E2318" s="23"/>
      <c r="F2318" s="17"/>
      <c r="G2318" s="17"/>
      <c r="Z2318" s="22"/>
      <c r="AB2318" s="22"/>
    </row>
    <row r="2319" spans="1:28">
      <c r="A2319" s="19"/>
      <c r="B2319" s="12"/>
      <c r="C2319" s="24"/>
      <c r="D2319" s="12"/>
      <c r="E2319" s="23"/>
      <c r="F2319" s="17"/>
      <c r="G2319" s="17"/>
      <c r="Z2319" s="22"/>
      <c r="AB2319" s="22"/>
    </row>
    <row r="2320" spans="1:28">
      <c r="A2320" s="19"/>
      <c r="B2320" s="12"/>
      <c r="C2320" s="24"/>
      <c r="D2320" s="12"/>
      <c r="E2320" s="23"/>
      <c r="F2320" s="17"/>
      <c r="G2320" s="17"/>
      <c r="Z2320" s="22"/>
      <c r="AB2320" s="22"/>
    </row>
    <row r="2321" spans="1:28">
      <c r="A2321" s="19"/>
      <c r="B2321" s="12"/>
      <c r="C2321" s="24"/>
      <c r="D2321" s="12"/>
      <c r="E2321" s="23"/>
      <c r="F2321" s="17"/>
      <c r="G2321" s="17"/>
      <c r="Z2321" s="22"/>
      <c r="AB2321" s="22"/>
    </row>
    <row r="2322" spans="1:28">
      <c r="A2322" s="19"/>
      <c r="B2322" s="12"/>
      <c r="C2322" s="24"/>
      <c r="D2322" s="12"/>
      <c r="E2322" s="23"/>
      <c r="F2322" s="17"/>
      <c r="G2322" s="17"/>
      <c r="Z2322" s="22"/>
      <c r="AB2322" s="22"/>
    </row>
    <row r="2323" spans="1:28">
      <c r="A2323" s="19"/>
      <c r="B2323" s="12"/>
      <c r="C2323" s="24"/>
      <c r="D2323" s="12"/>
      <c r="E2323" s="23"/>
      <c r="F2323" s="17"/>
      <c r="G2323" s="17"/>
      <c r="Z2323" s="22"/>
      <c r="AB2323" s="22"/>
    </row>
    <row r="2324" spans="1:28">
      <c r="A2324" s="19"/>
      <c r="B2324" s="12"/>
      <c r="C2324" s="24"/>
      <c r="D2324" s="12"/>
      <c r="E2324" s="23"/>
      <c r="F2324" s="17"/>
      <c r="G2324" s="17"/>
      <c r="Z2324" s="22"/>
      <c r="AB2324" s="22"/>
    </row>
    <row r="2325" spans="1:28">
      <c r="A2325" s="19"/>
      <c r="B2325" s="12"/>
      <c r="C2325" s="24"/>
      <c r="D2325" s="12"/>
      <c r="E2325" s="23"/>
      <c r="F2325" s="17"/>
      <c r="G2325" s="17"/>
      <c r="Z2325" s="22"/>
      <c r="AB2325" s="22"/>
    </row>
    <row r="2326" spans="1:28">
      <c r="A2326" s="19"/>
      <c r="B2326" s="12"/>
      <c r="C2326" s="24"/>
      <c r="D2326" s="12"/>
      <c r="E2326" s="23"/>
      <c r="F2326" s="17"/>
      <c r="G2326" s="17"/>
      <c r="Z2326" s="22"/>
      <c r="AB2326" s="22"/>
    </row>
    <row r="2327" spans="1:28">
      <c r="A2327" s="19"/>
      <c r="B2327" s="12"/>
      <c r="C2327" s="24"/>
      <c r="D2327" s="12"/>
      <c r="E2327" s="23"/>
      <c r="F2327" s="17"/>
      <c r="G2327" s="17"/>
      <c r="Z2327" s="22"/>
      <c r="AB2327" s="22"/>
    </row>
    <row r="2328" spans="1:28">
      <c r="A2328" s="19"/>
      <c r="B2328" s="12"/>
      <c r="C2328" s="24"/>
      <c r="D2328" s="12"/>
      <c r="E2328" s="23"/>
      <c r="F2328" s="17"/>
      <c r="G2328" s="17"/>
      <c r="Z2328" s="22"/>
      <c r="AB2328" s="22"/>
    </row>
    <row r="2329" spans="1:28">
      <c r="A2329" s="19"/>
      <c r="B2329" s="12"/>
      <c r="C2329" s="24"/>
      <c r="D2329" s="12"/>
      <c r="E2329" s="23"/>
      <c r="F2329" s="17"/>
      <c r="G2329" s="17"/>
      <c r="Z2329" s="22"/>
      <c r="AB2329" s="22"/>
    </row>
    <row r="2330" spans="1:28">
      <c r="A2330" s="19"/>
      <c r="B2330" s="12"/>
      <c r="C2330" s="24"/>
      <c r="D2330" s="12"/>
      <c r="E2330" s="23"/>
      <c r="F2330" s="17"/>
      <c r="G2330" s="17"/>
      <c r="Z2330" s="22"/>
      <c r="AB2330" s="22"/>
    </row>
    <row r="2331" spans="1:28">
      <c r="A2331" s="19"/>
      <c r="B2331" s="12"/>
      <c r="C2331" s="24"/>
      <c r="D2331" s="12"/>
      <c r="E2331" s="23"/>
      <c r="F2331" s="17"/>
      <c r="G2331" s="17"/>
      <c r="Z2331" s="22"/>
      <c r="AB2331" s="22"/>
    </row>
    <row r="2332" spans="1:28">
      <c r="A2332" s="19"/>
      <c r="B2332" s="12"/>
      <c r="C2332" s="24"/>
      <c r="D2332" s="12"/>
      <c r="E2332" s="23"/>
      <c r="F2332" s="17"/>
      <c r="G2332" s="17"/>
      <c r="Z2332" s="22"/>
      <c r="AB2332" s="22"/>
    </row>
    <row r="2333" spans="1:28">
      <c r="A2333" s="19"/>
      <c r="B2333" s="12"/>
      <c r="C2333" s="24"/>
      <c r="D2333" s="12"/>
      <c r="E2333" s="23"/>
      <c r="F2333" s="17"/>
      <c r="G2333" s="17"/>
      <c r="Z2333" s="22"/>
      <c r="AB2333" s="22"/>
    </row>
    <row r="2334" spans="1:28">
      <c r="A2334" s="19"/>
      <c r="B2334" s="12"/>
      <c r="C2334" s="24"/>
      <c r="D2334" s="12"/>
      <c r="E2334" s="23"/>
      <c r="F2334" s="17"/>
      <c r="G2334" s="17"/>
      <c r="Z2334" s="22"/>
      <c r="AB2334" s="22"/>
    </row>
    <row r="2335" spans="1:28">
      <c r="A2335" s="19"/>
      <c r="B2335" s="12"/>
      <c r="C2335" s="24"/>
      <c r="D2335" s="12"/>
      <c r="E2335" s="23"/>
      <c r="F2335" s="17"/>
      <c r="G2335" s="17"/>
      <c r="Z2335" s="22"/>
      <c r="AB2335" s="22"/>
    </row>
    <row r="2336" spans="1:28">
      <c r="A2336" s="19"/>
      <c r="B2336" s="12"/>
      <c r="C2336" s="24"/>
      <c r="D2336" s="12"/>
      <c r="E2336" s="23"/>
      <c r="F2336" s="17"/>
      <c r="G2336" s="17"/>
      <c r="Z2336" s="22"/>
      <c r="AB2336" s="22"/>
    </row>
    <row r="2337" spans="1:28">
      <c r="A2337" s="19"/>
      <c r="B2337" s="12"/>
      <c r="C2337" s="24"/>
      <c r="D2337" s="12"/>
      <c r="E2337" s="23"/>
      <c r="F2337" s="17"/>
      <c r="G2337" s="17"/>
      <c r="Z2337" s="22"/>
      <c r="AB2337" s="22"/>
    </row>
    <row r="2338" spans="1:28">
      <c r="A2338" s="19"/>
      <c r="B2338" s="12"/>
      <c r="C2338" s="24"/>
      <c r="D2338" s="12"/>
      <c r="E2338" s="23"/>
      <c r="F2338" s="17"/>
      <c r="G2338" s="17"/>
      <c r="Z2338" s="22"/>
      <c r="AB2338" s="22"/>
    </row>
    <row r="2339" spans="1:28">
      <c r="A2339" s="19"/>
      <c r="B2339" s="12"/>
      <c r="C2339" s="24"/>
      <c r="D2339" s="12"/>
      <c r="E2339" s="23"/>
      <c r="F2339" s="17"/>
      <c r="G2339" s="17"/>
      <c r="Z2339" s="22"/>
      <c r="AB2339" s="22"/>
    </row>
    <row r="2340" spans="1:28">
      <c r="A2340" s="19"/>
      <c r="B2340" s="12"/>
      <c r="C2340" s="24"/>
      <c r="D2340" s="12"/>
      <c r="E2340" s="23"/>
      <c r="F2340" s="17"/>
      <c r="G2340" s="17"/>
      <c r="Z2340" s="22"/>
      <c r="AB2340" s="22"/>
    </row>
    <row r="2341" spans="1:28">
      <c r="A2341" s="19"/>
      <c r="B2341" s="12"/>
      <c r="C2341" s="24"/>
      <c r="D2341" s="12"/>
      <c r="E2341" s="23"/>
      <c r="F2341" s="17"/>
      <c r="G2341" s="17"/>
      <c r="Z2341" s="22"/>
      <c r="AB2341" s="22"/>
    </row>
    <row r="2342" spans="1:28">
      <c r="A2342" s="19"/>
      <c r="B2342" s="12"/>
      <c r="C2342" s="24"/>
      <c r="D2342" s="12"/>
      <c r="E2342" s="23"/>
      <c r="F2342" s="17"/>
      <c r="G2342" s="17"/>
      <c r="Z2342" s="22"/>
      <c r="AB2342" s="22"/>
    </row>
    <row r="2343" spans="1:28">
      <c r="A2343" s="19"/>
      <c r="B2343" s="12"/>
      <c r="C2343" s="24"/>
      <c r="D2343" s="12"/>
      <c r="E2343" s="23"/>
      <c r="F2343" s="17"/>
      <c r="G2343" s="17"/>
      <c r="Z2343" s="22"/>
      <c r="AB2343" s="22"/>
    </row>
    <row r="2344" spans="1:28">
      <c r="A2344" s="19"/>
      <c r="B2344" s="12"/>
      <c r="C2344" s="24"/>
      <c r="D2344" s="12"/>
      <c r="E2344" s="23"/>
      <c r="F2344" s="17"/>
      <c r="G2344" s="17"/>
      <c r="Z2344" s="22"/>
      <c r="AB2344" s="22"/>
    </row>
    <row r="2345" spans="1:28">
      <c r="A2345" s="19"/>
      <c r="B2345" s="12"/>
      <c r="C2345" s="24"/>
      <c r="D2345" s="12"/>
      <c r="E2345" s="23"/>
      <c r="F2345" s="17"/>
      <c r="G2345" s="17"/>
      <c r="Z2345" s="22"/>
      <c r="AB2345" s="22"/>
    </row>
    <row r="2346" spans="1:28">
      <c r="A2346" s="19"/>
      <c r="B2346" s="12"/>
      <c r="C2346" s="24"/>
      <c r="D2346" s="12"/>
      <c r="E2346" s="23"/>
      <c r="F2346" s="17"/>
      <c r="G2346" s="17"/>
      <c r="Z2346" s="22"/>
      <c r="AB2346" s="22"/>
    </row>
    <row r="2347" spans="1:28">
      <c r="A2347" s="19"/>
      <c r="B2347" s="12"/>
      <c r="C2347" s="24"/>
      <c r="D2347" s="12"/>
      <c r="E2347" s="23"/>
      <c r="F2347" s="17"/>
      <c r="G2347" s="17"/>
      <c r="Z2347" s="22"/>
      <c r="AB2347" s="22"/>
    </row>
    <row r="2348" spans="1:28">
      <c r="A2348" s="19"/>
      <c r="B2348" s="12"/>
      <c r="C2348" s="24"/>
      <c r="D2348" s="12"/>
      <c r="E2348" s="23"/>
      <c r="F2348" s="17"/>
      <c r="G2348" s="17"/>
      <c r="Z2348" s="22"/>
      <c r="AB2348" s="22"/>
    </row>
    <row r="2349" spans="1:28">
      <c r="A2349" s="19"/>
      <c r="B2349" s="12"/>
      <c r="C2349" s="24"/>
      <c r="D2349" s="12"/>
      <c r="E2349" s="23"/>
      <c r="F2349" s="17"/>
      <c r="G2349" s="17"/>
      <c r="Z2349" s="22"/>
      <c r="AB2349" s="22"/>
    </row>
    <row r="2350" spans="1:28">
      <c r="A2350" s="19"/>
      <c r="B2350" s="12"/>
      <c r="C2350" s="24"/>
      <c r="D2350" s="12"/>
      <c r="E2350" s="23"/>
      <c r="F2350" s="17"/>
      <c r="G2350" s="17"/>
      <c r="Z2350" s="22"/>
      <c r="AB2350" s="22"/>
    </row>
    <row r="2351" spans="1:28">
      <c r="A2351" s="19"/>
      <c r="B2351" s="12"/>
      <c r="C2351" s="24"/>
      <c r="D2351" s="12"/>
      <c r="E2351" s="23"/>
      <c r="F2351" s="17"/>
      <c r="G2351" s="17"/>
      <c r="Z2351" s="22"/>
      <c r="AB2351" s="22"/>
    </row>
    <row r="2352" spans="1:28">
      <c r="A2352" s="19"/>
      <c r="B2352" s="12"/>
      <c r="C2352" s="24"/>
      <c r="D2352" s="12"/>
      <c r="E2352" s="23"/>
      <c r="F2352" s="17"/>
      <c r="G2352" s="17"/>
      <c r="Z2352" s="22"/>
      <c r="AB2352" s="22"/>
    </row>
    <row r="2353" spans="1:28">
      <c r="A2353" s="19"/>
      <c r="B2353" s="12"/>
      <c r="C2353" s="24"/>
      <c r="D2353" s="12"/>
      <c r="E2353" s="23"/>
      <c r="F2353" s="17"/>
      <c r="G2353" s="17"/>
      <c r="Z2353" s="22"/>
      <c r="AB2353" s="22"/>
    </row>
    <row r="2354" spans="1:28">
      <c r="A2354" s="19"/>
      <c r="B2354" s="12"/>
      <c r="C2354" s="24"/>
      <c r="D2354" s="12"/>
      <c r="E2354" s="23"/>
      <c r="F2354" s="17"/>
      <c r="G2354" s="17"/>
      <c r="Z2354" s="22"/>
      <c r="AB2354" s="22"/>
    </row>
    <row r="2355" spans="1:28">
      <c r="A2355" s="19"/>
      <c r="B2355" s="12"/>
      <c r="C2355" s="24"/>
      <c r="D2355" s="12"/>
      <c r="E2355" s="23"/>
      <c r="F2355" s="17"/>
      <c r="G2355" s="17"/>
      <c r="Z2355" s="22"/>
      <c r="AB2355" s="22"/>
    </row>
    <row r="2356" spans="1:28">
      <c r="A2356" s="19"/>
      <c r="B2356" s="12"/>
      <c r="C2356" s="24"/>
      <c r="D2356" s="12"/>
      <c r="E2356" s="23"/>
      <c r="F2356" s="17"/>
      <c r="G2356" s="17"/>
      <c r="Z2356" s="22"/>
      <c r="AB2356" s="22"/>
    </row>
    <row r="2357" spans="1:28">
      <c r="A2357" s="19"/>
      <c r="B2357" s="12"/>
      <c r="C2357" s="24"/>
      <c r="D2357" s="12"/>
      <c r="E2357" s="23"/>
      <c r="F2357" s="17"/>
      <c r="G2357" s="17"/>
      <c r="Z2357" s="22"/>
      <c r="AB2357" s="22"/>
    </row>
    <row r="2358" spans="1:28">
      <c r="A2358" s="19"/>
      <c r="B2358" s="12"/>
      <c r="C2358" s="24"/>
      <c r="D2358" s="12"/>
      <c r="E2358" s="23"/>
      <c r="F2358" s="17"/>
      <c r="G2358" s="17"/>
      <c r="Z2358" s="22"/>
      <c r="AB2358" s="22"/>
    </row>
    <row r="2359" spans="1:28">
      <c r="A2359" s="19"/>
      <c r="B2359" s="12"/>
      <c r="C2359" s="24"/>
      <c r="D2359" s="12"/>
      <c r="E2359" s="23"/>
      <c r="F2359" s="17"/>
      <c r="G2359" s="17"/>
      <c r="Z2359" s="22"/>
      <c r="AB2359" s="22"/>
    </row>
    <row r="2360" spans="1:28">
      <c r="A2360" s="19"/>
      <c r="B2360" s="12"/>
      <c r="C2360" s="24"/>
      <c r="D2360" s="12"/>
      <c r="E2360" s="23"/>
      <c r="F2360" s="17"/>
      <c r="G2360" s="17"/>
      <c r="Z2360" s="22"/>
      <c r="AB2360" s="22"/>
    </row>
    <row r="2361" spans="1:28">
      <c r="A2361" s="19"/>
      <c r="B2361" s="12"/>
      <c r="C2361" s="24"/>
      <c r="D2361" s="12"/>
      <c r="E2361" s="23"/>
      <c r="F2361" s="17"/>
      <c r="G2361" s="17"/>
      <c r="Z2361" s="22"/>
      <c r="AB2361" s="22"/>
    </row>
    <row r="2362" spans="1:28">
      <c r="A2362" s="19"/>
      <c r="B2362" s="12"/>
      <c r="C2362" s="24"/>
      <c r="D2362" s="12"/>
      <c r="E2362" s="23"/>
      <c r="F2362" s="17"/>
      <c r="G2362" s="17"/>
      <c r="Z2362" s="22"/>
      <c r="AB2362" s="22"/>
    </row>
    <row r="2363" spans="1:28">
      <c r="A2363" s="19"/>
      <c r="B2363" s="12"/>
      <c r="C2363" s="24"/>
      <c r="D2363" s="12"/>
      <c r="E2363" s="23"/>
      <c r="F2363" s="17"/>
      <c r="G2363" s="17"/>
      <c r="Z2363" s="22"/>
      <c r="AB2363" s="22"/>
    </row>
    <row r="2364" spans="1:28">
      <c r="A2364" s="19"/>
      <c r="B2364" s="12"/>
      <c r="C2364" s="24"/>
      <c r="D2364" s="12"/>
      <c r="E2364" s="23"/>
      <c r="F2364" s="17"/>
      <c r="G2364" s="17"/>
      <c r="Z2364" s="22"/>
      <c r="AB2364" s="22"/>
    </row>
    <row r="2365" spans="1:28">
      <c r="A2365" s="19"/>
      <c r="B2365" s="12"/>
      <c r="C2365" s="24"/>
      <c r="D2365" s="12"/>
      <c r="E2365" s="23"/>
      <c r="F2365" s="17"/>
      <c r="G2365" s="17"/>
      <c r="Z2365" s="22"/>
      <c r="AB2365" s="22"/>
    </row>
    <row r="2366" spans="1:28">
      <c r="A2366" s="19"/>
      <c r="B2366" s="12"/>
      <c r="C2366" s="24"/>
      <c r="D2366" s="12"/>
      <c r="E2366" s="23"/>
      <c r="F2366" s="17"/>
      <c r="G2366" s="17"/>
      <c r="Z2366" s="22"/>
      <c r="AB2366" s="22"/>
    </row>
    <row r="2367" spans="1:28">
      <c r="A2367" s="19"/>
      <c r="B2367" s="12"/>
      <c r="C2367" s="24"/>
      <c r="D2367" s="12"/>
      <c r="E2367" s="23"/>
      <c r="F2367" s="17"/>
      <c r="G2367" s="17"/>
      <c r="Z2367" s="22"/>
      <c r="AB2367" s="22"/>
    </row>
    <row r="2368" spans="1:28">
      <c r="A2368" s="19"/>
      <c r="B2368" s="12"/>
      <c r="C2368" s="24"/>
      <c r="D2368" s="12"/>
      <c r="E2368" s="23"/>
      <c r="F2368" s="17"/>
      <c r="G2368" s="17"/>
      <c r="Z2368" s="22"/>
      <c r="AB2368" s="22"/>
    </row>
    <row r="2369" spans="1:28">
      <c r="A2369" s="19"/>
      <c r="B2369" s="12"/>
      <c r="C2369" s="24"/>
      <c r="D2369" s="12"/>
      <c r="E2369" s="23"/>
      <c r="F2369" s="17"/>
      <c r="G2369" s="17"/>
      <c r="Z2369" s="22"/>
      <c r="AB2369" s="22"/>
    </row>
    <row r="2370" spans="1:28">
      <c r="A2370" s="19"/>
      <c r="B2370" s="12"/>
      <c r="C2370" s="24"/>
      <c r="D2370" s="12"/>
      <c r="E2370" s="23"/>
      <c r="F2370" s="17"/>
      <c r="G2370" s="17"/>
      <c r="Z2370" s="22"/>
      <c r="AB2370" s="22"/>
    </row>
    <row r="2371" spans="1:28">
      <c r="A2371" s="19"/>
      <c r="B2371" s="12"/>
      <c r="C2371" s="24"/>
      <c r="D2371" s="12"/>
      <c r="E2371" s="23"/>
      <c r="F2371" s="17"/>
      <c r="G2371" s="17"/>
      <c r="Z2371" s="22"/>
      <c r="AB2371" s="22"/>
    </row>
    <row r="2372" spans="1:28">
      <c r="A2372" s="19"/>
      <c r="B2372" s="12"/>
      <c r="C2372" s="24"/>
      <c r="D2372" s="12"/>
      <c r="E2372" s="23"/>
      <c r="F2372" s="17"/>
      <c r="G2372" s="17"/>
      <c r="Z2372" s="22"/>
      <c r="AB2372" s="22"/>
    </row>
    <row r="2373" spans="1:28">
      <c r="A2373" s="19"/>
      <c r="B2373" s="12"/>
      <c r="C2373" s="24"/>
      <c r="D2373" s="12"/>
      <c r="E2373" s="23"/>
      <c r="F2373" s="17"/>
      <c r="G2373" s="17"/>
      <c r="Z2373" s="22"/>
      <c r="AB2373" s="22"/>
    </row>
    <row r="2374" spans="1:28">
      <c r="A2374" s="19"/>
      <c r="B2374" s="12"/>
      <c r="C2374" s="24"/>
      <c r="D2374" s="12"/>
      <c r="E2374" s="23"/>
      <c r="F2374" s="17"/>
      <c r="G2374" s="17"/>
      <c r="Z2374" s="22"/>
      <c r="AB2374" s="22"/>
    </row>
    <row r="2375" spans="1:28">
      <c r="A2375" s="19"/>
      <c r="B2375" s="12"/>
      <c r="C2375" s="24"/>
      <c r="D2375" s="12"/>
      <c r="E2375" s="23"/>
      <c r="F2375" s="17"/>
      <c r="G2375" s="17"/>
      <c r="Z2375" s="22"/>
      <c r="AB2375" s="22"/>
    </row>
    <row r="2376" spans="1:28">
      <c r="A2376" s="19"/>
      <c r="B2376" s="12"/>
      <c r="C2376" s="24"/>
      <c r="D2376" s="12"/>
      <c r="E2376" s="23"/>
      <c r="F2376" s="17"/>
      <c r="G2376" s="17"/>
      <c r="Z2376" s="22"/>
      <c r="AB2376" s="22"/>
    </row>
    <row r="2377" spans="1:28">
      <c r="A2377" s="19"/>
      <c r="B2377" s="12"/>
      <c r="C2377" s="24"/>
      <c r="D2377" s="12"/>
      <c r="E2377" s="23"/>
      <c r="F2377" s="17"/>
      <c r="G2377" s="17"/>
      <c r="Z2377" s="22"/>
      <c r="AB2377" s="22"/>
    </row>
    <row r="2378" spans="1:28">
      <c r="A2378" s="19"/>
      <c r="B2378" s="12"/>
      <c r="C2378" s="24"/>
      <c r="D2378" s="12"/>
      <c r="E2378" s="23"/>
      <c r="F2378" s="17"/>
      <c r="G2378" s="17"/>
      <c r="Z2378" s="22"/>
      <c r="AB2378" s="22"/>
    </row>
    <row r="2379" spans="1:28">
      <c r="A2379" s="19"/>
      <c r="B2379" s="12"/>
      <c r="C2379" s="24"/>
      <c r="D2379" s="12"/>
      <c r="E2379" s="23"/>
      <c r="F2379" s="17"/>
      <c r="G2379" s="17"/>
      <c r="Z2379" s="22"/>
      <c r="AB2379" s="22"/>
    </row>
    <row r="2380" spans="1:28">
      <c r="A2380" s="19"/>
      <c r="B2380" s="12"/>
      <c r="C2380" s="24"/>
      <c r="D2380" s="12"/>
      <c r="E2380" s="23"/>
      <c r="F2380" s="17"/>
      <c r="G2380" s="17"/>
      <c r="Z2380" s="22"/>
      <c r="AB2380" s="22"/>
    </row>
    <row r="2381" spans="1:28">
      <c r="A2381" s="19"/>
      <c r="B2381" s="12"/>
      <c r="C2381" s="24"/>
      <c r="D2381" s="12"/>
      <c r="E2381" s="23"/>
      <c r="F2381" s="17"/>
      <c r="G2381" s="17"/>
      <c r="Z2381" s="22"/>
      <c r="AB2381" s="22"/>
    </row>
    <row r="2382" spans="1:28">
      <c r="A2382" s="19"/>
      <c r="B2382" s="12"/>
      <c r="C2382" s="24"/>
      <c r="D2382" s="12"/>
      <c r="E2382" s="23"/>
      <c r="F2382" s="17"/>
      <c r="G2382" s="17"/>
      <c r="Z2382" s="22"/>
      <c r="AB2382" s="22"/>
    </row>
    <row r="2383" spans="1:28">
      <c r="A2383" s="19"/>
      <c r="B2383" s="12"/>
      <c r="C2383" s="24"/>
      <c r="D2383" s="12"/>
      <c r="E2383" s="23"/>
      <c r="F2383" s="17"/>
      <c r="G2383" s="17"/>
      <c r="Z2383" s="22"/>
      <c r="AB2383" s="22"/>
    </row>
    <row r="2384" spans="1:28">
      <c r="A2384" s="19"/>
      <c r="B2384" s="12"/>
      <c r="C2384" s="24"/>
      <c r="D2384" s="12"/>
      <c r="E2384" s="23"/>
      <c r="F2384" s="17"/>
      <c r="G2384" s="17"/>
      <c r="Z2384" s="22"/>
      <c r="AB2384" s="22"/>
    </row>
    <row r="2385" spans="1:28">
      <c r="A2385" s="19"/>
      <c r="B2385" s="12"/>
      <c r="C2385" s="24"/>
      <c r="D2385" s="12"/>
      <c r="E2385" s="23"/>
      <c r="F2385" s="17"/>
      <c r="G2385" s="17"/>
      <c r="Z2385" s="22"/>
      <c r="AB2385" s="22"/>
    </row>
    <row r="2386" spans="1:28">
      <c r="A2386" s="19"/>
      <c r="B2386" s="12"/>
      <c r="C2386" s="24"/>
      <c r="D2386" s="12"/>
      <c r="E2386" s="23"/>
      <c r="F2386" s="17"/>
      <c r="G2386" s="17"/>
      <c r="Z2386" s="22"/>
      <c r="AB2386" s="22"/>
    </row>
    <row r="2387" spans="1:28">
      <c r="A2387" s="19"/>
      <c r="B2387" s="12"/>
      <c r="C2387" s="24"/>
      <c r="D2387" s="12"/>
      <c r="E2387" s="23"/>
      <c r="F2387" s="17"/>
      <c r="G2387" s="17"/>
      <c r="Z2387" s="22"/>
      <c r="AB2387" s="22"/>
    </row>
    <row r="2388" spans="1:28">
      <c r="A2388" s="19"/>
      <c r="B2388" s="12"/>
      <c r="C2388" s="24"/>
      <c r="D2388" s="12"/>
      <c r="E2388" s="23"/>
      <c r="F2388" s="17"/>
      <c r="G2388" s="17"/>
      <c r="Z2388" s="22"/>
      <c r="AB2388" s="22"/>
    </row>
    <row r="2389" spans="1:28">
      <c r="A2389" s="19"/>
      <c r="B2389" s="12"/>
      <c r="C2389" s="24"/>
      <c r="D2389" s="12"/>
      <c r="E2389" s="23"/>
      <c r="F2389" s="17"/>
      <c r="G2389" s="17"/>
      <c r="Z2389" s="22"/>
      <c r="AB2389" s="22"/>
    </row>
    <row r="2390" spans="1:28">
      <c r="A2390" s="19"/>
      <c r="B2390" s="12"/>
      <c r="C2390" s="24"/>
      <c r="D2390" s="12"/>
      <c r="E2390" s="23"/>
      <c r="F2390" s="17"/>
      <c r="G2390" s="17"/>
      <c r="Z2390" s="22"/>
      <c r="AB2390" s="22"/>
    </row>
    <row r="2391" spans="1:28">
      <c r="A2391" s="19"/>
      <c r="B2391" s="12"/>
      <c r="C2391" s="24"/>
      <c r="D2391" s="12"/>
      <c r="E2391" s="23"/>
      <c r="F2391" s="17"/>
      <c r="G2391" s="17"/>
      <c r="Z2391" s="22"/>
      <c r="AB2391" s="22"/>
    </row>
    <row r="2392" spans="1:28">
      <c r="A2392" s="19"/>
      <c r="B2392" s="12"/>
      <c r="C2392" s="24"/>
      <c r="D2392" s="12"/>
      <c r="E2392" s="23"/>
      <c r="F2392" s="17"/>
      <c r="G2392" s="17"/>
      <c r="Z2392" s="22"/>
      <c r="AB2392" s="22"/>
    </row>
    <row r="2393" spans="1:28">
      <c r="A2393" s="19"/>
      <c r="B2393" s="12"/>
      <c r="C2393" s="24"/>
      <c r="D2393" s="12"/>
      <c r="E2393" s="23"/>
      <c r="F2393" s="17"/>
      <c r="G2393" s="17"/>
      <c r="Z2393" s="22"/>
      <c r="AB2393" s="22"/>
    </row>
    <row r="2394" spans="1:28">
      <c r="A2394" s="19"/>
      <c r="B2394" s="12"/>
      <c r="C2394" s="24"/>
      <c r="D2394" s="12"/>
      <c r="E2394" s="23"/>
      <c r="F2394" s="17"/>
      <c r="G2394" s="17"/>
      <c r="Z2394" s="22"/>
      <c r="AB2394" s="22"/>
    </row>
    <row r="2395" spans="1:28">
      <c r="A2395" s="19"/>
      <c r="B2395" s="12"/>
      <c r="C2395" s="24"/>
      <c r="D2395" s="12"/>
      <c r="E2395" s="23"/>
      <c r="F2395" s="17"/>
      <c r="G2395" s="17"/>
      <c r="Z2395" s="22"/>
      <c r="AB2395" s="22"/>
    </row>
    <row r="2396" spans="1:28">
      <c r="A2396" s="19"/>
      <c r="B2396" s="12"/>
      <c r="C2396" s="24"/>
      <c r="D2396" s="12"/>
      <c r="E2396" s="23"/>
      <c r="F2396" s="17"/>
      <c r="G2396" s="17"/>
      <c r="Z2396" s="22"/>
      <c r="AB2396" s="22"/>
    </row>
    <row r="2397" spans="1:28">
      <c r="A2397" s="19"/>
      <c r="B2397" s="12"/>
      <c r="C2397" s="24"/>
      <c r="D2397" s="12"/>
      <c r="E2397" s="23"/>
      <c r="F2397" s="17"/>
      <c r="G2397" s="17"/>
      <c r="Z2397" s="22"/>
      <c r="AB2397" s="22"/>
    </row>
    <row r="2398" spans="1:28">
      <c r="A2398" s="19"/>
      <c r="B2398" s="12"/>
      <c r="C2398" s="24"/>
      <c r="D2398" s="12"/>
      <c r="E2398" s="23"/>
      <c r="F2398" s="17"/>
      <c r="G2398" s="17"/>
      <c r="Z2398" s="22"/>
      <c r="AB2398" s="22"/>
    </row>
    <row r="2399" spans="1:28">
      <c r="A2399" s="19"/>
      <c r="B2399" s="12"/>
      <c r="C2399" s="24"/>
      <c r="D2399" s="12"/>
      <c r="E2399" s="23"/>
      <c r="F2399" s="17"/>
      <c r="G2399" s="17"/>
      <c r="Z2399" s="22"/>
      <c r="AB2399" s="22"/>
    </row>
    <row r="2400" spans="1:28">
      <c r="A2400" s="19"/>
      <c r="B2400" s="12"/>
      <c r="C2400" s="24"/>
      <c r="D2400" s="12"/>
      <c r="E2400" s="23"/>
      <c r="F2400" s="17"/>
      <c r="G2400" s="17"/>
      <c r="Z2400" s="22"/>
      <c r="AB2400" s="22"/>
    </row>
    <row r="2401" spans="1:28">
      <c r="A2401" s="19"/>
      <c r="B2401" s="12"/>
      <c r="C2401" s="24"/>
      <c r="D2401" s="12"/>
      <c r="E2401" s="23"/>
      <c r="F2401" s="17"/>
      <c r="G2401" s="17"/>
      <c r="Z2401" s="22"/>
      <c r="AB2401" s="22"/>
    </row>
    <row r="2402" spans="1:28">
      <c r="A2402" s="19"/>
      <c r="B2402" s="12"/>
      <c r="C2402" s="24"/>
      <c r="D2402" s="12"/>
      <c r="E2402" s="23"/>
      <c r="F2402" s="17"/>
      <c r="G2402" s="17"/>
      <c r="Z2402" s="22"/>
      <c r="AB2402" s="22"/>
    </row>
    <row r="2403" spans="1:28">
      <c r="A2403" s="19"/>
      <c r="B2403" s="12"/>
      <c r="C2403" s="24"/>
      <c r="D2403" s="12"/>
      <c r="E2403" s="23"/>
      <c r="F2403" s="17"/>
      <c r="G2403" s="17"/>
      <c r="Z2403" s="22"/>
      <c r="AB2403" s="22"/>
    </row>
    <row r="2404" spans="1:28">
      <c r="A2404" s="19"/>
      <c r="B2404" s="12"/>
      <c r="C2404" s="24"/>
      <c r="D2404" s="12"/>
      <c r="E2404" s="23"/>
      <c r="F2404" s="17"/>
      <c r="G2404" s="17"/>
      <c r="Z2404" s="22"/>
      <c r="AB2404" s="22"/>
    </row>
    <row r="2405" spans="1:28">
      <c r="A2405" s="19"/>
      <c r="B2405" s="12"/>
      <c r="C2405" s="24"/>
      <c r="D2405" s="12"/>
      <c r="E2405" s="23"/>
      <c r="F2405" s="17"/>
      <c r="G2405" s="17"/>
      <c r="Z2405" s="22"/>
      <c r="AB2405" s="22"/>
    </row>
    <row r="2406" spans="1:28">
      <c r="A2406" s="19"/>
      <c r="B2406" s="12"/>
      <c r="C2406" s="24"/>
      <c r="D2406" s="12"/>
      <c r="E2406" s="23"/>
      <c r="F2406" s="17"/>
      <c r="G2406" s="17"/>
      <c r="Z2406" s="22"/>
      <c r="AB2406" s="22"/>
    </row>
    <row r="2407" spans="1:28">
      <c r="A2407" s="19"/>
      <c r="B2407" s="12"/>
      <c r="C2407" s="24"/>
      <c r="D2407" s="12"/>
      <c r="E2407" s="23"/>
      <c r="F2407" s="17"/>
      <c r="G2407" s="17"/>
      <c r="Z2407" s="22"/>
      <c r="AB2407" s="22"/>
    </row>
    <row r="2408" spans="1:28">
      <c r="A2408" s="19"/>
      <c r="B2408" s="12"/>
      <c r="C2408" s="24"/>
      <c r="D2408" s="12"/>
      <c r="E2408" s="23"/>
      <c r="F2408" s="17"/>
      <c r="G2408" s="17"/>
      <c r="Z2408" s="22"/>
      <c r="AB2408" s="22"/>
    </row>
    <row r="2409" spans="1:28">
      <c r="A2409" s="19"/>
      <c r="B2409" s="12"/>
      <c r="C2409" s="24"/>
      <c r="D2409" s="12"/>
      <c r="E2409" s="23"/>
      <c r="F2409" s="17"/>
      <c r="G2409" s="17"/>
      <c r="Z2409" s="22"/>
      <c r="AB2409" s="22"/>
    </row>
    <row r="2410" spans="1:28">
      <c r="A2410" s="19"/>
      <c r="B2410" s="12"/>
      <c r="C2410" s="24"/>
      <c r="D2410" s="12"/>
      <c r="E2410" s="23"/>
      <c r="F2410" s="17"/>
      <c r="G2410" s="17"/>
      <c r="Z2410" s="22"/>
      <c r="AB2410" s="22"/>
    </row>
    <row r="2411" spans="1:28">
      <c r="A2411" s="19"/>
      <c r="B2411" s="12"/>
      <c r="C2411" s="24"/>
      <c r="D2411" s="12"/>
      <c r="E2411" s="23"/>
      <c r="F2411" s="17"/>
      <c r="G2411" s="17"/>
      <c r="Z2411" s="22"/>
      <c r="AB2411" s="22"/>
    </row>
    <row r="2412" spans="1:28">
      <c r="A2412" s="19"/>
      <c r="B2412" s="12"/>
      <c r="C2412" s="24"/>
      <c r="D2412" s="12"/>
      <c r="E2412" s="23"/>
      <c r="F2412" s="17"/>
      <c r="G2412" s="17"/>
      <c r="Z2412" s="22"/>
      <c r="AB2412" s="22"/>
    </row>
    <row r="2413" spans="1:28">
      <c r="A2413" s="19"/>
      <c r="B2413" s="12"/>
      <c r="C2413" s="24"/>
      <c r="D2413" s="12"/>
      <c r="E2413" s="23"/>
      <c r="F2413" s="17"/>
      <c r="G2413" s="17"/>
      <c r="Z2413" s="22"/>
      <c r="AB2413" s="22"/>
    </row>
    <row r="2414" spans="1:28">
      <c r="A2414" s="19"/>
      <c r="B2414" s="12"/>
      <c r="C2414" s="24"/>
      <c r="D2414" s="12"/>
      <c r="E2414" s="23"/>
      <c r="F2414" s="17"/>
      <c r="G2414" s="17"/>
      <c r="Z2414" s="22"/>
      <c r="AB2414" s="22"/>
    </row>
    <row r="2415" spans="1:28">
      <c r="A2415" s="19"/>
      <c r="B2415" s="12"/>
      <c r="C2415" s="24"/>
      <c r="D2415" s="12"/>
      <c r="E2415" s="23"/>
      <c r="F2415" s="17"/>
      <c r="G2415" s="17"/>
      <c r="Z2415" s="22"/>
      <c r="AB2415" s="22"/>
    </row>
    <row r="2416" spans="1:28">
      <c r="A2416" s="19"/>
      <c r="B2416" s="12"/>
      <c r="C2416" s="24"/>
      <c r="D2416" s="12"/>
      <c r="E2416" s="23"/>
      <c r="F2416" s="17"/>
      <c r="G2416" s="17"/>
      <c r="Z2416" s="22"/>
      <c r="AB2416" s="22"/>
    </row>
    <row r="2417" spans="1:28">
      <c r="A2417" s="19"/>
      <c r="B2417" s="12"/>
      <c r="C2417" s="24"/>
      <c r="D2417" s="12"/>
      <c r="E2417" s="23"/>
      <c r="F2417" s="17"/>
      <c r="G2417" s="17"/>
      <c r="Z2417" s="22"/>
      <c r="AB2417" s="22"/>
    </row>
    <row r="2418" spans="1:28">
      <c r="A2418" s="19"/>
      <c r="B2418" s="12"/>
      <c r="C2418" s="24"/>
      <c r="D2418" s="12"/>
      <c r="E2418" s="23"/>
      <c r="F2418" s="17"/>
      <c r="G2418" s="17"/>
      <c r="Z2418" s="22"/>
      <c r="AB2418" s="22"/>
    </row>
    <row r="2419" spans="1:28">
      <c r="A2419" s="19"/>
      <c r="B2419" s="12"/>
      <c r="C2419" s="24"/>
      <c r="D2419" s="12"/>
      <c r="E2419" s="23"/>
      <c r="F2419" s="17"/>
      <c r="G2419" s="17"/>
      <c r="Z2419" s="22"/>
      <c r="AB2419" s="22"/>
    </row>
    <row r="2420" spans="1:28">
      <c r="A2420" s="19"/>
      <c r="B2420" s="12"/>
      <c r="C2420" s="24"/>
      <c r="D2420" s="12"/>
      <c r="E2420" s="23"/>
      <c r="F2420" s="17"/>
      <c r="G2420" s="17"/>
      <c r="Z2420" s="22"/>
      <c r="AB2420" s="22"/>
    </row>
    <row r="2421" spans="1:28">
      <c r="A2421" s="19"/>
      <c r="B2421" s="12"/>
      <c r="C2421" s="24"/>
      <c r="D2421" s="12"/>
      <c r="E2421" s="23"/>
      <c r="F2421" s="17"/>
      <c r="G2421" s="17"/>
      <c r="Z2421" s="22"/>
      <c r="AB2421" s="22"/>
    </row>
    <row r="2422" spans="1:28">
      <c r="A2422" s="19"/>
      <c r="B2422" s="12"/>
      <c r="C2422" s="24"/>
      <c r="D2422" s="12"/>
      <c r="E2422" s="23"/>
      <c r="F2422" s="17"/>
      <c r="G2422" s="17"/>
      <c r="Z2422" s="22"/>
      <c r="AB2422" s="22"/>
    </row>
    <row r="2423" spans="1:28">
      <c r="A2423" s="19"/>
      <c r="B2423" s="12"/>
      <c r="C2423" s="24"/>
      <c r="D2423" s="12"/>
      <c r="E2423" s="23"/>
      <c r="F2423" s="17"/>
      <c r="G2423" s="17"/>
      <c r="Z2423" s="22"/>
      <c r="AB2423" s="22"/>
    </row>
    <row r="2424" spans="1:28">
      <c r="A2424" s="19"/>
      <c r="B2424" s="12"/>
      <c r="C2424" s="24"/>
      <c r="D2424" s="12"/>
      <c r="E2424" s="23"/>
      <c r="F2424" s="17"/>
      <c r="G2424" s="17"/>
      <c r="Z2424" s="22"/>
      <c r="AB2424" s="22"/>
    </row>
    <row r="2425" spans="1:28">
      <c r="A2425" s="19"/>
      <c r="B2425" s="12"/>
      <c r="C2425" s="24"/>
      <c r="D2425" s="12"/>
      <c r="E2425" s="23"/>
      <c r="F2425" s="17"/>
      <c r="G2425" s="17"/>
      <c r="Z2425" s="22"/>
      <c r="AB2425" s="22"/>
    </row>
    <row r="2426" spans="1:28">
      <c r="A2426" s="19"/>
      <c r="B2426" s="12"/>
      <c r="C2426" s="24"/>
      <c r="D2426" s="12"/>
      <c r="E2426" s="23"/>
      <c r="F2426" s="17"/>
      <c r="G2426" s="17"/>
      <c r="Z2426" s="22"/>
      <c r="AB2426" s="22"/>
    </row>
    <row r="2427" spans="1:28">
      <c r="A2427" s="19"/>
      <c r="B2427" s="12"/>
      <c r="C2427" s="24"/>
      <c r="D2427" s="12"/>
      <c r="E2427" s="23"/>
      <c r="F2427" s="17"/>
      <c r="G2427" s="17"/>
      <c r="Z2427" s="22"/>
      <c r="AB2427" s="22"/>
    </row>
    <row r="2428" spans="1:28">
      <c r="A2428" s="19"/>
      <c r="B2428" s="12"/>
      <c r="C2428" s="24"/>
      <c r="D2428" s="12"/>
      <c r="E2428" s="23"/>
      <c r="F2428" s="17"/>
      <c r="G2428" s="17"/>
      <c r="Z2428" s="22"/>
      <c r="AB2428" s="22"/>
    </row>
    <row r="2429" spans="1:28">
      <c r="A2429" s="19"/>
      <c r="B2429" s="12"/>
      <c r="C2429" s="24"/>
      <c r="D2429" s="12"/>
      <c r="E2429" s="23"/>
      <c r="F2429" s="17"/>
      <c r="G2429" s="17"/>
      <c r="Z2429" s="22"/>
      <c r="AB2429" s="22"/>
    </row>
    <row r="2430" spans="1:28">
      <c r="A2430" s="19"/>
      <c r="B2430" s="12"/>
      <c r="C2430" s="24"/>
      <c r="D2430" s="12"/>
      <c r="E2430" s="23"/>
      <c r="F2430" s="17"/>
      <c r="G2430" s="17"/>
      <c r="Z2430" s="22"/>
      <c r="AB2430" s="22"/>
    </row>
    <row r="2431" spans="1:28">
      <c r="A2431" s="19"/>
      <c r="B2431" s="12"/>
      <c r="C2431" s="24"/>
      <c r="D2431" s="12"/>
      <c r="E2431" s="23"/>
      <c r="F2431" s="17"/>
      <c r="G2431" s="17"/>
      <c r="Z2431" s="22"/>
      <c r="AB2431" s="22"/>
    </row>
    <row r="2432" spans="1:28">
      <c r="A2432" s="19"/>
      <c r="B2432" s="12"/>
      <c r="C2432" s="24"/>
      <c r="D2432" s="12"/>
      <c r="E2432" s="23"/>
      <c r="F2432" s="17"/>
      <c r="G2432" s="17"/>
      <c r="Z2432" s="22"/>
      <c r="AB2432" s="22"/>
    </row>
    <row r="2433" spans="1:28">
      <c r="A2433" s="19"/>
      <c r="B2433" s="12"/>
      <c r="C2433" s="24"/>
      <c r="D2433" s="12"/>
      <c r="E2433" s="23"/>
      <c r="F2433" s="17"/>
      <c r="G2433" s="17"/>
      <c r="Z2433" s="22"/>
      <c r="AB2433" s="22"/>
    </row>
    <row r="2434" spans="1:28">
      <c r="A2434" s="19"/>
      <c r="B2434" s="12"/>
      <c r="C2434" s="24"/>
      <c r="D2434" s="12"/>
      <c r="E2434" s="23"/>
      <c r="F2434" s="17"/>
      <c r="G2434" s="17"/>
      <c r="Z2434" s="22"/>
      <c r="AB2434" s="22"/>
    </row>
    <row r="2435" spans="1:28">
      <c r="A2435" s="19"/>
      <c r="B2435" s="12"/>
      <c r="C2435" s="24"/>
      <c r="D2435" s="12"/>
      <c r="E2435" s="23"/>
      <c r="F2435" s="17"/>
      <c r="G2435" s="17"/>
      <c r="Z2435" s="22"/>
      <c r="AB2435" s="22"/>
    </row>
    <row r="2436" spans="1:28">
      <c r="A2436" s="19"/>
      <c r="B2436" s="12"/>
      <c r="C2436" s="24"/>
      <c r="D2436" s="12"/>
      <c r="E2436" s="23"/>
      <c r="F2436" s="17"/>
      <c r="G2436" s="17"/>
      <c r="Z2436" s="22"/>
      <c r="AB2436" s="22"/>
    </row>
    <row r="2437" spans="1:28">
      <c r="A2437" s="19"/>
      <c r="B2437" s="12"/>
      <c r="C2437" s="24"/>
      <c r="D2437" s="12"/>
      <c r="E2437" s="23"/>
      <c r="F2437" s="17"/>
      <c r="G2437" s="17"/>
      <c r="Z2437" s="22"/>
      <c r="AB2437" s="22"/>
    </row>
    <row r="2438" spans="1:28">
      <c r="A2438" s="19"/>
      <c r="B2438" s="12"/>
      <c r="C2438" s="24"/>
      <c r="D2438" s="12"/>
      <c r="E2438" s="23"/>
      <c r="F2438" s="17"/>
      <c r="G2438" s="17"/>
      <c r="Z2438" s="22"/>
      <c r="AB2438" s="22"/>
    </row>
    <row r="2439" spans="1:28">
      <c r="A2439" s="19"/>
      <c r="B2439" s="12"/>
      <c r="C2439" s="24"/>
      <c r="D2439" s="12"/>
      <c r="E2439" s="23"/>
      <c r="F2439" s="17"/>
      <c r="G2439" s="17"/>
      <c r="Z2439" s="22"/>
      <c r="AB2439" s="22"/>
    </row>
    <row r="2440" spans="1:28">
      <c r="A2440" s="19"/>
      <c r="B2440" s="12"/>
      <c r="C2440" s="24"/>
      <c r="D2440" s="12"/>
      <c r="E2440" s="23"/>
      <c r="F2440" s="17"/>
      <c r="G2440" s="17"/>
      <c r="Z2440" s="22"/>
      <c r="AB2440" s="22"/>
    </row>
    <row r="2441" spans="1:28">
      <c r="A2441" s="19"/>
      <c r="B2441" s="12"/>
      <c r="C2441" s="24"/>
      <c r="D2441" s="12"/>
      <c r="E2441" s="23"/>
      <c r="F2441" s="17"/>
      <c r="G2441" s="17"/>
      <c r="Z2441" s="22"/>
      <c r="AB2441" s="22"/>
    </row>
    <row r="2442" spans="1:28">
      <c r="A2442" s="19"/>
      <c r="B2442" s="12"/>
      <c r="C2442" s="24"/>
      <c r="D2442" s="12"/>
      <c r="E2442" s="23"/>
      <c r="F2442" s="17"/>
      <c r="G2442" s="17"/>
      <c r="Z2442" s="22"/>
      <c r="AB2442" s="22"/>
    </row>
    <row r="2443" spans="1:28">
      <c r="A2443" s="19"/>
      <c r="B2443" s="12"/>
      <c r="C2443" s="24"/>
      <c r="D2443" s="12"/>
      <c r="E2443" s="23"/>
      <c r="F2443" s="17"/>
      <c r="G2443" s="17"/>
      <c r="Z2443" s="22"/>
      <c r="AB2443" s="22"/>
    </row>
    <row r="2444" spans="1:28">
      <c r="A2444" s="19"/>
      <c r="B2444" s="12"/>
      <c r="C2444" s="24"/>
      <c r="D2444" s="12"/>
      <c r="E2444" s="23"/>
      <c r="F2444" s="17"/>
      <c r="G2444" s="17"/>
      <c r="Z2444" s="22"/>
      <c r="AB2444" s="22"/>
    </row>
    <row r="2445" spans="1:28">
      <c r="A2445" s="19"/>
      <c r="B2445" s="12"/>
      <c r="C2445" s="24"/>
      <c r="D2445" s="12"/>
      <c r="E2445" s="23"/>
      <c r="F2445" s="17"/>
      <c r="G2445" s="17"/>
      <c r="Z2445" s="22"/>
      <c r="AB2445" s="22"/>
    </row>
    <row r="2446" spans="1:28">
      <c r="A2446" s="19"/>
      <c r="B2446" s="12"/>
      <c r="C2446" s="24"/>
      <c r="D2446" s="12"/>
      <c r="E2446" s="23"/>
      <c r="F2446" s="17"/>
      <c r="G2446" s="17"/>
      <c r="Z2446" s="22"/>
      <c r="AB2446" s="22"/>
    </row>
    <row r="2447" spans="1:28">
      <c r="A2447" s="19"/>
      <c r="B2447" s="12"/>
      <c r="C2447" s="24"/>
      <c r="D2447" s="12"/>
      <c r="E2447" s="23"/>
      <c r="F2447" s="17"/>
      <c r="G2447" s="17"/>
      <c r="Z2447" s="22"/>
      <c r="AB2447" s="22"/>
    </row>
    <row r="2448" spans="1:28">
      <c r="A2448" s="19"/>
      <c r="B2448" s="12"/>
      <c r="C2448" s="24"/>
      <c r="D2448" s="12"/>
      <c r="E2448" s="23"/>
      <c r="F2448" s="17"/>
      <c r="G2448" s="17"/>
      <c r="Z2448" s="22"/>
      <c r="AB2448" s="22"/>
    </row>
    <row r="2449" spans="1:28">
      <c r="A2449" s="19"/>
      <c r="B2449" s="12"/>
      <c r="C2449" s="24"/>
      <c r="D2449" s="12"/>
      <c r="E2449" s="23"/>
      <c r="F2449" s="17"/>
      <c r="G2449" s="17"/>
      <c r="Z2449" s="22"/>
      <c r="AB2449" s="22"/>
    </row>
    <row r="2450" spans="1:28">
      <c r="A2450" s="19"/>
      <c r="B2450" s="12"/>
      <c r="C2450" s="24"/>
      <c r="D2450" s="12"/>
      <c r="E2450" s="23"/>
      <c r="F2450" s="17"/>
      <c r="G2450" s="17"/>
      <c r="Z2450" s="22"/>
      <c r="AB2450" s="22"/>
    </row>
    <row r="2451" spans="1:28">
      <c r="A2451" s="19"/>
      <c r="B2451" s="12"/>
      <c r="C2451" s="24"/>
      <c r="D2451" s="12"/>
      <c r="E2451" s="23"/>
      <c r="F2451" s="17"/>
      <c r="G2451" s="17"/>
      <c r="Z2451" s="22"/>
      <c r="AB2451" s="22"/>
    </row>
    <row r="2452" spans="1:28">
      <c r="A2452" s="19"/>
      <c r="B2452" s="12"/>
      <c r="C2452" s="24"/>
      <c r="D2452" s="12"/>
      <c r="E2452" s="23"/>
      <c r="F2452" s="17"/>
      <c r="G2452" s="17"/>
      <c r="Z2452" s="22"/>
      <c r="AB2452" s="22"/>
    </row>
    <row r="2453" spans="1:28">
      <c r="A2453" s="19"/>
      <c r="B2453" s="12"/>
      <c r="C2453" s="24"/>
      <c r="D2453" s="12"/>
      <c r="E2453" s="23"/>
      <c r="F2453" s="17"/>
      <c r="G2453" s="17"/>
      <c r="Z2453" s="22"/>
      <c r="AB2453" s="22"/>
    </row>
    <row r="2454" spans="1:28">
      <c r="A2454" s="19"/>
      <c r="B2454" s="12"/>
      <c r="C2454" s="24"/>
      <c r="D2454" s="12"/>
      <c r="E2454" s="23"/>
      <c r="F2454" s="17"/>
      <c r="G2454" s="17"/>
      <c r="Z2454" s="22"/>
      <c r="AB2454" s="22"/>
    </row>
    <row r="2455" spans="1:28">
      <c r="A2455" s="19"/>
      <c r="B2455" s="12"/>
      <c r="C2455" s="24"/>
      <c r="D2455" s="12"/>
      <c r="E2455" s="23"/>
      <c r="F2455" s="17"/>
      <c r="G2455" s="17"/>
      <c r="Z2455" s="22"/>
      <c r="AB2455" s="22"/>
    </row>
    <row r="2456" spans="1:28">
      <c r="A2456" s="19"/>
      <c r="B2456" s="12"/>
      <c r="C2456" s="24"/>
      <c r="D2456" s="12"/>
      <c r="E2456" s="23"/>
      <c r="F2456" s="17"/>
      <c r="G2456" s="17"/>
      <c r="Z2456" s="22"/>
      <c r="AB2456" s="22"/>
    </row>
    <row r="2457" spans="1:28">
      <c r="A2457" s="19"/>
      <c r="B2457" s="12"/>
      <c r="C2457" s="24"/>
      <c r="D2457" s="12"/>
      <c r="E2457" s="23"/>
      <c r="F2457" s="17"/>
      <c r="G2457" s="17"/>
      <c r="Z2457" s="22"/>
      <c r="AB2457" s="22"/>
    </row>
    <row r="2458" spans="1:28">
      <c r="A2458" s="19"/>
      <c r="B2458" s="12"/>
      <c r="C2458" s="24"/>
      <c r="D2458" s="12"/>
      <c r="E2458" s="23"/>
      <c r="F2458" s="17"/>
      <c r="G2458" s="17"/>
      <c r="Z2458" s="22"/>
      <c r="AB2458" s="22"/>
    </row>
    <row r="2459" spans="1:28">
      <c r="A2459" s="19"/>
      <c r="B2459" s="12"/>
      <c r="C2459" s="24"/>
      <c r="D2459" s="12"/>
      <c r="E2459" s="23"/>
      <c r="F2459" s="17"/>
      <c r="G2459" s="17"/>
      <c r="Z2459" s="22"/>
      <c r="AB2459" s="22"/>
    </row>
    <row r="2460" spans="1:28">
      <c r="A2460" s="19"/>
      <c r="B2460" s="12"/>
      <c r="C2460" s="24"/>
      <c r="D2460" s="12"/>
      <c r="E2460" s="23"/>
      <c r="F2460" s="17"/>
      <c r="G2460" s="17"/>
      <c r="Z2460" s="22"/>
      <c r="AB2460" s="22"/>
    </row>
    <row r="2461" spans="1:28">
      <c r="A2461" s="19"/>
      <c r="B2461" s="12"/>
      <c r="C2461" s="24"/>
      <c r="D2461" s="12"/>
      <c r="E2461" s="23"/>
      <c r="F2461" s="17"/>
      <c r="G2461" s="17"/>
      <c r="Z2461" s="22"/>
      <c r="AB2461" s="22"/>
    </row>
    <row r="2462" spans="1:28">
      <c r="A2462" s="19"/>
      <c r="B2462" s="12"/>
      <c r="C2462" s="24"/>
      <c r="D2462" s="12"/>
      <c r="E2462" s="23"/>
      <c r="F2462" s="17"/>
      <c r="G2462" s="17"/>
      <c r="Z2462" s="22"/>
      <c r="AB2462" s="22"/>
    </row>
    <row r="2463" spans="1:28">
      <c r="A2463" s="19"/>
      <c r="B2463" s="12"/>
      <c r="C2463" s="24"/>
      <c r="D2463" s="12"/>
      <c r="E2463" s="23"/>
      <c r="F2463" s="17"/>
      <c r="G2463" s="17"/>
      <c r="Z2463" s="22"/>
      <c r="AB2463" s="22"/>
    </row>
    <row r="2464" spans="1:28">
      <c r="A2464" s="19"/>
      <c r="B2464" s="12"/>
      <c r="C2464" s="24"/>
      <c r="D2464" s="12"/>
      <c r="E2464" s="23"/>
      <c r="F2464" s="17"/>
      <c r="G2464" s="17"/>
      <c r="Z2464" s="22"/>
      <c r="AB2464" s="22"/>
    </row>
    <row r="2465" spans="1:28">
      <c r="A2465" s="19"/>
      <c r="B2465" s="12"/>
      <c r="C2465" s="24"/>
      <c r="D2465" s="12"/>
      <c r="E2465" s="23"/>
      <c r="F2465" s="17"/>
      <c r="G2465" s="17"/>
      <c r="Z2465" s="22"/>
      <c r="AB2465" s="22"/>
    </row>
    <row r="2466" spans="1:28">
      <c r="A2466" s="19"/>
      <c r="B2466" s="12"/>
      <c r="C2466" s="24"/>
      <c r="D2466" s="12"/>
      <c r="E2466" s="23"/>
      <c r="F2466" s="17"/>
      <c r="G2466" s="17"/>
      <c r="Z2466" s="22"/>
      <c r="AB2466" s="22"/>
    </row>
    <row r="2467" spans="1:28">
      <c r="A2467" s="19"/>
      <c r="B2467" s="12"/>
      <c r="C2467" s="24"/>
      <c r="D2467" s="12"/>
      <c r="E2467" s="23"/>
      <c r="F2467" s="17"/>
      <c r="G2467" s="17"/>
      <c r="Z2467" s="22"/>
      <c r="AB2467" s="22"/>
    </row>
    <row r="2468" spans="1:28">
      <c r="A2468" s="19"/>
      <c r="B2468" s="12"/>
      <c r="C2468" s="24"/>
      <c r="D2468" s="12"/>
      <c r="E2468" s="23"/>
      <c r="F2468" s="17"/>
      <c r="G2468" s="17"/>
      <c r="Z2468" s="22"/>
      <c r="AB2468" s="22"/>
    </row>
    <row r="2469" spans="1:28">
      <c r="A2469" s="19"/>
      <c r="B2469" s="12"/>
      <c r="C2469" s="24"/>
      <c r="D2469" s="12"/>
      <c r="E2469" s="23"/>
      <c r="F2469" s="17"/>
      <c r="G2469" s="17"/>
      <c r="Z2469" s="22"/>
      <c r="AB2469" s="22"/>
    </row>
    <row r="2470" spans="1:28">
      <c r="A2470" s="19"/>
      <c r="B2470" s="12"/>
      <c r="C2470" s="24"/>
      <c r="D2470" s="12"/>
      <c r="E2470" s="23"/>
      <c r="F2470" s="17"/>
      <c r="G2470" s="17"/>
      <c r="Z2470" s="22"/>
      <c r="AB2470" s="22"/>
    </row>
    <row r="2471" spans="1:28">
      <c r="A2471" s="19"/>
      <c r="B2471" s="12"/>
      <c r="C2471" s="24"/>
      <c r="D2471" s="12"/>
      <c r="E2471" s="23"/>
      <c r="F2471" s="17"/>
      <c r="G2471" s="17"/>
      <c r="Z2471" s="22"/>
      <c r="AB2471" s="22"/>
    </row>
    <row r="2472" spans="1:28">
      <c r="A2472" s="19"/>
      <c r="B2472" s="12"/>
      <c r="C2472" s="24"/>
      <c r="D2472" s="12"/>
      <c r="E2472" s="23"/>
      <c r="F2472" s="17"/>
      <c r="G2472" s="17"/>
      <c r="Z2472" s="22"/>
      <c r="AB2472" s="22"/>
    </row>
    <row r="2473" spans="1:28">
      <c r="A2473" s="19"/>
      <c r="B2473" s="12"/>
      <c r="C2473" s="24"/>
      <c r="D2473" s="12"/>
      <c r="E2473" s="23"/>
      <c r="F2473" s="17"/>
      <c r="G2473" s="17"/>
      <c r="Z2473" s="22"/>
      <c r="AB2473" s="22"/>
    </row>
    <row r="2474" spans="1:28">
      <c r="A2474" s="19"/>
      <c r="B2474" s="12"/>
      <c r="C2474" s="24"/>
      <c r="D2474" s="12"/>
      <c r="E2474" s="23"/>
      <c r="F2474" s="17"/>
      <c r="G2474" s="17"/>
      <c r="Z2474" s="22"/>
      <c r="AB2474" s="22"/>
    </row>
    <row r="2475" spans="1:28">
      <c r="A2475" s="19"/>
      <c r="B2475" s="12"/>
      <c r="C2475" s="24"/>
      <c r="D2475" s="12"/>
      <c r="E2475" s="23"/>
      <c r="F2475" s="17"/>
      <c r="G2475" s="17"/>
      <c r="Z2475" s="22"/>
      <c r="AB2475" s="22"/>
    </row>
    <row r="2476" spans="1:28">
      <c r="A2476" s="19"/>
      <c r="B2476" s="12"/>
      <c r="C2476" s="24"/>
      <c r="D2476" s="12"/>
      <c r="E2476" s="23"/>
      <c r="F2476" s="17"/>
      <c r="G2476" s="17"/>
      <c r="Z2476" s="22"/>
      <c r="AB2476" s="22"/>
    </row>
    <row r="2477" spans="1:28">
      <c r="A2477" s="19"/>
      <c r="B2477" s="12"/>
      <c r="C2477" s="24"/>
      <c r="D2477" s="12"/>
      <c r="E2477" s="23"/>
      <c r="F2477" s="17"/>
      <c r="G2477" s="17"/>
      <c r="Z2477" s="22"/>
      <c r="AB2477" s="22"/>
    </row>
    <row r="2478" spans="1:28">
      <c r="A2478" s="19"/>
      <c r="B2478" s="12"/>
      <c r="C2478" s="24"/>
      <c r="D2478" s="12"/>
      <c r="E2478" s="23"/>
      <c r="F2478" s="17"/>
      <c r="G2478" s="17"/>
      <c r="Z2478" s="22"/>
      <c r="AB2478" s="22"/>
    </row>
    <row r="2479" spans="1:28">
      <c r="A2479" s="19"/>
      <c r="B2479" s="12"/>
      <c r="C2479" s="24"/>
      <c r="D2479" s="12"/>
      <c r="E2479" s="23"/>
      <c r="F2479" s="17"/>
      <c r="G2479" s="17"/>
      <c r="Z2479" s="22"/>
      <c r="AB2479" s="22"/>
    </row>
    <row r="2480" spans="1:28">
      <c r="A2480" s="19"/>
      <c r="B2480" s="12"/>
      <c r="C2480" s="24"/>
      <c r="D2480" s="12"/>
      <c r="E2480" s="23"/>
      <c r="F2480" s="17"/>
      <c r="G2480" s="17"/>
      <c r="Z2480" s="22"/>
      <c r="AB2480" s="22"/>
    </row>
    <row r="2481" spans="1:28">
      <c r="A2481" s="19"/>
      <c r="B2481" s="12"/>
      <c r="C2481" s="24"/>
      <c r="D2481" s="12"/>
      <c r="E2481" s="23"/>
      <c r="F2481" s="17"/>
      <c r="G2481" s="17"/>
      <c r="Z2481" s="22"/>
      <c r="AB2481" s="22"/>
    </row>
    <row r="2482" spans="1:28">
      <c r="A2482" s="19"/>
      <c r="B2482" s="12"/>
      <c r="C2482" s="24"/>
      <c r="D2482" s="12"/>
      <c r="E2482" s="23"/>
      <c r="F2482" s="17"/>
      <c r="G2482" s="17"/>
      <c r="Z2482" s="22"/>
      <c r="AB2482" s="22"/>
    </row>
    <row r="2483" spans="1:28">
      <c r="A2483" s="19"/>
      <c r="B2483" s="12"/>
      <c r="C2483" s="24"/>
      <c r="D2483" s="12"/>
      <c r="E2483" s="23"/>
      <c r="F2483" s="17"/>
      <c r="G2483" s="17"/>
      <c r="Z2483" s="22"/>
      <c r="AB2483" s="22"/>
    </row>
    <row r="2484" spans="1:28">
      <c r="A2484" s="19"/>
      <c r="B2484" s="12"/>
      <c r="C2484" s="24"/>
      <c r="D2484" s="12"/>
      <c r="E2484" s="23"/>
      <c r="F2484" s="17"/>
      <c r="G2484" s="17"/>
      <c r="Z2484" s="22"/>
      <c r="AB2484" s="22"/>
    </row>
    <row r="2485" spans="1:28">
      <c r="A2485" s="19"/>
      <c r="B2485" s="12"/>
      <c r="C2485" s="24"/>
      <c r="D2485" s="12"/>
      <c r="E2485" s="23"/>
      <c r="F2485" s="17"/>
      <c r="G2485" s="17"/>
      <c r="Z2485" s="22"/>
      <c r="AB2485" s="22"/>
    </row>
    <row r="2486" spans="1:28">
      <c r="A2486" s="19"/>
      <c r="B2486" s="12"/>
      <c r="C2486" s="24"/>
      <c r="D2486" s="12"/>
      <c r="E2486" s="23"/>
      <c r="F2486" s="17"/>
      <c r="G2486" s="17"/>
      <c r="Z2486" s="22"/>
      <c r="AB2486" s="22"/>
    </row>
    <row r="2487" spans="1:28">
      <c r="A2487" s="19"/>
      <c r="B2487" s="12"/>
      <c r="C2487" s="24"/>
      <c r="D2487" s="12"/>
      <c r="E2487" s="23"/>
      <c r="F2487" s="17"/>
      <c r="G2487" s="17"/>
      <c r="Z2487" s="22"/>
      <c r="AB2487" s="22"/>
    </row>
    <row r="2488" spans="1:28">
      <c r="A2488" s="19"/>
      <c r="B2488" s="12"/>
      <c r="C2488" s="24"/>
      <c r="D2488" s="12"/>
      <c r="E2488" s="23"/>
      <c r="F2488" s="17"/>
      <c r="G2488" s="17"/>
      <c r="Z2488" s="22"/>
      <c r="AB2488" s="22"/>
    </row>
    <row r="2489" spans="1:28">
      <c r="A2489" s="19"/>
      <c r="B2489" s="12"/>
      <c r="C2489" s="24"/>
      <c r="D2489" s="12"/>
      <c r="E2489" s="23"/>
      <c r="F2489" s="17"/>
      <c r="G2489" s="17"/>
      <c r="Z2489" s="22"/>
      <c r="AB2489" s="22"/>
    </row>
    <row r="2490" spans="1:28">
      <c r="A2490" s="19"/>
      <c r="B2490" s="12"/>
      <c r="C2490" s="24"/>
      <c r="D2490" s="12"/>
      <c r="E2490" s="23"/>
      <c r="F2490" s="17"/>
      <c r="G2490" s="17"/>
      <c r="Z2490" s="22"/>
      <c r="AB2490" s="22"/>
    </row>
    <row r="2491" spans="1:28">
      <c r="A2491" s="19"/>
      <c r="B2491" s="12"/>
      <c r="C2491" s="24"/>
      <c r="D2491" s="12"/>
      <c r="E2491" s="23"/>
      <c r="F2491" s="17"/>
      <c r="G2491" s="17"/>
      <c r="Z2491" s="22"/>
      <c r="AB2491" s="22"/>
    </row>
    <row r="2492" spans="1:28">
      <c r="A2492" s="19"/>
      <c r="B2492" s="12"/>
      <c r="C2492" s="24"/>
      <c r="D2492" s="12"/>
      <c r="E2492" s="23"/>
      <c r="F2492" s="17"/>
      <c r="G2492" s="17"/>
      <c r="Z2492" s="22"/>
      <c r="AB2492" s="22"/>
    </row>
    <row r="2493" spans="1:28">
      <c r="A2493" s="19"/>
      <c r="B2493" s="12"/>
      <c r="C2493" s="24"/>
      <c r="D2493" s="12"/>
      <c r="E2493" s="23"/>
      <c r="F2493" s="17"/>
      <c r="G2493" s="17"/>
      <c r="Z2493" s="22"/>
      <c r="AB2493" s="22"/>
    </row>
    <row r="2494" spans="1:28">
      <c r="A2494" s="19"/>
      <c r="B2494" s="12"/>
      <c r="C2494" s="24"/>
      <c r="D2494" s="12"/>
      <c r="E2494" s="23"/>
      <c r="F2494" s="17"/>
      <c r="G2494" s="17"/>
      <c r="Z2494" s="22"/>
      <c r="AB2494" s="22"/>
    </row>
    <row r="2495" spans="1:28">
      <c r="A2495" s="19"/>
      <c r="B2495" s="12"/>
      <c r="C2495" s="24"/>
      <c r="D2495" s="12"/>
      <c r="E2495" s="23"/>
      <c r="F2495" s="17"/>
      <c r="G2495" s="17"/>
      <c r="Z2495" s="22"/>
      <c r="AB2495" s="22"/>
    </row>
    <row r="2496" spans="1:28">
      <c r="A2496" s="19"/>
      <c r="B2496" s="12"/>
      <c r="C2496" s="24"/>
      <c r="D2496" s="12"/>
      <c r="E2496" s="23"/>
      <c r="F2496" s="17"/>
      <c r="G2496" s="17"/>
      <c r="Z2496" s="22"/>
      <c r="AB2496" s="22"/>
    </row>
    <row r="2497" spans="1:28">
      <c r="A2497" s="19"/>
      <c r="B2497" s="12"/>
      <c r="C2497" s="24"/>
      <c r="D2497" s="12"/>
      <c r="E2497" s="23"/>
      <c r="F2497" s="17"/>
      <c r="G2497" s="17"/>
      <c r="Z2497" s="22"/>
      <c r="AB2497" s="22"/>
    </row>
    <row r="2498" spans="1:28">
      <c r="A2498" s="19"/>
      <c r="B2498" s="12"/>
      <c r="C2498" s="24"/>
      <c r="D2498" s="12"/>
      <c r="E2498" s="23"/>
      <c r="F2498" s="17"/>
      <c r="G2498" s="17"/>
      <c r="Z2498" s="22"/>
      <c r="AB2498" s="22"/>
    </row>
    <row r="2499" spans="1:28">
      <c r="A2499" s="19"/>
      <c r="B2499" s="12"/>
      <c r="C2499" s="24"/>
      <c r="D2499" s="12"/>
      <c r="E2499" s="23"/>
      <c r="F2499" s="17"/>
      <c r="G2499" s="17"/>
      <c r="Z2499" s="22"/>
      <c r="AB2499" s="22"/>
    </row>
    <row r="2500" spans="1:28">
      <c r="A2500" s="19"/>
      <c r="B2500" s="12"/>
      <c r="C2500" s="24"/>
      <c r="D2500" s="12"/>
      <c r="E2500" s="23"/>
      <c r="F2500" s="17"/>
      <c r="G2500" s="17"/>
      <c r="Z2500" s="22"/>
      <c r="AB2500" s="22"/>
    </row>
    <row r="2501" spans="1:28">
      <c r="A2501" s="19"/>
      <c r="B2501" s="12"/>
      <c r="C2501" s="24"/>
      <c r="D2501" s="12"/>
      <c r="E2501" s="23"/>
      <c r="F2501" s="17"/>
      <c r="G2501" s="17"/>
      <c r="Z2501" s="22"/>
      <c r="AB2501" s="22"/>
    </row>
    <row r="2502" spans="1:28">
      <c r="A2502" s="19"/>
      <c r="B2502" s="12"/>
      <c r="C2502" s="24"/>
      <c r="D2502" s="12"/>
      <c r="E2502" s="23"/>
      <c r="F2502" s="17"/>
      <c r="G2502" s="17"/>
      <c r="Z2502" s="22"/>
      <c r="AB2502" s="22"/>
    </row>
    <row r="2503" spans="1:28">
      <c r="A2503" s="19"/>
      <c r="B2503" s="12"/>
      <c r="C2503" s="24"/>
      <c r="D2503" s="12"/>
      <c r="E2503" s="23"/>
      <c r="F2503" s="17"/>
      <c r="G2503" s="17"/>
      <c r="Z2503" s="22"/>
      <c r="AB2503" s="22"/>
    </row>
    <row r="2504" spans="1:28">
      <c r="A2504" s="19"/>
      <c r="B2504" s="12"/>
      <c r="C2504" s="24"/>
      <c r="D2504" s="12"/>
      <c r="E2504" s="23"/>
      <c r="F2504" s="17"/>
      <c r="G2504" s="17"/>
      <c r="Z2504" s="22"/>
      <c r="AB2504" s="22"/>
    </row>
    <row r="2505" spans="1:28">
      <c r="A2505" s="19"/>
      <c r="B2505" s="12"/>
      <c r="C2505" s="24"/>
      <c r="D2505" s="12"/>
      <c r="E2505" s="23"/>
      <c r="F2505" s="17"/>
      <c r="G2505" s="17"/>
      <c r="Z2505" s="22"/>
      <c r="AB2505" s="22"/>
    </row>
    <row r="2506" spans="1:28">
      <c r="A2506" s="19"/>
      <c r="B2506" s="12"/>
      <c r="C2506" s="24"/>
      <c r="D2506" s="12"/>
      <c r="E2506" s="23"/>
      <c r="F2506" s="17"/>
      <c r="G2506" s="17"/>
      <c r="Z2506" s="22"/>
      <c r="AB2506" s="22"/>
    </row>
    <row r="2507" spans="1:28">
      <c r="A2507" s="19"/>
      <c r="B2507" s="12"/>
      <c r="C2507" s="24"/>
      <c r="D2507" s="12"/>
      <c r="E2507" s="23"/>
      <c r="F2507" s="17"/>
      <c r="G2507" s="17"/>
      <c r="Z2507" s="22"/>
      <c r="AB2507" s="22"/>
    </row>
    <row r="2508" spans="1:28">
      <c r="A2508" s="19"/>
      <c r="B2508" s="12"/>
      <c r="C2508" s="24"/>
      <c r="D2508" s="12"/>
      <c r="E2508" s="23"/>
      <c r="F2508" s="17"/>
      <c r="G2508" s="17"/>
      <c r="Z2508" s="22"/>
      <c r="AB2508" s="22"/>
    </row>
    <row r="2509" spans="1:28">
      <c r="A2509" s="19"/>
      <c r="B2509" s="12"/>
      <c r="C2509" s="24"/>
      <c r="D2509" s="12"/>
      <c r="E2509" s="23"/>
      <c r="F2509" s="17"/>
      <c r="G2509" s="17"/>
      <c r="Z2509" s="22"/>
      <c r="AB2509" s="22"/>
    </row>
    <row r="2510" spans="1:28">
      <c r="A2510" s="19"/>
      <c r="B2510" s="12"/>
      <c r="C2510" s="24"/>
      <c r="D2510" s="12"/>
      <c r="E2510" s="23"/>
      <c r="F2510" s="17"/>
      <c r="G2510" s="17"/>
      <c r="Z2510" s="22"/>
      <c r="AB2510" s="22"/>
    </row>
    <row r="2511" spans="1:28">
      <c r="A2511" s="19"/>
      <c r="B2511" s="12"/>
      <c r="C2511" s="24"/>
      <c r="D2511" s="12"/>
      <c r="E2511" s="23"/>
      <c r="F2511" s="17"/>
      <c r="G2511" s="17"/>
      <c r="Z2511" s="22"/>
      <c r="AB2511" s="22"/>
    </row>
    <row r="2512" spans="1:28">
      <c r="A2512" s="19"/>
      <c r="B2512" s="12"/>
      <c r="C2512" s="24"/>
      <c r="D2512" s="12"/>
      <c r="E2512" s="23"/>
      <c r="F2512" s="17"/>
      <c r="G2512" s="17"/>
      <c r="Z2512" s="22"/>
      <c r="AB2512" s="22"/>
    </row>
    <row r="2513" spans="1:28">
      <c r="A2513" s="19"/>
      <c r="B2513" s="12"/>
      <c r="C2513" s="24"/>
      <c r="D2513" s="12"/>
      <c r="E2513" s="23"/>
      <c r="F2513" s="17"/>
      <c r="G2513" s="17"/>
      <c r="Z2513" s="22"/>
      <c r="AB2513" s="22"/>
    </row>
    <row r="2514" spans="1:28">
      <c r="A2514" s="19"/>
      <c r="B2514" s="12"/>
      <c r="C2514" s="24"/>
      <c r="D2514" s="12"/>
      <c r="E2514" s="23"/>
      <c r="F2514" s="17"/>
      <c r="G2514" s="17"/>
      <c r="Z2514" s="22"/>
      <c r="AB2514" s="22"/>
    </row>
    <row r="2515" spans="1:28">
      <c r="A2515" s="19"/>
      <c r="B2515" s="12"/>
      <c r="C2515" s="24"/>
      <c r="D2515" s="12"/>
      <c r="E2515" s="23"/>
      <c r="F2515" s="17"/>
      <c r="G2515" s="17"/>
      <c r="Z2515" s="22"/>
      <c r="AB2515" s="22"/>
    </row>
    <row r="2516" spans="1:28">
      <c r="A2516" s="19"/>
      <c r="B2516" s="12"/>
      <c r="C2516" s="24"/>
      <c r="D2516" s="12"/>
      <c r="E2516" s="23"/>
      <c r="F2516" s="17"/>
      <c r="G2516" s="17"/>
      <c r="Z2516" s="22"/>
      <c r="AB2516" s="22"/>
    </row>
    <row r="2517" spans="1:28">
      <c r="A2517" s="19"/>
      <c r="B2517" s="12"/>
      <c r="C2517" s="24"/>
      <c r="D2517" s="12"/>
      <c r="E2517" s="23"/>
      <c r="F2517" s="17"/>
      <c r="G2517" s="17"/>
      <c r="Z2517" s="22"/>
      <c r="AB2517" s="22"/>
    </row>
    <row r="2518" spans="1:28">
      <c r="A2518" s="19"/>
      <c r="B2518" s="12"/>
      <c r="C2518" s="24"/>
      <c r="D2518" s="12"/>
      <c r="E2518" s="23"/>
      <c r="F2518" s="17"/>
      <c r="G2518" s="17"/>
      <c r="Z2518" s="22"/>
      <c r="AB2518" s="22"/>
    </row>
    <row r="2519" spans="1:28">
      <c r="A2519" s="19"/>
      <c r="B2519" s="12"/>
      <c r="C2519" s="24"/>
      <c r="D2519" s="12"/>
      <c r="E2519" s="23"/>
      <c r="F2519" s="17"/>
      <c r="G2519" s="17"/>
      <c r="Z2519" s="22"/>
      <c r="AB2519" s="22"/>
    </row>
    <row r="2520" spans="1:28">
      <c r="A2520" s="19"/>
      <c r="B2520" s="12"/>
      <c r="C2520" s="24"/>
      <c r="D2520" s="12"/>
      <c r="E2520" s="23"/>
      <c r="F2520" s="17"/>
      <c r="G2520" s="17"/>
      <c r="Z2520" s="22"/>
      <c r="AB2520" s="22"/>
    </row>
    <row r="2521" spans="1:28">
      <c r="A2521" s="19"/>
      <c r="B2521" s="12"/>
      <c r="C2521" s="24"/>
      <c r="D2521" s="12"/>
      <c r="E2521" s="23"/>
      <c r="F2521" s="17"/>
      <c r="G2521" s="17"/>
      <c r="Z2521" s="22"/>
      <c r="AB2521" s="22"/>
    </row>
    <row r="2522" spans="1:28">
      <c r="A2522" s="19"/>
      <c r="B2522" s="12"/>
      <c r="C2522" s="24"/>
      <c r="D2522" s="12"/>
      <c r="E2522" s="23"/>
      <c r="F2522" s="17"/>
      <c r="G2522" s="17"/>
      <c r="Z2522" s="22"/>
      <c r="AB2522" s="22"/>
    </row>
    <row r="2523" spans="1:28">
      <c r="A2523" s="19"/>
      <c r="B2523" s="12"/>
      <c r="C2523" s="24"/>
      <c r="D2523" s="12"/>
      <c r="E2523" s="23"/>
      <c r="F2523" s="17"/>
      <c r="G2523" s="17"/>
      <c r="Z2523" s="22"/>
      <c r="AB2523" s="22"/>
    </row>
    <row r="2524" spans="1:28">
      <c r="A2524" s="19"/>
      <c r="B2524" s="12"/>
      <c r="C2524" s="24"/>
      <c r="D2524" s="12"/>
      <c r="E2524" s="23"/>
      <c r="F2524" s="17"/>
      <c r="G2524" s="17"/>
      <c r="Z2524" s="22"/>
      <c r="AB2524" s="22"/>
    </row>
    <row r="2525" spans="1:28">
      <c r="A2525" s="19"/>
      <c r="B2525" s="12"/>
      <c r="C2525" s="24"/>
      <c r="D2525" s="12"/>
      <c r="E2525" s="23"/>
      <c r="F2525" s="17"/>
      <c r="G2525" s="17"/>
      <c r="Z2525" s="22"/>
      <c r="AB2525" s="22"/>
    </row>
    <row r="2526" spans="1:28">
      <c r="A2526" s="19"/>
      <c r="B2526" s="12"/>
      <c r="C2526" s="24"/>
      <c r="D2526" s="12"/>
      <c r="E2526" s="23"/>
      <c r="F2526" s="17"/>
      <c r="G2526" s="17"/>
      <c r="Z2526" s="22"/>
      <c r="AB2526" s="22"/>
    </row>
    <row r="2527" spans="1:28">
      <c r="A2527" s="19"/>
      <c r="B2527" s="12"/>
      <c r="C2527" s="24"/>
      <c r="D2527" s="12"/>
      <c r="E2527" s="23"/>
      <c r="F2527" s="17"/>
      <c r="G2527" s="17"/>
      <c r="Z2527" s="22"/>
      <c r="AB2527" s="22"/>
    </row>
    <row r="2528" spans="1:28">
      <c r="A2528" s="19"/>
      <c r="B2528" s="12"/>
      <c r="C2528" s="24"/>
      <c r="D2528" s="12"/>
      <c r="E2528" s="23"/>
      <c r="F2528" s="17"/>
      <c r="G2528" s="17"/>
      <c r="Z2528" s="22"/>
      <c r="AB2528" s="22"/>
    </row>
    <row r="2529" spans="1:28">
      <c r="A2529" s="19"/>
      <c r="B2529" s="12"/>
      <c r="C2529" s="24"/>
      <c r="D2529" s="12"/>
      <c r="E2529" s="23"/>
      <c r="F2529" s="17"/>
      <c r="G2529" s="17"/>
      <c r="Z2529" s="22"/>
      <c r="AB2529" s="22"/>
    </row>
    <row r="2530" spans="1:28">
      <c r="A2530" s="19"/>
      <c r="B2530" s="12"/>
      <c r="C2530" s="24"/>
      <c r="D2530" s="12"/>
      <c r="E2530" s="23"/>
      <c r="F2530" s="17"/>
      <c r="G2530" s="17"/>
      <c r="Z2530" s="22"/>
      <c r="AB2530" s="22"/>
    </row>
    <row r="2531" spans="1:28">
      <c r="A2531" s="19"/>
      <c r="B2531" s="12"/>
      <c r="C2531" s="24"/>
      <c r="D2531" s="12"/>
      <c r="E2531" s="23"/>
      <c r="F2531" s="17"/>
      <c r="G2531" s="17"/>
      <c r="Z2531" s="22"/>
      <c r="AB2531" s="22"/>
    </row>
    <row r="2532" spans="1:28">
      <c r="A2532" s="19"/>
      <c r="B2532" s="12"/>
      <c r="C2532" s="24"/>
      <c r="D2532" s="12"/>
      <c r="E2532" s="23"/>
      <c r="F2532" s="17"/>
      <c r="G2532" s="17"/>
      <c r="Z2532" s="22"/>
      <c r="AB2532" s="22"/>
    </row>
    <row r="2533" spans="1:28">
      <c r="A2533" s="19"/>
      <c r="B2533" s="12"/>
      <c r="C2533" s="24"/>
      <c r="D2533" s="12"/>
      <c r="E2533" s="23"/>
      <c r="F2533" s="17"/>
      <c r="G2533" s="17"/>
      <c r="Z2533" s="22"/>
      <c r="AB2533" s="22"/>
    </row>
    <row r="2534" spans="1:28">
      <c r="A2534" s="19"/>
      <c r="B2534" s="12"/>
      <c r="C2534" s="24"/>
      <c r="D2534" s="12"/>
      <c r="E2534" s="23"/>
      <c r="F2534" s="17"/>
      <c r="G2534" s="17"/>
      <c r="Z2534" s="22"/>
      <c r="AB2534" s="22"/>
    </row>
    <row r="2535" spans="1:28">
      <c r="A2535" s="19"/>
      <c r="B2535" s="12"/>
      <c r="C2535" s="24"/>
      <c r="D2535" s="12"/>
      <c r="E2535" s="23"/>
      <c r="F2535" s="17"/>
      <c r="G2535" s="17"/>
      <c r="Z2535" s="22"/>
      <c r="AB2535" s="22"/>
    </row>
    <row r="2536" spans="1:28">
      <c r="A2536" s="19"/>
      <c r="B2536" s="12"/>
      <c r="C2536" s="24"/>
      <c r="D2536" s="12"/>
      <c r="E2536" s="23"/>
      <c r="F2536" s="17"/>
      <c r="G2536" s="17"/>
      <c r="Z2536" s="22"/>
      <c r="AB2536" s="22"/>
    </row>
    <row r="2537" spans="1:28">
      <c r="A2537" s="19"/>
      <c r="B2537" s="12"/>
      <c r="C2537" s="24"/>
      <c r="D2537" s="12"/>
      <c r="E2537" s="23"/>
      <c r="F2537" s="17"/>
      <c r="G2537" s="17"/>
      <c r="Z2537" s="22"/>
      <c r="AB2537" s="22"/>
    </row>
    <row r="2538" spans="1:28">
      <c r="A2538" s="19"/>
      <c r="B2538" s="12"/>
      <c r="C2538" s="24"/>
      <c r="D2538" s="12"/>
      <c r="E2538" s="23"/>
      <c r="F2538" s="17"/>
      <c r="G2538" s="17"/>
      <c r="Z2538" s="22"/>
      <c r="AB2538" s="22"/>
    </row>
    <row r="2539" spans="1:28">
      <c r="A2539" s="19"/>
      <c r="B2539" s="12"/>
      <c r="C2539" s="24"/>
      <c r="D2539" s="12"/>
      <c r="E2539" s="23"/>
      <c r="F2539" s="17"/>
      <c r="G2539" s="17"/>
      <c r="Z2539" s="22"/>
      <c r="AB2539" s="22"/>
    </row>
    <row r="2540" spans="1:28">
      <c r="A2540" s="19"/>
      <c r="B2540" s="12"/>
      <c r="C2540" s="24"/>
      <c r="D2540" s="12"/>
      <c r="E2540" s="23"/>
      <c r="F2540" s="17"/>
      <c r="G2540" s="17"/>
      <c r="Z2540" s="22"/>
      <c r="AB2540" s="22"/>
    </row>
    <row r="2541" spans="1:28">
      <c r="A2541" s="19"/>
      <c r="B2541" s="12"/>
      <c r="C2541" s="24"/>
      <c r="D2541" s="12"/>
      <c r="E2541" s="23"/>
      <c r="F2541" s="17"/>
      <c r="G2541" s="17"/>
      <c r="Z2541" s="22"/>
      <c r="AB2541" s="22"/>
    </row>
    <row r="2542" spans="1:28">
      <c r="A2542" s="19"/>
      <c r="B2542" s="12"/>
      <c r="C2542" s="24"/>
      <c r="D2542" s="12"/>
      <c r="E2542" s="23"/>
      <c r="F2542" s="17"/>
      <c r="G2542" s="17"/>
      <c r="Z2542" s="22"/>
      <c r="AB2542" s="22"/>
    </row>
    <row r="2543" spans="1:28">
      <c r="A2543" s="19"/>
      <c r="B2543" s="12"/>
      <c r="C2543" s="24"/>
      <c r="D2543" s="12"/>
      <c r="E2543" s="23"/>
      <c r="F2543" s="17"/>
      <c r="G2543" s="17"/>
      <c r="Z2543" s="22"/>
      <c r="AB2543" s="22"/>
    </row>
    <row r="2544" spans="1:28">
      <c r="A2544" s="19"/>
      <c r="B2544" s="12"/>
      <c r="C2544" s="24"/>
      <c r="D2544" s="12"/>
      <c r="E2544" s="23"/>
      <c r="F2544" s="17"/>
      <c r="G2544" s="17"/>
      <c r="Z2544" s="22"/>
      <c r="AB2544" s="22"/>
    </row>
    <row r="2545" spans="1:28">
      <c r="A2545" s="19"/>
      <c r="B2545" s="12"/>
      <c r="C2545" s="24"/>
      <c r="D2545" s="12"/>
      <c r="E2545" s="23"/>
      <c r="F2545" s="17"/>
      <c r="G2545" s="17"/>
      <c r="Z2545" s="22"/>
      <c r="AB2545" s="22"/>
    </row>
    <row r="2546" spans="1:28">
      <c r="A2546" s="19"/>
      <c r="B2546" s="12"/>
      <c r="C2546" s="24"/>
      <c r="D2546" s="12"/>
      <c r="E2546" s="23"/>
      <c r="F2546" s="17"/>
      <c r="G2546" s="17"/>
      <c r="Z2546" s="22"/>
      <c r="AB2546" s="22"/>
    </row>
    <row r="2547" spans="1:28">
      <c r="A2547" s="19"/>
      <c r="B2547" s="12"/>
      <c r="C2547" s="24"/>
      <c r="D2547" s="12"/>
      <c r="E2547" s="23"/>
      <c r="F2547" s="17"/>
      <c r="G2547" s="17"/>
      <c r="Z2547" s="22"/>
      <c r="AB2547" s="22"/>
    </row>
    <row r="2548" spans="1:28">
      <c r="A2548" s="19"/>
      <c r="B2548" s="12"/>
      <c r="C2548" s="24"/>
      <c r="D2548" s="12"/>
      <c r="E2548" s="23"/>
      <c r="F2548" s="17"/>
      <c r="G2548" s="17"/>
      <c r="Z2548" s="22"/>
      <c r="AB2548" s="22"/>
    </row>
    <row r="2549" spans="1:28">
      <c r="A2549" s="19"/>
      <c r="B2549" s="12"/>
      <c r="C2549" s="24"/>
      <c r="D2549" s="12"/>
      <c r="E2549" s="23"/>
      <c r="F2549" s="17"/>
      <c r="G2549" s="17"/>
      <c r="Z2549" s="22"/>
      <c r="AB2549" s="22"/>
    </row>
    <row r="2550" spans="1:28">
      <c r="A2550" s="19"/>
      <c r="B2550" s="12"/>
      <c r="C2550" s="24"/>
      <c r="D2550" s="12"/>
      <c r="E2550" s="23"/>
      <c r="F2550" s="17"/>
      <c r="G2550" s="17"/>
      <c r="Z2550" s="22"/>
      <c r="AB2550" s="22"/>
    </row>
    <row r="2551" spans="1:28">
      <c r="A2551" s="19"/>
      <c r="B2551" s="12"/>
      <c r="C2551" s="24"/>
      <c r="D2551" s="12"/>
      <c r="E2551" s="23"/>
      <c r="F2551" s="17"/>
      <c r="G2551" s="17"/>
      <c r="Z2551" s="22"/>
      <c r="AB2551" s="22"/>
    </row>
    <row r="2552" spans="1:28">
      <c r="A2552" s="19"/>
      <c r="B2552" s="12"/>
      <c r="C2552" s="24"/>
      <c r="D2552" s="12"/>
      <c r="E2552" s="23"/>
      <c r="F2552" s="17"/>
      <c r="G2552" s="17"/>
      <c r="Z2552" s="22"/>
      <c r="AB2552" s="22"/>
    </row>
    <row r="2553" spans="1:28">
      <c r="A2553" s="19"/>
      <c r="B2553" s="12"/>
      <c r="C2553" s="24"/>
      <c r="D2553" s="12"/>
      <c r="E2553" s="23"/>
      <c r="F2553" s="17"/>
      <c r="G2553" s="17"/>
      <c r="Z2553" s="22"/>
      <c r="AB2553" s="22"/>
    </row>
    <row r="2554" spans="1:28">
      <c r="A2554" s="19"/>
      <c r="B2554" s="12"/>
      <c r="C2554" s="24"/>
      <c r="D2554" s="12"/>
      <c r="E2554" s="23"/>
      <c r="F2554" s="17"/>
      <c r="G2554" s="17"/>
      <c r="Z2554" s="22"/>
      <c r="AB2554" s="22"/>
    </row>
    <row r="2555" spans="1:28">
      <c r="A2555" s="19"/>
      <c r="B2555" s="12"/>
      <c r="C2555" s="24"/>
      <c r="D2555" s="12"/>
      <c r="E2555" s="23"/>
      <c r="F2555" s="17"/>
      <c r="G2555" s="17"/>
      <c r="Z2555" s="22"/>
      <c r="AB2555" s="22"/>
    </row>
    <row r="2556" spans="1:28">
      <c r="A2556" s="19"/>
      <c r="B2556" s="12"/>
      <c r="C2556" s="24"/>
      <c r="D2556" s="12"/>
      <c r="E2556" s="23"/>
      <c r="F2556" s="17"/>
      <c r="G2556" s="17"/>
      <c r="Z2556" s="22"/>
      <c r="AB2556" s="22"/>
    </row>
    <row r="2557" spans="1:28">
      <c r="A2557" s="19"/>
      <c r="B2557" s="12"/>
      <c r="C2557" s="24"/>
      <c r="D2557" s="12"/>
      <c r="E2557" s="23"/>
      <c r="F2557" s="17"/>
      <c r="G2557" s="17"/>
      <c r="Z2557" s="22"/>
      <c r="AB2557" s="22"/>
    </row>
    <row r="2558" spans="1:28">
      <c r="A2558" s="19"/>
      <c r="B2558" s="12"/>
      <c r="C2558" s="24"/>
      <c r="D2558" s="12"/>
      <c r="E2558" s="23"/>
      <c r="F2558" s="17"/>
      <c r="G2558" s="17"/>
      <c r="Z2558" s="22"/>
      <c r="AB2558" s="22"/>
    </row>
    <row r="2559" spans="1:28">
      <c r="A2559" s="19"/>
      <c r="B2559" s="12"/>
      <c r="C2559" s="24"/>
      <c r="D2559" s="12"/>
      <c r="E2559" s="23"/>
      <c r="F2559" s="17"/>
      <c r="G2559" s="17"/>
      <c r="Z2559" s="22"/>
      <c r="AB2559" s="22"/>
    </row>
    <row r="2560" spans="1:28">
      <c r="A2560" s="19"/>
      <c r="B2560" s="12"/>
      <c r="C2560" s="24"/>
      <c r="D2560" s="12"/>
      <c r="E2560" s="23"/>
      <c r="F2560" s="17"/>
      <c r="G2560" s="17"/>
      <c r="Z2560" s="22"/>
      <c r="AB2560" s="22"/>
    </row>
    <row r="2561" spans="1:28">
      <c r="A2561" s="19"/>
      <c r="B2561" s="12"/>
      <c r="C2561" s="24"/>
      <c r="D2561" s="12"/>
      <c r="E2561" s="23"/>
      <c r="F2561" s="17"/>
      <c r="G2561" s="17"/>
      <c r="Z2561" s="22"/>
      <c r="AB2561" s="22"/>
    </row>
    <row r="2562" spans="1:28">
      <c r="A2562" s="19"/>
      <c r="B2562" s="12"/>
      <c r="C2562" s="24"/>
      <c r="D2562" s="12"/>
      <c r="E2562" s="23"/>
      <c r="F2562" s="17"/>
      <c r="G2562" s="17"/>
      <c r="Z2562" s="22"/>
      <c r="AB2562" s="22"/>
    </row>
    <row r="2563" spans="1:28">
      <c r="A2563" s="19"/>
      <c r="B2563" s="12"/>
      <c r="C2563" s="24"/>
      <c r="D2563" s="12"/>
      <c r="E2563" s="23"/>
      <c r="F2563" s="17"/>
      <c r="G2563" s="17"/>
      <c r="Z2563" s="22"/>
      <c r="AB2563" s="22"/>
    </row>
    <row r="2564" spans="1:28">
      <c r="A2564" s="19"/>
      <c r="B2564" s="12"/>
      <c r="C2564" s="24"/>
      <c r="D2564" s="12"/>
      <c r="E2564" s="23"/>
      <c r="F2564" s="17"/>
      <c r="G2564" s="17"/>
      <c r="Z2564" s="22"/>
      <c r="AB2564" s="22"/>
    </row>
    <row r="2565" spans="1:28">
      <c r="A2565" s="19"/>
      <c r="B2565" s="12"/>
      <c r="C2565" s="24"/>
      <c r="D2565" s="12"/>
      <c r="E2565" s="23"/>
      <c r="F2565" s="17"/>
      <c r="G2565" s="17"/>
      <c r="Z2565" s="22"/>
      <c r="AB2565" s="22"/>
    </row>
    <row r="2566" spans="1:28">
      <c r="A2566" s="19"/>
      <c r="B2566" s="12"/>
      <c r="C2566" s="24"/>
      <c r="D2566" s="12"/>
      <c r="E2566" s="23"/>
      <c r="F2566" s="17"/>
      <c r="G2566" s="17"/>
      <c r="Z2566" s="22"/>
      <c r="AB2566" s="22"/>
    </row>
    <row r="2567" spans="1:28">
      <c r="A2567" s="19"/>
      <c r="B2567" s="12"/>
      <c r="C2567" s="24"/>
      <c r="D2567" s="12"/>
      <c r="E2567" s="23"/>
      <c r="F2567" s="17"/>
      <c r="G2567" s="17"/>
      <c r="Z2567" s="22"/>
      <c r="AB2567" s="22"/>
    </row>
    <row r="2568" spans="1:28">
      <c r="A2568" s="19"/>
      <c r="B2568" s="12"/>
      <c r="C2568" s="24"/>
      <c r="D2568" s="12"/>
      <c r="E2568" s="23"/>
      <c r="F2568" s="17"/>
      <c r="G2568" s="17"/>
      <c r="Z2568" s="22"/>
      <c r="AB2568" s="22"/>
    </row>
    <row r="2569" spans="1:28">
      <c r="A2569" s="19"/>
      <c r="B2569" s="12"/>
      <c r="C2569" s="24"/>
      <c r="D2569" s="12"/>
      <c r="E2569" s="23"/>
      <c r="F2569" s="17"/>
      <c r="G2569" s="17"/>
      <c r="Z2569" s="22"/>
      <c r="AB2569" s="22"/>
    </row>
    <row r="2570" spans="1:28">
      <c r="A2570" s="19"/>
      <c r="B2570" s="12"/>
      <c r="C2570" s="24"/>
      <c r="D2570" s="12"/>
      <c r="E2570" s="23"/>
      <c r="F2570" s="17"/>
      <c r="G2570" s="17"/>
      <c r="Z2570" s="22"/>
      <c r="AB2570" s="22"/>
    </row>
    <row r="2571" spans="1:28">
      <c r="A2571" s="19"/>
      <c r="B2571" s="12"/>
      <c r="C2571" s="24"/>
      <c r="D2571" s="12"/>
      <c r="E2571" s="23"/>
      <c r="F2571" s="17"/>
      <c r="G2571" s="17"/>
      <c r="Z2571" s="22"/>
      <c r="AB2571" s="22"/>
    </row>
    <row r="2572" spans="1:28">
      <c r="A2572" s="19"/>
      <c r="B2572" s="12"/>
      <c r="C2572" s="24"/>
      <c r="D2572" s="12"/>
      <c r="E2572" s="23"/>
      <c r="F2572" s="17"/>
      <c r="G2572" s="17"/>
      <c r="Z2572" s="22"/>
      <c r="AB2572" s="22"/>
    </row>
    <row r="2573" spans="1:28">
      <c r="A2573" s="19"/>
      <c r="B2573" s="12"/>
      <c r="C2573" s="24"/>
      <c r="D2573" s="12"/>
      <c r="E2573" s="23"/>
      <c r="F2573" s="17"/>
      <c r="G2573" s="17"/>
      <c r="Z2573" s="22"/>
      <c r="AB2573" s="22"/>
    </row>
    <row r="2574" spans="1:28">
      <c r="A2574" s="19"/>
      <c r="B2574" s="12"/>
      <c r="C2574" s="24"/>
      <c r="D2574" s="12"/>
      <c r="E2574" s="23"/>
      <c r="F2574" s="17"/>
      <c r="G2574" s="17"/>
      <c r="Z2574" s="22"/>
      <c r="AB2574" s="22"/>
    </row>
    <row r="2575" spans="1:28">
      <c r="A2575" s="19"/>
      <c r="B2575" s="12"/>
      <c r="C2575" s="24"/>
      <c r="D2575" s="12"/>
      <c r="E2575" s="23"/>
      <c r="F2575" s="17"/>
      <c r="G2575" s="17"/>
      <c r="Z2575" s="22"/>
      <c r="AB2575" s="22"/>
    </row>
    <row r="2576" spans="1:28">
      <c r="A2576" s="19"/>
      <c r="B2576" s="12"/>
      <c r="C2576" s="24"/>
      <c r="D2576" s="12"/>
      <c r="E2576" s="23"/>
      <c r="F2576" s="17"/>
      <c r="G2576" s="17"/>
      <c r="Z2576" s="22"/>
      <c r="AB2576" s="22"/>
    </row>
    <row r="2577" spans="1:28">
      <c r="A2577" s="19"/>
      <c r="B2577" s="12"/>
      <c r="C2577" s="24"/>
      <c r="D2577" s="12"/>
      <c r="E2577" s="23"/>
      <c r="F2577" s="17"/>
      <c r="G2577" s="17"/>
      <c r="Z2577" s="22"/>
      <c r="AB2577" s="22"/>
    </row>
    <row r="2578" spans="1:28">
      <c r="A2578" s="19"/>
      <c r="B2578" s="12"/>
      <c r="C2578" s="24"/>
      <c r="D2578" s="12"/>
      <c r="E2578" s="23"/>
      <c r="F2578" s="17"/>
      <c r="G2578" s="17"/>
      <c r="Z2578" s="22"/>
      <c r="AB2578" s="22"/>
    </row>
    <row r="2579" spans="1:28">
      <c r="A2579" s="19"/>
      <c r="B2579" s="12"/>
      <c r="C2579" s="24"/>
      <c r="D2579" s="12"/>
      <c r="E2579" s="23"/>
      <c r="F2579" s="17"/>
      <c r="G2579" s="17"/>
      <c r="Z2579" s="22"/>
      <c r="AB2579" s="22"/>
    </row>
    <row r="2580" spans="1:28">
      <c r="A2580" s="19"/>
      <c r="B2580" s="12"/>
      <c r="C2580" s="24"/>
      <c r="D2580" s="12"/>
      <c r="E2580" s="23"/>
      <c r="F2580" s="17"/>
      <c r="G2580" s="17"/>
      <c r="Z2580" s="22"/>
      <c r="AB2580" s="22"/>
    </row>
    <row r="2581" spans="1:28">
      <c r="A2581" s="19"/>
      <c r="B2581" s="12"/>
      <c r="C2581" s="24"/>
      <c r="D2581" s="12"/>
      <c r="E2581" s="23"/>
      <c r="F2581" s="17"/>
      <c r="G2581" s="17"/>
      <c r="Z2581" s="22"/>
      <c r="AB2581" s="22"/>
    </row>
    <row r="2582" spans="1:28">
      <c r="A2582" s="19"/>
      <c r="B2582" s="12"/>
      <c r="C2582" s="24"/>
      <c r="D2582" s="12"/>
      <c r="E2582" s="23"/>
      <c r="F2582" s="17"/>
      <c r="G2582" s="17"/>
      <c r="Z2582" s="22"/>
      <c r="AB2582" s="22"/>
    </row>
    <row r="2583" spans="1:28">
      <c r="A2583" s="19"/>
      <c r="B2583" s="12"/>
      <c r="C2583" s="24"/>
      <c r="D2583" s="12"/>
      <c r="E2583" s="23"/>
      <c r="F2583" s="17"/>
      <c r="G2583" s="17"/>
      <c r="Z2583" s="22"/>
      <c r="AB2583" s="22"/>
    </row>
    <row r="2584" spans="1:28">
      <c r="A2584" s="19"/>
      <c r="B2584" s="12"/>
      <c r="C2584" s="24"/>
      <c r="D2584" s="12"/>
      <c r="E2584" s="23"/>
      <c r="F2584" s="17"/>
      <c r="G2584" s="17"/>
      <c r="Z2584" s="22"/>
      <c r="AB2584" s="22"/>
    </row>
    <row r="2585" spans="1:28">
      <c r="A2585" s="19"/>
      <c r="B2585" s="12"/>
      <c r="C2585" s="24"/>
      <c r="D2585" s="12"/>
      <c r="E2585" s="23"/>
      <c r="F2585" s="17"/>
      <c r="G2585" s="17"/>
      <c r="Z2585" s="22"/>
      <c r="AB2585" s="22"/>
    </row>
    <row r="2586" spans="1:28">
      <c r="A2586" s="19"/>
      <c r="B2586" s="12"/>
      <c r="C2586" s="24"/>
      <c r="D2586" s="12"/>
      <c r="E2586" s="23"/>
      <c r="F2586" s="17"/>
      <c r="G2586" s="17"/>
      <c r="Z2586" s="22"/>
      <c r="AB2586" s="22"/>
    </row>
    <row r="2587" spans="1:28">
      <c r="A2587" s="19"/>
      <c r="B2587" s="12"/>
      <c r="C2587" s="24"/>
      <c r="D2587" s="12"/>
      <c r="E2587" s="23"/>
      <c r="F2587" s="17"/>
      <c r="G2587" s="17"/>
      <c r="Z2587" s="22"/>
      <c r="AB2587" s="22"/>
    </row>
    <row r="2588" spans="1:28">
      <c r="A2588" s="19"/>
      <c r="B2588" s="12"/>
      <c r="C2588" s="24"/>
      <c r="D2588" s="12"/>
      <c r="E2588" s="23"/>
      <c r="F2588" s="17"/>
      <c r="G2588" s="17"/>
      <c r="Z2588" s="22"/>
      <c r="AB2588" s="22"/>
    </row>
    <row r="2589" spans="1:28">
      <c r="A2589" s="19"/>
      <c r="B2589" s="12"/>
      <c r="C2589" s="24"/>
      <c r="D2589" s="12"/>
      <c r="E2589" s="23"/>
      <c r="F2589" s="17"/>
      <c r="G2589" s="17"/>
      <c r="Z2589" s="22"/>
      <c r="AB2589" s="22"/>
    </row>
    <row r="2590" spans="1:28">
      <c r="A2590" s="19"/>
      <c r="B2590" s="12"/>
      <c r="C2590" s="24"/>
      <c r="D2590" s="12"/>
      <c r="E2590" s="23"/>
      <c r="F2590" s="17"/>
      <c r="G2590" s="17"/>
      <c r="Z2590" s="22"/>
      <c r="AB2590" s="22"/>
    </row>
    <row r="2591" spans="1:28">
      <c r="A2591" s="19"/>
      <c r="B2591" s="12"/>
      <c r="C2591" s="24"/>
      <c r="D2591" s="12"/>
      <c r="E2591" s="23"/>
      <c r="F2591" s="17"/>
      <c r="G2591" s="17"/>
      <c r="Z2591" s="22"/>
      <c r="AB2591" s="22"/>
    </row>
    <row r="2592" spans="1:28">
      <c r="A2592" s="19"/>
      <c r="B2592" s="12"/>
      <c r="C2592" s="24"/>
      <c r="D2592" s="12"/>
      <c r="E2592" s="23"/>
      <c r="F2592" s="17"/>
      <c r="G2592" s="17"/>
      <c r="Z2592" s="22"/>
      <c r="AB2592" s="22"/>
    </row>
    <row r="2593" spans="1:28">
      <c r="A2593" s="19"/>
      <c r="B2593" s="12"/>
      <c r="C2593" s="24"/>
      <c r="D2593" s="12"/>
      <c r="E2593" s="23"/>
      <c r="F2593" s="17"/>
      <c r="G2593" s="17"/>
      <c r="Z2593" s="22"/>
      <c r="AB2593" s="22"/>
    </row>
    <row r="2594" spans="1:28">
      <c r="A2594" s="19"/>
      <c r="B2594" s="12"/>
      <c r="C2594" s="24"/>
      <c r="D2594" s="12"/>
      <c r="E2594" s="23"/>
      <c r="F2594" s="17"/>
      <c r="G2594" s="17"/>
      <c r="Z2594" s="22"/>
      <c r="AB2594" s="22"/>
    </row>
    <row r="2595" spans="1:28">
      <c r="A2595" s="19"/>
      <c r="B2595" s="12"/>
      <c r="C2595" s="24"/>
      <c r="D2595" s="12"/>
      <c r="E2595" s="23"/>
      <c r="F2595" s="17"/>
      <c r="G2595" s="17"/>
      <c r="Z2595" s="22"/>
      <c r="AB2595" s="22"/>
    </row>
    <row r="2596" spans="1:28">
      <c r="A2596" s="19"/>
      <c r="B2596" s="12"/>
      <c r="C2596" s="24"/>
      <c r="D2596" s="12"/>
      <c r="E2596" s="23"/>
      <c r="F2596" s="17"/>
      <c r="G2596" s="17"/>
      <c r="Z2596" s="22"/>
      <c r="AB2596" s="22"/>
    </row>
    <row r="2597" spans="1:28">
      <c r="A2597" s="19"/>
      <c r="B2597" s="12"/>
      <c r="C2597" s="24"/>
      <c r="D2597" s="12"/>
      <c r="E2597" s="23"/>
      <c r="F2597" s="17"/>
      <c r="G2597" s="17"/>
      <c r="Z2597" s="22"/>
      <c r="AB2597" s="22"/>
    </row>
    <row r="2598" spans="1:28">
      <c r="A2598" s="19"/>
      <c r="B2598" s="12"/>
      <c r="C2598" s="24"/>
      <c r="D2598" s="12"/>
      <c r="E2598" s="23"/>
      <c r="F2598" s="17"/>
      <c r="G2598" s="17"/>
      <c r="Z2598" s="22"/>
      <c r="AB2598" s="22"/>
    </row>
    <row r="2599" spans="1:28">
      <c r="A2599" s="19"/>
      <c r="B2599" s="12"/>
      <c r="C2599" s="24"/>
      <c r="D2599" s="12"/>
      <c r="E2599" s="23"/>
      <c r="F2599" s="17"/>
      <c r="G2599" s="17"/>
      <c r="Z2599" s="22"/>
      <c r="AB2599" s="22"/>
    </row>
    <row r="2600" spans="1:28">
      <c r="A2600" s="19"/>
      <c r="B2600" s="12"/>
      <c r="C2600" s="24"/>
      <c r="D2600" s="12"/>
      <c r="E2600" s="23"/>
      <c r="F2600" s="17"/>
      <c r="G2600" s="17"/>
      <c r="Z2600" s="22"/>
      <c r="AB2600" s="22"/>
    </row>
    <row r="2601" spans="1:28">
      <c r="A2601" s="19"/>
      <c r="B2601" s="12"/>
      <c r="C2601" s="24"/>
      <c r="D2601" s="12"/>
      <c r="E2601" s="23"/>
      <c r="F2601" s="17"/>
      <c r="G2601" s="17"/>
      <c r="Z2601" s="22"/>
      <c r="AB2601" s="22"/>
    </row>
    <row r="2602" spans="1:28">
      <c r="A2602" s="19"/>
      <c r="B2602" s="12"/>
      <c r="C2602" s="24"/>
      <c r="D2602" s="12"/>
      <c r="E2602" s="23"/>
      <c r="F2602" s="17"/>
      <c r="G2602" s="17"/>
      <c r="Z2602" s="22"/>
      <c r="AB2602" s="22"/>
    </row>
    <row r="2603" spans="1:28">
      <c r="A2603" s="19"/>
      <c r="B2603" s="12"/>
      <c r="C2603" s="24"/>
      <c r="D2603" s="12"/>
      <c r="E2603" s="23"/>
      <c r="F2603" s="17"/>
      <c r="G2603" s="17"/>
      <c r="Z2603" s="22"/>
      <c r="AB2603" s="22"/>
    </row>
    <row r="2604" spans="1:28">
      <c r="A2604" s="19"/>
      <c r="B2604" s="12"/>
      <c r="C2604" s="24"/>
      <c r="D2604" s="12"/>
      <c r="E2604" s="23"/>
      <c r="F2604" s="17"/>
      <c r="G2604" s="17"/>
      <c r="Z2604" s="22"/>
      <c r="AB2604" s="22"/>
    </row>
    <row r="2605" spans="1:28">
      <c r="A2605" s="19"/>
      <c r="B2605" s="12"/>
      <c r="C2605" s="24"/>
      <c r="D2605" s="12"/>
      <c r="E2605" s="23"/>
      <c r="F2605" s="17"/>
      <c r="G2605" s="17"/>
      <c r="Z2605" s="22"/>
      <c r="AB2605" s="22"/>
    </row>
    <row r="2606" spans="1:28">
      <c r="A2606" s="19"/>
      <c r="B2606" s="12"/>
      <c r="C2606" s="24"/>
      <c r="D2606" s="12"/>
      <c r="E2606" s="23"/>
      <c r="F2606" s="17"/>
      <c r="G2606" s="17"/>
      <c r="Z2606" s="22"/>
      <c r="AB2606" s="22"/>
    </row>
    <row r="2607" spans="1:28">
      <c r="A2607" s="19"/>
      <c r="B2607" s="12"/>
      <c r="C2607" s="24"/>
      <c r="D2607" s="12"/>
      <c r="E2607" s="23"/>
      <c r="F2607" s="17"/>
      <c r="G2607" s="17"/>
      <c r="Z2607" s="22"/>
      <c r="AB2607" s="22"/>
    </row>
    <row r="2608" spans="1:28">
      <c r="A2608" s="19"/>
      <c r="B2608" s="12"/>
      <c r="C2608" s="24"/>
      <c r="D2608" s="12"/>
      <c r="E2608" s="23"/>
      <c r="F2608" s="17"/>
      <c r="G2608" s="17"/>
      <c r="Z2608" s="22"/>
      <c r="AB2608" s="22"/>
    </row>
    <row r="2609" spans="1:28">
      <c r="A2609" s="19"/>
      <c r="B2609" s="12"/>
      <c r="C2609" s="24"/>
      <c r="D2609" s="12"/>
      <c r="E2609" s="23"/>
      <c r="F2609" s="17"/>
      <c r="G2609" s="17"/>
      <c r="Z2609" s="22"/>
      <c r="AB2609" s="22"/>
    </row>
    <row r="2610" spans="1:28">
      <c r="A2610" s="19"/>
      <c r="B2610" s="12"/>
      <c r="C2610" s="24"/>
      <c r="D2610" s="12"/>
      <c r="E2610" s="23"/>
      <c r="F2610" s="17"/>
      <c r="G2610" s="17"/>
      <c r="Z2610" s="22"/>
      <c r="AB2610" s="22"/>
    </row>
    <row r="2611" spans="1:28">
      <c r="A2611" s="19"/>
      <c r="B2611" s="12"/>
      <c r="C2611" s="24"/>
      <c r="D2611" s="12"/>
      <c r="E2611" s="23"/>
      <c r="F2611" s="17"/>
      <c r="G2611" s="17"/>
      <c r="Z2611" s="22"/>
      <c r="AB2611" s="22"/>
    </row>
    <row r="2612" spans="1:28">
      <c r="A2612" s="19"/>
      <c r="B2612" s="12"/>
      <c r="C2612" s="24"/>
      <c r="D2612" s="12"/>
      <c r="E2612" s="23"/>
      <c r="F2612" s="17"/>
      <c r="G2612" s="17"/>
      <c r="Z2612" s="22"/>
      <c r="AB2612" s="22"/>
    </row>
    <row r="2613" spans="1:28">
      <c r="A2613" s="19"/>
      <c r="B2613" s="12"/>
      <c r="C2613" s="24"/>
      <c r="D2613" s="12"/>
      <c r="E2613" s="23"/>
      <c r="F2613" s="17"/>
      <c r="G2613" s="17"/>
      <c r="Z2613" s="22"/>
      <c r="AB2613" s="22"/>
    </row>
    <row r="2614" spans="1:28">
      <c r="A2614" s="19"/>
      <c r="B2614" s="12"/>
      <c r="C2614" s="24"/>
      <c r="D2614" s="12"/>
      <c r="E2614" s="23"/>
      <c r="F2614" s="17"/>
      <c r="G2614" s="17"/>
      <c r="Z2614" s="22"/>
      <c r="AB2614" s="22"/>
    </row>
    <row r="2615" spans="1:28">
      <c r="A2615" s="19"/>
      <c r="B2615" s="12"/>
      <c r="C2615" s="24"/>
      <c r="D2615" s="12"/>
      <c r="E2615" s="23"/>
      <c r="F2615" s="17"/>
      <c r="G2615" s="17"/>
      <c r="Z2615" s="22"/>
      <c r="AB2615" s="22"/>
    </row>
    <row r="2616" spans="1:28">
      <c r="A2616" s="19"/>
      <c r="B2616" s="12"/>
      <c r="C2616" s="24"/>
      <c r="D2616" s="12"/>
      <c r="E2616" s="23"/>
      <c r="F2616" s="17"/>
      <c r="G2616" s="17"/>
      <c r="Z2616" s="22"/>
      <c r="AB2616" s="22"/>
    </row>
    <row r="2617" spans="1:28">
      <c r="A2617" s="19"/>
      <c r="B2617" s="12"/>
      <c r="C2617" s="24"/>
      <c r="D2617" s="12"/>
      <c r="E2617" s="23"/>
      <c r="F2617" s="17"/>
      <c r="G2617" s="17"/>
      <c r="Z2617" s="22"/>
      <c r="AB2617" s="22"/>
    </row>
    <row r="2618" spans="1:28">
      <c r="A2618" s="19"/>
      <c r="B2618" s="12"/>
      <c r="C2618" s="24"/>
      <c r="D2618" s="12"/>
      <c r="E2618" s="23"/>
      <c r="F2618" s="17"/>
      <c r="G2618" s="17"/>
      <c r="Z2618" s="22"/>
      <c r="AB2618" s="22"/>
    </row>
    <row r="2619" spans="1:28">
      <c r="A2619" s="19"/>
      <c r="B2619" s="12"/>
      <c r="C2619" s="24"/>
      <c r="D2619" s="12"/>
      <c r="E2619" s="23"/>
      <c r="F2619" s="17"/>
      <c r="G2619" s="17"/>
      <c r="Z2619" s="22"/>
      <c r="AB2619" s="22"/>
    </row>
    <row r="2620" spans="1:28">
      <c r="A2620" s="19"/>
      <c r="B2620" s="12"/>
      <c r="C2620" s="24"/>
      <c r="D2620" s="12"/>
      <c r="E2620" s="23"/>
      <c r="F2620" s="17"/>
      <c r="G2620" s="17"/>
      <c r="Z2620" s="22"/>
      <c r="AB2620" s="22"/>
    </row>
    <row r="2621" spans="1:28">
      <c r="A2621" s="19"/>
      <c r="B2621" s="12"/>
      <c r="C2621" s="24"/>
      <c r="D2621" s="12"/>
      <c r="E2621" s="23"/>
      <c r="F2621" s="17"/>
      <c r="G2621" s="17"/>
      <c r="Z2621" s="22"/>
      <c r="AB2621" s="22"/>
    </row>
    <row r="2622" spans="1:28">
      <c r="A2622" s="19"/>
      <c r="B2622" s="12"/>
      <c r="C2622" s="24"/>
      <c r="D2622" s="12"/>
      <c r="E2622" s="23"/>
      <c r="F2622" s="17"/>
      <c r="G2622" s="17"/>
      <c r="Z2622" s="22"/>
      <c r="AB2622" s="22"/>
    </row>
    <row r="2623" spans="1:28">
      <c r="A2623" s="19"/>
      <c r="B2623" s="12"/>
      <c r="C2623" s="24"/>
      <c r="D2623" s="12"/>
      <c r="E2623" s="23"/>
      <c r="F2623" s="17"/>
      <c r="G2623" s="17"/>
      <c r="Z2623" s="22"/>
      <c r="AB2623" s="22"/>
    </row>
    <row r="2624" spans="1:28">
      <c r="A2624" s="19"/>
      <c r="B2624" s="12"/>
      <c r="C2624" s="24"/>
      <c r="D2624" s="12"/>
      <c r="E2624" s="23"/>
      <c r="F2624" s="17"/>
      <c r="G2624" s="17"/>
      <c r="Z2624" s="22"/>
      <c r="AB2624" s="22"/>
    </row>
    <row r="2625" spans="1:28">
      <c r="A2625" s="19"/>
      <c r="B2625" s="12"/>
      <c r="C2625" s="24"/>
      <c r="D2625" s="12"/>
      <c r="E2625" s="23"/>
      <c r="F2625" s="17"/>
      <c r="G2625" s="17"/>
      <c r="Z2625" s="22"/>
      <c r="AB2625" s="22"/>
    </row>
    <row r="2626" spans="1:28">
      <c r="A2626" s="19"/>
      <c r="B2626" s="12"/>
      <c r="C2626" s="24"/>
      <c r="D2626" s="12"/>
      <c r="E2626" s="23"/>
      <c r="F2626" s="17"/>
      <c r="G2626" s="17"/>
      <c r="Z2626" s="22"/>
      <c r="AB2626" s="22"/>
    </row>
    <row r="2627" spans="1:28">
      <c r="A2627" s="19"/>
      <c r="B2627" s="12"/>
      <c r="C2627" s="24"/>
      <c r="D2627" s="12"/>
      <c r="E2627" s="23"/>
      <c r="F2627" s="17"/>
      <c r="G2627" s="17"/>
      <c r="Z2627" s="22"/>
      <c r="AB2627" s="22"/>
    </row>
    <row r="2628" spans="1:28">
      <c r="A2628" s="19"/>
      <c r="B2628" s="12"/>
      <c r="C2628" s="24"/>
      <c r="D2628" s="12"/>
      <c r="E2628" s="23"/>
      <c r="F2628" s="17"/>
      <c r="G2628" s="17"/>
      <c r="Z2628" s="22"/>
      <c r="AB2628" s="22"/>
    </row>
    <row r="2629" spans="1:28">
      <c r="A2629" s="19"/>
      <c r="B2629" s="12"/>
      <c r="C2629" s="24"/>
      <c r="D2629" s="12"/>
      <c r="E2629" s="23"/>
      <c r="F2629" s="17"/>
      <c r="G2629" s="17"/>
      <c r="Z2629" s="22"/>
      <c r="AB2629" s="22"/>
    </row>
    <row r="2630" spans="1:28">
      <c r="A2630" s="19"/>
      <c r="B2630" s="12"/>
      <c r="C2630" s="24"/>
      <c r="D2630" s="12"/>
      <c r="E2630" s="23"/>
      <c r="F2630" s="17"/>
      <c r="G2630" s="17"/>
      <c r="Z2630" s="22"/>
      <c r="AB2630" s="22"/>
    </row>
    <row r="2631" spans="1:28">
      <c r="A2631" s="19"/>
      <c r="B2631" s="12"/>
      <c r="C2631" s="24"/>
      <c r="D2631" s="12"/>
      <c r="E2631" s="23"/>
      <c r="F2631" s="17"/>
      <c r="G2631" s="17"/>
      <c r="Z2631" s="22"/>
      <c r="AB2631" s="22"/>
    </row>
    <row r="2632" spans="1:28">
      <c r="A2632" s="19"/>
      <c r="B2632" s="12"/>
      <c r="C2632" s="24"/>
      <c r="D2632" s="12"/>
      <c r="E2632" s="23"/>
      <c r="F2632" s="17"/>
      <c r="G2632" s="17"/>
      <c r="Z2632" s="22"/>
      <c r="AB2632" s="22"/>
    </row>
    <row r="2633" spans="1:28">
      <c r="A2633" s="19"/>
      <c r="B2633" s="12"/>
      <c r="C2633" s="24"/>
      <c r="D2633" s="12"/>
      <c r="E2633" s="23"/>
      <c r="F2633" s="17"/>
      <c r="G2633" s="17"/>
      <c r="Z2633" s="22"/>
      <c r="AB2633" s="22"/>
    </row>
    <row r="2634" spans="1:28">
      <c r="A2634" s="19"/>
      <c r="B2634" s="12"/>
      <c r="C2634" s="24"/>
      <c r="D2634" s="12"/>
      <c r="E2634" s="23"/>
      <c r="F2634" s="17"/>
      <c r="G2634" s="17"/>
      <c r="Z2634" s="22"/>
      <c r="AB2634" s="22"/>
    </row>
    <row r="2635" spans="1:28">
      <c r="A2635" s="19"/>
      <c r="B2635" s="12"/>
      <c r="C2635" s="24"/>
      <c r="D2635" s="12"/>
      <c r="E2635" s="23"/>
      <c r="F2635" s="17"/>
      <c r="G2635" s="17"/>
      <c r="Z2635" s="22"/>
      <c r="AB2635" s="22"/>
    </row>
    <row r="2636" spans="1:28">
      <c r="A2636" s="19"/>
      <c r="B2636" s="12"/>
      <c r="C2636" s="24"/>
      <c r="D2636" s="12"/>
      <c r="E2636" s="23"/>
      <c r="F2636" s="17"/>
      <c r="G2636" s="17"/>
      <c r="Z2636" s="22"/>
      <c r="AB2636" s="22"/>
    </row>
    <row r="2637" spans="1:28">
      <c r="A2637" s="19"/>
      <c r="B2637" s="12"/>
      <c r="C2637" s="24"/>
      <c r="D2637" s="12"/>
      <c r="E2637" s="23"/>
      <c r="F2637" s="17"/>
      <c r="G2637" s="17"/>
      <c r="Z2637" s="22"/>
      <c r="AB2637" s="22"/>
    </row>
    <row r="2638" spans="1:28">
      <c r="A2638" s="19"/>
      <c r="B2638" s="12"/>
      <c r="C2638" s="24"/>
      <c r="D2638" s="12"/>
      <c r="E2638" s="23"/>
      <c r="F2638" s="17"/>
      <c r="G2638" s="17"/>
      <c r="Z2638" s="22"/>
      <c r="AB2638" s="22"/>
    </row>
    <row r="2639" spans="1:28">
      <c r="A2639" s="19"/>
      <c r="B2639" s="12"/>
      <c r="C2639" s="24"/>
      <c r="D2639" s="12"/>
      <c r="E2639" s="23"/>
      <c r="F2639" s="17"/>
      <c r="G2639" s="17"/>
      <c r="Z2639" s="22"/>
      <c r="AB2639" s="22"/>
    </row>
    <row r="2640" spans="1:28">
      <c r="A2640" s="19"/>
      <c r="B2640" s="12"/>
      <c r="C2640" s="24"/>
      <c r="D2640" s="12"/>
      <c r="E2640" s="23"/>
      <c r="F2640" s="17"/>
      <c r="G2640" s="17"/>
      <c r="Z2640" s="22"/>
      <c r="AB2640" s="22"/>
    </row>
    <row r="2641" spans="1:28">
      <c r="A2641" s="19"/>
      <c r="B2641" s="12"/>
      <c r="C2641" s="24"/>
      <c r="D2641" s="12"/>
      <c r="E2641" s="23"/>
      <c r="F2641" s="17"/>
      <c r="G2641" s="17"/>
      <c r="Z2641" s="22"/>
      <c r="AB2641" s="22"/>
    </row>
    <row r="2642" spans="1:28">
      <c r="A2642" s="19"/>
      <c r="B2642" s="12"/>
      <c r="C2642" s="24"/>
      <c r="D2642" s="12"/>
      <c r="E2642" s="23"/>
      <c r="F2642" s="17"/>
      <c r="G2642" s="17"/>
      <c r="Z2642" s="22"/>
      <c r="AB2642" s="22"/>
    </row>
    <row r="2643" spans="1:28">
      <c r="A2643" s="19"/>
      <c r="B2643" s="12"/>
      <c r="C2643" s="24"/>
      <c r="D2643" s="12"/>
      <c r="E2643" s="23"/>
      <c r="F2643" s="17"/>
      <c r="G2643" s="17"/>
      <c r="Z2643" s="22"/>
      <c r="AB2643" s="22"/>
    </row>
    <row r="2644" spans="1:28">
      <c r="A2644" s="19"/>
      <c r="B2644" s="12"/>
      <c r="C2644" s="24"/>
      <c r="D2644" s="12"/>
      <c r="E2644" s="23"/>
      <c r="F2644" s="17"/>
      <c r="G2644" s="17"/>
      <c r="Z2644" s="22"/>
      <c r="AB2644" s="22"/>
    </row>
    <row r="2645" spans="1:28">
      <c r="A2645" s="19"/>
      <c r="B2645" s="12"/>
      <c r="C2645" s="24"/>
      <c r="D2645" s="12"/>
      <c r="E2645" s="23"/>
      <c r="F2645" s="17"/>
      <c r="G2645" s="17"/>
      <c r="Z2645" s="22"/>
      <c r="AB2645" s="22"/>
    </row>
    <row r="2646" spans="1:28">
      <c r="A2646" s="19"/>
      <c r="B2646" s="12"/>
      <c r="C2646" s="24"/>
      <c r="D2646" s="12"/>
      <c r="E2646" s="23"/>
      <c r="F2646" s="17"/>
      <c r="G2646" s="17"/>
      <c r="Z2646" s="22"/>
      <c r="AB2646" s="22"/>
    </row>
    <row r="2647" spans="1:28">
      <c r="A2647" s="19"/>
      <c r="B2647" s="12"/>
      <c r="C2647" s="24"/>
      <c r="D2647" s="12"/>
      <c r="E2647" s="23"/>
      <c r="F2647" s="17"/>
      <c r="G2647" s="17"/>
      <c r="Z2647" s="22"/>
      <c r="AB2647" s="22"/>
    </row>
    <row r="2648" spans="1:28">
      <c r="A2648" s="19"/>
      <c r="B2648" s="12"/>
      <c r="C2648" s="24"/>
      <c r="D2648" s="12"/>
      <c r="E2648" s="23"/>
      <c r="F2648" s="17"/>
      <c r="G2648" s="17"/>
      <c r="Z2648" s="22"/>
      <c r="AB2648" s="22"/>
    </row>
    <row r="2649" spans="1:28">
      <c r="A2649" s="19"/>
      <c r="B2649" s="12"/>
      <c r="C2649" s="24"/>
      <c r="D2649" s="12"/>
      <c r="E2649" s="23"/>
      <c r="F2649" s="17"/>
      <c r="G2649" s="17"/>
      <c r="Z2649" s="22"/>
      <c r="AB2649" s="22"/>
    </row>
    <row r="2650" spans="1:28">
      <c r="A2650" s="19"/>
      <c r="B2650" s="12"/>
      <c r="C2650" s="24"/>
      <c r="D2650" s="12"/>
      <c r="E2650" s="23"/>
      <c r="F2650" s="17"/>
      <c r="G2650" s="17"/>
      <c r="Z2650" s="22"/>
      <c r="AB2650" s="22"/>
    </row>
    <row r="2651" spans="1:28">
      <c r="A2651" s="19"/>
      <c r="B2651" s="12"/>
      <c r="C2651" s="24"/>
      <c r="D2651" s="12"/>
      <c r="E2651" s="23"/>
      <c r="F2651" s="17"/>
      <c r="G2651" s="17"/>
      <c r="Z2651" s="22"/>
      <c r="AB2651" s="22"/>
    </row>
    <row r="2652" spans="1:28">
      <c r="A2652" s="19"/>
      <c r="B2652" s="12"/>
      <c r="C2652" s="24"/>
      <c r="D2652" s="12"/>
      <c r="E2652" s="23"/>
      <c r="F2652" s="17"/>
      <c r="G2652" s="17"/>
      <c r="Z2652" s="22"/>
      <c r="AB2652" s="22"/>
    </row>
    <row r="2653" spans="1:28">
      <c r="A2653" s="19"/>
      <c r="B2653" s="12"/>
      <c r="C2653" s="24"/>
      <c r="D2653" s="12"/>
      <c r="E2653" s="23"/>
      <c r="F2653" s="17"/>
      <c r="G2653" s="17"/>
      <c r="Z2653" s="22"/>
      <c r="AB2653" s="22"/>
    </row>
    <row r="2654" spans="1:28">
      <c r="A2654" s="19"/>
      <c r="B2654" s="12"/>
      <c r="C2654" s="24"/>
      <c r="D2654" s="12"/>
      <c r="E2654" s="23"/>
      <c r="F2654" s="17"/>
      <c r="G2654" s="17"/>
      <c r="Z2654" s="22"/>
      <c r="AB2654" s="22"/>
    </row>
    <row r="2655" spans="1:28">
      <c r="A2655" s="19"/>
      <c r="B2655" s="12"/>
      <c r="C2655" s="24"/>
      <c r="D2655" s="12"/>
      <c r="E2655" s="23"/>
      <c r="F2655" s="17"/>
      <c r="G2655" s="17"/>
      <c r="Z2655" s="22"/>
      <c r="AB2655" s="22"/>
    </row>
    <row r="2656" spans="1:28">
      <c r="A2656" s="19"/>
      <c r="B2656" s="12"/>
      <c r="C2656" s="24"/>
      <c r="D2656" s="12"/>
      <c r="E2656" s="23"/>
      <c r="F2656" s="17"/>
      <c r="G2656" s="17"/>
      <c r="Z2656" s="22"/>
      <c r="AB2656" s="22"/>
    </row>
    <row r="2657" spans="1:28">
      <c r="A2657" s="19"/>
      <c r="B2657" s="12"/>
      <c r="C2657" s="24"/>
      <c r="D2657" s="12"/>
      <c r="E2657" s="23"/>
      <c r="F2657" s="17"/>
      <c r="G2657" s="17"/>
      <c r="Z2657" s="22"/>
      <c r="AB2657" s="22"/>
    </row>
    <row r="2658" spans="1:28">
      <c r="A2658" s="19"/>
      <c r="B2658" s="12"/>
      <c r="C2658" s="24"/>
      <c r="D2658" s="12"/>
      <c r="E2658" s="23"/>
      <c r="F2658" s="17"/>
      <c r="G2658" s="17"/>
      <c r="Z2658" s="22"/>
      <c r="AB2658" s="22"/>
    </row>
    <row r="2659" spans="1:28">
      <c r="A2659" s="19"/>
      <c r="B2659" s="12"/>
      <c r="C2659" s="24"/>
      <c r="D2659" s="12"/>
      <c r="E2659" s="23"/>
      <c r="F2659" s="17"/>
      <c r="G2659" s="17"/>
      <c r="Z2659" s="22"/>
      <c r="AB2659" s="22"/>
    </row>
    <row r="2660" spans="1:28">
      <c r="A2660" s="19"/>
      <c r="B2660" s="12"/>
      <c r="C2660" s="24"/>
      <c r="D2660" s="12"/>
      <c r="E2660" s="23"/>
      <c r="F2660" s="17"/>
      <c r="G2660" s="17"/>
      <c r="Z2660" s="22"/>
      <c r="AB2660" s="22"/>
    </row>
    <row r="2661" spans="1:28">
      <c r="A2661" s="19"/>
      <c r="B2661" s="12"/>
      <c r="C2661" s="24"/>
      <c r="D2661" s="12"/>
      <c r="E2661" s="23"/>
      <c r="F2661" s="17"/>
      <c r="G2661" s="17"/>
      <c r="Z2661" s="22"/>
      <c r="AB2661" s="22"/>
    </row>
    <row r="2662" spans="1:28">
      <c r="A2662" s="19"/>
      <c r="B2662" s="12"/>
      <c r="C2662" s="24"/>
      <c r="D2662" s="12"/>
      <c r="E2662" s="23"/>
      <c r="F2662" s="17"/>
      <c r="G2662" s="17"/>
      <c r="Z2662" s="22"/>
      <c r="AB2662" s="22"/>
    </row>
    <row r="2663" spans="1:28">
      <c r="A2663" s="19"/>
      <c r="B2663" s="12"/>
      <c r="C2663" s="24"/>
      <c r="D2663" s="12"/>
      <c r="E2663" s="23"/>
      <c r="F2663" s="17"/>
      <c r="G2663" s="17"/>
      <c r="Z2663" s="22"/>
      <c r="AB2663" s="22"/>
    </row>
    <row r="2664" spans="1:28">
      <c r="A2664" s="19"/>
      <c r="B2664" s="12"/>
      <c r="C2664" s="24"/>
      <c r="D2664" s="12"/>
      <c r="E2664" s="23"/>
      <c r="F2664" s="17"/>
      <c r="G2664" s="17"/>
      <c r="Z2664" s="22"/>
      <c r="AB2664" s="22"/>
    </row>
    <row r="2665" spans="1:28">
      <c r="A2665" s="19"/>
      <c r="B2665" s="12"/>
      <c r="C2665" s="24"/>
      <c r="D2665" s="12"/>
      <c r="E2665" s="23"/>
      <c r="F2665" s="17"/>
      <c r="G2665" s="17"/>
      <c r="Z2665" s="22"/>
      <c r="AB2665" s="22"/>
    </row>
    <row r="2666" spans="1:28">
      <c r="A2666" s="19"/>
      <c r="B2666" s="12"/>
      <c r="C2666" s="24"/>
      <c r="D2666" s="12"/>
      <c r="E2666" s="23"/>
      <c r="F2666" s="17"/>
      <c r="G2666" s="17"/>
      <c r="Z2666" s="22"/>
      <c r="AB2666" s="22"/>
    </row>
    <row r="2667" spans="1:28">
      <c r="A2667" s="19"/>
      <c r="B2667" s="12"/>
      <c r="C2667" s="24"/>
      <c r="D2667" s="12"/>
      <c r="E2667" s="23"/>
      <c r="F2667" s="17"/>
      <c r="G2667" s="17"/>
      <c r="Z2667" s="22"/>
      <c r="AB2667" s="22"/>
    </row>
    <row r="2668" spans="1:28">
      <c r="A2668" s="19"/>
      <c r="B2668" s="12"/>
      <c r="C2668" s="24"/>
      <c r="D2668" s="12"/>
      <c r="E2668" s="23"/>
      <c r="F2668" s="17"/>
      <c r="G2668" s="17"/>
      <c r="Z2668" s="22"/>
      <c r="AB2668" s="22"/>
    </row>
    <row r="2669" spans="1:28">
      <c r="A2669" s="19"/>
      <c r="B2669" s="12"/>
      <c r="C2669" s="24"/>
      <c r="D2669" s="12"/>
      <c r="E2669" s="23"/>
      <c r="F2669" s="17"/>
      <c r="G2669" s="17"/>
      <c r="Z2669" s="22"/>
      <c r="AB2669" s="22"/>
    </row>
    <row r="2670" spans="1:28">
      <c r="A2670" s="19"/>
      <c r="B2670" s="12"/>
      <c r="C2670" s="24"/>
      <c r="D2670" s="12"/>
      <c r="E2670" s="23"/>
      <c r="F2670" s="17"/>
      <c r="G2670" s="17"/>
      <c r="Z2670" s="22"/>
      <c r="AB2670" s="22"/>
    </row>
    <row r="2671" spans="1:28">
      <c r="A2671" s="19"/>
      <c r="B2671" s="12"/>
      <c r="C2671" s="24"/>
      <c r="D2671" s="12"/>
      <c r="E2671" s="23"/>
      <c r="F2671" s="17"/>
      <c r="G2671" s="17"/>
      <c r="Z2671" s="22"/>
      <c r="AB2671" s="22"/>
    </row>
    <row r="2672" spans="1:28">
      <c r="A2672" s="19"/>
      <c r="B2672" s="12"/>
      <c r="C2672" s="24"/>
      <c r="D2672" s="12"/>
      <c r="E2672" s="23"/>
      <c r="F2672" s="17"/>
      <c r="G2672" s="17"/>
      <c r="Z2672" s="22"/>
      <c r="AB2672" s="22"/>
    </row>
    <row r="2673" spans="1:28">
      <c r="A2673" s="19"/>
      <c r="B2673" s="12"/>
      <c r="C2673" s="24"/>
      <c r="D2673" s="12"/>
      <c r="E2673" s="23"/>
      <c r="F2673" s="17"/>
      <c r="G2673" s="17"/>
      <c r="Z2673" s="22"/>
      <c r="AB2673" s="22"/>
    </row>
    <row r="2674" spans="1:28">
      <c r="A2674" s="19"/>
      <c r="B2674" s="12"/>
      <c r="C2674" s="24"/>
      <c r="D2674" s="12"/>
      <c r="E2674" s="23"/>
      <c r="F2674" s="17"/>
      <c r="G2674" s="17"/>
      <c r="Z2674" s="22"/>
      <c r="AB2674" s="22"/>
    </row>
    <row r="2675" spans="1:28">
      <c r="A2675" s="19"/>
      <c r="B2675" s="12"/>
      <c r="C2675" s="24"/>
      <c r="D2675" s="12"/>
      <c r="E2675" s="23"/>
      <c r="F2675" s="17"/>
      <c r="G2675" s="17"/>
      <c r="Z2675" s="22"/>
      <c r="AB2675" s="22"/>
    </row>
    <row r="2676" spans="1:28">
      <c r="A2676" s="19"/>
      <c r="B2676" s="12"/>
      <c r="C2676" s="24"/>
      <c r="D2676" s="12"/>
      <c r="E2676" s="23"/>
      <c r="F2676" s="17"/>
      <c r="G2676" s="17"/>
      <c r="Z2676" s="22"/>
      <c r="AB2676" s="22"/>
    </row>
    <row r="2677" spans="1:28">
      <c r="A2677" s="19"/>
      <c r="B2677" s="12"/>
      <c r="C2677" s="24"/>
      <c r="D2677" s="12"/>
      <c r="E2677" s="23"/>
      <c r="F2677" s="17"/>
      <c r="G2677" s="17"/>
      <c r="Z2677" s="22"/>
      <c r="AB2677" s="22"/>
    </row>
    <row r="2678" spans="1:28">
      <c r="A2678" s="19"/>
      <c r="B2678" s="12"/>
      <c r="C2678" s="24"/>
      <c r="D2678" s="12"/>
      <c r="E2678" s="23"/>
      <c r="F2678" s="17"/>
      <c r="G2678" s="17"/>
      <c r="Z2678" s="22"/>
      <c r="AB2678" s="22"/>
    </row>
    <row r="2679" spans="1:28">
      <c r="A2679" s="19"/>
      <c r="B2679" s="12"/>
      <c r="C2679" s="24"/>
      <c r="D2679" s="12"/>
      <c r="E2679" s="23"/>
      <c r="F2679" s="17"/>
      <c r="G2679" s="17"/>
      <c r="Z2679" s="22"/>
      <c r="AB2679" s="22"/>
    </row>
    <row r="2680" spans="1:28">
      <c r="A2680" s="19"/>
      <c r="B2680" s="12"/>
      <c r="C2680" s="24"/>
      <c r="D2680" s="12"/>
      <c r="E2680" s="23"/>
      <c r="F2680" s="17"/>
      <c r="G2680" s="17"/>
      <c r="Z2680" s="22"/>
      <c r="AB2680" s="22"/>
    </row>
    <row r="2681" spans="1:28">
      <c r="A2681" s="19"/>
      <c r="B2681" s="12"/>
      <c r="C2681" s="24"/>
      <c r="D2681" s="12"/>
      <c r="E2681" s="23"/>
      <c r="F2681" s="17"/>
      <c r="G2681" s="17"/>
      <c r="Z2681" s="22"/>
      <c r="AB2681" s="22"/>
    </row>
    <row r="2682" spans="1:28">
      <c r="A2682" s="19"/>
      <c r="B2682" s="12"/>
      <c r="C2682" s="24"/>
      <c r="D2682" s="12"/>
      <c r="E2682" s="23"/>
      <c r="F2682" s="17"/>
      <c r="G2682" s="17"/>
      <c r="Z2682" s="22"/>
      <c r="AB2682" s="22"/>
    </row>
    <row r="2683" spans="1:28">
      <c r="A2683" s="19"/>
      <c r="B2683" s="12"/>
      <c r="C2683" s="24"/>
      <c r="D2683" s="12"/>
      <c r="E2683" s="23"/>
      <c r="F2683" s="17"/>
      <c r="G2683" s="17"/>
      <c r="Z2683" s="22"/>
      <c r="AB2683" s="22"/>
    </row>
    <row r="2684" spans="1:28">
      <c r="A2684" s="19"/>
      <c r="B2684" s="12"/>
      <c r="C2684" s="24"/>
      <c r="D2684" s="12"/>
      <c r="E2684" s="23"/>
      <c r="F2684" s="17"/>
      <c r="G2684" s="17"/>
      <c r="Z2684" s="22"/>
      <c r="AB2684" s="22"/>
    </row>
    <row r="2685" spans="1:28">
      <c r="A2685" s="19"/>
      <c r="B2685" s="12"/>
      <c r="C2685" s="24"/>
      <c r="D2685" s="12"/>
      <c r="E2685" s="23"/>
      <c r="F2685" s="17"/>
      <c r="G2685" s="17"/>
      <c r="Z2685" s="22"/>
      <c r="AB2685" s="22"/>
    </row>
    <row r="2686" spans="1:28">
      <c r="A2686" s="19"/>
      <c r="B2686" s="12"/>
      <c r="C2686" s="24"/>
      <c r="D2686" s="12"/>
      <c r="E2686" s="23"/>
      <c r="F2686" s="17"/>
      <c r="G2686" s="17"/>
      <c r="Z2686" s="22"/>
      <c r="AB2686" s="22"/>
    </row>
    <row r="2687" spans="1:28">
      <c r="A2687" s="19"/>
      <c r="B2687" s="12"/>
      <c r="C2687" s="24"/>
      <c r="D2687" s="12"/>
      <c r="E2687" s="23"/>
      <c r="F2687" s="17"/>
      <c r="G2687" s="17"/>
      <c r="Z2687" s="22"/>
      <c r="AB2687" s="22"/>
    </row>
    <row r="2688" spans="1:28">
      <c r="A2688" s="19"/>
      <c r="B2688" s="12"/>
      <c r="C2688" s="24"/>
      <c r="D2688" s="12"/>
      <c r="E2688" s="23"/>
      <c r="F2688" s="17"/>
      <c r="G2688" s="17"/>
      <c r="Z2688" s="22"/>
      <c r="AB2688" s="22"/>
    </row>
    <row r="2689" spans="1:28">
      <c r="A2689" s="19"/>
      <c r="B2689" s="12"/>
      <c r="C2689" s="24"/>
      <c r="D2689" s="12"/>
      <c r="E2689" s="23"/>
      <c r="F2689" s="17"/>
      <c r="G2689" s="17"/>
      <c r="Z2689" s="22"/>
      <c r="AB2689" s="22"/>
    </row>
    <row r="2690" spans="1:28">
      <c r="A2690" s="19"/>
      <c r="B2690" s="12"/>
      <c r="C2690" s="24"/>
      <c r="D2690" s="12"/>
      <c r="E2690" s="23"/>
      <c r="F2690" s="17"/>
      <c r="G2690" s="17"/>
      <c r="Z2690" s="22"/>
      <c r="AB2690" s="22"/>
    </row>
    <row r="2691" spans="1:28">
      <c r="A2691" s="19"/>
      <c r="B2691" s="12"/>
      <c r="C2691" s="24"/>
      <c r="D2691" s="12"/>
      <c r="E2691" s="23"/>
      <c r="F2691" s="17"/>
      <c r="G2691" s="17"/>
      <c r="Z2691" s="22"/>
      <c r="AB2691" s="22"/>
    </row>
    <row r="2692" spans="1:28">
      <c r="A2692" s="19"/>
      <c r="B2692" s="12"/>
      <c r="C2692" s="24"/>
      <c r="D2692" s="12"/>
      <c r="E2692" s="23"/>
      <c r="F2692" s="17"/>
      <c r="G2692" s="17"/>
      <c r="Z2692" s="22"/>
      <c r="AB2692" s="22"/>
    </row>
    <row r="2693" spans="1:28">
      <c r="A2693" s="19"/>
      <c r="B2693" s="12"/>
      <c r="C2693" s="24"/>
      <c r="D2693" s="12"/>
      <c r="E2693" s="23"/>
      <c r="F2693" s="17"/>
      <c r="G2693" s="17"/>
      <c r="Z2693" s="22"/>
      <c r="AB2693" s="22"/>
    </row>
    <row r="2694" spans="1:28">
      <c r="A2694" s="19"/>
      <c r="B2694" s="12"/>
      <c r="C2694" s="24"/>
      <c r="D2694" s="12"/>
      <c r="E2694" s="23"/>
      <c r="F2694" s="17"/>
      <c r="G2694" s="17"/>
      <c r="Z2694" s="22"/>
      <c r="AB2694" s="22"/>
    </row>
    <row r="2695" spans="1:28">
      <c r="A2695" s="19"/>
      <c r="B2695" s="12"/>
      <c r="C2695" s="24"/>
      <c r="D2695" s="12"/>
      <c r="E2695" s="23"/>
      <c r="F2695" s="17"/>
      <c r="G2695" s="17"/>
      <c r="Z2695" s="22"/>
      <c r="AB2695" s="22"/>
    </row>
    <row r="2696" spans="1:28">
      <c r="A2696" s="19"/>
      <c r="B2696" s="12"/>
      <c r="C2696" s="24"/>
      <c r="D2696" s="12"/>
      <c r="E2696" s="23"/>
      <c r="F2696" s="17"/>
      <c r="G2696" s="17"/>
      <c r="Z2696" s="22"/>
      <c r="AB2696" s="22"/>
    </row>
    <row r="2697" spans="1:28">
      <c r="A2697" s="19"/>
      <c r="B2697" s="12"/>
      <c r="C2697" s="24"/>
      <c r="D2697" s="12"/>
      <c r="E2697" s="23"/>
      <c r="F2697" s="17"/>
      <c r="G2697" s="17"/>
      <c r="Z2697" s="22"/>
      <c r="AB2697" s="22"/>
    </row>
    <row r="2698" spans="1:28">
      <c r="A2698" s="19"/>
      <c r="B2698" s="12"/>
      <c r="C2698" s="24"/>
      <c r="D2698" s="12"/>
      <c r="E2698" s="23"/>
      <c r="F2698" s="17"/>
      <c r="G2698" s="17"/>
      <c r="Z2698" s="22"/>
      <c r="AB2698" s="22"/>
    </row>
    <row r="2699" spans="1:28">
      <c r="A2699" s="19"/>
      <c r="B2699" s="12"/>
      <c r="C2699" s="24"/>
      <c r="D2699" s="12"/>
      <c r="E2699" s="23"/>
      <c r="F2699" s="17"/>
      <c r="G2699" s="17"/>
      <c r="Z2699" s="22"/>
      <c r="AB2699" s="22"/>
    </row>
    <row r="2700" spans="1:28">
      <c r="A2700" s="19"/>
      <c r="B2700" s="12"/>
      <c r="C2700" s="24"/>
      <c r="D2700" s="12"/>
      <c r="E2700" s="23"/>
      <c r="F2700" s="17"/>
      <c r="G2700" s="17"/>
      <c r="Z2700" s="22"/>
      <c r="AB2700" s="22"/>
    </row>
    <row r="2701" spans="1:28">
      <c r="A2701" s="19"/>
      <c r="B2701" s="12"/>
      <c r="C2701" s="24"/>
      <c r="D2701" s="12"/>
      <c r="E2701" s="23"/>
      <c r="F2701" s="17"/>
      <c r="G2701" s="17"/>
      <c r="Z2701" s="22"/>
      <c r="AB2701" s="22"/>
    </row>
    <row r="2702" spans="1:28">
      <c r="A2702" s="19"/>
      <c r="B2702" s="12"/>
      <c r="C2702" s="24"/>
      <c r="D2702" s="12"/>
      <c r="E2702" s="23"/>
      <c r="F2702" s="17"/>
      <c r="G2702" s="17"/>
      <c r="Z2702" s="22"/>
      <c r="AB2702" s="22"/>
    </row>
    <row r="2703" spans="1:28">
      <c r="A2703" s="19"/>
      <c r="B2703" s="12"/>
      <c r="C2703" s="24"/>
      <c r="D2703" s="12"/>
      <c r="E2703" s="23"/>
      <c r="F2703" s="17"/>
      <c r="G2703" s="17"/>
      <c r="Z2703" s="22"/>
      <c r="AB2703" s="22"/>
    </row>
    <row r="2704" spans="1:28">
      <c r="A2704" s="19"/>
      <c r="B2704" s="12"/>
      <c r="C2704" s="24"/>
      <c r="D2704" s="12"/>
      <c r="E2704" s="23"/>
      <c r="F2704" s="17"/>
      <c r="G2704" s="17"/>
      <c r="Z2704" s="22"/>
      <c r="AB2704" s="22"/>
    </row>
    <row r="2705" spans="1:28">
      <c r="A2705" s="19"/>
      <c r="B2705" s="12"/>
      <c r="C2705" s="24"/>
      <c r="D2705" s="12"/>
      <c r="E2705" s="23"/>
      <c r="F2705" s="17"/>
      <c r="G2705" s="17"/>
      <c r="Z2705" s="22"/>
      <c r="AB2705" s="22"/>
    </row>
    <row r="2706" spans="1:28">
      <c r="A2706" s="19"/>
      <c r="B2706" s="12"/>
      <c r="C2706" s="24"/>
      <c r="D2706" s="12"/>
      <c r="E2706" s="23"/>
      <c r="F2706" s="17"/>
      <c r="G2706" s="17"/>
      <c r="Z2706" s="22"/>
      <c r="AB2706" s="22"/>
    </row>
    <row r="2707" spans="1:28">
      <c r="A2707" s="19"/>
      <c r="B2707" s="12"/>
      <c r="C2707" s="24"/>
      <c r="D2707" s="12"/>
      <c r="E2707" s="23"/>
      <c r="F2707" s="17"/>
      <c r="G2707" s="17"/>
      <c r="Z2707" s="22"/>
      <c r="AB2707" s="22"/>
    </row>
    <row r="2708" spans="1:28">
      <c r="A2708" s="19"/>
      <c r="B2708" s="12"/>
      <c r="C2708" s="24"/>
      <c r="D2708" s="12"/>
      <c r="E2708" s="23"/>
      <c r="F2708" s="17"/>
      <c r="G2708" s="17"/>
      <c r="Z2708" s="22"/>
      <c r="AB2708" s="22"/>
    </row>
    <row r="2709" spans="1:28">
      <c r="A2709" s="19"/>
      <c r="B2709" s="12"/>
      <c r="C2709" s="24"/>
      <c r="D2709" s="12"/>
      <c r="E2709" s="23"/>
      <c r="F2709" s="17"/>
      <c r="G2709" s="17"/>
      <c r="Z2709" s="22"/>
      <c r="AB2709" s="22"/>
    </row>
    <row r="2710" spans="1:28">
      <c r="A2710" s="19"/>
      <c r="B2710" s="12"/>
      <c r="C2710" s="24"/>
      <c r="D2710" s="12"/>
      <c r="E2710" s="23"/>
      <c r="F2710" s="17"/>
      <c r="G2710" s="17"/>
      <c r="Z2710" s="22"/>
      <c r="AB2710" s="22"/>
    </row>
    <row r="2711" spans="1:28">
      <c r="A2711" s="19"/>
      <c r="B2711" s="12"/>
      <c r="C2711" s="24"/>
      <c r="D2711" s="12"/>
      <c r="E2711" s="23"/>
      <c r="F2711" s="17"/>
      <c r="G2711" s="17"/>
      <c r="Z2711" s="22"/>
      <c r="AB2711" s="22"/>
    </row>
    <row r="2712" spans="1:28">
      <c r="A2712" s="19"/>
      <c r="B2712" s="12"/>
      <c r="C2712" s="24"/>
      <c r="D2712" s="12"/>
      <c r="E2712" s="23"/>
      <c r="F2712" s="17"/>
      <c r="G2712" s="17"/>
      <c r="Z2712" s="22"/>
      <c r="AB2712" s="22"/>
    </row>
    <row r="2713" spans="1:28">
      <c r="A2713" s="19"/>
      <c r="B2713" s="12"/>
      <c r="C2713" s="24"/>
      <c r="D2713" s="12"/>
      <c r="E2713" s="23"/>
      <c r="F2713" s="17"/>
      <c r="G2713" s="17"/>
      <c r="Z2713" s="22"/>
      <c r="AB2713" s="22"/>
    </row>
    <row r="2714" spans="1:28">
      <c r="A2714" s="19"/>
      <c r="B2714" s="12"/>
      <c r="C2714" s="24"/>
      <c r="D2714" s="12"/>
      <c r="E2714" s="23"/>
      <c r="F2714" s="17"/>
      <c r="G2714" s="17"/>
      <c r="Z2714" s="22"/>
      <c r="AB2714" s="22"/>
    </row>
    <row r="2715" spans="1:28">
      <c r="A2715" s="19"/>
      <c r="B2715" s="12"/>
      <c r="C2715" s="24"/>
      <c r="D2715" s="12"/>
      <c r="E2715" s="23"/>
      <c r="F2715" s="17"/>
      <c r="G2715" s="17"/>
      <c r="Z2715" s="22"/>
      <c r="AB2715" s="22"/>
    </row>
    <row r="2716" spans="1:28">
      <c r="A2716" s="19"/>
      <c r="B2716" s="12"/>
      <c r="C2716" s="24"/>
      <c r="D2716" s="12"/>
      <c r="E2716" s="23"/>
      <c r="F2716" s="17"/>
      <c r="G2716" s="17"/>
      <c r="Z2716" s="22"/>
      <c r="AB2716" s="22"/>
    </row>
    <row r="2717" spans="1:28">
      <c r="A2717" s="19"/>
      <c r="B2717" s="12"/>
      <c r="C2717" s="24"/>
      <c r="D2717" s="12"/>
      <c r="E2717" s="23"/>
      <c r="F2717" s="17"/>
      <c r="G2717" s="17"/>
      <c r="Z2717" s="22"/>
      <c r="AB2717" s="22"/>
    </row>
    <row r="2718" spans="1:28">
      <c r="A2718" s="19"/>
      <c r="B2718" s="12"/>
      <c r="C2718" s="24"/>
      <c r="D2718" s="12"/>
      <c r="E2718" s="23"/>
      <c r="F2718" s="17"/>
      <c r="G2718" s="17"/>
      <c r="Z2718" s="22"/>
      <c r="AB2718" s="22"/>
    </row>
    <row r="2719" spans="1:28">
      <c r="A2719" s="19"/>
      <c r="B2719" s="12"/>
      <c r="C2719" s="24"/>
      <c r="D2719" s="12"/>
      <c r="E2719" s="23"/>
      <c r="F2719" s="17"/>
      <c r="G2719" s="17"/>
      <c r="Z2719" s="22"/>
      <c r="AB2719" s="22"/>
    </row>
    <row r="2720" spans="1:28">
      <c r="A2720" s="19"/>
      <c r="B2720" s="12"/>
      <c r="C2720" s="24"/>
      <c r="D2720" s="12"/>
      <c r="E2720" s="23"/>
      <c r="F2720" s="17"/>
      <c r="G2720" s="17"/>
      <c r="Z2720" s="22"/>
      <c r="AB2720" s="22"/>
    </row>
    <row r="2721" spans="1:28">
      <c r="A2721" s="19"/>
      <c r="B2721" s="12"/>
      <c r="C2721" s="24"/>
      <c r="D2721" s="12"/>
      <c r="E2721" s="23"/>
      <c r="F2721" s="17"/>
      <c r="G2721" s="17"/>
      <c r="Z2721" s="22"/>
      <c r="AB2721" s="22"/>
    </row>
    <row r="2722" spans="1:28">
      <c r="A2722" s="19"/>
      <c r="B2722" s="12"/>
      <c r="C2722" s="24"/>
      <c r="D2722" s="12"/>
      <c r="E2722" s="23"/>
      <c r="F2722" s="17"/>
      <c r="G2722" s="17"/>
      <c r="Z2722" s="22"/>
      <c r="AB2722" s="22"/>
    </row>
    <row r="2723" spans="1:28">
      <c r="A2723" s="19"/>
      <c r="B2723" s="12"/>
      <c r="C2723" s="24"/>
      <c r="D2723" s="12"/>
      <c r="E2723" s="23"/>
      <c r="F2723" s="17"/>
      <c r="G2723" s="17"/>
      <c r="Z2723" s="22"/>
      <c r="AB2723" s="22"/>
    </row>
    <row r="2724" spans="1:28">
      <c r="A2724" s="19"/>
      <c r="B2724" s="12"/>
      <c r="C2724" s="24"/>
      <c r="D2724" s="12"/>
      <c r="E2724" s="23"/>
      <c r="F2724" s="17"/>
      <c r="G2724" s="17"/>
      <c r="Z2724" s="22"/>
      <c r="AB2724" s="22"/>
    </row>
    <row r="2725" spans="1:28">
      <c r="A2725" s="19"/>
      <c r="B2725" s="12"/>
      <c r="C2725" s="24"/>
      <c r="D2725" s="12"/>
      <c r="E2725" s="23"/>
      <c r="F2725" s="17"/>
      <c r="G2725" s="17"/>
      <c r="Z2725" s="22"/>
      <c r="AB2725" s="22"/>
    </row>
    <row r="2726" spans="1:28">
      <c r="A2726" s="19"/>
      <c r="B2726" s="12"/>
      <c r="C2726" s="24"/>
      <c r="D2726" s="12"/>
      <c r="E2726" s="23"/>
      <c r="F2726" s="17"/>
      <c r="G2726" s="17"/>
      <c r="Z2726" s="22"/>
      <c r="AB2726" s="22"/>
    </row>
    <row r="2727" spans="1:28">
      <c r="A2727" s="19"/>
      <c r="B2727" s="12"/>
      <c r="C2727" s="24"/>
      <c r="D2727" s="12"/>
      <c r="E2727" s="23"/>
      <c r="F2727" s="17"/>
      <c r="G2727" s="17"/>
      <c r="Z2727" s="22"/>
      <c r="AB2727" s="22"/>
    </row>
    <row r="2728" spans="1:28">
      <c r="A2728" s="19"/>
      <c r="B2728" s="12"/>
      <c r="C2728" s="24"/>
      <c r="D2728" s="12"/>
      <c r="E2728" s="23"/>
      <c r="F2728" s="17"/>
      <c r="G2728" s="17"/>
      <c r="Z2728" s="22"/>
      <c r="AB2728" s="22"/>
    </row>
    <row r="2729" spans="1:28">
      <c r="A2729" s="19"/>
      <c r="B2729" s="12"/>
      <c r="C2729" s="24"/>
      <c r="D2729" s="12"/>
      <c r="E2729" s="23"/>
      <c r="F2729" s="17"/>
      <c r="G2729" s="17"/>
      <c r="Z2729" s="22"/>
      <c r="AB2729" s="22"/>
    </row>
    <row r="2730" spans="1:28">
      <c r="A2730" s="19"/>
      <c r="B2730" s="12"/>
      <c r="C2730" s="24"/>
      <c r="D2730" s="12"/>
      <c r="E2730" s="23"/>
      <c r="F2730" s="17"/>
      <c r="G2730" s="17"/>
      <c r="Z2730" s="22"/>
      <c r="AB2730" s="22"/>
    </row>
    <row r="2731" spans="1:28">
      <c r="A2731" s="19"/>
      <c r="B2731" s="12"/>
      <c r="C2731" s="24"/>
      <c r="D2731" s="12"/>
      <c r="E2731" s="23"/>
      <c r="F2731" s="17"/>
      <c r="G2731" s="17"/>
      <c r="Z2731" s="22"/>
      <c r="AB2731" s="22"/>
    </row>
    <row r="2732" spans="1:28">
      <c r="A2732" s="19"/>
      <c r="B2732" s="12"/>
      <c r="C2732" s="24"/>
      <c r="D2732" s="12"/>
      <c r="E2732" s="23"/>
      <c r="F2732" s="17"/>
      <c r="G2732" s="17"/>
      <c r="Z2732" s="22"/>
      <c r="AB2732" s="22"/>
    </row>
    <row r="2733" spans="1:28">
      <c r="A2733" s="19"/>
      <c r="B2733" s="12"/>
      <c r="C2733" s="24"/>
      <c r="D2733" s="12"/>
      <c r="E2733" s="23"/>
      <c r="F2733" s="17"/>
      <c r="G2733" s="17"/>
      <c r="Z2733" s="22"/>
      <c r="AB2733" s="22"/>
    </row>
    <row r="2734" spans="1:28">
      <c r="A2734" s="19"/>
      <c r="B2734" s="12"/>
      <c r="C2734" s="24"/>
      <c r="D2734" s="12"/>
      <c r="E2734" s="23"/>
      <c r="F2734" s="17"/>
      <c r="G2734" s="17"/>
      <c r="Z2734" s="22"/>
      <c r="AB2734" s="22"/>
    </row>
    <row r="2735" spans="1:28">
      <c r="A2735" s="19"/>
      <c r="B2735" s="12"/>
      <c r="C2735" s="24"/>
      <c r="D2735" s="12"/>
      <c r="E2735" s="23"/>
      <c r="F2735" s="17"/>
      <c r="G2735" s="17"/>
      <c r="Z2735" s="22"/>
      <c r="AB2735" s="22"/>
    </row>
    <row r="2736" spans="1:28">
      <c r="A2736" s="19"/>
      <c r="B2736" s="12"/>
      <c r="C2736" s="24"/>
      <c r="D2736" s="12"/>
      <c r="E2736" s="23"/>
      <c r="F2736" s="17"/>
      <c r="G2736" s="17"/>
      <c r="Z2736" s="22"/>
      <c r="AB2736" s="22"/>
    </row>
    <row r="2737" spans="1:28">
      <c r="A2737" s="19"/>
      <c r="B2737" s="12"/>
      <c r="C2737" s="24"/>
      <c r="D2737" s="12"/>
      <c r="E2737" s="23"/>
      <c r="F2737" s="17"/>
      <c r="G2737" s="17"/>
      <c r="Z2737" s="22"/>
      <c r="AB2737" s="22"/>
    </row>
    <row r="2738" spans="1:28">
      <c r="A2738" s="19"/>
      <c r="B2738" s="12"/>
      <c r="C2738" s="24"/>
      <c r="D2738" s="12"/>
      <c r="E2738" s="23"/>
      <c r="F2738" s="17"/>
      <c r="G2738" s="17"/>
      <c r="Z2738" s="22"/>
      <c r="AB2738" s="22"/>
    </row>
    <row r="2739" spans="1:28">
      <c r="A2739" s="19"/>
      <c r="B2739" s="12"/>
      <c r="C2739" s="24"/>
      <c r="D2739" s="12"/>
      <c r="E2739" s="23"/>
      <c r="F2739" s="17"/>
      <c r="G2739" s="17"/>
      <c r="Z2739" s="22"/>
      <c r="AB2739" s="22"/>
    </row>
    <row r="2740" spans="1:28">
      <c r="A2740" s="19"/>
      <c r="B2740" s="12"/>
      <c r="C2740" s="24"/>
      <c r="D2740" s="12"/>
      <c r="E2740" s="23"/>
      <c r="F2740" s="17"/>
      <c r="G2740" s="17"/>
      <c r="Z2740" s="22"/>
      <c r="AB2740" s="22"/>
    </row>
    <row r="2741" spans="1:28">
      <c r="A2741" s="19"/>
      <c r="B2741" s="12"/>
      <c r="C2741" s="24"/>
      <c r="D2741" s="12"/>
      <c r="E2741" s="23"/>
      <c r="F2741" s="17"/>
      <c r="G2741" s="17"/>
      <c r="Z2741" s="22"/>
      <c r="AB2741" s="22"/>
    </row>
    <row r="2742" spans="1:28">
      <c r="A2742" s="19"/>
      <c r="B2742" s="12"/>
      <c r="C2742" s="24"/>
      <c r="D2742" s="12"/>
      <c r="E2742" s="23"/>
      <c r="F2742" s="17"/>
      <c r="G2742" s="17"/>
      <c r="Z2742" s="22"/>
      <c r="AB2742" s="22"/>
    </row>
    <row r="2743" spans="1:28">
      <c r="A2743" s="19"/>
      <c r="B2743" s="12"/>
      <c r="C2743" s="24"/>
      <c r="D2743" s="12"/>
      <c r="E2743" s="23"/>
      <c r="F2743" s="17"/>
      <c r="G2743" s="17"/>
      <c r="Z2743" s="22"/>
      <c r="AB2743" s="22"/>
    </row>
    <row r="2744" spans="1:28">
      <c r="A2744" s="19"/>
      <c r="B2744" s="12"/>
      <c r="C2744" s="24"/>
      <c r="D2744" s="12"/>
      <c r="E2744" s="23"/>
      <c r="F2744" s="17"/>
      <c r="G2744" s="17"/>
      <c r="Z2744" s="22"/>
      <c r="AB2744" s="22"/>
    </row>
    <row r="2745" spans="1:28">
      <c r="A2745" s="19"/>
      <c r="B2745" s="12"/>
      <c r="C2745" s="24"/>
      <c r="D2745" s="12"/>
      <c r="E2745" s="23"/>
      <c r="F2745" s="17"/>
      <c r="G2745" s="17"/>
      <c r="Z2745" s="22"/>
      <c r="AB2745" s="22"/>
    </row>
    <row r="2746" spans="1:28">
      <c r="A2746" s="19"/>
      <c r="B2746" s="12"/>
      <c r="C2746" s="24"/>
      <c r="D2746" s="12"/>
      <c r="E2746" s="23"/>
      <c r="F2746" s="17"/>
      <c r="G2746" s="17"/>
      <c r="Z2746" s="22"/>
      <c r="AB2746" s="22"/>
    </row>
    <row r="2747" spans="1:28">
      <c r="A2747" s="19"/>
      <c r="B2747" s="12"/>
      <c r="C2747" s="24"/>
      <c r="D2747" s="12"/>
      <c r="E2747" s="23"/>
      <c r="F2747" s="17"/>
      <c r="G2747" s="17"/>
      <c r="Z2747" s="22"/>
      <c r="AB2747" s="22"/>
    </row>
    <row r="2748" spans="1:28">
      <c r="A2748" s="19"/>
      <c r="B2748" s="12"/>
      <c r="C2748" s="24"/>
      <c r="D2748" s="12"/>
      <c r="E2748" s="23"/>
      <c r="F2748" s="17"/>
      <c r="G2748" s="17"/>
      <c r="Z2748" s="22"/>
      <c r="AB2748" s="22"/>
    </row>
    <row r="2749" spans="1:28">
      <c r="A2749" s="19"/>
      <c r="B2749" s="12"/>
      <c r="C2749" s="24"/>
      <c r="D2749" s="12"/>
      <c r="E2749" s="23"/>
      <c r="F2749" s="17"/>
      <c r="G2749" s="17"/>
      <c r="Z2749" s="22"/>
      <c r="AB2749" s="22"/>
    </row>
    <row r="2750" spans="1:28">
      <c r="A2750" s="19"/>
      <c r="B2750" s="12"/>
      <c r="C2750" s="24"/>
      <c r="D2750" s="12"/>
      <c r="E2750" s="23"/>
      <c r="F2750" s="17"/>
      <c r="G2750" s="17"/>
      <c r="Z2750" s="22"/>
      <c r="AB2750" s="22"/>
    </row>
    <row r="2751" spans="1:28">
      <c r="A2751" s="19"/>
      <c r="B2751" s="12"/>
      <c r="C2751" s="24"/>
      <c r="D2751" s="12"/>
      <c r="E2751" s="23"/>
      <c r="F2751" s="17"/>
      <c r="G2751" s="17"/>
      <c r="Z2751" s="22"/>
      <c r="AB2751" s="22"/>
    </row>
    <row r="2752" spans="1:28">
      <c r="A2752" s="19"/>
      <c r="B2752" s="12"/>
      <c r="C2752" s="24"/>
      <c r="D2752" s="12"/>
      <c r="E2752" s="23"/>
      <c r="F2752" s="17"/>
      <c r="G2752" s="17"/>
      <c r="Z2752" s="22"/>
      <c r="AB2752" s="22"/>
    </row>
    <row r="2753" spans="1:28">
      <c r="A2753" s="19"/>
      <c r="B2753" s="12"/>
      <c r="C2753" s="24"/>
      <c r="D2753" s="12"/>
      <c r="E2753" s="23"/>
      <c r="F2753" s="17"/>
      <c r="G2753" s="17"/>
      <c r="Z2753" s="22"/>
      <c r="AB2753" s="22"/>
    </row>
    <row r="2754" spans="1:28">
      <c r="A2754" s="19"/>
      <c r="B2754" s="12"/>
      <c r="C2754" s="24"/>
      <c r="D2754" s="12"/>
      <c r="E2754" s="23"/>
      <c r="F2754" s="17"/>
      <c r="G2754" s="17"/>
      <c r="Z2754" s="22"/>
      <c r="AB2754" s="22"/>
    </row>
    <row r="2755" spans="1:28">
      <c r="A2755" s="19"/>
      <c r="B2755" s="12"/>
      <c r="C2755" s="24"/>
      <c r="D2755" s="12"/>
      <c r="E2755" s="23"/>
      <c r="F2755" s="17"/>
      <c r="G2755" s="17"/>
      <c r="Z2755" s="22"/>
      <c r="AB2755" s="22"/>
    </row>
    <row r="2756" spans="1:28">
      <c r="A2756" s="19"/>
      <c r="B2756" s="12"/>
      <c r="C2756" s="24"/>
      <c r="D2756" s="12"/>
      <c r="E2756" s="23"/>
      <c r="F2756" s="17"/>
      <c r="G2756" s="17"/>
      <c r="Z2756" s="22"/>
      <c r="AB2756" s="22"/>
    </row>
    <row r="2757" spans="1:28">
      <c r="A2757" s="19"/>
      <c r="B2757" s="12"/>
      <c r="C2757" s="24"/>
      <c r="D2757" s="12"/>
      <c r="E2757" s="23"/>
      <c r="F2757" s="17"/>
      <c r="G2757" s="17"/>
      <c r="Z2757" s="22"/>
      <c r="AB2757" s="22"/>
    </row>
    <row r="2758" spans="1:28">
      <c r="A2758" s="19"/>
      <c r="B2758" s="12"/>
      <c r="C2758" s="24"/>
      <c r="D2758" s="12"/>
      <c r="E2758" s="23"/>
      <c r="F2758" s="17"/>
      <c r="G2758" s="17"/>
      <c r="Z2758" s="22"/>
      <c r="AB2758" s="22"/>
    </row>
    <row r="2759" spans="1:28">
      <c r="A2759" s="19"/>
      <c r="B2759" s="12"/>
      <c r="C2759" s="24"/>
      <c r="D2759" s="12"/>
      <c r="E2759" s="23"/>
      <c r="F2759" s="17"/>
      <c r="G2759" s="17"/>
      <c r="Z2759" s="22"/>
      <c r="AB2759" s="22"/>
    </row>
    <row r="2760" spans="1:28">
      <c r="A2760" s="19"/>
      <c r="B2760" s="12"/>
      <c r="C2760" s="24"/>
      <c r="D2760" s="12"/>
      <c r="E2760" s="23"/>
      <c r="F2760" s="17"/>
      <c r="G2760" s="17"/>
      <c r="Z2760" s="22"/>
      <c r="AB2760" s="22"/>
    </row>
    <row r="2761" spans="1:28">
      <c r="A2761" s="19"/>
      <c r="B2761" s="12"/>
      <c r="C2761" s="24"/>
      <c r="D2761" s="12"/>
      <c r="E2761" s="23"/>
      <c r="F2761" s="17"/>
      <c r="G2761" s="17"/>
      <c r="Z2761" s="22"/>
      <c r="AB2761" s="22"/>
    </row>
    <row r="2762" spans="1:28">
      <c r="A2762" s="19"/>
      <c r="B2762" s="12"/>
      <c r="C2762" s="24"/>
      <c r="D2762" s="12"/>
      <c r="E2762" s="23"/>
      <c r="F2762" s="17"/>
      <c r="G2762" s="17"/>
      <c r="Z2762" s="22"/>
      <c r="AB2762" s="22"/>
    </row>
    <row r="2763" spans="1:28">
      <c r="A2763" s="19"/>
      <c r="B2763" s="12"/>
      <c r="C2763" s="24"/>
      <c r="D2763" s="12"/>
      <c r="E2763" s="23"/>
      <c r="F2763" s="17"/>
      <c r="G2763" s="17"/>
      <c r="Z2763" s="22"/>
      <c r="AB2763" s="22"/>
    </row>
    <row r="2764" spans="1:28">
      <c r="A2764" s="19"/>
      <c r="B2764" s="12"/>
      <c r="C2764" s="24"/>
      <c r="D2764" s="12"/>
      <c r="E2764" s="23"/>
      <c r="F2764" s="17"/>
      <c r="G2764" s="17"/>
      <c r="Z2764" s="22"/>
      <c r="AB2764" s="22"/>
    </row>
    <row r="2765" spans="1:28">
      <c r="A2765" s="19"/>
      <c r="B2765" s="12"/>
      <c r="C2765" s="24"/>
      <c r="D2765" s="12"/>
      <c r="E2765" s="23"/>
      <c r="F2765" s="17"/>
      <c r="G2765" s="17"/>
      <c r="Z2765" s="22"/>
      <c r="AB2765" s="22"/>
    </row>
    <row r="2766" spans="1:28">
      <c r="A2766" s="19"/>
      <c r="B2766" s="12"/>
      <c r="C2766" s="24"/>
      <c r="D2766" s="12"/>
      <c r="E2766" s="23"/>
      <c r="F2766" s="17"/>
      <c r="G2766" s="17"/>
      <c r="Z2766" s="22"/>
      <c r="AB2766" s="22"/>
    </row>
    <row r="2767" spans="1:28">
      <c r="A2767" s="19"/>
      <c r="B2767" s="12"/>
      <c r="C2767" s="24"/>
      <c r="D2767" s="12"/>
      <c r="E2767" s="23"/>
      <c r="F2767" s="17"/>
      <c r="G2767" s="17"/>
      <c r="Z2767" s="22"/>
      <c r="AB2767" s="22"/>
    </row>
    <row r="2768" spans="1:28">
      <c r="A2768" s="19"/>
      <c r="B2768" s="12"/>
      <c r="C2768" s="24"/>
      <c r="D2768" s="12"/>
      <c r="E2768" s="23"/>
      <c r="F2768" s="17"/>
      <c r="G2768" s="17"/>
      <c r="Z2768" s="22"/>
      <c r="AB2768" s="22"/>
    </row>
    <row r="2769" spans="1:28">
      <c r="A2769" s="19"/>
      <c r="B2769" s="12"/>
      <c r="C2769" s="24"/>
      <c r="D2769" s="12"/>
      <c r="E2769" s="23"/>
      <c r="F2769" s="17"/>
      <c r="G2769" s="17"/>
      <c r="Z2769" s="22"/>
      <c r="AB2769" s="22"/>
    </row>
    <row r="2770" spans="1:28">
      <c r="A2770" s="19"/>
      <c r="B2770" s="12"/>
      <c r="C2770" s="24"/>
      <c r="D2770" s="12"/>
      <c r="E2770" s="23"/>
      <c r="F2770" s="17"/>
      <c r="G2770" s="17"/>
      <c r="Z2770" s="22"/>
      <c r="AB2770" s="22"/>
    </row>
    <row r="2771" spans="1:28">
      <c r="A2771" s="19"/>
      <c r="B2771" s="12"/>
      <c r="C2771" s="24"/>
      <c r="D2771" s="12"/>
      <c r="E2771" s="23"/>
      <c r="F2771" s="17"/>
      <c r="G2771" s="17"/>
      <c r="Z2771" s="22"/>
      <c r="AB2771" s="22"/>
    </row>
    <row r="2772" spans="1:28">
      <c r="A2772" s="19"/>
      <c r="B2772" s="12"/>
      <c r="C2772" s="24"/>
      <c r="D2772" s="12"/>
      <c r="E2772" s="23"/>
      <c r="F2772" s="17"/>
      <c r="G2772" s="17"/>
      <c r="Z2772" s="22"/>
      <c r="AB2772" s="22"/>
    </row>
    <row r="2773" spans="1:28">
      <c r="A2773" s="19"/>
      <c r="B2773" s="12"/>
      <c r="C2773" s="24"/>
      <c r="D2773" s="12"/>
      <c r="E2773" s="23"/>
      <c r="F2773" s="17"/>
      <c r="G2773" s="17"/>
      <c r="Z2773" s="22"/>
      <c r="AB2773" s="22"/>
    </row>
    <row r="2774" spans="1:28">
      <c r="A2774" s="19"/>
      <c r="B2774" s="12"/>
      <c r="C2774" s="24"/>
      <c r="D2774" s="12"/>
      <c r="E2774" s="23"/>
      <c r="F2774" s="17"/>
      <c r="G2774" s="17"/>
      <c r="Z2774" s="22"/>
      <c r="AB2774" s="22"/>
    </row>
    <row r="2775" spans="1:28">
      <c r="A2775" s="19"/>
      <c r="B2775" s="12"/>
      <c r="C2775" s="24"/>
      <c r="D2775" s="12"/>
      <c r="E2775" s="23"/>
      <c r="F2775" s="17"/>
      <c r="G2775" s="17"/>
      <c r="Z2775" s="22"/>
      <c r="AB2775" s="22"/>
    </row>
    <row r="2776" spans="1:28">
      <c r="A2776" s="19"/>
      <c r="B2776" s="12"/>
      <c r="C2776" s="24"/>
      <c r="D2776" s="12"/>
      <c r="E2776" s="23"/>
      <c r="F2776" s="17"/>
      <c r="G2776" s="17"/>
      <c r="Z2776" s="22"/>
      <c r="AB2776" s="22"/>
    </row>
    <row r="2777" spans="1:28">
      <c r="A2777" s="19"/>
      <c r="B2777" s="12"/>
      <c r="C2777" s="24"/>
      <c r="D2777" s="12"/>
      <c r="E2777" s="23"/>
      <c r="F2777" s="17"/>
      <c r="G2777" s="17"/>
      <c r="Z2777" s="22"/>
      <c r="AB2777" s="22"/>
    </row>
    <row r="2778" spans="1:28">
      <c r="A2778" s="19"/>
      <c r="B2778" s="12"/>
      <c r="C2778" s="24"/>
      <c r="D2778" s="12"/>
      <c r="E2778" s="23"/>
      <c r="F2778" s="17"/>
      <c r="G2778" s="17"/>
      <c r="Z2778" s="22"/>
      <c r="AB2778" s="22"/>
    </row>
    <row r="2779" spans="1:28">
      <c r="A2779" s="19"/>
      <c r="B2779" s="12"/>
      <c r="C2779" s="24"/>
      <c r="D2779" s="12"/>
      <c r="E2779" s="23"/>
      <c r="F2779" s="17"/>
      <c r="G2779" s="17"/>
      <c r="Z2779" s="22"/>
      <c r="AB2779" s="22"/>
    </row>
    <row r="2780" spans="1:28">
      <c r="A2780" s="19"/>
      <c r="B2780" s="12"/>
      <c r="C2780" s="24"/>
      <c r="D2780" s="12"/>
      <c r="E2780" s="23"/>
      <c r="F2780" s="17"/>
      <c r="G2780" s="17"/>
      <c r="Z2780" s="22"/>
      <c r="AB2780" s="22"/>
    </row>
    <row r="2781" spans="1:28">
      <c r="A2781" s="19"/>
      <c r="B2781" s="12"/>
      <c r="C2781" s="24"/>
      <c r="D2781" s="12"/>
      <c r="E2781" s="23"/>
      <c r="F2781" s="17"/>
      <c r="G2781" s="17"/>
      <c r="Z2781" s="22"/>
      <c r="AB2781" s="22"/>
    </row>
    <row r="2782" spans="1:28">
      <c r="A2782" s="19"/>
      <c r="B2782" s="12"/>
      <c r="C2782" s="24"/>
      <c r="D2782" s="12"/>
      <c r="E2782" s="23"/>
      <c r="F2782" s="17"/>
      <c r="G2782" s="17"/>
      <c r="Z2782" s="22"/>
      <c r="AB2782" s="22"/>
    </row>
    <row r="2783" spans="1:28">
      <c r="A2783" s="19"/>
      <c r="B2783" s="12"/>
      <c r="C2783" s="24"/>
      <c r="D2783" s="12"/>
      <c r="E2783" s="23"/>
      <c r="F2783" s="17"/>
      <c r="G2783" s="17"/>
      <c r="Z2783" s="22"/>
      <c r="AB2783" s="22"/>
    </row>
    <row r="2784" spans="1:28">
      <c r="A2784" s="19"/>
      <c r="B2784" s="12"/>
      <c r="C2784" s="24"/>
      <c r="D2784" s="12"/>
      <c r="E2784" s="23"/>
      <c r="F2784" s="17"/>
      <c r="G2784" s="17"/>
      <c r="Z2784" s="22"/>
      <c r="AB2784" s="22"/>
    </row>
    <row r="2785" spans="1:28">
      <c r="A2785" s="19"/>
      <c r="B2785" s="12"/>
      <c r="C2785" s="24"/>
      <c r="D2785" s="12"/>
      <c r="E2785" s="23"/>
      <c r="F2785" s="17"/>
      <c r="G2785" s="17"/>
      <c r="Z2785" s="22"/>
      <c r="AB2785" s="22"/>
    </row>
    <row r="2786" spans="1:28">
      <c r="A2786" s="19"/>
      <c r="B2786" s="12"/>
      <c r="C2786" s="24"/>
      <c r="D2786" s="12"/>
      <c r="E2786" s="23"/>
      <c r="F2786" s="17"/>
      <c r="G2786" s="17"/>
      <c r="Z2786" s="22"/>
      <c r="AB2786" s="22"/>
    </row>
    <row r="2787" spans="1:28">
      <c r="A2787" s="19"/>
      <c r="B2787" s="12"/>
      <c r="C2787" s="24"/>
      <c r="D2787" s="12"/>
      <c r="E2787" s="23"/>
      <c r="F2787" s="17"/>
      <c r="G2787" s="17"/>
      <c r="Z2787" s="22"/>
      <c r="AB2787" s="22"/>
    </row>
    <row r="2788" spans="1:28">
      <c r="A2788" s="19"/>
      <c r="B2788" s="12"/>
      <c r="C2788" s="24"/>
      <c r="D2788" s="12"/>
      <c r="E2788" s="23"/>
      <c r="F2788" s="17"/>
      <c r="G2788" s="17"/>
      <c r="Z2788" s="22"/>
      <c r="AB2788" s="22"/>
    </row>
    <row r="2789" spans="1:28">
      <c r="A2789" s="19"/>
      <c r="B2789" s="12"/>
      <c r="C2789" s="24"/>
      <c r="D2789" s="12"/>
      <c r="E2789" s="23"/>
      <c r="F2789" s="17"/>
      <c r="G2789" s="17"/>
      <c r="Z2789" s="22"/>
      <c r="AB2789" s="22"/>
    </row>
    <row r="2790" spans="1:28">
      <c r="A2790" s="19"/>
      <c r="B2790" s="12"/>
      <c r="C2790" s="24"/>
      <c r="D2790" s="12"/>
      <c r="E2790" s="23"/>
      <c r="F2790" s="17"/>
      <c r="G2790" s="17"/>
      <c r="Z2790" s="22"/>
      <c r="AB2790" s="22"/>
    </row>
    <row r="2791" spans="1:28">
      <c r="A2791" s="19"/>
      <c r="B2791" s="12"/>
      <c r="C2791" s="24"/>
      <c r="D2791" s="12"/>
      <c r="E2791" s="23"/>
      <c r="F2791" s="17"/>
      <c r="G2791" s="17"/>
      <c r="Z2791" s="22"/>
      <c r="AB2791" s="22"/>
    </row>
    <row r="2792" spans="1:28">
      <c r="A2792" s="19"/>
      <c r="B2792" s="12"/>
      <c r="C2792" s="24"/>
      <c r="D2792" s="12"/>
      <c r="E2792" s="23"/>
      <c r="F2792" s="17"/>
      <c r="G2792" s="17"/>
      <c r="Z2792" s="22"/>
      <c r="AB2792" s="22"/>
    </row>
    <row r="2793" spans="1:28">
      <c r="A2793" s="19"/>
      <c r="B2793" s="12"/>
      <c r="C2793" s="24"/>
      <c r="D2793" s="12"/>
      <c r="E2793" s="23"/>
      <c r="F2793" s="17"/>
      <c r="G2793" s="17"/>
      <c r="Z2793" s="22"/>
      <c r="AB2793" s="22"/>
    </row>
    <row r="2794" spans="1:28">
      <c r="A2794" s="19"/>
      <c r="B2794" s="12"/>
      <c r="C2794" s="24"/>
      <c r="D2794" s="12"/>
      <c r="E2794" s="23"/>
      <c r="F2794" s="17"/>
      <c r="G2794" s="17"/>
      <c r="Z2794" s="22"/>
      <c r="AB2794" s="22"/>
    </row>
    <row r="2795" spans="1:28">
      <c r="A2795" s="19"/>
      <c r="B2795" s="12"/>
      <c r="C2795" s="24"/>
      <c r="D2795" s="12"/>
      <c r="E2795" s="23"/>
      <c r="F2795" s="17"/>
      <c r="G2795" s="17"/>
      <c r="Z2795" s="22"/>
      <c r="AB2795" s="22"/>
    </row>
    <row r="2796" spans="1:28">
      <c r="A2796" s="19"/>
      <c r="B2796" s="12"/>
      <c r="C2796" s="24"/>
      <c r="D2796" s="12"/>
      <c r="E2796" s="23"/>
      <c r="F2796" s="17"/>
      <c r="G2796" s="17"/>
      <c r="Z2796" s="22"/>
      <c r="AB2796" s="22"/>
    </row>
    <row r="2797" spans="1:28">
      <c r="A2797" s="19"/>
      <c r="B2797" s="12"/>
      <c r="C2797" s="24"/>
      <c r="D2797" s="12"/>
      <c r="E2797" s="23"/>
      <c r="F2797" s="17"/>
      <c r="G2797" s="17"/>
      <c r="Z2797" s="22"/>
      <c r="AB2797" s="22"/>
    </row>
    <row r="2798" spans="1:28">
      <c r="A2798" s="19"/>
      <c r="B2798" s="12"/>
      <c r="C2798" s="24"/>
      <c r="D2798" s="12"/>
      <c r="E2798" s="23"/>
      <c r="F2798" s="17"/>
      <c r="G2798" s="17"/>
      <c r="Z2798" s="22"/>
      <c r="AB2798" s="22"/>
    </row>
    <row r="2799" spans="1:28">
      <c r="A2799" s="19"/>
      <c r="B2799" s="12"/>
      <c r="C2799" s="24"/>
      <c r="D2799" s="12"/>
      <c r="E2799" s="23"/>
      <c r="F2799" s="17"/>
      <c r="G2799" s="17"/>
      <c r="Z2799" s="22"/>
      <c r="AB2799" s="22"/>
    </row>
    <row r="2800" spans="1:28">
      <c r="A2800" s="19"/>
      <c r="B2800" s="12"/>
      <c r="C2800" s="24"/>
      <c r="D2800" s="12"/>
      <c r="E2800" s="23"/>
      <c r="F2800" s="17"/>
      <c r="G2800" s="17"/>
      <c r="Z2800" s="22"/>
      <c r="AB2800" s="22"/>
    </row>
    <row r="2801" spans="1:28">
      <c r="A2801" s="19"/>
      <c r="B2801" s="12"/>
      <c r="C2801" s="24"/>
      <c r="D2801" s="12"/>
      <c r="E2801" s="23"/>
      <c r="F2801" s="17"/>
      <c r="G2801" s="17"/>
      <c r="Z2801" s="22"/>
      <c r="AB2801" s="22"/>
    </row>
    <row r="2802" spans="1:28">
      <c r="A2802" s="19"/>
      <c r="B2802" s="12"/>
      <c r="C2802" s="24"/>
      <c r="D2802" s="12"/>
      <c r="E2802" s="23"/>
      <c r="F2802" s="17"/>
      <c r="G2802" s="17"/>
      <c r="Z2802" s="22"/>
      <c r="AB2802" s="22"/>
    </row>
    <row r="2803" spans="1:28">
      <c r="A2803" s="19"/>
      <c r="B2803" s="12"/>
      <c r="C2803" s="24"/>
      <c r="D2803" s="12"/>
      <c r="E2803" s="23"/>
      <c r="F2803" s="17"/>
      <c r="G2803" s="17"/>
      <c r="Z2803" s="22"/>
      <c r="AB2803" s="22"/>
    </row>
    <row r="2804" spans="1:28">
      <c r="A2804" s="19"/>
      <c r="B2804" s="12"/>
      <c r="C2804" s="24"/>
      <c r="D2804" s="12"/>
      <c r="E2804" s="23"/>
      <c r="F2804" s="17"/>
      <c r="G2804" s="17"/>
      <c r="Z2804" s="22"/>
      <c r="AB2804" s="22"/>
    </row>
    <row r="2805" spans="1:28">
      <c r="A2805" s="19"/>
      <c r="B2805" s="12"/>
      <c r="C2805" s="24"/>
      <c r="D2805" s="12"/>
      <c r="E2805" s="23"/>
      <c r="F2805" s="17"/>
      <c r="G2805" s="17"/>
      <c r="Z2805" s="22"/>
      <c r="AB2805" s="22"/>
    </row>
    <row r="2806" spans="1:28">
      <c r="A2806" s="19"/>
      <c r="B2806" s="12"/>
      <c r="C2806" s="24"/>
      <c r="D2806" s="12"/>
      <c r="E2806" s="23"/>
      <c r="F2806" s="17"/>
      <c r="G2806" s="17"/>
      <c r="Z2806" s="22"/>
      <c r="AB2806" s="22"/>
    </row>
    <row r="2807" spans="1:28">
      <c r="A2807" s="19"/>
      <c r="B2807" s="12"/>
      <c r="C2807" s="24"/>
      <c r="D2807" s="12"/>
      <c r="E2807" s="23"/>
      <c r="F2807" s="17"/>
      <c r="G2807" s="17"/>
      <c r="Z2807" s="22"/>
      <c r="AB2807" s="22"/>
    </row>
    <row r="2808" spans="1:28">
      <c r="A2808" s="19"/>
      <c r="B2808" s="12"/>
      <c r="C2808" s="24"/>
      <c r="D2808" s="12"/>
      <c r="E2808" s="23"/>
      <c r="F2808" s="17"/>
      <c r="G2808" s="17"/>
      <c r="Z2808" s="22"/>
      <c r="AB2808" s="22"/>
    </row>
    <row r="2809" spans="1:28">
      <c r="A2809" s="19"/>
      <c r="B2809" s="12"/>
      <c r="C2809" s="24"/>
      <c r="D2809" s="12"/>
      <c r="E2809" s="23"/>
      <c r="F2809" s="17"/>
      <c r="G2809" s="17"/>
      <c r="Z2809" s="22"/>
      <c r="AB2809" s="22"/>
    </row>
    <row r="2810" spans="1:28">
      <c r="A2810" s="19"/>
      <c r="B2810" s="12"/>
      <c r="C2810" s="24"/>
      <c r="D2810" s="12"/>
      <c r="E2810" s="23"/>
      <c r="F2810" s="17"/>
      <c r="G2810" s="17"/>
      <c r="Z2810" s="22"/>
      <c r="AB2810" s="22"/>
    </row>
    <row r="2811" spans="1:28">
      <c r="A2811" s="19"/>
      <c r="B2811" s="12"/>
      <c r="C2811" s="24"/>
      <c r="D2811" s="12"/>
      <c r="E2811" s="23"/>
      <c r="F2811" s="17"/>
      <c r="G2811" s="17"/>
      <c r="Z2811" s="22"/>
      <c r="AB2811" s="22"/>
    </row>
    <row r="2812" spans="1:28">
      <c r="A2812" s="19"/>
      <c r="B2812" s="12"/>
      <c r="C2812" s="24"/>
      <c r="D2812" s="12"/>
      <c r="E2812" s="23"/>
      <c r="F2812" s="17"/>
      <c r="G2812" s="17"/>
      <c r="Z2812" s="22"/>
      <c r="AB2812" s="22"/>
    </row>
    <row r="2813" spans="1:28">
      <c r="A2813" s="19"/>
      <c r="B2813" s="12"/>
      <c r="C2813" s="24"/>
      <c r="D2813" s="12"/>
      <c r="E2813" s="23"/>
      <c r="F2813" s="17"/>
      <c r="G2813" s="17"/>
      <c r="Z2813" s="22"/>
      <c r="AB2813" s="22"/>
    </row>
    <row r="2814" spans="1:28">
      <c r="A2814" s="19"/>
      <c r="B2814" s="12"/>
      <c r="C2814" s="24"/>
      <c r="D2814" s="12"/>
      <c r="E2814" s="23"/>
      <c r="F2814" s="17"/>
      <c r="G2814" s="17"/>
      <c r="Z2814" s="22"/>
      <c r="AB2814" s="22"/>
    </row>
    <row r="2815" spans="1:28">
      <c r="A2815" s="19"/>
      <c r="B2815" s="12"/>
      <c r="C2815" s="24"/>
      <c r="D2815" s="12"/>
      <c r="E2815" s="23"/>
      <c r="F2815" s="17"/>
      <c r="G2815" s="17"/>
      <c r="Z2815" s="22"/>
      <c r="AB2815" s="22"/>
    </row>
    <row r="2816" spans="1:28">
      <c r="A2816" s="19"/>
      <c r="B2816" s="12"/>
      <c r="C2816" s="24"/>
      <c r="D2816" s="12"/>
      <c r="E2816" s="23"/>
      <c r="F2816" s="17"/>
      <c r="G2816" s="17"/>
      <c r="Z2816" s="22"/>
      <c r="AB2816" s="22"/>
    </row>
    <row r="2817" spans="1:28">
      <c r="A2817" s="19"/>
      <c r="B2817" s="12"/>
      <c r="C2817" s="24"/>
      <c r="D2817" s="12"/>
      <c r="E2817" s="23"/>
      <c r="F2817" s="17"/>
      <c r="G2817" s="17"/>
      <c r="Z2817" s="22"/>
      <c r="AB2817" s="22"/>
    </row>
    <row r="2818" spans="1:28">
      <c r="A2818" s="19"/>
      <c r="B2818" s="12"/>
      <c r="C2818" s="24"/>
      <c r="D2818" s="12"/>
      <c r="E2818" s="23"/>
      <c r="F2818" s="17"/>
      <c r="G2818" s="17"/>
      <c r="Z2818" s="22"/>
      <c r="AB2818" s="22"/>
    </row>
    <row r="2819" spans="1:28">
      <c r="A2819" s="19"/>
      <c r="B2819" s="12"/>
      <c r="C2819" s="24"/>
      <c r="D2819" s="12"/>
      <c r="E2819" s="23"/>
      <c r="F2819" s="17"/>
      <c r="G2819" s="17"/>
      <c r="Z2819" s="22"/>
      <c r="AB2819" s="22"/>
    </row>
    <row r="2820" spans="1:28">
      <c r="A2820" s="19"/>
      <c r="B2820" s="12"/>
      <c r="C2820" s="24"/>
      <c r="D2820" s="12"/>
      <c r="E2820" s="23"/>
      <c r="F2820" s="17"/>
      <c r="G2820" s="17"/>
      <c r="Z2820" s="22"/>
      <c r="AB2820" s="22"/>
    </row>
    <row r="2821" spans="1:28">
      <c r="A2821" s="19"/>
      <c r="B2821" s="12"/>
      <c r="C2821" s="24"/>
      <c r="D2821" s="12"/>
      <c r="E2821" s="23"/>
      <c r="F2821" s="17"/>
      <c r="G2821" s="17"/>
      <c r="Z2821" s="22"/>
      <c r="AB2821" s="22"/>
    </row>
    <row r="2822" spans="1:28">
      <c r="A2822" s="19"/>
      <c r="B2822" s="12"/>
      <c r="C2822" s="24"/>
      <c r="D2822" s="12"/>
      <c r="E2822" s="23"/>
      <c r="F2822" s="17"/>
      <c r="G2822" s="17"/>
      <c r="Z2822" s="22"/>
      <c r="AB2822" s="22"/>
    </row>
    <row r="2823" spans="1:28">
      <c r="A2823" s="19"/>
      <c r="B2823" s="12"/>
      <c r="C2823" s="24"/>
      <c r="D2823" s="12"/>
      <c r="E2823" s="23"/>
      <c r="F2823" s="17"/>
      <c r="G2823" s="17"/>
      <c r="Z2823" s="22"/>
      <c r="AB2823" s="22"/>
    </row>
    <row r="2824" spans="1:28">
      <c r="A2824" s="19"/>
      <c r="B2824" s="12"/>
      <c r="C2824" s="24"/>
      <c r="D2824" s="12"/>
      <c r="E2824" s="23"/>
      <c r="F2824" s="17"/>
      <c r="G2824" s="17"/>
      <c r="Z2824" s="22"/>
      <c r="AB2824" s="22"/>
    </row>
    <row r="2825" spans="1:28">
      <c r="A2825" s="19"/>
      <c r="B2825" s="12"/>
      <c r="C2825" s="24"/>
      <c r="D2825" s="12"/>
      <c r="E2825" s="23"/>
      <c r="F2825" s="17"/>
      <c r="G2825" s="17"/>
      <c r="Z2825" s="22"/>
      <c r="AB2825" s="22"/>
    </row>
    <row r="2826" spans="1:28">
      <c r="A2826" s="19"/>
      <c r="B2826" s="12"/>
      <c r="C2826" s="24"/>
      <c r="D2826" s="12"/>
      <c r="E2826" s="23"/>
      <c r="F2826" s="17"/>
      <c r="G2826" s="17"/>
      <c r="Z2826" s="22"/>
      <c r="AB2826" s="22"/>
    </row>
    <row r="2827" spans="1:28">
      <c r="A2827" s="19"/>
      <c r="B2827" s="12"/>
      <c r="C2827" s="24"/>
      <c r="D2827" s="12"/>
      <c r="E2827" s="23"/>
      <c r="F2827" s="17"/>
      <c r="G2827" s="17"/>
      <c r="Z2827" s="22"/>
      <c r="AB2827" s="22"/>
    </row>
    <row r="2828" spans="1:28">
      <c r="A2828" s="19"/>
      <c r="B2828" s="12"/>
      <c r="C2828" s="24"/>
      <c r="D2828" s="12"/>
      <c r="E2828" s="23"/>
      <c r="F2828" s="17"/>
      <c r="G2828" s="17"/>
      <c r="Z2828" s="22"/>
      <c r="AB2828" s="22"/>
    </row>
    <row r="2829" spans="1:28">
      <c r="A2829" s="19"/>
      <c r="B2829" s="12"/>
      <c r="C2829" s="24"/>
      <c r="D2829" s="12"/>
      <c r="E2829" s="23"/>
      <c r="F2829" s="17"/>
      <c r="G2829" s="17"/>
      <c r="Z2829" s="22"/>
      <c r="AB2829" s="22"/>
    </row>
    <row r="2830" spans="1:28">
      <c r="A2830" s="19"/>
      <c r="B2830" s="12"/>
      <c r="C2830" s="24"/>
      <c r="D2830" s="12"/>
      <c r="E2830" s="23"/>
      <c r="F2830" s="17"/>
      <c r="G2830" s="17"/>
      <c r="Z2830" s="22"/>
      <c r="AB2830" s="22"/>
    </row>
    <row r="2831" spans="1:28">
      <c r="A2831" s="19"/>
      <c r="B2831" s="12"/>
      <c r="C2831" s="24"/>
      <c r="D2831" s="12"/>
      <c r="E2831" s="23"/>
      <c r="F2831" s="17"/>
      <c r="G2831" s="17"/>
      <c r="Z2831" s="22"/>
      <c r="AB2831" s="22"/>
    </row>
    <row r="2832" spans="1:28">
      <c r="A2832" s="19"/>
      <c r="B2832" s="12"/>
      <c r="C2832" s="24"/>
      <c r="D2832" s="12"/>
      <c r="E2832" s="23"/>
      <c r="F2832" s="17"/>
      <c r="G2832" s="17"/>
      <c r="Z2832" s="22"/>
      <c r="AB2832" s="22"/>
    </row>
    <row r="2833" spans="1:28">
      <c r="A2833" s="19"/>
      <c r="B2833" s="12"/>
      <c r="C2833" s="24"/>
      <c r="D2833" s="12"/>
      <c r="E2833" s="23"/>
      <c r="F2833" s="17"/>
      <c r="G2833" s="17"/>
      <c r="Z2833" s="22"/>
      <c r="AB2833" s="22"/>
    </row>
    <row r="2834" spans="1:28">
      <c r="A2834" s="19"/>
      <c r="B2834" s="12"/>
      <c r="C2834" s="24"/>
      <c r="D2834" s="12"/>
      <c r="E2834" s="23"/>
      <c r="F2834" s="17"/>
      <c r="G2834" s="17"/>
      <c r="Z2834" s="22"/>
      <c r="AB2834" s="22"/>
    </row>
    <row r="2835" spans="1:28">
      <c r="A2835" s="19"/>
      <c r="B2835" s="12"/>
      <c r="C2835" s="24"/>
      <c r="D2835" s="12"/>
      <c r="E2835" s="23"/>
      <c r="F2835" s="17"/>
      <c r="G2835" s="17"/>
      <c r="Z2835" s="22"/>
      <c r="AB2835" s="22"/>
    </row>
    <row r="2836" spans="1:28">
      <c r="A2836" s="19"/>
      <c r="B2836" s="12"/>
      <c r="C2836" s="24"/>
      <c r="D2836" s="12"/>
      <c r="E2836" s="23"/>
      <c r="F2836" s="17"/>
      <c r="G2836" s="17"/>
      <c r="Z2836" s="22"/>
      <c r="AB2836" s="22"/>
    </row>
    <row r="2837" spans="1:28">
      <c r="A2837" s="19"/>
      <c r="B2837" s="12"/>
      <c r="C2837" s="24"/>
      <c r="D2837" s="12"/>
      <c r="E2837" s="23"/>
      <c r="F2837" s="17"/>
      <c r="G2837" s="17"/>
      <c r="Z2837" s="22"/>
      <c r="AB2837" s="22"/>
    </row>
    <row r="2838" spans="1:28">
      <c r="A2838" s="19"/>
      <c r="B2838" s="12"/>
      <c r="C2838" s="24"/>
      <c r="D2838" s="12"/>
      <c r="E2838" s="23"/>
      <c r="F2838" s="17"/>
      <c r="G2838" s="17"/>
      <c r="Z2838" s="22"/>
      <c r="AB2838" s="22"/>
    </row>
    <row r="2839" spans="1:28">
      <c r="A2839" s="19"/>
      <c r="B2839" s="12"/>
      <c r="C2839" s="24"/>
      <c r="D2839" s="12"/>
      <c r="E2839" s="23"/>
      <c r="F2839" s="17"/>
      <c r="G2839" s="17"/>
      <c r="Z2839" s="22"/>
      <c r="AB2839" s="22"/>
    </row>
    <row r="2840" spans="1:28">
      <c r="A2840" s="19"/>
      <c r="B2840" s="12"/>
      <c r="C2840" s="24"/>
      <c r="D2840" s="12"/>
      <c r="E2840" s="23"/>
      <c r="F2840" s="17"/>
      <c r="G2840" s="17"/>
      <c r="Z2840" s="22"/>
      <c r="AB2840" s="22"/>
    </row>
    <row r="2841" spans="1:28">
      <c r="A2841" s="19"/>
      <c r="B2841" s="12"/>
      <c r="C2841" s="24"/>
      <c r="D2841" s="12"/>
      <c r="E2841" s="23"/>
      <c r="F2841" s="17"/>
      <c r="G2841" s="17"/>
      <c r="Z2841" s="22"/>
      <c r="AB2841" s="22"/>
    </row>
    <row r="2842" spans="1:28">
      <c r="A2842" s="19"/>
      <c r="B2842" s="12"/>
      <c r="C2842" s="24"/>
      <c r="D2842" s="12"/>
      <c r="E2842" s="23"/>
      <c r="F2842" s="17"/>
      <c r="G2842" s="17"/>
      <c r="Z2842" s="22"/>
      <c r="AB2842" s="22"/>
    </row>
    <row r="2843" spans="1:28">
      <c r="A2843" s="19"/>
      <c r="B2843" s="12"/>
      <c r="C2843" s="24"/>
      <c r="D2843" s="12"/>
      <c r="E2843" s="23"/>
      <c r="F2843" s="17"/>
      <c r="G2843" s="17"/>
      <c r="Z2843" s="22"/>
      <c r="AB2843" s="22"/>
    </row>
    <row r="2844" spans="1:28">
      <c r="A2844" s="19"/>
      <c r="B2844" s="12"/>
      <c r="C2844" s="24"/>
      <c r="D2844" s="12"/>
      <c r="E2844" s="23"/>
      <c r="F2844" s="17"/>
      <c r="G2844" s="17"/>
      <c r="Z2844" s="22"/>
      <c r="AB2844" s="22"/>
    </row>
    <row r="2845" spans="1:28">
      <c r="A2845" s="19"/>
      <c r="B2845" s="12"/>
      <c r="C2845" s="24"/>
      <c r="D2845" s="12"/>
      <c r="E2845" s="23"/>
      <c r="F2845" s="17"/>
      <c r="G2845" s="17"/>
      <c r="Z2845" s="22"/>
      <c r="AB2845" s="22"/>
    </row>
    <row r="2846" spans="1:28">
      <c r="A2846" s="19"/>
      <c r="B2846" s="12"/>
      <c r="C2846" s="24"/>
      <c r="D2846" s="12"/>
      <c r="E2846" s="23"/>
      <c r="F2846" s="17"/>
      <c r="G2846" s="17"/>
      <c r="Z2846" s="22"/>
      <c r="AB2846" s="22"/>
    </row>
    <row r="2847" spans="1:28">
      <c r="A2847" s="19"/>
      <c r="B2847" s="12"/>
      <c r="C2847" s="24"/>
      <c r="D2847" s="12"/>
      <c r="E2847" s="23"/>
      <c r="F2847" s="17"/>
      <c r="G2847" s="17"/>
      <c r="Z2847" s="22"/>
      <c r="AB2847" s="22"/>
    </row>
    <row r="2848" spans="1:28">
      <c r="A2848" s="19"/>
      <c r="B2848" s="12"/>
      <c r="C2848" s="24"/>
      <c r="D2848" s="12"/>
      <c r="E2848" s="23"/>
      <c r="F2848" s="17"/>
      <c r="G2848" s="17"/>
      <c r="Z2848" s="22"/>
      <c r="AB2848" s="22"/>
    </row>
    <row r="2849" spans="1:28">
      <c r="A2849" s="19"/>
      <c r="B2849" s="12"/>
      <c r="C2849" s="24"/>
      <c r="D2849" s="12"/>
      <c r="E2849" s="23"/>
      <c r="F2849" s="17"/>
      <c r="G2849" s="17"/>
      <c r="Z2849" s="22"/>
      <c r="AB2849" s="22"/>
    </row>
    <row r="2850" spans="1:28">
      <c r="A2850" s="19"/>
      <c r="B2850" s="12"/>
      <c r="C2850" s="24"/>
      <c r="D2850" s="12"/>
      <c r="E2850" s="23"/>
      <c r="F2850" s="17"/>
      <c r="G2850" s="17"/>
      <c r="Z2850" s="22"/>
      <c r="AB2850" s="22"/>
    </row>
    <row r="2851" spans="1:28">
      <c r="A2851" s="19"/>
      <c r="B2851" s="12"/>
      <c r="C2851" s="24"/>
      <c r="D2851" s="12"/>
      <c r="E2851" s="23"/>
      <c r="F2851" s="17"/>
      <c r="G2851" s="17"/>
      <c r="Z2851" s="22"/>
      <c r="AB2851" s="22"/>
    </row>
    <row r="2852" spans="1:28">
      <c r="A2852" s="19"/>
      <c r="B2852" s="12"/>
      <c r="C2852" s="24"/>
      <c r="D2852" s="12"/>
      <c r="E2852" s="23"/>
      <c r="F2852" s="17"/>
      <c r="G2852" s="17"/>
      <c r="Z2852" s="22"/>
      <c r="AB2852" s="22"/>
    </row>
    <row r="2853" spans="1:28">
      <c r="A2853" s="19"/>
      <c r="B2853" s="12"/>
      <c r="C2853" s="24"/>
      <c r="D2853" s="12"/>
      <c r="E2853" s="23"/>
      <c r="F2853" s="17"/>
      <c r="G2853" s="17"/>
      <c r="Z2853" s="22"/>
      <c r="AB2853" s="22"/>
    </row>
    <row r="2854" spans="1:28">
      <c r="A2854" s="19"/>
      <c r="B2854" s="12"/>
      <c r="C2854" s="24"/>
      <c r="D2854" s="12"/>
      <c r="E2854" s="23"/>
      <c r="F2854" s="17"/>
      <c r="G2854" s="17"/>
      <c r="Z2854" s="22"/>
      <c r="AB2854" s="22"/>
    </row>
    <row r="2855" spans="1:28">
      <c r="A2855" s="19"/>
      <c r="B2855" s="12"/>
      <c r="C2855" s="24"/>
      <c r="D2855" s="12"/>
      <c r="E2855" s="23"/>
      <c r="F2855" s="17"/>
      <c r="G2855" s="17"/>
      <c r="Z2855" s="22"/>
      <c r="AB2855" s="22"/>
    </row>
    <row r="2856" spans="1:28">
      <c r="A2856" s="19"/>
      <c r="B2856" s="12"/>
      <c r="C2856" s="24"/>
      <c r="D2856" s="12"/>
      <c r="E2856" s="23"/>
      <c r="F2856" s="17"/>
      <c r="G2856" s="17"/>
      <c r="Z2856" s="22"/>
      <c r="AB2856" s="22"/>
    </row>
    <row r="2857" spans="1:28">
      <c r="A2857" s="19"/>
      <c r="B2857" s="12"/>
      <c r="C2857" s="24"/>
      <c r="D2857" s="12"/>
      <c r="E2857" s="23"/>
      <c r="F2857" s="17"/>
      <c r="G2857" s="17"/>
      <c r="Z2857" s="22"/>
      <c r="AB2857" s="22"/>
    </row>
    <row r="2858" spans="1:28">
      <c r="A2858" s="19"/>
      <c r="B2858" s="12"/>
      <c r="C2858" s="24"/>
      <c r="D2858" s="12"/>
      <c r="E2858" s="23"/>
      <c r="F2858" s="17"/>
      <c r="G2858" s="17"/>
      <c r="Z2858" s="22"/>
      <c r="AB2858" s="22"/>
    </row>
    <row r="2859" spans="1:28">
      <c r="A2859" s="19"/>
      <c r="B2859" s="12"/>
      <c r="C2859" s="24"/>
      <c r="D2859" s="12"/>
      <c r="E2859" s="23"/>
      <c r="F2859" s="17"/>
      <c r="G2859" s="17"/>
      <c r="Z2859" s="22"/>
      <c r="AB2859" s="22"/>
    </row>
    <row r="2860" spans="1:28">
      <c r="A2860" s="19"/>
      <c r="B2860" s="12"/>
      <c r="C2860" s="24"/>
      <c r="D2860" s="12"/>
      <c r="E2860" s="23"/>
      <c r="F2860" s="17"/>
      <c r="G2860" s="17"/>
      <c r="Z2860" s="22"/>
      <c r="AB2860" s="22"/>
    </row>
    <row r="2861" spans="1:28">
      <c r="A2861" s="19"/>
      <c r="B2861" s="12"/>
      <c r="C2861" s="24"/>
      <c r="D2861" s="12"/>
      <c r="E2861" s="23"/>
      <c r="F2861" s="17"/>
      <c r="G2861" s="17"/>
      <c r="Z2861" s="22"/>
      <c r="AB2861" s="22"/>
    </row>
    <row r="2862" spans="1:28">
      <c r="A2862" s="19"/>
      <c r="B2862" s="12"/>
      <c r="C2862" s="24"/>
      <c r="D2862" s="12"/>
      <c r="E2862" s="23"/>
      <c r="F2862" s="17"/>
      <c r="G2862" s="17"/>
      <c r="Z2862" s="22"/>
      <c r="AB2862" s="22"/>
    </row>
    <row r="2863" spans="1:28">
      <c r="A2863" s="19"/>
      <c r="B2863" s="12"/>
      <c r="C2863" s="24"/>
      <c r="D2863" s="12"/>
      <c r="E2863" s="23"/>
      <c r="F2863" s="17"/>
      <c r="G2863" s="17"/>
      <c r="Z2863" s="22"/>
      <c r="AB2863" s="22"/>
    </row>
    <row r="2864" spans="1:28">
      <c r="A2864" s="19"/>
      <c r="B2864" s="12"/>
      <c r="C2864" s="24"/>
      <c r="D2864" s="12"/>
      <c r="E2864" s="23"/>
      <c r="F2864" s="17"/>
      <c r="G2864" s="17"/>
      <c r="Z2864" s="22"/>
      <c r="AB2864" s="22"/>
    </row>
    <row r="2865" spans="1:28">
      <c r="A2865" s="19"/>
      <c r="B2865" s="12"/>
      <c r="C2865" s="24"/>
      <c r="D2865" s="12"/>
      <c r="E2865" s="23"/>
      <c r="F2865" s="17"/>
      <c r="G2865" s="17"/>
      <c r="Z2865" s="22"/>
      <c r="AB2865" s="22"/>
    </row>
    <row r="2866" spans="1:28">
      <c r="A2866" s="19"/>
      <c r="B2866" s="12"/>
      <c r="C2866" s="24"/>
      <c r="D2866" s="12"/>
      <c r="E2866" s="23"/>
      <c r="F2866" s="17"/>
      <c r="G2866" s="17"/>
      <c r="Z2866" s="22"/>
      <c r="AB2866" s="22"/>
    </row>
    <row r="2867" spans="1:28">
      <c r="A2867" s="19"/>
      <c r="B2867" s="12"/>
      <c r="C2867" s="24"/>
      <c r="D2867" s="12"/>
      <c r="E2867" s="23"/>
      <c r="F2867" s="17"/>
      <c r="G2867" s="17"/>
      <c r="Z2867" s="22"/>
      <c r="AB2867" s="22"/>
    </row>
    <row r="2868" spans="1:28">
      <c r="A2868" s="19"/>
      <c r="B2868" s="12"/>
      <c r="C2868" s="24"/>
      <c r="D2868" s="12"/>
      <c r="E2868" s="23"/>
      <c r="F2868" s="17"/>
      <c r="G2868" s="17"/>
      <c r="Z2868" s="22"/>
      <c r="AB2868" s="22"/>
    </row>
    <row r="2869" spans="1:28">
      <c r="A2869" s="19"/>
      <c r="B2869" s="12"/>
      <c r="C2869" s="24"/>
      <c r="D2869" s="12"/>
      <c r="E2869" s="23"/>
      <c r="F2869" s="17"/>
      <c r="G2869" s="17"/>
      <c r="Z2869" s="22"/>
      <c r="AB2869" s="22"/>
    </row>
    <row r="2870" spans="1:28">
      <c r="A2870" s="19"/>
      <c r="B2870" s="12"/>
      <c r="C2870" s="24"/>
      <c r="D2870" s="12"/>
      <c r="E2870" s="23"/>
      <c r="F2870" s="17"/>
      <c r="G2870" s="17"/>
      <c r="Z2870" s="22"/>
      <c r="AB2870" s="22"/>
    </row>
    <row r="2871" spans="1:28">
      <c r="A2871" s="19"/>
      <c r="B2871" s="12"/>
      <c r="C2871" s="24"/>
      <c r="D2871" s="12"/>
      <c r="E2871" s="23"/>
      <c r="F2871" s="17"/>
      <c r="G2871" s="17"/>
      <c r="Z2871" s="22"/>
      <c r="AB2871" s="22"/>
    </row>
    <row r="2872" spans="1:28">
      <c r="A2872" s="19"/>
      <c r="B2872" s="12"/>
      <c r="C2872" s="24"/>
      <c r="D2872" s="12"/>
      <c r="E2872" s="23"/>
      <c r="F2872" s="17"/>
      <c r="G2872" s="17"/>
      <c r="Z2872" s="22"/>
      <c r="AB2872" s="22"/>
    </row>
    <row r="2873" spans="1:28">
      <c r="A2873" s="19"/>
      <c r="B2873" s="12"/>
      <c r="C2873" s="24"/>
      <c r="D2873" s="12"/>
      <c r="E2873" s="23"/>
      <c r="F2873" s="17"/>
      <c r="G2873" s="17"/>
      <c r="Z2873" s="22"/>
      <c r="AB2873" s="22"/>
    </row>
    <row r="2874" spans="1:28">
      <c r="A2874" s="19"/>
      <c r="B2874" s="12"/>
      <c r="C2874" s="24"/>
      <c r="D2874" s="12"/>
      <c r="E2874" s="23"/>
      <c r="F2874" s="17"/>
      <c r="G2874" s="17"/>
      <c r="Z2874" s="22"/>
      <c r="AB2874" s="22"/>
    </row>
    <row r="2875" spans="1:28">
      <c r="A2875" s="19"/>
      <c r="B2875" s="12"/>
      <c r="C2875" s="24"/>
      <c r="D2875" s="12"/>
      <c r="E2875" s="23"/>
      <c r="F2875" s="17"/>
      <c r="G2875" s="17"/>
      <c r="Z2875" s="22"/>
      <c r="AB2875" s="22"/>
    </row>
    <row r="2876" spans="1:28">
      <c r="A2876" s="19"/>
      <c r="B2876" s="12"/>
      <c r="C2876" s="24"/>
      <c r="D2876" s="12"/>
      <c r="E2876" s="23"/>
      <c r="F2876" s="17"/>
      <c r="G2876" s="17"/>
      <c r="Z2876" s="22"/>
      <c r="AB2876" s="22"/>
    </row>
    <row r="2877" spans="1:28">
      <c r="A2877" s="19"/>
      <c r="B2877" s="12"/>
      <c r="C2877" s="24"/>
      <c r="D2877" s="12"/>
      <c r="E2877" s="23"/>
      <c r="F2877" s="17"/>
      <c r="G2877" s="17"/>
      <c r="Z2877" s="22"/>
      <c r="AB2877" s="22"/>
    </row>
    <row r="2878" spans="1:28">
      <c r="A2878" s="19"/>
      <c r="B2878" s="12"/>
      <c r="C2878" s="24"/>
      <c r="D2878" s="12"/>
      <c r="E2878" s="23"/>
      <c r="F2878" s="17"/>
      <c r="G2878" s="17"/>
      <c r="Z2878" s="22"/>
      <c r="AB2878" s="22"/>
    </row>
    <row r="2879" spans="1:28">
      <c r="A2879" s="19"/>
      <c r="B2879" s="12"/>
      <c r="C2879" s="24"/>
      <c r="D2879" s="12"/>
      <c r="E2879" s="23"/>
      <c r="F2879" s="17"/>
      <c r="G2879" s="17"/>
      <c r="Z2879" s="22"/>
      <c r="AB2879" s="22"/>
    </row>
    <row r="2880" spans="1:28">
      <c r="A2880" s="19"/>
      <c r="B2880" s="12"/>
      <c r="C2880" s="24"/>
      <c r="D2880" s="12"/>
      <c r="E2880" s="23"/>
      <c r="F2880" s="17"/>
      <c r="G2880" s="17"/>
      <c r="Z2880" s="22"/>
      <c r="AB2880" s="22"/>
    </row>
    <row r="2881" spans="1:28">
      <c r="A2881" s="19"/>
      <c r="B2881" s="12"/>
      <c r="C2881" s="24"/>
      <c r="D2881" s="12"/>
      <c r="E2881" s="23"/>
      <c r="F2881" s="17"/>
      <c r="G2881" s="17"/>
      <c r="Z2881" s="22"/>
      <c r="AB2881" s="22"/>
    </row>
    <row r="2882" spans="1:28">
      <c r="A2882" s="19"/>
      <c r="B2882" s="12"/>
      <c r="C2882" s="24"/>
      <c r="D2882" s="12"/>
      <c r="E2882" s="23"/>
      <c r="F2882" s="17"/>
      <c r="G2882" s="17"/>
      <c r="Z2882" s="22"/>
      <c r="AB2882" s="22"/>
    </row>
    <row r="2883" spans="1:28">
      <c r="A2883" s="19"/>
      <c r="B2883" s="12"/>
      <c r="C2883" s="24"/>
      <c r="D2883" s="12"/>
      <c r="E2883" s="23"/>
      <c r="F2883" s="17"/>
      <c r="G2883" s="17"/>
      <c r="Z2883" s="22"/>
      <c r="AB2883" s="22"/>
    </row>
    <row r="2884" spans="1:28">
      <c r="A2884" s="19"/>
      <c r="B2884" s="12"/>
      <c r="C2884" s="24"/>
      <c r="D2884" s="12"/>
      <c r="E2884" s="23"/>
      <c r="F2884" s="17"/>
      <c r="G2884" s="17"/>
      <c r="Z2884" s="22"/>
      <c r="AB2884" s="22"/>
    </row>
    <row r="2885" spans="1:28">
      <c r="A2885" s="19"/>
      <c r="B2885" s="12"/>
      <c r="C2885" s="24"/>
      <c r="D2885" s="12"/>
      <c r="E2885" s="23"/>
      <c r="F2885" s="17"/>
      <c r="G2885" s="17"/>
      <c r="Z2885" s="22"/>
      <c r="AB2885" s="22"/>
    </row>
    <row r="2886" spans="1:28">
      <c r="A2886" s="19"/>
      <c r="B2886" s="12"/>
      <c r="C2886" s="24"/>
      <c r="D2886" s="12"/>
      <c r="E2886" s="23"/>
      <c r="F2886" s="17"/>
      <c r="G2886" s="17"/>
      <c r="Z2886" s="22"/>
      <c r="AB2886" s="22"/>
    </row>
    <row r="2887" spans="1:28">
      <c r="A2887" s="19"/>
      <c r="B2887" s="12"/>
      <c r="C2887" s="24"/>
      <c r="D2887" s="12"/>
      <c r="E2887" s="23"/>
      <c r="F2887" s="17"/>
      <c r="G2887" s="17"/>
      <c r="Z2887" s="22"/>
      <c r="AB2887" s="22"/>
    </row>
    <row r="2888" spans="1:28">
      <c r="A2888" s="19"/>
      <c r="B2888" s="12"/>
      <c r="C2888" s="24"/>
      <c r="D2888" s="12"/>
      <c r="E2888" s="23"/>
      <c r="F2888" s="17"/>
      <c r="G2888" s="17"/>
      <c r="Z2888" s="22"/>
      <c r="AB2888" s="22"/>
    </row>
    <row r="2889" spans="1:28">
      <c r="A2889" s="19"/>
      <c r="B2889" s="12"/>
      <c r="C2889" s="24"/>
      <c r="D2889" s="12"/>
      <c r="E2889" s="23"/>
      <c r="F2889" s="17"/>
      <c r="G2889" s="17"/>
      <c r="Z2889" s="22"/>
      <c r="AB2889" s="22"/>
    </row>
    <row r="2890" spans="1:28">
      <c r="A2890" s="19"/>
      <c r="B2890" s="12"/>
      <c r="C2890" s="24"/>
      <c r="D2890" s="12"/>
      <c r="E2890" s="23"/>
      <c r="F2890" s="17"/>
      <c r="G2890" s="17"/>
      <c r="Z2890" s="22"/>
      <c r="AB2890" s="22"/>
    </row>
    <row r="2891" spans="1:28">
      <c r="A2891" s="19"/>
      <c r="B2891" s="12"/>
      <c r="C2891" s="24"/>
      <c r="D2891" s="12"/>
      <c r="E2891" s="23"/>
      <c r="F2891" s="17"/>
      <c r="G2891" s="17"/>
      <c r="Z2891" s="22"/>
      <c r="AB2891" s="22"/>
    </row>
    <row r="2892" spans="1:28">
      <c r="A2892" s="19"/>
      <c r="B2892" s="12"/>
      <c r="C2892" s="24"/>
      <c r="D2892" s="12"/>
      <c r="E2892" s="23"/>
      <c r="F2892" s="17"/>
      <c r="G2892" s="17"/>
      <c r="Z2892" s="22"/>
      <c r="AB2892" s="22"/>
    </row>
    <row r="2893" spans="1:28">
      <c r="A2893" s="19"/>
      <c r="B2893" s="12"/>
      <c r="C2893" s="24"/>
      <c r="D2893" s="12"/>
      <c r="E2893" s="23"/>
      <c r="F2893" s="17"/>
      <c r="G2893" s="17"/>
      <c r="Z2893" s="22"/>
      <c r="AB2893" s="22"/>
    </row>
    <row r="2894" spans="1:28">
      <c r="A2894" s="19"/>
      <c r="B2894" s="12"/>
      <c r="C2894" s="24"/>
      <c r="D2894" s="12"/>
      <c r="E2894" s="23"/>
      <c r="F2894" s="17"/>
      <c r="G2894" s="17"/>
      <c r="Z2894" s="22"/>
      <c r="AB2894" s="22"/>
    </row>
    <row r="2895" spans="1:28">
      <c r="A2895" s="19"/>
      <c r="B2895" s="12"/>
      <c r="C2895" s="24"/>
      <c r="D2895" s="12"/>
      <c r="E2895" s="23"/>
      <c r="F2895" s="17"/>
      <c r="G2895" s="17"/>
      <c r="Z2895" s="22"/>
      <c r="AB2895" s="22"/>
    </row>
    <row r="2896" spans="1:28">
      <c r="A2896" s="19"/>
      <c r="B2896" s="12"/>
      <c r="C2896" s="24"/>
      <c r="D2896" s="12"/>
      <c r="E2896" s="23"/>
      <c r="F2896" s="17"/>
      <c r="G2896" s="17"/>
      <c r="Z2896" s="22"/>
      <c r="AB2896" s="22"/>
    </row>
    <row r="2897" spans="1:28">
      <c r="A2897" s="19"/>
      <c r="B2897" s="12"/>
      <c r="C2897" s="24"/>
      <c r="D2897" s="12"/>
      <c r="E2897" s="23"/>
      <c r="F2897" s="17"/>
      <c r="G2897" s="17"/>
      <c r="Z2897" s="22"/>
      <c r="AB2897" s="22"/>
    </row>
    <row r="2898" spans="1:28">
      <c r="A2898" s="19"/>
      <c r="B2898" s="12"/>
      <c r="C2898" s="24"/>
      <c r="D2898" s="12"/>
      <c r="E2898" s="23"/>
      <c r="F2898" s="17"/>
      <c r="G2898" s="17"/>
      <c r="Z2898" s="22"/>
      <c r="AB2898" s="22"/>
    </row>
    <row r="2899" spans="1:28">
      <c r="A2899" s="19"/>
      <c r="B2899" s="12"/>
      <c r="C2899" s="24"/>
      <c r="D2899" s="12"/>
      <c r="E2899" s="23"/>
      <c r="F2899" s="17"/>
      <c r="G2899" s="17"/>
      <c r="Z2899" s="22"/>
      <c r="AB2899" s="22"/>
    </row>
    <row r="2900" spans="1:28">
      <c r="A2900" s="19"/>
      <c r="B2900" s="12"/>
      <c r="C2900" s="24"/>
      <c r="D2900" s="12"/>
      <c r="E2900" s="23"/>
      <c r="F2900" s="17"/>
      <c r="G2900" s="17"/>
      <c r="Z2900" s="22"/>
      <c r="AB2900" s="22"/>
    </row>
    <row r="2901" spans="1:28">
      <c r="A2901" s="19"/>
      <c r="B2901" s="12"/>
      <c r="C2901" s="24"/>
      <c r="D2901" s="12"/>
      <c r="E2901" s="23"/>
      <c r="F2901" s="17"/>
      <c r="G2901" s="17"/>
      <c r="Z2901" s="22"/>
      <c r="AB2901" s="22"/>
    </row>
    <row r="2902" spans="1:28">
      <c r="A2902" s="19"/>
      <c r="B2902" s="12"/>
      <c r="C2902" s="24"/>
      <c r="D2902" s="12"/>
      <c r="E2902" s="23"/>
      <c r="F2902" s="17"/>
      <c r="G2902" s="17"/>
      <c r="Z2902" s="22"/>
      <c r="AB2902" s="22"/>
    </row>
    <row r="2903" spans="1:28">
      <c r="A2903" s="19"/>
      <c r="B2903" s="12"/>
      <c r="C2903" s="24"/>
      <c r="D2903" s="12"/>
      <c r="E2903" s="23"/>
      <c r="F2903" s="17"/>
      <c r="G2903" s="17"/>
      <c r="Z2903" s="22"/>
      <c r="AB2903" s="22"/>
    </row>
    <row r="2904" spans="1:28">
      <c r="A2904" s="19"/>
      <c r="B2904" s="12"/>
      <c r="C2904" s="24"/>
      <c r="D2904" s="12"/>
      <c r="E2904" s="23"/>
      <c r="F2904" s="17"/>
      <c r="G2904" s="17"/>
      <c r="Z2904" s="22"/>
      <c r="AB2904" s="22"/>
    </row>
    <row r="2905" spans="1:28">
      <c r="A2905" s="19"/>
      <c r="B2905" s="12"/>
      <c r="C2905" s="24"/>
      <c r="D2905" s="12"/>
      <c r="E2905" s="23"/>
      <c r="F2905" s="17"/>
      <c r="G2905" s="17"/>
      <c r="Z2905" s="22"/>
      <c r="AB2905" s="22"/>
    </row>
    <row r="2906" spans="1:28">
      <c r="A2906" s="19"/>
      <c r="B2906" s="12"/>
      <c r="C2906" s="24"/>
      <c r="D2906" s="12"/>
      <c r="E2906" s="23"/>
      <c r="F2906" s="17"/>
      <c r="G2906" s="17"/>
      <c r="Z2906" s="22"/>
      <c r="AB2906" s="22"/>
    </row>
    <row r="2907" spans="1:28">
      <c r="A2907" s="19"/>
      <c r="B2907" s="12"/>
      <c r="C2907" s="24"/>
      <c r="D2907" s="12"/>
      <c r="E2907" s="23"/>
      <c r="F2907" s="17"/>
      <c r="G2907" s="17"/>
      <c r="Z2907" s="22"/>
      <c r="AB2907" s="22"/>
    </row>
    <row r="2908" spans="1:28">
      <c r="A2908" s="19"/>
      <c r="B2908" s="12"/>
      <c r="C2908" s="24"/>
      <c r="D2908" s="12"/>
      <c r="E2908" s="23"/>
      <c r="F2908" s="17"/>
      <c r="G2908" s="17"/>
      <c r="Z2908" s="22"/>
      <c r="AB2908" s="22"/>
    </row>
    <row r="2909" spans="1:28">
      <c r="A2909" s="19"/>
      <c r="B2909" s="12"/>
      <c r="C2909" s="24"/>
      <c r="D2909" s="12"/>
      <c r="E2909" s="23"/>
      <c r="F2909" s="17"/>
      <c r="G2909" s="17"/>
      <c r="Z2909" s="22"/>
      <c r="AB2909" s="22"/>
    </row>
    <row r="2910" spans="1:28">
      <c r="A2910" s="19"/>
      <c r="B2910" s="12"/>
      <c r="C2910" s="24"/>
      <c r="D2910" s="12"/>
      <c r="E2910" s="23"/>
      <c r="F2910" s="17"/>
      <c r="G2910" s="17"/>
      <c r="Z2910" s="22"/>
      <c r="AB2910" s="22"/>
    </row>
    <row r="2911" spans="1:28">
      <c r="A2911" s="19"/>
      <c r="B2911" s="12"/>
      <c r="C2911" s="24"/>
      <c r="D2911" s="12"/>
      <c r="E2911" s="23"/>
      <c r="F2911" s="17"/>
      <c r="G2911" s="17"/>
      <c r="Z2911" s="22"/>
      <c r="AB2911" s="22"/>
    </row>
    <row r="2912" spans="1:28">
      <c r="A2912" s="19"/>
      <c r="B2912" s="12"/>
      <c r="C2912" s="24"/>
      <c r="D2912" s="12"/>
      <c r="E2912" s="23"/>
      <c r="F2912" s="17"/>
      <c r="G2912" s="17"/>
      <c r="Z2912" s="22"/>
      <c r="AB2912" s="22"/>
    </row>
    <row r="2913" spans="1:28">
      <c r="A2913" s="19"/>
      <c r="B2913" s="12"/>
      <c r="C2913" s="24"/>
      <c r="D2913" s="12"/>
      <c r="E2913" s="23"/>
      <c r="F2913" s="17"/>
      <c r="G2913" s="17"/>
      <c r="Z2913" s="22"/>
      <c r="AB2913" s="22"/>
    </row>
    <row r="2914" spans="1:28">
      <c r="A2914" s="19"/>
      <c r="B2914" s="12"/>
      <c r="C2914" s="24"/>
      <c r="D2914" s="12"/>
      <c r="E2914" s="23"/>
      <c r="F2914" s="17"/>
      <c r="G2914" s="17"/>
      <c r="Z2914" s="22"/>
      <c r="AB2914" s="22"/>
    </row>
    <row r="2915" spans="1:28">
      <c r="A2915" s="19"/>
      <c r="B2915" s="12"/>
      <c r="C2915" s="24"/>
      <c r="D2915" s="12"/>
      <c r="E2915" s="23"/>
      <c r="F2915" s="17"/>
      <c r="G2915" s="17"/>
      <c r="Z2915" s="22"/>
      <c r="AB2915" s="22"/>
    </row>
    <row r="2916" spans="1:28">
      <c r="A2916" s="19"/>
      <c r="B2916" s="12"/>
      <c r="C2916" s="24"/>
      <c r="D2916" s="12"/>
      <c r="E2916" s="23"/>
      <c r="F2916" s="17"/>
      <c r="G2916" s="17"/>
      <c r="Z2916" s="22"/>
      <c r="AB2916" s="22"/>
    </row>
    <row r="2917" spans="1:28">
      <c r="A2917" s="19"/>
      <c r="B2917" s="12"/>
      <c r="C2917" s="24"/>
      <c r="D2917" s="12"/>
      <c r="E2917" s="23"/>
      <c r="F2917" s="17"/>
      <c r="G2917" s="17"/>
      <c r="Z2917" s="22"/>
      <c r="AB2917" s="22"/>
    </row>
    <row r="2918" spans="1:28">
      <c r="A2918" s="19"/>
      <c r="B2918" s="12"/>
      <c r="C2918" s="24"/>
      <c r="D2918" s="12"/>
      <c r="E2918" s="23"/>
      <c r="F2918" s="17"/>
      <c r="G2918" s="17"/>
      <c r="Z2918" s="22"/>
      <c r="AB2918" s="22"/>
    </row>
    <row r="2919" spans="1:28">
      <c r="A2919" s="19"/>
      <c r="B2919" s="12"/>
      <c r="C2919" s="24"/>
      <c r="D2919" s="12"/>
      <c r="E2919" s="23"/>
      <c r="F2919" s="17"/>
      <c r="G2919" s="17"/>
      <c r="Z2919" s="22"/>
      <c r="AB2919" s="22"/>
    </row>
    <row r="2920" spans="1:28">
      <c r="A2920" s="19"/>
      <c r="B2920" s="12"/>
      <c r="C2920" s="24"/>
      <c r="D2920" s="12"/>
      <c r="E2920" s="23"/>
      <c r="F2920" s="17"/>
      <c r="G2920" s="17"/>
      <c r="Z2920" s="22"/>
      <c r="AB2920" s="22"/>
    </row>
    <row r="2921" spans="1:28">
      <c r="A2921" s="19"/>
      <c r="B2921" s="12"/>
      <c r="C2921" s="24"/>
      <c r="D2921" s="12"/>
      <c r="E2921" s="23"/>
      <c r="F2921" s="17"/>
      <c r="G2921" s="17"/>
      <c r="Z2921" s="22"/>
      <c r="AB2921" s="22"/>
    </row>
    <row r="2922" spans="1:28">
      <c r="A2922" s="19"/>
      <c r="B2922" s="12"/>
      <c r="C2922" s="24"/>
      <c r="D2922" s="12"/>
      <c r="E2922" s="23"/>
      <c r="F2922" s="17"/>
      <c r="G2922" s="17"/>
      <c r="Z2922" s="22"/>
      <c r="AB2922" s="22"/>
    </row>
    <row r="2923" spans="1:28">
      <c r="A2923" s="19"/>
      <c r="B2923" s="12"/>
      <c r="C2923" s="24"/>
      <c r="D2923" s="12"/>
      <c r="E2923" s="23"/>
      <c r="F2923" s="17"/>
      <c r="G2923" s="17"/>
      <c r="Z2923" s="22"/>
      <c r="AB2923" s="22"/>
    </row>
    <row r="2924" spans="1:28">
      <c r="A2924" s="19"/>
      <c r="B2924" s="12"/>
      <c r="C2924" s="24"/>
      <c r="D2924" s="12"/>
      <c r="E2924" s="23"/>
      <c r="F2924" s="17"/>
      <c r="G2924" s="17"/>
      <c r="Z2924" s="22"/>
      <c r="AB2924" s="22"/>
    </row>
    <row r="2925" spans="1:28">
      <c r="A2925" s="19"/>
      <c r="B2925" s="12"/>
      <c r="C2925" s="24"/>
      <c r="D2925" s="12"/>
      <c r="E2925" s="23"/>
      <c r="F2925" s="17"/>
      <c r="G2925" s="17"/>
      <c r="Z2925" s="22"/>
      <c r="AB2925" s="22"/>
    </row>
    <row r="2926" spans="1:28">
      <c r="A2926" s="19"/>
      <c r="B2926" s="12"/>
      <c r="C2926" s="24"/>
      <c r="D2926" s="12"/>
      <c r="E2926" s="23"/>
      <c r="F2926" s="17"/>
      <c r="G2926" s="17"/>
      <c r="Z2926" s="22"/>
      <c r="AB2926" s="22"/>
    </row>
    <row r="2927" spans="1:28">
      <c r="A2927" s="19"/>
      <c r="B2927" s="12"/>
      <c r="C2927" s="24"/>
      <c r="D2927" s="12"/>
      <c r="E2927" s="23"/>
      <c r="F2927" s="17"/>
      <c r="G2927" s="17"/>
      <c r="Z2927" s="22"/>
      <c r="AB2927" s="22"/>
    </row>
    <row r="2928" spans="1:28">
      <c r="A2928" s="19"/>
      <c r="B2928" s="12"/>
      <c r="C2928" s="24"/>
      <c r="D2928" s="12"/>
      <c r="E2928" s="23"/>
      <c r="F2928" s="17"/>
      <c r="G2928" s="17"/>
      <c r="Z2928" s="22"/>
      <c r="AB2928" s="22"/>
    </row>
    <row r="2929" spans="1:28">
      <c r="A2929" s="19"/>
      <c r="B2929" s="12"/>
      <c r="C2929" s="24"/>
      <c r="D2929" s="12"/>
      <c r="E2929" s="23"/>
      <c r="F2929" s="17"/>
      <c r="G2929" s="17"/>
      <c r="Z2929" s="22"/>
      <c r="AB2929" s="22"/>
    </row>
    <row r="2930" spans="1:28">
      <c r="A2930" s="19"/>
      <c r="B2930" s="12"/>
      <c r="C2930" s="24"/>
      <c r="D2930" s="12"/>
      <c r="E2930" s="23"/>
      <c r="F2930" s="17"/>
      <c r="G2930" s="17"/>
      <c r="Z2930" s="22"/>
      <c r="AB2930" s="22"/>
    </row>
    <row r="2931" spans="1:28">
      <c r="A2931" s="19"/>
      <c r="B2931" s="12"/>
      <c r="C2931" s="24"/>
      <c r="D2931" s="12"/>
      <c r="E2931" s="23"/>
      <c r="F2931" s="17"/>
      <c r="G2931" s="17"/>
      <c r="Z2931" s="22"/>
      <c r="AB2931" s="22"/>
    </row>
    <row r="2932" spans="1:28">
      <c r="A2932" s="19"/>
      <c r="B2932" s="12"/>
      <c r="C2932" s="24"/>
      <c r="D2932" s="12"/>
      <c r="E2932" s="23"/>
      <c r="F2932" s="17"/>
      <c r="G2932" s="17"/>
      <c r="Z2932" s="22"/>
      <c r="AB2932" s="22"/>
    </row>
    <row r="2933" spans="1:28">
      <c r="A2933" s="19"/>
      <c r="B2933" s="12"/>
      <c r="C2933" s="24"/>
      <c r="D2933" s="12"/>
      <c r="E2933" s="23"/>
      <c r="F2933" s="17"/>
      <c r="G2933" s="17"/>
      <c r="Z2933" s="22"/>
      <c r="AB2933" s="22"/>
    </row>
    <row r="2934" spans="1:28">
      <c r="A2934" s="19"/>
      <c r="B2934" s="12"/>
      <c r="C2934" s="24"/>
      <c r="D2934" s="12"/>
      <c r="E2934" s="23"/>
      <c r="F2934" s="17"/>
      <c r="G2934" s="17"/>
      <c r="Z2934" s="22"/>
      <c r="AB2934" s="22"/>
    </row>
    <row r="2935" spans="1:28">
      <c r="A2935" s="19"/>
      <c r="B2935" s="12"/>
      <c r="C2935" s="24"/>
      <c r="D2935" s="12"/>
      <c r="E2935" s="23"/>
      <c r="F2935" s="17"/>
      <c r="G2935" s="17"/>
      <c r="Z2935" s="22"/>
      <c r="AB2935" s="22"/>
    </row>
    <row r="2936" spans="1:28">
      <c r="A2936" s="19"/>
      <c r="B2936" s="12"/>
      <c r="C2936" s="24"/>
      <c r="D2936" s="12"/>
      <c r="E2936" s="23"/>
      <c r="F2936" s="17"/>
      <c r="G2936" s="17"/>
      <c r="Z2936" s="22"/>
      <c r="AB2936" s="22"/>
    </row>
    <row r="2937" spans="1:28">
      <c r="A2937" s="19"/>
      <c r="B2937" s="12"/>
      <c r="C2937" s="24"/>
      <c r="D2937" s="12"/>
      <c r="E2937" s="23"/>
      <c r="F2937" s="17"/>
      <c r="G2937" s="17"/>
      <c r="Z2937" s="22"/>
      <c r="AB2937" s="22"/>
    </row>
    <row r="2938" spans="1:28">
      <c r="A2938" s="19"/>
      <c r="B2938" s="12"/>
      <c r="C2938" s="24"/>
      <c r="D2938" s="12"/>
      <c r="E2938" s="23"/>
      <c r="F2938" s="17"/>
      <c r="G2938" s="17"/>
      <c r="Z2938" s="22"/>
      <c r="AB2938" s="22"/>
    </row>
    <row r="2939" spans="1:28">
      <c r="A2939" s="19"/>
      <c r="B2939" s="12"/>
      <c r="C2939" s="24"/>
      <c r="D2939" s="12"/>
      <c r="E2939" s="23"/>
      <c r="F2939" s="17"/>
      <c r="G2939" s="17"/>
      <c r="Z2939" s="22"/>
      <c r="AB2939" s="22"/>
    </row>
    <row r="2940" spans="1:28">
      <c r="A2940" s="19"/>
      <c r="B2940" s="12"/>
      <c r="C2940" s="24"/>
      <c r="D2940" s="12"/>
      <c r="E2940" s="23"/>
      <c r="F2940" s="17"/>
      <c r="G2940" s="17"/>
      <c r="Z2940" s="22"/>
      <c r="AB2940" s="22"/>
    </row>
    <row r="2941" spans="1:28">
      <c r="A2941" s="19"/>
      <c r="B2941" s="12"/>
      <c r="C2941" s="24"/>
      <c r="D2941" s="12"/>
      <c r="E2941" s="23"/>
      <c r="F2941" s="17"/>
      <c r="G2941" s="17"/>
      <c r="Z2941" s="22"/>
      <c r="AB2941" s="22"/>
    </row>
    <row r="2942" spans="1:28">
      <c r="A2942" s="19"/>
      <c r="B2942" s="12"/>
      <c r="C2942" s="24"/>
      <c r="D2942" s="12"/>
      <c r="E2942" s="23"/>
      <c r="F2942" s="17"/>
      <c r="G2942" s="17"/>
      <c r="Z2942" s="22"/>
      <c r="AB2942" s="22"/>
    </row>
    <row r="2943" spans="1:28">
      <c r="A2943" s="19"/>
      <c r="B2943" s="12"/>
      <c r="C2943" s="24"/>
      <c r="D2943" s="12"/>
      <c r="E2943" s="23"/>
      <c r="F2943" s="17"/>
      <c r="G2943" s="17"/>
      <c r="Z2943" s="22"/>
      <c r="AB2943" s="22"/>
    </row>
    <row r="2944" spans="1:28">
      <c r="A2944" s="19"/>
      <c r="B2944" s="12"/>
      <c r="C2944" s="24"/>
      <c r="D2944" s="12"/>
      <c r="E2944" s="23"/>
      <c r="F2944" s="17"/>
      <c r="G2944" s="17"/>
      <c r="Z2944" s="22"/>
      <c r="AB2944" s="22"/>
    </row>
    <row r="2945" spans="1:28">
      <c r="A2945" s="19"/>
      <c r="B2945" s="12"/>
      <c r="C2945" s="24"/>
      <c r="D2945" s="12"/>
      <c r="E2945" s="23"/>
      <c r="F2945" s="17"/>
      <c r="G2945" s="17"/>
      <c r="Z2945" s="22"/>
      <c r="AB2945" s="22"/>
    </row>
    <row r="2946" spans="1:28">
      <c r="A2946" s="19"/>
      <c r="B2946" s="12"/>
      <c r="C2946" s="24"/>
      <c r="D2946" s="12"/>
      <c r="E2946" s="23"/>
      <c r="F2946" s="17"/>
      <c r="G2946" s="17"/>
      <c r="Z2946" s="22"/>
      <c r="AB2946" s="22"/>
    </row>
    <row r="2947" spans="1:28">
      <c r="A2947" s="19"/>
      <c r="B2947" s="12"/>
      <c r="C2947" s="24"/>
      <c r="D2947" s="12"/>
      <c r="E2947" s="23"/>
      <c r="F2947" s="17"/>
      <c r="G2947" s="17"/>
      <c r="Z2947" s="22"/>
      <c r="AB2947" s="22"/>
    </row>
    <row r="2948" spans="1:28">
      <c r="A2948" s="19"/>
      <c r="B2948" s="12"/>
      <c r="C2948" s="24"/>
      <c r="D2948" s="12"/>
      <c r="E2948" s="23"/>
      <c r="F2948" s="17"/>
      <c r="G2948" s="17"/>
      <c r="Z2948" s="22"/>
      <c r="AB2948" s="22"/>
    </row>
    <row r="2949" spans="1:28">
      <c r="A2949" s="19"/>
      <c r="B2949" s="12"/>
      <c r="C2949" s="24"/>
      <c r="D2949" s="12"/>
      <c r="E2949" s="23"/>
      <c r="F2949" s="17"/>
      <c r="G2949" s="17"/>
      <c r="Z2949" s="22"/>
      <c r="AB2949" s="22"/>
    </row>
    <row r="2950" spans="1:28">
      <c r="A2950" s="19"/>
      <c r="B2950" s="12"/>
      <c r="C2950" s="24"/>
      <c r="D2950" s="12"/>
      <c r="E2950" s="23"/>
      <c r="F2950" s="17"/>
      <c r="G2950" s="17"/>
      <c r="Z2950" s="22"/>
      <c r="AB2950" s="22"/>
    </row>
    <row r="2951" spans="1:28">
      <c r="A2951" s="19"/>
      <c r="B2951" s="12"/>
      <c r="C2951" s="24"/>
      <c r="D2951" s="12"/>
      <c r="E2951" s="23"/>
      <c r="F2951" s="17"/>
      <c r="G2951" s="17"/>
      <c r="Z2951" s="22"/>
      <c r="AB2951" s="22"/>
    </row>
    <row r="2952" spans="1:28">
      <c r="A2952" s="19"/>
      <c r="B2952" s="12"/>
      <c r="C2952" s="24"/>
      <c r="D2952" s="12"/>
      <c r="E2952" s="23"/>
      <c r="F2952" s="17"/>
      <c r="G2952" s="17"/>
      <c r="Z2952" s="22"/>
      <c r="AB2952" s="22"/>
    </row>
    <row r="2953" spans="1:28">
      <c r="A2953" s="19"/>
      <c r="B2953" s="12"/>
      <c r="C2953" s="24"/>
      <c r="D2953" s="12"/>
      <c r="E2953" s="23"/>
      <c r="F2953" s="17"/>
      <c r="G2953" s="17"/>
      <c r="Z2953" s="22"/>
      <c r="AB2953" s="22"/>
    </row>
    <row r="2954" spans="1:28">
      <c r="A2954" s="19"/>
      <c r="B2954" s="12"/>
      <c r="C2954" s="24"/>
      <c r="D2954" s="12"/>
      <c r="E2954" s="23"/>
      <c r="F2954" s="17"/>
      <c r="G2954" s="17"/>
      <c r="Z2954" s="22"/>
      <c r="AB2954" s="22"/>
    </row>
    <row r="2955" spans="1:28">
      <c r="A2955" s="19"/>
      <c r="B2955" s="12"/>
      <c r="C2955" s="24"/>
      <c r="D2955" s="12"/>
      <c r="E2955" s="23"/>
      <c r="F2955" s="17"/>
      <c r="G2955" s="17"/>
      <c r="Z2955" s="22"/>
      <c r="AB2955" s="22"/>
    </row>
    <row r="2956" spans="1:28">
      <c r="A2956" s="19"/>
      <c r="B2956" s="12"/>
      <c r="C2956" s="24"/>
      <c r="D2956" s="12"/>
      <c r="E2956" s="23"/>
      <c r="F2956" s="17"/>
      <c r="G2956" s="17"/>
      <c r="Z2956" s="22"/>
      <c r="AB2956" s="22"/>
    </row>
    <row r="2957" spans="1:28">
      <c r="A2957" s="19"/>
      <c r="B2957" s="12"/>
      <c r="C2957" s="24"/>
      <c r="D2957" s="12"/>
      <c r="E2957" s="23"/>
      <c r="F2957" s="17"/>
      <c r="G2957" s="17"/>
      <c r="Z2957" s="22"/>
      <c r="AB2957" s="22"/>
    </row>
    <row r="2958" spans="1:28">
      <c r="A2958" s="19"/>
      <c r="B2958" s="12"/>
      <c r="C2958" s="24"/>
      <c r="D2958" s="12"/>
      <c r="E2958" s="23"/>
      <c r="F2958" s="17"/>
      <c r="G2958" s="17"/>
      <c r="Z2958" s="22"/>
      <c r="AB2958" s="22"/>
    </row>
    <row r="2959" spans="1:28">
      <c r="A2959" s="19"/>
      <c r="B2959" s="12"/>
      <c r="C2959" s="24"/>
      <c r="D2959" s="12"/>
      <c r="E2959" s="23"/>
      <c r="F2959" s="17"/>
      <c r="G2959" s="17"/>
      <c r="Z2959" s="22"/>
      <c r="AB2959" s="22"/>
    </row>
    <row r="2960" spans="1:28">
      <c r="A2960" s="19"/>
      <c r="B2960" s="12"/>
      <c r="C2960" s="24"/>
      <c r="D2960" s="12"/>
      <c r="E2960" s="23"/>
      <c r="F2960" s="17"/>
      <c r="G2960" s="17"/>
      <c r="Z2960" s="22"/>
      <c r="AB2960" s="22"/>
    </row>
    <row r="2961" spans="1:28">
      <c r="A2961" s="19"/>
      <c r="B2961" s="12"/>
      <c r="C2961" s="24"/>
      <c r="D2961" s="12"/>
      <c r="E2961" s="23"/>
      <c r="F2961" s="17"/>
      <c r="G2961" s="17"/>
      <c r="Z2961" s="22"/>
      <c r="AB2961" s="22"/>
    </row>
    <row r="2962" spans="1:28">
      <c r="A2962" s="19"/>
      <c r="B2962" s="12"/>
      <c r="C2962" s="24"/>
      <c r="D2962" s="12"/>
      <c r="E2962" s="23"/>
      <c r="F2962" s="17"/>
      <c r="G2962" s="17"/>
      <c r="Z2962" s="22"/>
      <c r="AB2962" s="22"/>
    </row>
    <row r="2963" spans="1:28">
      <c r="A2963" s="19"/>
      <c r="B2963" s="12"/>
      <c r="C2963" s="24"/>
      <c r="D2963" s="12"/>
      <c r="E2963" s="23"/>
      <c r="F2963" s="17"/>
      <c r="G2963" s="17"/>
      <c r="Z2963" s="22"/>
      <c r="AB2963" s="22"/>
    </row>
    <row r="2964" spans="1:28">
      <c r="A2964" s="19"/>
      <c r="B2964" s="12"/>
      <c r="C2964" s="24"/>
      <c r="D2964" s="12"/>
      <c r="E2964" s="23"/>
      <c r="F2964" s="17"/>
      <c r="G2964" s="17"/>
      <c r="Z2964" s="22"/>
      <c r="AB2964" s="22"/>
    </row>
    <row r="2965" spans="1:28">
      <c r="A2965" s="19"/>
      <c r="B2965" s="12"/>
      <c r="C2965" s="24"/>
      <c r="D2965" s="12"/>
      <c r="E2965" s="23"/>
      <c r="F2965" s="17"/>
      <c r="G2965" s="17"/>
      <c r="Z2965" s="22"/>
      <c r="AB2965" s="22"/>
    </row>
    <row r="2966" spans="1:28">
      <c r="A2966" s="19"/>
      <c r="B2966" s="12"/>
      <c r="C2966" s="24"/>
      <c r="D2966" s="12"/>
      <c r="E2966" s="23"/>
      <c r="F2966" s="17"/>
      <c r="G2966" s="17"/>
      <c r="Z2966" s="22"/>
      <c r="AB2966" s="22"/>
    </row>
    <row r="2967" spans="1:28">
      <c r="A2967" s="19"/>
      <c r="B2967" s="12"/>
      <c r="C2967" s="24"/>
      <c r="D2967" s="12"/>
      <c r="E2967" s="23"/>
      <c r="F2967" s="17"/>
      <c r="G2967" s="17"/>
      <c r="Z2967" s="22"/>
      <c r="AB2967" s="22"/>
    </row>
    <row r="2968" spans="1:28">
      <c r="A2968" s="19"/>
      <c r="B2968" s="12"/>
      <c r="C2968" s="24"/>
      <c r="D2968" s="12"/>
      <c r="E2968" s="23"/>
      <c r="F2968" s="17"/>
      <c r="G2968" s="17"/>
      <c r="Z2968" s="22"/>
      <c r="AB2968" s="22"/>
    </row>
    <row r="2969" spans="1:28">
      <c r="A2969" s="19"/>
      <c r="B2969" s="12"/>
      <c r="C2969" s="24"/>
      <c r="D2969" s="12"/>
      <c r="E2969" s="23"/>
      <c r="F2969" s="17"/>
      <c r="G2969" s="17"/>
      <c r="Z2969" s="22"/>
      <c r="AB2969" s="22"/>
    </row>
    <row r="2970" spans="1:28">
      <c r="A2970" s="19"/>
      <c r="B2970" s="12"/>
      <c r="C2970" s="24"/>
      <c r="D2970" s="12"/>
      <c r="E2970" s="23"/>
      <c r="F2970" s="17"/>
      <c r="G2970" s="17"/>
      <c r="Z2970" s="22"/>
      <c r="AB2970" s="22"/>
    </row>
    <row r="2971" spans="1:28">
      <c r="A2971" s="19"/>
      <c r="B2971" s="12"/>
      <c r="C2971" s="24"/>
      <c r="D2971" s="12"/>
      <c r="E2971" s="23"/>
      <c r="F2971" s="17"/>
      <c r="G2971" s="17"/>
      <c r="Z2971" s="22"/>
      <c r="AB2971" s="22"/>
    </row>
    <row r="2972" spans="1:28">
      <c r="A2972" s="19"/>
      <c r="B2972" s="12"/>
      <c r="C2972" s="24"/>
      <c r="D2972" s="12"/>
      <c r="E2972" s="23"/>
      <c r="F2972" s="17"/>
      <c r="G2972" s="17"/>
      <c r="Z2972" s="22"/>
      <c r="AB2972" s="22"/>
    </row>
    <row r="2973" spans="1:28">
      <c r="A2973" s="19"/>
      <c r="B2973" s="12"/>
      <c r="C2973" s="24"/>
      <c r="D2973" s="12"/>
      <c r="E2973" s="23"/>
      <c r="F2973" s="17"/>
      <c r="G2973" s="17"/>
      <c r="Z2973" s="22"/>
      <c r="AB2973" s="22"/>
    </row>
    <row r="2974" spans="1:28">
      <c r="A2974" s="19"/>
      <c r="B2974" s="12"/>
      <c r="C2974" s="24"/>
      <c r="D2974" s="12"/>
      <c r="E2974" s="23"/>
      <c r="F2974" s="17"/>
      <c r="G2974" s="17"/>
      <c r="Z2974" s="22"/>
      <c r="AB2974" s="22"/>
    </row>
    <row r="2975" spans="1:28">
      <c r="A2975" s="19"/>
      <c r="B2975" s="12"/>
      <c r="C2975" s="24"/>
      <c r="D2975" s="12"/>
      <c r="E2975" s="23"/>
      <c r="F2975" s="17"/>
      <c r="G2975" s="17"/>
      <c r="Z2975" s="22"/>
      <c r="AB2975" s="22"/>
    </row>
    <row r="2976" spans="1:28">
      <c r="A2976" s="19"/>
      <c r="B2976" s="12"/>
      <c r="C2976" s="24"/>
      <c r="D2976" s="12"/>
      <c r="E2976" s="23"/>
      <c r="F2976" s="17"/>
      <c r="G2976" s="17"/>
      <c r="Z2976" s="22"/>
      <c r="AB2976" s="22"/>
    </row>
    <row r="2977" spans="1:28">
      <c r="A2977" s="19"/>
      <c r="B2977" s="12"/>
      <c r="C2977" s="24"/>
      <c r="D2977" s="12"/>
      <c r="E2977" s="23"/>
      <c r="F2977" s="17"/>
      <c r="G2977" s="17"/>
      <c r="Z2977" s="22"/>
      <c r="AB2977" s="22"/>
    </row>
    <row r="2978" spans="1:28">
      <c r="A2978" s="19"/>
      <c r="B2978" s="12"/>
      <c r="C2978" s="24"/>
      <c r="D2978" s="12"/>
      <c r="E2978" s="23"/>
      <c r="F2978" s="17"/>
      <c r="G2978" s="17"/>
      <c r="Z2978" s="22"/>
      <c r="AB2978" s="22"/>
    </row>
    <row r="2979" spans="1:28">
      <c r="A2979" s="19"/>
      <c r="B2979" s="12"/>
      <c r="C2979" s="24"/>
      <c r="D2979" s="12"/>
      <c r="E2979" s="23"/>
      <c r="F2979" s="17"/>
      <c r="G2979" s="17"/>
      <c r="Z2979" s="22"/>
      <c r="AB2979" s="22"/>
    </row>
    <row r="2980" spans="1:28">
      <c r="A2980" s="19"/>
      <c r="B2980" s="12"/>
      <c r="C2980" s="24"/>
      <c r="D2980" s="12"/>
      <c r="E2980" s="23"/>
      <c r="F2980" s="17"/>
      <c r="G2980" s="17"/>
      <c r="Z2980" s="22"/>
      <c r="AB2980" s="22"/>
    </row>
    <row r="2981" spans="1:28">
      <c r="A2981" s="19"/>
      <c r="B2981" s="12"/>
      <c r="C2981" s="24"/>
      <c r="D2981" s="12"/>
      <c r="E2981" s="23"/>
      <c r="F2981" s="17"/>
      <c r="G2981" s="17"/>
      <c r="Z2981" s="22"/>
      <c r="AB2981" s="22"/>
    </row>
    <row r="2982" spans="1:28">
      <c r="A2982" s="19"/>
      <c r="B2982" s="12"/>
      <c r="C2982" s="24"/>
      <c r="D2982" s="12"/>
      <c r="E2982" s="23"/>
      <c r="F2982" s="17"/>
      <c r="G2982" s="17"/>
      <c r="Z2982" s="22"/>
      <c r="AB2982" s="22"/>
    </row>
    <row r="2983" spans="1:28">
      <c r="A2983" s="19"/>
      <c r="B2983" s="12"/>
      <c r="C2983" s="24"/>
      <c r="D2983" s="12"/>
      <c r="E2983" s="23"/>
      <c r="F2983" s="17"/>
      <c r="G2983" s="17"/>
      <c r="Z2983" s="22"/>
      <c r="AB2983" s="22"/>
    </row>
    <row r="2984" spans="1:28">
      <c r="A2984" s="19"/>
      <c r="B2984" s="12"/>
      <c r="C2984" s="24"/>
      <c r="D2984" s="12"/>
      <c r="E2984" s="23"/>
      <c r="F2984" s="17"/>
      <c r="G2984" s="17"/>
      <c r="Z2984" s="22"/>
      <c r="AB2984" s="22"/>
    </row>
    <row r="2985" spans="1:28">
      <c r="A2985" s="19"/>
      <c r="B2985" s="12"/>
      <c r="C2985" s="24"/>
      <c r="D2985" s="12"/>
      <c r="E2985" s="23"/>
      <c r="F2985" s="17"/>
      <c r="G2985" s="17"/>
      <c r="Z2985" s="22"/>
      <c r="AB2985" s="22"/>
    </row>
    <row r="2986" spans="1:28">
      <c r="A2986" s="19"/>
      <c r="B2986" s="12"/>
      <c r="C2986" s="24"/>
      <c r="D2986" s="12"/>
      <c r="E2986" s="23"/>
      <c r="F2986" s="17"/>
      <c r="G2986" s="17"/>
      <c r="Z2986" s="22"/>
      <c r="AB2986" s="22"/>
    </row>
    <row r="2987" spans="1:28">
      <c r="A2987" s="19"/>
      <c r="B2987" s="12"/>
      <c r="C2987" s="24"/>
      <c r="D2987" s="12"/>
      <c r="E2987" s="23"/>
      <c r="F2987" s="17"/>
      <c r="G2987" s="17"/>
      <c r="Z2987" s="22"/>
      <c r="AB2987" s="22"/>
    </row>
    <row r="2988" spans="1:28">
      <c r="A2988" s="19"/>
      <c r="B2988" s="12"/>
      <c r="C2988" s="24"/>
      <c r="D2988" s="12"/>
      <c r="E2988" s="23"/>
      <c r="F2988" s="17"/>
      <c r="G2988" s="17"/>
      <c r="Z2988" s="22"/>
      <c r="AB2988" s="22"/>
    </row>
    <row r="2989" spans="1:28">
      <c r="A2989" s="19"/>
      <c r="B2989" s="12"/>
      <c r="C2989" s="24"/>
      <c r="D2989" s="12"/>
      <c r="E2989" s="23"/>
      <c r="F2989" s="17"/>
      <c r="G2989" s="17"/>
      <c r="Z2989" s="22"/>
      <c r="AB2989" s="22"/>
    </row>
    <row r="2990" spans="1:28">
      <c r="A2990" s="19"/>
      <c r="B2990" s="12"/>
      <c r="C2990" s="24"/>
      <c r="D2990" s="12"/>
      <c r="E2990" s="23"/>
      <c r="F2990" s="17"/>
      <c r="G2990" s="17"/>
      <c r="Z2990" s="22"/>
      <c r="AB2990" s="22"/>
    </row>
    <row r="2991" spans="1:28">
      <c r="A2991" s="19"/>
      <c r="B2991" s="12"/>
      <c r="C2991" s="24"/>
      <c r="D2991" s="12"/>
      <c r="E2991" s="23"/>
      <c r="F2991" s="17"/>
      <c r="G2991" s="17"/>
      <c r="Z2991" s="22"/>
      <c r="AB2991" s="22"/>
    </row>
    <row r="2992" spans="1:28">
      <c r="A2992" s="19"/>
      <c r="B2992" s="12"/>
      <c r="C2992" s="24"/>
      <c r="D2992" s="12"/>
      <c r="E2992" s="23"/>
      <c r="F2992" s="17"/>
      <c r="G2992" s="17"/>
      <c r="Z2992" s="22"/>
      <c r="AB2992" s="22"/>
    </row>
    <row r="2993" spans="1:28">
      <c r="A2993" s="19"/>
      <c r="B2993" s="12"/>
      <c r="C2993" s="24"/>
      <c r="D2993" s="12"/>
      <c r="E2993" s="23"/>
      <c r="F2993" s="17"/>
      <c r="G2993" s="17"/>
      <c r="Z2993" s="22"/>
      <c r="AB2993" s="22"/>
    </row>
    <row r="2994" spans="1:28">
      <c r="A2994" s="19"/>
      <c r="B2994" s="12"/>
      <c r="C2994" s="24"/>
      <c r="D2994" s="12"/>
      <c r="E2994" s="23"/>
      <c r="F2994" s="17"/>
      <c r="G2994" s="17"/>
      <c r="Z2994" s="22"/>
      <c r="AB2994" s="22"/>
    </row>
    <row r="2995" spans="1:28">
      <c r="A2995" s="19"/>
      <c r="B2995" s="12"/>
      <c r="C2995" s="24"/>
      <c r="D2995" s="12"/>
      <c r="E2995" s="23"/>
      <c r="F2995" s="17"/>
      <c r="G2995" s="17"/>
      <c r="Z2995" s="22"/>
      <c r="AB2995" s="22"/>
    </row>
    <row r="2996" spans="1:28">
      <c r="A2996" s="19"/>
      <c r="B2996" s="12"/>
      <c r="C2996" s="24"/>
      <c r="D2996" s="12"/>
      <c r="E2996" s="23"/>
      <c r="F2996" s="17"/>
      <c r="G2996" s="17"/>
      <c r="Z2996" s="22"/>
      <c r="AB2996" s="22"/>
    </row>
    <row r="2997" spans="1:28">
      <c r="A2997" s="19"/>
      <c r="B2997" s="12"/>
      <c r="C2997" s="24"/>
      <c r="D2997" s="12"/>
      <c r="E2997" s="23"/>
      <c r="F2997" s="17"/>
      <c r="G2997" s="17"/>
      <c r="Z2997" s="22"/>
      <c r="AB2997" s="22"/>
    </row>
    <row r="2998" spans="1:28">
      <c r="A2998" s="19"/>
      <c r="B2998" s="12"/>
      <c r="C2998" s="24"/>
      <c r="D2998" s="12"/>
      <c r="E2998" s="23"/>
      <c r="F2998" s="17"/>
      <c r="G2998" s="17"/>
      <c r="Z2998" s="22"/>
      <c r="AB2998" s="22"/>
    </row>
    <row r="2999" spans="1:28">
      <c r="A2999" s="19"/>
      <c r="B2999" s="12"/>
      <c r="C2999" s="24"/>
      <c r="D2999" s="12"/>
      <c r="E2999" s="23"/>
      <c r="F2999" s="17"/>
      <c r="G2999" s="17"/>
      <c r="Z2999" s="22"/>
      <c r="AB2999" s="22"/>
    </row>
    <row r="3000" spans="1:28">
      <c r="A3000" s="19"/>
      <c r="B3000" s="12"/>
      <c r="C3000" s="24"/>
      <c r="D3000" s="12"/>
      <c r="E3000" s="23"/>
      <c r="F3000" s="17"/>
      <c r="G3000" s="17"/>
      <c r="Z3000" s="22"/>
      <c r="AB3000" s="22"/>
    </row>
    <row r="3001" spans="1:28">
      <c r="A3001" s="19"/>
      <c r="B3001" s="12"/>
      <c r="C3001" s="24"/>
      <c r="D3001" s="12"/>
      <c r="E3001" s="23"/>
      <c r="F3001" s="17"/>
      <c r="G3001" s="17"/>
      <c r="Z3001" s="22"/>
      <c r="AB3001" s="22"/>
    </row>
    <row r="3002" spans="1:28">
      <c r="A3002" s="19"/>
      <c r="B3002" s="12"/>
      <c r="C3002" s="24"/>
      <c r="D3002" s="12"/>
      <c r="E3002" s="23"/>
      <c r="F3002" s="17"/>
      <c r="G3002" s="17"/>
      <c r="Z3002" s="22"/>
      <c r="AB3002" s="22"/>
    </row>
    <row r="3003" spans="1:28">
      <c r="A3003" s="19"/>
      <c r="B3003" s="12"/>
      <c r="C3003" s="24"/>
      <c r="D3003" s="12"/>
      <c r="E3003" s="23"/>
      <c r="F3003" s="17"/>
      <c r="G3003" s="17"/>
      <c r="Z3003" s="22"/>
      <c r="AB3003" s="22"/>
    </row>
    <row r="3004" spans="1:28">
      <c r="A3004" s="19"/>
      <c r="B3004" s="12"/>
      <c r="C3004" s="24"/>
      <c r="D3004" s="12"/>
      <c r="E3004" s="23"/>
      <c r="F3004" s="17"/>
      <c r="G3004" s="17"/>
      <c r="Z3004" s="22"/>
      <c r="AB3004" s="22"/>
    </row>
    <row r="3005" spans="1:28">
      <c r="A3005" s="19"/>
      <c r="B3005" s="12"/>
      <c r="C3005" s="24"/>
      <c r="D3005" s="12"/>
      <c r="E3005" s="23"/>
      <c r="F3005" s="17"/>
      <c r="G3005" s="17"/>
      <c r="Z3005" s="22"/>
      <c r="AB3005" s="22"/>
    </row>
    <row r="3006" spans="1:28">
      <c r="A3006" s="19"/>
      <c r="B3006" s="12"/>
      <c r="C3006" s="24"/>
      <c r="D3006" s="12"/>
      <c r="E3006" s="23"/>
      <c r="F3006" s="17"/>
      <c r="G3006" s="17"/>
      <c r="Z3006" s="22"/>
      <c r="AB3006" s="22"/>
    </row>
    <row r="3007" spans="1:28">
      <c r="A3007" s="19"/>
      <c r="B3007" s="12"/>
      <c r="C3007" s="24"/>
      <c r="D3007" s="12"/>
      <c r="E3007" s="23"/>
      <c r="F3007" s="17"/>
      <c r="G3007" s="17"/>
      <c r="Z3007" s="22"/>
      <c r="AB3007" s="22"/>
    </row>
    <row r="3008" spans="1:28">
      <c r="A3008" s="19"/>
      <c r="B3008" s="12"/>
      <c r="C3008" s="24"/>
      <c r="D3008" s="12"/>
      <c r="E3008" s="23"/>
      <c r="F3008" s="17"/>
      <c r="G3008" s="17"/>
      <c r="Z3008" s="22"/>
      <c r="AB3008" s="22"/>
    </row>
    <row r="3009" spans="1:28">
      <c r="A3009" s="19"/>
      <c r="B3009" s="12"/>
      <c r="C3009" s="24"/>
      <c r="D3009" s="12"/>
      <c r="E3009" s="23"/>
      <c r="F3009" s="17"/>
      <c r="G3009" s="17"/>
      <c r="Z3009" s="22"/>
      <c r="AB3009" s="22"/>
    </row>
    <row r="3010" spans="1:28">
      <c r="A3010" s="19"/>
      <c r="B3010" s="12"/>
      <c r="C3010" s="24"/>
      <c r="D3010" s="12"/>
      <c r="E3010" s="23"/>
      <c r="F3010" s="17"/>
      <c r="G3010" s="17"/>
      <c r="Z3010" s="22"/>
      <c r="AB3010" s="22"/>
    </row>
    <row r="3011" spans="1:28">
      <c r="A3011" s="19"/>
      <c r="B3011" s="12"/>
      <c r="C3011" s="24"/>
      <c r="D3011" s="12"/>
      <c r="E3011" s="23"/>
      <c r="F3011" s="17"/>
      <c r="G3011" s="17"/>
      <c r="Z3011" s="22"/>
      <c r="AB3011" s="22"/>
    </row>
    <row r="3012" spans="1:28">
      <c r="A3012" s="19"/>
      <c r="B3012" s="12"/>
      <c r="C3012" s="24"/>
      <c r="D3012" s="12"/>
      <c r="E3012" s="23"/>
      <c r="F3012" s="17"/>
      <c r="G3012" s="17"/>
      <c r="Z3012" s="22"/>
      <c r="AB3012" s="22"/>
    </row>
    <row r="3013" spans="1:28">
      <c r="A3013" s="19"/>
      <c r="B3013" s="12"/>
      <c r="C3013" s="24"/>
      <c r="D3013" s="12"/>
      <c r="E3013" s="23"/>
      <c r="F3013" s="17"/>
      <c r="G3013" s="17"/>
      <c r="Z3013" s="22"/>
      <c r="AB3013" s="22"/>
    </row>
    <row r="3014" spans="1:28">
      <c r="A3014" s="19"/>
      <c r="B3014" s="12"/>
      <c r="C3014" s="24"/>
      <c r="D3014" s="12"/>
      <c r="E3014" s="23"/>
      <c r="F3014" s="17"/>
      <c r="G3014" s="17"/>
      <c r="Z3014" s="22"/>
      <c r="AB3014" s="22"/>
    </row>
    <row r="3015" spans="1:28">
      <c r="A3015" s="19"/>
      <c r="B3015" s="12"/>
      <c r="C3015" s="24"/>
      <c r="D3015" s="12"/>
      <c r="E3015" s="23"/>
      <c r="F3015" s="17"/>
      <c r="G3015" s="17"/>
      <c r="Z3015" s="22"/>
      <c r="AB3015" s="22"/>
    </row>
    <row r="3016" spans="1:28">
      <c r="A3016" s="19"/>
      <c r="B3016" s="12"/>
      <c r="C3016" s="24"/>
      <c r="D3016" s="12"/>
      <c r="E3016" s="23"/>
      <c r="F3016" s="17"/>
      <c r="G3016" s="17"/>
      <c r="Z3016" s="22"/>
      <c r="AB3016" s="22"/>
    </row>
    <row r="3017" spans="1:28">
      <c r="A3017" s="19"/>
      <c r="B3017" s="12"/>
      <c r="C3017" s="24"/>
      <c r="D3017" s="12"/>
      <c r="E3017" s="23"/>
      <c r="F3017" s="17"/>
      <c r="G3017" s="17"/>
      <c r="Z3017" s="22"/>
      <c r="AB3017" s="22"/>
    </row>
    <row r="3018" spans="1:28">
      <c r="A3018" s="19"/>
      <c r="B3018" s="12"/>
      <c r="C3018" s="24"/>
      <c r="D3018" s="12"/>
      <c r="E3018" s="23"/>
      <c r="F3018" s="17"/>
      <c r="G3018" s="17"/>
      <c r="Z3018" s="22"/>
      <c r="AB3018" s="22"/>
    </row>
    <row r="3019" spans="1:28">
      <c r="A3019" s="19"/>
      <c r="B3019" s="12"/>
      <c r="C3019" s="24"/>
      <c r="D3019" s="12"/>
      <c r="E3019" s="23"/>
      <c r="F3019" s="17"/>
      <c r="G3019" s="17"/>
      <c r="Z3019" s="22"/>
      <c r="AB3019" s="22"/>
    </row>
    <row r="3020" spans="1:28">
      <c r="A3020" s="19"/>
      <c r="B3020" s="12"/>
      <c r="C3020" s="24"/>
      <c r="D3020" s="12"/>
      <c r="E3020" s="23"/>
      <c r="F3020" s="17"/>
      <c r="G3020" s="17"/>
      <c r="Z3020" s="22"/>
      <c r="AB3020" s="22"/>
    </row>
    <row r="3021" spans="1:28">
      <c r="A3021" s="19"/>
      <c r="B3021" s="12"/>
      <c r="C3021" s="24"/>
      <c r="D3021" s="12"/>
      <c r="E3021" s="23"/>
      <c r="F3021" s="17"/>
      <c r="G3021" s="17"/>
      <c r="Z3021" s="22"/>
      <c r="AB3021" s="22"/>
    </row>
    <row r="3022" spans="1:28">
      <c r="A3022" s="19"/>
      <c r="B3022" s="12"/>
      <c r="C3022" s="24"/>
      <c r="D3022" s="12"/>
      <c r="E3022" s="23"/>
      <c r="F3022" s="17"/>
      <c r="G3022" s="17"/>
      <c r="Z3022" s="22"/>
      <c r="AB3022" s="22"/>
    </row>
    <row r="3023" spans="1:28">
      <c r="A3023" s="19"/>
      <c r="B3023" s="12"/>
      <c r="C3023" s="24"/>
      <c r="D3023" s="12"/>
      <c r="E3023" s="23"/>
      <c r="F3023" s="17"/>
      <c r="G3023" s="17"/>
      <c r="Z3023" s="22"/>
      <c r="AB3023" s="22"/>
    </row>
    <row r="3024" spans="1:28">
      <c r="A3024" s="19"/>
      <c r="B3024" s="12"/>
      <c r="C3024" s="24"/>
      <c r="D3024" s="12"/>
      <c r="E3024" s="23"/>
      <c r="F3024" s="17"/>
      <c r="G3024" s="17"/>
      <c r="Z3024" s="22"/>
      <c r="AB3024" s="22"/>
    </row>
    <row r="3025" spans="1:28">
      <c r="A3025" s="19"/>
      <c r="B3025" s="12"/>
      <c r="C3025" s="24"/>
      <c r="D3025" s="12"/>
      <c r="E3025" s="23"/>
      <c r="F3025" s="17"/>
      <c r="G3025" s="17"/>
      <c r="Z3025" s="22"/>
      <c r="AB3025" s="22"/>
    </row>
    <row r="3026" spans="1:28">
      <c r="A3026" s="19"/>
      <c r="B3026" s="12"/>
      <c r="C3026" s="24"/>
      <c r="D3026" s="12"/>
      <c r="E3026" s="23"/>
      <c r="F3026" s="17"/>
      <c r="G3026" s="17"/>
      <c r="Z3026" s="22"/>
      <c r="AB3026" s="22"/>
    </row>
    <row r="3027" spans="1:28">
      <c r="A3027" s="19"/>
      <c r="B3027" s="12"/>
      <c r="C3027" s="24"/>
      <c r="D3027" s="12"/>
      <c r="E3027" s="23"/>
      <c r="F3027" s="17"/>
      <c r="G3027" s="17"/>
      <c r="Z3027" s="22"/>
      <c r="AB3027" s="22"/>
    </row>
    <row r="3028" spans="1:28">
      <c r="A3028" s="19"/>
      <c r="B3028" s="12"/>
      <c r="C3028" s="24"/>
      <c r="D3028" s="12"/>
      <c r="E3028" s="23"/>
      <c r="F3028" s="17"/>
      <c r="G3028" s="17"/>
      <c r="Z3028" s="22"/>
      <c r="AB3028" s="22"/>
    </row>
    <row r="3029" spans="1:28">
      <c r="A3029" s="19"/>
      <c r="B3029" s="12"/>
      <c r="C3029" s="24"/>
      <c r="D3029" s="12"/>
      <c r="E3029" s="23"/>
      <c r="F3029" s="17"/>
      <c r="G3029" s="17"/>
      <c r="Z3029" s="22"/>
      <c r="AB3029" s="22"/>
    </row>
    <row r="3030" spans="1:28">
      <c r="A3030" s="19"/>
      <c r="B3030" s="12"/>
      <c r="C3030" s="24"/>
      <c r="D3030" s="12"/>
      <c r="E3030" s="23"/>
      <c r="F3030" s="17"/>
      <c r="G3030" s="17"/>
      <c r="Z3030" s="22"/>
      <c r="AB3030" s="22"/>
    </row>
    <row r="3031" spans="1:28">
      <c r="A3031" s="19"/>
      <c r="B3031" s="12"/>
      <c r="C3031" s="24"/>
      <c r="D3031" s="12"/>
      <c r="E3031" s="23"/>
      <c r="F3031" s="17"/>
      <c r="G3031" s="17"/>
      <c r="Z3031" s="22"/>
      <c r="AB3031" s="22"/>
    </row>
    <row r="3032" spans="1:28">
      <c r="A3032" s="19"/>
      <c r="B3032" s="12"/>
      <c r="C3032" s="24"/>
      <c r="D3032" s="12"/>
      <c r="E3032" s="23"/>
      <c r="F3032" s="17"/>
      <c r="G3032" s="17"/>
      <c r="Z3032" s="22"/>
      <c r="AB3032" s="22"/>
    </row>
    <row r="3033" spans="1:28">
      <c r="A3033" s="19"/>
      <c r="B3033" s="12"/>
      <c r="C3033" s="24"/>
      <c r="D3033" s="12"/>
      <c r="E3033" s="23"/>
      <c r="F3033" s="17"/>
      <c r="G3033" s="17"/>
      <c r="Z3033" s="22"/>
      <c r="AB3033" s="22"/>
    </row>
    <row r="3034" spans="1:28">
      <c r="A3034" s="19"/>
      <c r="B3034" s="12"/>
      <c r="C3034" s="24"/>
      <c r="D3034" s="12"/>
      <c r="E3034" s="23"/>
      <c r="F3034" s="17"/>
      <c r="G3034" s="17"/>
      <c r="Z3034" s="22"/>
      <c r="AB3034" s="22"/>
    </row>
    <row r="3035" spans="1:28">
      <c r="A3035" s="19"/>
      <c r="B3035" s="12"/>
      <c r="C3035" s="24"/>
      <c r="D3035" s="12"/>
      <c r="E3035" s="23"/>
      <c r="F3035" s="17"/>
      <c r="G3035" s="17"/>
      <c r="Z3035" s="22"/>
      <c r="AB3035" s="22"/>
    </row>
    <row r="3036" spans="1:28">
      <c r="A3036" s="19"/>
      <c r="B3036" s="12"/>
      <c r="C3036" s="24"/>
      <c r="D3036" s="12"/>
      <c r="E3036" s="23"/>
      <c r="F3036" s="17"/>
      <c r="G3036" s="17"/>
      <c r="Z3036" s="22"/>
      <c r="AB3036" s="22"/>
    </row>
    <row r="3037" spans="1:28">
      <c r="A3037" s="19"/>
      <c r="B3037" s="12"/>
      <c r="C3037" s="24"/>
      <c r="D3037" s="12"/>
      <c r="E3037" s="23"/>
      <c r="F3037" s="17"/>
      <c r="G3037" s="17"/>
      <c r="Z3037" s="22"/>
      <c r="AB3037" s="22"/>
    </row>
    <row r="3038" spans="1:28">
      <c r="A3038" s="19"/>
      <c r="B3038" s="12"/>
      <c r="C3038" s="24"/>
      <c r="D3038" s="12"/>
      <c r="E3038" s="23"/>
      <c r="F3038" s="17"/>
      <c r="G3038" s="17"/>
      <c r="Z3038" s="22"/>
      <c r="AB3038" s="22"/>
    </row>
    <row r="3039" spans="1:28">
      <c r="A3039" s="19"/>
      <c r="B3039" s="12"/>
      <c r="C3039" s="24"/>
      <c r="D3039" s="12"/>
      <c r="E3039" s="23"/>
      <c r="F3039" s="17"/>
      <c r="G3039" s="17"/>
      <c r="Z3039" s="22"/>
      <c r="AB3039" s="22"/>
    </row>
    <row r="3040" spans="1:28">
      <c r="A3040" s="19"/>
      <c r="B3040" s="12"/>
      <c r="C3040" s="24"/>
      <c r="D3040" s="12"/>
      <c r="E3040" s="23"/>
      <c r="F3040" s="17"/>
      <c r="G3040" s="17"/>
      <c r="Z3040" s="22"/>
      <c r="AB3040" s="22"/>
    </row>
    <row r="3041" spans="1:28">
      <c r="A3041" s="19"/>
      <c r="B3041" s="12"/>
      <c r="C3041" s="24"/>
      <c r="D3041" s="12"/>
      <c r="E3041" s="23"/>
      <c r="F3041" s="17"/>
      <c r="G3041" s="17"/>
      <c r="Z3041" s="22"/>
      <c r="AB3041" s="22"/>
    </row>
    <row r="3042" spans="1:28">
      <c r="A3042" s="19"/>
      <c r="B3042" s="12"/>
      <c r="C3042" s="24"/>
      <c r="D3042" s="12"/>
      <c r="E3042" s="23"/>
      <c r="F3042" s="17"/>
      <c r="G3042" s="17"/>
      <c r="Z3042" s="22"/>
      <c r="AB3042" s="22"/>
    </row>
    <row r="3043" spans="1:28">
      <c r="A3043" s="19"/>
      <c r="B3043" s="12"/>
      <c r="C3043" s="24"/>
      <c r="D3043" s="12"/>
      <c r="E3043" s="23"/>
      <c r="F3043" s="17"/>
      <c r="G3043" s="17"/>
      <c r="Z3043" s="22"/>
      <c r="AB3043" s="22"/>
    </row>
    <row r="3044" spans="1:28">
      <c r="A3044" s="19"/>
      <c r="B3044" s="12"/>
      <c r="C3044" s="24"/>
      <c r="D3044" s="12"/>
      <c r="E3044" s="23"/>
      <c r="F3044" s="17"/>
      <c r="G3044" s="17"/>
      <c r="Z3044" s="22"/>
      <c r="AB3044" s="22"/>
    </row>
    <row r="3045" spans="1:28">
      <c r="A3045" s="19"/>
      <c r="B3045" s="12"/>
      <c r="C3045" s="24"/>
      <c r="D3045" s="12"/>
      <c r="E3045" s="23"/>
      <c r="F3045" s="17"/>
      <c r="G3045" s="17"/>
      <c r="Z3045" s="22"/>
      <c r="AB3045" s="22"/>
    </row>
    <row r="3046" spans="1:28">
      <c r="A3046" s="19"/>
      <c r="B3046" s="12"/>
      <c r="C3046" s="24"/>
      <c r="D3046" s="12"/>
      <c r="E3046" s="23"/>
      <c r="F3046" s="17"/>
      <c r="G3046" s="17"/>
      <c r="Z3046" s="22"/>
      <c r="AB3046" s="22"/>
    </row>
    <row r="3047" spans="1:28">
      <c r="A3047" s="19"/>
      <c r="B3047" s="12"/>
      <c r="C3047" s="24"/>
      <c r="D3047" s="12"/>
      <c r="E3047" s="23"/>
      <c r="F3047" s="17"/>
      <c r="G3047" s="17"/>
      <c r="Z3047" s="22"/>
      <c r="AB3047" s="22"/>
    </row>
    <row r="3048" spans="1:28">
      <c r="A3048" s="19"/>
      <c r="B3048" s="12"/>
      <c r="C3048" s="24"/>
      <c r="D3048" s="12"/>
      <c r="E3048" s="23"/>
      <c r="F3048" s="17"/>
      <c r="G3048" s="17"/>
      <c r="Z3048" s="22"/>
      <c r="AB3048" s="22"/>
    </row>
    <row r="3049" spans="1:28">
      <c r="A3049" s="19"/>
      <c r="B3049" s="12"/>
      <c r="C3049" s="24"/>
      <c r="D3049" s="12"/>
      <c r="E3049" s="23"/>
      <c r="F3049" s="17"/>
      <c r="G3049" s="17"/>
      <c r="Z3049" s="22"/>
      <c r="AB3049" s="22"/>
    </row>
    <row r="3050" spans="1:28">
      <c r="A3050" s="19"/>
      <c r="B3050" s="12"/>
      <c r="C3050" s="24"/>
      <c r="D3050" s="12"/>
      <c r="E3050" s="23"/>
      <c r="F3050" s="17"/>
      <c r="G3050" s="17"/>
      <c r="Z3050" s="22"/>
      <c r="AB3050" s="22"/>
    </row>
    <row r="3051" spans="1:28">
      <c r="A3051" s="19"/>
      <c r="B3051" s="12"/>
      <c r="C3051" s="24"/>
      <c r="D3051" s="12"/>
      <c r="E3051" s="23"/>
      <c r="F3051" s="17"/>
      <c r="G3051" s="17"/>
      <c r="Z3051" s="22"/>
      <c r="AB3051" s="22"/>
    </row>
    <row r="3052" spans="1:28">
      <c r="A3052" s="19"/>
      <c r="B3052" s="12"/>
      <c r="C3052" s="24"/>
      <c r="D3052" s="12"/>
      <c r="E3052" s="23"/>
      <c r="F3052" s="17"/>
      <c r="G3052" s="17"/>
      <c r="Z3052" s="22"/>
      <c r="AB3052" s="22"/>
    </row>
    <row r="3053" spans="1:28">
      <c r="A3053" s="19"/>
      <c r="B3053" s="12"/>
      <c r="C3053" s="24"/>
      <c r="D3053" s="12"/>
      <c r="E3053" s="23"/>
      <c r="F3053" s="17"/>
      <c r="G3053" s="17"/>
      <c r="Z3053" s="22"/>
      <c r="AB3053" s="22"/>
    </row>
    <row r="3054" spans="1:28">
      <c r="A3054" s="19"/>
      <c r="B3054" s="12"/>
      <c r="C3054" s="24"/>
      <c r="D3054" s="12"/>
      <c r="E3054" s="23"/>
      <c r="F3054" s="17"/>
      <c r="G3054" s="17"/>
      <c r="Z3054" s="22"/>
      <c r="AB3054" s="22"/>
    </row>
    <row r="3055" spans="1:28">
      <c r="A3055" s="19"/>
      <c r="B3055" s="12"/>
      <c r="C3055" s="24"/>
      <c r="D3055" s="12"/>
      <c r="E3055" s="23"/>
      <c r="F3055" s="17"/>
      <c r="G3055" s="17"/>
      <c r="Z3055" s="22"/>
      <c r="AB3055" s="22"/>
    </row>
    <row r="3056" spans="1:28">
      <c r="A3056" s="19"/>
      <c r="B3056" s="12"/>
      <c r="C3056" s="24"/>
      <c r="D3056" s="12"/>
      <c r="E3056" s="23"/>
      <c r="F3056" s="17"/>
      <c r="G3056" s="17"/>
      <c r="Z3056" s="22"/>
      <c r="AB3056" s="22"/>
    </row>
    <row r="3057" spans="1:28">
      <c r="A3057" s="19"/>
      <c r="B3057" s="12"/>
      <c r="C3057" s="24"/>
      <c r="D3057" s="12"/>
      <c r="E3057" s="23"/>
      <c r="F3057" s="17"/>
      <c r="G3057" s="17"/>
      <c r="Z3057" s="22"/>
      <c r="AB3057" s="22"/>
    </row>
    <row r="3058" spans="1:28">
      <c r="A3058" s="19"/>
      <c r="B3058" s="12"/>
      <c r="C3058" s="24"/>
      <c r="D3058" s="12"/>
      <c r="E3058" s="23"/>
      <c r="F3058" s="17"/>
      <c r="G3058" s="17"/>
      <c r="Z3058" s="22"/>
      <c r="AB3058" s="22"/>
    </row>
    <row r="3059" spans="1:28">
      <c r="A3059" s="19"/>
      <c r="B3059" s="12"/>
      <c r="C3059" s="24"/>
      <c r="D3059" s="12"/>
      <c r="E3059" s="23"/>
      <c r="F3059" s="17"/>
      <c r="G3059" s="17"/>
      <c r="Z3059" s="22"/>
      <c r="AB3059" s="22"/>
    </row>
    <row r="3060" spans="1:28">
      <c r="A3060" s="19"/>
      <c r="B3060" s="12"/>
      <c r="C3060" s="24"/>
      <c r="D3060" s="12"/>
      <c r="E3060" s="23"/>
      <c r="F3060" s="17"/>
      <c r="G3060" s="17"/>
      <c r="Z3060" s="22"/>
      <c r="AB3060" s="22"/>
    </row>
    <row r="3061" spans="1:28">
      <c r="A3061" s="19"/>
      <c r="B3061" s="12"/>
      <c r="C3061" s="24"/>
      <c r="D3061" s="12"/>
      <c r="E3061" s="23"/>
      <c r="F3061" s="17"/>
      <c r="G3061" s="17"/>
      <c r="Z3061" s="22"/>
      <c r="AB3061" s="22"/>
    </row>
    <row r="3062" spans="1:28">
      <c r="A3062" s="19"/>
      <c r="B3062" s="12"/>
      <c r="C3062" s="24"/>
      <c r="D3062" s="12"/>
      <c r="E3062" s="23"/>
      <c r="F3062" s="17"/>
      <c r="G3062" s="17"/>
      <c r="Z3062" s="22"/>
      <c r="AB3062" s="22"/>
    </row>
    <row r="3063" spans="1:28">
      <c r="A3063" s="19"/>
      <c r="B3063" s="12"/>
      <c r="C3063" s="24"/>
      <c r="D3063" s="12"/>
      <c r="E3063" s="23"/>
      <c r="F3063" s="17"/>
      <c r="G3063" s="17"/>
      <c r="Z3063" s="22"/>
      <c r="AB3063" s="22"/>
    </row>
    <row r="3064" spans="1:28">
      <c r="A3064" s="19"/>
      <c r="B3064" s="12"/>
      <c r="C3064" s="24"/>
      <c r="D3064" s="12"/>
      <c r="E3064" s="23"/>
      <c r="F3064" s="17"/>
      <c r="G3064" s="17"/>
      <c r="Z3064" s="22"/>
      <c r="AB3064" s="22"/>
    </row>
    <row r="3065" spans="1:28">
      <c r="A3065" s="19"/>
      <c r="B3065" s="12"/>
      <c r="C3065" s="24"/>
      <c r="D3065" s="12"/>
      <c r="E3065" s="23"/>
      <c r="F3065" s="17"/>
      <c r="G3065" s="17"/>
      <c r="Z3065" s="22"/>
      <c r="AB3065" s="22"/>
    </row>
    <row r="3066" spans="1:28">
      <c r="A3066" s="19"/>
      <c r="B3066" s="12"/>
      <c r="C3066" s="24"/>
      <c r="D3066" s="12"/>
      <c r="E3066" s="23"/>
      <c r="F3066" s="17"/>
      <c r="G3066" s="17"/>
      <c r="Z3066" s="22"/>
      <c r="AB3066" s="22"/>
    </row>
    <row r="3067" spans="1:28">
      <c r="A3067" s="19"/>
      <c r="B3067" s="12"/>
      <c r="C3067" s="24"/>
      <c r="D3067" s="12"/>
      <c r="E3067" s="23"/>
      <c r="F3067" s="17"/>
      <c r="G3067" s="17"/>
      <c r="Z3067" s="22"/>
      <c r="AB3067" s="22"/>
    </row>
    <row r="3068" spans="1:28">
      <c r="A3068" s="19"/>
      <c r="B3068" s="12"/>
      <c r="C3068" s="24"/>
      <c r="D3068" s="12"/>
      <c r="E3068" s="23"/>
      <c r="F3068" s="17"/>
      <c r="G3068" s="17"/>
      <c r="Z3068" s="22"/>
      <c r="AB3068" s="22"/>
    </row>
    <row r="3069" spans="1:28">
      <c r="A3069" s="19"/>
      <c r="B3069" s="12"/>
      <c r="C3069" s="24"/>
      <c r="D3069" s="12"/>
      <c r="E3069" s="23"/>
      <c r="F3069" s="17"/>
      <c r="G3069" s="17"/>
      <c r="Z3069" s="22"/>
      <c r="AB3069" s="22"/>
    </row>
    <row r="3070" spans="1:28">
      <c r="A3070" s="19"/>
      <c r="B3070" s="12"/>
      <c r="C3070" s="24"/>
      <c r="D3070" s="12"/>
      <c r="E3070" s="23"/>
      <c r="F3070" s="17"/>
      <c r="G3070" s="17"/>
      <c r="Z3070" s="22"/>
      <c r="AB3070" s="22"/>
    </row>
    <row r="3071" spans="1:28">
      <c r="A3071" s="19"/>
      <c r="B3071" s="12"/>
      <c r="C3071" s="24"/>
      <c r="D3071" s="12"/>
      <c r="E3071" s="23"/>
      <c r="F3071" s="17"/>
      <c r="G3071" s="17"/>
      <c r="Z3071" s="22"/>
      <c r="AB3071" s="22"/>
    </row>
    <row r="3072" spans="1:28">
      <c r="A3072" s="19"/>
      <c r="B3072" s="12"/>
      <c r="C3072" s="24"/>
      <c r="D3072" s="12"/>
      <c r="E3072" s="23"/>
      <c r="F3072" s="17"/>
      <c r="G3072" s="17"/>
      <c r="Z3072" s="22"/>
      <c r="AB3072" s="22"/>
    </row>
    <row r="3073" spans="1:28">
      <c r="A3073" s="19"/>
      <c r="B3073" s="12"/>
      <c r="C3073" s="24"/>
      <c r="D3073" s="12"/>
      <c r="E3073" s="23"/>
      <c r="F3073" s="17"/>
      <c r="G3073" s="17"/>
      <c r="Z3073" s="22"/>
      <c r="AB3073" s="22"/>
    </row>
    <row r="3074" spans="1:28">
      <c r="A3074" s="19"/>
      <c r="B3074" s="12"/>
      <c r="C3074" s="24"/>
      <c r="D3074" s="12"/>
      <c r="E3074" s="23"/>
      <c r="F3074" s="17"/>
      <c r="G3074" s="17"/>
      <c r="Z3074" s="22"/>
      <c r="AB3074" s="22"/>
    </row>
    <row r="3075" spans="1:28">
      <c r="A3075" s="19"/>
      <c r="B3075" s="12"/>
      <c r="C3075" s="24"/>
      <c r="D3075" s="12"/>
      <c r="E3075" s="23"/>
      <c r="F3075" s="17"/>
      <c r="G3075" s="17"/>
      <c r="Z3075" s="22"/>
      <c r="AB3075" s="22"/>
    </row>
    <row r="3076" spans="1:28">
      <c r="A3076" s="19"/>
      <c r="B3076" s="12"/>
      <c r="C3076" s="24"/>
      <c r="D3076" s="12"/>
      <c r="E3076" s="23"/>
      <c r="F3076" s="17"/>
      <c r="G3076" s="17"/>
      <c r="Z3076" s="22"/>
      <c r="AB3076" s="22"/>
    </row>
    <row r="3077" spans="1:28">
      <c r="A3077" s="19"/>
      <c r="B3077" s="12"/>
      <c r="C3077" s="24"/>
      <c r="D3077" s="12"/>
      <c r="E3077" s="23"/>
      <c r="F3077" s="17"/>
      <c r="G3077" s="17"/>
      <c r="Z3077" s="22"/>
      <c r="AB3077" s="22"/>
    </row>
    <row r="3078" spans="1:28">
      <c r="A3078" s="19"/>
      <c r="B3078" s="12"/>
      <c r="C3078" s="24"/>
      <c r="D3078" s="12"/>
      <c r="E3078" s="23"/>
      <c r="F3078" s="17"/>
      <c r="G3078" s="17"/>
      <c r="Z3078" s="22"/>
      <c r="AB3078" s="22"/>
    </row>
    <row r="3079" spans="1:28">
      <c r="A3079" s="19"/>
      <c r="B3079" s="12"/>
      <c r="C3079" s="24"/>
      <c r="D3079" s="12"/>
      <c r="E3079" s="23"/>
      <c r="F3079" s="17"/>
      <c r="G3079" s="17"/>
      <c r="Z3079" s="22"/>
      <c r="AB3079" s="22"/>
    </row>
    <row r="3080" spans="1:28">
      <c r="A3080" s="19"/>
      <c r="B3080" s="12"/>
      <c r="C3080" s="24"/>
      <c r="D3080" s="12"/>
      <c r="E3080" s="23"/>
      <c r="F3080" s="17"/>
      <c r="G3080" s="17"/>
      <c r="Z3080" s="22"/>
      <c r="AB3080" s="22"/>
    </row>
    <row r="3081" spans="1:28">
      <c r="A3081" s="19"/>
      <c r="B3081" s="12"/>
      <c r="C3081" s="24"/>
      <c r="D3081" s="12"/>
      <c r="E3081" s="23"/>
      <c r="F3081" s="17"/>
      <c r="G3081" s="17"/>
      <c r="Z3081" s="22"/>
      <c r="AB3081" s="22"/>
    </row>
    <row r="3082" spans="1:28">
      <c r="A3082" s="19"/>
      <c r="B3082" s="12"/>
      <c r="C3082" s="24"/>
      <c r="D3082" s="12"/>
      <c r="E3082" s="23"/>
      <c r="F3082" s="17"/>
      <c r="G3082" s="17"/>
      <c r="Z3082" s="22"/>
      <c r="AB3082" s="22"/>
    </row>
    <row r="3083" spans="1:28">
      <c r="A3083" s="19"/>
      <c r="B3083" s="12"/>
      <c r="C3083" s="24"/>
      <c r="D3083" s="12"/>
      <c r="E3083" s="23"/>
      <c r="F3083" s="17"/>
      <c r="G3083" s="17"/>
      <c r="Z3083" s="22"/>
      <c r="AB3083" s="22"/>
    </row>
    <row r="3084" spans="1:28">
      <c r="A3084" s="19"/>
      <c r="B3084" s="12"/>
      <c r="C3084" s="24"/>
      <c r="D3084" s="12"/>
      <c r="E3084" s="23"/>
      <c r="F3084" s="17"/>
      <c r="G3084" s="17"/>
      <c r="Z3084" s="22"/>
      <c r="AB3084" s="22"/>
    </row>
    <row r="3085" spans="1:28">
      <c r="A3085" s="19"/>
      <c r="B3085" s="12"/>
      <c r="C3085" s="24"/>
      <c r="D3085" s="12"/>
      <c r="E3085" s="23"/>
      <c r="F3085" s="17"/>
      <c r="G3085" s="17"/>
      <c r="Z3085" s="22"/>
      <c r="AB3085" s="22"/>
    </row>
    <row r="3086" spans="1:28">
      <c r="A3086" s="19"/>
      <c r="B3086" s="12"/>
      <c r="C3086" s="24"/>
      <c r="D3086" s="12"/>
      <c r="E3086" s="23"/>
      <c r="F3086" s="17"/>
      <c r="G3086" s="17"/>
      <c r="Z3086" s="22"/>
      <c r="AB3086" s="22"/>
    </row>
    <row r="3087" spans="1:28">
      <c r="A3087" s="19"/>
      <c r="B3087" s="12"/>
      <c r="C3087" s="24"/>
      <c r="D3087" s="12"/>
      <c r="E3087" s="23"/>
      <c r="F3087" s="17"/>
      <c r="G3087" s="17"/>
      <c r="Z3087" s="22"/>
      <c r="AB3087" s="22"/>
    </row>
    <row r="3088" spans="1:28">
      <c r="A3088" s="19"/>
      <c r="B3088" s="12"/>
      <c r="C3088" s="24"/>
      <c r="D3088" s="12"/>
      <c r="E3088" s="23"/>
      <c r="F3088" s="17"/>
      <c r="G3088" s="17"/>
      <c r="Z3088" s="22"/>
      <c r="AB3088" s="22"/>
    </row>
    <row r="3089" spans="1:28">
      <c r="A3089" s="19"/>
      <c r="B3089" s="12"/>
      <c r="C3089" s="24"/>
      <c r="D3089" s="12"/>
      <c r="E3089" s="23"/>
      <c r="F3089" s="17"/>
      <c r="G3089" s="17"/>
      <c r="Z3089" s="22"/>
      <c r="AB3089" s="22"/>
    </row>
    <row r="3090" spans="1:28">
      <c r="A3090" s="19"/>
      <c r="B3090" s="12"/>
      <c r="C3090" s="24"/>
      <c r="D3090" s="12"/>
      <c r="E3090" s="23"/>
      <c r="F3090" s="17"/>
      <c r="G3090" s="17"/>
      <c r="Z3090" s="22"/>
      <c r="AB3090" s="22"/>
    </row>
    <row r="3091" spans="1:28">
      <c r="A3091" s="19"/>
      <c r="B3091" s="12"/>
      <c r="C3091" s="24"/>
      <c r="D3091" s="12"/>
      <c r="E3091" s="23"/>
      <c r="F3091" s="17"/>
      <c r="G3091" s="17"/>
      <c r="Z3091" s="22"/>
      <c r="AB3091" s="22"/>
    </row>
    <row r="3092" spans="1:28">
      <c r="A3092" s="19"/>
      <c r="B3092" s="12"/>
      <c r="C3092" s="24"/>
      <c r="D3092" s="12"/>
      <c r="E3092" s="23"/>
      <c r="F3092" s="17"/>
      <c r="G3092" s="17"/>
      <c r="Z3092" s="22"/>
      <c r="AB3092" s="22"/>
    </row>
    <row r="3093" spans="1:28">
      <c r="A3093" s="19"/>
      <c r="B3093" s="12"/>
      <c r="C3093" s="24"/>
      <c r="D3093" s="12"/>
      <c r="E3093" s="23"/>
      <c r="F3093" s="17"/>
      <c r="G3093" s="17"/>
      <c r="Z3093" s="22"/>
      <c r="AB3093" s="22"/>
    </row>
    <row r="3094" spans="1:28">
      <c r="A3094" s="19"/>
      <c r="B3094" s="12"/>
      <c r="C3094" s="24"/>
      <c r="D3094" s="12"/>
      <c r="E3094" s="23"/>
      <c r="F3094" s="17"/>
      <c r="G3094" s="17"/>
      <c r="Z3094" s="22"/>
      <c r="AB3094" s="22"/>
    </row>
    <row r="3095" spans="1:28">
      <c r="A3095" s="19"/>
      <c r="B3095" s="12"/>
      <c r="C3095" s="24"/>
      <c r="D3095" s="12"/>
      <c r="E3095" s="23"/>
      <c r="F3095" s="17"/>
      <c r="G3095" s="17"/>
      <c r="Z3095" s="22"/>
      <c r="AB3095" s="22"/>
    </row>
    <row r="3096" spans="1:28">
      <c r="A3096" s="19"/>
      <c r="B3096" s="12"/>
      <c r="C3096" s="24"/>
      <c r="D3096" s="12"/>
      <c r="E3096" s="23"/>
      <c r="F3096" s="17"/>
      <c r="G3096" s="17"/>
      <c r="Z3096" s="22"/>
      <c r="AB3096" s="22"/>
    </row>
    <row r="3097" spans="1:28">
      <c r="A3097" s="19"/>
      <c r="B3097" s="12"/>
      <c r="C3097" s="24"/>
      <c r="D3097" s="12"/>
      <c r="E3097" s="23"/>
      <c r="F3097" s="17"/>
      <c r="G3097" s="17"/>
      <c r="Z3097" s="22"/>
      <c r="AB3097" s="22"/>
    </row>
    <row r="3098" spans="1:28">
      <c r="A3098" s="19"/>
      <c r="B3098" s="12"/>
      <c r="C3098" s="24"/>
      <c r="D3098" s="12"/>
      <c r="E3098" s="23"/>
      <c r="F3098" s="17"/>
      <c r="G3098" s="17"/>
      <c r="Z3098" s="22"/>
      <c r="AB3098" s="22"/>
    </row>
    <row r="3099" spans="1:28">
      <c r="A3099" s="19"/>
      <c r="B3099" s="12"/>
      <c r="C3099" s="24"/>
      <c r="D3099" s="12"/>
      <c r="E3099" s="23"/>
      <c r="F3099" s="17"/>
      <c r="G3099" s="17"/>
      <c r="Z3099" s="22"/>
      <c r="AB3099" s="22"/>
    </row>
    <row r="3100" spans="1:28">
      <c r="A3100" s="19"/>
      <c r="B3100" s="12"/>
      <c r="C3100" s="24"/>
      <c r="D3100" s="12"/>
      <c r="E3100" s="23"/>
      <c r="F3100" s="17"/>
      <c r="G3100" s="17"/>
      <c r="Z3100" s="22"/>
      <c r="AB3100" s="22"/>
    </row>
    <row r="3101" spans="1:28">
      <c r="A3101" s="19"/>
      <c r="B3101" s="12"/>
      <c r="C3101" s="24"/>
      <c r="D3101" s="12"/>
      <c r="E3101" s="23"/>
      <c r="F3101" s="17"/>
      <c r="G3101" s="17"/>
      <c r="Z3101" s="22"/>
      <c r="AB3101" s="22"/>
    </row>
    <row r="3102" spans="1:28">
      <c r="A3102" s="19"/>
      <c r="B3102" s="12"/>
      <c r="C3102" s="24"/>
      <c r="D3102" s="12"/>
      <c r="E3102" s="23"/>
      <c r="F3102" s="17"/>
      <c r="G3102" s="17"/>
      <c r="Z3102" s="22"/>
      <c r="AB3102" s="22"/>
    </row>
    <row r="3103" spans="1:28">
      <c r="A3103" s="19"/>
      <c r="B3103" s="12"/>
      <c r="C3103" s="24"/>
      <c r="D3103" s="12"/>
      <c r="E3103" s="23"/>
      <c r="F3103" s="17"/>
      <c r="G3103" s="17"/>
      <c r="Z3103" s="22"/>
      <c r="AB3103" s="22"/>
    </row>
    <row r="3104" spans="1:28">
      <c r="A3104" s="19"/>
      <c r="B3104" s="12"/>
      <c r="C3104" s="24"/>
      <c r="D3104" s="12"/>
      <c r="E3104" s="23"/>
      <c r="F3104" s="17"/>
      <c r="G3104" s="17"/>
      <c r="Z3104" s="22"/>
      <c r="AB3104" s="22"/>
    </row>
    <row r="3105" spans="1:28">
      <c r="A3105" s="19"/>
      <c r="B3105" s="12"/>
      <c r="C3105" s="24"/>
      <c r="D3105" s="12"/>
      <c r="E3105" s="23"/>
      <c r="F3105" s="17"/>
      <c r="G3105" s="17"/>
      <c r="Z3105" s="22"/>
      <c r="AB3105" s="22"/>
    </row>
    <row r="3106" spans="1:28">
      <c r="A3106" s="19"/>
      <c r="B3106" s="12"/>
      <c r="C3106" s="24"/>
      <c r="D3106" s="12"/>
      <c r="E3106" s="23"/>
      <c r="F3106" s="17"/>
      <c r="G3106" s="17"/>
      <c r="Z3106" s="22"/>
      <c r="AB3106" s="22"/>
    </row>
    <row r="3107" spans="1:28">
      <c r="A3107" s="19"/>
      <c r="B3107" s="12"/>
      <c r="C3107" s="24"/>
      <c r="D3107" s="12"/>
      <c r="E3107" s="23"/>
      <c r="F3107" s="17"/>
      <c r="G3107" s="17"/>
      <c r="Z3107" s="22"/>
      <c r="AB3107" s="22"/>
    </row>
    <row r="3108" spans="1:28">
      <c r="A3108" s="19"/>
      <c r="B3108" s="12"/>
      <c r="C3108" s="24"/>
      <c r="D3108" s="12"/>
      <c r="E3108" s="23"/>
      <c r="F3108" s="17"/>
      <c r="G3108" s="17"/>
      <c r="Z3108" s="22"/>
      <c r="AB3108" s="22"/>
    </row>
    <row r="3109" spans="1:28">
      <c r="A3109" s="19"/>
      <c r="B3109" s="12"/>
      <c r="C3109" s="24"/>
      <c r="D3109" s="12"/>
      <c r="E3109" s="23"/>
      <c r="F3109" s="17"/>
      <c r="G3109" s="17"/>
      <c r="Z3109" s="22"/>
      <c r="AB3109" s="22"/>
    </row>
    <row r="3110" spans="1:28">
      <c r="A3110" s="19"/>
      <c r="B3110" s="12"/>
      <c r="C3110" s="24"/>
      <c r="D3110" s="12"/>
      <c r="E3110" s="23"/>
      <c r="F3110" s="17"/>
      <c r="G3110" s="17"/>
      <c r="Z3110" s="22"/>
      <c r="AB3110" s="22"/>
    </row>
    <row r="3111" spans="1:28">
      <c r="A3111" s="19"/>
      <c r="B3111" s="12"/>
      <c r="C3111" s="24"/>
      <c r="D3111" s="12"/>
      <c r="E3111" s="23"/>
      <c r="F3111" s="17"/>
      <c r="G3111" s="17"/>
      <c r="Z3111" s="22"/>
      <c r="AB3111" s="22"/>
    </row>
    <row r="3112" spans="1:28">
      <c r="A3112" s="19"/>
      <c r="B3112" s="12"/>
      <c r="C3112" s="24"/>
      <c r="D3112" s="12"/>
      <c r="E3112" s="23"/>
      <c r="F3112" s="17"/>
      <c r="G3112" s="17"/>
      <c r="Z3112" s="22"/>
      <c r="AB3112" s="22"/>
    </row>
    <row r="3113" spans="1:28">
      <c r="A3113" s="19"/>
      <c r="B3113" s="12"/>
      <c r="C3113" s="24"/>
      <c r="D3113" s="12"/>
      <c r="E3113" s="23"/>
      <c r="F3113" s="17"/>
      <c r="G3113" s="17"/>
      <c r="Z3113" s="22"/>
      <c r="AB3113" s="22"/>
    </row>
    <row r="3114" spans="1:28">
      <c r="A3114" s="19"/>
      <c r="B3114" s="12"/>
      <c r="C3114" s="24"/>
      <c r="D3114" s="12"/>
      <c r="E3114" s="23"/>
      <c r="F3114" s="17"/>
      <c r="G3114" s="17"/>
      <c r="Z3114" s="22"/>
      <c r="AB3114" s="22"/>
    </row>
    <row r="3115" spans="1:28">
      <c r="A3115" s="19"/>
      <c r="B3115" s="12"/>
      <c r="C3115" s="24"/>
      <c r="D3115" s="12"/>
      <c r="E3115" s="23"/>
      <c r="F3115" s="17"/>
      <c r="G3115" s="17"/>
      <c r="Z3115" s="22"/>
      <c r="AB3115" s="22"/>
    </row>
    <row r="3116" spans="1:28">
      <c r="A3116" s="19"/>
      <c r="B3116" s="12"/>
      <c r="C3116" s="24"/>
      <c r="D3116" s="12"/>
      <c r="E3116" s="23"/>
      <c r="F3116" s="17"/>
      <c r="G3116" s="17"/>
      <c r="Z3116" s="22"/>
      <c r="AB3116" s="22"/>
    </row>
    <row r="3117" spans="1:28">
      <c r="A3117" s="19"/>
      <c r="B3117" s="12"/>
      <c r="C3117" s="24"/>
      <c r="D3117" s="12"/>
      <c r="E3117" s="23"/>
      <c r="F3117" s="17"/>
      <c r="G3117" s="17"/>
      <c r="Z3117" s="22"/>
      <c r="AB3117" s="22"/>
    </row>
    <row r="3118" spans="1:28">
      <c r="A3118" s="19"/>
      <c r="B3118" s="12"/>
      <c r="C3118" s="24"/>
      <c r="D3118" s="12"/>
      <c r="E3118" s="23"/>
      <c r="F3118" s="17"/>
      <c r="G3118" s="17"/>
      <c r="Z3118" s="22"/>
      <c r="AB3118" s="22"/>
    </row>
    <row r="3119" spans="1:28">
      <c r="A3119" s="19"/>
      <c r="B3119" s="12"/>
      <c r="C3119" s="24"/>
      <c r="D3119" s="12"/>
      <c r="E3119" s="23"/>
      <c r="F3119" s="17"/>
      <c r="G3119" s="17"/>
      <c r="Z3119" s="22"/>
      <c r="AB3119" s="22"/>
    </row>
    <row r="3120" spans="1:28">
      <c r="A3120" s="19"/>
      <c r="B3120" s="12"/>
      <c r="C3120" s="24"/>
      <c r="D3120" s="12"/>
      <c r="E3120" s="23"/>
      <c r="F3120" s="17"/>
      <c r="G3120" s="17"/>
      <c r="Z3120" s="22"/>
      <c r="AB3120" s="22"/>
    </row>
    <row r="3121" spans="1:28">
      <c r="A3121" s="19"/>
      <c r="B3121" s="12"/>
      <c r="C3121" s="24"/>
      <c r="D3121" s="12"/>
      <c r="E3121" s="23"/>
      <c r="F3121" s="17"/>
      <c r="G3121" s="17"/>
      <c r="Z3121" s="22"/>
      <c r="AB3121" s="22"/>
    </row>
    <row r="3122" spans="1:28">
      <c r="A3122" s="19"/>
      <c r="B3122" s="12"/>
      <c r="C3122" s="24"/>
      <c r="D3122" s="12"/>
      <c r="E3122" s="23"/>
      <c r="F3122" s="17"/>
      <c r="G3122" s="17"/>
      <c r="Z3122" s="22"/>
      <c r="AB3122" s="22"/>
    </row>
    <row r="3123" spans="1:28">
      <c r="A3123" s="19"/>
      <c r="B3123" s="12"/>
      <c r="C3123" s="24"/>
      <c r="D3123" s="12"/>
      <c r="E3123" s="23"/>
      <c r="F3123" s="17"/>
      <c r="G3123" s="17"/>
      <c r="Z3123" s="22"/>
      <c r="AB3123" s="22"/>
    </row>
    <row r="3124" spans="1:28">
      <c r="A3124" s="19"/>
      <c r="B3124" s="12"/>
      <c r="C3124" s="24"/>
      <c r="D3124" s="12"/>
      <c r="E3124" s="23"/>
      <c r="F3124" s="17"/>
      <c r="G3124" s="17"/>
      <c r="Z3124" s="22"/>
      <c r="AB3124" s="22"/>
    </row>
    <row r="3125" spans="1:28">
      <c r="A3125" s="19"/>
      <c r="B3125" s="12"/>
      <c r="C3125" s="24"/>
      <c r="D3125" s="12"/>
      <c r="E3125" s="23"/>
      <c r="F3125" s="17"/>
      <c r="G3125" s="17"/>
      <c r="Z3125" s="22"/>
      <c r="AB3125" s="22"/>
    </row>
    <row r="3126" spans="1:28">
      <c r="A3126" s="19"/>
      <c r="B3126" s="12"/>
      <c r="C3126" s="24"/>
      <c r="D3126" s="12"/>
      <c r="E3126" s="23"/>
      <c r="F3126" s="17"/>
      <c r="G3126" s="17"/>
      <c r="Z3126" s="22"/>
      <c r="AB3126" s="22"/>
    </row>
    <row r="3127" spans="1:28">
      <c r="A3127" s="19"/>
      <c r="B3127" s="12"/>
      <c r="C3127" s="24"/>
      <c r="D3127" s="12"/>
      <c r="E3127" s="23"/>
      <c r="F3127" s="17"/>
      <c r="G3127" s="17"/>
      <c r="Z3127" s="22"/>
      <c r="AB3127" s="22"/>
    </row>
    <row r="3128" spans="1:28">
      <c r="A3128" s="19"/>
      <c r="B3128" s="12"/>
      <c r="C3128" s="24"/>
      <c r="D3128" s="12"/>
      <c r="E3128" s="23"/>
      <c r="F3128" s="17"/>
      <c r="G3128" s="17"/>
      <c r="Z3128" s="22"/>
      <c r="AB3128" s="22"/>
    </row>
    <row r="3129" spans="1:28">
      <c r="A3129" s="19"/>
      <c r="B3129" s="12"/>
      <c r="C3129" s="24"/>
      <c r="D3129" s="12"/>
      <c r="E3129" s="23"/>
      <c r="F3129" s="17"/>
      <c r="G3129" s="17"/>
      <c r="Z3129" s="22"/>
      <c r="AB3129" s="22"/>
    </row>
    <row r="3130" spans="1:28">
      <c r="A3130" s="19"/>
      <c r="B3130" s="12"/>
      <c r="C3130" s="24"/>
      <c r="D3130" s="12"/>
      <c r="E3130" s="23"/>
      <c r="F3130" s="17"/>
      <c r="G3130" s="17"/>
      <c r="Z3130" s="22"/>
      <c r="AB3130" s="22"/>
    </row>
    <row r="3131" spans="1:28">
      <c r="A3131" s="19"/>
      <c r="B3131" s="12"/>
      <c r="C3131" s="24"/>
      <c r="D3131" s="12"/>
      <c r="E3131" s="23"/>
      <c r="F3131" s="17"/>
      <c r="G3131" s="17"/>
      <c r="Z3131" s="22"/>
      <c r="AB3131" s="22"/>
    </row>
    <row r="3132" spans="1:28">
      <c r="A3132" s="19"/>
      <c r="B3132" s="12"/>
      <c r="C3132" s="24"/>
      <c r="D3132" s="12"/>
      <c r="E3132" s="23"/>
      <c r="F3132" s="17"/>
      <c r="G3132" s="17"/>
      <c r="Z3132" s="22"/>
      <c r="AB3132" s="22"/>
    </row>
    <row r="3133" spans="1:28">
      <c r="A3133" s="19"/>
      <c r="B3133" s="12"/>
      <c r="C3133" s="24"/>
      <c r="D3133" s="12"/>
      <c r="E3133" s="23"/>
      <c r="F3133" s="17"/>
      <c r="G3133" s="17"/>
      <c r="Z3133" s="22"/>
      <c r="AB3133" s="22"/>
    </row>
    <row r="3134" spans="1:28">
      <c r="A3134" s="19"/>
      <c r="B3134" s="12"/>
      <c r="C3134" s="24"/>
      <c r="D3134" s="12"/>
      <c r="E3134" s="23"/>
      <c r="F3134" s="17"/>
      <c r="G3134" s="17"/>
      <c r="Z3134" s="22"/>
      <c r="AB3134" s="22"/>
    </row>
    <row r="3135" spans="1:28">
      <c r="A3135" s="19"/>
      <c r="B3135" s="12"/>
      <c r="C3135" s="24"/>
      <c r="D3135" s="12"/>
      <c r="E3135" s="23"/>
      <c r="F3135" s="17"/>
      <c r="G3135" s="17"/>
      <c r="Z3135" s="22"/>
      <c r="AB3135" s="22"/>
    </row>
    <row r="3136" spans="1:28">
      <c r="A3136" s="19"/>
      <c r="B3136" s="12"/>
      <c r="C3136" s="24"/>
      <c r="D3136" s="12"/>
      <c r="E3136" s="23"/>
      <c r="F3136" s="17"/>
      <c r="G3136" s="17"/>
      <c r="Z3136" s="22"/>
      <c r="AB3136" s="22"/>
    </row>
    <row r="3137" spans="1:28">
      <c r="A3137" s="19"/>
      <c r="B3137" s="12"/>
      <c r="C3137" s="24"/>
      <c r="D3137" s="12"/>
      <c r="E3137" s="23"/>
      <c r="F3137" s="17"/>
      <c r="G3137" s="17"/>
      <c r="Z3137" s="22"/>
      <c r="AB3137" s="22"/>
    </row>
    <row r="3138" spans="1:28">
      <c r="A3138" s="19"/>
      <c r="B3138" s="12"/>
      <c r="C3138" s="24"/>
      <c r="D3138" s="12"/>
      <c r="E3138" s="23"/>
      <c r="F3138" s="17"/>
      <c r="G3138" s="17"/>
      <c r="Z3138" s="22"/>
      <c r="AB3138" s="22"/>
    </row>
    <row r="3139" spans="1:28">
      <c r="A3139" s="19"/>
      <c r="B3139" s="12"/>
      <c r="C3139" s="24"/>
      <c r="D3139" s="12"/>
      <c r="E3139" s="23"/>
      <c r="F3139" s="17"/>
      <c r="G3139" s="17"/>
      <c r="Z3139" s="22"/>
      <c r="AB3139" s="22"/>
    </row>
    <row r="3140" spans="1:28">
      <c r="A3140" s="19"/>
      <c r="B3140" s="12"/>
      <c r="C3140" s="24"/>
      <c r="D3140" s="12"/>
      <c r="E3140" s="23"/>
      <c r="F3140" s="17"/>
      <c r="G3140" s="17"/>
      <c r="Z3140" s="22"/>
      <c r="AB3140" s="22"/>
    </row>
    <row r="3141" spans="1:28">
      <c r="A3141" s="19"/>
      <c r="B3141" s="12"/>
      <c r="C3141" s="24"/>
      <c r="D3141" s="12"/>
      <c r="E3141" s="23"/>
      <c r="F3141" s="17"/>
      <c r="G3141" s="17"/>
      <c r="Z3141" s="22"/>
      <c r="AB3141" s="22"/>
    </row>
    <row r="3142" spans="1:28">
      <c r="A3142" s="19"/>
      <c r="B3142" s="12"/>
      <c r="C3142" s="24"/>
      <c r="D3142" s="12"/>
      <c r="E3142" s="23"/>
      <c r="F3142" s="17"/>
      <c r="G3142" s="17"/>
      <c r="Z3142" s="22"/>
      <c r="AB3142" s="22"/>
    </row>
    <row r="3143" spans="1:28">
      <c r="A3143" s="19"/>
      <c r="B3143" s="12"/>
      <c r="C3143" s="24"/>
      <c r="D3143" s="12"/>
      <c r="E3143" s="23"/>
      <c r="F3143" s="17"/>
      <c r="G3143" s="17"/>
      <c r="Z3143" s="22"/>
      <c r="AB3143" s="22"/>
    </row>
    <row r="3144" spans="1:28">
      <c r="A3144" s="19"/>
      <c r="B3144" s="12"/>
      <c r="C3144" s="24"/>
      <c r="D3144" s="12"/>
      <c r="E3144" s="23"/>
      <c r="F3144" s="17"/>
      <c r="G3144" s="17"/>
      <c r="Z3144" s="22"/>
      <c r="AB3144" s="22"/>
    </row>
    <row r="3145" spans="1:28">
      <c r="A3145" s="19"/>
      <c r="B3145" s="12"/>
      <c r="C3145" s="24"/>
      <c r="D3145" s="12"/>
      <c r="E3145" s="23"/>
      <c r="F3145" s="17"/>
      <c r="G3145" s="17"/>
      <c r="Z3145" s="22"/>
      <c r="AB3145" s="22"/>
    </row>
    <row r="3146" spans="1:28">
      <c r="A3146" s="19"/>
      <c r="B3146" s="12"/>
      <c r="C3146" s="24"/>
      <c r="D3146" s="12"/>
      <c r="E3146" s="23"/>
      <c r="F3146" s="17"/>
      <c r="G3146" s="17"/>
      <c r="Z3146" s="22"/>
      <c r="AB3146" s="22"/>
    </row>
    <row r="3147" spans="1:28">
      <c r="A3147" s="19"/>
      <c r="B3147" s="12"/>
      <c r="C3147" s="24"/>
      <c r="D3147" s="12"/>
      <c r="E3147" s="23"/>
      <c r="F3147" s="17"/>
      <c r="G3147" s="17"/>
      <c r="Z3147" s="22"/>
      <c r="AB3147" s="22"/>
    </row>
    <row r="3148" spans="1:28">
      <c r="A3148" s="19"/>
      <c r="B3148" s="12"/>
      <c r="C3148" s="24"/>
      <c r="D3148" s="12"/>
      <c r="E3148" s="23"/>
      <c r="F3148" s="17"/>
      <c r="G3148" s="17"/>
      <c r="Z3148" s="22"/>
      <c r="AB3148" s="22"/>
    </row>
    <row r="3149" spans="1:28">
      <c r="A3149" s="19"/>
      <c r="B3149" s="12"/>
      <c r="C3149" s="24"/>
      <c r="D3149" s="12"/>
      <c r="E3149" s="23"/>
      <c r="F3149" s="17"/>
      <c r="G3149" s="17"/>
      <c r="Z3149" s="22"/>
      <c r="AB3149" s="22"/>
    </row>
    <row r="3150" spans="1:28">
      <c r="A3150" s="19"/>
      <c r="B3150" s="12"/>
      <c r="C3150" s="24"/>
      <c r="D3150" s="12"/>
      <c r="E3150" s="23"/>
      <c r="F3150" s="17"/>
      <c r="G3150" s="17"/>
      <c r="Z3150" s="22"/>
      <c r="AB3150" s="22"/>
    </row>
    <row r="3151" spans="1:28">
      <c r="A3151" s="19"/>
      <c r="B3151" s="12"/>
      <c r="C3151" s="24"/>
      <c r="D3151" s="12"/>
      <c r="E3151" s="23"/>
      <c r="F3151" s="17"/>
      <c r="G3151" s="17"/>
      <c r="Z3151" s="22"/>
      <c r="AB3151" s="22"/>
    </row>
    <row r="3152" spans="1:28">
      <c r="A3152" s="19"/>
      <c r="B3152" s="12"/>
      <c r="C3152" s="24"/>
      <c r="D3152" s="12"/>
      <c r="E3152" s="23"/>
      <c r="F3152" s="17"/>
      <c r="G3152" s="17"/>
      <c r="Z3152" s="22"/>
      <c r="AB3152" s="22"/>
    </row>
    <row r="3153" spans="1:28">
      <c r="A3153" s="19"/>
      <c r="B3153" s="12"/>
      <c r="C3153" s="24"/>
      <c r="D3153" s="12"/>
      <c r="E3153" s="23"/>
      <c r="F3153" s="17"/>
      <c r="G3153" s="17"/>
      <c r="Z3153" s="22"/>
      <c r="AB3153" s="22"/>
    </row>
    <row r="3154" spans="1:28">
      <c r="A3154" s="19"/>
      <c r="B3154" s="12"/>
      <c r="C3154" s="24"/>
      <c r="D3154" s="12"/>
      <c r="E3154" s="23"/>
      <c r="F3154" s="17"/>
      <c r="G3154" s="17"/>
      <c r="Z3154" s="22"/>
      <c r="AB3154" s="22"/>
    </row>
    <row r="3155" spans="1:28">
      <c r="A3155" s="19"/>
      <c r="B3155" s="12"/>
      <c r="C3155" s="24"/>
      <c r="D3155" s="12"/>
      <c r="E3155" s="23"/>
      <c r="F3155" s="17"/>
      <c r="G3155" s="17"/>
      <c r="Z3155" s="22"/>
      <c r="AB3155" s="22"/>
    </row>
    <row r="3156" spans="1:28">
      <c r="A3156" s="19"/>
      <c r="B3156" s="12"/>
      <c r="C3156" s="24"/>
      <c r="D3156" s="12"/>
      <c r="E3156" s="23"/>
      <c r="F3156" s="17"/>
      <c r="G3156" s="17"/>
      <c r="Z3156" s="22"/>
      <c r="AB3156" s="22"/>
    </row>
    <row r="3157" spans="1:28">
      <c r="A3157" s="19"/>
      <c r="B3157" s="12"/>
      <c r="C3157" s="24"/>
      <c r="D3157" s="12"/>
      <c r="E3157" s="23"/>
      <c r="F3157" s="17"/>
      <c r="G3157" s="17"/>
      <c r="Z3157" s="22"/>
      <c r="AB3157" s="22"/>
    </row>
    <row r="3158" spans="1:28">
      <c r="A3158" s="19"/>
      <c r="B3158" s="12"/>
      <c r="C3158" s="24"/>
      <c r="D3158" s="12"/>
      <c r="E3158" s="23"/>
      <c r="F3158" s="17"/>
      <c r="G3158" s="17"/>
      <c r="Z3158" s="22"/>
      <c r="AB3158" s="22"/>
    </row>
    <row r="3159" spans="1:28">
      <c r="A3159" s="19"/>
      <c r="B3159" s="12"/>
      <c r="C3159" s="24"/>
      <c r="D3159" s="12"/>
      <c r="E3159" s="23"/>
      <c r="F3159" s="17"/>
      <c r="G3159" s="17"/>
      <c r="Z3159" s="22"/>
      <c r="AB3159" s="22"/>
    </row>
    <row r="3160" spans="1:28">
      <c r="A3160" s="19"/>
      <c r="B3160" s="12"/>
      <c r="C3160" s="24"/>
      <c r="D3160" s="12"/>
      <c r="E3160" s="23"/>
      <c r="F3160" s="17"/>
      <c r="G3160" s="17"/>
      <c r="Z3160" s="22"/>
      <c r="AB3160" s="22"/>
    </row>
    <row r="3161" spans="1:28">
      <c r="A3161" s="19"/>
      <c r="B3161" s="12"/>
      <c r="C3161" s="24"/>
      <c r="D3161" s="12"/>
      <c r="E3161" s="23"/>
      <c r="F3161" s="17"/>
      <c r="G3161" s="17"/>
      <c r="Z3161" s="22"/>
      <c r="AB3161" s="22"/>
    </row>
    <row r="3162" spans="1:28">
      <c r="A3162" s="19"/>
      <c r="B3162" s="12"/>
      <c r="C3162" s="24"/>
      <c r="D3162" s="12"/>
      <c r="E3162" s="23"/>
      <c r="F3162" s="17"/>
      <c r="G3162" s="17"/>
      <c r="Z3162" s="22"/>
      <c r="AB3162" s="22"/>
    </row>
    <row r="3163" spans="1:28">
      <c r="A3163" s="19"/>
      <c r="B3163" s="12"/>
      <c r="C3163" s="24"/>
      <c r="D3163" s="12"/>
      <c r="E3163" s="23"/>
      <c r="F3163" s="17"/>
      <c r="G3163" s="17"/>
      <c r="Z3163" s="22"/>
      <c r="AB3163" s="22"/>
    </row>
    <row r="3164" spans="1:28">
      <c r="A3164" s="19"/>
      <c r="B3164" s="12"/>
      <c r="C3164" s="24"/>
      <c r="D3164" s="12"/>
      <c r="E3164" s="23"/>
      <c r="F3164" s="17"/>
      <c r="G3164" s="17"/>
      <c r="Z3164" s="22"/>
      <c r="AB3164" s="22"/>
    </row>
    <row r="3165" spans="1:28">
      <c r="A3165" s="19"/>
      <c r="B3165" s="12"/>
      <c r="C3165" s="24"/>
      <c r="D3165" s="12"/>
      <c r="E3165" s="23"/>
      <c r="F3165" s="17"/>
      <c r="G3165" s="17"/>
      <c r="Z3165" s="22"/>
      <c r="AB3165" s="22"/>
    </row>
    <row r="3166" spans="1:28">
      <c r="A3166" s="19"/>
      <c r="B3166" s="12"/>
      <c r="C3166" s="24"/>
      <c r="D3166" s="12"/>
      <c r="E3166" s="23"/>
      <c r="F3166" s="17"/>
      <c r="G3166" s="17"/>
      <c r="Z3166" s="22"/>
      <c r="AB3166" s="22"/>
    </row>
    <row r="3167" spans="1:28">
      <c r="A3167" s="19"/>
      <c r="B3167" s="12"/>
      <c r="C3167" s="24"/>
      <c r="D3167" s="12"/>
      <c r="E3167" s="23"/>
      <c r="F3167" s="17"/>
      <c r="G3167" s="17"/>
      <c r="Z3167" s="22"/>
      <c r="AB3167" s="22"/>
    </row>
    <row r="3168" spans="1:28">
      <c r="A3168" s="19"/>
      <c r="B3168" s="12"/>
      <c r="C3168" s="24"/>
      <c r="D3168" s="12"/>
      <c r="E3168" s="23"/>
      <c r="F3168" s="17"/>
      <c r="G3168" s="17"/>
      <c r="Z3168" s="22"/>
      <c r="AB3168" s="22"/>
    </row>
    <row r="3169" spans="1:28">
      <c r="A3169" s="19"/>
      <c r="B3169" s="12"/>
      <c r="C3169" s="24"/>
      <c r="D3169" s="12"/>
      <c r="E3169" s="23"/>
      <c r="F3169" s="17"/>
      <c r="G3169" s="17"/>
      <c r="Z3169" s="22"/>
      <c r="AB3169" s="22"/>
    </row>
    <row r="3170" spans="1:28">
      <c r="A3170" s="19"/>
      <c r="B3170" s="12"/>
      <c r="C3170" s="24"/>
      <c r="D3170" s="12"/>
      <c r="E3170" s="23"/>
      <c r="F3170" s="17"/>
      <c r="G3170" s="17"/>
      <c r="Z3170" s="22"/>
      <c r="AB3170" s="22"/>
    </row>
    <row r="3171" spans="1:28">
      <c r="A3171" s="19"/>
      <c r="B3171" s="12"/>
      <c r="C3171" s="24"/>
      <c r="D3171" s="12"/>
      <c r="E3171" s="23"/>
      <c r="F3171" s="17"/>
      <c r="G3171" s="17"/>
      <c r="Z3171" s="22"/>
      <c r="AB3171" s="22"/>
    </row>
    <row r="3172" spans="1:28">
      <c r="A3172" s="19"/>
      <c r="B3172" s="12"/>
      <c r="C3172" s="24"/>
      <c r="D3172" s="12"/>
      <c r="E3172" s="23"/>
      <c r="F3172" s="17"/>
      <c r="G3172" s="17"/>
      <c r="Z3172" s="22"/>
      <c r="AB3172" s="22"/>
    </row>
    <row r="3173" spans="1:28">
      <c r="A3173" s="19"/>
      <c r="B3173" s="12"/>
      <c r="C3173" s="24"/>
      <c r="D3173" s="12"/>
      <c r="E3173" s="23"/>
      <c r="F3173" s="17"/>
      <c r="G3173" s="17"/>
      <c r="Z3173" s="22"/>
      <c r="AB3173" s="22"/>
    </row>
    <row r="3174" spans="1:28">
      <c r="A3174" s="19"/>
      <c r="B3174" s="12"/>
      <c r="C3174" s="24"/>
      <c r="D3174" s="12"/>
      <c r="E3174" s="23"/>
      <c r="F3174" s="17"/>
      <c r="G3174" s="17"/>
      <c r="Z3174" s="22"/>
      <c r="AB3174" s="22"/>
    </row>
    <row r="3175" spans="1:28">
      <c r="A3175" s="19"/>
      <c r="B3175" s="12"/>
      <c r="C3175" s="24"/>
      <c r="D3175" s="12"/>
      <c r="E3175" s="23"/>
      <c r="F3175" s="17"/>
      <c r="G3175" s="17"/>
      <c r="Z3175" s="22"/>
      <c r="AB3175" s="22"/>
    </row>
    <row r="3176" spans="1:28">
      <c r="A3176" s="19"/>
      <c r="B3176" s="12"/>
      <c r="C3176" s="24"/>
      <c r="D3176" s="12"/>
      <c r="E3176" s="23"/>
      <c r="F3176" s="17"/>
      <c r="G3176" s="17"/>
      <c r="Z3176" s="22"/>
      <c r="AB3176" s="22"/>
    </row>
    <row r="3177" spans="1:28">
      <c r="A3177" s="19"/>
      <c r="B3177" s="12"/>
      <c r="C3177" s="24"/>
      <c r="D3177" s="12"/>
      <c r="E3177" s="23"/>
      <c r="F3177" s="17"/>
      <c r="G3177" s="17"/>
      <c r="Z3177" s="22"/>
      <c r="AB3177" s="22"/>
    </row>
    <row r="3178" spans="1:28">
      <c r="A3178" s="19"/>
      <c r="B3178" s="12"/>
      <c r="C3178" s="24"/>
      <c r="D3178" s="12"/>
      <c r="E3178" s="23"/>
      <c r="F3178" s="17"/>
      <c r="G3178" s="17"/>
      <c r="Z3178" s="22"/>
      <c r="AB3178" s="22"/>
    </row>
    <row r="3179" spans="1:28">
      <c r="A3179" s="19"/>
      <c r="B3179" s="12"/>
      <c r="C3179" s="24"/>
      <c r="D3179" s="12"/>
      <c r="E3179" s="23"/>
      <c r="F3179" s="17"/>
      <c r="G3179" s="17"/>
      <c r="Z3179" s="22"/>
      <c r="AB3179" s="22"/>
    </row>
    <row r="3180" spans="1:28">
      <c r="A3180" s="19"/>
      <c r="B3180" s="12"/>
      <c r="C3180" s="24"/>
      <c r="D3180" s="12"/>
      <c r="E3180" s="23"/>
      <c r="F3180" s="17"/>
      <c r="G3180" s="17"/>
      <c r="Z3180" s="22"/>
      <c r="AB3180" s="22"/>
    </row>
    <row r="3181" spans="1:28">
      <c r="A3181" s="19"/>
      <c r="B3181" s="12"/>
      <c r="C3181" s="24"/>
      <c r="D3181" s="12"/>
      <c r="E3181" s="23"/>
      <c r="F3181" s="17"/>
      <c r="G3181" s="17"/>
      <c r="Z3181" s="22"/>
      <c r="AB3181" s="22"/>
    </row>
    <row r="3182" spans="1:28">
      <c r="A3182" s="19"/>
      <c r="B3182" s="12"/>
      <c r="C3182" s="24"/>
      <c r="D3182" s="12"/>
      <c r="E3182" s="23"/>
      <c r="F3182" s="17"/>
      <c r="G3182" s="17"/>
      <c r="Z3182" s="22"/>
      <c r="AB3182" s="22"/>
    </row>
    <row r="3183" spans="1:28">
      <c r="A3183" s="19"/>
      <c r="B3183" s="12"/>
      <c r="C3183" s="24"/>
      <c r="D3183" s="12"/>
      <c r="E3183" s="23"/>
      <c r="F3183" s="17"/>
      <c r="G3183" s="17"/>
      <c r="Z3183" s="22"/>
      <c r="AB3183" s="22"/>
    </row>
    <row r="3184" spans="1:28">
      <c r="A3184" s="19"/>
      <c r="B3184" s="12"/>
      <c r="C3184" s="24"/>
      <c r="D3184" s="12"/>
      <c r="E3184" s="23"/>
      <c r="F3184" s="17"/>
      <c r="G3184" s="17"/>
      <c r="Z3184" s="22"/>
      <c r="AB3184" s="22"/>
    </row>
    <row r="3185" spans="1:28">
      <c r="A3185" s="19"/>
      <c r="B3185" s="12"/>
      <c r="C3185" s="24"/>
      <c r="D3185" s="12"/>
      <c r="E3185" s="23"/>
      <c r="F3185" s="17"/>
      <c r="G3185" s="17"/>
      <c r="Z3185" s="22"/>
      <c r="AB3185" s="22"/>
    </row>
    <row r="3186" spans="1:28">
      <c r="A3186" s="19"/>
      <c r="B3186" s="12"/>
      <c r="C3186" s="24"/>
      <c r="D3186" s="12"/>
      <c r="E3186" s="23"/>
      <c r="F3186" s="17"/>
      <c r="G3186" s="17"/>
      <c r="Z3186" s="22"/>
      <c r="AB3186" s="22"/>
    </row>
    <row r="3187" spans="1:28">
      <c r="A3187" s="19"/>
      <c r="B3187" s="12"/>
      <c r="C3187" s="24"/>
      <c r="D3187" s="12"/>
      <c r="E3187" s="23"/>
      <c r="F3187" s="17"/>
      <c r="G3187" s="17"/>
      <c r="Z3187" s="22"/>
      <c r="AB3187" s="22"/>
    </row>
    <row r="3188" spans="1:28">
      <c r="A3188" s="19"/>
      <c r="B3188" s="12"/>
      <c r="C3188" s="24"/>
      <c r="D3188" s="12"/>
      <c r="E3188" s="23"/>
      <c r="F3188" s="17"/>
      <c r="G3188" s="17"/>
      <c r="Z3188" s="22"/>
      <c r="AB3188" s="22"/>
    </row>
    <row r="3189" spans="1:28">
      <c r="A3189" s="19"/>
      <c r="B3189" s="12"/>
      <c r="C3189" s="24"/>
      <c r="D3189" s="12"/>
      <c r="E3189" s="23"/>
      <c r="F3189" s="17"/>
      <c r="G3189" s="17"/>
      <c r="Z3189" s="22"/>
      <c r="AB3189" s="22"/>
    </row>
    <row r="3190" spans="1:28">
      <c r="A3190" s="19"/>
      <c r="B3190" s="12"/>
      <c r="C3190" s="24"/>
      <c r="D3190" s="12"/>
      <c r="E3190" s="23"/>
      <c r="F3190" s="17"/>
      <c r="G3190" s="17"/>
      <c r="Z3190" s="22"/>
      <c r="AB3190" s="22"/>
    </row>
    <row r="3191" spans="1:28">
      <c r="A3191" s="19"/>
      <c r="B3191" s="12"/>
      <c r="C3191" s="24"/>
      <c r="D3191" s="12"/>
      <c r="E3191" s="23"/>
      <c r="F3191" s="17"/>
      <c r="G3191" s="17"/>
      <c r="Z3191" s="22"/>
      <c r="AB3191" s="22"/>
    </row>
    <row r="3192" spans="1:28">
      <c r="A3192" s="19"/>
      <c r="B3192" s="12"/>
      <c r="C3192" s="24"/>
      <c r="D3192" s="12"/>
      <c r="E3192" s="23"/>
      <c r="F3192" s="17"/>
      <c r="G3192" s="17"/>
      <c r="Z3192" s="22"/>
      <c r="AB3192" s="22"/>
    </row>
    <row r="3193" spans="1:28">
      <c r="A3193" s="19"/>
      <c r="B3193" s="12"/>
      <c r="C3193" s="24"/>
      <c r="D3193" s="12"/>
      <c r="E3193" s="23"/>
      <c r="F3193" s="17"/>
      <c r="G3193" s="17"/>
      <c r="Z3193" s="22"/>
      <c r="AB3193" s="22"/>
    </row>
    <row r="3194" spans="1:28">
      <c r="A3194" s="19"/>
      <c r="B3194" s="12"/>
      <c r="C3194" s="24"/>
      <c r="D3194" s="12"/>
      <c r="E3194" s="23"/>
      <c r="F3194" s="17"/>
      <c r="G3194" s="17"/>
      <c r="Z3194" s="22"/>
      <c r="AB3194" s="22"/>
    </row>
    <row r="3195" spans="1:28">
      <c r="A3195" s="19"/>
      <c r="B3195" s="12"/>
      <c r="C3195" s="24"/>
      <c r="D3195" s="12"/>
      <c r="E3195" s="23"/>
      <c r="F3195" s="17"/>
      <c r="G3195" s="17"/>
      <c r="Z3195" s="22"/>
      <c r="AB3195" s="22"/>
    </row>
    <row r="3196" spans="1:28">
      <c r="A3196" s="19"/>
      <c r="B3196" s="12"/>
      <c r="C3196" s="24"/>
      <c r="D3196" s="12"/>
      <c r="E3196" s="23"/>
      <c r="F3196" s="17"/>
      <c r="G3196" s="17"/>
      <c r="Z3196" s="22"/>
      <c r="AB3196" s="22"/>
    </row>
    <row r="3197" spans="1:28">
      <c r="A3197" s="19"/>
      <c r="B3197" s="12"/>
      <c r="C3197" s="24"/>
      <c r="D3197" s="12"/>
      <c r="E3197" s="23"/>
      <c r="F3197" s="17"/>
      <c r="G3197" s="17"/>
      <c r="Z3197" s="22"/>
      <c r="AB3197" s="22"/>
    </row>
    <row r="3198" spans="1:28">
      <c r="A3198" s="19"/>
      <c r="B3198" s="12"/>
      <c r="C3198" s="24"/>
      <c r="D3198" s="12"/>
      <c r="E3198" s="23"/>
      <c r="F3198" s="17"/>
      <c r="G3198" s="17"/>
      <c r="Z3198" s="22"/>
      <c r="AB3198" s="22"/>
    </row>
    <row r="3199" spans="1:28">
      <c r="A3199" s="19"/>
      <c r="B3199" s="12"/>
      <c r="C3199" s="24"/>
      <c r="D3199" s="12"/>
      <c r="E3199" s="23"/>
      <c r="F3199" s="17"/>
      <c r="G3199" s="17"/>
      <c r="Z3199" s="22"/>
      <c r="AB3199" s="22"/>
    </row>
    <row r="3200" spans="1:28">
      <c r="A3200" s="19"/>
      <c r="B3200" s="12"/>
      <c r="C3200" s="24"/>
      <c r="D3200" s="12"/>
      <c r="E3200" s="23"/>
      <c r="F3200" s="17"/>
      <c r="G3200" s="17"/>
      <c r="Z3200" s="22"/>
      <c r="AB3200" s="22"/>
    </row>
    <row r="3201" spans="1:28">
      <c r="A3201" s="19"/>
      <c r="B3201" s="12"/>
      <c r="C3201" s="24"/>
      <c r="D3201" s="12"/>
      <c r="E3201" s="23"/>
      <c r="F3201" s="17"/>
      <c r="G3201" s="17"/>
      <c r="Z3201" s="22"/>
      <c r="AB3201" s="22"/>
    </row>
    <row r="3202" spans="1:28">
      <c r="A3202" s="19"/>
      <c r="B3202" s="12"/>
      <c r="C3202" s="24"/>
      <c r="D3202" s="12"/>
      <c r="E3202" s="23"/>
      <c r="F3202" s="17"/>
      <c r="G3202" s="17"/>
      <c r="Z3202" s="22"/>
      <c r="AB3202" s="22"/>
    </row>
    <row r="3203" spans="1:28">
      <c r="A3203" s="19"/>
      <c r="B3203" s="12"/>
      <c r="C3203" s="24"/>
      <c r="D3203" s="12"/>
      <c r="E3203" s="23"/>
      <c r="F3203" s="17"/>
      <c r="G3203" s="17"/>
      <c r="Z3203" s="22"/>
      <c r="AB3203" s="22"/>
    </row>
    <row r="3204" spans="1:28">
      <c r="A3204" s="19"/>
      <c r="B3204" s="12"/>
      <c r="C3204" s="24"/>
      <c r="D3204" s="12"/>
      <c r="E3204" s="23"/>
      <c r="F3204" s="17"/>
      <c r="G3204" s="17"/>
      <c r="Z3204" s="22"/>
      <c r="AB3204" s="22"/>
    </row>
    <row r="3205" spans="1:28">
      <c r="A3205" s="19"/>
      <c r="B3205" s="12"/>
      <c r="C3205" s="24"/>
      <c r="D3205" s="12"/>
      <c r="E3205" s="23"/>
      <c r="F3205" s="17"/>
      <c r="G3205" s="17"/>
      <c r="Z3205" s="22"/>
      <c r="AB3205" s="22"/>
    </row>
    <row r="3206" spans="1:28">
      <c r="A3206" s="19"/>
      <c r="B3206" s="12"/>
      <c r="C3206" s="24"/>
      <c r="D3206" s="12"/>
      <c r="E3206" s="23"/>
      <c r="F3206" s="17"/>
      <c r="G3206" s="17"/>
      <c r="Z3206" s="22"/>
      <c r="AB3206" s="22"/>
    </row>
    <row r="3207" spans="1:28">
      <c r="A3207" s="19"/>
      <c r="B3207" s="12"/>
      <c r="C3207" s="24"/>
      <c r="D3207" s="12"/>
      <c r="E3207" s="23"/>
      <c r="F3207" s="17"/>
      <c r="G3207" s="17"/>
      <c r="Z3207" s="22"/>
      <c r="AB3207" s="22"/>
    </row>
    <row r="3208" spans="1:28">
      <c r="A3208" s="19"/>
      <c r="B3208" s="12"/>
      <c r="C3208" s="24"/>
      <c r="D3208" s="12"/>
      <c r="E3208" s="23"/>
      <c r="F3208" s="17"/>
      <c r="G3208" s="17"/>
      <c r="Z3208" s="22"/>
      <c r="AB3208" s="22"/>
    </row>
    <row r="3209" spans="1:28">
      <c r="A3209" s="19"/>
      <c r="B3209" s="12"/>
      <c r="C3209" s="24"/>
      <c r="D3209" s="12"/>
      <c r="E3209" s="23"/>
      <c r="F3209" s="17"/>
      <c r="G3209" s="17"/>
      <c r="Z3209" s="22"/>
      <c r="AB3209" s="22"/>
    </row>
    <row r="3210" spans="1:28">
      <c r="A3210" s="19"/>
      <c r="B3210" s="12"/>
      <c r="C3210" s="24"/>
      <c r="D3210" s="12"/>
      <c r="E3210" s="23"/>
      <c r="F3210" s="17"/>
      <c r="G3210" s="17"/>
      <c r="Z3210" s="22"/>
      <c r="AB3210" s="22"/>
    </row>
    <row r="3211" spans="1:28">
      <c r="A3211" s="19"/>
      <c r="B3211" s="12"/>
      <c r="C3211" s="24"/>
      <c r="D3211" s="12"/>
      <c r="E3211" s="23"/>
      <c r="F3211" s="17"/>
      <c r="G3211" s="17"/>
      <c r="Z3211" s="22"/>
      <c r="AB3211" s="22"/>
    </row>
    <row r="3212" spans="1:28">
      <c r="A3212" s="19"/>
      <c r="B3212" s="12"/>
      <c r="C3212" s="24"/>
      <c r="D3212" s="12"/>
      <c r="E3212" s="23"/>
      <c r="F3212" s="17"/>
      <c r="G3212" s="17"/>
      <c r="Z3212" s="22"/>
      <c r="AB3212" s="22"/>
    </row>
    <row r="3213" spans="1:28">
      <c r="A3213" s="19"/>
      <c r="B3213" s="12"/>
      <c r="C3213" s="24"/>
      <c r="D3213" s="12"/>
      <c r="E3213" s="23"/>
      <c r="F3213" s="17"/>
      <c r="G3213" s="17"/>
      <c r="Z3213" s="22"/>
      <c r="AB3213" s="22"/>
    </row>
    <row r="3214" spans="1:28">
      <c r="A3214" s="19"/>
      <c r="B3214" s="12"/>
      <c r="C3214" s="24"/>
      <c r="D3214" s="12"/>
      <c r="E3214" s="23"/>
      <c r="F3214" s="17"/>
      <c r="G3214" s="17"/>
      <c r="Z3214" s="22"/>
      <c r="AB3214" s="22"/>
    </row>
    <row r="3215" spans="1:28">
      <c r="A3215" s="19"/>
      <c r="B3215" s="12"/>
      <c r="C3215" s="24"/>
      <c r="D3215" s="12"/>
      <c r="E3215" s="23"/>
      <c r="F3215" s="17"/>
      <c r="G3215" s="17"/>
      <c r="Z3215" s="22"/>
      <c r="AB3215" s="22"/>
    </row>
    <row r="3216" spans="1:28">
      <c r="A3216" s="19"/>
      <c r="B3216" s="12"/>
      <c r="C3216" s="24"/>
      <c r="D3216" s="12"/>
      <c r="E3216" s="23"/>
      <c r="F3216" s="17"/>
      <c r="G3216" s="17"/>
      <c r="Z3216" s="22"/>
      <c r="AB3216" s="22"/>
    </row>
    <row r="3217" spans="1:28">
      <c r="A3217" s="19"/>
      <c r="B3217" s="12"/>
      <c r="C3217" s="24"/>
      <c r="D3217" s="12"/>
      <c r="E3217" s="23"/>
      <c r="F3217" s="17"/>
      <c r="G3217" s="17"/>
      <c r="Z3217" s="22"/>
      <c r="AB3217" s="22"/>
    </row>
    <row r="3218" spans="1:28">
      <c r="A3218" s="19"/>
      <c r="B3218" s="12"/>
      <c r="C3218" s="24"/>
      <c r="D3218" s="12"/>
      <c r="E3218" s="23"/>
      <c r="F3218" s="17"/>
      <c r="G3218" s="17"/>
      <c r="Z3218" s="22"/>
      <c r="AB3218" s="22"/>
    </row>
    <row r="3219" spans="1:28">
      <c r="A3219" s="19"/>
      <c r="B3219" s="12"/>
      <c r="C3219" s="24"/>
      <c r="D3219" s="12"/>
      <c r="E3219" s="23"/>
      <c r="F3219" s="17"/>
      <c r="G3219" s="17"/>
      <c r="Z3219" s="22"/>
      <c r="AB3219" s="22"/>
    </row>
    <row r="3220" spans="1:28">
      <c r="A3220" s="19"/>
      <c r="B3220" s="12"/>
      <c r="C3220" s="24"/>
      <c r="D3220" s="12"/>
      <c r="E3220" s="23"/>
      <c r="F3220" s="17"/>
      <c r="G3220" s="17"/>
      <c r="Z3220" s="22"/>
      <c r="AB3220" s="22"/>
    </row>
    <row r="3221" spans="1:28">
      <c r="A3221" s="19"/>
      <c r="B3221" s="12"/>
      <c r="C3221" s="24"/>
      <c r="D3221" s="12"/>
      <c r="E3221" s="23"/>
      <c r="F3221" s="17"/>
      <c r="G3221" s="17"/>
      <c r="Z3221" s="22"/>
      <c r="AB3221" s="22"/>
    </row>
    <row r="3222" spans="1:28">
      <c r="A3222" s="19"/>
      <c r="B3222" s="12"/>
      <c r="C3222" s="24"/>
      <c r="D3222" s="12"/>
      <c r="E3222" s="23"/>
      <c r="F3222" s="17"/>
      <c r="G3222" s="17"/>
      <c r="Z3222" s="22"/>
      <c r="AB3222" s="22"/>
    </row>
    <row r="3223" spans="1:28">
      <c r="A3223" s="19"/>
      <c r="B3223" s="12"/>
      <c r="C3223" s="24"/>
      <c r="D3223" s="12"/>
      <c r="E3223" s="23"/>
      <c r="F3223" s="17"/>
      <c r="G3223" s="17"/>
      <c r="Z3223" s="22"/>
      <c r="AB3223" s="22"/>
    </row>
    <row r="3224" spans="1:28">
      <c r="A3224" s="19"/>
      <c r="B3224" s="12"/>
      <c r="C3224" s="24"/>
      <c r="D3224" s="12"/>
      <c r="E3224" s="23"/>
      <c r="F3224" s="17"/>
      <c r="G3224" s="17"/>
      <c r="Z3224" s="22"/>
      <c r="AB3224" s="22"/>
    </row>
    <row r="3225" spans="1:28">
      <c r="A3225" s="19"/>
      <c r="B3225" s="12"/>
      <c r="C3225" s="24"/>
      <c r="D3225" s="12"/>
      <c r="E3225" s="23"/>
      <c r="F3225" s="17"/>
      <c r="G3225" s="17"/>
      <c r="Z3225" s="22"/>
      <c r="AB3225" s="22"/>
    </row>
    <row r="3226" spans="1:28">
      <c r="A3226" s="19"/>
      <c r="B3226" s="12"/>
      <c r="C3226" s="24"/>
      <c r="D3226" s="12"/>
      <c r="E3226" s="23"/>
      <c r="F3226" s="17"/>
      <c r="G3226" s="17"/>
      <c r="Z3226" s="22"/>
      <c r="AB3226" s="22"/>
    </row>
    <row r="3227" spans="1:28">
      <c r="A3227" s="19"/>
      <c r="B3227" s="12"/>
      <c r="C3227" s="24"/>
      <c r="D3227" s="12"/>
      <c r="E3227" s="23"/>
      <c r="F3227" s="17"/>
      <c r="G3227" s="17"/>
      <c r="Z3227" s="22"/>
      <c r="AB3227" s="22"/>
    </row>
    <row r="3228" spans="1:28">
      <c r="A3228" s="19"/>
      <c r="B3228" s="12"/>
      <c r="C3228" s="24"/>
      <c r="D3228" s="12"/>
      <c r="E3228" s="23"/>
      <c r="F3228" s="17"/>
      <c r="G3228" s="17"/>
      <c r="Z3228" s="22"/>
      <c r="AB3228" s="22"/>
    </row>
    <row r="3229" spans="1:28">
      <c r="A3229" s="19"/>
      <c r="B3229" s="12"/>
      <c r="C3229" s="24"/>
      <c r="D3229" s="12"/>
      <c r="E3229" s="23"/>
      <c r="F3229" s="17"/>
      <c r="G3229" s="17"/>
      <c r="Z3229" s="22"/>
      <c r="AB3229" s="22"/>
    </row>
    <row r="3230" spans="1:28">
      <c r="A3230" s="19"/>
      <c r="B3230" s="12"/>
      <c r="C3230" s="24"/>
      <c r="D3230" s="12"/>
      <c r="E3230" s="23"/>
      <c r="F3230" s="17"/>
      <c r="G3230" s="17"/>
      <c r="Z3230" s="22"/>
      <c r="AB3230" s="22"/>
    </row>
    <row r="3231" spans="1:28">
      <c r="A3231" s="19"/>
      <c r="B3231" s="12"/>
      <c r="C3231" s="24"/>
      <c r="D3231" s="12"/>
      <c r="E3231" s="23"/>
      <c r="F3231" s="17"/>
      <c r="G3231" s="17"/>
      <c r="Z3231" s="22"/>
      <c r="AB3231" s="22"/>
    </row>
    <row r="3232" spans="1:28">
      <c r="A3232" s="19"/>
      <c r="B3232" s="12"/>
      <c r="C3232" s="24"/>
      <c r="D3232" s="12"/>
      <c r="E3232" s="23"/>
      <c r="F3232" s="17"/>
      <c r="G3232" s="17"/>
      <c r="Z3232" s="22"/>
      <c r="AB3232" s="22"/>
    </row>
    <row r="3233" spans="1:28">
      <c r="A3233" s="19"/>
      <c r="B3233" s="12"/>
      <c r="C3233" s="24"/>
      <c r="D3233" s="12"/>
      <c r="E3233" s="23"/>
      <c r="F3233" s="17"/>
      <c r="G3233" s="17"/>
      <c r="Z3233" s="22"/>
      <c r="AB3233" s="22"/>
    </row>
    <row r="3234" spans="1:28">
      <c r="A3234" s="19"/>
      <c r="B3234" s="12"/>
      <c r="C3234" s="24"/>
      <c r="D3234" s="12"/>
      <c r="E3234" s="23"/>
      <c r="F3234" s="17"/>
      <c r="G3234" s="17"/>
      <c r="Z3234" s="22"/>
      <c r="AB3234" s="22"/>
    </row>
    <row r="3235" spans="1:28">
      <c r="A3235" s="19"/>
      <c r="B3235" s="12"/>
      <c r="C3235" s="24"/>
      <c r="D3235" s="12"/>
      <c r="E3235" s="23"/>
      <c r="F3235" s="17"/>
      <c r="G3235" s="17"/>
      <c r="Z3235" s="22"/>
      <c r="AB3235" s="22"/>
    </row>
    <row r="3236" spans="1:28">
      <c r="A3236" s="19"/>
      <c r="B3236" s="12"/>
      <c r="C3236" s="24"/>
      <c r="D3236" s="12"/>
      <c r="E3236" s="23"/>
      <c r="F3236" s="17"/>
      <c r="G3236" s="17"/>
      <c r="Z3236" s="22"/>
      <c r="AB3236" s="22"/>
    </row>
    <row r="3237" spans="1:28">
      <c r="A3237" s="19"/>
      <c r="B3237" s="12"/>
      <c r="C3237" s="24"/>
      <c r="D3237" s="12"/>
      <c r="E3237" s="23"/>
      <c r="F3237" s="17"/>
      <c r="G3237" s="17"/>
      <c r="Z3237" s="22"/>
      <c r="AB3237" s="22"/>
    </row>
    <row r="3238" spans="1:28">
      <c r="A3238" s="19"/>
      <c r="B3238" s="12"/>
      <c r="C3238" s="24"/>
      <c r="D3238" s="12"/>
      <c r="E3238" s="23"/>
      <c r="F3238" s="17"/>
      <c r="G3238" s="17"/>
      <c r="Z3238" s="22"/>
      <c r="AB3238" s="22"/>
    </row>
    <row r="3239" spans="1:28">
      <c r="A3239" s="19"/>
      <c r="B3239" s="12"/>
      <c r="C3239" s="24"/>
      <c r="D3239" s="12"/>
      <c r="E3239" s="23"/>
      <c r="F3239" s="17"/>
      <c r="G3239" s="17"/>
      <c r="Z3239" s="22"/>
      <c r="AB3239" s="22"/>
    </row>
    <row r="3240" spans="1:28">
      <c r="A3240" s="19"/>
      <c r="B3240" s="12"/>
      <c r="C3240" s="24"/>
      <c r="D3240" s="12"/>
      <c r="E3240" s="23"/>
      <c r="F3240" s="17"/>
      <c r="G3240" s="17"/>
      <c r="Z3240" s="22"/>
      <c r="AB3240" s="22"/>
    </row>
    <row r="3241" spans="1:28">
      <c r="A3241" s="19"/>
      <c r="B3241" s="12"/>
      <c r="C3241" s="24"/>
      <c r="D3241" s="12"/>
      <c r="E3241" s="23"/>
      <c r="F3241" s="17"/>
      <c r="G3241" s="17"/>
      <c r="Z3241" s="22"/>
      <c r="AB3241" s="22"/>
    </row>
    <row r="3242" spans="1:28">
      <c r="A3242" s="19"/>
      <c r="B3242" s="12"/>
      <c r="C3242" s="24"/>
      <c r="D3242" s="12"/>
      <c r="E3242" s="23"/>
      <c r="F3242" s="17"/>
      <c r="G3242" s="17"/>
      <c r="Z3242" s="22"/>
      <c r="AB3242" s="22"/>
    </row>
    <row r="3243" spans="1:28">
      <c r="A3243" s="19"/>
      <c r="B3243" s="12"/>
      <c r="C3243" s="24"/>
      <c r="D3243" s="12"/>
      <c r="E3243" s="23"/>
      <c r="F3243" s="17"/>
      <c r="G3243" s="17"/>
      <c r="Z3243" s="22"/>
      <c r="AB3243" s="22"/>
    </row>
    <row r="3244" spans="1:28">
      <c r="A3244" s="19"/>
      <c r="B3244" s="12"/>
      <c r="C3244" s="24"/>
      <c r="D3244" s="12"/>
      <c r="E3244" s="23"/>
      <c r="F3244" s="17"/>
      <c r="G3244" s="17"/>
      <c r="Z3244" s="22"/>
      <c r="AB3244" s="22"/>
    </row>
    <row r="3245" spans="1:28">
      <c r="A3245" s="19"/>
      <c r="B3245" s="12"/>
      <c r="C3245" s="24"/>
      <c r="D3245" s="12"/>
      <c r="E3245" s="23"/>
      <c r="F3245" s="17"/>
      <c r="G3245" s="17"/>
      <c r="Z3245" s="22"/>
      <c r="AB3245" s="22"/>
    </row>
    <row r="3246" spans="1:28">
      <c r="A3246" s="19"/>
      <c r="B3246" s="12"/>
      <c r="C3246" s="24"/>
      <c r="D3246" s="12"/>
      <c r="E3246" s="23"/>
      <c r="F3246" s="17"/>
      <c r="G3246" s="17"/>
      <c r="Z3246" s="22"/>
      <c r="AB3246" s="22"/>
    </row>
    <row r="3247" spans="1:28">
      <c r="A3247" s="19"/>
      <c r="B3247" s="12"/>
      <c r="C3247" s="24"/>
      <c r="D3247" s="12"/>
      <c r="E3247" s="23"/>
      <c r="F3247" s="17"/>
      <c r="G3247" s="17"/>
      <c r="Z3247" s="22"/>
      <c r="AB3247" s="22"/>
    </row>
    <row r="3248" spans="1:28">
      <c r="A3248" s="19"/>
      <c r="B3248" s="12"/>
      <c r="C3248" s="24"/>
      <c r="D3248" s="12"/>
      <c r="E3248" s="23"/>
      <c r="F3248" s="17"/>
      <c r="G3248" s="17"/>
      <c r="Z3248" s="22"/>
      <c r="AB3248" s="22"/>
    </row>
    <row r="3249" spans="1:28">
      <c r="A3249" s="19"/>
      <c r="B3249" s="12"/>
      <c r="C3249" s="24"/>
      <c r="D3249" s="12"/>
      <c r="E3249" s="23"/>
      <c r="F3249" s="17"/>
      <c r="G3249" s="17"/>
      <c r="Z3249" s="22"/>
      <c r="AB3249" s="22"/>
    </row>
    <row r="3250" spans="1:28">
      <c r="A3250" s="19"/>
      <c r="B3250" s="12"/>
      <c r="C3250" s="24"/>
      <c r="D3250" s="12"/>
      <c r="E3250" s="23"/>
      <c r="F3250" s="17"/>
      <c r="G3250" s="17"/>
      <c r="Z3250" s="22"/>
      <c r="AB3250" s="22"/>
    </row>
    <row r="3251" spans="1:28">
      <c r="A3251" s="19"/>
      <c r="B3251" s="12"/>
      <c r="C3251" s="24"/>
      <c r="D3251" s="12"/>
      <c r="E3251" s="23"/>
      <c r="F3251" s="17"/>
      <c r="G3251" s="17"/>
      <c r="Z3251" s="22"/>
      <c r="AB3251" s="22"/>
    </row>
    <row r="3252" spans="1:28">
      <c r="A3252" s="19"/>
      <c r="B3252" s="12"/>
      <c r="C3252" s="24"/>
      <c r="D3252" s="12"/>
      <c r="E3252" s="23"/>
      <c r="F3252" s="17"/>
      <c r="G3252" s="17"/>
      <c r="Z3252" s="22"/>
      <c r="AB3252" s="22"/>
    </row>
    <row r="3253" spans="1:28">
      <c r="A3253" s="19"/>
      <c r="B3253" s="12"/>
      <c r="C3253" s="24"/>
      <c r="D3253" s="12"/>
      <c r="E3253" s="23"/>
      <c r="F3253" s="17"/>
      <c r="G3253" s="17"/>
      <c r="Z3253" s="22"/>
      <c r="AB3253" s="22"/>
    </row>
    <row r="3254" spans="1:28">
      <c r="A3254" s="19"/>
      <c r="B3254" s="12"/>
      <c r="C3254" s="24"/>
      <c r="D3254" s="12"/>
      <c r="E3254" s="23"/>
      <c r="F3254" s="17"/>
      <c r="G3254" s="17"/>
      <c r="Z3254" s="22"/>
      <c r="AB3254" s="22"/>
    </row>
    <row r="3255" spans="1:28">
      <c r="A3255" s="19"/>
      <c r="B3255" s="12"/>
      <c r="C3255" s="24"/>
      <c r="D3255" s="12"/>
      <c r="E3255" s="23"/>
      <c r="F3255" s="17"/>
      <c r="G3255" s="17"/>
      <c r="Z3255" s="22"/>
      <c r="AB3255" s="22"/>
    </row>
    <row r="3256" spans="1:28">
      <c r="A3256" s="19"/>
      <c r="B3256" s="12"/>
      <c r="C3256" s="24"/>
      <c r="D3256" s="12"/>
      <c r="E3256" s="23"/>
      <c r="F3256" s="17"/>
      <c r="G3256" s="17"/>
      <c r="Z3256" s="22"/>
      <c r="AB3256" s="22"/>
    </row>
    <row r="3257" spans="1:28">
      <c r="A3257" s="19"/>
      <c r="B3257" s="12"/>
      <c r="C3257" s="24"/>
      <c r="D3257" s="12"/>
      <c r="E3257" s="23"/>
      <c r="F3257" s="17"/>
      <c r="G3257" s="17"/>
      <c r="Z3257" s="22"/>
      <c r="AB3257" s="22"/>
    </row>
    <row r="3258" spans="1:28">
      <c r="A3258" s="19"/>
      <c r="B3258" s="12"/>
      <c r="C3258" s="24"/>
      <c r="D3258" s="12"/>
      <c r="E3258" s="23"/>
      <c r="F3258" s="17"/>
      <c r="G3258" s="17"/>
      <c r="Z3258" s="22"/>
      <c r="AB3258" s="22"/>
    </row>
    <row r="3259" spans="1:28">
      <c r="A3259" s="19"/>
      <c r="B3259" s="12"/>
      <c r="C3259" s="24"/>
      <c r="D3259" s="12"/>
      <c r="E3259" s="23"/>
      <c r="F3259" s="17"/>
      <c r="G3259" s="17"/>
      <c r="Z3259" s="22"/>
      <c r="AB3259" s="22"/>
    </row>
    <row r="3260" spans="1:28">
      <c r="A3260" s="19"/>
      <c r="B3260" s="12"/>
      <c r="C3260" s="24"/>
      <c r="D3260" s="12"/>
      <c r="E3260" s="23"/>
      <c r="F3260" s="17"/>
      <c r="G3260" s="17"/>
      <c r="Z3260" s="22"/>
      <c r="AB3260" s="22"/>
    </row>
    <row r="3261" spans="1:28">
      <c r="A3261" s="19"/>
      <c r="B3261" s="12"/>
      <c r="C3261" s="24"/>
      <c r="D3261" s="12"/>
      <c r="E3261" s="23"/>
      <c r="F3261" s="17"/>
      <c r="G3261" s="17"/>
      <c r="Z3261" s="22"/>
      <c r="AB3261" s="22"/>
    </row>
    <row r="3262" spans="1:28">
      <c r="A3262" s="19"/>
      <c r="B3262" s="12"/>
      <c r="C3262" s="24"/>
      <c r="D3262" s="12"/>
      <c r="E3262" s="23"/>
      <c r="F3262" s="17"/>
      <c r="G3262" s="17"/>
      <c r="Z3262" s="22"/>
      <c r="AB3262" s="22"/>
    </row>
    <row r="3263" spans="1:28">
      <c r="A3263" s="19"/>
      <c r="B3263" s="12"/>
      <c r="C3263" s="24"/>
      <c r="D3263" s="12"/>
      <c r="E3263" s="23"/>
      <c r="F3263" s="17"/>
      <c r="G3263" s="17"/>
      <c r="Z3263" s="22"/>
      <c r="AB3263" s="22"/>
    </row>
    <row r="3264" spans="1:28">
      <c r="A3264" s="19"/>
      <c r="B3264" s="12"/>
      <c r="C3264" s="24"/>
      <c r="D3264" s="12"/>
      <c r="E3264" s="23"/>
      <c r="F3264" s="17"/>
      <c r="G3264" s="17"/>
      <c r="Z3264" s="22"/>
      <c r="AB3264" s="22"/>
    </row>
    <row r="3265" spans="1:28">
      <c r="A3265" s="19"/>
      <c r="B3265" s="12"/>
      <c r="C3265" s="24"/>
      <c r="D3265" s="12"/>
      <c r="E3265" s="23"/>
      <c r="F3265" s="17"/>
      <c r="G3265" s="17"/>
      <c r="Z3265" s="22"/>
      <c r="AB3265" s="22"/>
    </row>
    <row r="3266" spans="1:28">
      <c r="A3266" s="19"/>
      <c r="B3266" s="12"/>
      <c r="C3266" s="24"/>
      <c r="D3266" s="12"/>
      <c r="E3266" s="23"/>
      <c r="F3266" s="17"/>
      <c r="G3266" s="17"/>
      <c r="Z3266" s="22"/>
      <c r="AB3266" s="22"/>
    </row>
    <row r="3267" spans="1:28">
      <c r="A3267" s="19"/>
      <c r="B3267" s="12"/>
      <c r="C3267" s="24"/>
      <c r="D3267" s="12"/>
      <c r="E3267" s="23"/>
      <c r="F3267" s="17"/>
      <c r="G3267" s="17"/>
      <c r="Z3267" s="22"/>
      <c r="AB3267" s="22"/>
    </row>
    <row r="3268" spans="1:28">
      <c r="A3268" s="19"/>
      <c r="B3268" s="12"/>
      <c r="C3268" s="24"/>
      <c r="D3268" s="12"/>
      <c r="E3268" s="23"/>
      <c r="F3268" s="17"/>
      <c r="G3268" s="17"/>
      <c r="Z3268" s="22"/>
      <c r="AB3268" s="22"/>
    </row>
    <row r="3269" spans="1:28">
      <c r="A3269" s="19"/>
      <c r="B3269" s="12"/>
      <c r="C3269" s="24"/>
      <c r="D3269" s="12"/>
      <c r="E3269" s="23"/>
      <c r="F3269" s="17"/>
      <c r="G3269" s="17"/>
      <c r="Z3269" s="22"/>
      <c r="AB3269" s="22"/>
    </row>
    <row r="3270" spans="1:28">
      <c r="A3270" s="19"/>
      <c r="B3270" s="12"/>
      <c r="C3270" s="24"/>
      <c r="D3270" s="12"/>
      <c r="E3270" s="23"/>
      <c r="F3270" s="17"/>
      <c r="G3270" s="17"/>
      <c r="Z3270" s="22"/>
      <c r="AB3270" s="22"/>
    </row>
    <row r="3271" spans="1:28">
      <c r="A3271" s="19"/>
      <c r="B3271" s="12"/>
      <c r="C3271" s="24"/>
      <c r="D3271" s="12"/>
      <c r="E3271" s="23"/>
      <c r="F3271" s="17"/>
      <c r="G3271" s="17"/>
      <c r="Z3271" s="22"/>
      <c r="AB3271" s="22"/>
    </row>
    <row r="3272" spans="1:28">
      <c r="A3272" s="19"/>
      <c r="B3272" s="12"/>
      <c r="C3272" s="24"/>
      <c r="D3272" s="12"/>
      <c r="E3272" s="23"/>
      <c r="F3272" s="17"/>
      <c r="G3272" s="17"/>
      <c r="Z3272" s="22"/>
      <c r="AB3272" s="22"/>
    </row>
    <row r="3273" spans="1:28">
      <c r="A3273" s="19"/>
      <c r="B3273" s="12"/>
      <c r="C3273" s="24"/>
      <c r="D3273" s="12"/>
      <c r="E3273" s="23"/>
      <c r="F3273" s="17"/>
      <c r="G3273" s="17"/>
      <c r="Z3273" s="22"/>
      <c r="AB3273" s="22"/>
    </row>
    <row r="3274" spans="1:28">
      <c r="A3274" s="19"/>
      <c r="B3274" s="12"/>
      <c r="C3274" s="24"/>
      <c r="D3274" s="12"/>
      <c r="E3274" s="23"/>
      <c r="F3274" s="17"/>
      <c r="G3274" s="17"/>
      <c r="Z3274" s="22"/>
      <c r="AB3274" s="22"/>
    </row>
    <row r="3275" spans="1:28">
      <c r="A3275" s="19"/>
      <c r="B3275" s="12"/>
      <c r="C3275" s="24"/>
      <c r="D3275" s="12"/>
      <c r="E3275" s="23"/>
      <c r="F3275" s="17"/>
      <c r="G3275" s="17"/>
      <c r="Z3275" s="22"/>
      <c r="AB3275" s="22"/>
    </row>
    <row r="3276" spans="1:28">
      <c r="A3276" s="19"/>
      <c r="B3276" s="12"/>
      <c r="C3276" s="24"/>
      <c r="D3276" s="12"/>
      <c r="E3276" s="23"/>
      <c r="F3276" s="17"/>
      <c r="G3276" s="17"/>
      <c r="Z3276" s="22"/>
      <c r="AB3276" s="22"/>
    </row>
    <row r="3277" spans="1:28">
      <c r="A3277" s="19"/>
      <c r="B3277" s="12"/>
      <c r="C3277" s="24"/>
      <c r="D3277" s="12"/>
      <c r="E3277" s="23"/>
      <c r="F3277" s="17"/>
      <c r="G3277" s="17"/>
      <c r="Z3277" s="22"/>
      <c r="AB3277" s="22"/>
    </row>
    <row r="3278" spans="1:28">
      <c r="A3278" s="19"/>
      <c r="B3278" s="12"/>
      <c r="C3278" s="24"/>
      <c r="D3278" s="12"/>
      <c r="E3278" s="23"/>
      <c r="F3278" s="17"/>
      <c r="G3278" s="17"/>
      <c r="Z3278" s="22"/>
      <c r="AB3278" s="22"/>
    </row>
    <row r="3279" spans="1:28">
      <c r="A3279" s="19"/>
      <c r="B3279" s="12"/>
      <c r="C3279" s="24"/>
      <c r="D3279" s="12"/>
      <c r="E3279" s="23"/>
      <c r="F3279" s="17"/>
      <c r="G3279" s="17"/>
      <c r="Z3279" s="22"/>
      <c r="AB3279" s="22"/>
    </row>
    <row r="3280" spans="1:28">
      <c r="A3280" s="19"/>
      <c r="B3280" s="12"/>
      <c r="C3280" s="24"/>
      <c r="D3280" s="12"/>
      <c r="E3280" s="23"/>
      <c r="F3280" s="17"/>
      <c r="G3280" s="17"/>
      <c r="Z3280" s="22"/>
      <c r="AB3280" s="22"/>
    </row>
    <row r="3281" spans="1:28">
      <c r="A3281" s="19"/>
      <c r="B3281" s="12"/>
      <c r="C3281" s="24"/>
      <c r="D3281" s="12"/>
      <c r="E3281" s="23"/>
      <c r="F3281" s="17"/>
      <c r="G3281" s="17"/>
      <c r="Z3281" s="22"/>
      <c r="AB3281" s="22"/>
    </row>
    <row r="3282" spans="1:28">
      <c r="A3282" s="19"/>
      <c r="B3282" s="12"/>
      <c r="C3282" s="24"/>
      <c r="D3282" s="12"/>
      <c r="E3282" s="23"/>
      <c r="F3282" s="17"/>
      <c r="G3282" s="17"/>
      <c r="Z3282" s="22"/>
      <c r="AB3282" s="22"/>
    </row>
    <row r="3283" spans="1:28">
      <c r="A3283" s="19"/>
      <c r="B3283" s="12"/>
      <c r="C3283" s="24"/>
      <c r="D3283" s="12"/>
      <c r="E3283" s="23"/>
      <c r="F3283" s="17"/>
      <c r="G3283" s="17"/>
      <c r="Z3283" s="22"/>
      <c r="AB3283" s="22"/>
    </row>
    <row r="3284" spans="1:28">
      <c r="A3284" s="19"/>
      <c r="B3284" s="12"/>
      <c r="C3284" s="24"/>
      <c r="D3284" s="12"/>
      <c r="E3284" s="23"/>
      <c r="F3284" s="17"/>
      <c r="G3284" s="17"/>
      <c r="Z3284" s="22"/>
      <c r="AB3284" s="22"/>
    </row>
    <row r="3285" spans="1:28">
      <c r="A3285" s="19"/>
      <c r="B3285" s="12"/>
      <c r="C3285" s="24"/>
      <c r="D3285" s="12"/>
      <c r="E3285" s="23"/>
      <c r="F3285" s="17"/>
      <c r="G3285" s="17"/>
      <c r="Z3285" s="22"/>
      <c r="AB3285" s="22"/>
    </row>
    <row r="3286" spans="1:28">
      <c r="A3286" s="19"/>
      <c r="B3286" s="12"/>
      <c r="C3286" s="24"/>
      <c r="D3286" s="12"/>
      <c r="E3286" s="23"/>
      <c r="F3286" s="17"/>
      <c r="G3286" s="17"/>
      <c r="Z3286" s="22"/>
      <c r="AB3286" s="22"/>
    </row>
    <row r="3287" spans="1:28">
      <c r="A3287" s="19"/>
      <c r="B3287" s="12"/>
      <c r="C3287" s="24"/>
      <c r="D3287" s="12"/>
      <c r="E3287" s="23"/>
      <c r="F3287" s="17"/>
      <c r="G3287" s="17"/>
      <c r="Z3287" s="22"/>
      <c r="AB3287" s="22"/>
    </row>
    <row r="3288" spans="1:28">
      <c r="A3288" s="19"/>
      <c r="B3288" s="12"/>
      <c r="C3288" s="24"/>
      <c r="D3288" s="12"/>
      <c r="E3288" s="23"/>
      <c r="F3288" s="17"/>
      <c r="G3288" s="17"/>
      <c r="Z3288" s="22"/>
      <c r="AB3288" s="22"/>
    </row>
    <row r="3289" spans="1:28">
      <c r="A3289" s="19"/>
      <c r="B3289" s="12"/>
      <c r="C3289" s="24"/>
      <c r="D3289" s="12"/>
      <c r="E3289" s="23"/>
      <c r="F3289" s="17"/>
      <c r="G3289" s="17"/>
      <c r="Z3289" s="22"/>
      <c r="AB3289" s="22"/>
    </row>
    <row r="3290" spans="1:28">
      <c r="A3290" s="19"/>
      <c r="B3290" s="12"/>
      <c r="C3290" s="24"/>
      <c r="D3290" s="12"/>
      <c r="E3290" s="23"/>
      <c r="F3290" s="17"/>
      <c r="G3290" s="17"/>
      <c r="Z3290" s="22"/>
      <c r="AB3290" s="22"/>
    </row>
    <row r="3291" spans="1:28">
      <c r="A3291" s="19"/>
      <c r="B3291" s="12"/>
      <c r="C3291" s="24"/>
      <c r="D3291" s="12"/>
      <c r="E3291" s="23"/>
      <c r="F3291" s="17"/>
      <c r="G3291" s="17"/>
      <c r="Z3291" s="22"/>
      <c r="AB3291" s="22"/>
    </row>
    <row r="3292" spans="1:28">
      <c r="A3292" s="19"/>
      <c r="B3292" s="12"/>
      <c r="C3292" s="24"/>
      <c r="D3292" s="12"/>
      <c r="E3292" s="23"/>
      <c r="F3292" s="17"/>
      <c r="G3292" s="17"/>
      <c r="Z3292" s="22"/>
      <c r="AB3292" s="22"/>
    </row>
    <row r="3293" spans="1:28">
      <c r="A3293" s="19"/>
      <c r="B3293" s="12"/>
      <c r="C3293" s="24"/>
      <c r="D3293" s="12"/>
      <c r="E3293" s="23"/>
      <c r="F3293" s="17"/>
      <c r="G3293" s="17"/>
      <c r="Z3293" s="22"/>
      <c r="AB3293" s="22"/>
    </row>
    <row r="3294" spans="1:28">
      <c r="A3294" s="19"/>
      <c r="B3294" s="12"/>
      <c r="C3294" s="24"/>
      <c r="D3294" s="12"/>
      <c r="E3294" s="23"/>
      <c r="F3294" s="17"/>
      <c r="G3294" s="17"/>
      <c r="Z3294" s="22"/>
      <c r="AB3294" s="22"/>
    </row>
    <row r="3295" spans="1:28">
      <c r="A3295" s="19"/>
      <c r="B3295" s="12"/>
      <c r="C3295" s="24"/>
      <c r="D3295" s="12"/>
      <c r="E3295" s="23"/>
      <c r="F3295" s="17"/>
      <c r="G3295" s="17"/>
      <c r="Z3295" s="22"/>
      <c r="AB3295" s="22"/>
    </row>
    <row r="3296" spans="1:28">
      <c r="A3296" s="19"/>
      <c r="B3296" s="12"/>
      <c r="C3296" s="24"/>
      <c r="D3296" s="12"/>
      <c r="E3296" s="23"/>
      <c r="F3296" s="17"/>
      <c r="G3296" s="17"/>
      <c r="Z3296" s="22"/>
      <c r="AB3296" s="22"/>
    </row>
    <row r="3297" spans="1:28">
      <c r="A3297" s="19"/>
      <c r="B3297" s="12"/>
      <c r="C3297" s="24"/>
      <c r="D3297" s="12"/>
      <c r="E3297" s="23"/>
      <c r="F3297" s="17"/>
      <c r="G3297" s="17"/>
      <c r="Z3297" s="22"/>
      <c r="AB3297" s="22"/>
    </row>
    <row r="3298" spans="1:28">
      <c r="A3298" s="19"/>
      <c r="B3298" s="12"/>
      <c r="C3298" s="24"/>
      <c r="D3298" s="12"/>
      <c r="E3298" s="23"/>
      <c r="F3298" s="17"/>
      <c r="G3298" s="17"/>
      <c r="Z3298" s="22"/>
      <c r="AB3298" s="22"/>
    </row>
    <row r="3299" spans="1:28">
      <c r="A3299" s="19"/>
      <c r="B3299" s="12"/>
      <c r="C3299" s="24"/>
      <c r="D3299" s="12"/>
      <c r="E3299" s="23"/>
      <c r="F3299" s="17"/>
      <c r="G3299" s="17"/>
      <c r="Z3299" s="22"/>
      <c r="AB3299" s="22"/>
    </row>
    <row r="3300" spans="1:28">
      <c r="A3300" s="19"/>
      <c r="B3300" s="12"/>
      <c r="C3300" s="24"/>
      <c r="D3300" s="12"/>
      <c r="E3300" s="23"/>
      <c r="F3300" s="17"/>
      <c r="G3300" s="17"/>
      <c r="Z3300" s="22"/>
      <c r="AB3300" s="22"/>
    </row>
    <row r="3301" spans="1:28">
      <c r="A3301" s="19"/>
      <c r="B3301" s="12"/>
      <c r="C3301" s="24"/>
      <c r="D3301" s="12"/>
      <c r="E3301" s="23"/>
      <c r="F3301" s="17"/>
      <c r="G3301" s="17"/>
      <c r="Z3301" s="22"/>
      <c r="AB3301" s="22"/>
    </row>
    <row r="3302" spans="1:28">
      <c r="A3302" s="19"/>
      <c r="B3302" s="12"/>
      <c r="C3302" s="24"/>
      <c r="D3302" s="12"/>
      <c r="E3302" s="23"/>
      <c r="F3302" s="17"/>
      <c r="G3302" s="17"/>
      <c r="Z3302" s="22"/>
      <c r="AB3302" s="22"/>
    </row>
    <row r="3303" spans="1:28">
      <c r="A3303" s="19"/>
      <c r="B3303" s="12"/>
      <c r="C3303" s="24"/>
      <c r="D3303" s="12"/>
      <c r="E3303" s="23"/>
      <c r="F3303" s="17"/>
      <c r="G3303" s="17"/>
      <c r="Z3303" s="22"/>
      <c r="AB3303" s="22"/>
    </row>
    <row r="3304" spans="1:28">
      <c r="A3304" s="19"/>
      <c r="B3304" s="12"/>
      <c r="C3304" s="24"/>
      <c r="D3304" s="12"/>
      <c r="E3304" s="23"/>
      <c r="F3304" s="17"/>
      <c r="G3304" s="17"/>
      <c r="Z3304" s="22"/>
      <c r="AB3304" s="22"/>
    </row>
    <row r="3305" spans="1:28">
      <c r="A3305" s="19"/>
      <c r="B3305" s="12"/>
      <c r="C3305" s="24"/>
      <c r="D3305" s="12"/>
      <c r="E3305" s="23"/>
      <c r="F3305" s="17"/>
      <c r="G3305" s="17"/>
      <c r="Z3305" s="22"/>
      <c r="AB3305" s="22"/>
    </row>
    <row r="3306" spans="1:28">
      <c r="A3306" s="19"/>
      <c r="B3306" s="12"/>
      <c r="C3306" s="24"/>
      <c r="D3306" s="12"/>
      <c r="E3306" s="23"/>
      <c r="F3306" s="17"/>
      <c r="G3306" s="17"/>
      <c r="Z3306" s="22"/>
      <c r="AB3306" s="22"/>
    </row>
    <row r="3307" spans="1:28">
      <c r="A3307" s="19"/>
      <c r="B3307" s="12"/>
      <c r="C3307" s="24"/>
      <c r="D3307" s="12"/>
      <c r="E3307" s="23"/>
      <c r="F3307" s="17"/>
      <c r="G3307" s="17"/>
      <c r="Z3307" s="22"/>
      <c r="AB3307" s="22"/>
    </row>
    <row r="3308" spans="1:28">
      <c r="A3308" s="19"/>
      <c r="B3308" s="12"/>
      <c r="C3308" s="24"/>
      <c r="D3308" s="12"/>
      <c r="E3308" s="23"/>
      <c r="F3308" s="17"/>
      <c r="G3308" s="17"/>
      <c r="Z3308" s="22"/>
      <c r="AB3308" s="22"/>
    </row>
    <row r="3309" spans="1:28">
      <c r="A3309" s="19"/>
      <c r="B3309" s="12"/>
      <c r="C3309" s="24"/>
      <c r="D3309" s="12"/>
      <c r="E3309" s="23"/>
      <c r="F3309" s="17"/>
      <c r="G3309" s="17"/>
      <c r="Z3309" s="22"/>
      <c r="AB3309" s="22"/>
    </row>
    <row r="3310" spans="1:28">
      <c r="A3310" s="19"/>
      <c r="B3310" s="12"/>
      <c r="C3310" s="24"/>
      <c r="D3310" s="12"/>
      <c r="E3310" s="23"/>
      <c r="F3310" s="17"/>
      <c r="G3310" s="17"/>
      <c r="Z3310" s="22"/>
      <c r="AB3310" s="22"/>
    </row>
    <row r="3311" spans="1:28">
      <c r="A3311" s="19"/>
      <c r="B3311" s="12"/>
      <c r="C3311" s="24"/>
      <c r="D3311" s="12"/>
      <c r="E3311" s="23"/>
      <c r="F3311" s="17"/>
      <c r="G3311" s="17"/>
      <c r="Z3311" s="22"/>
      <c r="AB3311" s="22"/>
    </row>
    <row r="3312" spans="1:28">
      <c r="A3312" s="19"/>
      <c r="B3312" s="12"/>
      <c r="C3312" s="24"/>
      <c r="D3312" s="12"/>
      <c r="E3312" s="23"/>
      <c r="F3312" s="17"/>
      <c r="G3312" s="17"/>
      <c r="Z3312" s="22"/>
      <c r="AB3312" s="22"/>
    </row>
    <row r="3313" spans="1:28">
      <c r="A3313" s="19"/>
      <c r="B3313" s="12"/>
      <c r="C3313" s="24"/>
      <c r="D3313" s="12"/>
      <c r="E3313" s="23"/>
      <c r="F3313" s="17"/>
      <c r="G3313" s="17"/>
      <c r="Z3313" s="22"/>
      <c r="AB3313" s="22"/>
    </row>
    <row r="3314" spans="1:28">
      <c r="A3314" s="19"/>
      <c r="B3314" s="12"/>
      <c r="C3314" s="24"/>
      <c r="D3314" s="12"/>
      <c r="E3314" s="23"/>
      <c r="F3314" s="17"/>
      <c r="G3314" s="17"/>
      <c r="Z3314" s="22"/>
      <c r="AB3314" s="22"/>
    </row>
    <row r="3315" spans="1:28">
      <c r="A3315" s="19"/>
      <c r="B3315" s="12"/>
      <c r="C3315" s="24"/>
      <c r="D3315" s="12"/>
      <c r="E3315" s="23"/>
      <c r="F3315" s="17"/>
      <c r="G3315" s="17"/>
      <c r="Z3315" s="22"/>
      <c r="AB3315" s="22"/>
    </row>
    <row r="3316" spans="1:28">
      <c r="A3316" s="19"/>
      <c r="B3316" s="12"/>
      <c r="C3316" s="24"/>
      <c r="D3316" s="12"/>
      <c r="E3316" s="23"/>
      <c r="F3316" s="17"/>
      <c r="G3316" s="17"/>
      <c r="Z3316" s="22"/>
      <c r="AB3316" s="22"/>
    </row>
    <row r="3317" spans="1:28">
      <c r="A3317" s="19"/>
      <c r="B3317" s="12"/>
      <c r="C3317" s="24"/>
      <c r="D3317" s="12"/>
      <c r="E3317" s="23"/>
      <c r="F3317" s="17"/>
      <c r="G3317" s="17"/>
      <c r="Z3317" s="22"/>
      <c r="AB3317" s="22"/>
    </row>
    <row r="3318" spans="1:28">
      <c r="A3318" s="19"/>
      <c r="B3318" s="12"/>
      <c r="C3318" s="24"/>
      <c r="D3318" s="12"/>
      <c r="E3318" s="23"/>
      <c r="F3318" s="17"/>
      <c r="G3318" s="17"/>
      <c r="Z3318" s="22"/>
      <c r="AB3318" s="22"/>
    </row>
    <row r="3319" spans="1:28">
      <c r="A3319" s="19"/>
      <c r="B3319" s="12"/>
      <c r="C3319" s="24"/>
      <c r="D3319" s="12"/>
      <c r="E3319" s="23"/>
      <c r="F3319" s="17"/>
      <c r="G3319" s="17"/>
      <c r="Z3319" s="22"/>
      <c r="AB3319" s="22"/>
    </row>
    <row r="3320" spans="1:28">
      <c r="A3320" s="19"/>
      <c r="B3320" s="12"/>
      <c r="C3320" s="24"/>
      <c r="D3320" s="12"/>
      <c r="E3320" s="23"/>
      <c r="F3320" s="17"/>
      <c r="G3320" s="17"/>
      <c r="Z3320" s="22"/>
      <c r="AB3320" s="22"/>
    </row>
    <row r="3321" spans="1:28">
      <c r="A3321" s="19"/>
      <c r="B3321" s="12"/>
      <c r="C3321" s="24"/>
      <c r="D3321" s="12"/>
      <c r="E3321" s="23"/>
      <c r="F3321" s="17"/>
      <c r="G3321" s="17"/>
      <c r="Z3321" s="22"/>
      <c r="AB3321" s="22"/>
    </row>
    <row r="3322" spans="1:28">
      <c r="A3322" s="19"/>
      <c r="B3322" s="12"/>
      <c r="C3322" s="24"/>
      <c r="D3322" s="12"/>
      <c r="E3322" s="23"/>
      <c r="F3322" s="17"/>
      <c r="G3322" s="17"/>
      <c r="Z3322" s="22"/>
      <c r="AB3322" s="22"/>
    </row>
    <row r="3323" spans="1:28">
      <c r="A3323" s="19"/>
      <c r="B3323" s="12"/>
      <c r="C3323" s="24"/>
      <c r="D3323" s="12"/>
      <c r="E3323" s="23"/>
      <c r="F3323" s="17"/>
      <c r="G3323" s="17"/>
      <c r="Z3323" s="22"/>
      <c r="AB3323" s="22"/>
    </row>
    <row r="3324" spans="1:28">
      <c r="A3324" s="19"/>
      <c r="B3324" s="12"/>
      <c r="C3324" s="24"/>
      <c r="D3324" s="12"/>
      <c r="E3324" s="23"/>
      <c r="F3324" s="17"/>
      <c r="G3324" s="17"/>
      <c r="Z3324" s="22"/>
      <c r="AB3324" s="22"/>
    </row>
    <row r="3325" spans="1:28">
      <c r="A3325" s="19"/>
      <c r="B3325" s="12"/>
      <c r="C3325" s="24"/>
      <c r="D3325" s="12"/>
      <c r="E3325" s="23"/>
      <c r="F3325" s="17"/>
      <c r="G3325" s="17"/>
      <c r="Z3325" s="22"/>
      <c r="AB3325" s="22"/>
    </row>
    <row r="3326" spans="1:28">
      <c r="A3326" s="19"/>
      <c r="B3326" s="12"/>
      <c r="C3326" s="24"/>
      <c r="D3326" s="12"/>
      <c r="E3326" s="23"/>
      <c r="F3326" s="17"/>
      <c r="G3326" s="17"/>
      <c r="Z3326" s="22"/>
      <c r="AB3326" s="22"/>
    </row>
    <row r="3327" spans="1:28">
      <c r="A3327" s="19"/>
      <c r="B3327" s="12"/>
      <c r="C3327" s="24"/>
      <c r="D3327" s="12"/>
      <c r="E3327" s="23"/>
      <c r="F3327" s="17"/>
      <c r="G3327" s="17"/>
      <c r="Z3327" s="22"/>
      <c r="AB3327" s="22"/>
    </row>
    <row r="3328" spans="1:28">
      <c r="A3328" s="19"/>
      <c r="B3328" s="12"/>
      <c r="C3328" s="24"/>
      <c r="D3328" s="12"/>
      <c r="E3328" s="23"/>
      <c r="F3328" s="17"/>
      <c r="G3328" s="17"/>
      <c r="Z3328" s="22"/>
      <c r="AB3328" s="22"/>
    </row>
    <row r="3329" spans="1:28">
      <c r="A3329" s="19"/>
      <c r="B3329" s="12"/>
      <c r="C3329" s="24"/>
      <c r="D3329" s="12"/>
      <c r="E3329" s="23"/>
      <c r="F3329" s="17"/>
      <c r="G3329" s="17"/>
      <c r="Z3329" s="22"/>
      <c r="AB3329" s="22"/>
    </row>
    <row r="3330" spans="1:28">
      <c r="A3330" s="19"/>
      <c r="B3330" s="12"/>
      <c r="C3330" s="24"/>
      <c r="D3330" s="12"/>
      <c r="E3330" s="23"/>
      <c r="F3330" s="17"/>
      <c r="G3330" s="17"/>
      <c r="Z3330" s="22"/>
      <c r="AB3330" s="22"/>
    </row>
    <row r="3331" spans="1:28">
      <c r="A3331" s="19"/>
      <c r="B3331" s="12"/>
      <c r="C3331" s="24"/>
      <c r="D3331" s="12"/>
      <c r="E3331" s="23"/>
      <c r="F3331" s="17"/>
      <c r="G3331" s="17"/>
      <c r="Z3331" s="22"/>
      <c r="AB3331" s="22"/>
    </row>
    <row r="3332" spans="1:28">
      <c r="A3332" s="19"/>
      <c r="B3332" s="12"/>
      <c r="C3332" s="24"/>
      <c r="D3332" s="12"/>
      <c r="E3332" s="23"/>
      <c r="F3332" s="17"/>
      <c r="G3332" s="17"/>
      <c r="Z3332" s="22"/>
      <c r="AB3332" s="22"/>
    </row>
    <row r="3333" spans="1:28">
      <c r="A3333" s="19"/>
      <c r="B3333" s="12"/>
      <c r="C3333" s="24"/>
      <c r="D3333" s="12"/>
      <c r="E3333" s="23"/>
      <c r="F3333" s="17"/>
      <c r="G3333" s="17"/>
      <c r="Z3333" s="22"/>
      <c r="AB3333" s="22"/>
    </row>
    <row r="3334" spans="1:28">
      <c r="A3334" s="19"/>
      <c r="B3334" s="12"/>
      <c r="C3334" s="24"/>
      <c r="D3334" s="12"/>
      <c r="E3334" s="23"/>
      <c r="F3334" s="17"/>
      <c r="G3334" s="17"/>
      <c r="Z3334" s="22"/>
      <c r="AB3334" s="22"/>
    </row>
    <row r="3335" spans="1:28">
      <c r="A3335" s="19"/>
      <c r="B3335" s="12"/>
      <c r="C3335" s="24"/>
      <c r="D3335" s="12"/>
      <c r="E3335" s="23"/>
      <c r="F3335" s="17"/>
      <c r="G3335" s="17"/>
      <c r="Z3335" s="22"/>
      <c r="AB3335" s="22"/>
    </row>
    <row r="3336" spans="1:28">
      <c r="A3336" s="19"/>
      <c r="B3336" s="12"/>
      <c r="C3336" s="24"/>
      <c r="D3336" s="12"/>
      <c r="E3336" s="23"/>
      <c r="F3336" s="17"/>
      <c r="G3336" s="17"/>
      <c r="Z3336" s="22"/>
      <c r="AB3336" s="22"/>
    </row>
    <row r="3337" spans="1:28">
      <c r="A3337" s="19"/>
      <c r="B3337" s="12"/>
      <c r="C3337" s="24"/>
      <c r="D3337" s="12"/>
      <c r="E3337" s="23"/>
      <c r="F3337" s="17"/>
      <c r="G3337" s="17"/>
      <c r="Z3337" s="22"/>
      <c r="AB3337" s="22"/>
    </row>
    <row r="3338" spans="1:28">
      <c r="A3338" s="19"/>
      <c r="B3338" s="12"/>
      <c r="C3338" s="24"/>
      <c r="D3338" s="12"/>
      <c r="E3338" s="23"/>
      <c r="F3338" s="17"/>
      <c r="G3338" s="17"/>
      <c r="Z3338" s="22"/>
      <c r="AB3338" s="22"/>
    </row>
    <row r="3339" spans="1:28">
      <c r="A3339" s="19"/>
      <c r="B3339" s="12"/>
      <c r="C3339" s="24"/>
      <c r="D3339" s="12"/>
      <c r="E3339" s="23"/>
      <c r="F3339" s="17"/>
      <c r="G3339" s="17"/>
      <c r="Z3339" s="22"/>
      <c r="AB3339" s="22"/>
    </row>
    <row r="3340" spans="1:28">
      <c r="A3340" s="19"/>
      <c r="B3340" s="12"/>
      <c r="C3340" s="24"/>
      <c r="D3340" s="12"/>
      <c r="E3340" s="23"/>
      <c r="F3340" s="17"/>
      <c r="G3340" s="17"/>
      <c r="Z3340" s="22"/>
      <c r="AB3340" s="22"/>
    </row>
    <row r="3341" spans="1:28">
      <c r="A3341" s="19"/>
      <c r="B3341" s="12"/>
      <c r="C3341" s="24"/>
      <c r="D3341" s="12"/>
      <c r="E3341" s="23"/>
      <c r="F3341" s="17"/>
      <c r="G3341" s="17"/>
      <c r="Z3341" s="22"/>
      <c r="AB3341" s="22"/>
    </row>
    <row r="3342" spans="1:28">
      <c r="A3342" s="19"/>
      <c r="B3342" s="12"/>
      <c r="C3342" s="24"/>
      <c r="D3342" s="12"/>
      <c r="E3342" s="23"/>
      <c r="F3342" s="17"/>
      <c r="G3342" s="17"/>
      <c r="Z3342" s="22"/>
      <c r="AB3342" s="22"/>
    </row>
    <row r="3343" spans="1:28">
      <c r="A3343" s="19"/>
      <c r="B3343" s="12"/>
      <c r="C3343" s="24"/>
      <c r="D3343" s="12"/>
      <c r="E3343" s="23"/>
      <c r="F3343" s="17"/>
      <c r="G3343" s="17"/>
      <c r="Z3343" s="22"/>
      <c r="AB3343" s="22"/>
    </row>
    <row r="3344" spans="1:28">
      <c r="A3344" s="19"/>
      <c r="B3344" s="12"/>
      <c r="C3344" s="24"/>
      <c r="D3344" s="12"/>
      <c r="E3344" s="23"/>
      <c r="F3344" s="17"/>
      <c r="G3344" s="17"/>
      <c r="Z3344" s="22"/>
      <c r="AB3344" s="22"/>
    </row>
    <row r="3345" spans="1:28">
      <c r="A3345" s="19"/>
      <c r="B3345" s="12"/>
      <c r="C3345" s="24"/>
      <c r="D3345" s="12"/>
      <c r="E3345" s="23"/>
      <c r="F3345" s="17"/>
      <c r="G3345" s="17"/>
      <c r="Z3345" s="22"/>
      <c r="AB3345" s="22"/>
    </row>
    <row r="3346" spans="1:28">
      <c r="A3346" s="19"/>
      <c r="B3346" s="12"/>
      <c r="C3346" s="24"/>
      <c r="D3346" s="12"/>
      <c r="E3346" s="23"/>
      <c r="F3346" s="17"/>
      <c r="G3346" s="17"/>
      <c r="Z3346" s="22"/>
      <c r="AB3346" s="22"/>
    </row>
    <row r="3347" spans="1:28">
      <c r="A3347" s="19"/>
      <c r="B3347" s="12"/>
      <c r="C3347" s="24"/>
      <c r="D3347" s="12"/>
      <c r="E3347" s="23"/>
      <c r="F3347" s="17"/>
      <c r="G3347" s="17"/>
      <c r="Z3347" s="22"/>
      <c r="AB3347" s="22"/>
    </row>
    <row r="3348" spans="1:28">
      <c r="A3348" s="19"/>
      <c r="B3348" s="12"/>
      <c r="C3348" s="24"/>
      <c r="D3348" s="12"/>
      <c r="E3348" s="23"/>
      <c r="F3348" s="17"/>
      <c r="G3348" s="17"/>
      <c r="Z3348" s="22"/>
      <c r="AB3348" s="22"/>
    </row>
    <row r="3349" spans="1:28">
      <c r="A3349" s="19"/>
      <c r="B3349" s="12"/>
      <c r="C3349" s="24"/>
      <c r="D3349" s="12"/>
      <c r="E3349" s="23"/>
      <c r="F3349" s="17"/>
      <c r="G3349" s="17"/>
      <c r="Z3349" s="22"/>
      <c r="AB3349" s="22"/>
    </row>
    <row r="3350" spans="1:28">
      <c r="A3350" s="19"/>
      <c r="B3350" s="12"/>
      <c r="C3350" s="24"/>
      <c r="D3350" s="12"/>
      <c r="E3350" s="23"/>
      <c r="F3350" s="17"/>
      <c r="G3350" s="17"/>
      <c r="Z3350" s="22"/>
      <c r="AB3350" s="22"/>
    </row>
    <row r="3351" spans="1:28">
      <c r="A3351" s="19"/>
      <c r="B3351" s="12"/>
      <c r="C3351" s="24"/>
      <c r="D3351" s="12"/>
      <c r="E3351" s="23"/>
      <c r="F3351" s="17"/>
      <c r="G3351" s="17"/>
      <c r="Z3351" s="22"/>
      <c r="AB3351" s="22"/>
    </row>
    <row r="3352" spans="1:28">
      <c r="A3352" s="19"/>
      <c r="B3352" s="12"/>
      <c r="C3352" s="24"/>
      <c r="D3352" s="12"/>
      <c r="E3352" s="23"/>
      <c r="F3352" s="17"/>
      <c r="G3352" s="17"/>
      <c r="Z3352" s="22"/>
      <c r="AB3352" s="22"/>
    </row>
    <row r="3353" spans="1:28">
      <c r="A3353" s="19"/>
      <c r="B3353" s="12"/>
      <c r="C3353" s="24"/>
      <c r="D3353" s="12"/>
      <c r="E3353" s="23"/>
      <c r="F3353" s="17"/>
      <c r="G3353" s="17"/>
      <c r="Z3353" s="22"/>
      <c r="AB3353" s="22"/>
    </row>
    <row r="3354" spans="1:28">
      <c r="A3354" s="19"/>
      <c r="B3354" s="12"/>
      <c r="C3354" s="24"/>
      <c r="D3354" s="12"/>
      <c r="E3354" s="23"/>
      <c r="F3354" s="17"/>
      <c r="G3354" s="17"/>
      <c r="Z3354" s="22"/>
      <c r="AB3354" s="22"/>
    </row>
    <row r="3355" spans="1:28">
      <c r="A3355" s="19"/>
      <c r="B3355" s="12"/>
      <c r="C3355" s="24"/>
      <c r="D3355" s="12"/>
      <c r="E3355" s="23"/>
      <c r="F3355" s="17"/>
      <c r="G3355" s="17"/>
      <c r="Z3355" s="22"/>
      <c r="AB3355" s="22"/>
    </row>
    <row r="3356" spans="1:28">
      <c r="A3356" s="19"/>
      <c r="B3356" s="12"/>
      <c r="C3356" s="24"/>
      <c r="D3356" s="12"/>
      <c r="E3356" s="23"/>
      <c r="F3356" s="17"/>
      <c r="G3356" s="17"/>
      <c r="Z3356" s="22"/>
      <c r="AB3356" s="22"/>
    </row>
    <row r="3357" spans="1:28">
      <c r="A3357" s="19"/>
      <c r="B3357" s="12"/>
      <c r="C3357" s="24"/>
      <c r="D3357" s="12"/>
      <c r="E3357" s="23"/>
      <c r="F3357" s="17"/>
      <c r="G3357" s="17"/>
      <c r="Z3357" s="22"/>
      <c r="AB3357" s="22"/>
    </row>
    <row r="3358" spans="1:28">
      <c r="A3358" s="19"/>
      <c r="B3358" s="12"/>
      <c r="C3358" s="24"/>
      <c r="D3358" s="12"/>
      <c r="E3358" s="23"/>
      <c r="F3358" s="17"/>
      <c r="G3358" s="17"/>
      <c r="Z3358" s="22"/>
      <c r="AB3358" s="22"/>
    </row>
    <row r="3359" spans="1:28">
      <c r="A3359" s="19"/>
      <c r="B3359" s="12"/>
      <c r="C3359" s="24"/>
      <c r="D3359" s="12"/>
      <c r="E3359" s="23"/>
      <c r="F3359" s="17"/>
      <c r="G3359" s="17"/>
      <c r="Z3359" s="22"/>
      <c r="AB3359" s="22"/>
    </row>
    <row r="3360" spans="1:28">
      <c r="A3360" s="19"/>
      <c r="B3360" s="12"/>
      <c r="C3360" s="24"/>
      <c r="D3360" s="12"/>
      <c r="E3360" s="23"/>
      <c r="F3360" s="17"/>
      <c r="G3360" s="17"/>
      <c r="Z3360" s="22"/>
      <c r="AB3360" s="22"/>
    </row>
    <row r="3361" spans="1:28">
      <c r="A3361" s="19"/>
      <c r="B3361" s="12"/>
      <c r="C3361" s="24"/>
      <c r="D3361" s="12"/>
      <c r="E3361" s="23"/>
      <c r="F3361" s="17"/>
      <c r="G3361" s="17"/>
      <c r="Z3361" s="22"/>
      <c r="AB3361" s="22"/>
    </row>
    <row r="3362" spans="1:28">
      <c r="A3362" s="19"/>
      <c r="B3362" s="12"/>
      <c r="C3362" s="24"/>
      <c r="D3362" s="12"/>
      <c r="E3362" s="23"/>
      <c r="F3362" s="17"/>
      <c r="G3362" s="17"/>
      <c r="Z3362" s="22"/>
      <c r="AB3362" s="22"/>
    </row>
    <row r="3363" spans="1:28">
      <c r="A3363" s="19"/>
      <c r="B3363" s="12"/>
      <c r="C3363" s="24"/>
      <c r="D3363" s="12"/>
      <c r="E3363" s="23"/>
      <c r="F3363" s="17"/>
      <c r="G3363" s="17"/>
      <c r="Z3363" s="22"/>
      <c r="AB3363" s="22"/>
    </row>
    <row r="3364" spans="1:28">
      <c r="A3364" s="19"/>
      <c r="B3364" s="12"/>
      <c r="C3364" s="24"/>
      <c r="D3364" s="12"/>
      <c r="E3364" s="23"/>
      <c r="F3364" s="17"/>
      <c r="G3364" s="17"/>
      <c r="Z3364" s="22"/>
      <c r="AB3364" s="22"/>
    </row>
    <row r="3365" spans="1:28">
      <c r="A3365" s="19"/>
      <c r="B3365" s="12"/>
      <c r="C3365" s="24"/>
      <c r="D3365" s="12"/>
      <c r="E3365" s="23"/>
      <c r="F3365" s="17"/>
      <c r="G3365" s="17"/>
      <c r="Z3365" s="22"/>
      <c r="AB3365" s="22"/>
    </row>
    <row r="3366" spans="1:28">
      <c r="A3366" s="19"/>
      <c r="B3366" s="12"/>
      <c r="C3366" s="24"/>
      <c r="D3366" s="12"/>
      <c r="E3366" s="23"/>
      <c r="F3366" s="17"/>
      <c r="G3366" s="17"/>
      <c r="Z3366" s="22"/>
      <c r="AB3366" s="22"/>
    </row>
    <row r="3367" spans="1:28">
      <c r="A3367" s="19"/>
      <c r="B3367" s="12"/>
      <c r="C3367" s="24"/>
      <c r="D3367" s="12"/>
      <c r="E3367" s="23"/>
      <c r="F3367" s="17"/>
      <c r="G3367" s="17"/>
      <c r="Z3367" s="22"/>
      <c r="AB3367" s="22"/>
    </row>
    <row r="3368" spans="1:28">
      <c r="A3368" s="19"/>
      <c r="B3368" s="12"/>
      <c r="C3368" s="24"/>
      <c r="D3368" s="12"/>
      <c r="E3368" s="23"/>
      <c r="F3368" s="17"/>
      <c r="G3368" s="17"/>
      <c r="Z3368" s="22"/>
      <c r="AB3368" s="22"/>
    </row>
    <row r="3369" spans="1:28">
      <c r="A3369" s="19"/>
      <c r="B3369" s="12"/>
      <c r="C3369" s="24"/>
      <c r="D3369" s="12"/>
      <c r="E3369" s="23"/>
      <c r="F3369" s="17"/>
      <c r="G3369" s="17"/>
      <c r="Z3369" s="22"/>
      <c r="AB3369" s="22"/>
    </row>
    <row r="3370" spans="1:28">
      <c r="A3370" s="19"/>
      <c r="B3370" s="12"/>
      <c r="C3370" s="24"/>
      <c r="D3370" s="12"/>
      <c r="E3370" s="23"/>
      <c r="F3370" s="17"/>
      <c r="G3370" s="17"/>
      <c r="Z3370" s="22"/>
      <c r="AB3370" s="22"/>
    </row>
    <row r="3371" spans="1:28">
      <c r="A3371" s="19"/>
      <c r="B3371" s="12"/>
      <c r="C3371" s="24"/>
      <c r="D3371" s="12"/>
      <c r="E3371" s="23"/>
      <c r="F3371" s="17"/>
      <c r="G3371" s="17"/>
      <c r="Z3371" s="22"/>
      <c r="AB3371" s="22"/>
    </row>
    <row r="3372" spans="1:28">
      <c r="A3372" s="19"/>
      <c r="B3372" s="12"/>
      <c r="C3372" s="24"/>
      <c r="D3372" s="12"/>
      <c r="E3372" s="23"/>
      <c r="F3372" s="17"/>
      <c r="G3372" s="17"/>
      <c r="Z3372" s="22"/>
      <c r="AB3372" s="22"/>
    </row>
    <row r="3373" spans="1:28">
      <c r="A3373" s="19"/>
      <c r="B3373" s="12"/>
      <c r="C3373" s="24"/>
      <c r="D3373" s="12"/>
      <c r="E3373" s="23"/>
      <c r="F3373" s="17"/>
      <c r="G3373" s="17"/>
      <c r="Z3373" s="22"/>
      <c r="AB3373" s="22"/>
    </row>
    <row r="3374" spans="1:28">
      <c r="A3374" s="19"/>
      <c r="B3374" s="12"/>
      <c r="C3374" s="24"/>
      <c r="D3374" s="12"/>
      <c r="E3374" s="23"/>
      <c r="F3374" s="17"/>
      <c r="G3374" s="17"/>
      <c r="Z3374" s="22"/>
      <c r="AB3374" s="22"/>
    </row>
    <row r="3375" spans="1:28">
      <c r="A3375" s="19"/>
      <c r="B3375" s="12"/>
      <c r="C3375" s="24"/>
      <c r="D3375" s="12"/>
      <c r="E3375" s="23"/>
      <c r="F3375" s="17"/>
      <c r="G3375" s="17"/>
      <c r="Z3375" s="22"/>
      <c r="AB3375" s="22"/>
    </row>
    <row r="3376" spans="1:28">
      <c r="A3376" s="19"/>
      <c r="B3376" s="12"/>
      <c r="C3376" s="24"/>
      <c r="D3376" s="12"/>
      <c r="E3376" s="23"/>
      <c r="F3376" s="17"/>
      <c r="G3376" s="17"/>
      <c r="Z3376" s="22"/>
      <c r="AB3376" s="22"/>
    </row>
    <row r="3377" spans="1:28">
      <c r="A3377" s="19"/>
      <c r="B3377" s="12"/>
      <c r="C3377" s="24"/>
      <c r="D3377" s="12"/>
      <c r="E3377" s="23"/>
      <c r="F3377" s="17"/>
      <c r="G3377" s="17"/>
      <c r="Z3377" s="22"/>
      <c r="AB3377" s="22"/>
    </row>
    <row r="3378" spans="1:28">
      <c r="A3378" s="19"/>
      <c r="B3378" s="12"/>
      <c r="C3378" s="24"/>
      <c r="D3378" s="12"/>
      <c r="E3378" s="23"/>
      <c r="F3378" s="17"/>
      <c r="G3378" s="17"/>
      <c r="Z3378" s="22"/>
      <c r="AB3378" s="22"/>
    </row>
    <row r="3379" spans="1:28">
      <c r="A3379" s="19"/>
      <c r="B3379" s="12"/>
      <c r="C3379" s="24"/>
      <c r="D3379" s="12"/>
      <c r="E3379" s="23"/>
      <c r="F3379" s="17"/>
      <c r="G3379" s="17"/>
      <c r="Z3379" s="22"/>
      <c r="AB3379" s="22"/>
    </row>
    <row r="3380" spans="1:28">
      <c r="A3380" s="19"/>
      <c r="B3380" s="12"/>
      <c r="C3380" s="24"/>
      <c r="D3380" s="12"/>
      <c r="E3380" s="23"/>
      <c r="F3380" s="17"/>
      <c r="G3380" s="17"/>
      <c r="Z3380" s="22"/>
      <c r="AB3380" s="22"/>
    </row>
    <row r="3381" spans="1:28">
      <c r="A3381" s="19"/>
      <c r="B3381" s="12"/>
      <c r="C3381" s="24"/>
      <c r="D3381" s="12"/>
      <c r="E3381" s="23"/>
      <c r="F3381" s="17"/>
      <c r="G3381" s="17"/>
      <c r="Z3381" s="22"/>
      <c r="AB3381" s="22"/>
    </row>
    <row r="3382" spans="1:28">
      <c r="A3382" s="19"/>
      <c r="B3382" s="12"/>
      <c r="C3382" s="24"/>
      <c r="D3382" s="12"/>
      <c r="E3382" s="23"/>
      <c r="F3382" s="17"/>
      <c r="G3382" s="17"/>
      <c r="Z3382" s="22"/>
      <c r="AB3382" s="22"/>
    </row>
    <row r="3383" spans="1:28">
      <c r="A3383" s="19"/>
      <c r="B3383" s="12"/>
      <c r="C3383" s="24"/>
      <c r="D3383" s="12"/>
      <c r="E3383" s="23"/>
      <c r="F3383" s="17"/>
      <c r="G3383" s="17"/>
      <c r="Z3383" s="22"/>
      <c r="AB3383" s="22"/>
    </row>
    <row r="3384" spans="1:28">
      <c r="A3384" s="19"/>
      <c r="B3384" s="12"/>
      <c r="C3384" s="24"/>
      <c r="D3384" s="12"/>
      <c r="E3384" s="23"/>
      <c r="F3384" s="17"/>
      <c r="G3384" s="17"/>
      <c r="Z3384" s="22"/>
      <c r="AB3384" s="22"/>
    </row>
    <row r="3385" spans="1:28">
      <c r="A3385" s="19"/>
      <c r="B3385" s="12"/>
      <c r="C3385" s="24"/>
      <c r="D3385" s="12"/>
      <c r="E3385" s="23"/>
      <c r="F3385" s="17"/>
      <c r="G3385" s="17"/>
      <c r="Z3385" s="22"/>
      <c r="AB3385" s="22"/>
    </row>
    <row r="3386" spans="1:28">
      <c r="A3386" s="19"/>
      <c r="B3386" s="12"/>
      <c r="C3386" s="24"/>
      <c r="D3386" s="12"/>
      <c r="E3386" s="23"/>
      <c r="F3386" s="17"/>
      <c r="G3386" s="17"/>
      <c r="Z3386" s="22"/>
      <c r="AB3386" s="22"/>
    </row>
    <row r="3387" spans="1:28">
      <c r="A3387" s="19"/>
      <c r="B3387" s="12"/>
      <c r="C3387" s="24"/>
      <c r="D3387" s="12"/>
      <c r="E3387" s="23"/>
      <c r="F3387" s="17"/>
      <c r="G3387" s="17"/>
      <c r="Z3387" s="22"/>
      <c r="AB3387" s="22"/>
    </row>
    <row r="3388" spans="1:28">
      <c r="A3388" s="19"/>
      <c r="B3388" s="12"/>
      <c r="C3388" s="24"/>
      <c r="D3388" s="12"/>
      <c r="E3388" s="23"/>
      <c r="F3388" s="17"/>
      <c r="G3388" s="17"/>
      <c r="Z3388" s="22"/>
      <c r="AB3388" s="22"/>
    </row>
    <row r="3389" spans="1:28">
      <c r="A3389" s="19"/>
      <c r="B3389" s="12"/>
      <c r="C3389" s="24"/>
      <c r="D3389" s="12"/>
      <c r="E3389" s="23"/>
      <c r="F3389" s="17"/>
      <c r="G3389" s="17"/>
      <c r="Z3389" s="22"/>
      <c r="AB3389" s="22"/>
    </row>
    <row r="3390" spans="1:28">
      <c r="A3390" s="19"/>
      <c r="B3390" s="12"/>
      <c r="C3390" s="24"/>
      <c r="D3390" s="12"/>
      <c r="E3390" s="23"/>
      <c r="F3390" s="17"/>
      <c r="G3390" s="17"/>
      <c r="Z3390" s="22"/>
      <c r="AB3390" s="22"/>
    </row>
    <row r="3391" spans="1:28">
      <c r="A3391" s="19"/>
      <c r="B3391" s="12"/>
      <c r="C3391" s="24"/>
      <c r="D3391" s="12"/>
      <c r="E3391" s="23"/>
      <c r="F3391" s="17"/>
      <c r="G3391" s="17"/>
      <c r="Z3391" s="22"/>
      <c r="AB3391" s="22"/>
    </row>
    <row r="3392" spans="1:28">
      <c r="A3392" s="19"/>
      <c r="B3392" s="12"/>
      <c r="C3392" s="24"/>
      <c r="D3392" s="12"/>
      <c r="E3392" s="23"/>
      <c r="F3392" s="17"/>
      <c r="G3392" s="17"/>
      <c r="Z3392" s="22"/>
      <c r="AB3392" s="22"/>
    </row>
    <row r="3393" spans="1:28">
      <c r="A3393" s="19"/>
      <c r="B3393" s="12"/>
      <c r="C3393" s="24"/>
      <c r="D3393" s="12"/>
      <c r="E3393" s="23"/>
      <c r="F3393" s="17"/>
      <c r="G3393" s="17"/>
      <c r="Z3393" s="22"/>
      <c r="AB3393" s="22"/>
    </row>
    <row r="3394" spans="1:28">
      <c r="A3394" s="19"/>
      <c r="B3394" s="12"/>
      <c r="C3394" s="24"/>
      <c r="D3394" s="12"/>
      <c r="E3394" s="23"/>
      <c r="F3394" s="17"/>
      <c r="G3394" s="17"/>
      <c r="Z3394" s="22"/>
      <c r="AB3394" s="22"/>
    </row>
    <row r="3395" spans="1:28">
      <c r="A3395" s="19"/>
      <c r="B3395" s="12"/>
      <c r="C3395" s="24"/>
      <c r="D3395" s="12"/>
      <c r="E3395" s="23"/>
      <c r="F3395" s="17"/>
      <c r="G3395" s="17"/>
      <c r="Z3395" s="22"/>
      <c r="AB3395" s="22"/>
    </row>
    <row r="3396" spans="1:28">
      <c r="A3396" s="19"/>
      <c r="B3396" s="12"/>
      <c r="C3396" s="24"/>
      <c r="D3396" s="12"/>
      <c r="E3396" s="23"/>
      <c r="F3396" s="17"/>
      <c r="G3396" s="17"/>
      <c r="Z3396" s="22"/>
      <c r="AB3396" s="22"/>
    </row>
    <row r="3397" spans="1:28">
      <c r="A3397" s="19"/>
      <c r="B3397" s="12"/>
      <c r="C3397" s="24"/>
      <c r="D3397" s="12"/>
      <c r="E3397" s="23"/>
      <c r="F3397" s="17"/>
      <c r="G3397" s="17"/>
      <c r="Z3397" s="22"/>
      <c r="AB3397" s="22"/>
    </row>
    <row r="3398" spans="1:28">
      <c r="A3398" s="19"/>
      <c r="B3398" s="12"/>
      <c r="C3398" s="24"/>
      <c r="D3398" s="12"/>
      <c r="E3398" s="23"/>
      <c r="F3398" s="17"/>
      <c r="G3398" s="17"/>
      <c r="Z3398" s="22"/>
      <c r="AB3398" s="22"/>
    </row>
    <row r="3399" spans="1:28">
      <c r="A3399" s="19"/>
      <c r="B3399" s="12"/>
      <c r="C3399" s="24"/>
      <c r="D3399" s="12"/>
      <c r="E3399" s="23"/>
      <c r="F3399" s="17"/>
      <c r="G3399" s="17"/>
      <c r="Z3399" s="22"/>
      <c r="AB3399" s="22"/>
    </row>
    <row r="3400" spans="1:28">
      <c r="A3400" s="19"/>
      <c r="B3400" s="12"/>
      <c r="C3400" s="24"/>
      <c r="D3400" s="12"/>
      <c r="E3400" s="23"/>
      <c r="F3400" s="17"/>
      <c r="G3400" s="17"/>
      <c r="Z3400" s="22"/>
      <c r="AB3400" s="22"/>
    </row>
    <row r="3401" spans="1:28">
      <c r="A3401" s="19"/>
      <c r="B3401" s="12"/>
      <c r="C3401" s="24"/>
      <c r="D3401" s="12"/>
      <c r="E3401" s="23"/>
      <c r="F3401" s="17"/>
      <c r="G3401" s="17"/>
      <c r="Z3401" s="22"/>
      <c r="AB3401" s="22"/>
    </row>
    <row r="3402" spans="1:28">
      <c r="A3402" s="19"/>
      <c r="B3402" s="12"/>
      <c r="C3402" s="24"/>
      <c r="D3402" s="12"/>
      <c r="E3402" s="23"/>
      <c r="F3402" s="17"/>
      <c r="G3402" s="17"/>
      <c r="Z3402" s="22"/>
      <c r="AB3402" s="22"/>
    </row>
    <row r="3403" spans="1:28">
      <c r="A3403" s="19"/>
      <c r="B3403" s="12"/>
      <c r="C3403" s="24"/>
      <c r="D3403" s="12"/>
      <c r="E3403" s="23"/>
      <c r="F3403" s="17"/>
      <c r="G3403" s="17"/>
      <c r="Z3403" s="22"/>
      <c r="AB3403" s="22"/>
    </row>
    <row r="3404" spans="1:28">
      <c r="A3404" s="19"/>
      <c r="B3404" s="12"/>
      <c r="C3404" s="24"/>
      <c r="D3404" s="12"/>
      <c r="E3404" s="23"/>
      <c r="F3404" s="17"/>
      <c r="G3404" s="17"/>
      <c r="Z3404" s="22"/>
      <c r="AB3404" s="22"/>
    </row>
    <row r="3405" spans="1:28">
      <c r="A3405" s="19"/>
      <c r="B3405" s="12"/>
      <c r="C3405" s="24"/>
      <c r="D3405" s="12"/>
      <c r="E3405" s="23"/>
      <c r="F3405" s="17"/>
      <c r="G3405" s="17"/>
      <c r="Z3405" s="22"/>
      <c r="AB3405" s="22"/>
    </row>
    <row r="3406" spans="1:28">
      <c r="A3406" s="19"/>
      <c r="B3406" s="12"/>
      <c r="C3406" s="24"/>
      <c r="D3406" s="12"/>
      <c r="E3406" s="23"/>
      <c r="F3406" s="17"/>
      <c r="G3406" s="17"/>
      <c r="Z3406" s="22"/>
      <c r="AB3406" s="22"/>
    </row>
    <row r="3407" spans="1:28">
      <c r="A3407" s="19"/>
      <c r="B3407" s="12"/>
      <c r="C3407" s="24"/>
      <c r="D3407" s="12"/>
      <c r="E3407" s="23"/>
      <c r="F3407" s="17"/>
      <c r="G3407" s="17"/>
      <c r="Z3407" s="22"/>
      <c r="AB3407" s="22"/>
    </row>
    <row r="3408" spans="1:28">
      <c r="A3408" s="19"/>
      <c r="B3408" s="12"/>
      <c r="C3408" s="24"/>
      <c r="D3408" s="12"/>
      <c r="E3408" s="23"/>
      <c r="F3408" s="17"/>
      <c r="G3408" s="17"/>
      <c r="Z3408" s="22"/>
      <c r="AB3408" s="22"/>
    </row>
    <row r="3409" spans="1:28">
      <c r="A3409" s="19"/>
      <c r="B3409" s="12"/>
      <c r="C3409" s="24"/>
      <c r="D3409" s="12"/>
      <c r="E3409" s="23"/>
      <c r="F3409" s="17"/>
      <c r="G3409" s="17"/>
      <c r="Z3409" s="22"/>
      <c r="AB3409" s="22"/>
    </row>
    <row r="3410" spans="1:28">
      <c r="A3410" s="19"/>
      <c r="B3410" s="12"/>
      <c r="C3410" s="24"/>
      <c r="D3410" s="12"/>
      <c r="E3410" s="23"/>
      <c r="F3410" s="17"/>
      <c r="G3410" s="17"/>
      <c r="Z3410" s="22"/>
      <c r="AB3410" s="22"/>
    </row>
    <row r="3411" spans="1:28">
      <c r="A3411" s="19"/>
      <c r="B3411" s="12"/>
      <c r="C3411" s="24"/>
      <c r="D3411" s="12"/>
      <c r="E3411" s="23"/>
      <c r="F3411" s="17"/>
      <c r="G3411" s="17"/>
      <c r="Z3411" s="22"/>
      <c r="AB3411" s="22"/>
    </row>
    <row r="3412" spans="1:28">
      <c r="A3412" s="19"/>
      <c r="B3412" s="12"/>
      <c r="C3412" s="24"/>
      <c r="D3412" s="12"/>
      <c r="E3412" s="23"/>
      <c r="F3412" s="17"/>
      <c r="G3412" s="17"/>
      <c r="Z3412" s="22"/>
      <c r="AB3412" s="22"/>
    </row>
    <row r="3413" spans="1:28">
      <c r="A3413" s="19"/>
      <c r="B3413" s="12"/>
      <c r="C3413" s="24"/>
      <c r="D3413" s="12"/>
      <c r="E3413" s="23"/>
      <c r="F3413" s="17"/>
      <c r="G3413" s="17"/>
      <c r="Z3413" s="22"/>
      <c r="AB3413" s="22"/>
    </row>
    <row r="3414" spans="1:28">
      <c r="A3414" s="19"/>
      <c r="B3414" s="12"/>
      <c r="C3414" s="24"/>
      <c r="D3414" s="12"/>
      <c r="E3414" s="23"/>
      <c r="F3414" s="17"/>
      <c r="G3414" s="17"/>
      <c r="Z3414" s="22"/>
      <c r="AB3414" s="22"/>
    </row>
    <row r="3415" spans="1:28">
      <c r="A3415" s="19"/>
      <c r="B3415" s="12"/>
      <c r="C3415" s="24"/>
      <c r="D3415" s="12"/>
      <c r="E3415" s="23"/>
      <c r="F3415" s="17"/>
      <c r="G3415" s="17"/>
      <c r="Z3415" s="22"/>
      <c r="AB3415" s="22"/>
    </row>
    <row r="3416" spans="1:28">
      <c r="A3416" s="19"/>
      <c r="B3416" s="12"/>
      <c r="C3416" s="24"/>
      <c r="D3416" s="12"/>
      <c r="E3416" s="23"/>
      <c r="F3416" s="17"/>
      <c r="G3416" s="17"/>
      <c r="Z3416" s="22"/>
      <c r="AB3416" s="22"/>
    </row>
    <row r="3417" spans="1:28">
      <c r="A3417" s="19"/>
      <c r="B3417" s="12"/>
      <c r="C3417" s="24"/>
      <c r="D3417" s="12"/>
      <c r="E3417" s="23"/>
      <c r="F3417" s="17"/>
      <c r="G3417" s="17"/>
      <c r="Z3417" s="22"/>
      <c r="AB3417" s="22"/>
    </row>
    <row r="3418" spans="1:28">
      <c r="A3418" s="19"/>
      <c r="B3418" s="12"/>
      <c r="C3418" s="24"/>
      <c r="D3418" s="12"/>
      <c r="E3418" s="23"/>
      <c r="F3418" s="17"/>
      <c r="G3418" s="17"/>
      <c r="Z3418" s="22"/>
      <c r="AB3418" s="22"/>
    </row>
    <row r="3419" spans="1:28">
      <c r="A3419" s="19"/>
      <c r="B3419" s="12"/>
      <c r="C3419" s="24"/>
      <c r="D3419" s="12"/>
      <c r="E3419" s="23"/>
      <c r="F3419" s="17"/>
      <c r="G3419" s="17"/>
      <c r="Z3419" s="22"/>
      <c r="AB3419" s="22"/>
    </row>
    <row r="3420" spans="1:28">
      <c r="A3420" s="19"/>
      <c r="B3420" s="12"/>
      <c r="C3420" s="24"/>
      <c r="D3420" s="12"/>
      <c r="E3420" s="23"/>
      <c r="F3420" s="17"/>
      <c r="G3420" s="17"/>
      <c r="Z3420" s="22"/>
      <c r="AB3420" s="22"/>
    </row>
    <row r="3421" spans="1:28">
      <c r="A3421" s="19"/>
      <c r="B3421" s="12"/>
      <c r="C3421" s="24"/>
      <c r="D3421" s="12"/>
      <c r="E3421" s="23"/>
      <c r="F3421" s="17"/>
      <c r="G3421" s="17"/>
      <c r="Z3421" s="22"/>
      <c r="AB3421" s="22"/>
    </row>
    <row r="3422" spans="1:28">
      <c r="A3422" s="19"/>
      <c r="B3422" s="12"/>
      <c r="C3422" s="24"/>
      <c r="D3422" s="12"/>
      <c r="E3422" s="23"/>
      <c r="F3422" s="17"/>
      <c r="G3422" s="17"/>
      <c r="Z3422" s="22"/>
      <c r="AB3422" s="22"/>
    </row>
    <row r="3423" spans="1:28">
      <c r="A3423" s="19"/>
      <c r="B3423" s="12"/>
      <c r="C3423" s="24"/>
      <c r="D3423" s="12"/>
      <c r="E3423" s="23"/>
      <c r="F3423" s="17"/>
      <c r="G3423" s="17"/>
      <c r="Z3423" s="22"/>
      <c r="AB3423" s="22"/>
    </row>
    <row r="3424" spans="1:28">
      <c r="A3424" s="19"/>
      <c r="B3424" s="12"/>
      <c r="C3424" s="24"/>
      <c r="D3424" s="12"/>
      <c r="E3424" s="23"/>
      <c r="F3424" s="17"/>
      <c r="G3424" s="17"/>
      <c r="Z3424" s="22"/>
      <c r="AB3424" s="22"/>
    </row>
    <row r="3425" spans="1:28">
      <c r="A3425" s="19"/>
      <c r="B3425" s="12"/>
      <c r="C3425" s="24"/>
      <c r="D3425" s="12"/>
      <c r="E3425" s="23"/>
      <c r="F3425" s="17"/>
      <c r="G3425" s="17"/>
      <c r="Z3425" s="22"/>
      <c r="AB3425" s="22"/>
    </row>
    <row r="3426" spans="1:28">
      <c r="A3426" s="19"/>
      <c r="B3426" s="12"/>
      <c r="C3426" s="24"/>
      <c r="D3426" s="12"/>
      <c r="E3426" s="23"/>
      <c r="F3426" s="17"/>
      <c r="G3426" s="17"/>
      <c r="Z3426" s="22"/>
      <c r="AB3426" s="22"/>
    </row>
    <row r="3427" spans="1:28">
      <c r="A3427" s="19"/>
      <c r="B3427" s="12"/>
      <c r="C3427" s="24"/>
      <c r="D3427" s="12"/>
      <c r="E3427" s="23"/>
      <c r="F3427" s="17"/>
      <c r="G3427" s="17"/>
      <c r="Z3427" s="22"/>
      <c r="AB3427" s="22"/>
    </row>
    <row r="3428" spans="1:28">
      <c r="A3428" s="19"/>
      <c r="B3428" s="12"/>
      <c r="C3428" s="24"/>
      <c r="D3428" s="12"/>
      <c r="E3428" s="23"/>
      <c r="F3428" s="17"/>
      <c r="G3428" s="17"/>
      <c r="Z3428" s="22"/>
      <c r="AB3428" s="22"/>
    </row>
    <row r="3429" spans="1:28">
      <c r="A3429" s="19"/>
      <c r="B3429" s="12"/>
      <c r="C3429" s="24"/>
      <c r="D3429" s="12"/>
      <c r="E3429" s="23"/>
      <c r="F3429" s="17"/>
      <c r="G3429" s="17"/>
      <c r="Z3429" s="22"/>
      <c r="AB3429" s="22"/>
    </row>
    <row r="3430" spans="1:28">
      <c r="A3430" s="19"/>
      <c r="B3430" s="12"/>
      <c r="C3430" s="24"/>
      <c r="D3430" s="12"/>
      <c r="E3430" s="23"/>
      <c r="F3430" s="17"/>
      <c r="G3430" s="17"/>
      <c r="Z3430" s="22"/>
      <c r="AB3430" s="22"/>
    </row>
    <row r="3431" spans="1:28">
      <c r="A3431" s="19"/>
      <c r="B3431" s="12"/>
      <c r="C3431" s="24"/>
      <c r="D3431" s="12"/>
      <c r="E3431" s="23"/>
      <c r="F3431" s="17"/>
      <c r="G3431" s="17"/>
      <c r="Z3431" s="22"/>
      <c r="AB3431" s="22"/>
    </row>
    <row r="3432" spans="1:28">
      <c r="A3432" s="19"/>
      <c r="B3432" s="12"/>
      <c r="C3432" s="24"/>
      <c r="D3432" s="12"/>
      <c r="E3432" s="23"/>
      <c r="F3432" s="17"/>
      <c r="G3432" s="17"/>
      <c r="Z3432" s="22"/>
      <c r="AB3432" s="22"/>
    </row>
    <row r="3433" spans="1:28">
      <c r="A3433" s="19"/>
      <c r="B3433" s="12"/>
      <c r="C3433" s="24"/>
      <c r="D3433" s="12"/>
      <c r="E3433" s="23"/>
      <c r="F3433" s="17"/>
      <c r="G3433" s="17"/>
      <c r="Z3433" s="22"/>
      <c r="AB3433" s="22"/>
    </row>
    <row r="3434" spans="1:28">
      <c r="A3434" s="19"/>
      <c r="B3434" s="12"/>
      <c r="C3434" s="24"/>
      <c r="D3434" s="12"/>
      <c r="E3434" s="23"/>
      <c r="F3434" s="17"/>
      <c r="G3434" s="17"/>
      <c r="Z3434" s="22"/>
      <c r="AB3434" s="22"/>
    </row>
    <row r="3435" spans="1:28">
      <c r="A3435" s="19"/>
      <c r="B3435" s="12"/>
      <c r="C3435" s="24"/>
      <c r="D3435" s="12"/>
      <c r="E3435" s="23"/>
      <c r="F3435" s="17"/>
      <c r="G3435" s="17"/>
      <c r="Z3435" s="22"/>
      <c r="AB3435" s="22"/>
    </row>
    <row r="3436" spans="1:28">
      <c r="A3436" s="19"/>
      <c r="B3436" s="12"/>
      <c r="C3436" s="24"/>
      <c r="D3436" s="12"/>
      <c r="E3436" s="23"/>
      <c r="F3436" s="17"/>
      <c r="G3436" s="17"/>
      <c r="Z3436" s="22"/>
      <c r="AB3436" s="22"/>
    </row>
    <row r="3437" spans="1:28">
      <c r="A3437" s="19"/>
      <c r="B3437" s="12"/>
      <c r="C3437" s="24"/>
      <c r="D3437" s="12"/>
      <c r="E3437" s="23"/>
      <c r="F3437" s="17"/>
      <c r="G3437" s="17"/>
      <c r="Z3437" s="22"/>
      <c r="AB3437" s="22"/>
    </row>
    <row r="3438" spans="1:28">
      <c r="A3438" s="19"/>
      <c r="B3438" s="12"/>
      <c r="C3438" s="24"/>
      <c r="D3438" s="12"/>
      <c r="E3438" s="23"/>
      <c r="F3438" s="17"/>
      <c r="G3438" s="17"/>
      <c r="Z3438" s="22"/>
      <c r="AB3438" s="22"/>
    </row>
    <row r="3439" spans="1:28">
      <c r="A3439" s="19"/>
      <c r="B3439" s="12"/>
      <c r="C3439" s="24"/>
      <c r="D3439" s="12"/>
      <c r="E3439" s="23"/>
      <c r="F3439" s="17"/>
      <c r="G3439" s="17"/>
      <c r="Z3439" s="22"/>
      <c r="AB3439" s="22"/>
    </row>
    <row r="3440" spans="1:28">
      <c r="A3440" s="19"/>
      <c r="B3440" s="12"/>
      <c r="C3440" s="24"/>
      <c r="D3440" s="12"/>
      <c r="E3440" s="23"/>
      <c r="F3440" s="17"/>
      <c r="G3440" s="17"/>
      <c r="Z3440" s="22"/>
      <c r="AB3440" s="22"/>
    </row>
    <row r="3441" spans="1:28">
      <c r="A3441" s="19"/>
      <c r="B3441" s="12"/>
      <c r="C3441" s="24"/>
      <c r="D3441" s="12"/>
      <c r="E3441" s="23"/>
      <c r="F3441" s="17"/>
      <c r="G3441" s="17"/>
      <c r="Z3441" s="22"/>
      <c r="AB3441" s="22"/>
    </row>
    <row r="3442" spans="1:28">
      <c r="A3442" s="19"/>
      <c r="B3442" s="12"/>
      <c r="C3442" s="24"/>
      <c r="D3442" s="12"/>
      <c r="E3442" s="23"/>
      <c r="F3442" s="17"/>
      <c r="G3442" s="17"/>
      <c r="Z3442" s="22"/>
      <c r="AB3442" s="22"/>
    </row>
    <row r="3443" spans="1:28">
      <c r="A3443" s="19"/>
      <c r="B3443" s="12"/>
      <c r="C3443" s="24"/>
      <c r="D3443" s="12"/>
      <c r="E3443" s="23"/>
      <c r="F3443" s="17"/>
      <c r="G3443" s="17"/>
      <c r="Z3443" s="22"/>
      <c r="AB3443" s="22"/>
    </row>
    <row r="3444" spans="1:28">
      <c r="A3444" s="19"/>
      <c r="B3444" s="12"/>
      <c r="C3444" s="24"/>
      <c r="D3444" s="12"/>
      <c r="E3444" s="23"/>
      <c r="F3444" s="17"/>
      <c r="G3444" s="17"/>
      <c r="Z3444" s="22"/>
      <c r="AB3444" s="22"/>
    </row>
    <row r="3445" spans="1:28">
      <c r="A3445" s="19"/>
      <c r="B3445" s="12"/>
      <c r="C3445" s="24"/>
      <c r="D3445" s="12"/>
      <c r="E3445" s="23"/>
      <c r="F3445" s="17"/>
      <c r="G3445" s="17"/>
      <c r="Z3445" s="22"/>
      <c r="AB3445" s="22"/>
    </row>
    <row r="3446" spans="1:28">
      <c r="A3446" s="19"/>
      <c r="B3446" s="12"/>
      <c r="C3446" s="24"/>
      <c r="D3446" s="12"/>
      <c r="E3446" s="23"/>
      <c r="F3446" s="17"/>
      <c r="G3446" s="17"/>
      <c r="Z3446" s="22"/>
      <c r="AB3446" s="22"/>
    </row>
    <row r="3447" spans="1:28">
      <c r="A3447" s="19"/>
      <c r="B3447" s="12"/>
      <c r="C3447" s="24"/>
      <c r="D3447" s="12"/>
      <c r="E3447" s="23"/>
      <c r="F3447" s="17"/>
      <c r="G3447" s="17"/>
      <c r="Z3447" s="22"/>
      <c r="AB3447" s="22"/>
    </row>
    <row r="3448" spans="1:28">
      <c r="A3448" s="19"/>
      <c r="B3448" s="12"/>
      <c r="C3448" s="24"/>
      <c r="D3448" s="12"/>
      <c r="E3448" s="23"/>
      <c r="F3448" s="17"/>
      <c r="G3448" s="17"/>
      <c r="Z3448" s="22"/>
      <c r="AB3448" s="22"/>
    </row>
    <row r="3449" spans="1:28">
      <c r="A3449" s="19"/>
      <c r="B3449" s="12"/>
      <c r="C3449" s="24"/>
      <c r="D3449" s="12"/>
      <c r="E3449" s="23"/>
      <c r="F3449" s="17"/>
      <c r="G3449" s="17"/>
      <c r="Z3449" s="22"/>
      <c r="AB3449" s="22"/>
    </row>
    <row r="3450" spans="1:28">
      <c r="A3450" s="19"/>
      <c r="B3450" s="12"/>
      <c r="C3450" s="24"/>
      <c r="D3450" s="12"/>
      <c r="E3450" s="23"/>
      <c r="F3450" s="17"/>
      <c r="G3450" s="17"/>
      <c r="Z3450" s="22"/>
      <c r="AB3450" s="22"/>
    </row>
    <row r="3451" spans="1:28">
      <c r="A3451" s="19"/>
      <c r="B3451" s="12"/>
      <c r="C3451" s="24"/>
      <c r="D3451" s="12"/>
      <c r="E3451" s="23"/>
      <c r="F3451" s="17"/>
      <c r="G3451" s="17"/>
      <c r="Z3451" s="22"/>
      <c r="AB3451" s="22"/>
    </row>
    <row r="3452" spans="1:28">
      <c r="A3452" s="19"/>
      <c r="B3452" s="12"/>
      <c r="C3452" s="24"/>
      <c r="D3452" s="12"/>
      <c r="E3452" s="23"/>
      <c r="F3452" s="17"/>
      <c r="G3452" s="17"/>
      <c r="Z3452" s="22"/>
      <c r="AB3452" s="22"/>
    </row>
    <row r="3453" spans="1:28">
      <c r="A3453" s="19"/>
      <c r="B3453" s="12"/>
      <c r="C3453" s="24"/>
      <c r="D3453" s="12"/>
      <c r="E3453" s="23"/>
      <c r="F3453" s="17"/>
      <c r="G3453" s="17"/>
      <c r="Z3453" s="22"/>
      <c r="AB3453" s="22"/>
    </row>
    <row r="3454" spans="1:28">
      <c r="A3454" s="19"/>
      <c r="B3454" s="12"/>
      <c r="C3454" s="24"/>
      <c r="D3454" s="12"/>
      <c r="E3454" s="23"/>
      <c r="F3454" s="17"/>
      <c r="G3454" s="17"/>
      <c r="Z3454" s="22"/>
      <c r="AB3454" s="22"/>
    </row>
    <row r="3455" spans="1:28">
      <c r="A3455" s="19"/>
      <c r="B3455" s="12"/>
      <c r="C3455" s="24"/>
      <c r="D3455" s="12"/>
      <c r="E3455" s="23"/>
      <c r="F3455" s="17"/>
      <c r="G3455" s="17"/>
      <c r="Z3455" s="22"/>
      <c r="AB3455" s="22"/>
    </row>
    <row r="3456" spans="1:28">
      <c r="A3456" s="19"/>
      <c r="B3456" s="12"/>
      <c r="C3456" s="24"/>
      <c r="D3456" s="12"/>
      <c r="E3456" s="23"/>
      <c r="F3456" s="17"/>
      <c r="G3456" s="17"/>
      <c r="Z3456" s="22"/>
      <c r="AB3456" s="22"/>
    </row>
    <row r="3457" spans="1:28">
      <c r="A3457" s="19"/>
      <c r="B3457" s="12"/>
      <c r="C3457" s="24"/>
      <c r="D3457" s="12"/>
      <c r="E3457" s="23"/>
      <c r="F3457" s="17"/>
      <c r="G3457" s="17"/>
      <c r="Z3457" s="22"/>
      <c r="AB3457" s="22"/>
    </row>
    <row r="3458" spans="1:28">
      <c r="A3458" s="19"/>
      <c r="B3458" s="12"/>
      <c r="C3458" s="24"/>
      <c r="D3458" s="12"/>
      <c r="E3458" s="23"/>
      <c r="F3458" s="17"/>
      <c r="G3458" s="17"/>
      <c r="Z3458" s="22"/>
      <c r="AB3458" s="22"/>
    </row>
    <row r="3459" spans="1:28">
      <c r="A3459" s="19"/>
      <c r="B3459" s="12"/>
      <c r="C3459" s="24"/>
      <c r="D3459" s="12"/>
      <c r="E3459" s="23"/>
      <c r="F3459" s="17"/>
      <c r="G3459" s="17"/>
      <c r="Z3459" s="22"/>
      <c r="AB3459" s="22"/>
    </row>
    <row r="3460" spans="1:28">
      <c r="A3460" s="19"/>
      <c r="B3460" s="12"/>
      <c r="C3460" s="24"/>
      <c r="D3460" s="12"/>
      <c r="E3460" s="23"/>
      <c r="F3460" s="17"/>
      <c r="G3460" s="17"/>
      <c r="Z3460" s="22"/>
      <c r="AB3460" s="22"/>
    </row>
    <row r="3461" spans="1:28">
      <c r="A3461" s="19"/>
      <c r="B3461" s="12"/>
      <c r="C3461" s="24"/>
      <c r="D3461" s="12"/>
      <c r="E3461" s="23"/>
      <c r="F3461" s="17"/>
      <c r="G3461" s="17"/>
      <c r="Z3461" s="22"/>
      <c r="AB3461" s="22"/>
    </row>
    <row r="3462" spans="1:28">
      <c r="A3462" s="19"/>
      <c r="B3462" s="12"/>
      <c r="C3462" s="24"/>
      <c r="D3462" s="12"/>
      <c r="E3462" s="23"/>
      <c r="F3462" s="17"/>
      <c r="G3462" s="17"/>
      <c r="Z3462" s="22"/>
      <c r="AB3462" s="22"/>
    </row>
    <row r="3463" spans="1:28">
      <c r="A3463" s="19"/>
      <c r="B3463" s="12"/>
      <c r="C3463" s="24"/>
      <c r="D3463" s="12"/>
      <c r="E3463" s="23"/>
      <c r="F3463" s="17"/>
      <c r="G3463" s="17"/>
      <c r="Z3463" s="22"/>
      <c r="AB3463" s="22"/>
    </row>
    <row r="3464" spans="1:28">
      <c r="A3464" s="19"/>
      <c r="B3464" s="12"/>
      <c r="C3464" s="24"/>
      <c r="D3464" s="12"/>
      <c r="E3464" s="23"/>
      <c r="F3464" s="17"/>
      <c r="G3464" s="17"/>
      <c r="Z3464" s="22"/>
      <c r="AB3464" s="22"/>
    </row>
    <row r="3465" spans="1:28">
      <c r="A3465" s="19"/>
      <c r="B3465" s="12"/>
      <c r="C3465" s="24"/>
      <c r="D3465" s="12"/>
      <c r="E3465" s="23"/>
      <c r="F3465" s="17"/>
      <c r="G3465" s="17"/>
      <c r="Z3465" s="22"/>
      <c r="AB3465" s="22"/>
    </row>
    <row r="3466" spans="1:28">
      <c r="A3466" s="19"/>
      <c r="B3466" s="12"/>
      <c r="C3466" s="24"/>
      <c r="D3466" s="12"/>
      <c r="E3466" s="23"/>
      <c r="F3466" s="17"/>
      <c r="G3466" s="17"/>
      <c r="Z3466" s="22"/>
      <c r="AB3466" s="22"/>
    </row>
    <row r="3467" spans="1:28">
      <c r="A3467" s="19"/>
      <c r="B3467" s="12"/>
      <c r="C3467" s="24"/>
      <c r="D3467" s="12"/>
      <c r="E3467" s="23"/>
      <c r="F3467" s="17"/>
      <c r="G3467" s="17"/>
      <c r="Z3467" s="22"/>
      <c r="AB3467" s="22"/>
    </row>
    <row r="3468" spans="1:28">
      <c r="A3468" s="19"/>
      <c r="B3468" s="12"/>
      <c r="C3468" s="24"/>
      <c r="D3468" s="12"/>
      <c r="E3468" s="23"/>
      <c r="F3468" s="17"/>
      <c r="G3468" s="17"/>
      <c r="Z3468" s="22"/>
      <c r="AB3468" s="22"/>
    </row>
    <row r="3469" spans="1:28">
      <c r="A3469" s="19"/>
      <c r="B3469" s="12"/>
      <c r="C3469" s="24"/>
      <c r="D3469" s="12"/>
      <c r="E3469" s="23"/>
      <c r="F3469" s="17"/>
      <c r="G3469" s="17"/>
      <c r="Z3469" s="22"/>
      <c r="AB3469" s="22"/>
    </row>
    <row r="3470" spans="1:28">
      <c r="A3470" s="19"/>
      <c r="B3470" s="12"/>
      <c r="C3470" s="24"/>
      <c r="D3470" s="12"/>
      <c r="E3470" s="23"/>
      <c r="F3470" s="17"/>
      <c r="G3470" s="17"/>
      <c r="Z3470" s="22"/>
      <c r="AB3470" s="22"/>
    </row>
    <row r="3471" spans="1:28">
      <c r="A3471" s="19"/>
      <c r="B3471" s="12"/>
      <c r="C3471" s="24"/>
      <c r="D3471" s="12"/>
      <c r="E3471" s="23"/>
      <c r="F3471" s="17"/>
      <c r="G3471" s="17"/>
      <c r="Z3471" s="22"/>
      <c r="AB3471" s="22"/>
    </row>
    <row r="3472" spans="1:28">
      <c r="A3472" s="19"/>
      <c r="B3472" s="12"/>
      <c r="C3472" s="24"/>
      <c r="D3472" s="12"/>
      <c r="E3472" s="23"/>
      <c r="F3472" s="17"/>
      <c r="G3472" s="17"/>
      <c r="Z3472" s="22"/>
      <c r="AB3472" s="22"/>
    </row>
    <row r="3473" spans="1:28">
      <c r="A3473" s="19"/>
      <c r="B3473" s="12"/>
      <c r="C3473" s="24"/>
      <c r="D3473" s="12"/>
      <c r="E3473" s="23"/>
      <c r="F3473" s="17"/>
      <c r="G3473" s="17"/>
      <c r="Z3473" s="22"/>
      <c r="AB3473" s="22"/>
    </row>
    <row r="3474" spans="1:28">
      <c r="A3474" s="19"/>
      <c r="B3474" s="12"/>
      <c r="C3474" s="24"/>
      <c r="D3474" s="12"/>
      <c r="E3474" s="23"/>
      <c r="F3474" s="17"/>
      <c r="G3474" s="17"/>
      <c r="Z3474" s="22"/>
      <c r="AB3474" s="22"/>
    </row>
    <row r="3475" spans="1:28">
      <c r="A3475" s="19"/>
      <c r="B3475" s="12"/>
      <c r="C3475" s="24"/>
      <c r="D3475" s="12"/>
      <c r="E3475" s="23"/>
      <c r="F3475" s="17"/>
      <c r="G3475" s="17"/>
      <c r="Z3475" s="22"/>
      <c r="AB3475" s="22"/>
    </row>
    <row r="3476" spans="1:28">
      <c r="A3476" s="19"/>
      <c r="B3476" s="12"/>
      <c r="C3476" s="24"/>
      <c r="D3476" s="12"/>
      <c r="E3476" s="23"/>
      <c r="F3476" s="17"/>
      <c r="G3476" s="17"/>
      <c r="Z3476" s="22"/>
      <c r="AB3476" s="22"/>
    </row>
    <row r="3477" spans="1:28">
      <c r="A3477" s="19"/>
      <c r="B3477" s="12"/>
      <c r="C3477" s="24"/>
      <c r="D3477" s="12"/>
      <c r="E3477" s="23"/>
      <c r="F3477" s="17"/>
      <c r="G3477" s="17"/>
      <c r="Z3477" s="22"/>
      <c r="AB3477" s="22"/>
    </row>
    <row r="3478" spans="1:28">
      <c r="A3478" s="19"/>
      <c r="B3478" s="12"/>
      <c r="C3478" s="24"/>
      <c r="D3478" s="12"/>
      <c r="E3478" s="23"/>
      <c r="F3478" s="17"/>
      <c r="G3478" s="17"/>
      <c r="Z3478" s="22"/>
      <c r="AB3478" s="22"/>
    </row>
    <row r="3479" spans="1:28">
      <c r="A3479" s="19"/>
      <c r="B3479" s="12"/>
      <c r="C3479" s="24"/>
      <c r="D3479" s="12"/>
      <c r="E3479" s="23"/>
      <c r="F3479" s="17"/>
      <c r="G3479" s="17"/>
      <c r="Z3479" s="22"/>
      <c r="AB3479" s="22"/>
    </row>
    <row r="3480" spans="1:28">
      <c r="A3480" s="19"/>
      <c r="B3480" s="12"/>
      <c r="C3480" s="24"/>
      <c r="D3480" s="12"/>
      <c r="E3480" s="23"/>
      <c r="F3480" s="17"/>
      <c r="G3480" s="17"/>
      <c r="Z3480" s="22"/>
      <c r="AB3480" s="22"/>
    </row>
    <row r="3481" spans="1:28">
      <c r="A3481" s="19"/>
      <c r="B3481" s="12"/>
      <c r="C3481" s="24"/>
      <c r="D3481" s="12"/>
      <c r="E3481" s="23"/>
      <c r="F3481" s="17"/>
      <c r="G3481" s="17"/>
      <c r="Z3481" s="22"/>
      <c r="AB3481" s="22"/>
    </row>
    <row r="3482" spans="1:28">
      <c r="A3482" s="19"/>
      <c r="B3482" s="12"/>
      <c r="C3482" s="24"/>
      <c r="D3482" s="12"/>
      <c r="E3482" s="23"/>
      <c r="F3482" s="17"/>
      <c r="G3482" s="17"/>
      <c r="Z3482" s="22"/>
      <c r="AB3482" s="22"/>
    </row>
    <row r="3483" spans="1:28">
      <c r="A3483" s="19"/>
      <c r="B3483" s="12"/>
      <c r="C3483" s="24"/>
      <c r="D3483" s="12"/>
      <c r="E3483" s="23"/>
      <c r="F3483" s="17"/>
      <c r="G3483" s="17"/>
      <c r="Z3483" s="22"/>
      <c r="AB3483" s="22"/>
    </row>
    <row r="3484" spans="1:28">
      <c r="A3484" s="19"/>
      <c r="B3484" s="12"/>
      <c r="C3484" s="24"/>
      <c r="D3484" s="12"/>
      <c r="E3484" s="23"/>
      <c r="F3484" s="17"/>
      <c r="G3484" s="17"/>
      <c r="Z3484" s="22"/>
      <c r="AB3484" s="22"/>
    </row>
    <row r="3485" spans="1:28">
      <c r="A3485" s="19"/>
      <c r="B3485" s="12"/>
      <c r="C3485" s="24"/>
      <c r="D3485" s="12"/>
      <c r="E3485" s="23"/>
      <c r="F3485" s="17"/>
      <c r="G3485" s="17"/>
      <c r="Z3485" s="22"/>
      <c r="AB3485" s="22"/>
    </row>
    <row r="3486" spans="1:28">
      <c r="A3486" s="19"/>
      <c r="B3486" s="12"/>
      <c r="C3486" s="24"/>
      <c r="D3486" s="12"/>
      <c r="E3486" s="23"/>
      <c r="F3486" s="17"/>
      <c r="G3486" s="17"/>
      <c r="Z3486" s="22"/>
      <c r="AB3486" s="22"/>
    </row>
    <row r="3487" spans="1:28">
      <c r="A3487" s="19"/>
      <c r="B3487" s="12"/>
      <c r="C3487" s="24"/>
      <c r="D3487" s="12"/>
      <c r="E3487" s="23"/>
      <c r="F3487" s="17"/>
      <c r="G3487" s="17"/>
      <c r="Z3487" s="22"/>
      <c r="AB3487" s="22"/>
    </row>
    <row r="3488" spans="1:28">
      <c r="A3488" s="19"/>
      <c r="B3488" s="12"/>
      <c r="C3488" s="24"/>
      <c r="D3488" s="12"/>
      <c r="E3488" s="23"/>
      <c r="F3488" s="17"/>
      <c r="G3488" s="17"/>
      <c r="Z3488" s="22"/>
      <c r="AB3488" s="22"/>
    </row>
    <row r="3489" spans="1:28">
      <c r="A3489" s="19"/>
      <c r="B3489" s="12"/>
      <c r="C3489" s="24"/>
      <c r="D3489" s="12"/>
      <c r="E3489" s="23"/>
      <c r="F3489" s="17"/>
      <c r="G3489" s="17"/>
      <c r="Z3489" s="22"/>
      <c r="AB3489" s="22"/>
    </row>
    <row r="3490" spans="1:28">
      <c r="A3490" s="19"/>
      <c r="B3490" s="12"/>
      <c r="C3490" s="24"/>
      <c r="D3490" s="12"/>
      <c r="E3490" s="23"/>
      <c r="F3490" s="17"/>
      <c r="G3490" s="17"/>
      <c r="Z3490" s="22"/>
      <c r="AB3490" s="22"/>
    </row>
    <row r="3491" spans="1:28">
      <c r="A3491" s="19"/>
      <c r="B3491" s="12"/>
      <c r="C3491" s="24"/>
      <c r="D3491" s="12"/>
      <c r="E3491" s="23"/>
      <c r="F3491" s="17"/>
      <c r="G3491" s="17"/>
      <c r="Z3491" s="22"/>
      <c r="AB3491" s="22"/>
    </row>
    <row r="3492" spans="1:28">
      <c r="A3492" s="19"/>
      <c r="B3492" s="12"/>
      <c r="C3492" s="24"/>
      <c r="D3492" s="12"/>
      <c r="E3492" s="23"/>
      <c r="F3492" s="17"/>
      <c r="G3492" s="17"/>
      <c r="Z3492" s="22"/>
      <c r="AB3492" s="22"/>
    </row>
    <row r="3493" spans="1:28">
      <c r="A3493" s="19"/>
      <c r="B3493" s="12"/>
      <c r="C3493" s="24"/>
      <c r="D3493" s="12"/>
      <c r="E3493" s="23"/>
      <c r="F3493" s="17"/>
      <c r="G3493" s="17"/>
      <c r="Z3493" s="22"/>
      <c r="AB3493" s="22"/>
    </row>
    <row r="3494" spans="1:28">
      <c r="A3494" s="19"/>
      <c r="B3494" s="12"/>
      <c r="C3494" s="24"/>
      <c r="D3494" s="12"/>
      <c r="E3494" s="23"/>
      <c r="F3494" s="17"/>
      <c r="G3494" s="17"/>
      <c r="Z3494" s="22"/>
      <c r="AB3494" s="22"/>
    </row>
    <row r="3495" spans="1:28">
      <c r="A3495" s="19"/>
      <c r="B3495" s="12"/>
      <c r="C3495" s="24"/>
      <c r="D3495" s="12"/>
      <c r="E3495" s="23"/>
      <c r="F3495" s="17"/>
      <c r="G3495" s="17"/>
      <c r="Z3495" s="22"/>
      <c r="AB3495" s="22"/>
    </row>
    <row r="3496" spans="1:28">
      <c r="A3496" s="19"/>
      <c r="B3496" s="12"/>
      <c r="C3496" s="24"/>
      <c r="D3496" s="12"/>
      <c r="E3496" s="23"/>
      <c r="F3496" s="17"/>
      <c r="G3496" s="17"/>
      <c r="Z3496" s="22"/>
      <c r="AB3496" s="22"/>
    </row>
    <row r="3497" spans="1:28">
      <c r="A3497" s="19"/>
      <c r="B3497" s="12"/>
      <c r="C3497" s="24"/>
      <c r="D3497" s="12"/>
      <c r="E3497" s="23"/>
      <c r="F3497" s="17"/>
      <c r="G3497" s="17"/>
      <c r="Z3497" s="22"/>
      <c r="AB3497" s="22"/>
    </row>
    <row r="3498" spans="1:28">
      <c r="A3498" s="19"/>
      <c r="B3498" s="12"/>
      <c r="C3498" s="24"/>
      <c r="D3498" s="12"/>
      <c r="E3498" s="23"/>
      <c r="F3498" s="17"/>
      <c r="G3498" s="17"/>
      <c r="Z3498" s="22"/>
      <c r="AB3498" s="22"/>
    </row>
    <row r="3499" spans="1:28">
      <c r="A3499" s="19"/>
      <c r="B3499" s="12"/>
      <c r="C3499" s="24"/>
      <c r="D3499" s="12"/>
      <c r="E3499" s="23"/>
      <c r="F3499" s="17"/>
      <c r="G3499" s="17"/>
      <c r="Z3499" s="22"/>
      <c r="AB3499" s="22"/>
    </row>
    <row r="3500" spans="1:28">
      <c r="A3500" s="19"/>
      <c r="B3500" s="12"/>
      <c r="C3500" s="24"/>
      <c r="D3500" s="12"/>
      <c r="E3500" s="23"/>
      <c r="F3500" s="17"/>
      <c r="G3500" s="17"/>
      <c r="Z3500" s="22"/>
      <c r="AB3500" s="22"/>
    </row>
    <row r="3501" spans="1:28">
      <c r="A3501" s="19"/>
      <c r="B3501" s="12"/>
      <c r="C3501" s="24"/>
      <c r="D3501" s="12"/>
      <c r="E3501" s="23"/>
      <c r="F3501" s="17"/>
      <c r="G3501" s="17"/>
      <c r="Z3501" s="22"/>
      <c r="AB3501" s="22"/>
    </row>
    <row r="3502" spans="1:28">
      <c r="A3502" s="19"/>
      <c r="B3502" s="12"/>
      <c r="C3502" s="24"/>
      <c r="D3502" s="12"/>
      <c r="E3502" s="23"/>
      <c r="F3502" s="17"/>
      <c r="G3502" s="17"/>
      <c r="Z3502" s="22"/>
      <c r="AB3502" s="22"/>
    </row>
    <row r="3503" spans="1:28">
      <c r="A3503" s="19"/>
      <c r="B3503" s="12"/>
      <c r="C3503" s="24"/>
      <c r="D3503" s="12"/>
      <c r="E3503" s="23"/>
      <c r="F3503" s="17"/>
      <c r="G3503" s="17"/>
      <c r="Z3503" s="22"/>
      <c r="AB3503" s="22"/>
    </row>
    <row r="3504" spans="1:28">
      <c r="A3504" s="19"/>
      <c r="B3504" s="12"/>
      <c r="C3504" s="24"/>
      <c r="D3504" s="12"/>
      <c r="E3504" s="23"/>
      <c r="F3504" s="17"/>
      <c r="G3504" s="17"/>
      <c r="Z3504" s="22"/>
      <c r="AB3504" s="22"/>
    </row>
    <row r="3505" spans="1:28">
      <c r="A3505" s="19"/>
      <c r="B3505" s="12"/>
      <c r="C3505" s="24"/>
      <c r="D3505" s="12"/>
      <c r="E3505" s="23"/>
      <c r="F3505" s="17"/>
      <c r="G3505" s="17"/>
      <c r="Z3505" s="22"/>
      <c r="AB3505" s="22"/>
    </row>
    <row r="3506" spans="1:28">
      <c r="A3506" s="19"/>
      <c r="B3506" s="12"/>
      <c r="C3506" s="24"/>
      <c r="D3506" s="12"/>
      <c r="E3506" s="23"/>
      <c r="F3506" s="17"/>
      <c r="G3506" s="17"/>
      <c r="Z3506" s="22"/>
      <c r="AB3506" s="22"/>
    </row>
    <row r="3507" spans="1:28">
      <c r="A3507" s="19"/>
      <c r="B3507" s="12"/>
      <c r="C3507" s="24"/>
      <c r="D3507" s="12"/>
      <c r="E3507" s="23"/>
      <c r="F3507" s="17"/>
      <c r="G3507" s="17"/>
      <c r="Z3507" s="22"/>
      <c r="AB3507" s="22"/>
    </row>
    <row r="3508" spans="1:28">
      <c r="A3508" s="19"/>
      <c r="B3508" s="12"/>
      <c r="C3508" s="24"/>
      <c r="D3508" s="12"/>
      <c r="E3508" s="23"/>
      <c r="F3508" s="17"/>
      <c r="G3508" s="17"/>
      <c r="Z3508" s="22"/>
      <c r="AB3508" s="22"/>
    </row>
    <row r="3509" spans="1:28">
      <c r="A3509" s="19"/>
      <c r="B3509" s="12"/>
      <c r="C3509" s="24"/>
      <c r="D3509" s="12"/>
      <c r="E3509" s="23"/>
      <c r="F3509" s="17"/>
      <c r="G3509" s="17"/>
      <c r="Z3509" s="22"/>
      <c r="AB3509" s="22"/>
    </row>
    <row r="3510" spans="1:28">
      <c r="A3510" s="19"/>
      <c r="B3510" s="12"/>
      <c r="C3510" s="24"/>
      <c r="D3510" s="12"/>
      <c r="E3510" s="23"/>
      <c r="F3510" s="17"/>
      <c r="G3510" s="17"/>
      <c r="Z3510" s="22"/>
      <c r="AB3510" s="22"/>
    </row>
    <row r="3511" spans="1:28">
      <c r="A3511" s="19"/>
      <c r="B3511" s="12"/>
      <c r="C3511" s="24"/>
      <c r="D3511" s="12"/>
      <c r="E3511" s="23"/>
      <c r="F3511" s="17"/>
      <c r="G3511" s="17"/>
      <c r="Z3511" s="22"/>
      <c r="AB3511" s="22"/>
    </row>
    <row r="3512" spans="1:28">
      <c r="A3512" s="19"/>
      <c r="B3512" s="12"/>
      <c r="C3512" s="24"/>
      <c r="D3512" s="12"/>
      <c r="E3512" s="23"/>
      <c r="F3512" s="17"/>
      <c r="G3512" s="17"/>
      <c r="Z3512" s="22"/>
      <c r="AB3512" s="22"/>
    </row>
    <row r="3513" spans="1:28">
      <c r="A3513" s="19"/>
      <c r="B3513" s="12"/>
      <c r="C3513" s="24"/>
      <c r="D3513" s="12"/>
      <c r="E3513" s="23"/>
      <c r="F3513" s="17"/>
      <c r="G3513" s="17"/>
      <c r="Z3513" s="22"/>
      <c r="AB3513" s="22"/>
    </row>
    <row r="3514" spans="1:28">
      <c r="A3514" s="19"/>
      <c r="B3514" s="12"/>
      <c r="C3514" s="24"/>
      <c r="D3514" s="12"/>
      <c r="E3514" s="23"/>
      <c r="F3514" s="17"/>
      <c r="G3514" s="17"/>
      <c r="Z3514" s="22"/>
      <c r="AB3514" s="22"/>
    </row>
    <row r="3515" spans="1:28">
      <c r="A3515" s="19"/>
      <c r="B3515" s="12"/>
      <c r="C3515" s="24"/>
      <c r="D3515" s="12"/>
      <c r="E3515" s="23"/>
      <c r="F3515" s="17"/>
      <c r="G3515" s="17"/>
      <c r="Z3515" s="22"/>
      <c r="AB3515" s="22"/>
    </row>
    <row r="3516" spans="1:28">
      <c r="A3516" s="19"/>
      <c r="B3516" s="12"/>
      <c r="C3516" s="24"/>
      <c r="D3516" s="12"/>
      <c r="E3516" s="23"/>
      <c r="F3516" s="17"/>
      <c r="G3516" s="17"/>
      <c r="Z3516" s="22"/>
      <c r="AB3516" s="22"/>
    </row>
    <row r="3517" spans="1:28">
      <c r="A3517" s="19"/>
      <c r="B3517" s="12"/>
      <c r="C3517" s="24"/>
      <c r="D3517" s="12"/>
      <c r="E3517" s="23"/>
      <c r="F3517" s="17"/>
      <c r="G3517" s="17"/>
      <c r="Z3517" s="22"/>
      <c r="AB3517" s="22"/>
    </row>
    <row r="3518" spans="1:28">
      <c r="A3518" s="19"/>
      <c r="B3518" s="12"/>
      <c r="C3518" s="24"/>
      <c r="D3518" s="12"/>
      <c r="E3518" s="23"/>
      <c r="F3518" s="17"/>
      <c r="G3518" s="17"/>
      <c r="Z3518" s="22"/>
      <c r="AB3518" s="22"/>
    </row>
    <row r="3519" spans="1:28">
      <c r="A3519" s="19"/>
      <c r="B3519" s="12"/>
      <c r="C3519" s="24"/>
      <c r="D3519" s="12"/>
      <c r="E3519" s="23"/>
      <c r="F3519" s="17"/>
      <c r="G3519" s="17"/>
      <c r="Z3519" s="22"/>
      <c r="AB3519" s="22"/>
    </row>
    <row r="3520" spans="1:28">
      <c r="A3520" s="19"/>
      <c r="B3520" s="12"/>
      <c r="C3520" s="24"/>
      <c r="D3520" s="12"/>
      <c r="E3520" s="23"/>
      <c r="F3520" s="17"/>
      <c r="G3520" s="17"/>
      <c r="Z3520" s="22"/>
      <c r="AB3520" s="22"/>
    </row>
    <row r="3521" spans="1:28">
      <c r="A3521" s="19"/>
      <c r="B3521" s="12"/>
      <c r="C3521" s="24"/>
      <c r="D3521" s="12"/>
      <c r="E3521" s="23"/>
      <c r="F3521" s="17"/>
      <c r="G3521" s="17"/>
      <c r="Z3521" s="22"/>
      <c r="AB3521" s="22"/>
    </row>
    <row r="3522" spans="1:28">
      <c r="A3522" s="19"/>
      <c r="B3522" s="12"/>
      <c r="C3522" s="24"/>
      <c r="D3522" s="12"/>
      <c r="E3522" s="23"/>
      <c r="F3522" s="17"/>
      <c r="G3522" s="17"/>
      <c r="Z3522" s="22"/>
      <c r="AB3522" s="22"/>
    </row>
    <row r="3523" spans="1:28">
      <c r="A3523" s="19"/>
      <c r="B3523" s="12"/>
      <c r="C3523" s="24"/>
      <c r="D3523" s="12"/>
      <c r="E3523" s="23"/>
      <c r="F3523" s="17"/>
      <c r="G3523" s="17"/>
      <c r="Z3523" s="22"/>
      <c r="AB3523" s="22"/>
    </row>
    <row r="3524" spans="1:28">
      <c r="A3524" s="19"/>
      <c r="B3524" s="12"/>
      <c r="C3524" s="24"/>
      <c r="D3524" s="12"/>
      <c r="E3524" s="23"/>
      <c r="F3524" s="17"/>
      <c r="G3524" s="17"/>
      <c r="Z3524" s="22"/>
      <c r="AB3524" s="22"/>
    </row>
    <row r="3525" spans="1:28">
      <c r="A3525" s="19"/>
      <c r="B3525" s="12"/>
      <c r="C3525" s="24"/>
      <c r="D3525" s="12"/>
      <c r="E3525" s="23"/>
      <c r="F3525" s="17"/>
      <c r="G3525" s="17"/>
      <c r="Z3525" s="22"/>
      <c r="AB3525" s="22"/>
    </row>
    <row r="3526" spans="1:28">
      <c r="A3526" s="19"/>
      <c r="B3526" s="12"/>
      <c r="C3526" s="24"/>
      <c r="D3526" s="12"/>
      <c r="E3526" s="23"/>
      <c r="F3526" s="17"/>
      <c r="G3526" s="17"/>
      <c r="Z3526" s="22"/>
      <c r="AB3526" s="22"/>
    </row>
    <row r="3527" spans="1:28">
      <c r="A3527" s="19"/>
      <c r="B3527" s="12"/>
      <c r="C3527" s="24"/>
      <c r="D3527" s="12"/>
      <c r="E3527" s="23"/>
      <c r="F3527" s="17"/>
      <c r="G3527" s="17"/>
      <c r="Z3527" s="22"/>
      <c r="AB3527" s="22"/>
    </row>
    <row r="3528" spans="1:28">
      <c r="A3528" s="19"/>
      <c r="B3528" s="12"/>
      <c r="C3528" s="24"/>
      <c r="D3528" s="12"/>
      <c r="E3528" s="23"/>
      <c r="F3528" s="17"/>
      <c r="G3528" s="17"/>
      <c r="Z3528" s="22"/>
      <c r="AB3528" s="22"/>
    </row>
    <row r="3529" spans="1:28">
      <c r="A3529" s="19"/>
      <c r="B3529" s="12"/>
      <c r="C3529" s="24"/>
      <c r="D3529" s="12"/>
      <c r="E3529" s="23"/>
      <c r="F3529" s="17"/>
      <c r="G3529" s="17"/>
      <c r="Z3529" s="22"/>
      <c r="AB3529" s="22"/>
    </row>
    <row r="3530" spans="1:28">
      <c r="A3530" s="19"/>
      <c r="B3530" s="12"/>
      <c r="C3530" s="24"/>
      <c r="D3530" s="12"/>
      <c r="E3530" s="23"/>
      <c r="F3530" s="17"/>
      <c r="G3530" s="17"/>
      <c r="Z3530" s="22"/>
      <c r="AB3530" s="22"/>
    </row>
    <row r="3531" spans="1:28">
      <c r="A3531" s="19"/>
      <c r="B3531" s="12"/>
      <c r="C3531" s="24"/>
      <c r="D3531" s="12"/>
      <c r="E3531" s="23"/>
      <c r="F3531" s="17"/>
      <c r="G3531" s="17"/>
      <c r="Z3531" s="22"/>
      <c r="AB3531" s="22"/>
    </row>
    <row r="3532" spans="1:28">
      <c r="A3532" s="19"/>
      <c r="B3532" s="12"/>
      <c r="C3532" s="24"/>
      <c r="D3532" s="12"/>
      <c r="E3532" s="23"/>
      <c r="F3532" s="17"/>
      <c r="G3532" s="17"/>
      <c r="Z3532" s="22"/>
      <c r="AB3532" s="22"/>
    </row>
    <row r="3533" spans="1:28">
      <c r="A3533" s="19"/>
      <c r="B3533" s="12"/>
      <c r="C3533" s="24"/>
      <c r="D3533" s="12"/>
      <c r="E3533" s="23"/>
      <c r="F3533" s="17"/>
      <c r="G3533" s="17"/>
      <c r="Z3533" s="22"/>
      <c r="AB3533" s="22"/>
    </row>
    <row r="3534" spans="1:28">
      <c r="A3534" s="19"/>
      <c r="B3534" s="12"/>
      <c r="C3534" s="24"/>
      <c r="D3534" s="12"/>
      <c r="E3534" s="23"/>
      <c r="F3534" s="17"/>
      <c r="G3534" s="17"/>
      <c r="Z3534" s="22"/>
      <c r="AB3534" s="22"/>
    </row>
    <row r="3535" spans="1:28">
      <c r="A3535" s="19"/>
      <c r="B3535" s="12"/>
      <c r="C3535" s="24"/>
      <c r="D3535" s="12"/>
      <c r="E3535" s="23"/>
      <c r="F3535" s="17"/>
      <c r="G3535" s="17"/>
      <c r="Z3535" s="22"/>
      <c r="AB3535" s="22"/>
    </row>
    <row r="3536" spans="1:28">
      <c r="A3536" s="19"/>
      <c r="B3536" s="12"/>
      <c r="C3536" s="24"/>
      <c r="D3536" s="12"/>
      <c r="E3536" s="23"/>
      <c r="F3536" s="17"/>
      <c r="G3536" s="17"/>
      <c r="Z3536" s="22"/>
      <c r="AB3536" s="22"/>
    </row>
    <row r="3537" spans="1:28">
      <c r="A3537" s="19"/>
      <c r="B3537" s="12"/>
      <c r="C3537" s="24"/>
      <c r="D3537" s="12"/>
      <c r="E3537" s="23"/>
      <c r="F3537" s="17"/>
      <c r="G3537" s="17"/>
      <c r="Z3537" s="22"/>
      <c r="AB3537" s="22"/>
    </row>
    <row r="3538" spans="1:28">
      <c r="A3538" s="19"/>
      <c r="B3538" s="12"/>
      <c r="C3538" s="24"/>
      <c r="D3538" s="12"/>
      <c r="E3538" s="23"/>
      <c r="F3538" s="17"/>
      <c r="G3538" s="17"/>
      <c r="Z3538" s="22"/>
      <c r="AB3538" s="22"/>
    </row>
    <row r="3539" spans="1:28">
      <c r="A3539" s="19"/>
      <c r="B3539" s="12"/>
      <c r="C3539" s="24"/>
      <c r="D3539" s="12"/>
      <c r="E3539" s="23"/>
      <c r="F3539" s="17"/>
      <c r="G3539" s="17"/>
      <c r="Z3539" s="22"/>
      <c r="AB3539" s="22"/>
    </row>
    <row r="3540" spans="1:28">
      <c r="A3540" s="19"/>
      <c r="B3540" s="12"/>
      <c r="C3540" s="24"/>
      <c r="D3540" s="12"/>
      <c r="E3540" s="23"/>
      <c r="F3540" s="17"/>
      <c r="G3540" s="17"/>
      <c r="Z3540" s="22"/>
      <c r="AB3540" s="22"/>
    </row>
    <row r="3541" spans="1:28">
      <c r="A3541" s="19"/>
      <c r="B3541" s="12"/>
      <c r="C3541" s="24"/>
      <c r="D3541" s="12"/>
      <c r="E3541" s="23"/>
      <c r="F3541" s="17"/>
      <c r="G3541" s="17"/>
      <c r="Z3541" s="22"/>
      <c r="AB3541" s="22"/>
    </row>
    <row r="3542" spans="1:28">
      <c r="A3542" s="19"/>
      <c r="B3542" s="12"/>
      <c r="C3542" s="24"/>
      <c r="D3542" s="12"/>
      <c r="E3542" s="23"/>
      <c r="F3542" s="17"/>
      <c r="G3542" s="17"/>
      <c r="Z3542" s="22"/>
      <c r="AB3542" s="22"/>
    </row>
    <row r="3543" spans="1:28">
      <c r="A3543" s="19"/>
      <c r="B3543" s="12"/>
      <c r="C3543" s="24"/>
      <c r="D3543" s="12"/>
      <c r="E3543" s="23"/>
      <c r="F3543" s="17"/>
      <c r="G3543" s="17"/>
      <c r="Z3543" s="22"/>
      <c r="AB3543" s="22"/>
    </row>
    <row r="3544" spans="1:28">
      <c r="A3544" s="19"/>
      <c r="B3544" s="12"/>
      <c r="C3544" s="24"/>
      <c r="D3544" s="12"/>
      <c r="E3544" s="23"/>
      <c r="F3544" s="17"/>
      <c r="G3544" s="17"/>
      <c r="Z3544" s="22"/>
      <c r="AB3544" s="22"/>
    </row>
    <row r="3545" spans="1:28">
      <c r="A3545" s="19"/>
      <c r="B3545" s="12"/>
      <c r="C3545" s="24"/>
      <c r="D3545" s="12"/>
      <c r="E3545" s="23"/>
      <c r="F3545" s="17"/>
      <c r="G3545" s="17"/>
      <c r="Z3545" s="22"/>
      <c r="AB3545" s="22"/>
    </row>
    <row r="3546" spans="1:28">
      <c r="A3546" s="19"/>
      <c r="B3546" s="12"/>
      <c r="C3546" s="24"/>
      <c r="D3546" s="12"/>
      <c r="E3546" s="23"/>
      <c r="F3546" s="17"/>
      <c r="G3546" s="17"/>
      <c r="Z3546" s="22"/>
      <c r="AB3546" s="22"/>
    </row>
    <row r="3547" spans="1:28">
      <c r="A3547" s="19"/>
      <c r="B3547" s="12"/>
      <c r="C3547" s="24"/>
      <c r="D3547" s="12"/>
      <c r="E3547" s="23"/>
      <c r="F3547" s="17"/>
      <c r="G3547" s="17"/>
      <c r="Z3547" s="22"/>
      <c r="AB3547" s="22"/>
    </row>
    <row r="3548" spans="1:28">
      <c r="A3548" s="19"/>
      <c r="B3548" s="12"/>
      <c r="C3548" s="24"/>
      <c r="D3548" s="12"/>
      <c r="E3548" s="23"/>
      <c r="F3548" s="17"/>
      <c r="G3548" s="17"/>
      <c r="Z3548" s="22"/>
      <c r="AB3548" s="22"/>
    </row>
    <row r="3549" spans="1:28">
      <c r="A3549" s="19"/>
      <c r="B3549" s="12"/>
      <c r="C3549" s="24"/>
      <c r="D3549" s="12"/>
      <c r="E3549" s="23"/>
      <c r="F3549" s="17"/>
      <c r="G3549" s="17"/>
      <c r="Z3549" s="22"/>
      <c r="AB3549" s="22"/>
    </row>
    <row r="3550" spans="1:28">
      <c r="A3550" s="19"/>
      <c r="B3550" s="12"/>
      <c r="C3550" s="24"/>
      <c r="D3550" s="12"/>
      <c r="E3550" s="23"/>
      <c r="F3550" s="17"/>
      <c r="G3550" s="17"/>
      <c r="Z3550" s="22"/>
      <c r="AB3550" s="22"/>
    </row>
    <row r="3551" spans="1:28">
      <c r="A3551" s="19"/>
      <c r="B3551" s="12"/>
      <c r="C3551" s="24"/>
      <c r="D3551" s="12"/>
      <c r="E3551" s="23"/>
      <c r="F3551" s="17"/>
      <c r="G3551" s="17"/>
      <c r="Z3551" s="22"/>
      <c r="AB3551" s="22"/>
    </row>
    <row r="3552" spans="1:28">
      <c r="A3552" s="19"/>
      <c r="B3552" s="12"/>
      <c r="C3552" s="24"/>
      <c r="D3552" s="12"/>
      <c r="E3552" s="23"/>
      <c r="F3552" s="17"/>
      <c r="G3552" s="17"/>
      <c r="Z3552" s="22"/>
      <c r="AB3552" s="22"/>
    </row>
    <row r="3553" spans="1:28">
      <c r="A3553" s="19"/>
      <c r="B3553" s="12"/>
      <c r="C3553" s="24"/>
      <c r="D3553" s="12"/>
      <c r="E3553" s="23"/>
      <c r="F3553" s="17"/>
      <c r="G3553" s="17"/>
      <c r="Z3553" s="22"/>
      <c r="AB3553" s="22"/>
    </row>
    <row r="3554" spans="1:28">
      <c r="A3554" s="19"/>
      <c r="B3554" s="12"/>
      <c r="C3554" s="24"/>
      <c r="D3554" s="12"/>
      <c r="E3554" s="23"/>
      <c r="F3554" s="17"/>
      <c r="G3554" s="17"/>
      <c r="Z3554" s="22"/>
      <c r="AB3554" s="22"/>
    </row>
    <row r="3555" spans="1:28">
      <c r="A3555" s="19"/>
      <c r="B3555" s="12"/>
      <c r="C3555" s="24"/>
      <c r="D3555" s="12"/>
      <c r="E3555" s="23"/>
      <c r="F3555" s="17"/>
      <c r="G3555" s="17"/>
      <c r="Z3555" s="22"/>
      <c r="AB3555" s="22"/>
    </row>
    <row r="3556" spans="1:28">
      <c r="A3556" s="19"/>
      <c r="B3556" s="12"/>
      <c r="C3556" s="24"/>
      <c r="D3556" s="12"/>
      <c r="E3556" s="23"/>
      <c r="F3556" s="17"/>
      <c r="G3556" s="17"/>
      <c r="Z3556" s="22"/>
      <c r="AB3556" s="22"/>
    </row>
    <row r="3557" spans="1:28">
      <c r="A3557" s="19"/>
      <c r="B3557" s="12"/>
      <c r="C3557" s="24"/>
      <c r="D3557" s="12"/>
      <c r="E3557" s="23"/>
      <c r="F3557" s="17"/>
      <c r="G3557" s="17"/>
      <c r="Z3557" s="22"/>
      <c r="AB3557" s="22"/>
    </row>
    <row r="3558" spans="1:28">
      <c r="A3558" s="19"/>
      <c r="B3558" s="12"/>
      <c r="C3558" s="24"/>
      <c r="D3558" s="12"/>
      <c r="E3558" s="23"/>
      <c r="F3558" s="17"/>
      <c r="G3558" s="17"/>
      <c r="Z3558" s="22"/>
      <c r="AB3558" s="22"/>
    </row>
    <row r="3559" spans="1:28">
      <c r="A3559" s="19"/>
      <c r="B3559" s="12"/>
      <c r="C3559" s="24"/>
      <c r="D3559" s="12"/>
      <c r="E3559" s="23"/>
      <c r="F3559" s="17"/>
      <c r="G3559" s="17"/>
      <c r="Z3559" s="22"/>
      <c r="AB3559" s="22"/>
    </row>
    <row r="3560" spans="1:28">
      <c r="A3560" s="19"/>
      <c r="B3560" s="12"/>
      <c r="C3560" s="24"/>
      <c r="D3560" s="12"/>
      <c r="E3560" s="23"/>
      <c r="F3560" s="17"/>
      <c r="G3560" s="17"/>
      <c r="Z3560" s="22"/>
      <c r="AB3560" s="22"/>
    </row>
    <row r="3561" spans="1:28">
      <c r="A3561" s="19"/>
      <c r="B3561" s="12"/>
      <c r="C3561" s="24"/>
      <c r="D3561" s="12"/>
      <c r="E3561" s="23"/>
      <c r="F3561" s="17"/>
      <c r="G3561" s="17"/>
      <c r="Z3561" s="22"/>
      <c r="AB3561" s="22"/>
    </row>
    <row r="3562" spans="1:28">
      <c r="A3562" s="19"/>
      <c r="B3562" s="12"/>
      <c r="C3562" s="24"/>
      <c r="D3562" s="12"/>
      <c r="E3562" s="23"/>
      <c r="F3562" s="17"/>
      <c r="G3562" s="17"/>
      <c r="Z3562" s="22"/>
      <c r="AB3562" s="22"/>
    </row>
    <row r="3563" spans="1:28">
      <c r="A3563" s="19"/>
      <c r="B3563" s="12"/>
      <c r="C3563" s="24"/>
      <c r="D3563" s="12"/>
      <c r="E3563" s="23"/>
      <c r="F3563" s="17"/>
      <c r="G3563" s="17"/>
      <c r="Z3563" s="22"/>
      <c r="AB3563" s="22"/>
    </row>
    <row r="3564" spans="1:28">
      <c r="A3564" s="19"/>
      <c r="B3564" s="12"/>
      <c r="C3564" s="24"/>
      <c r="D3564" s="12"/>
      <c r="E3564" s="23"/>
      <c r="F3564" s="17"/>
      <c r="G3564" s="17"/>
      <c r="Z3564" s="22"/>
      <c r="AB3564" s="22"/>
    </row>
    <row r="3565" spans="1:28">
      <c r="A3565" s="19"/>
      <c r="B3565" s="12"/>
      <c r="C3565" s="24"/>
      <c r="D3565" s="12"/>
      <c r="E3565" s="23"/>
      <c r="F3565" s="17"/>
      <c r="G3565" s="17"/>
      <c r="Z3565" s="22"/>
      <c r="AB3565" s="22"/>
    </row>
    <row r="3566" spans="1:28">
      <c r="A3566" s="19"/>
      <c r="B3566" s="12"/>
      <c r="C3566" s="24"/>
      <c r="D3566" s="12"/>
      <c r="E3566" s="23"/>
      <c r="F3566" s="17"/>
      <c r="G3566" s="17"/>
      <c r="Z3566" s="22"/>
      <c r="AB3566" s="22"/>
    </row>
    <row r="3567" spans="1:28">
      <c r="A3567" s="19"/>
      <c r="B3567" s="12"/>
      <c r="C3567" s="24"/>
      <c r="D3567" s="12"/>
      <c r="E3567" s="23"/>
      <c r="F3567" s="17"/>
      <c r="G3567" s="17"/>
      <c r="Z3567" s="22"/>
      <c r="AB3567" s="22"/>
    </row>
    <row r="3568" spans="1:28">
      <c r="A3568" s="19"/>
      <c r="B3568" s="12"/>
      <c r="C3568" s="24"/>
      <c r="D3568" s="12"/>
      <c r="E3568" s="23"/>
      <c r="F3568" s="17"/>
      <c r="G3568" s="17"/>
      <c r="Z3568" s="22"/>
      <c r="AB3568" s="22"/>
    </row>
    <row r="3569" spans="1:28">
      <c r="A3569" s="19"/>
      <c r="B3569" s="12"/>
      <c r="C3569" s="24"/>
      <c r="D3569" s="12"/>
      <c r="E3569" s="23"/>
      <c r="F3569" s="17"/>
      <c r="G3569" s="17"/>
      <c r="Z3569" s="22"/>
      <c r="AB3569" s="22"/>
    </row>
    <row r="3570" spans="1:28">
      <c r="A3570" s="19"/>
      <c r="B3570" s="12"/>
      <c r="C3570" s="24"/>
      <c r="D3570" s="12"/>
      <c r="E3570" s="23"/>
      <c r="F3570" s="17"/>
      <c r="G3570" s="17"/>
      <c r="Z3570" s="22"/>
      <c r="AB3570" s="22"/>
    </row>
    <row r="3571" spans="1:28">
      <c r="A3571" s="19"/>
      <c r="B3571" s="12"/>
      <c r="C3571" s="24"/>
      <c r="D3571" s="12"/>
      <c r="E3571" s="23"/>
      <c r="F3571" s="17"/>
      <c r="G3571" s="17"/>
      <c r="Z3571" s="22"/>
      <c r="AB3571" s="22"/>
    </row>
    <row r="3572" spans="1:28">
      <c r="A3572" s="19"/>
      <c r="B3572" s="12"/>
      <c r="C3572" s="24"/>
      <c r="D3572" s="12"/>
      <c r="E3572" s="23"/>
      <c r="F3572" s="17"/>
      <c r="G3572" s="17"/>
      <c r="Z3572" s="22"/>
      <c r="AB3572" s="22"/>
    </row>
    <row r="3573" spans="1:28">
      <c r="A3573" s="19"/>
      <c r="B3573" s="12"/>
      <c r="C3573" s="24"/>
      <c r="D3573" s="12"/>
      <c r="E3573" s="23"/>
      <c r="F3573" s="17"/>
      <c r="G3573" s="17"/>
      <c r="Z3573" s="22"/>
      <c r="AB3573" s="22"/>
    </row>
    <row r="3574" spans="1:28">
      <c r="A3574" s="19"/>
      <c r="B3574" s="12"/>
      <c r="C3574" s="24"/>
      <c r="D3574" s="12"/>
      <c r="E3574" s="23"/>
      <c r="F3574" s="17"/>
      <c r="G3574" s="17"/>
      <c r="Z3574" s="22"/>
      <c r="AB3574" s="22"/>
    </row>
    <row r="3575" spans="1:28">
      <c r="A3575" s="19"/>
      <c r="B3575" s="12"/>
      <c r="C3575" s="24"/>
      <c r="D3575" s="12"/>
      <c r="E3575" s="23"/>
      <c r="F3575" s="17"/>
      <c r="G3575" s="17"/>
      <c r="Z3575" s="22"/>
      <c r="AB3575" s="22"/>
    </row>
    <row r="3576" spans="1:28">
      <c r="A3576" s="19"/>
      <c r="B3576" s="12"/>
      <c r="C3576" s="24"/>
      <c r="D3576" s="12"/>
      <c r="E3576" s="23"/>
      <c r="F3576" s="17"/>
      <c r="G3576" s="17"/>
      <c r="Z3576" s="22"/>
      <c r="AB3576" s="22"/>
    </row>
    <row r="3577" spans="1:28">
      <c r="A3577" s="19"/>
      <c r="B3577" s="12"/>
      <c r="C3577" s="24"/>
      <c r="D3577" s="12"/>
      <c r="E3577" s="23"/>
      <c r="F3577" s="17"/>
      <c r="G3577" s="17"/>
      <c r="Z3577" s="22"/>
      <c r="AB3577" s="22"/>
    </row>
    <row r="3578" spans="1:28">
      <c r="A3578" s="19"/>
      <c r="B3578" s="12"/>
      <c r="C3578" s="24"/>
      <c r="D3578" s="12"/>
      <c r="E3578" s="23"/>
      <c r="F3578" s="17"/>
      <c r="G3578" s="17"/>
      <c r="Z3578" s="22"/>
      <c r="AB3578" s="22"/>
    </row>
    <row r="3579" spans="1:28">
      <c r="A3579" s="19"/>
      <c r="B3579" s="12"/>
      <c r="C3579" s="24"/>
      <c r="D3579" s="12"/>
      <c r="E3579" s="23"/>
      <c r="F3579" s="17"/>
      <c r="G3579" s="17"/>
      <c r="Z3579" s="22"/>
      <c r="AB3579" s="22"/>
    </row>
    <row r="3580" spans="1:28">
      <c r="A3580" s="19"/>
      <c r="B3580" s="12"/>
      <c r="C3580" s="24"/>
      <c r="D3580" s="12"/>
      <c r="E3580" s="23"/>
      <c r="F3580" s="17"/>
      <c r="G3580" s="17"/>
      <c r="Z3580" s="22"/>
      <c r="AB3580" s="22"/>
    </row>
    <row r="3581" spans="1:28">
      <c r="A3581" s="19"/>
      <c r="B3581" s="12"/>
      <c r="C3581" s="24"/>
      <c r="D3581" s="12"/>
      <c r="E3581" s="23"/>
      <c r="F3581" s="17"/>
      <c r="G3581" s="17"/>
      <c r="Z3581" s="22"/>
      <c r="AB3581" s="22"/>
    </row>
    <row r="3582" spans="1:28">
      <c r="A3582" s="19"/>
      <c r="B3582" s="12"/>
      <c r="C3582" s="24"/>
      <c r="D3582" s="12"/>
      <c r="E3582" s="23"/>
      <c r="F3582" s="17"/>
      <c r="G3582" s="17"/>
      <c r="Z3582" s="22"/>
      <c r="AB3582" s="22"/>
    </row>
    <row r="3583" spans="1:28">
      <c r="A3583" s="19"/>
      <c r="B3583" s="12"/>
      <c r="C3583" s="24"/>
      <c r="D3583" s="12"/>
      <c r="E3583" s="23"/>
      <c r="F3583" s="17"/>
      <c r="G3583" s="17"/>
      <c r="Z3583" s="22"/>
      <c r="AB3583" s="22"/>
    </row>
    <row r="3584" spans="1:28">
      <c r="A3584" s="19"/>
      <c r="B3584" s="12"/>
      <c r="C3584" s="24"/>
      <c r="D3584" s="12"/>
      <c r="E3584" s="23"/>
      <c r="F3584" s="17"/>
      <c r="G3584" s="17"/>
      <c r="Z3584" s="22"/>
      <c r="AB3584" s="22"/>
    </row>
    <row r="3585" spans="1:28">
      <c r="A3585" s="19"/>
      <c r="B3585" s="12"/>
      <c r="C3585" s="24"/>
      <c r="D3585" s="12"/>
      <c r="E3585" s="23"/>
      <c r="F3585" s="17"/>
      <c r="G3585" s="17"/>
      <c r="Z3585" s="22"/>
      <c r="AB3585" s="22"/>
    </row>
    <row r="3586" spans="1:28">
      <c r="A3586" s="19"/>
      <c r="B3586" s="12"/>
      <c r="C3586" s="24"/>
      <c r="D3586" s="12"/>
      <c r="E3586" s="23"/>
      <c r="F3586" s="17"/>
      <c r="G3586" s="17"/>
      <c r="Z3586" s="22"/>
      <c r="AB3586" s="22"/>
    </row>
    <row r="3587" spans="1:28">
      <c r="A3587" s="19"/>
      <c r="B3587" s="12"/>
      <c r="C3587" s="24"/>
      <c r="D3587" s="12"/>
      <c r="E3587" s="23"/>
      <c r="F3587" s="17"/>
      <c r="G3587" s="17"/>
      <c r="Z3587" s="22"/>
      <c r="AB3587" s="22"/>
    </row>
    <row r="3588" spans="1:28">
      <c r="A3588" s="19"/>
      <c r="B3588" s="12"/>
      <c r="C3588" s="24"/>
      <c r="D3588" s="12"/>
      <c r="E3588" s="23"/>
      <c r="F3588" s="17"/>
      <c r="G3588" s="17"/>
      <c r="Z3588" s="22"/>
      <c r="AB3588" s="22"/>
    </row>
    <row r="3589" spans="1:28">
      <c r="A3589" s="19"/>
      <c r="B3589" s="12"/>
      <c r="C3589" s="24"/>
      <c r="D3589" s="12"/>
      <c r="E3589" s="23"/>
      <c r="F3589" s="17"/>
      <c r="G3589" s="17"/>
      <c r="Z3589" s="22"/>
      <c r="AB3589" s="22"/>
    </row>
    <row r="3590" spans="1:28">
      <c r="A3590" s="19"/>
      <c r="B3590" s="12"/>
      <c r="C3590" s="24"/>
      <c r="D3590" s="12"/>
      <c r="E3590" s="23"/>
      <c r="F3590" s="17"/>
      <c r="G3590" s="17"/>
      <c r="Z3590" s="22"/>
      <c r="AB3590" s="22"/>
    </row>
    <row r="3591" spans="1:28">
      <c r="A3591" s="19"/>
      <c r="B3591" s="12"/>
      <c r="C3591" s="24"/>
      <c r="D3591" s="12"/>
      <c r="E3591" s="23"/>
      <c r="F3591" s="17"/>
      <c r="G3591" s="17"/>
      <c r="Z3591" s="22"/>
      <c r="AB3591" s="22"/>
    </row>
    <row r="3592" spans="1:28">
      <c r="A3592" s="19"/>
      <c r="B3592" s="12"/>
      <c r="C3592" s="24"/>
      <c r="D3592" s="12"/>
      <c r="E3592" s="23"/>
      <c r="F3592" s="17"/>
      <c r="G3592" s="17"/>
      <c r="Z3592" s="22"/>
      <c r="AB3592" s="22"/>
    </row>
    <row r="3593" spans="1:28">
      <c r="A3593" s="19"/>
      <c r="B3593" s="12"/>
      <c r="C3593" s="24"/>
      <c r="D3593" s="12"/>
      <c r="E3593" s="23"/>
      <c r="F3593" s="17"/>
      <c r="G3593" s="17"/>
      <c r="Z3593" s="22"/>
      <c r="AB3593" s="22"/>
    </row>
    <row r="3594" spans="1:28">
      <c r="A3594" s="19"/>
      <c r="B3594" s="12"/>
      <c r="C3594" s="24"/>
      <c r="D3594" s="12"/>
      <c r="E3594" s="23"/>
      <c r="F3594" s="17"/>
      <c r="G3594" s="17"/>
      <c r="Z3594" s="22"/>
      <c r="AB3594" s="22"/>
    </row>
    <row r="3595" spans="1:28">
      <c r="A3595" s="19"/>
      <c r="B3595" s="12"/>
      <c r="C3595" s="24"/>
      <c r="D3595" s="12"/>
      <c r="E3595" s="23"/>
      <c r="F3595" s="17"/>
      <c r="G3595" s="17"/>
      <c r="Z3595" s="22"/>
      <c r="AB3595" s="22"/>
    </row>
    <row r="3596" spans="1:28">
      <c r="A3596" s="19"/>
      <c r="B3596" s="12"/>
      <c r="C3596" s="24"/>
      <c r="D3596" s="12"/>
      <c r="E3596" s="23"/>
      <c r="F3596" s="17"/>
      <c r="G3596" s="17"/>
      <c r="Z3596" s="22"/>
      <c r="AB3596" s="22"/>
    </row>
    <row r="3597" spans="1:28">
      <c r="A3597" s="19"/>
      <c r="B3597" s="12"/>
      <c r="C3597" s="24"/>
      <c r="D3597" s="12"/>
      <c r="E3597" s="23"/>
      <c r="F3597" s="17"/>
      <c r="G3597" s="17"/>
      <c r="Z3597" s="22"/>
      <c r="AB3597" s="22"/>
    </row>
    <row r="3598" spans="1:28">
      <c r="A3598" s="19"/>
      <c r="B3598" s="12"/>
      <c r="C3598" s="24"/>
      <c r="D3598" s="12"/>
      <c r="E3598" s="23"/>
      <c r="F3598" s="17"/>
      <c r="G3598" s="17"/>
      <c r="Z3598" s="22"/>
      <c r="AB3598" s="22"/>
    </row>
    <row r="3599" spans="1:28">
      <c r="A3599" s="19"/>
      <c r="B3599" s="12"/>
      <c r="C3599" s="24"/>
      <c r="D3599" s="12"/>
      <c r="E3599" s="23"/>
      <c r="F3599" s="17"/>
      <c r="G3599" s="17"/>
      <c r="Z3599" s="22"/>
      <c r="AB3599" s="22"/>
    </row>
    <row r="3600" spans="1:28">
      <c r="A3600" s="19"/>
      <c r="B3600" s="12"/>
      <c r="C3600" s="24"/>
      <c r="D3600" s="12"/>
      <c r="E3600" s="23"/>
      <c r="F3600" s="17"/>
      <c r="G3600" s="17"/>
      <c r="Z3600" s="22"/>
      <c r="AB3600" s="22"/>
    </row>
    <row r="3601" spans="1:28">
      <c r="A3601" s="19"/>
      <c r="B3601" s="12"/>
      <c r="C3601" s="24"/>
      <c r="D3601" s="12"/>
      <c r="E3601" s="23"/>
      <c r="F3601" s="17"/>
      <c r="G3601" s="17"/>
      <c r="Z3601" s="22"/>
      <c r="AB3601" s="22"/>
    </row>
    <row r="3602" spans="1:28">
      <c r="A3602" s="19"/>
      <c r="B3602" s="12"/>
      <c r="C3602" s="24"/>
      <c r="D3602" s="12"/>
      <c r="E3602" s="23"/>
      <c r="F3602" s="17"/>
      <c r="G3602" s="17"/>
      <c r="Z3602" s="22"/>
      <c r="AB3602" s="22"/>
    </row>
    <row r="3603" spans="1:28">
      <c r="A3603" s="19"/>
      <c r="B3603" s="12"/>
      <c r="C3603" s="24"/>
      <c r="D3603" s="12"/>
      <c r="E3603" s="23"/>
      <c r="F3603" s="17"/>
      <c r="G3603" s="17"/>
      <c r="Z3603" s="22"/>
      <c r="AB3603" s="22"/>
    </row>
    <row r="3604" spans="1:28">
      <c r="A3604" s="19"/>
      <c r="B3604" s="12"/>
      <c r="C3604" s="24"/>
      <c r="D3604" s="12"/>
      <c r="E3604" s="23"/>
      <c r="F3604" s="17"/>
      <c r="G3604" s="17"/>
      <c r="Z3604" s="22"/>
      <c r="AB3604" s="22"/>
    </row>
    <row r="3605" spans="1:28">
      <c r="A3605" s="19"/>
      <c r="B3605" s="12"/>
      <c r="C3605" s="24"/>
      <c r="D3605" s="12"/>
      <c r="E3605" s="23"/>
      <c r="F3605" s="17"/>
      <c r="G3605" s="17"/>
      <c r="Z3605" s="22"/>
      <c r="AB3605" s="22"/>
    </row>
    <row r="3606" spans="1:28">
      <c r="A3606" s="19"/>
      <c r="B3606" s="12"/>
      <c r="C3606" s="24"/>
      <c r="D3606" s="12"/>
      <c r="E3606" s="23"/>
      <c r="F3606" s="17"/>
      <c r="G3606" s="17"/>
      <c r="Z3606" s="22"/>
      <c r="AB3606" s="22"/>
    </row>
    <row r="3607" spans="1:28">
      <c r="A3607" s="19"/>
      <c r="B3607" s="12"/>
      <c r="C3607" s="24"/>
      <c r="D3607" s="12"/>
      <c r="E3607" s="23"/>
      <c r="F3607" s="17"/>
      <c r="G3607" s="17"/>
      <c r="Z3607" s="22"/>
      <c r="AB3607" s="22"/>
    </row>
    <row r="3608" spans="1:28">
      <c r="A3608" s="19"/>
      <c r="B3608" s="12"/>
      <c r="C3608" s="24"/>
      <c r="D3608" s="12"/>
      <c r="E3608" s="23"/>
      <c r="F3608" s="17"/>
      <c r="G3608" s="17"/>
      <c r="Z3608" s="22"/>
      <c r="AB3608" s="22"/>
    </row>
    <row r="3609" spans="1:28">
      <c r="A3609" s="19"/>
      <c r="B3609" s="12"/>
      <c r="C3609" s="24"/>
      <c r="D3609" s="12"/>
      <c r="E3609" s="23"/>
      <c r="F3609" s="17"/>
      <c r="G3609" s="17"/>
      <c r="Z3609" s="22"/>
      <c r="AB3609" s="22"/>
    </row>
    <row r="3610" spans="1:28">
      <c r="A3610" s="19"/>
      <c r="B3610" s="12"/>
      <c r="C3610" s="24"/>
      <c r="D3610" s="12"/>
      <c r="E3610" s="23"/>
      <c r="F3610" s="17"/>
      <c r="G3610" s="17"/>
      <c r="Z3610" s="22"/>
      <c r="AB3610" s="22"/>
    </row>
    <row r="3611" spans="1:28">
      <c r="A3611" s="19"/>
      <c r="B3611" s="12"/>
      <c r="C3611" s="24"/>
      <c r="D3611" s="12"/>
      <c r="E3611" s="23"/>
      <c r="F3611" s="17"/>
      <c r="G3611" s="17"/>
      <c r="Z3611" s="22"/>
      <c r="AB3611" s="22"/>
    </row>
    <row r="3612" spans="1:28">
      <c r="A3612" s="19"/>
      <c r="B3612" s="12"/>
      <c r="C3612" s="24"/>
      <c r="D3612" s="12"/>
      <c r="E3612" s="23"/>
      <c r="F3612" s="17"/>
      <c r="G3612" s="17"/>
      <c r="Z3612" s="22"/>
      <c r="AB3612" s="22"/>
    </row>
    <row r="3613" spans="1:28">
      <c r="A3613" s="19"/>
      <c r="B3613" s="12"/>
      <c r="C3613" s="24"/>
      <c r="D3613" s="12"/>
      <c r="E3613" s="23"/>
      <c r="F3613" s="17"/>
      <c r="G3613" s="17"/>
      <c r="Z3613" s="22"/>
      <c r="AB3613" s="22"/>
    </row>
    <row r="3614" spans="1:28">
      <c r="A3614" s="19"/>
      <c r="B3614" s="12"/>
      <c r="C3614" s="24"/>
      <c r="D3614" s="12"/>
      <c r="E3614" s="23"/>
      <c r="F3614" s="17"/>
      <c r="G3614" s="17"/>
      <c r="Z3614" s="22"/>
      <c r="AB3614" s="22"/>
    </row>
    <row r="3615" spans="1:28">
      <c r="A3615" s="19"/>
      <c r="B3615" s="12"/>
      <c r="C3615" s="24"/>
      <c r="D3615" s="12"/>
      <c r="E3615" s="23"/>
      <c r="F3615" s="17"/>
      <c r="G3615" s="17"/>
      <c r="Z3615" s="22"/>
      <c r="AB3615" s="22"/>
    </row>
    <row r="3616" spans="1:28">
      <c r="A3616" s="19"/>
      <c r="B3616" s="12"/>
      <c r="C3616" s="24"/>
      <c r="D3616" s="12"/>
      <c r="E3616" s="23"/>
      <c r="F3616" s="17"/>
      <c r="G3616" s="17"/>
      <c r="Z3616" s="22"/>
      <c r="AB3616" s="22"/>
    </row>
    <row r="3617" spans="1:28">
      <c r="A3617" s="19"/>
      <c r="B3617" s="12"/>
      <c r="C3617" s="24"/>
      <c r="D3617" s="12"/>
      <c r="E3617" s="23"/>
      <c r="F3617" s="17"/>
      <c r="G3617" s="17"/>
      <c r="Z3617" s="22"/>
      <c r="AB3617" s="22"/>
    </row>
    <row r="3618" spans="1:28">
      <c r="A3618" s="19"/>
      <c r="B3618" s="12"/>
      <c r="C3618" s="24"/>
      <c r="D3618" s="12"/>
      <c r="E3618" s="23"/>
      <c r="F3618" s="17"/>
      <c r="G3618" s="17"/>
      <c r="Z3618" s="22"/>
      <c r="AB3618" s="22"/>
    </row>
    <row r="3619" spans="1:28">
      <c r="A3619" s="19"/>
      <c r="B3619" s="12"/>
      <c r="C3619" s="24"/>
      <c r="D3619" s="12"/>
      <c r="E3619" s="23"/>
      <c r="F3619" s="17"/>
      <c r="G3619" s="17"/>
      <c r="Z3619" s="22"/>
      <c r="AB3619" s="22"/>
    </row>
    <row r="3620" spans="1:28">
      <c r="A3620" s="19"/>
      <c r="B3620" s="12"/>
      <c r="C3620" s="24"/>
      <c r="D3620" s="12"/>
      <c r="E3620" s="23"/>
      <c r="F3620" s="17"/>
      <c r="G3620" s="17"/>
      <c r="Z3620" s="22"/>
      <c r="AB3620" s="22"/>
    </row>
    <row r="3621" spans="1:28">
      <c r="A3621" s="19"/>
      <c r="B3621" s="12"/>
      <c r="C3621" s="24"/>
      <c r="D3621" s="12"/>
      <c r="E3621" s="23"/>
      <c r="F3621" s="17"/>
      <c r="G3621" s="17"/>
      <c r="Z3621" s="22"/>
      <c r="AB3621" s="22"/>
    </row>
    <row r="3622" spans="1:28">
      <c r="A3622" s="19"/>
      <c r="B3622" s="12"/>
      <c r="C3622" s="24"/>
      <c r="D3622" s="12"/>
      <c r="E3622" s="23"/>
      <c r="F3622" s="17"/>
      <c r="G3622" s="17"/>
      <c r="Z3622" s="22"/>
      <c r="AB3622" s="22"/>
    </row>
    <row r="3623" spans="1:28">
      <c r="A3623" s="19"/>
      <c r="B3623" s="12"/>
      <c r="C3623" s="24"/>
      <c r="D3623" s="12"/>
      <c r="E3623" s="23"/>
      <c r="F3623" s="17"/>
      <c r="G3623" s="17"/>
      <c r="Z3623" s="22"/>
      <c r="AB3623" s="22"/>
    </row>
    <row r="3624" spans="1:28">
      <c r="A3624" s="19"/>
      <c r="B3624" s="12"/>
      <c r="C3624" s="24"/>
      <c r="D3624" s="12"/>
      <c r="E3624" s="23"/>
      <c r="F3624" s="17"/>
      <c r="G3624" s="17"/>
      <c r="Z3624" s="22"/>
      <c r="AB3624" s="22"/>
    </row>
    <row r="3625" spans="1:28">
      <c r="A3625" s="19"/>
      <c r="B3625" s="12"/>
      <c r="C3625" s="24"/>
      <c r="D3625" s="12"/>
      <c r="E3625" s="23"/>
      <c r="F3625" s="17"/>
      <c r="G3625" s="17"/>
      <c r="Z3625" s="22"/>
      <c r="AB3625" s="22"/>
    </row>
    <row r="3626" spans="1:28">
      <c r="A3626" s="19"/>
      <c r="B3626" s="12"/>
      <c r="C3626" s="24"/>
      <c r="D3626" s="12"/>
      <c r="E3626" s="23"/>
      <c r="F3626" s="17"/>
      <c r="G3626" s="17"/>
      <c r="Z3626" s="22"/>
      <c r="AB3626" s="22"/>
    </row>
    <row r="3627" spans="1:28">
      <c r="A3627" s="19"/>
      <c r="B3627" s="12"/>
      <c r="C3627" s="24"/>
      <c r="D3627" s="12"/>
      <c r="E3627" s="23"/>
      <c r="F3627" s="17"/>
      <c r="G3627" s="17"/>
      <c r="Z3627" s="22"/>
      <c r="AB3627" s="22"/>
    </row>
    <row r="3628" spans="1:28">
      <c r="A3628" s="19"/>
      <c r="B3628" s="12"/>
      <c r="C3628" s="24"/>
      <c r="D3628" s="12"/>
      <c r="E3628" s="23"/>
      <c r="F3628" s="17"/>
      <c r="G3628" s="17"/>
      <c r="Z3628" s="22"/>
      <c r="AB3628" s="22"/>
    </row>
    <row r="3629" spans="1:28">
      <c r="A3629" s="19"/>
      <c r="B3629" s="12"/>
      <c r="C3629" s="24"/>
      <c r="D3629" s="12"/>
      <c r="E3629" s="23"/>
      <c r="F3629" s="17"/>
      <c r="G3629" s="17"/>
      <c r="Z3629" s="22"/>
      <c r="AB3629" s="22"/>
    </row>
    <row r="3630" spans="1:28">
      <c r="A3630" s="19"/>
      <c r="B3630" s="12"/>
      <c r="C3630" s="24"/>
      <c r="D3630" s="12"/>
      <c r="E3630" s="23"/>
      <c r="F3630" s="17"/>
      <c r="G3630" s="17"/>
      <c r="Z3630" s="22"/>
      <c r="AB3630" s="22"/>
    </row>
    <row r="3631" spans="1:28">
      <c r="A3631" s="19"/>
      <c r="B3631" s="12"/>
      <c r="C3631" s="24"/>
      <c r="D3631" s="12"/>
      <c r="E3631" s="23"/>
      <c r="F3631" s="17"/>
      <c r="G3631" s="17"/>
      <c r="Z3631" s="22"/>
      <c r="AB3631" s="22"/>
    </row>
    <row r="3632" spans="1:28">
      <c r="A3632" s="19"/>
      <c r="B3632" s="12"/>
      <c r="C3632" s="24"/>
      <c r="D3632" s="12"/>
      <c r="E3632" s="23"/>
      <c r="F3632" s="17"/>
      <c r="G3632" s="17"/>
      <c r="Z3632" s="22"/>
      <c r="AB3632" s="22"/>
    </row>
    <row r="3633" spans="1:28">
      <c r="A3633" s="19"/>
      <c r="B3633" s="12"/>
      <c r="C3633" s="24"/>
      <c r="D3633" s="12"/>
      <c r="E3633" s="23"/>
      <c r="F3633" s="17"/>
      <c r="G3633" s="17"/>
      <c r="Z3633" s="22"/>
      <c r="AB3633" s="22"/>
    </row>
    <row r="3634" spans="1:28">
      <c r="A3634" s="19"/>
      <c r="B3634" s="12"/>
      <c r="C3634" s="24"/>
      <c r="D3634" s="12"/>
      <c r="E3634" s="23"/>
      <c r="F3634" s="17"/>
      <c r="G3634" s="17"/>
      <c r="Z3634" s="22"/>
      <c r="AB3634" s="22"/>
    </row>
    <row r="3635" spans="1:28">
      <c r="A3635" s="19"/>
      <c r="B3635" s="12"/>
      <c r="C3635" s="24"/>
      <c r="D3635" s="12"/>
      <c r="E3635" s="23"/>
      <c r="F3635" s="17"/>
      <c r="G3635" s="17"/>
      <c r="Z3635" s="22"/>
      <c r="AB3635" s="22"/>
    </row>
    <row r="3636" spans="1:28">
      <c r="A3636" s="19"/>
      <c r="B3636" s="12"/>
      <c r="C3636" s="24"/>
      <c r="D3636" s="12"/>
      <c r="E3636" s="23"/>
      <c r="F3636" s="17"/>
      <c r="G3636" s="17"/>
      <c r="Z3636" s="22"/>
      <c r="AB3636" s="22"/>
    </row>
    <row r="3637" spans="1:28">
      <c r="A3637" s="19"/>
      <c r="B3637" s="12"/>
      <c r="C3637" s="24"/>
      <c r="D3637" s="12"/>
      <c r="E3637" s="23"/>
      <c r="F3637" s="17"/>
      <c r="G3637" s="17"/>
      <c r="Z3637" s="22"/>
      <c r="AB3637" s="22"/>
    </row>
    <row r="3638" spans="1:28">
      <c r="A3638" s="19"/>
      <c r="B3638" s="12"/>
      <c r="C3638" s="24"/>
      <c r="D3638" s="12"/>
      <c r="E3638" s="23"/>
      <c r="F3638" s="17"/>
      <c r="G3638" s="17"/>
      <c r="Z3638" s="22"/>
      <c r="AB3638" s="22"/>
    </row>
    <row r="3639" spans="1:28">
      <c r="A3639" s="19"/>
      <c r="B3639" s="12"/>
      <c r="C3639" s="24"/>
      <c r="D3639" s="12"/>
      <c r="E3639" s="23"/>
      <c r="F3639" s="17"/>
      <c r="G3639" s="17"/>
      <c r="Z3639" s="22"/>
      <c r="AB3639" s="22"/>
    </row>
    <row r="3640" spans="1:28">
      <c r="A3640" s="19"/>
      <c r="B3640" s="12"/>
      <c r="C3640" s="24"/>
      <c r="D3640" s="12"/>
      <c r="E3640" s="23"/>
      <c r="F3640" s="17"/>
      <c r="G3640" s="17"/>
      <c r="Z3640" s="22"/>
      <c r="AB3640" s="22"/>
    </row>
    <row r="3641" spans="1:28">
      <c r="A3641" s="19"/>
      <c r="B3641" s="12"/>
      <c r="C3641" s="24"/>
      <c r="D3641" s="12"/>
      <c r="E3641" s="23"/>
      <c r="F3641" s="17"/>
      <c r="G3641" s="17"/>
      <c r="Z3641" s="22"/>
      <c r="AB3641" s="22"/>
    </row>
    <row r="3642" spans="1:28">
      <c r="A3642" s="19"/>
      <c r="B3642" s="12"/>
      <c r="C3642" s="24"/>
      <c r="D3642" s="12"/>
      <c r="E3642" s="23"/>
      <c r="F3642" s="17"/>
      <c r="G3642" s="17"/>
      <c r="Z3642" s="22"/>
      <c r="AB3642" s="22"/>
    </row>
    <row r="3643" spans="1:28">
      <c r="A3643" s="19"/>
      <c r="B3643" s="12"/>
      <c r="C3643" s="24"/>
      <c r="D3643" s="12"/>
      <c r="E3643" s="23"/>
      <c r="F3643" s="17"/>
      <c r="G3643" s="17"/>
      <c r="Z3643" s="22"/>
      <c r="AB3643" s="22"/>
    </row>
    <row r="3644" spans="1:28">
      <c r="A3644" s="19"/>
      <c r="B3644" s="12"/>
      <c r="C3644" s="24"/>
      <c r="D3644" s="12"/>
      <c r="E3644" s="23"/>
      <c r="F3644" s="17"/>
      <c r="G3644" s="17"/>
      <c r="Z3644" s="22"/>
      <c r="AB3644" s="22"/>
    </row>
    <row r="3645" spans="1:28">
      <c r="A3645" s="19"/>
      <c r="B3645" s="12"/>
      <c r="C3645" s="24"/>
      <c r="D3645" s="12"/>
      <c r="E3645" s="23"/>
      <c r="F3645" s="17"/>
      <c r="G3645" s="17"/>
      <c r="Z3645" s="22"/>
      <c r="AB3645" s="22"/>
    </row>
    <row r="3646" spans="1:28">
      <c r="A3646" s="19"/>
      <c r="B3646" s="12"/>
      <c r="C3646" s="24"/>
      <c r="D3646" s="12"/>
      <c r="E3646" s="23"/>
      <c r="F3646" s="17"/>
      <c r="G3646" s="17"/>
      <c r="Z3646" s="22"/>
      <c r="AB3646" s="22"/>
    </row>
    <row r="3647" spans="1:28">
      <c r="A3647" s="19"/>
      <c r="B3647" s="12"/>
      <c r="C3647" s="24"/>
      <c r="D3647" s="12"/>
      <c r="E3647" s="23"/>
      <c r="F3647" s="17"/>
      <c r="G3647" s="17"/>
      <c r="Z3647" s="22"/>
      <c r="AB3647" s="22"/>
    </row>
    <row r="3648" spans="1:28">
      <c r="A3648" s="19"/>
      <c r="B3648" s="12"/>
      <c r="C3648" s="24"/>
      <c r="D3648" s="12"/>
      <c r="E3648" s="23"/>
      <c r="F3648" s="17"/>
      <c r="G3648" s="17"/>
      <c r="Z3648" s="22"/>
      <c r="AB3648" s="22"/>
    </row>
    <row r="3649" spans="1:28">
      <c r="A3649" s="19"/>
      <c r="B3649" s="12"/>
      <c r="C3649" s="24"/>
      <c r="D3649" s="12"/>
      <c r="E3649" s="23"/>
      <c r="F3649" s="17"/>
      <c r="G3649" s="17"/>
      <c r="Z3649" s="22"/>
      <c r="AB3649" s="22"/>
    </row>
    <row r="3650" spans="1:28">
      <c r="A3650" s="19"/>
      <c r="B3650" s="12"/>
      <c r="C3650" s="24"/>
      <c r="D3650" s="12"/>
      <c r="E3650" s="23"/>
      <c r="F3650" s="17"/>
      <c r="G3650" s="17"/>
      <c r="Z3650" s="22"/>
      <c r="AB3650" s="22"/>
    </row>
    <row r="3651" spans="1:28">
      <c r="A3651" s="19"/>
      <c r="B3651" s="12"/>
      <c r="C3651" s="24"/>
      <c r="D3651" s="12"/>
      <c r="E3651" s="23"/>
      <c r="F3651" s="17"/>
      <c r="G3651" s="17"/>
      <c r="Z3651" s="22"/>
      <c r="AB3651" s="22"/>
    </row>
    <row r="3652" spans="1:28">
      <c r="A3652" s="19"/>
      <c r="B3652" s="12"/>
      <c r="C3652" s="24"/>
      <c r="D3652" s="12"/>
      <c r="E3652" s="23"/>
      <c r="F3652" s="17"/>
      <c r="G3652" s="17"/>
      <c r="Z3652" s="22"/>
      <c r="AB3652" s="22"/>
    </row>
    <row r="3653" spans="1:28">
      <c r="A3653" s="19"/>
      <c r="B3653" s="12"/>
      <c r="C3653" s="24"/>
      <c r="D3653" s="12"/>
      <c r="E3653" s="23"/>
      <c r="F3653" s="17"/>
      <c r="G3653" s="17"/>
      <c r="Z3653" s="22"/>
      <c r="AB3653" s="22"/>
    </row>
    <row r="3654" spans="1:28">
      <c r="A3654" s="19"/>
      <c r="B3654" s="12"/>
      <c r="C3654" s="24"/>
      <c r="D3654" s="12"/>
      <c r="E3654" s="23"/>
      <c r="F3654" s="17"/>
      <c r="G3654" s="17"/>
      <c r="Z3654" s="22"/>
      <c r="AB3654" s="22"/>
    </row>
    <row r="3655" spans="1:28">
      <c r="A3655" s="19"/>
      <c r="B3655" s="12"/>
      <c r="C3655" s="24"/>
      <c r="D3655" s="12"/>
      <c r="E3655" s="23"/>
      <c r="F3655" s="17"/>
      <c r="G3655" s="17"/>
      <c r="Z3655" s="22"/>
      <c r="AB3655" s="22"/>
    </row>
    <row r="3656" spans="1:28">
      <c r="A3656" s="19"/>
      <c r="B3656" s="12"/>
      <c r="C3656" s="24"/>
      <c r="D3656" s="12"/>
      <c r="E3656" s="23"/>
      <c r="F3656" s="17"/>
      <c r="G3656" s="17"/>
      <c r="Z3656" s="22"/>
      <c r="AB3656" s="22"/>
    </row>
    <row r="3657" spans="1:28">
      <c r="A3657" s="19"/>
      <c r="B3657" s="12"/>
      <c r="C3657" s="24"/>
      <c r="D3657" s="12"/>
      <c r="E3657" s="23"/>
      <c r="F3657" s="17"/>
      <c r="G3657" s="17"/>
      <c r="Z3657" s="22"/>
      <c r="AB3657" s="22"/>
    </row>
    <row r="3658" spans="1:28">
      <c r="A3658" s="19"/>
      <c r="B3658" s="12"/>
      <c r="C3658" s="24"/>
      <c r="D3658" s="12"/>
      <c r="E3658" s="23"/>
      <c r="F3658" s="17"/>
      <c r="G3658" s="17"/>
      <c r="Z3658" s="22"/>
      <c r="AB3658" s="22"/>
    </row>
    <row r="3659" spans="1:28">
      <c r="A3659" s="19"/>
      <c r="B3659" s="12"/>
      <c r="C3659" s="24"/>
      <c r="D3659" s="12"/>
      <c r="E3659" s="23"/>
      <c r="F3659" s="17"/>
      <c r="G3659" s="17"/>
      <c r="Z3659" s="22"/>
      <c r="AB3659" s="22"/>
    </row>
    <row r="3660" spans="1:28">
      <c r="A3660" s="19"/>
      <c r="B3660" s="12"/>
      <c r="C3660" s="24"/>
      <c r="D3660" s="12"/>
      <c r="E3660" s="23"/>
      <c r="F3660" s="17"/>
      <c r="G3660" s="17"/>
      <c r="Z3660" s="22"/>
      <c r="AB3660" s="22"/>
    </row>
    <row r="3661" spans="1:28">
      <c r="A3661" s="19"/>
      <c r="B3661" s="12"/>
      <c r="C3661" s="24"/>
      <c r="D3661" s="12"/>
      <c r="E3661" s="23"/>
      <c r="F3661" s="17"/>
      <c r="G3661" s="17"/>
      <c r="Z3661" s="22"/>
      <c r="AB3661" s="22"/>
    </row>
    <row r="3662" spans="1:28">
      <c r="A3662" s="19"/>
      <c r="B3662" s="12"/>
      <c r="C3662" s="24"/>
      <c r="D3662" s="12"/>
      <c r="E3662" s="23"/>
      <c r="F3662" s="17"/>
      <c r="G3662" s="17"/>
      <c r="Z3662" s="22"/>
      <c r="AB3662" s="22"/>
    </row>
    <row r="3663" spans="1:28">
      <c r="A3663" s="19"/>
      <c r="B3663" s="12"/>
      <c r="C3663" s="24"/>
      <c r="D3663" s="12"/>
      <c r="E3663" s="23"/>
      <c r="F3663" s="17"/>
      <c r="G3663" s="17"/>
      <c r="Z3663" s="22"/>
      <c r="AB3663" s="22"/>
    </row>
    <row r="3664" spans="1:28">
      <c r="A3664" s="19"/>
      <c r="B3664" s="12"/>
      <c r="C3664" s="24"/>
      <c r="D3664" s="12"/>
      <c r="E3664" s="23"/>
      <c r="F3664" s="17"/>
      <c r="G3664" s="17"/>
      <c r="Z3664" s="22"/>
      <c r="AB3664" s="22"/>
    </row>
    <row r="3665" spans="1:28">
      <c r="A3665" s="19"/>
      <c r="B3665" s="12"/>
      <c r="C3665" s="24"/>
      <c r="D3665" s="12"/>
      <c r="E3665" s="23"/>
      <c r="F3665" s="17"/>
      <c r="G3665" s="17"/>
      <c r="Z3665" s="22"/>
      <c r="AB3665" s="22"/>
    </row>
    <row r="3666" spans="1:28">
      <c r="A3666" s="19"/>
      <c r="B3666" s="12"/>
      <c r="C3666" s="24"/>
      <c r="D3666" s="12"/>
      <c r="E3666" s="23"/>
      <c r="F3666" s="17"/>
      <c r="G3666" s="17"/>
      <c r="Z3666" s="22"/>
      <c r="AB3666" s="22"/>
    </row>
    <row r="3667" spans="1:28">
      <c r="A3667" s="19"/>
      <c r="B3667" s="12"/>
      <c r="C3667" s="24"/>
      <c r="D3667" s="12"/>
      <c r="E3667" s="23"/>
      <c r="F3667" s="17"/>
      <c r="G3667" s="17"/>
      <c r="Z3667" s="22"/>
      <c r="AB3667" s="22"/>
    </row>
    <row r="3668" spans="1:28">
      <c r="A3668" s="19"/>
      <c r="B3668" s="12"/>
      <c r="C3668" s="24"/>
      <c r="D3668" s="12"/>
      <c r="E3668" s="23"/>
      <c r="F3668" s="17"/>
      <c r="G3668" s="17"/>
      <c r="Z3668" s="22"/>
      <c r="AB3668" s="22"/>
    </row>
    <row r="3669" spans="1:28">
      <c r="A3669" s="19"/>
      <c r="B3669" s="12"/>
      <c r="C3669" s="24"/>
      <c r="D3669" s="12"/>
      <c r="E3669" s="23"/>
      <c r="F3669" s="17"/>
      <c r="G3669" s="17"/>
      <c r="Z3669" s="22"/>
      <c r="AB3669" s="22"/>
    </row>
    <row r="3670" spans="1:28">
      <c r="A3670" s="19"/>
      <c r="B3670" s="12"/>
      <c r="C3670" s="24"/>
      <c r="D3670" s="12"/>
      <c r="E3670" s="23"/>
      <c r="F3670" s="17"/>
      <c r="G3670" s="17"/>
      <c r="Z3670" s="22"/>
      <c r="AB3670" s="22"/>
    </row>
    <row r="3671" spans="1:28">
      <c r="A3671" s="19"/>
      <c r="B3671" s="12"/>
      <c r="C3671" s="24"/>
      <c r="D3671" s="12"/>
      <c r="E3671" s="23"/>
      <c r="F3671" s="17"/>
      <c r="G3671" s="17"/>
      <c r="Z3671" s="22"/>
      <c r="AB3671" s="22"/>
    </row>
    <row r="3672" spans="1:28">
      <c r="A3672" s="19"/>
      <c r="B3672" s="12"/>
      <c r="C3672" s="24"/>
      <c r="D3672" s="12"/>
      <c r="E3672" s="23"/>
      <c r="F3672" s="17"/>
      <c r="G3672" s="17"/>
      <c r="Z3672" s="22"/>
      <c r="AB3672" s="22"/>
    </row>
    <row r="3673" spans="1:28">
      <c r="A3673" s="19"/>
      <c r="B3673" s="12"/>
      <c r="C3673" s="24"/>
      <c r="D3673" s="12"/>
      <c r="E3673" s="23"/>
      <c r="F3673" s="17"/>
      <c r="G3673" s="17"/>
      <c r="Z3673" s="22"/>
      <c r="AB3673" s="22"/>
    </row>
    <row r="3674" spans="1:28">
      <c r="A3674" s="19"/>
      <c r="B3674" s="12"/>
      <c r="C3674" s="24"/>
      <c r="D3674" s="12"/>
      <c r="E3674" s="23"/>
      <c r="F3674" s="17"/>
      <c r="G3674" s="17"/>
      <c r="Z3674" s="22"/>
      <c r="AB3674" s="22"/>
    </row>
    <row r="3675" spans="1:28">
      <c r="A3675" s="19"/>
      <c r="B3675" s="12"/>
      <c r="C3675" s="24"/>
      <c r="D3675" s="12"/>
      <c r="E3675" s="23"/>
      <c r="F3675" s="17"/>
      <c r="G3675" s="17"/>
      <c r="Z3675" s="22"/>
      <c r="AB3675" s="22"/>
    </row>
    <row r="3676" spans="1:28">
      <c r="A3676" s="19"/>
      <c r="B3676" s="12"/>
      <c r="C3676" s="24"/>
      <c r="D3676" s="12"/>
      <c r="E3676" s="23"/>
      <c r="F3676" s="17"/>
      <c r="G3676" s="17"/>
      <c r="Z3676" s="22"/>
      <c r="AB3676" s="22"/>
    </row>
    <row r="3677" spans="1:28">
      <c r="A3677" s="19"/>
      <c r="B3677" s="12"/>
      <c r="C3677" s="24"/>
      <c r="D3677" s="12"/>
      <c r="E3677" s="23"/>
      <c r="F3677" s="17"/>
      <c r="G3677" s="17"/>
      <c r="Z3677" s="22"/>
      <c r="AB3677" s="22"/>
    </row>
    <row r="3678" spans="1:28">
      <c r="A3678" s="19"/>
      <c r="B3678" s="12"/>
      <c r="C3678" s="24"/>
      <c r="D3678" s="12"/>
      <c r="E3678" s="23"/>
      <c r="F3678" s="17"/>
      <c r="G3678" s="17"/>
      <c r="Z3678" s="22"/>
      <c r="AB3678" s="22"/>
    </row>
    <row r="3679" spans="1:28">
      <c r="A3679" s="19"/>
      <c r="B3679" s="12"/>
      <c r="C3679" s="24"/>
      <c r="D3679" s="12"/>
      <c r="E3679" s="23"/>
      <c r="F3679" s="17"/>
      <c r="G3679" s="17"/>
      <c r="Z3679" s="22"/>
      <c r="AB3679" s="22"/>
    </row>
    <row r="3680" spans="1:28">
      <c r="A3680" s="19"/>
      <c r="B3680" s="12"/>
      <c r="C3680" s="24"/>
      <c r="D3680" s="12"/>
      <c r="E3680" s="23"/>
      <c r="F3680" s="17"/>
      <c r="G3680" s="17"/>
      <c r="Z3680" s="22"/>
      <c r="AB3680" s="22"/>
    </row>
    <row r="3681" spans="1:28">
      <c r="A3681" s="19"/>
      <c r="B3681" s="12"/>
      <c r="C3681" s="24"/>
      <c r="D3681" s="12"/>
      <c r="E3681" s="23"/>
      <c r="F3681" s="17"/>
      <c r="G3681" s="17"/>
      <c r="Z3681" s="22"/>
      <c r="AB3681" s="22"/>
    </row>
    <row r="3682" spans="1:28">
      <c r="A3682" s="19"/>
      <c r="B3682" s="12"/>
      <c r="C3682" s="24"/>
      <c r="D3682" s="12"/>
      <c r="E3682" s="23"/>
      <c r="F3682" s="17"/>
      <c r="G3682" s="17"/>
      <c r="Z3682" s="22"/>
      <c r="AB3682" s="22"/>
    </row>
    <row r="3683" spans="1:28">
      <c r="A3683" s="19"/>
      <c r="B3683" s="12"/>
      <c r="C3683" s="24"/>
      <c r="D3683" s="12"/>
      <c r="E3683" s="23"/>
      <c r="F3683" s="17"/>
      <c r="G3683" s="17"/>
      <c r="Z3683" s="22"/>
      <c r="AB3683" s="22"/>
    </row>
    <row r="3684" spans="1:28">
      <c r="A3684" s="19"/>
      <c r="B3684" s="12"/>
      <c r="C3684" s="24"/>
      <c r="D3684" s="12"/>
      <c r="E3684" s="23"/>
      <c r="F3684" s="17"/>
      <c r="G3684" s="17"/>
      <c r="Z3684" s="22"/>
      <c r="AB3684" s="22"/>
    </row>
    <row r="3685" spans="1:28">
      <c r="A3685" s="19"/>
      <c r="B3685" s="12"/>
      <c r="C3685" s="24"/>
      <c r="D3685" s="12"/>
      <c r="E3685" s="23"/>
      <c r="F3685" s="17"/>
      <c r="G3685" s="17"/>
      <c r="Z3685" s="22"/>
      <c r="AB3685" s="22"/>
    </row>
    <row r="3686" spans="1:28">
      <c r="A3686" s="19"/>
      <c r="B3686" s="12"/>
      <c r="C3686" s="24"/>
      <c r="D3686" s="12"/>
      <c r="E3686" s="23"/>
      <c r="F3686" s="17"/>
      <c r="G3686" s="17"/>
      <c r="Z3686" s="22"/>
      <c r="AB3686" s="22"/>
    </row>
    <row r="3687" spans="1:28">
      <c r="A3687" s="19"/>
      <c r="B3687" s="12"/>
      <c r="C3687" s="24"/>
      <c r="D3687" s="12"/>
      <c r="E3687" s="23"/>
      <c r="F3687" s="17"/>
      <c r="G3687" s="17"/>
      <c r="Z3687" s="22"/>
      <c r="AB3687" s="22"/>
    </row>
    <row r="3688" spans="1:28">
      <c r="A3688" s="19"/>
      <c r="B3688" s="12"/>
      <c r="C3688" s="24"/>
      <c r="D3688" s="12"/>
      <c r="E3688" s="23"/>
      <c r="F3688" s="17"/>
      <c r="G3688" s="17"/>
      <c r="Z3688" s="22"/>
      <c r="AB3688" s="22"/>
    </row>
    <row r="3689" spans="1:28">
      <c r="A3689" s="19"/>
      <c r="B3689" s="12"/>
      <c r="C3689" s="24"/>
      <c r="D3689" s="12"/>
      <c r="E3689" s="23"/>
      <c r="F3689" s="17"/>
      <c r="G3689" s="17"/>
      <c r="Z3689" s="22"/>
      <c r="AB3689" s="22"/>
    </row>
    <row r="3690" spans="1:28">
      <c r="A3690" s="19"/>
      <c r="B3690" s="12"/>
      <c r="C3690" s="24"/>
      <c r="D3690" s="12"/>
      <c r="E3690" s="23"/>
      <c r="F3690" s="17"/>
      <c r="G3690" s="17"/>
      <c r="Z3690" s="22"/>
      <c r="AB3690" s="22"/>
    </row>
    <row r="3691" spans="1:28">
      <c r="A3691" s="19"/>
      <c r="B3691" s="12"/>
      <c r="C3691" s="24"/>
      <c r="D3691" s="12"/>
      <c r="E3691" s="23"/>
      <c r="F3691" s="17"/>
      <c r="G3691" s="17"/>
      <c r="Z3691" s="22"/>
      <c r="AB3691" s="22"/>
    </row>
    <row r="3692" spans="1:28">
      <c r="A3692" s="19"/>
      <c r="B3692" s="12"/>
      <c r="C3692" s="24"/>
      <c r="D3692" s="12"/>
      <c r="E3692" s="23"/>
      <c r="F3692" s="17"/>
      <c r="G3692" s="17"/>
      <c r="Z3692" s="22"/>
      <c r="AB3692" s="22"/>
    </row>
    <row r="3693" spans="1:28">
      <c r="A3693" s="19"/>
      <c r="B3693" s="12"/>
      <c r="C3693" s="24"/>
      <c r="D3693" s="12"/>
      <c r="E3693" s="23"/>
      <c r="F3693" s="17"/>
      <c r="G3693" s="17"/>
      <c r="Z3693" s="22"/>
      <c r="AB3693" s="22"/>
    </row>
    <row r="3694" spans="1:28">
      <c r="A3694" s="19"/>
      <c r="B3694" s="12"/>
      <c r="C3694" s="24"/>
      <c r="D3694" s="12"/>
      <c r="E3694" s="23"/>
      <c r="F3694" s="17"/>
      <c r="G3694" s="17"/>
      <c r="Z3694" s="22"/>
      <c r="AB3694" s="22"/>
    </row>
    <row r="3695" spans="1:28">
      <c r="A3695" s="19"/>
      <c r="B3695" s="12"/>
      <c r="C3695" s="24"/>
      <c r="D3695" s="12"/>
      <c r="E3695" s="23"/>
      <c r="F3695" s="17"/>
      <c r="G3695" s="17"/>
      <c r="Z3695" s="22"/>
      <c r="AB3695" s="22"/>
    </row>
    <row r="3696" spans="1:28">
      <c r="A3696" s="19"/>
      <c r="B3696" s="12"/>
      <c r="C3696" s="24"/>
      <c r="D3696" s="12"/>
      <c r="E3696" s="23"/>
      <c r="F3696" s="17"/>
      <c r="G3696" s="17"/>
      <c r="Z3696" s="22"/>
      <c r="AB3696" s="22"/>
    </row>
    <row r="3697" spans="1:28">
      <c r="A3697" s="19"/>
      <c r="B3697" s="12"/>
      <c r="C3697" s="24"/>
      <c r="D3697" s="12"/>
      <c r="E3697" s="23"/>
      <c r="F3697" s="17"/>
      <c r="G3697" s="17"/>
      <c r="Z3697" s="22"/>
      <c r="AB3697" s="22"/>
    </row>
    <row r="3698" spans="1:28">
      <c r="A3698" s="19"/>
      <c r="B3698" s="12"/>
      <c r="C3698" s="24"/>
      <c r="D3698" s="12"/>
      <c r="E3698" s="23"/>
      <c r="F3698" s="17"/>
      <c r="G3698" s="17"/>
      <c r="Z3698" s="22"/>
      <c r="AB3698" s="22"/>
    </row>
    <row r="3699" spans="1:28">
      <c r="A3699" s="19"/>
      <c r="B3699" s="12"/>
      <c r="C3699" s="24"/>
      <c r="D3699" s="12"/>
      <c r="E3699" s="23"/>
      <c r="F3699" s="17"/>
      <c r="G3699" s="17"/>
      <c r="Z3699" s="22"/>
      <c r="AB3699" s="22"/>
    </row>
    <row r="3700" spans="1:28">
      <c r="A3700" s="19"/>
      <c r="B3700" s="12"/>
      <c r="C3700" s="24"/>
      <c r="D3700" s="12"/>
      <c r="E3700" s="23"/>
      <c r="F3700" s="17"/>
      <c r="G3700" s="17"/>
      <c r="Z3700" s="22"/>
      <c r="AB3700" s="22"/>
    </row>
    <row r="3701" spans="1:28">
      <c r="A3701" s="19"/>
      <c r="B3701" s="12"/>
      <c r="C3701" s="24"/>
      <c r="D3701" s="12"/>
      <c r="E3701" s="23"/>
      <c r="F3701" s="17"/>
      <c r="G3701" s="17"/>
      <c r="Z3701" s="22"/>
      <c r="AB3701" s="22"/>
    </row>
    <row r="3702" spans="1:28">
      <c r="A3702" s="19"/>
      <c r="B3702" s="12"/>
      <c r="C3702" s="24"/>
      <c r="D3702" s="12"/>
      <c r="E3702" s="23"/>
      <c r="F3702" s="17"/>
      <c r="G3702" s="17"/>
      <c r="Z3702" s="22"/>
      <c r="AB3702" s="22"/>
    </row>
    <row r="3703" spans="1:28">
      <c r="A3703" s="19"/>
      <c r="B3703" s="12"/>
      <c r="C3703" s="24"/>
      <c r="D3703" s="12"/>
      <c r="E3703" s="23"/>
      <c r="F3703" s="17"/>
      <c r="G3703" s="17"/>
      <c r="Z3703" s="22"/>
      <c r="AB3703" s="22"/>
    </row>
    <row r="3704" spans="1:28">
      <c r="A3704" s="19"/>
      <c r="B3704" s="12"/>
      <c r="C3704" s="24"/>
      <c r="D3704" s="12"/>
      <c r="E3704" s="23"/>
      <c r="F3704" s="17"/>
      <c r="G3704" s="17"/>
      <c r="Z3704" s="22"/>
      <c r="AB3704" s="22"/>
    </row>
    <row r="3705" spans="1:28">
      <c r="A3705" s="19"/>
      <c r="B3705" s="12"/>
      <c r="C3705" s="24"/>
      <c r="D3705" s="12"/>
      <c r="E3705" s="23"/>
      <c r="F3705" s="17"/>
      <c r="G3705" s="17"/>
      <c r="Z3705" s="22"/>
      <c r="AB3705" s="22"/>
    </row>
    <row r="3706" spans="1:28">
      <c r="A3706" s="19"/>
      <c r="B3706" s="12"/>
      <c r="C3706" s="24"/>
      <c r="D3706" s="12"/>
      <c r="E3706" s="23"/>
      <c r="F3706" s="17"/>
      <c r="G3706" s="17"/>
      <c r="Z3706" s="22"/>
      <c r="AB3706" s="22"/>
    </row>
    <row r="3707" spans="1:28">
      <c r="A3707" s="19"/>
      <c r="B3707" s="12"/>
      <c r="C3707" s="24"/>
      <c r="D3707" s="12"/>
      <c r="E3707" s="23"/>
      <c r="F3707" s="17"/>
      <c r="G3707" s="17"/>
      <c r="Z3707" s="22"/>
      <c r="AB3707" s="22"/>
    </row>
    <row r="3708" spans="1:28">
      <c r="A3708" s="19"/>
      <c r="B3708" s="12"/>
      <c r="C3708" s="24"/>
      <c r="D3708" s="12"/>
      <c r="E3708" s="23"/>
      <c r="F3708" s="17"/>
      <c r="G3708" s="17"/>
      <c r="Z3708" s="22"/>
      <c r="AB3708" s="22"/>
    </row>
    <row r="3709" spans="1:28">
      <c r="A3709" s="19"/>
      <c r="B3709" s="12"/>
      <c r="C3709" s="24"/>
      <c r="D3709" s="12"/>
      <c r="E3709" s="23"/>
      <c r="F3709" s="17"/>
      <c r="G3709" s="17"/>
      <c r="Z3709" s="22"/>
      <c r="AB3709" s="22"/>
    </row>
    <row r="3710" spans="1:28">
      <c r="A3710" s="19"/>
      <c r="B3710" s="12"/>
      <c r="C3710" s="24"/>
      <c r="D3710" s="12"/>
      <c r="E3710" s="23"/>
      <c r="F3710" s="17"/>
      <c r="G3710" s="17"/>
      <c r="Z3710" s="22"/>
      <c r="AB3710" s="22"/>
    </row>
    <row r="3711" spans="1:28">
      <c r="A3711" s="19"/>
      <c r="B3711" s="12"/>
      <c r="C3711" s="24"/>
      <c r="D3711" s="12"/>
      <c r="E3711" s="23"/>
      <c r="F3711" s="17"/>
      <c r="G3711" s="17"/>
      <c r="Z3711" s="22"/>
      <c r="AB3711" s="22"/>
    </row>
    <row r="3712" spans="1:28">
      <c r="A3712" s="19"/>
      <c r="B3712" s="12"/>
      <c r="C3712" s="24"/>
      <c r="D3712" s="12"/>
      <c r="E3712" s="23"/>
      <c r="F3712" s="17"/>
      <c r="G3712" s="17"/>
      <c r="Z3712" s="22"/>
      <c r="AB3712" s="22"/>
    </row>
    <row r="3713" spans="1:28">
      <c r="A3713" s="19"/>
      <c r="B3713" s="12"/>
      <c r="C3713" s="24"/>
      <c r="D3713" s="12"/>
      <c r="E3713" s="23"/>
      <c r="F3713" s="17"/>
      <c r="G3713" s="17"/>
      <c r="Z3713" s="22"/>
      <c r="AB3713" s="22"/>
    </row>
    <row r="3714" spans="1:28">
      <c r="A3714" s="19"/>
      <c r="B3714" s="12"/>
      <c r="C3714" s="24"/>
      <c r="D3714" s="12"/>
      <c r="E3714" s="23"/>
      <c r="F3714" s="17"/>
      <c r="G3714" s="17"/>
      <c r="Z3714" s="22"/>
      <c r="AB3714" s="22"/>
    </row>
    <row r="3715" spans="1:28">
      <c r="A3715" s="19"/>
      <c r="B3715" s="12"/>
      <c r="C3715" s="24"/>
      <c r="D3715" s="12"/>
      <c r="E3715" s="23"/>
      <c r="F3715" s="17"/>
      <c r="G3715" s="17"/>
      <c r="Z3715" s="22"/>
      <c r="AB3715" s="22"/>
    </row>
    <row r="3716" spans="1:28">
      <c r="A3716" s="19"/>
      <c r="B3716" s="12"/>
      <c r="C3716" s="24"/>
      <c r="D3716" s="12"/>
      <c r="E3716" s="23"/>
      <c r="F3716" s="17"/>
      <c r="G3716" s="17"/>
      <c r="Z3716" s="22"/>
      <c r="AB3716" s="22"/>
    </row>
    <row r="3717" spans="1:28">
      <c r="A3717" s="19"/>
      <c r="B3717" s="12"/>
      <c r="C3717" s="24"/>
      <c r="D3717" s="12"/>
      <c r="E3717" s="23"/>
      <c r="F3717" s="17"/>
      <c r="G3717" s="17"/>
      <c r="Z3717" s="22"/>
      <c r="AB3717" s="22"/>
    </row>
    <row r="3718" spans="1:28">
      <c r="A3718" s="19"/>
      <c r="B3718" s="12"/>
      <c r="C3718" s="24"/>
      <c r="D3718" s="12"/>
      <c r="E3718" s="23"/>
      <c r="F3718" s="17"/>
      <c r="G3718" s="17"/>
      <c r="Z3718" s="22"/>
      <c r="AB3718" s="22"/>
    </row>
    <row r="3719" spans="1:28">
      <c r="A3719" s="19"/>
      <c r="B3719" s="12"/>
      <c r="C3719" s="24"/>
      <c r="D3719" s="12"/>
      <c r="E3719" s="23"/>
      <c r="F3719" s="17"/>
      <c r="G3719" s="17"/>
      <c r="Z3719" s="22"/>
      <c r="AB3719" s="22"/>
    </row>
    <row r="3720" spans="1:28">
      <c r="A3720" s="19"/>
      <c r="B3720" s="12"/>
      <c r="C3720" s="24"/>
      <c r="D3720" s="12"/>
      <c r="E3720" s="23"/>
      <c r="F3720" s="17"/>
      <c r="G3720" s="17"/>
      <c r="Z3720" s="22"/>
      <c r="AB3720" s="22"/>
    </row>
    <row r="3721" spans="1:28">
      <c r="A3721" s="19"/>
      <c r="B3721" s="12"/>
      <c r="C3721" s="24"/>
      <c r="D3721" s="12"/>
      <c r="E3721" s="23"/>
      <c r="F3721" s="17"/>
      <c r="G3721" s="17"/>
      <c r="Z3721" s="22"/>
      <c r="AB3721" s="22"/>
    </row>
    <row r="3722" spans="1:28">
      <c r="A3722" s="19"/>
      <c r="B3722" s="12"/>
      <c r="C3722" s="24"/>
      <c r="D3722" s="12"/>
      <c r="E3722" s="23"/>
      <c r="F3722" s="17"/>
      <c r="G3722" s="17"/>
      <c r="Z3722" s="22"/>
      <c r="AB3722" s="22"/>
    </row>
    <row r="3723" spans="1:28">
      <c r="A3723" s="19"/>
      <c r="B3723" s="12"/>
      <c r="C3723" s="24"/>
      <c r="D3723" s="12"/>
      <c r="E3723" s="23"/>
      <c r="F3723" s="17"/>
      <c r="G3723" s="17"/>
      <c r="Z3723" s="22"/>
      <c r="AB3723" s="22"/>
    </row>
    <row r="3724" spans="1:28">
      <c r="A3724" s="19"/>
      <c r="B3724" s="12"/>
      <c r="C3724" s="24"/>
      <c r="D3724" s="12"/>
      <c r="E3724" s="23"/>
      <c r="F3724" s="17"/>
      <c r="G3724" s="17"/>
      <c r="Z3724" s="22"/>
      <c r="AB3724" s="22"/>
    </row>
    <row r="3725" spans="1:28">
      <c r="A3725" s="19"/>
      <c r="B3725" s="12"/>
      <c r="C3725" s="24"/>
      <c r="D3725" s="12"/>
      <c r="E3725" s="23"/>
      <c r="F3725" s="17"/>
      <c r="G3725" s="17"/>
      <c r="Z3725" s="22"/>
      <c r="AB3725" s="22"/>
    </row>
    <row r="3726" spans="1:28">
      <c r="A3726" s="19"/>
      <c r="B3726" s="12"/>
      <c r="C3726" s="24"/>
      <c r="D3726" s="12"/>
      <c r="E3726" s="23"/>
      <c r="F3726" s="17"/>
      <c r="G3726" s="17"/>
      <c r="Z3726" s="22"/>
      <c r="AB3726" s="22"/>
    </row>
    <row r="3727" spans="1:28">
      <c r="A3727" s="19"/>
      <c r="B3727" s="12"/>
      <c r="C3727" s="24"/>
      <c r="D3727" s="12"/>
      <c r="E3727" s="23"/>
      <c r="F3727" s="17"/>
      <c r="G3727" s="17"/>
      <c r="Z3727" s="22"/>
      <c r="AB3727" s="22"/>
    </row>
    <row r="3728" spans="1:28">
      <c r="A3728" s="19"/>
      <c r="B3728" s="12"/>
      <c r="C3728" s="24"/>
      <c r="D3728" s="12"/>
      <c r="E3728" s="23"/>
      <c r="F3728" s="17"/>
      <c r="G3728" s="17"/>
      <c r="Z3728" s="22"/>
      <c r="AB3728" s="22"/>
    </row>
    <row r="3729" spans="1:28">
      <c r="A3729" s="19"/>
      <c r="B3729" s="12"/>
      <c r="C3729" s="24"/>
      <c r="D3729" s="12"/>
      <c r="E3729" s="23"/>
      <c r="F3729" s="17"/>
      <c r="G3729" s="17"/>
      <c r="Z3729" s="22"/>
      <c r="AB3729" s="22"/>
    </row>
    <row r="3730" spans="1:28">
      <c r="A3730" s="19"/>
      <c r="B3730" s="12"/>
      <c r="C3730" s="24"/>
      <c r="D3730" s="12"/>
      <c r="E3730" s="23"/>
      <c r="F3730" s="17"/>
      <c r="G3730" s="17"/>
      <c r="Z3730" s="22"/>
      <c r="AB3730" s="22"/>
    </row>
    <row r="3731" spans="1:28">
      <c r="A3731" s="19"/>
      <c r="B3731" s="12"/>
      <c r="C3731" s="24"/>
      <c r="D3731" s="12"/>
      <c r="E3731" s="23"/>
      <c r="F3731" s="17"/>
      <c r="G3731" s="17"/>
      <c r="Z3731" s="22"/>
      <c r="AB3731" s="22"/>
    </row>
    <row r="3732" spans="1:28">
      <c r="A3732" s="19"/>
      <c r="B3732" s="12"/>
      <c r="C3732" s="24"/>
      <c r="D3732" s="12"/>
      <c r="E3732" s="23"/>
      <c r="F3732" s="17"/>
      <c r="G3732" s="17"/>
      <c r="Z3732" s="22"/>
      <c r="AB3732" s="22"/>
    </row>
    <row r="3733" spans="1:28">
      <c r="A3733" s="19"/>
      <c r="B3733" s="12"/>
      <c r="C3733" s="24"/>
      <c r="D3733" s="12"/>
      <c r="E3733" s="23"/>
      <c r="F3733" s="17"/>
      <c r="G3733" s="17"/>
      <c r="Z3733" s="22"/>
      <c r="AB3733" s="22"/>
    </row>
    <row r="3734" spans="1:28">
      <c r="A3734" s="19"/>
      <c r="B3734" s="12"/>
      <c r="C3734" s="24"/>
      <c r="D3734" s="12"/>
      <c r="E3734" s="23"/>
      <c r="F3734" s="17"/>
      <c r="G3734" s="17"/>
      <c r="Z3734" s="22"/>
      <c r="AB3734" s="22"/>
    </row>
    <row r="3735" spans="1:28">
      <c r="A3735" s="19"/>
      <c r="B3735" s="12"/>
      <c r="C3735" s="24"/>
      <c r="D3735" s="12"/>
      <c r="E3735" s="23"/>
      <c r="F3735" s="17"/>
      <c r="G3735" s="17"/>
      <c r="Z3735" s="22"/>
      <c r="AB3735" s="22"/>
    </row>
    <row r="3736" spans="1:28">
      <c r="A3736" s="19"/>
      <c r="B3736" s="12"/>
      <c r="C3736" s="24"/>
      <c r="D3736" s="12"/>
      <c r="E3736" s="23"/>
      <c r="F3736" s="17"/>
      <c r="G3736" s="17"/>
      <c r="Z3736" s="22"/>
      <c r="AB3736" s="22"/>
    </row>
    <row r="3737" spans="1:28">
      <c r="A3737" s="19"/>
      <c r="B3737" s="12"/>
      <c r="C3737" s="24"/>
      <c r="D3737" s="12"/>
      <c r="E3737" s="23"/>
      <c r="F3737" s="17"/>
      <c r="G3737" s="17"/>
      <c r="Z3737" s="22"/>
      <c r="AB3737" s="22"/>
    </row>
    <row r="3738" spans="1:28">
      <c r="A3738" s="19"/>
      <c r="B3738" s="12"/>
      <c r="C3738" s="24"/>
      <c r="D3738" s="12"/>
      <c r="E3738" s="23"/>
      <c r="F3738" s="17"/>
      <c r="G3738" s="17"/>
      <c r="Z3738" s="22"/>
      <c r="AB3738" s="22"/>
    </row>
    <row r="3739" spans="1:28">
      <c r="A3739" s="19"/>
      <c r="B3739" s="12"/>
      <c r="C3739" s="24"/>
      <c r="D3739" s="12"/>
      <c r="E3739" s="23"/>
      <c r="F3739" s="17"/>
      <c r="G3739" s="17"/>
      <c r="Z3739" s="22"/>
      <c r="AB3739" s="22"/>
    </row>
    <row r="3740" spans="1:28">
      <c r="A3740" s="19"/>
      <c r="B3740" s="12"/>
      <c r="C3740" s="24"/>
      <c r="D3740" s="12"/>
      <c r="E3740" s="23"/>
      <c r="F3740" s="17"/>
      <c r="G3740" s="17"/>
      <c r="Z3740" s="22"/>
      <c r="AB3740" s="22"/>
    </row>
    <row r="3741" spans="1:28">
      <c r="A3741" s="19"/>
      <c r="B3741" s="12"/>
      <c r="C3741" s="24"/>
      <c r="D3741" s="12"/>
      <c r="E3741" s="23"/>
      <c r="F3741" s="17"/>
      <c r="G3741" s="17"/>
      <c r="Z3741" s="22"/>
      <c r="AB3741" s="22"/>
    </row>
    <row r="3742" spans="1:28">
      <c r="A3742" s="19"/>
      <c r="B3742" s="12"/>
      <c r="C3742" s="24"/>
      <c r="D3742" s="12"/>
      <c r="E3742" s="23"/>
      <c r="F3742" s="17"/>
      <c r="G3742" s="17"/>
      <c r="Z3742" s="22"/>
      <c r="AB3742" s="22"/>
    </row>
    <row r="3743" spans="1:28">
      <c r="A3743" s="19"/>
      <c r="B3743" s="12"/>
      <c r="C3743" s="24"/>
      <c r="D3743" s="12"/>
      <c r="E3743" s="23"/>
      <c r="F3743" s="17"/>
      <c r="G3743" s="17"/>
      <c r="Z3743" s="22"/>
      <c r="AB3743" s="22"/>
    </row>
    <row r="3744" spans="1:28">
      <c r="A3744" s="19"/>
      <c r="B3744" s="12"/>
      <c r="C3744" s="24"/>
      <c r="D3744" s="12"/>
      <c r="E3744" s="23"/>
      <c r="F3744" s="17"/>
      <c r="G3744" s="17"/>
      <c r="Z3744" s="22"/>
      <c r="AB3744" s="22"/>
    </row>
    <row r="3745" spans="1:28">
      <c r="A3745" s="19"/>
      <c r="B3745" s="12"/>
      <c r="C3745" s="24"/>
      <c r="D3745" s="12"/>
      <c r="E3745" s="23"/>
      <c r="F3745" s="17"/>
      <c r="G3745" s="17"/>
      <c r="Z3745" s="22"/>
      <c r="AB3745" s="22"/>
    </row>
    <row r="3746" spans="1:28">
      <c r="A3746" s="19"/>
      <c r="B3746" s="12"/>
      <c r="C3746" s="24"/>
      <c r="D3746" s="12"/>
      <c r="E3746" s="23"/>
      <c r="F3746" s="17"/>
      <c r="G3746" s="17"/>
      <c r="Z3746" s="22"/>
      <c r="AB3746" s="22"/>
    </row>
    <row r="3747" spans="1:28">
      <c r="A3747" s="19"/>
      <c r="B3747" s="12"/>
      <c r="C3747" s="24"/>
      <c r="D3747" s="12"/>
      <c r="E3747" s="23"/>
      <c r="F3747" s="17"/>
      <c r="G3747" s="17"/>
      <c r="Z3747" s="22"/>
      <c r="AB3747" s="22"/>
    </row>
    <row r="3748" spans="1:28">
      <c r="A3748" s="19"/>
      <c r="B3748" s="12"/>
      <c r="C3748" s="24"/>
      <c r="D3748" s="12"/>
      <c r="E3748" s="23"/>
      <c r="F3748" s="17"/>
      <c r="G3748" s="17"/>
      <c r="Z3748" s="22"/>
      <c r="AB3748" s="22"/>
    </row>
    <row r="3749" spans="1:28">
      <c r="A3749" s="19"/>
      <c r="B3749" s="12"/>
      <c r="C3749" s="24"/>
      <c r="D3749" s="12"/>
      <c r="E3749" s="23"/>
      <c r="F3749" s="17"/>
      <c r="G3749" s="17"/>
      <c r="Z3749" s="22"/>
      <c r="AB3749" s="22"/>
    </row>
    <row r="3750" spans="1:28">
      <c r="A3750" s="19"/>
      <c r="B3750" s="12"/>
      <c r="C3750" s="24"/>
      <c r="D3750" s="12"/>
      <c r="E3750" s="23"/>
      <c r="F3750" s="17"/>
      <c r="G3750" s="17"/>
      <c r="Z3750" s="22"/>
      <c r="AB3750" s="22"/>
    </row>
    <row r="3751" spans="1:28">
      <c r="A3751" s="19"/>
      <c r="B3751" s="12"/>
      <c r="C3751" s="24"/>
      <c r="D3751" s="12"/>
      <c r="E3751" s="23"/>
      <c r="F3751" s="17"/>
      <c r="G3751" s="17"/>
      <c r="Z3751" s="22"/>
      <c r="AB3751" s="22"/>
    </row>
    <row r="3752" spans="1:28">
      <c r="A3752" s="19"/>
      <c r="B3752" s="12"/>
      <c r="C3752" s="24"/>
      <c r="D3752" s="12"/>
      <c r="E3752" s="23"/>
      <c r="F3752" s="17"/>
      <c r="G3752" s="17"/>
      <c r="Z3752" s="22"/>
      <c r="AB3752" s="22"/>
    </row>
    <row r="3753" spans="1:28">
      <c r="A3753" s="19"/>
      <c r="B3753" s="12"/>
      <c r="C3753" s="24"/>
      <c r="D3753" s="12"/>
      <c r="E3753" s="23"/>
      <c r="F3753" s="17"/>
      <c r="G3753" s="17"/>
      <c r="Z3753" s="22"/>
      <c r="AB3753" s="22"/>
    </row>
    <row r="3754" spans="1:28">
      <c r="A3754" s="19"/>
      <c r="B3754" s="12"/>
      <c r="C3754" s="24"/>
      <c r="D3754" s="12"/>
      <c r="E3754" s="23"/>
      <c r="F3754" s="17"/>
      <c r="G3754" s="17"/>
      <c r="Z3754" s="22"/>
      <c r="AB3754" s="22"/>
    </row>
    <row r="3755" spans="1:28">
      <c r="A3755" s="19"/>
      <c r="B3755" s="12"/>
      <c r="C3755" s="24"/>
      <c r="D3755" s="12"/>
      <c r="E3755" s="23"/>
      <c r="F3755" s="17"/>
      <c r="G3755" s="17"/>
      <c r="Z3755" s="22"/>
      <c r="AB3755" s="22"/>
    </row>
    <row r="3756" spans="1:28">
      <c r="A3756" s="19"/>
      <c r="B3756" s="12"/>
      <c r="C3756" s="24"/>
      <c r="D3756" s="12"/>
      <c r="E3756" s="23"/>
      <c r="F3756" s="17"/>
      <c r="G3756" s="17"/>
      <c r="Z3756" s="22"/>
      <c r="AB3756" s="22"/>
    </row>
    <row r="3757" spans="1:28">
      <c r="A3757" s="19"/>
      <c r="B3757" s="12"/>
      <c r="C3757" s="24"/>
      <c r="D3757" s="12"/>
      <c r="E3757" s="23"/>
      <c r="F3757" s="17"/>
      <c r="G3757" s="17"/>
      <c r="Z3757" s="22"/>
      <c r="AB3757" s="22"/>
    </row>
    <row r="3758" spans="1:28">
      <c r="A3758" s="19"/>
      <c r="B3758" s="12"/>
      <c r="C3758" s="24"/>
      <c r="D3758" s="12"/>
      <c r="E3758" s="23"/>
      <c r="F3758" s="17"/>
      <c r="G3758" s="17"/>
      <c r="Z3758" s="22"/>
      <c r="AB3758" s="22"/>
    </row>
    <row r="3759" spans="1:28">
      <c r="A3759" s="19"/>
      <c r="B3759" s="12"/>
      <c r="C3759" s="24"/>
      <c r="D3759" s="12"/>
      <c r="E3759" s="23"/>
      <c r="F3759" s="17"/>
      <c r="G3759" s="17"/>
      <c r="Z3759" s="22"/>
      <c r="AB3759" s="22"/>
    </row>
    <row r="3760" spans="1:28">
      <c r="A3760" s="19"/>
      <c r="B3760" s="12"/>
      <c r="C3760" s="24"/>
      <c r="D3760" s="12"/>
      <c r="E3760" s="23"/>
      <c r="F3760" s="17"/>
      <c r="G3760" s="17"/>
      <c r="Z3760" s="22"/>
      <c r="AB3760" s="22"/>
    </row>
    <row r="3761" spans="1:28">
      <c r="A3761" s="19"/>
      <c r="B3761" s="12"/>
      <c r="C3761" s="24"/>
      <c r="D3761" s="12"/>
      <c r="E3761" s="23"/>
      <c r="F3761" s="17"/>
      <c r="G3761" s="17"/>
      <c r="Z3761" s="22"/>
      <c r="AB3761" s="22"/>
    </row>
    <row r="3762" spans="1:28">
      <c r="A3762" s="19"/>
      <c r="B3762" s="12"/>
      <c r="C3762" s="24"/>
      <c r="D3762" s="12"/>
      <c r="E3762" s="23"/>
      <c r="F3762" s="17"/>
      <c r="G3762" s="17"/>
      <c r="Z3762" s="22"/>
      <c r="AB3762" s="22"/>
    </row>
    <row r="3763" spans="1:28">
      <c r="A3763" s="19"/>
      <c r="B3763" s="12"/>
      <c r="C3763" s="24"/>
      <c r="D3763" s="12"/>
      <c r="E3763" s="23"/>
      <c r="F3763" s="17"/>
      <c r="G3763" s="17"/>
      <c r="Z3763" s="22"/>
      <c r="AB3763" s="22"/>
    </row>
    <row r="3764" spans="1:28">
      <c r="A3764" s="19"/>
      <c r="B3764" s="12"/>
      <c r="C3764" s="24"/>
      <c r="D3764" s="12"/>
      <c r="E3764" s="23"/>
      <c r="F3764" s="17"/>
      <c r="G3764" s="17"/>
      <c r="Z3764" s="22"/>
      <c r="AB3764" s="22"/>
    </row>
    <row r="3765" spans="1:28">
      <c r="A3765" s="19"/>
      <c r="B3765" s="12"/>
      <c r="C3765" s="24"/>
      <c r="D3765" s="12"/>
      <c r="E3765" s="23"/>
      <c r="F3765" s="17"/>
      <c r="G3765" s="17"/>
      <c r="Z3765" s="22"/>
      <c r="AB3765" s="22"/>
    </row>
    <row r="3766" spans="1:28">
      <c r="A3766" s="19"/>
      <c r="B3766" s="12"/>
      <c r="C3766" s="24"/>
      <c r="D3766" s="12"/>
      <c r="E3766" s="23"/>
      <c r="F3766" s="17"/>
      <c r="G3766" s="17"/>
      <c r="Z3766" s="22"/>
      <c r="AB3766" s="22"/>
    </row>
    <row r="3767" spans="1:28">
      <c r="A3767" s="19"/>
      <c r="B3767" s="12"/>
      <c r="C3767" s="24"/>
      <c r="D3767" s="12"/>
      <c r="E3767" s="23"/>
      <c r="F3767" s="17"/>
      <c r="G3767" s="17"/>
      <c r="Z3767" s="22"/>
      <c r="AB3767" s="22"/>
    </row>
    <row r="3768" spans="1:28">
      <c r="A3768" s="19"/>
      <c r="B3768" s="12"/>
      <c r="C3768" s="24"/>
      <c r="D3768" s="12"/>
      <c r="E3768" s="23"/>
      <c r="F3768" s="17"/>
      <c r="G3768" s="17"/>
      <c r="Z3768" s="22"/>
      <c r="AB3768" s="22"/>
    </row>
    <row r="3769" spans="1:28">
      <c r="A3769" s="19"/>
      <c r="B3769" s="12"/>
      <c r="C3769" s="24"/>
      <c r="D3769" s="12"/>
      <c r="E3769" s="23"/>
      <c r="F3769" s="17"/>
      <c r="G3769" s="17"/>
      <c r="Z3769" s="22"/>
      <c r="AB3769" s="22"/>
    </row>
    <row r="3770" spans="1:28">
      <c r="A3770" s="19"/>
      <c r="B3770" s="12"/>
      <c r="C3770" s="24"/>
      <c r="D3770" s="12"/>
      <c r="E3770" s="23"/>
      <c r="F3770" s="17"/>
      <c r="G3770" s="17"/>
      <c r="Z3770" s="22"/>
      <c r="AB3770" s="22"/>
    </row>
    <row r="3771" spans="1:28">
      <c r="A3771" s="19"/>
      <c r="B3771" s="12"/>
      <c r="C3771" s="24"/>
      <c r="D3771" s="12"/>
      <c r="E3771" s="23"/>
      <c r="F3771" s="17"/>
      <c r="G3771" s="17"/>
      <c r="Z3771" s="22"/>
      <c r="AB3771" s="22"/>
    </row>
    <row r="3772" spans="1:28">
      <c r="A3772" s="19"/>
      <c r="B3772" s="12"/>
      <c r="C3772" s="24"/>
      <c r="D3772" s="12"/>
      <c r="E3772" s="23"/>
      <c r="F3772" s="17"/>
      <c r="G3772" s="17"/>
      <c r="Z3772" s="22"/>
      <c r="AB3772" s="22"/>
    </row>
    <row r="3773" spans="1:28">
      <c r="A3773" s="19"/>
      <c r="B3773" s="12"/>
      <c r="C3773" s="24"/>
      <c r="D3773" s="12"/>
      <c r="E3773" s="23"/>
      <c r="F3773" s="17"/>
      <c r="G3773" s="17"/>
      <c r="Z3773" s="22"/>
      <c r="AB3773" s="22"/>
    </row>
    <row r="3774" spans="1:28">
      <c r="A3774" s="19"/>
      <c r="B3774" s="12"/>
      <c r="C3774" s="24"/>
      <c r="D3774" s="12"/>
      <c r="E3774" s="23"/>
      <c r="F3774" s="17"/>
      <c r="G3774" s="17"/>
      <c r="Z3774" s="22"/>
      <c r="AB3774" s="22"/>
    </row>
    <row r="3775" spans="1:28">
      <c r="A3775" s="19"/>
      <c r="B3775" s="12"/>
      <c r="C3775" s="24"/>
      <c r="D3775" s="12"/>
      <c r="E3775" s="23"/>
      <c r="F3775" s="17"/>
      <c r="G3775" s="17"/>
      <c r="Z3775" s="22"/>
      <c r="AB3775" s="22"/>
    </row>
    <row r="3776" spans="1:28">
      <c r="A3776" s="19"/>
      <c r="B3776" s="12"/>
      <c r="C3776" s="24"/>
      <c r="D3776" s="12"/>
      <c r="E3776" s="23"/>
      <c r="F3776" s="17"/>
      <c r="G3776" s="17"/>
      <c r="Z3776" s="22"/>
      <c r="AB3776" s="22"/>
    </row>
    <row r="3777" spans="1:28">
      <c r="A3777" s="19"/>
      <c r="B3777" s="12"/>
      <c r="C3777" s="24"/>
      <c r="D3777" s="12"/>
      <c r="E3777" s="23"/>
      <c r="F3777" s="17"/>
      <c r="G3777" s="17"/>
      <c r="Z3777" s="22"/>
      <c r="AB3777" s="22"/>
    </row>
    <row r="3778" spans="1:28">
      <c r="A3778" s="19"/>
      <c r="B3778" s="12"/>
      <c r="C3778" s="24"/>
      <c r="D3778" s="12"/>
      <c r="E3778" s="23"/>
      <c r="F3778" s="17"/>
      <c r="G3778" s="17"/>
      <c r="Z3778" s="22"/>
      <c r="AB3778" s="22"/>
    </row>
    <row r="3779" spans="1:28">
      <c r="A3779" s="19"/>
      <c r="B3779" s="12"/>
      <c r="C3779" s="24"/>
      <c r="D3779" s="12"/>
      <c r="E3779" s="23"/>
      <c r="F3779" s="17"/>
      <c r="G3779" s="17"/>
      <c r="Z3779" s="22"/>
      <c r="AB3779" s="22"/>
    </row>
    <row r="3780" spans="1:28">
      <c r="A3780" s="19"/>
      <c r="B3780" s="12"/>
      <c r="C3780" s="24"/>
      <c r="D3780" s="12"/>
      <c r="E3780" s="23"/>
      <c r="F3780" s="17"/>
      <c r="G3780" s="17"/>
      <c r="Z3780" s="22"/>
      <c r="AB3780" s="22"/>
    </row>
    <row r="3781" spans="1:28">
      <c r="A3781" s="19"/>
      <c r="B3781" s="12"/>
      <c r="C3781" s="24"/>
      <c r="D3781" s="12"/>
      <c r="E3781" s="23"/>
      <c r="F3781" s="17"/>
      <c r="G3781" s="17"/>
      <c r="Z3781" s="22"/>
      <c r="AB3781" s="22"/>
    </row>
    <row r="3782" spans="1:28">
      <c r="A3782" s="19"/>
      <c r="B3782" s="12"/>
      <c r="C3782" s="24"/>
      <c r="D3782" s="12"/>
      <c r="E3782" s="23"/>
      <c r="F3782" s="17"/>
      <c r="G3782" s="17"/>
      <c r="Z3782" s="22"/>
      <c r="AB3782" s="22"/>
    </row>
    <row r="3783" spans="1:28">
      <c r="A3783" s="19"/>
      <c r="B3783" s="12"/>
      <c r="C3783" s="24"/>
      <c r="D3783" s="12"/>
      <c r="E3783" s="23"/>
      <c r="F3783" s="17"/>
      <c r="G3783" s="17"/>
      <c r="Z3783" s="22"/>
      <c r="AB3783" s="22"/>
    </row>
    <row r="3784" spans="1:28">
      <c r="A3784" s="19"/>
      <c r="B3784" s="12"/>
      <c r="C3784" s="24"/>
      <c r="D3784" s="12"/>
      <c r="E3784" s="23"/>
      <c r="F3784" s="17"/>
      <c r="G3784" s="17"/>
      <c r="Z3784" s="22"/>
      <c r="AB3784" s="22"/>
    </row>
    <row r="3785" spans="1:28">
      <c r="A3785" s="19"/>
      <c r="B3785" s="12"/>
      <c r="C3785" s="24"/>
      <c r="D3785" s="12"/>
      <c r="E3785" s="23"/>
      <c r="F3785" s="17"/>
      <c r="G3785" s="17"/>
      <c r="Z3785" s="22"/>
      <c r="AB3785" s="22"/>
    </row>
    <row r="3786" spans="1:28">
      <c r="A3786" s="19"/>
      <c r="B3786" s="12"/>
      <c r="C3786" s="24"/>
      <c r="D3786" s="12"/>
      <c r="E3786" s="23"/>
      <c r="F3786" s="17"/>
      <c r="G3786" s="17"/>
      <c r="Z3786" s="22"/>
      <c r="AB3786" s="22"/>
    </row>
    <row r="3787" spans="1:28">
      <c r="A3787" s="19"/>
      <c r="B3787" s="12"/>
      <c r="C3787" s="24"/>
      <c r="D3787" s="12"/>
      <c r="E3787" s="23"/>
      <c r="F3787" s="17"/>
      <c r="G3787" s="17"/>
      <c r="Z3787" s="22"/>
      <c r="AB3787" s="22"/>
    </row>
    <row r="3788" spans="1:28">
      <c r="A3788" s="19"/>
      <c r="B3788" s="12"/>
      <c r="C3788" s="24"/>
      <c r="D3788" s="12"/>
      <c r="E3788" s="23"/>
      <c r="F3788" s="17"/>
      <c r="G3788" s="17"/>
      <c r="Z3788" s="22"/>
      <c r="AB3788" s="22"/>
    </row>
    <row r="3789" spans="1:28">
      <c r="A3789" s="19"/>
      <c r="B3789" s="12"/>
      <c r="C3789" s="24"/>
      <c r="D3789" s="12"/>
      <c r="E3789" s="23"/>
      <c r="F3789" s="17"/>
      <c r="G3789" s="17"/>
      <c r="Z3789" s="22"/>
      <c r="AB3789" s="22"/>
    </row>
    <row r="3790" spans="1:28">
      <c r="A3790" s="19"/>
      <c r="B3790" s="12"/>
      <c r="C3790" s="24"/>
      <c r="D3790" s="12"/>
      <c r="E3790" s="23"/>
      <c r="F3790" s="17"/>
      <c r="G3790" s="17"/>
      <c r="Z3790" s="22"/>
      <c r="AB3790" s="22"/>
    </row>
    <row r="3791" spans="1:28">
      <c r="A3791" s="19"/>
      <c r="B3791" s="12"/>
      <c r="C3791" s="24"/>
      <c r="D3791" s="12"/>
      <c r="E3791" s="23"/>
      <c r="F3791" s="17"/>
      <c r="G3791" s="17"/>
      <c r="Z3791" s="22"/>
      <c r="AB3791" s="22"/>
    </row>
    <row r="3792" spans="1:28">
      <c r="A3792" s="19"/>
      <c r="B3792" s="12"/>
      <c r="C3792" s="24"/>
      <c r="D3792" s="12"/>
      <c r="E3792" s="23"/>
      <c r="F3792" s="17"/>
      <c r="G3792" s="17"/>
      <c r="Z3792" s="22"/>
      <c r="AB3792" s="22"/>
    </row>
    <row r="3793" spans="1:28">
      <c r="A3793" s="19"/>
      <c r="B3793" s="12"/>
      <c r="C3793" s="24"/>
      <c r="D3793" s="12"/>
      <c r="E3793" s="23"/>
      <c r="F3793" s="17"/>
      <c r="G3793" s="17"/>
      <c r="Z3793" s="22"/>
      <c r="AB3793" s="22"/>
    </row>
    <row r="3794" spans="1:28">
      <c r="A3794" s="19"/>
      <c r="B3794" s="12"/>
      <c r="C3794" s="24"/>
      <c r="D3794" s="12"/>
      <c r="E3794" s="23"/>
      <c r="F3794" s="17"/>
      <c r="G3794" s="17"/>
      <c r="Z3794" s="22"/>
      <c r="AB3794" s="22"/>
    </row>
    <row r="3795" spans="1:28">
      <c r="A3795" s="19"/>
      <c r="B3795" s="12"/>
      <c r="C3795" s="24"/>
      <c r="D3795" s="12"/>
      <c r="E3795" s="23"/>
      <c r="F3795" s="17"/>
      <c r="G3795" s="17"/>
      <c r="Z3795" s="22"/>
      <c r="AB3795" s="22"/>
    </row>
    <row r="3796" spans="1:28">
      <c r="A3796" s="19"/>
      <c r="B3796" s="12"/>
      <c r="C3796" s="24"/>
      <c r="D3796" s="12"/>
      <c r="E3796" s="23"/>
      <c r="F3796" s="17"/>
      <c r="G3796" s="17"/>
      <c r="Z3796" s="22"/>
      <c r="AB3796" s="22"/>
    </row>
    <row r="3797" spans="1:28">
      <c r="A3797" s="19"/>
      <c r="B3797" s="12"/>
      <c r="C3797" s="24"/>
      <c r="D3797" s="12"/>
      <c r="E3797" s="23"/>
      <c r="F3797" s="17"/>
      <c r="G3797" s="17"/>
      <c r="Z3797" s="22"/>
      <c r="AB3797" s="22"/>
    </row>
    <row r="3798" spans="1:28">
      <c r="A3798" s="19"/>
      <c r="B3798" s="12"/>
      <c r="C3798" s="24"/>
      <c r="D3798" s="12"/>
      <c r="E3798" s="23"/>
      <c r="F3798" s="17"/>
      <c r="G3798" s="17"/>
      <c r="Z3798" s="22"/>
      <c r="AB3798" s="22"/>
    </row>
    <row r="3799" spans="1:28">
      <c r="A3799" s="19"/>
      <c r="B3799" s="12"/>
      <c r="C3799" s="24"/>
      <c r="D3799" s="12"/>
      <c r="E3799" s="23"/>
      <c r="F3799" s="17"/>
      <c r="G3799" s="17"/>
      <c r="Z3799" s="22"/>
      <c r="AB3799" s="22"/>
    </row>
    <row r="3800" spans="1:28">
      <c r="A3800" s="19"/>
      <c r="B3800" s="12"/>
      <c r="C3800" s="24"/>
      <c r="D3800" s="12"/>
      <c r="E3800" s="23"/>
      <c r="F3800" s="17"/>
      <c r="G3800" s="17"/>
      <c r="Z3800" s="22"/>
      <c r="AB3800" s="22"/>
    </row>
    <row r="3801" spans="1:28">
      <c r="A3801" s="19"/>
      <c r="B3801" s="12"/>
      <c r="C3801" s="24"/>
      <c r="D3801" s="12"/>
      <c r="E3801" s="23"/>
      <c r="F3801" s="17"/>
      <c r="G3801" s="17"/>
      <c r="Z3801" s="22"/>
      <c r="AB3801" s="22"/>
    </row>
    <row r="3802" spans="1:28">
      <c r="A3802" s="19"/>
      <c r="B3802" s="12"/>
      <c r="C3802" s="24"/>
      <c r="D3802" s="12"/>
      <c r="E3802" s="23"/>
      <c r="F3802" s="17"/>
      <c r="G3802" s="17"/>
      <c r="Z3802" s="22"/>
      <c r="AB3802" s="22"/>
    </row>
    <row r="3803" spans="1:28">
      <c r="A3803" s="19"/>
      <c r="B3803" s="12"/>
      <c r="C3803" s="24"/>
      <c r="D3803" s="12"/>
      <c r="E3803" s="23"/>
      <c r="F3803" s="17"/>
      <c r="G3803" s="17"/>
      <c r="Z3803" s="22"/>
      <c r="AB3803" s="22"/>
    </row>
    <row r="3804" spans="1:28">
      <c r="A3804" s="19"/>
      <c r="B3804" s="12"/>
      <c r="C3804" s="24"/>
      <c r="D3804" s="12"/>
      <c r="E3804" s="23"/>
      <c r="F3804" s="17"/>
      <c r="G3804" s="17"/>
      <c r="Z3804" s="22"/>
      <c r="AB3804" s="22"/>
    </row>
    <row r="3805" spans="1:28">
      <c r="A3805" s="19"/>
      <c r="B3805" s="12"/>
      <c r="C3805" s="24"/>
      <c r="D3805" s="12"/>
      <c r="E3805" s="23"/>
      <c r="F3805" s="17"/>
      <c r="G3805" s="17"/>
      <c r="Z3805" s="22"/>
      <c r="AB3805" s="22"/>
    </row>
    <row r="3806" spans="1:28">
      <c r="A3806" s="19"/>
      <c r="B3806" s="12"/>
      <c r="C3806" s="24"/>
      <c r="D3806" s="12"/>
      <c r="E3806" s="23"/>
      <c r="F3806" s="17"/>
      <c r="G3806" s="17"/>
      <c r="Z3806" s="22"/>
      <c r="AB3806" s="22"/>
    </row>
    <row r="3807" spans="1:28">
      <c r="A3807" s="19"/>
      <c r="B3807" s="12"/>
      <c r="C3807" s="24"/>
      <c r="D3807" s="12"/>
      <c r="E3807" s="23"/>
      <c r="F3807" s="17"/>
      <c r="G3807" s="17"/>
      <c r="Z3807" s="22"/>
      <c r="AB3807" s="22"/>
    </row>
    <row r="3808" spans="1:28">
      <c r="A3808" s="19"/>
      <c r="B3808" s="12"/>
      <c r="C3808" s="24"/>
      <c r="D3808" s="12"/>
      <c r="E3808" s="23"/>
      <c r="F3808" s="17"/>
      <c r="G3808" s="17"/>
      <c r="Z3808" s="22"/>
      <c r="AB3808" s="22"/>
    </row>
    <row r="3809" spans="1:28">
      <c r="A3809" s="19"/>
      <c r="B3809" s="12"/>
      <c r="C3809" s="24"/>
      <c r="D3809" s="12"/>
      <c r="E3809" s="23"/>
      <c r="F3809" s="17"/>
      <c r="G3809" s="17"/>
      <c r="Z3809" s="22"/>
      <c r="AB3809" s="22"/>
    </row>
    <row r="3810" spans="1:28">
      <c r="A3810" s="19"/>
      <c r="B3810" s="12"/>
      <c r="C3810" s="24"/>
      <c r="D3810" s="12"/>
      <c r="E3810" s="23"/>
      <c r="F3810" s="17"/>
      <c r="G3810" s="17"/>
      <c r="Z3810" s="22"/>
      <c r="AB3810" s="22"/>
    </row>
    <row r="3811" spans="1:28">
      <c r="A3811" s="19"/>
      <c r="B3811" s="12"/>
      <c r="C3811" s="24"/>
      <c r="D3811" s="12"/>
      <c r="E3811" s="23"/>
      <c r="F3811" s="17"/>
      <c r="G3811" s="17"/>
      <c r="Z3811" s="22"/>
      <c r="AB3811" s="22"/>
    </row>
    <row r="3812" spans="1:28">
      <c r="A3812" s="19"/>
      <c r="B3812" s="12"/>
      <c r="C3812" s="24"/>
      <c r="D3812" s="12"/>
      <c r="E3812" s="23"/>
      <c r="F3812" s="17"/>
      <c r="G3812" s="17"/>
      <c r="Z3812" s="22"/>
      <c r="AB3812" s="22"/>
    </row>
    <row r="3813" spans="1:28">
      <c r="A3813" s="19"/>
      <c r="B3813" s="12"/>
      <c r="C3813" s="24"/>
      <c r="D3813" s="12"/>
      <c r="E3813" s="23"/>
      <c r="F3813" s="17"/>
      <c r="G3813" s="17"/>
      <c r="Z3813" s="22"/>
      <c r="AB3813" s="22"/>
    </row>
    <row r="3814" spans="1:28">
      <c r="A3814" s="19"/>
      <c r="B3814" s="12"/>
      <c r="C3814" s="24"/>
      <c r="D3814" s="12"/>
      <c r="E3814" s="23"/>
      <c r="F3814" s="17"/>
      <c r="G3814" s="17"/>
      <c r="Z3814" s="22"/>
      <c r="AB3814" s="22"/>
    </row>
    <row r="3815" spans="1:28">
      <c r="A3815" s="19"/>
      <c r="B3815" s="12"/>
      <c r="C3815" s="24"/>
      <c r="D3815" s="12"/>
      <c r="E3815" s="23"/>
      <c r="F3815" s="17"/>
      <c r="G3815" s="17"/>
      <c r="Z3815" s="22"/>
      <c r="AB3815" s="22"/>
    </row>
    <row r="3816" spans="1:28">
      <c r="A3816" s="19"/>
      <c r="B3816" s="12"/>
      <c r="C3816" s="24"/>
      <c r="D3816" s="12"/>
      <c r="E3816" s="23"/>
      <c r="F3816" s="17"/>
      <c r="G3816" s="17"/>
      <c r="Z3816" s="22"/>
      <c r="AB3816" s="22"/>
    </row>
    <row r="3817" spans="1:28">
      <c r="A3817" s="19"/>
      <c r="B3817" s="12"/>
      <c r="C3817" s="24"/>
      <c r="D3817" s="12"/>
      <c r="E3817" s="23"/>
      <c r="F3817" s="17"/>
      <c r="G3817" s="17"/>
      <c r="Z3817" s="22"/>
      <c r="AB3817" s="22"/>
    </row>
    <row r="3818" spans="1:28">
      <c r="A3818" s="19"/>
      <c r="B3818" s="12"/>
      <c r="C3818" s="24"/>
      <c r="D3818" s="12"/>
      <c r="E3818" s="23"/>
      <c r="F3818" s="17"/>
      <c r="G3818" s="17"/>
      <c r="Z3818" s="22"/>
      <c r="AB3818" s="22"/>
    </row>
    <row r="3819" spans="1:28">
      <c r="A3819" s="19"/>
      <c r="B3819" s="12"/>
      <c r="C3819" s="24"/>
      <c r="D3819" s="12"/>
      <c r="E3819" s="23"/>
      <c r="F3819" s="17"/>
      <c r="G3819" s="17"/>
      <c r="Z3819" s="22"/>
      <c r="AB3819" s="22"/>
    </row>
    <row r="3820" spans="1:28">
      <c r="A3820" s="19"/>
      <c r="B3820" s="12"/>
      <c r="C3820" s="24"/>
      <c r="D3820" s="12"/>
      <c r="E3820" s="23"/>
      <c r="F3820" s="17"/>
      <c r="G3820" s="17"/>
      <c r="Z3820" s="22"/>
      <c r="AB3820" s="22"/>
    </row>
    <row r="3821" spans="1:28">
      <c r="A3821" s="19"/>
      <c r="B3821" s="12"/>
      <c r="C3821" s="24"/>
      <c r="D3821" s="12"/>
      <c r="E3821" s="23"/>
      <c r="F3821" s="17"/>
      <c r="G3821" s="17"/>
      <c r="Z3821" s="22"/>
      <c r="AB3821" s="22"/>
    </row>
    <row r="3822" spans="1:28">
      <c r="A3822" s="19"/>
      <c r="B3822" s="12"/>
      <c r="C3822" s="24"/>
      <c r="D3822" s="12"/>
      <c r="E3822" s="23"/>
      <c r="F3822" s="17"/>
      <c r="G3822" s="17"/>
      <c r="Z3822" s="22"/>
      <c r="AB3822" s="22"/>
    </row>
    <row r="3823" spans="1:28">
      <c r="A3823" s="19"/>
      <c r="B3823" s="12"/>
      <c r="C3823" s="24"/>
      <c r="D3823" s="12"/>
      <c r="E3823" s="23"/>
      <c r="F3823" s="17"/>
      <c r="G3823" s="17"/>
      <c r="Z3823" s="22"/>
      <c r="AB3823" s="22"/>
    </row>
    <row r="3824" spans="1:28">
      <c r="A3824" s="19"/>
      <c r="B3824" s="12"/>
      <c r="C3824" s="24"/>
      <c r="D3824" s="12"/>
      <c r="E3824" s="23"/>
      <c r="F3824" s="17"/>
      <c r="G3824" s="17"/>
      <c r="Z3824" s="22"/>
      <c r="AB3824" s="22"/>
    </row>
    <row r="3825" spans="1:28">
      <c r="A3825" s="19"/>
      <c r="B3825" s="12"/>
      <c r="C3825" s="24"/>
      <c r="D3825" s="12"/>
      <c r="E3825" s="23"/>
      <c r="F3825" s="17"/>
      <c r="G3825" s="17"/>
      <c r="Z3825" s="22"/>
      <c r="AB3825" s="22"/>
    </row>
    <row r="3826" spans="1:28">
      <c r="A3826" s="19"/>
      <c r="B3826" s="12"/>
      <c r="C3826" s="24"/>
      <c r="D3826" s="12"/>
      <c r="E3826" s="23"/>
      <c r="F3826" s="17"/>
      <c r="G3826" s="17"/>
      <c r="Z3826" s="22"/>
      <c r="AB3826" s="22"/>
    </row>
    <row r="3827" spans="1:28">
      <c r="A3827" s="19"/>
      <c r="B3827" s="12"/>
      <c r="C3827" s="24"/>
      <c r="D3827" s="12"/>
      <c r="E3827" s="23"/>
      <c r="F3827" s="17"/>
      <c r="G3827" s="17"/>
      <c r="Z3827" s="22"/>
      <c r="AB3827" s="22"/>
    </row>
    <row r="3828" spans="1:28">
      <c r="A3828" s="19"/>
      <c r="B3828" s="12"/>
      <c r="C3828" s="24"/>
      <c r="D3828" s="12"/>
      <c r="E3828" s="23"/>
      <c r="F3828" s="17"/>
      <c r="G3828" s="17"/>
      <c r="Z3828" s="22"/>
      <c r="AB3828" s="22"/>
    </row>
    <row r="3829" spans="1:28">
      <c r="A3829" s="19"/>
      <c r="B3829" s="12"/>
      <c r="C3829" s="24"/>
      <c r="D3829" s="12"/>
      <c r="E3829" s="23"/>
      <c r="F3829" s="17"/>
      <c r="G3829" s="17"/>
      <c r="Z3829" s="22"/>
      <c r="AB3829" s="22"/>
    </row>
    <row r="3830" spans="1:28">
      <c r="A3830" s="19"/>
      <c r="B3830" s="12"/>
      <c r="C3830" s="24"/>
      <c r="D3830" s="12"/>
      <c r="E3830" s="23"/>
      <c r="F3830" s="17"/>
      <c r="G3830" s="17"/>
      <c r="Z3830" s="22"/>
      <c r="AB3830" s="22"/>
    </row>
    <row r="3831" spans="1:28">
      <c r="A3831" s="19"/>
      <c r="B3831" s="12"/>
      <c r="C3831" s="24"/>
      <c r="D3831" s="12"/>
      <c r="E3831" s="23"/>
      <c r="F3831" s="17"/>
      <c r="G3831" s="17"/>
      <c r="Z3831" s="22"/>
      <c r="AB3831" s="22"/>
    </row>
    <row r="3832" spans="1:28">
      <c r="A3832" s="19"/>
      <c r="B3832" s="12"/>
      <c r="C3832" s="24"/>
      <c r="D3832" s="12"/>
      <c r="E3832" s="23"/>
      <c r="F3832" s="17"/>
      <c r="G3832" s="17"/>
      <c r="Z3832" s="22"/>
      <c r="AB3832" s="22"/>
    </row>
    <row r="3833" spans="1:28">
      <c r="A3833" s="19"/>
      <c r="B3833" s="12"/>
      <c r="C3833" s="24"/>
      <c r="D3833" s="12"/>
      <c r="E3833" s="23"/>
      <c r="F3833" s="17"/>
      <c r="G3833" s="17"/>
      <c r="Z3833" s="22"/>
      <c r="AB3833" s="22"/>
    </row>
    <row r="3834" spans="1:28">
      <c r="A3834" s="19"/>
      <c r="B3834" s="12"/>
      <c r="C3834" s="24"/>
      <c r="D3834" s="12"/>
      <c r="E3834" s="23"/>
      <c r="F3834" s="17"/>
      <c r="G3834" s="17"/>
      <c r="Z3834" s="22"/>
      <c r="AB3834" s="22"/>
    </row>
    <row r="3835" spans="1:28">
      <c r="A3835" s="19"/>
      <c r="B3835" s="12"/>
      <c r="C3835" s="24"/>
      <c r="D3835" s="12"/>
      <c r="E3835" s="23"/>
      <c r="F3835" s="17"/>
      <c r="G3835" s="17"/>
      <c r="Z3835" s="22"/>
      <c r="AB3835" s="22"/>
    </row>
    <row r="3836" spans="1:28">
      <c r="A3836" s="19"/>
      <c r="B3836" s="12"/>
      <c r="C3836" s="24"/>
      <c r="D3836" s="12"/>
      <c r="E3836" s="23"/>
      <c r="F3836" s="17"/>
      <c r="G3836" s="17"/>
      <c r="Z3836" s="22"/>
      <c r="AB3836" s="22"/>
    </row>
    <row r="3837" spans="1:28">
      <c r="A3837" s="19"/>
      <c r="B3837" s="12"/>
      <c r="C3837" s="24"/>
      <c r="D3837" s="12"/>
      <c r="E3837" s="23"/>
      <c r="F3837" s="17"/>
      <c r="G3837" s="17"/>
      <c r="Z3837" s="22"/>
      <c r="AB3837" s="22"/>
    </row>
    <row r="3838" spans="1:28">
      <c r="A3838" s="19"/>
      <c r="B3838" s="12"/>
      <c r="C3838" s="24"/>
      <c r="D3838" s="12"/>
      <c r="E3838" s="23"/>
      <c r="F3838" s="17"/>
      <c r="G3838" s="17"/>
      <c r="Z3838" s="22"/>
      <c r="AB3838" s="22"/>
    </row>
    <row r="3839" spans="1:28">
      <c r="A3839" s="19"/>
      <c r="B3839" s="12"/>
      <c r="C3839" s="24"/>
      <c r="D3839" s="12"/>
      <c r="E3839" s="23"/>
      <c r="F3839" s="17"/>
      <c r="G3839" s="17"/>
      <c r="Z3839" s="22"/>
      <c r="AB3839" s="22"/>
    </row>
    <row r="3840" spans="1:28">
      <c r="A3840" s="19"/>
      <c r="B3840" s="12"/>
      <c r="C3840" s="24"/>
      <c r="D3840" s="12"/>
      <c r="E3840" s="23"/>
      <c r="F3840" s="17"/>
      <c r="G3840" s="17"/>
      <c r="Z3840" s="22"/>
      <c r="AB3840" s="22"/>
    </row>
    <row r="3841" spans="1:28">
      <c r="A3841" s="19"/>
      <c r="B3841" s="12"/>
      <c r="C3841" s="24"/>
      <c r="D3841" s="12"/>
      <c r="E3841" s="23"/>
      <c r="F3841" s="17"/>
      <c r="G3841" s="17"/>
      <c r="Z3841" s="22"/>
      <c r="AB3841" s="22"/>
    </row>
    <row r="3842" spans="1:28">
      <c r="A3842" s="19"/>
      <c r="B3842" s="12"/>
      <c r="C3842" s="24"/>
      <c r="D3842" s="12"/>
      <c r="E3842" s="23"/>
      <c r="F3842" s="17"/>
      <c r="G3842" s="17"/>
      <c r="Z3842" s="22"/>
      <c r="AB3842" s="22"/>
    </row>
    <row r="3843" spans="1:28">
      <c r="A3843" s="19"/>
      <c r="B3843" s="12"/>
      <c r="C3843" s="24"/>
      <c r="D3843" s="12"/>
      <c r="E3843" s="23"/>
      <c r="F3843" s="17"/>
      <c r="G3843" s="17"/>
      <c r="Z3843" s="22"/>
      <c r="AB3843" s="22"/>
    </row>
    <row r="3844" spans="1:28">
      <c r="A3844" s="19"/>
      <c r="B3844" s="12"/>
      <c r="C3844" s="24"/>
      <c r="D3844" s="12"/>
      <c r="E3844" s="23"/>
      <c r="F3844" s="17"/>
      <c r="G3844" s="17"/>
      <c r="Z3844" s="22"/>
      <c r="AB3844" s="22"/>
    </row>
    <row r="3845" spans="1:28">
      <c r="A3845" s="19"/>
      <c r="B3845" s="12"/>
      <c r="C3845" s="24"/>
      <c r="D3845" s="12"/>
      <c r="E3845" s="23"/>
      <c r="F3845" s="17"/>
      <c r="G3845" s="17"/>
      <c r="Z3845" s="22"/>
      <c r="AB3845" s="22"/>
    </row>
    <row r="3846" spans="1:28">
      <c r="A3846" s="19"/>
      <c r="B3846" s="12"/>
      <c r="C3846" s="24"/>
      <c r="D3846" s="12"/>
      <c r="E3846" s="23"/>
      <c r="F3846" s="17"/>
      <c r="G3846" s="17"/>
      <c r="Z3846" s="22"/>
      <c r="AB3846" s="22"/>
    </row>
    <row r="3847" spans="1:28">
      <c r="A3847" s="19"/>
      <c r="B3847" s="12"/>
      <c r="C3847" s="24"/>
      <c r="D3847" s="12"/>
      <c r="E3847" s="23"/>
      <c r="F3847" s="17"/>
      <c r="G3847" s="17"/>
      <c r="Z3847" s="22"/>
      <c r="AB3847" s="22"/>
    </row>
    <row r="3848" spans="1:28">
      <c r="A3848" s="19"/>
      <c r="B3848" s="12"/>
      <c r="C3848" s="24"/>
      <c r="D3848" s="12"/>
      <c r="E3848" s="23"/>
      <c r="F3848" s="17"/>
      <c r="G3848" s="17"/>
      <c r="Z3848" s="22"/>
      <c r="AB3848" s="22"/>
    </row>
    <row r="3849" spans="1:28">
      <c r="A3849" s="19"/>
      <c r="B3849" s="12"/>
      <c r="C3849" s="24"/>
      <c r="D3849" s="12"/>
      <c r="E3849" s="23"/>
      <c r="F3849" s="17"/>
      <c r="G3849" s="17"/>
      <c r="Z3849" s="22"/>
      <c r="AB3849" s="22"/>
    </row>
    <row r="3850" spans="1:28">
      <c r="A3850" s="19"/>
      <c r="B3850" s="12"/>
      <c r="C3850" s="24"/>
      <c r="D3850" s="12"/>
      <c r="E3850" s="23"/>
      <c r="F3850" s="17"/>
      <c r="G3850" s="17"/>
      <c r="Z3850" s="22"/>
      <c r="AB3850" s="22"/>
    </row>
    <row r="3851" spans="1:28">
      <c r="A3851" s="19"/>
      <c r="B3851" s="12"/>
      <c r="C3851" s="24"/>
      <c r="D3851" s="12"/>
      <c r="E3851" s="23"/>
      <c r="F3851" s="17"/>
      <c r="G3851" s="17"/>
      <c r="Z3851" s="22"/>
      <c r="AB3851" s="22"/>
    </row>
    <row r="3852" spans="1:28">
      <c r="A3852" s="19"/>
      <c r="B3852" s="12"/>
      <c r="C3852" s="24"/>
      <c r="D3852" s="12"/>
      <c r="E3852" s="23"/>
      <c r="F3852" s="17"/>
      <c r="G3852" s="17"/>
      <c r="Z3852" s="22"/>
      <c r="AB3852" s="22"/>
    </row>
    <row r="3853" spans="1:28">
      <c r="A3853" s="19"/>
      <c r="B3853" s="12"/>
      <c r="C3853" s="24"/>
      <c r="D3853" s="12"/>
      <c r="E3853" s="23"/>
      <c r="F3853" s="17"/>
      <c r="G3853" s="17"/>
      <c r="Z3853" s="22"/>
      <c r="AB3853" s="22"/>
    </row>
    <row r="3854" spans="1:28">
      <c r="A3854" s="19"/>
      <c r="B3854" s="12"/>
      <c r="C3854" s="24"/>
      <c r="D3854" s="12"/>
      <c r="E3854" s="23"/>
      <c r="F3854" s="17"/>
      <c r="G3854" s="17"/>
      <c r="Z3854" s="22"/>
      <c r="AB3854" s="22"/>
    </row>
    <row r="3855" spans="1:28">
      <c r="A3855" s="19"/>
      <c r="B3855" s="12"/>
      <c r="C3855" s="24"/>
      <c r="D3855" s="12"/>
      <c r="E3855" s="23"/>
      <c r="F3855" s="17"/>
      <c r="G3855" s="17"/>
      <c r="Z3855" s="22"/>
      <c r="AB3855" s="22"/>
    </row>
    <row r="3856" spans="1:28">
      <c r="A3856" s="19"/>
      <c r="B3856" s="12"/>
      <c r="C3856" s="24"/>
      <c r="D3856" s="12"/>
      <c r="E3856" s="23"/>
      <c r="F3856" s="17"/>
      <c r="G3856" s="17"/>
      <c r="Z3856" s="22"/>
      <c r="AB3856" s="22"/>
    </row>
    <row r="3857" spans="1:28">
      <c r="A3857" s="19"/>
      <c r="B3857" s="12"/>
      <c r="C3857" s="24"/>
      <c r="D3857" s="12"/>
      <c r="E3857" s="23"/>
      <c r="F3857" s="17"/>
      <c r="G3857" s="17"/>
      <c r="Z3857" s="22"/>
      <c r="AB3857" s="22"/>
    </row>
    <row r="3858" spans="1:28">
      <c r="A3858" s="19"/>
      <c r="B3858" s="12"/>
      <c r="C3858" s="24"/>
      <c r="D3858" s="12"/>
      <c r="E3858" s="23"/>
      <c r="F3858" s="17"/>
      <c r="G3858" s="17"/>
      <c r="Z3858" s="22"/>
      <c r="AB3858" s="22"/>
    </row>
    <row r="3859" spans="1:28">
      <c r="A3859" s="19"/>
      <c r="B3859" s="12"/>
      <c r="C3859" s="24"/>
      <c r="D3859" s="12"/>
      <c r="E3859" s="23"/>
      <c r="F3859" s="17"/>
      <c r="G3859" s="17"/>
      <c r="Z3859" s="22"/>
      <c r="AB3859" s="22"/>
    </row>
    <row r="3860" spans="1:28">
      <c r="A3860" s="19"/>
      <c r="B3860" s="12"/>
      <c r="C3860" s="24"/>
      <c r="D3860" s="12"/>
      <c r="E3860" s="23"/>
      <c r="F3860" s="17"/>
      <c r="G3860" s="17"/>
      <c r="Z3860" s="22"/>
      <c r="AB3860" s="22"/>
    </row>
    <row r="3861" spans="1:28">
      <c r="A3861" s="19"/>
      <c r="B3861" s="12"/>
      <c r="C3861" s="24"/>
      <c r="D3861" s="12"/>
      <c r="E3861" s="23"/>
      <c r="F3861" s="17"/>
      <c r="G3861" s="17"/>
      <c r="Z3861" s="22"/>
      <c r="AB3861" s="22"/>
    </row>
    <row r="3862" spans="1:28">
      <c r="A3862" s="19"/>
      <c r="B3862" s="12"/>
      <c r="C3862" s="24"/>
      <c r="D3862" s="12"/>
      <c r="E3862" s="23"/>
      <c r="F3862" s="17"/>
      <c r="G3862" s="17"/>
      <c r="Z3862" s="22"/>
      <c r="AB3862" s="22"/>
    </row>
    <row r="3863" spans="1:28">
      <c r="A3863" s="19"/>
      <c r="B3863" s="12"/>
      <c r="C3863" s="24"/>
      <c r="D3863" s="12"/>
      <c r="E3863" s="23"/>
      <c r="F3863" s="17"/>
      <c r="G3863" s="17"/>
      <c r="Z3863" s="22"/>
      <c r="AB3863" s="22"/>
    </row>
    <row r="3864" spans="1:28">
      <c r="A3864" s="19"/>
      <c r="B3864" s="12"/>
      <c r="C3864" s="24"/>
      <c r="D3864" s="12"/>
      <c r="E3864" s="23"/>
      <c r="F3864" s="17"/>
      <c r="G3864" s="17"/>
      <c r="Z3864" s="22"/>
      <c r="AB3864" s="22"/>
    </row>
    <row r="3865" spans="1:28">
      <c r="A3865" s="19"/>
      <c r="B3865" s="12"/>
      <c r="C3865" s="24"/>
      <c r="D3865" s="12"/>
      <c r="E3865" s="23"/>
      <c r="F3865" s="17"/>
      <c r="G3865" s="17"/>
      <c r="Z3865" s="22"/>
      <c r="AB3865" s="22"/>
    </row>
    <row r="3866" spans="1:28">
      <c r="A3866" s="19"/>
      <c r="B3866" s="12"/>
      <c r="C3866" s="24"/>
      <c r="D3866" s="12"/>
      <c r="E3866" s="23"/>
      <c r="F3866" s="17"/>
      <c r="G3866" s="17"/>
      <c r="Z3866" s="22"/>
      <c r="AB3866" s="22"/>
    </row>
    <row r="3867" spans="1:28">
      <c r="A3867" s="19"/>
      <c r="B3867" s="12"/>
      <c r="C3867" s="24"/>
      <c r="D3867" s="12"/>
      <c r="E3867" s="23"/>
      <c r="F3867" s="17"/>
      <c r="G3867" s="17"/>
      <c r="Z3867" s="22"/>
      <c r="AB3867" s="22"/>
    </row>
    <row r="3868" spans="1:28">
      <c r="A3868" s="19"/>
      <c r="B3868" s="12"/>
      <c r="C3868" s="24"/>
      <c r="D3868" s="12"/>
      <c r="E3868" s="23"/>
      <c r="F3868" s="17"/>
      <c r="G3868" s="17"/>
      <c r="Z3868" s="22"/>
      <c r="AB3868" s="22"/>
    </row>
    <row r="3869" spans="1:28">
      <c r="A3869" s="19"/>
      <c r="B3869" s="12"/>
      <c r="C3869" s="24"/>
      <c r="D3869" s="12"/>
      <c r="E3869" s="23"/>
      <c r="F3869" s="17"/>
      <c r="G3869" s="17"/>
      <c r="Z3869" s="22"/>
      <c r="AB3869" s="22"/>
    </row>
    <row r="3870" spans="1:28">
      <c r="A3870" s="19"/>
      <c r="B3870" s="12"/>
      <c r="C3870" s="24"/>
      <c r="D3870" s="12"/>
      <c r="E3870" s="23"/>
      <c r="F3870" s="17"/>
      <c r="G3870" s="17"/>
      <c r="Z3870" s="22"/>
      <c r="AB3870" s="22"/>
    </row>
    <row r="3871" spans="1:28">
      <c r="A3871" s="19"/>
      <c r="B3871" s="12"/>
      <c r="C3871" s="24"/>
      <c r="D3871" s="12"/>
      <c r="E3871" s="23"/>
      <c r="F3871" s="17"/>
      <c r="G3871" s="17"/>
      <c r="Z3871" s="22"/>
      <c r="AB3871" s="22"/>
    </row>
    <row r="3872" spans="1:28">
      <c r="A3872" s="19"/>
      <c r="B3872" s="12"/>
      <c r="C3872" s="24"/>
      <c r="D3872" s="12"/>
      <c r="E3872" s="23"/>
      <c r="F3872" s="17"/>
      <c r="G3872" s="17"/>
      <c r="Z3872" s="22"/>
      <c r="AB3872" s="22"/>
    </row>
    <row r="3873" spans="1:28">
      <c r="A3873" s="19"/>
      <c r="B3873" s="12"/>
      <c r="C3873" s="24"/>
      <c r="D3873" s="12"/>
      <c r="E3873" s="23"/>
      <c r="F3873" s="17"/>
      <c r="G3873" s="17"/>
      <c r="Z3873" s="22"/>
      <c r="AB3873" s="22"/>
    </row>
    <row r="3874" spans="1:28">
      <c r="A3874" s="19"/>
      <c r="B3874" s="12"/>
      <c r="C3874" s="24"/>
      <c r="D3874" s="12"/>
      <c r="E3874" s="23"/>
      <c r="F3874" s="17"/>
      <c r="G3874" s="17"/>
      <c r="Z3874" s="22"/>
      <c r="AB3874" s="22"/>
    </row>
    <row r="3875" spans="1:28">
      <c r="A3875" s="19"/>
      <c r="B3875" s="12"/>
      <c r="C3875" s="24"/>
      <c r="D3875" s="12"/>
      <c r="E3875" s="23"/>
      <c r="F3875" s="17"/>
      <c r="G3875" s="17"/>
      <c r="Z3875" s="22"/>
      <c r="AB3875" s="22"/>
    </row>
    <row r="3876" spans="1:28">
      <c r="A3876" s="19"/>
      <c r="B3876" s="12"/>
      <c r="C3876" s="24"/>
      <c r="D3876" s="12"/>
      <c r="E3876" s="23"/>
      <c r="F3876" s="17"/>
      <c r="G3876" s="17"/>
      <c r="Z3876" s="22"/>
      <c r="AB3876" s="22"/>
    </row>
    <row r="3877" spans="1:28">
      <c r="A3877" s="19"/>
      <c r="B3877" s="12"/>
      <c r="C3877" s="24"/>
      <c r="D3877" s="12"/>
      <c r="E3877" s="23"/>
      <c r="F3877" s="17"/>
      <c r="G3877" s="17"/>
      <c r="Z3877" s="22"/>
      <c r="AB3877" s="22"/>
    </row>
    <row r="3878" spans="1:28">
      <c r="A3878" s="19"/>
      <c r="B3878" s="12"/>
      <c r="C3878" s="24"/>
      <c r="D3878" s="12"/>
      <c r="E3878" s="23"/>
      <c r="F3878" s="17"/>
      <c r="G3878" s="17"/>
      <c r="Z3878" s="22"/>
      <c r="AB3878" s="22"/>
    </row>
    <row r="3879" spans="1:28">
      <c r="A3879" s="19"/>
      <c r="B3879" s="12"/>
      <c r="C3879" s="24"/>
      <c r="D3879" s="12"/>
      <c r="E3879" s="23"/>
      <c r="F3879" s="17"/>
      <c r="G3879" s="17"/>
      <c r="Z3879" s="22"/>
      <c r="AB3879" s="22"/>
    </row>
    <row r="3880" spans="1:28">
      <c r="A3880" s="19"/>
      <c r="B3880" s="12"/>
      <c r="C3880" s="24"/>
      <c r="D3880" s="12"/>
      <c r="E3880" s="23"/>
      <c r="F3880" s="17"/>
      <c r="G3880" s="17"/>
      <c r="Z3880" s="22"/>
      <c r="AB3880" s="22"/>
    </row>
    <row r="3881" spans="1:28">
      <c r="A3881" s="19"/>
      <c r="B3881" s="12"/>
      <c r="C3881" s="24"/>
      <c r="D3881" s="12"/>
      <c r="E3881" s="23"/>
      <c r="F3881" s="17"/>
      <c r="G3881" s="17"/>
      <c r="Z3881" s="22"/>
      <c r="AB3881" s="22"/>
    </row>
    <row r="3882" spans="1:28">
      <c r="A3882" s="19"/>
      <c r="B3882" s="12"/>
      <c r="C3882" s="24"/>
      <c r="D3882" s="12"/>
      <c r="E3882" s="23"/>
      <c r="F3882" s="17"/>
      <c r="G3882" s="17"/>
      <c r="Z3882" s="22"/>
      <c r="AB3882" s="22"/>
    </row>
    <row r="3883" spans="1:28">
      <c r="A3883" s="19"/>
      <c r="B3883" s="12"/>
      <c r="C3883" s="24"/>
      <c r="D3883" s="12"/>
      <c r="E3883" s="23"/>
      <c r="F3883" s="17"/>
      <c r="G3883" s="17"/>
      <c r="Z3883" s="22"/>
      <c r="AB3883" s="22"/>
    </row>
    <row r="3884" spans="1:28">
      <c r="A3884" s="19"/>
      <c r="B3884" s="12"/>
      <c r="C3884" s="24"/>
      <c r="D3884" s="12"/>
      <c r="E3884" s="23"/>
      <c r="F3884" s="17"/>
      <c r="G3884" s="17"/>
      <c r="Z3884" s="22"/>
      <c r="AB3884" s="22"/>
    </row>
    <row r="3885" spans="1:28">
      <c r="A3885" s="19"/>
      <c r="B3885" s="12"/>
      <c r="C3885" s="24"/>
      <c r="D3885" s="12"/>
      <c r="E3885" s="23"/>
      <c r="F3885" s="17"/>
      <c r="G3885" s="17"/>
      <c r="Z3885" s="22"/>
      <c r="AB3885" s="22"/>
    </row>
    <row r="3886" spans="1:28">
      <c r="A3886" s="19"/>
      <c r="B3886" s="12"/>
      <c r="C3886" s="24"/>
      <c r="D3886" s="12"/>
      <c r="E3886" s="23"/>
      <c r="F3886" s="17"/>
      <c r="G3886" s="17"/>
      <c r="Z3886" s="22"/>
      <c r="AB3886" s="22"/>
    </row>
    <row r="3887" spans="1:28">
      <c r="A3887" s="19"/>
      <c r="B3887" s="12"/>
      <c r="C3887" s="24"/>
      <c r="D3887" s="12"/>
      <c r="E3887" s="23"/>
      <c r="F3887" s="17"/>
      <c r="G3887" s="17"/>
      <c r="Z3887" s="22"/>
      <c r="AB3887" s="22"/>
    </row>
    <row r="3888" spans="1:28">
      <c r="A3888" s="19"/>
      <c r="B3888" s="12"/>
      <c r="C3888" s="24"/>
      <c r="D3888" s="12"/>
      <c r="E3888" s="23"/>
      <c r="F3888" s="17"/>
      <c r="G3888" s="17"/>
      <c r="Z3888" s="22"/>
      <c r="AB3888" s="22"/>
    </row>
    <row r="3889" spans="1:28">
      <c r="A3889" s="19"/>
      <c r="B3889" s="12"/>
      <c r="C3889" s="24"/>
      <c r="D3889" s="12"/>
      <c r="E3889" s="23"/>
      <c r="F3889" s="17"/>
      <c r="G3889" s="17"/>
      <c r="Z3889" s="22"/>
      <c r="AB3889" s="22"/>
    </row>
    <row r="3890" spans="1:28">
      <c r="A3890" s="19"/>
      <c r="B3890" s="12"/>
      <c r="C3890" s="24"/>
      <c r="D3890" s="12"/>
      <c r="E3890" s="23"/>
      <c r="F3890" s="17"/>
      <c r="G3890" s="17"/>
      <c r="Z3890" s="22"/>
      <c r="AB3890" s="22"/>
    </row>
    <row r="3891" spans="1:28">
      <c r="A3891" s="19"/>
      <c r="B3891" s="12"/>
      <c r="C3891" s="24"/>
      <c r="D3891" s="12"/>
      <c r="E3891" s="23"/>
      <c r="F3891" s="17"/>
      <c r="G3891" s="17"/>
      <c r="Z3891" s="22"/>
      <c r="AB3891" s="22"/>
    </row>
    <row r="3892" spans="1:28">
      <c r="A3892" s="19"/>
      <c r="B3892" s="12"/>
      <c r="C3892" s="24"/>
      <c r="D3892" s="12"/>
      <c r="E3892" s="23"/>
      <c r="F3892" s="17"/>
      <c r="G3892" s="17"/>
      <c r="Z3892" s="22"/>
      <c r="AB3892" s="22"/>
    </row>
    <row r="3893" spans="1:28">
      <c r="A3893" s="19"/>
      <c r="B3893" s="12"/>
      <c r="C3893" s="24"/>
      <c r="D3893" s="12"/>
      <c r="E3893" s="23"/>
      <c r="F3893" s="17"/>
      <c r="G3893" s="17"/>
      <c r="Z3893" s="22"/>
      <c r="AB3893" s="22"/>
    </row>
    <row r="3894" spans="1:28">
      <c r="A3894" s="19"/>
      <c r="B3894" s="12"/>
      <c r="C3894" s="24"/>
      <c r="D3894" s="12"/>
      <c r="E3894" s="23"/>
      <c r="F3894" s="17"/>
      <c r="G3894" s="17"/>
      <c r="Z3894" s="22"/>
      <c r="AB3894" s="22"/>
    </row>
    <row r="3895" spans="1:28">
      <c r="A3895" s="19"/>
      <c r="B3895" s="12"/>
      <c r="C3895" s="24"/>
      <c r="D3895" s="12"/>
      <c r="E3895" s="23"/>
      <c r="F3895" s="17"/>
      <c r="G3895" s="17"/>
      <c r="Z3895" s="22"/>
      <c r="AB3895" s="22"/>
    </row>
    <row r="3896" spans="1:28">
      <c r="A3896" s="19"/>
      <c r="B3896" s="12"/>
      <c r="C3896" s="24"/>
      <c r="D3896" s="12"/>
      <c r="E3896" s="23"/>
      <c r="F3896" s="17"/>
      <c r="G3896" s="17"/>
      <c r="Z3896" s="22"/>
      <c r="AB3896" s="22"/>
    </row>
    <row r="3897" spans="1:28">
      <c r="A3897" s="19"/>
      <c r="B3897" s="12"/>
      <c r="C3897" s="24"/>
      <c r="D3897" s="12"/>
      <c r="E3897" s="23"/>
      <c r="F3897" s="17"/>
      <c r="G3897" s="17"/>
      <c r="Z3897" s="22"/>
      <c r="AB3897" s="22"/>
    </row>
    <row r="3898" spans="1:28">
      <c r="A3898" s="19"/>
      <c r="B3898" s="12"/>
      <c r="C3898" s="24"/>
      <c r="D3898" s="12"/>
      <c r="E3898" s="23"/>
      <c r="F3898" s="17"/>
      <c r="G3898" s="17"/>
      <c r="Z3898" s="22"/>
      <c r="AB3898" s="22"/>
    </row>
    <row r="3899" spans="1:28">
      <c r="A3899" s="19"/>
      <c r="B3899" s="12"/>
      <c r="C3899" s="24"/>
      <c r="D3899" s="12"/>
      <c r="E3899" s="23"/>
      <c r="F3899" s="17"/>
      <c r="G3899" s="17"/>
      <c r="Z3899" s="22"/>
      <c r="AB3899" s="22"/>
    </row>
    <row r="3900" spans="1:28">
      <c r="A3900" s="19"/>
      <c r="B3900" s="12"/>
      <c r="C3900" s="24"/>
      <c r="D3900" s="12"/>
      <c r="E3900" s="23"/>
      <c r="F3900" s="17"/>
      <c r="G3900" s="17"/>
      <c r="Z3900" s="22"/>
      <c r="AB3900" s="22"/>
    </row>
    <row r="3901" spans="1:28">
      <c r="A3901" s="19"/>
      <c r="B3901" s="12"/>
      <c r="C3901" s="24"/>
      <c r="D3901" s="12"/>
      <c r="E3901" s="23"/>
      <c r="F3901" s="17"/>
      <c r="G3901" s="17"/>
      <c r="Z3901" s="22"/>
      <c r="AB3901" s="22"/>
    </row>
    <row r="3902" spans="1:28">
      <c r="A3902" s="19"/>
      <c r="B3902" s="12"/>
      <c r="C3902" s="24"/>
      <c r="D3902" s="12"/>
      <c r="E3902" s="23"/>
      <c r="F3902" s="17"/>
      <c r="G3902" s="17"/>
      <c r="Z3902" s="22"/>
      <c r="AB3902" s="22"/>
    </row>
    <row r="3903" spans="1:28">
      <c r="A3903" s="19"/>
      <c r="B3903" s="12"/>
      <c r="C3903" s="24"/>
      <c r="D3903" s="12"/>
      <c r="E3903" s="23"/>
      <c r="F3903" s="17"/>
      <c r="G3903" s="17"/>
      <c r="Z3903" s="22"/>
      <c r="AB3903" s="22"/>
    </row>
    <row r="3904" spans="1:28">
      <c r="A3904" s="19"/>
      <c r="B3904" s="12"/>
      <c r="C3904" s="24"/>
      <c r="D3904" s="12"/>
      <c r="E3904" s="23"/>
      <c r="F3904" s="17"/>
      <c r="G3904" s="17"/>
      <c r="Z3904" s="22"/>
      <c r="AB3904" s="22"/>
    </row>
    <row r="3905" spans="1:28">
      <c r="A3905" s="19"/>
      <c r="B3905" s="12"/>
      <c r="C3905" s="24"/>
      <c r="D3905" s="12"/>
      <c r="E3905" s="23"/>
      <c r="F3905" s="17"/>
      <c r="G3905" s="17"/>
      <c r="Z3905" s="22"/>
      <c r="AB3905" s="22"/>
    </row>
    <row r="3906" spans="1:28">
      <c r="A3906" s="19"/>
      <c r="B3906" s="12"/>
      <c r="C3906" s="24"/>
      <c r="D3906" s="12"/>
      <c r="E3906" s="23"/>
      <c r="F3906" s="17"/>
      <c r="G3906" s="17"/>
      <c r="Z3906" s="22"/>
      <c r="AB3906" s="22"/>
    </row>
    <row r="3907" spans="1:28">
      <c r="A3907" s="19"/>
      <c r="B3907" s="12"/>
      <c r="C3907" s="24"/>
      <c r="D3907" s="12"/>
      <c r="E3907" s="23"/>
      <c r="F3907" s="17"/>
      <c r="G3907" s="17"/>
      <c r="Z3907" s="22"/>
      <c r="AB3907" s="22"/>
    </row>
    <row r="3908" spans="1:28">
      <c r="A3908" s="19"/>
      <c r="B3908" s="12"/>
      <c r="C3908" s="24"/>
      <c r="D3908" s="12"/>
      <c r="E3908" s="23"/>
      <c r="F3908" s="17"/>
      <c r="G3908" s="17"/>
      <c r="Z3908" s="22"/>
      <c r="AB3908" s="22"/>
    </row>
    <row r="3909" spans="1:28">
      <c r="A3909" s="19"/>
      <c r="B3909" s="12"/>
      <c r="C3909" s="24"/>
      <c r="D3909" s="12"/>
      <c r="E3909" s="23"/>
      <c r="F3909" s="17"/>
      <c r="G3909" s="17"/>
      <c r="Z3909" s="22"/>
      <c r="AB3909" s="22"/>
    </row>
    <row r="3910" spans="1:28">
      <c r="A3910" s="19"/>
      <c r="B3910" s="12"/>
      <c r="C3910" s="24"/>
      <c r="D3910" s="12"/>
      <c r="E3910" s="23"/>
      <c r="F3910" s="17"/>
      <c r="G3910" s="17"/>
      <c r="Z3910" s="22"/>
      <c r="AB3910" s="22"/>
    </row>
    <row r="3911" spans="1:28">
      <c r="A3911" s="19"/>
      <c r="B3911" s="12"/>
      <c r="C3911" s="24"/>
      <c r="D3911" s="12"/>
      <c r="E3911" s="23"/>
      <c r="F3911" s="17"/>
      <c r="G3911" s="17"/>
      <c r="Z3911" s="22"/>
      <c r="AB3911" s="22"/>
    </row>
    <row r="3912" spans="1:28">
      <c r="A3912" s="19"/>
      <c r="B3912" s="12"/>
      <c r="C3912" s="24"/>
      <c r="D3912" s="12"/>
      <c r="E3912" s="23"/>
      <c r="F3912" s="17"/>
      <c r="G3912" s="17"/>
      <c r="Z3912" s="22"/>
      <c r="AB3912" s="22"/>
    </row>
    <row r="3913" spans="1:28">
      <c r="A3913" s="19"/>
      <c r="B3913" s="12"/>
      <c r="C3913" s="24"/>
      <c r="D3913" s="12"/>
      <c r="E3913" s="23"/>
      <c r="F3913" s="17"/>
      <c r="G3913" s="17"/>
      <c r="Z3913" s="22"/>
      <c r="AB3913" s="22"/>
    </row>
    <row r="3914" spans="1:28">
      <c r="A3914" s="19"/>
      <c r="B3914" s="12"/>
      <c r="C3914" s="24"/>
      <c r="D3914" s="12"/>
      <c r="E3914" s="23"/>
      <c r="F3914" s="17"/>
      <c r="G3914" s="17"/>
      <c r="Z3914" s="22"/>
      <c r="AB3914" s="22"/>
    </row>
    <row r="3915" spans="1:28">
      <c r="A3915" s="19"/>
      <c r="B3915" s="12"/>
      <c r="C3915" s="24"/>
      <c r="D3915" s="12"/>
      <c r="E3915" s="23"/>
      <c r="F3915" s="17"/>
      <c r="G3915" s="17"/>
      <c r="Z3915" s="22"/>
      <c r="AB3915" s="22"/>
    </row>
    <row r="3916" spans="1:28">
      <c r="A3916" s="19"/>
      <c r="B3916" s="12"/>
      <c r="C3916" s="24"/>
      <c r="D3916" s="12"/>
      <c r="E3916" s="23"/>
      <c r="F3916" s="17"/>
      <c r="G3916" s="17"/>
      <c r="Z3916" s="22"/>
      <c r="AB3916" s="22"/>
    </row>
    <row r="3917" spans="1:28">
      <c r="A3917" s="19"/>
      <c r="B3917" s="12"/>
      <c r="C3917" s="24"/>
      <c r="D3917" s="12"/>
      <c r="E3917" s="23"/>
      <c r="F3917" s="17"/>
      <c r="G3917" s="17"/>
      <c r="Z3917" s="22"/>
      <c r="AB3917" s="22"/>
    </row>
    <row r="3918" spans="1:28">
      <c r="A3918" s="19"/>
      <c r="B3918" s="12"/>
      <c r="C3918" s="24"/>
      <c r="D3918" s="12"/>
      <c r="E3918" s="23"/>
      <c r="F3918" s="17"/>
      <c r="G3918" s="17"/>
      <c r="Z3918" s="22"/>
      <c r="AB3918" s="22"/>
    </row>
    <row r="3919" spans="1:28">
      <c r="A3919" s="19"/>
      <c r="B3919" s="12"/>
      <c r="C3919" s="24"/>
      <c r="D3919" s="12"/>
      <c r="E3919" s="23"/>
      <c r="F3919" s="17"/>
      <c r="G3919" s="17"/>
      <c r="Z3919" s="22"/>
      <c r="AB3919" s="22"/>
    </row>
    <row r="3920" spans="1:28">
      <c r="A3920" s="19"/>
      <c r="B3920" s="12"/>
      <c r="C3920" s="24"/>
      <c r="D3920" s="12"/>
      <c r="E3920" s="23"/>
      <c r="F3920" s="17"/>
      <c r="G3920" s="17"/>
      <c r="Z3920" s="22"/>
      <c r="AB3920" s="22"/>
    </row>
    <row r="3921" spans="1:28">
      <c r="A3921" s="19"/>
      <c r="B3921" s="12"/>
      <c r="C3921" s="24"/>
      <c r="D3921" s="12"/>
      <c r="E3921" s="23"/>
      <c r="F3921" s="17"/>
      <c r="G3921" s="17"/>
      <c r="Z3921" s="22"/>
      <c r="AB3921" s="22"/>
    </row>
    <row r="3922" spans="1:28">
      <c r="A3922" s="19"/>
      <c r="B3922" s="12"/>
      <c r="C3922" s="24"/>
      <c r="D3922" s="12"/>
      <c r="E3922" s="23"/>
      <c r="F3922" s="17"/>
      <c r="G3922" s="17"/>
      <c r="Z3922" s="22"/>
      <c r="AB3922" s="22"/>
    </row>
    <row r="3923" spans="1:28">
      <c r="A3923" s="19"/>
      <c r="B3923" s="12"/>
      <c r="C3923" s="24"/>
      <c r="D3923" s="12"/>
      <c r="E3923" s="23"/>
      <c r="F3923" s="17"/>
      <c r="G3923" s="17"/>
      <c r="Z3923" s="22"/>
      <c r="AB3923" s="22"/>
    </row>
    <row r="3924" spans="1:28">
      <c r="A3924" s="19"/>
      <c r="B3924" s="12"/>
      <c r="C3924" s="24"/>
      <c r="D3924" s="12"/>
      <c r="E3924" s="23"/>
      <c r="F3924" s="17"/>
      <c r="G3924" s="17"/>
      <c r="Z3924" s="22"/>
      <c r="AB3924" s="22"/>
    </row>
    <row r="3925" spans="1:28">
      <c r="A3925" s="19"/>
      <c r="B3925" s="12"/>
      <c r="C3925" s="24"/>
      <c r="D3925" s="12"/>
      <c r="E3925" s="23"/>
      <c r="F3925" s="17"/>
      <c r="G3925" s="17"/>
      <c r="Z3925" s="22"/>
      <c r="AB3925" s="22"/>
    </row>
    <row r="3926" spans="1:28">
      <c r="A3926" s="19"/>
      <c r="B3926" s="12"/>
      <c r="C3926" s="24"/>
      <c r="D3926" s="12"/>
      <c r="E3926" s="23"/>
      <c r="F3926" s="17"/>
      <c r="G3926" s="17"/>
      <c r="Z3926" s="22"/>
      <c r="AB3926" s="22"/>
    </row>
    <row r="3927" spans="1:28">
      <c r="A3927" s="19"/>
      <c r="B3927" s="12"/>
      <c r="C3927" s="24"/>
      <c r="D3927" s="12"/>
      <c r="E3927" s="23"/>
      <c r="F3927" s="17"/>
      <c r="G3927" s="17"/>
      <c r="Z3927" s="22"/>
      <c r="AB3927" s="22"/>
    </row>
    <row r="3928" spans="1:28">
      <c r="A3928" s="19"/>
      <c r="B3928" s="12"/>
      <c r="C3928" s="24"/>
      <c r="D3928" s="12"/>
      <c r="E3928" s="23"/>
      <c r="F3928" s="17"/>
      <c r="G3928" s="17"/>
      <c r="Z3928" s="22"/>
      <c r="AB3928" s="22"/>
    </row>
    <row r="3929" spans="1:28">
      <c r="A3929" s="19"/>
      <c r="B3929" s="12"/>
      <c r="C3929" s="24"/>
      <c r="D3929" s="12"/>
      <c r="E3929" s="23"/>
      <c r="F3929" s="17"/>
      <c r="G3929" s="17"/>
      <c r="Z3929" s="22"/>
      <c r="AB3929" s="22"/>
    </row>
    <row r="3930" spans="1:28">
      <c r="A3930" s="19"/>
      <c r="B3930" s="12"/>
      <c r="C3930" s="24"/>
      <c r="D3930" s="12"/>
      <c r="E3930" s="23"/>
      <c r="F3930" s="17"/>
      <c r="G3930" s="17"/>
      <c r="Z3930" s="22"/>
      <c r="AB3930" s="22"/>
    </row>
    <row r="3931" spans="1:28">
      <c r="A3931" s="19"/>
      <c r="B3931" s="12"/>
      <c r="C3931" s="24"/>
      <c r="D3931" s="12"/>
      <c r="E3931" s="23"/>
      <c r="F3931" s="17"/>
      <c r="G3931" s="17"/>
      <c r="Z3931" s="22"/>
      <c r="AB3931" s="22"/>
    </row>
    <row r="3932" spans="1:28">
      <c r="A3932" s="19"/>
      <c r="B3932" s="12"/>
      <c r="C3932" s="24"/>
      <c r="D3932" s="12"/>
      <c r="E3932" s="23"/>
      <c r="F3932" s="17"/>
      <c r="G3932" s="17"/>
      <c r="Z3932" s="22"/>
      <c r="AB3932" s="22"/>
    </row>
    <row r="3933" spans="1:28">
      <c r="A3933" s="19"/>
      <c r="B3933" s="12"/>
      <c r="C3933" s="24"/>
      <c r="D3933" s="12"/>
      <c r="E3933" s="23"/>
      <c r="F3933" s="17"/>
      <c r="G3933" s="17"/>
      <c r="Z3933" s="22"/>
      <c r="AB3933" s="22"/>
    </row>
    <row r="3934" spans="1:28">
      <c r="A3934" s="19"/>
      <c r="B3934" s="12"/>
      <c r="C3934" s="24"/>
      <c r="D3934" s="12"/>
      <c r="E3934" s="23"/>
      <c r="F3934" s="17"/>
      <c r="G3934" s="17"/>
      <c r="Z3934" s="22"/>
      <c r="AB3934" s="22"/>
    </row>
    <row r="3935" spans="1:28">
      <c r="A3935" s="19"/>
      <c r="B3935" s="12"/>
      <c r="C3935" s="24"/>
      <c r="D3935" s="12"/>
      <c r="E3935" s="23"/>
      <c r="F3935" s="17"/>
      <c r="G3935" s="17"/>
      <c r="Z3935" s="22"/>
      <c r="AB3935" s="22"/>
    </row>
    <row r="3936" spans="1:28">
      <c r="A3936" s="19"/>
      <c r="B3936" s="12"/>
      <c r="C3936" s="24"/>
      <c r="D3936" s="12"/>
      <c r="E3936" s="23"/>
      <c r="F3936" s="17"/>
      <c r="G3936" s="17"/>
      <c r="Z3936" s="22"/>
      <c r="AB3936" s="22"/>
    </row>
    <row r="3937" spans="1:28">
      <c r="A3937" s="19"/>
      <c r="B3937" s="12"/>
      <c r="C3937" s="24"/>
      <c r="D3937" s="12"/>
      <c r="E3937" s="23"/>
      <c r="F3937" s="17"/>
      <c r="G3937" s="17"/>
      <c r="Z3937" s="22"/>
      <c r="AB3937" s="22"/>
    </row>
    <row r="3938" spans="1:28">
      <c r="A3938" s="19"/>
      <c r="B3938" s="12"/>
      <c r="C3938" s="24"/>
      <c r="D3938" s="12"/>
      <c r="E3938" s="23"/>
      <c r="F3938" s="17"/>
      <c r="G3938" s="17"/>
      <c r="Z3938" s="22"/>
      <c r="AB3938" s="22"/>
    </row>
    <row r="3939" spans="1:28">
      <c r="A3939" s="19"/>
      <c r="B3939" s="12"/>
      <c r="C3939" s="24"/>
      <c r="D3939" s="12"/>
      <c r="E3939" s="23"/>
      <c r="F3939" s="17"/>
      <c r="G3939" s="17"/>
      <c r="Z3939" s="22"/>
      <c r="AB3939" s="22"/>
    </row>
    <row r="3940" spans="1:28">
      <c r="A3940" s="19"/>
      <c r="B3940" s="12"/>
      <c r="C3940" s="24"/>
      <c r="D3940" s="12"/>
      <c r="E3940" s="23"/>
      <c r="F3940" s="17"/>
      <c r="G3940" s="17"/>
      <c r="Z3940" s="22"/>
      <c r="AB3940" s="22"/>
    </row>
    <row r="3941" spans="1:28">
      <c r="A3941" s="19"/>
      <c r="B3941" s="12"/>
      <c r="C3941" s="24"/>
      <c r="D3941" s="12"/>
      <c r="E3941" s="23"/>
      <c r="F3941" s="17"/>
      <c r="G3941" s="17"/>
      <c r="Z3941" s="22"/>
      <c r="AB3941" s="22"/>
    </row>
    <row r="3942" spans="1:28">
      <c r="A3942" s="19"/>
      <c r="B3942" s="12"/>
      <c r="C3942" s="24"/>
      <c r="D3942" s="12"/>
      <c r="E3942" s="23"/>
      <c r="F3942" s="17"/>
      <c r="G3942" s="17"/>
      <c r="Z3942" s="22"/>
      <c r="AB3942" s="22"/>
    </row>
    <row r="3943" spans="1:28">
      <c r="A3943" s="19"/>
      <c r="B3943" s="12"/>
      <c r="C3943" s="24"/>
      <c r="D3943" s="12"/>
      <c r="E3943" s="23"/>
      <c r="F3943" s="17"/>
      <c r="G3943" s="17"/>
      <c r="Z3943" s="22"/>
      <c r="AB3943" s="22"/>
    </row>
    <row r="3944" spans="1:28">
      <c r="A3944" s="19"/>
      <c r="B3944" s="12"/>
      <c r="C3944" s="24"/>
      <c r="D3944" s="12"/>
      <c r="E3944" s="23"/>
      <c r="F3944" s="17"/>
      <c r="G3944" s="17"/>
      <c r="Z3944" s="22"/>
      <c r="AB3944" s="22"/>
    </row>
    <row r="3945" spans="1:28">
      <c r="A3945" s="19"/>
      <c r="B3945" s="12"/>
      <c r="C3945" s="24"/>
      <c r="D3945" s="12"/>
      <c r="E3945" s="23"/>
      <c r="F3945" s="17"/>
      <c r="G3945" s="17"/>
      <c r="Z3945" s="22"/>
      <c r="AB3945" s="22"/>
    </row>
    <row r="3946" spans="1:28">
      <c r="A3946" s="19"/>
      <c r="B3946" s="12"/>
      <c r="C3946" s="24"/>
      <c r="D3946" s="12"/>
      <c r="E3946" s="23"/>
      <c r="F3946" s="17"/>
      <c r="G3946" s="17"/>
      <c r="Z3946" s="22"/>
      <c r="AB3946" s="22"/>
    </row>
    <row r="3947" spans="1:28">
      <c r="A3947" s="19"/>
      <c r="B3947" s="12"/>
      <c r="C3947" s="24"/>
      <c r="D3947" s="12"/>
      <c r="E3947" s="23"/>
      <c r="F3947" s="17"/>
      <c r="G3947" s="17"/>
      <c r="Z3947" s="22"/>
      <c r="AB3947" s="22"/>
    </row>
    <row r="3948" spans="1:28">
      <c r="A3948" s="19"/>
      <c r="B3948" s="12"/>
      <c r="C3948" s="24"/>
      <c r="D3948" s="12"/>
      <c r="E3948" s="23"/>
      <c r="F3948" s="17"/>
      <c r="G3948" s="17"/>
      <c r="Z3948" s="22"/>
      <c r="AB3948" s="22"/>
    </row>
    <row r="3949" spans="1:28">
      <c r="A3949" s="19"/>
      <c r="B3949" s="12"/>
      <c r="C3949" s="24"/>
      <c r="D3949" s="12"/>
      <c r="E3949" s="23"/>
      <c r="F3949" s="17"/>
      <c r="G3949" s="17"/>
      <c r="Z3949" s="22"/>
      <c r="AB3949" s="22"/>
    </row>
    <row r="3950" spans="1:28">
      <c r="A3950" s="19"/>
      <c r="B3950" s="12"/>
      <c r="C3950" s="24"/>
      <c r="D3950" s="12"/>
      <c r="E3950" s="23"/>
      <c r="F3950" s="17"/>
      <c r="G3950" s="17"/>
      <c r="Z3950" s="22"/>
      <c r="AB3950" s="22"/>
    </row>
    <row r="3951" spans="1:28">
      <c r="A3951" s="19"/>
      <c r="B3951" s="12"/>
      <c r="C3951" s="24"/>
      <c r="D3951" s="12"/>
      <c r="E3951" s="23"/>
      <c r="F3951" s="17"/>
      <c r="G3951" s="17"/>
      <c r="Z3951" s="22"/>
      <c r="AB3951" s="22"/>
    </row>
    <row r="3952" spans="1:28">
      <c r="A3952" s="19"/>
      <c r="B3952" s="12"/>
      <c r="C3952" s="24"/>
      <c r="D3952" s="12"/>
      <c r="E3952" s="23"/>
      <c r="F3952" s="17"/>
      <c r="G3952" s="17"/>
      <c r="Z3952" s="22"/>
      <c r="AB3952" s="22"/>
    </row>
    <row r="3953" spans="1:28">
      <c r="A3953" s="19"/>
      <c r="B3953" s="12"/>
      <c r="C3953" s="24"/>
      <c r="D3953" s="12"/>
      <c r="E3953" s="23"/>
      <c r="F3953" s="17"/>
      <c r="G3953" s="17"/>
      <c r="Z3953" s="22"/>
      <c r="AB3953" s="22"/>
    </row>
    <row r="3954" spans="1:28">
      <c r="A3954" s="19"/>
      <c r="B3954" s="12"/>
      <c r="C3954" s="24"/>
      <c r="D3954" s="12"/>
      <c r="E3954" s="23"/>
      <c r="F3954" s="17"/>
      <c r="G3954" s="17"/>
      <c r="Z3954" s="22"/>
      <c r="AB3954" s="22"/>
    </row>
    <row r="3955" spans="1:28">
      <c r="A3955" s="19"/>
      <c r="B3955" s="12"/>
      <c r="C3955" s="24"/>
      <c r="D3955" s="12"/>
      <c r="E3955" s="23"/>
      <c r="F3955" s="17"/>
      <c r="G3955" s="17"/>
      <c r="Z3955" s="22"/>
      <c r="AB3955" s="22"/>
    </row>
    <row r="3956" spans="1:28">
      <c r="A3956" s="19"/>
      <c r="B3956" s="12"/>
      <c r="C3956" s="24"/>
      <c r="D3956" s="12"/>
      <c r="E3956" s="23"/>
      <c r="F3956" s="17"/>
      <c r="G3956" s="17"/>
      <c r="Z3956" s="22"/>
      <c r="AB3956" s="22"/>
    </row>
    <row r="3957" spans="1:28">
      <c r="A3957" s="19"/>
      <c r="B3957" s="12"/>
      <c r="C3957" s="24"/>
      <c r="D3957" s="12"/>
      <c r="E3957" s="23"/>
      <c r="F3957" s="17"/>
      <c r="G3957" s="17"/>
      <c r="Z3957" s="22"/>
      <c r="AB3957" s="22"/>
    </row>
    <row r="3958" spans="1:28">
      <c r="A3958" s="19"/>
      <c r="B3958" s="12"/>
      <c r="C3958" s="24"/>
      <c r="D3958" s="12"/>
      <c r="E3958" s="23"/>
      <c r="F3958" s="17"/>
      <c r="G3958" s="17"/>
      <c r="Z3958" s="22"/>
      <c r="AB3958" s="22"/>
    </row>
    <row r="3959" spans="1:28">
      <c r="A3959" s="19"/>
      <c r="B3959" s="12"/>
      <c r="C3959" s="24"/>
      <c r="D3959" s="12"/>
      <c r="E3959" s="23"/>
      <c r="F3959" s="17"/>
      <c r="G3959" s="17"/>
      <c r="Z3959" s="22"/>
      <c r="AB3959" s="22"/>
    </row>
    <row r="3960" spans="1:28">
      <c r="A3960" s="19"/>
      <c r="B3960" s="12"/>
      <c r="C3960" s="24"/>
      <c r="D3960" s="12"/>
      <c r="E3960" s="23"/>
      <c r="F3960" s="17"/>
      <c r="G3960" s="17"/>
      <c r="Z3960" s="22"/>
      <c r="AB3960" s="22"/>
    </row>
    <row r="3961" spans="1:28">
      <c r="A3961" s="19"/>
      <c r="B3961" s="12"/>
      <c r="C3961" s="24"/>
      <c r="D3961" s="12"/>
      <c r="E3961" s="23"/>
      <c r="F3961" s="17"/>
      <c r="G3961" s="17"/>
      <c r="Z3961" s="22"/>
      <c r="AB3961" s="22"/>
    </row>
    <row r="3962" spans="1:28">
      <c r="A3962" s="19"/>
      <c r="B3962" s="12"/>
      <c r="C3962" s="24"/>
      <c r="D3962" s="12"/>
      <c r="E3962" s="23"/>
      <c r="F3962" s="17"/>
      <c r="G3962" s="17"/>
      <c r="Z3962" s="22"/>
      <c r="AB3962" s="22"/>
    </row>
    <row r="3963" spans="1:28">
      <c r="A3963" s="19"/>
      <c r="B3963" s="12"/>
      <c r="C3963" s="24"/>
      <c r="D3963" s="12"/>
      <c r="E3963" s="23"/>
      <c r="F3963" s="17"/>
      <c r="G3963" s="17"/>
      <c r="Z3963" s="22"/>
      <c r="AB3963" s="22"/>
    </row>
    <row r="3964" spans="1:28">
      <c r="A3964" s="19"/>
      <c r="B3964" s="12"/>
      <c r="C3964" s="24"/>
      <c r="D3964" s="12"/>
      <c r="E3964" s="23"/>
      <c r="F3964" s="17"/>
      <c r="G3964" s="17"/>
      <c r="Z3964" s="22"/>
      <c r="AB3964" s="22"/>
    </row>
    <row r="3965" spans="1:28">
      <c r="A3965" s="19"/>
      <c r="B3965" s="12"/>
      <c r="C3965" s="24"/>
      <c r="D3965" s="12"/>
      <c r="E3965" s="23"/>
      <c r="F3965" s="17"/>
      <c r="G3965" s="17"/>
      <c r="Z3965" s="22"/>
      <c r="AB3965" s="22"/>
    </row>
    <row r="3966" spans="1:28">
      <c r="A3966" s="19"/>
      <c r="B3966" s="12"/>
      <c r="C3966" s="24"/>
      <c r="D3966" s="12"/>
      <c r="E3966" s="23"/>
      <c r="F3966" s="17"/>
      <c r="G3966" s="17"/>
      <c r="Z3966" s="22"/>
      <c r="AB3966" s="22"/>
    </row>
    <row r="3967" spans="1:28">
      <c r="A3967" s="19"/>
      <c r="B3967" s="12"/>
      <c r="C3967" s="24"/>
      <c r="D3967" s="12"/>
      <c r="E3967" s="23"/>
      <c r="F3967" s="17"/>
      <c r="G3967" s="17"/>
      <c r="Z3967" s="22"/>
      <c r="AB3967" s="22"/>
    </row>
    <row r="3968" spans="1:28">
      <c r="A3968" s="19"/>
      <c r="B3968" s="12"/>
      <c r="C3968" s="24"/>
      <c r="D3968" s="12"/>
      <c r="E3968" s="23"/>
      <c r="F3968" s="17"/>
      <c r="G3968" s="17"/>
      <c r="Z3968" s="22"/>
      <c r="AB3968" s="22"/>
    </row>
    <row r="3969" spans="1:28">
      <c r="A3969" s="19"/>
      <c r="B3969" s="12"/>
      <c r="C3969" s="24"/>
      <c r="D3969" s="12"/>
      <c r="E3969" s="23"/>
      <c r="F3969" s="17"/>
      <c r="G3969" s="17"/>
      <c r="Z3969" s="22"/>
      <c r="AB3969" s="22"/>
    </row>
    <row r="3970" spans="1:28">
      <c r="A3970" s="19"/>
      <c r="B3970" s="12"/>
      <c r="C3970" s="24"/>
      <c r="D3970" s="12"/>
      <c r="E3970" s="23"/>
      <c r="F3970" s="17"/>
      <c r="G3970" s="17"/>
      <c r="Z3970" s="22"/>
      <c r="AB3970" s="22"/>
    </row>
    <row r="3971" spans="1:28">
      <c r="A3971" s="19"/>
      <c r="B3971" s="12"/>
      <c r="C3971" s="24"/>
      <c r="D3971" s="12"/>
      <c r="E3971" s="23"/>
      <c r="F3971" s="17"/>
      <c r="G3971" s="17"/>
      <c r="Z3971" s="22"/>
      <c r="AB3971" s="22"/>
    </row>
    <row r="3972" spans="1:28">
      <c r="A3972" s="19"/>
      <c r="B3972" s="12"/>
      <c r="C3972" s="24"/>
      <c r="D3972" s="12"/>
      <c r="E3972" s="23"/>
      <c r="F3972" s="17"/>
      <c r="G3972" s="17"/>
      <c r="Z3972" s="22"/>
      <c r="AB3972" s="22"/>
    </row>
    <row r="3973" spans="1:28">
      <c r="A3973" s="19"/>
      <c r="B3973" s="12"/>
      <c r="C3973" s="24"/>
      <c r="D3973" s="12"/>
      <c r="E3973" s="23"/>
      <c r="F3973" s="17"/>
      <c r="G3973" s="17"/>
      <c r="Z3973" s="22"/>
      <c r="AB3973" s="22"/>
    </row>
    <row r="3974" spans="1:28">
      <c r="A3974" s="19"/>
      <c r="B3974" s="12"/>
      <c r="C3974" s="24"/>
      <c r="D3974" s="12"/>
      <c r="E3974" s="23"/>
      <c r="F3974" s="17"/>
      <c r="G3974" s="17"/>
      <c r="Z3974" s="22"/>
      <c r="AB3974" s="22"/>
    </row>
    <row r="3975" spans="1:28">
      <c r="A3975" s="19"/>
      <c r="B3975" s="12"/>
      <c r="C3975" s="24"/>
      <c r="D3975" s="12"/>
      <c r="E3975" s="23"/>
      <c r="F3975" s="17"/>
      <c r="G3975" s="17"/>
      <c r="Z3975" s="22"/>
      <c r="AB3975" s="22"/>
    </row>
    <row r="3976" spans="1:28">
      <c r="A3976" s="19"/>
      <c r="B3976" s="12"/>
      <c r="C3976" s="24"/>
      <c r="D3976" s="12"/>
      <c r="E3976" s="23"/>
      <c r="F3976" s="17"/>
      <c r="G3976" s="17"/>
      <c r="Z3976" s="22"/>
      <c r="AB3976" s="22"/>
    </row>
    <row r="3977" spans="1:28">
      <c r="A3977" s="19"/>
      <c r="B3977" s="12"/>
      <c r="C3977" s="24"/>
      <c r="D3977" s="12"/>
      <c r="E3977" s="23"/>
      <c r="F3977" s="17"/>
      <c r="G3977" s="17"/>
      <c r="Z3977" s="22"/>
      <c r="AB3977" s="22"/>
    </row>
    <row r="3978" spans="1:28">
      <c r="A3978" s="19"/>
      <c r="B3978" s="12"/>
      <c r="C3978" s="24"/>
      <c r="D3978" s="12"/>
      <c r="E3978" s="23"/>
      <c r="F3978" s="17"/>
      <c r="G3978" s="17"/>
      <c r="Z3978" s="22"/>
      <c r="AB3978" s="22"/>
    </row>
    <row r="3979" spans="1:28">
      <c r="A3979" s="19"/>
      <c r="B3979" s="12"/>
      <c r="C3979" s="24"/>
      <c r="D3979" s="12"/>
      <c r="E3979" s="23"/>
      <c r="F3979" s="17"/>
      <c r="G3979" s="17"/>
      <c r="Z3979" s="22"/>
      <c r="AB3979" s="22"/>
    </row>
    <row r="3980" spans="1:28">
      <c r="A3980" s="19"/>
      <c r="B3980" s="12"/>
      <c r="C3980" s="24"/>
      <c r="D3980" s="12"/>
      <c r="E3980" s="23"/>
      <c r="F3980" s="17"/>
      <c r="G3980" s="17"/>
      <c r="Z3980" s="22"/>
      <c r="AB3980" s="22"/>
    </row>
    <row r="3981" spans="1:28">
      <c r="A3981" s="19"/>
      <c r="B3981" s="12"/>
      <c r="C3981" s="24"/>
      <c r="D3981" s="12"/>
      <c r="E3981" s="23"/>
      <c r="F3981" s="17"/>
      <c r="G3981" s="17"/>
      <c r="Z3981" s="22"/>
      <c r="AB3981" s="22"/>
    </row>
    <row r="3982" spans="1:28">
      <c r="A3982" s="19"/>
      <c r="B3982" s="12"/>
      <c r="C3982" s="24"/>
      <c r="D3982" s="12"/>
      <c r="E3982" s="23"/>
      <c r="F3982" s="17"/>
      <c r="G3982" s="17"/>
      <c r="Z3982" s="22"/>
      <c r="AB3982" s="22"/>
    </row>
    <row r="3983" spans="1:28">
      <c r="A3983" s="19"/>
      <c r="B3983" s="12"/>
      <c r="C3983" s="24"/>
      <c r="D3983" s="12"/>
      <c r="E3983" s="23"/>
      <c r="F3983" s="17"/>
      <c r="G3983" s="17"/>
      <c r="Z3983" s="22"/>
      <c r="AB3983" s="22"/>
    </row>
    <row r="3984" spans="1:28">
      <c r="A3984" s="19"/>
      <c r="B3984" s="12"/>
      <c r="C3984" s="24"/>
      <c r="D3984" s="12"/>
      <c r="E3984" s="23"/>
      <c r="F3984" s="17"/>
      <c r="G3984" s="17"/>
      <c r="Z3984" s="22"/>
      <c r="AB3984" s="22"/>
    </row>
    <row r="3985" spans="1:28">
      <c r="A3985" s="19"/>
      <c r="B3985" s="12"/>
      <c r="C3985" s="24"/>
      <c r="D3985" s="12"/>
      <c r="E3985" s="23"/>
      <c r="F3985" s="17"/>
      <c r="G3985" s="17"/>
      <c r="Z3985" s="22"/>
      <c r="AB3985" s="22"/>
    </row>
    <row r="3986" spans="1:28">
      <c r="A3986" s="19"/>
      <c r="B3986" s="12"/>
      <c r="C3986" s="24"/>
      <c r="D3986" s="12"/>
      <c r="E3986" s="23"/>
      <c r="F3986" s="17"/>
      <c r="G3986" s="17"/>
      <c r="Z3986" s="22"/>
      <c r="AB3986" s="22"/>
    </row>
    <row r="3987" spans="1:28">
      <c r="A3987" s="19"/>
      <c r="B3987" s="12"/>
      <c r="C3987" s="24"/>
      <c r="D3987" s="12"/>
      <c r="E3987" s="23"/>
      <c r="F3987" s="17"/>
      <c r="G3987" s="17"/>
      <c r="Z3987" s="22"/>
      <c r="AB3987" s="22"/>
    </row>
    <row r="3988" spans="1:28">
      <c r="A3988" s="19"/>
      <c r="B3988" s="12"/>
      <c r="C3988" s="24"/>
      <c r="D3988" s="12"/>
      <c r="E3988" s="23"/>
      <c r="F3988" s="17"/>
      <c r="G3988" s="17"/>
      <c r="Z3988" s="22"/>
      <c r="AB3988" s="22"/>
    </row>
    <row r="3989" spans="1:28">
      <c r="A3989" s="19"/>
      <c r="B3989" s="12"/>
      <c r="C3989" s="24"/>
      <c r="D3989" s="12"/>
      <c r="E3989" s="23"/>
      <c r="F3989" s="17"/>
      <c r="G3989" s="17"/>
      <c r="Z3989" s="22"/>
      <c r="AB3989" s="22"/>
    </row>
    <row r="3990" spans="1:28">
      <c r="A3990" s="19"/>
      <c r="B3990" s="12"/>
      <c r="C3990" s="24"/>
      <c r="D3990" s="12"/>
      <c r="E3990" s="23"/>
      <c r="F3990" s="17"/>
      <c r="G3990" s="17"/>
      <c r="Z3990" s="22"/>
      <c r="AB3990" s="22"/>
    </row>
    <row r="3991" spans="1:28">
      <c r="A3991" s="19"/>
      <c r="B3991" s="12"/>
      <c r="C3991" s="24"/>
      <c r="D3991" s="12"/>
      <c r="E3991" s="23"/>
      <c r="F3991" s="17"/>
      <c r="G3991" s="17"/>
      <c r="Z3991" s="22"/>
      <c r="AB3991" s="22"/>
    </row>
    <row r="3992" spans="1:28">
      <c r="A3992" s="19"/>
      <c r="B3992" s="12"/>
      <c r="C3992" s="24"/>
      <c r="D3992" s="12"/>
      <c r="E3992" s="23"/>
      <c r="F3992" s="17"/>
      <c r="G3992" s="17"/>
      <c r="Z3992" s="22"/>
      <c r="AB3992" s="22"/>
    </row>
    <row r="3993" spans="1:28">
      <c r="A3993" s="19"/>
      <c r="B3993" s="12"/>
      <c r="C3993" s="24"/>
      <c r="D3993" s="12"/>
      <c r="E3993" s="23"/>
      <c r="F3993" s="17"/>
      <c r="G3993" s="17"/>
      <c r="Z3993" s="22"/>
      <c r="AB3993" s="22"/>
    </row>
    <row r="3994" spans="1:28">
      <c r="A3994" s="19"/>
      <c r="B3994" s="12"/>
      <c r="C3994" s="24"/>
      <c r="D3994" s="12"/>
      <c r="E3994" s="23"/>
      <c r="F3994" s="17"/>
      <c r="G3994" s="17"/>
      <c r="Z3994" s="22"/>
      <c r="AB3994" s="22"/>
    </row>
    <row r="3995" spans="1:28">
      <c r="A3995" s="19"/>
      <c r="B3995" s="12"/>
      <c r="C3995" s="24"/>
      <c r="D3995" s="12"/>
      <c r="E3995" s="23"/>
      <c r="F3995" s="17"/>
      <c r="G3995" s="17"/>
      <c r="Z3995" s="22"/>
      <c r="AB3995" s="22"/>
    </row>
    <row r="3996" spans="1:28">
      <c r="A3996" s="19"/>
      <c r="B3996" s="12"/>
      <c r="C3996" s="24"/>
      <c r="D3996" s="12"/>
      <c r="E3996" s="23"/>
      <c r="F3996" s="17"/>
      <c r="G3996" s="17"/>
      <c r="Z3996" s="22"/>
      <c r="AB3996" s="22"/>
    </row>
    <row r="3997" spans="1:28">
      <c r="A3997" s="19"/>
      <c r="B3997" s="12"/>
      <c r="C3997" s="24"/>
      <c r="D3997" s="12"/>
      <c r="E3997" s="23"/>
      <c r="F3997" s="17"/>
      <c r="G3997" s="17"/>
      <c r="Z3997" s="22"/>
      <c r="AB3997" s="22"/>
    </row>
    <row r="3998" spans="1:28">
      <c r="A3998" s="19"/>
      <c r="B3998" s="12"/>
      <c r="C3998" s="24"/>
      <c r="D3998" s="12"/>
      <c r="E3998" s="23"/>
      <c r="F3998" s="17"/>
      <c r="G3998" s="17"/>
      <c r="Z3998" s="22"/>
      <c r="AB3998" s="22"/>
    </row>
    <row r="3999" spans="1:28">
      <c r="A3999" s="19"/>
      <c r="B3999" s="12"/>
      <c r="C3999" s="24"/>
      <c r="D3999" s="12"/>
      <c r="E3999" s="23"/>
      <c r="F3999" s="17"/>
      <c r="G3999" s="17"/>
      <c r="Z3999" s="22"/>
      <c r="AB3999" s="22"/>
    </row>
    <row r="4000" spans="1:28">
      <c r="A4000" s="19"/>
      <c r="B4000" s="12"/>
      <c r="C4000" s="24"/>
      <c r="D4000" s="12"/>
      <c r="E4000" s="23"/>
      <c r="F4000" s="17"/>
      <c r="G4000" s="17"/>
      <c r="Z4000" s="22"/>
      <c r="AB4000" s="22"/>
    </row>
    <row r="4001" spans="1:28">
      <c r="A4001" s="19"/>
      <c r="B4001" s="12"/>
      <c r="C4001" s="24"/>
      <c r="D4001" s="12"/>
      <c r="E4001" s="23"/>
      <c r="F4001" s="17"/>
      <c r="G4001" s="17"/>
      <c r="Z4001" s="22"/>
      <c r="AB4001" s="22"/>
    </row>
    <row r="4002" spans="1:28">
      <c r="A4002" s="19"/>
      <c r="B4002" s="12"/>
      <c r="C4002" s="24"/>
      <c r="D4002" s="12"/>
      <c r="E4002" s="23"/>
      <c r="F4002" s="17"/>
      <c r="G4002" s="17"/>
      <c r="Z4002" s="22"/>
      <c r="AB4002" s="22"/>
    </row>
    <row r="4003" spans="1:28">
      <c r="A4003" s="19"/>
      <c r="B4003" s="12"/>
      <c r="C4003" s="24"/>
      <c r="D4003" s="12"/>
      <c r="E4003" s="23"/>
      <c r="F4003" s="17"/>
      <c r="G4003" s="17"/>
      <c r="Z4003" s="22"/>
      <c r="AB4003" s="22"/>
    </row>
    <row r="4004" spans="1:28">
      <c r="A4004" s="19"/>
      <c r="B4004" s="12"/>
      <c r="C4004" s="24"/>
      <c r="D4004" s="12"/>
      <c r="E4004" s="23"/>
      <c r="F4004" s="17"/>
      <c r="G4004" s="17"/>
      <c r="Z4004" s="22"/>
      <c r="AB4004" s="22"/>
    </row>
    <row r="4005" spans="1:28">
      <c r="A4005" s="19"/>
      <c r="B4005" s="12"/>
      <c r="C4005" s="24"/>
      <c r="D4005" s="12"/>
      <c r="E4005" s="23"/>
      <c r="F4005" s="17"/>
      <c r="G4005" s="17"/>
      <c r="Z4005" s="22"/>
      <c r="AB4005" s="22"/>
    </row>
    <row r="4006" spans="1:28">
      <c r="A4006" s="19"/>
      <c r="B4006" s="12"/>
      <c r="C4006" s="24"/>
      <c r="D4006" s="12"/>
      <c r="E4006" s="23"/>
      <c r="F4006" s="17"/>
      <c r="G4006" s="17"/>
      <c r="Z4006" s="22"/>
      <c r="AB4006" s="22"/>
    </row>
    <row r="4007" spans="1:28">
      <c r="A4007" s="19"/>
      <c r="B4007" s="12"/>
      <c r="C4007" s="24"/>
      <c r="D4007" s="12"/>
      <c r="E4007" s="23"/>
      <c r="F4007" s="17"/>
      <c r="G4007" s="17"/>
      <c r="Z4007" s="22"/>
      <c r="AB4007" s="22"/>
    </row>
    <row r="4008" spans="1:28">
      <c r="A4008" s="19"/>
      <c r="B4008" s="12"/>
      <c r="C4008" s="24"/>
      <c r="D4008" s="12"/>
      <c r="E4008" s="23"/>
      <c r="F4008" s="17"/>
      <c r="G4008" s="17"/>
      <c r="Z4008" s="22"/>
      <c r="AB4008" s="22"/>
    </row>
    <row r="4009" spans="1:28">
      <c r="A4009" s="19"/>
      <c r="B4009" s="12"/>
      <c r="C4009" s="24"/>
      <c r="D4009" s="12"/>
      <c r="E4009" s="23"/>
      <c r="F4009" s="17"/>
      <c r="G4009" s="17"/>
      <c r="Z4009" s="22"/>
      <c r="AB4009" s="22"/>
    </row>
    <row r="4010" spans="1:28">
      <c r="A4010" s="19"/>
      <c r="B4010" s="12"/>
      <c r="C4010" s="24"/>
      <c r="D4010" s="12"/>
      <c r="E4010" s="23"/>
      <c r="F4010" s="17"/>
      <c r="G4010" s="17"/>
      <c r="Z4010" s="22"/>
      <c r="AB4010" s="22"/>
    </row>
    <row r="4011" spans="1:28">
      <c r="A4011" s="19"/>
      <c r="B4011" s="12"/>
      <c r="C4011" s="24"/>
      <c r="D4011" s="12"/>
      <c r="E4011" s="23"/>
      <c r="F4011" s="17"/>
      <c r="G4011" s="17"/>
      <c r="Z4011" s="22"/>
      <c r="AB4011" s="22"/>
    </row>
    <row r="4012" spans="1:28">
      <c r="A4012" s="19"/>
      <c r="B4012" s="12"/>
      <c r="C4012" s="24"/>
      <c r="D4012" s="12"/>
      <c r="E4012" s="23"/>
      <c r="F4012" s="17"/>
      <c r="G4012" s="17"/>
      <c r="Z4012" s="22"/>
      <c r="AB4012" s="22"/>
    </row>
    <row r="4013" spans="1:28">
      <c r="A4013" s="19"/>
      <c r="B4013" s="12"/>
      <c r="C4013" s="24"/>
      <c r="D4013" s="12"/>
      <c r="E4013" s="23"/>
      <c r="F4013" s="17"/>
      <c r="G4013" s="17"/>
      <c r="Z4013" s="22"/>
      <c r="AB4013" s="22"/>
    </row>
    <row r="4014" spans="1:28">
      <c r="A4014" s="19"/>
      <c r="B4014" s="12"/>
      <c r="C4014" s="24"/>
      <c r="D4014" s="12"/>
      <c r="E4014" s="23"/>
      <c r="F4014" s="17"/>
      <c r="G4014" s="17"/>
      <c r="Z4014" s="22"/>
      <c r="AB4014" s="22"/>
    </row>
    <row r="4015" spans="1:28">
      <c r="A4015" s="19"/>
      <c r="B4015" s="12"/>
      <c r="C4015" s="24"/>
      <c r="D4015" s="12"/>
      <c r="E4015" s="23"/>
      <c r="F4015" s="17"/>
      <c r="G4015" s="17"/>
      <c r="Z4015" s="22"/>
      <c r="AB4015" s="22"/>
    </row>
    <row r="4016" spans="1:28">
      <c r="A4016" s="19"/>
      <c r="B4016" s="12"/>
      <c r="C4016" s="24"/>
      <c r="D4016" s="12"/>
      <c r="E4016" s="23"/>
      <c r="F4016" s="17"/>
      <c r="G4016" s="17"/>
      <c r="Z4016" s="22"/>
      <c r="AB4016" s="22"/>
    </row>
    <row r="4017" spans="1:28">
      <c r="A4017" s="19"/>
      <c r="B4017" s="12"/>
      <c r="C4017" s="24"/>
      <c r="D4017" s="12"/>
      <c r="E4017" s="23"/>
      <c r="F4017" s="17"/>
      <c r="G4017" s="17"/>
      <c r="Z4017" s="22"/>
      <c r="AB4017" s="22"/>
    </row>
    <row r="4018" spans="1:28">
      <c r="A4018" s="19"/>
      <c r="B4018" s="12"/>
      <c r="C4018" s="24"/>
      <c r="D4018" s="12"/>
      <c r="E4018" s="23"/>
      <c r="F4018" s="17"/>
      <c r="G4018" s="17"/>
      <c r="Z4018" s="22"/>
      <c r="AB4018" s="22"/>
    </row>
    <row r="4019" spans="1:28">
      <c r="A4019" s="19"/>
      <c r="B4019" s="12"/>
      <c r="C4019" s="24"/>
      <c r="D4019" s="12"/>
      <c r="E4019" s="23"/>
      <c r="F4019" s="17"/>
      <c r="G4019" s="17"/>
      <c r="Z4019" s="22"/>
      <c r="AB4019" s="22"/>
    </row>
    <row r="4020" spans="1:28">
      <c r="A4020" s="19"/>
      <c r="B4020" s="12"/>
      <c r="C4020" s="24"/>
      <c r="D4020" s="12"/>
      <c r="E4020" s="23"/>
      <c r="F4020" s="17"/>
      <c r="G4020" s="17"/>
      <c r="Z4020" s="22"/>
      <c r="AB4020" s="22"/>
    </row>
    <row r="4021" spans="1:28">
      <c r="A4021" s="19"/>
      <c r="B4021" s="12"/>
      <c r="C4021" s="24"/>
      <c r="D4021" s="12"/>
      <c r="E4021" s="23"/>
      <c r="F4021" s="17"/>
      <c r="G4021" s="17"/>
      <c r="Z4021" s="22"/>
      <c r="AB4021" s="22"/>
    </row>
    <row r="4022" spans="1:28">
      <c r="A4022" s="19"/>
      <c r="B4022" s="12"/>
      <c r="C4022" s="24"/>
      <c r="D4022" s="12"/>
      <c r="E4022" s="23"/>
      <c r="F4022" s="17"/>
      <c r="G4022" s="17"/>
      <c r="Z4022" s="22"/>
      <c r="AB4022" s="22"/>
    </row>
    <row r="4023" spans="1:28">
      <c r="A4023" s="19"/>
      <c r="B4023" s="12"/>
      <c r="C4023" s="24"/>
      <c r="D4023" s="12"/>
      <c r="E4023" s="23"/>
      <c r="F4023" s="17"/>
      <c r="G4023" s="17"/>
      <c r="Z4023" s="22"/>
      <c r="AB4023" s="22"/>
    </row>
    <row r="4024" spans="1:28">
      <c r="A4024" s="19"/>
      <c r="B4024" s="12"/>
      <c r="C4024" s="24"/>
      <c r="D4024" s="12"/>
      <c r="E4024" s="23"/>
      <c r="F4024" s="17"/>
      <c r="G4024" s="17"/>
      <c r="Z4024" s="22"/>
      <c r="AB4024" s="22"/>
    </row>
    <row r="4025" spans="1:28">
      <c r="A4025" s="19"/>
      <c r="B4025" s="12"/>
      <c r="C4025" s="24"/>
      <c r="D4025" s="12"/>
      <c r="E4025" s="23"/>
      <c r="F4025" s="17"/>
      <c r="G4025" s="17"/>
      <c r="Z4025" s="22"/>
      <c r="AB4025" s="22"/>
    </row>
    <row r="4026" spans="1:28">
      <c r="A4026" s="19"/>
      <c r="B4026" s="12"/>
      <c r="C4026" s="24"/>
      <c r="D4026" s="12"/>
      <c r="E4026" s="23"/>
      <c r="F4026" s="17"/>
      <c r="G4026" s="17"/>
      <c r="Z4026" s="22"/>
      <c r="AB4026" s="22"/>
    </row>
    <row r="4027" spans="1:28">
      <c r="A4027" s="19"/>
      <c r="B4027" s="12"/>
      <c r="C4027" s="24"/>
      <c r="D4027" s="12"/>
      <c r="E4027" s="23"/>
      <c r="F4027" s="17"/>
      <c r="G4027" s="17"/>
      <c r="Z4027" s="22"/>
      <c r="AB4027" s="22"/>
    </row>
    <row r="4028" spans="1:28">
      <c r="A4028" s="19"/>
      <c r="B4028" s="12"/>
      <c r="C4028" s="24"/>
      <c r="D4028" s="12"/>
      <c r="E4028" s="23"/>
      <c r="F4028" s="17"/>
      <c r="G4028" s="17"/>
      <c r="Z4028" s="22"/>
      <c r="AB4028" s="22"/>
    </row>
    <row r="4029" spans="1:28">
      <c r="A4029" s="19"/>
      <c r="B4029" s="12"/>
      <c r="C4029" s="24"/>
      <c r="D4029" s="12"/>
      <c r="E4029" s="23"/>
      <c r="F4029" s="17"/>
      <c r="G4029" s="17"/>
      <c r="Z4029" s="22"/>
      <c r="AB4029" s="22"/>
    </row>
    <row r="4030" spans="1:28">
      <c r="A4030" s="19"/>
      <c r="B4030" s="12"/>
      <c r="C4030" s="24"/>
      <c r="D4030" s="12"/>
      <c r="E4030" s="23"/>
      <c r="F4030" s="17"/>
      <c r="G4030" s="17"/>
      <c r="Z4030" s="22"/>
      <c r="AB4030" s="22"/>
    </row>
    <row r="4031" spans="1:28">
      <c r="A4031" s="19"/>
      <c r="B4031" s="12"/>
      <c r="C4031" s="24"/>
      <c r="D4031" s="12"/>
      <c r="E4031" s="23"/>
      <c r="F4031" s="17"/>
      <c r="G4031" s="17"/>
      <c r="Z4031" s="22"/>
      <c r="AB4031" s="22"/>
    </row>
    <row r="4032" spans="1:28">
      <c r="A4032" s="19"/>
      <c r="B4032" s="12"/>
      <c r="C4032" s="24"/>
      <c r="D4032" s="12"/>
      <c r="E4032" s="23"/>
      <c r="F4032" s="17"/>
      <c r="G4032" s="17"/>
      <c r="Z4032" s="22"/>
      <c r="AB4032" s="22"/>
    </row>
    <row r="4033" spans="1:28">
      <c r="A4033" s="19"/>
      <c r="B4033" s="12"/>
      <c r="C4033" s="24"/>
      <c r="D4033" s="12"/>
      <c r="E4033" s="23"/>
      <c r="F4033" s="17"/>
      <c r="G4033" s="17"/>
      <c r="Z4033" s="22"/>
      <c r="AB4033" s="22"/>
    </row>
    <row r="4034" spans="1:28">
      <c r="A4034" s="19"/>
      <c r="B4034" s="12"/>
      <c r="C4034" s="24"/>
      <c r="D4034" s="12"/>
      <c r="E4034" s="23"/>
      <c r="F4034" s="17"/>
      <c r="G4034" s="17"/>
      <c r="Z4034" s="22"/>
      <c r="AB4034" s="22"/>
    </row>
    <row r="4035" spans="1:28">
      <c r="A4035" s="19"/>
      <c r="B4035" s="12"/>
      <c r="C4035" s="24"/>
      <c r="D4035" s="12"/>
      <c r="E4035" s="23"/>
      <c r="F4035" s="17"/>
      <c r="G4035" s="17"/>
      <c r="Z4035" s="22"/>
      <c r="AB4035" s="22"/>
    </row>
    <row r="4036" spans="1:28">
      <c r="A4036" s="19"/>
      <c r="B4036" s="12"/>
      <c r="C4036" s="24"/>
      <c r="D4036" s="12"/>
      <c r="E4036" s="23"/>
      <c r="F4036" s="17"/>
      <c r="G4036" s="17"/>
      <c r="Z4036" s="22"/>
      <c r="AB4036" s="22"/>
    </row>
    <row r="4037" spans="1:28">
      <c r="A4037" s="19"/>
      <c r="B4037" s="12"/>
      <c r="C4037" s="24"/>
      <c r="D4037" s="12"/>
      <c r="E4037" s="23"/>
      <c r="F4037" s="17"/>
      <c r="G4037" s="17"/>
      <c r="Z4037" s="22"/>
      <c r="AB4037" s="22"/>
    </row>
    <row r="4038" spans="1:28">
      <c r="A4038" s="19"/>
      <c r="B4038" s="12"/>
      <c r="C4038" s="24"/>
      <c r="D4038" s="12"/>
      <c r="E4038" s="23"/>
      <c r="F4038" s="17"/>
      <c r="G4038" s="17"/>
      <c r="Z4038" s="22"/>
      <c r="AB4038" s="22"/>
    </row>
    <row r="4039" spans="1:28">
      <c r="A4039" s="19"/>
      <c r="B4039" s="12"/>
      <c r="C4039" s="24"/>
      <c r="D4039" s="12"/>
      <c r="E4039" s="23"/>
      <c r="F4039" s="17"/>
      <c r="G4039" s="17"/>
      <c r="Z4039" s="22"/>
      <c r="AB4039" s="22"/>
    </row>
    <row r="4040" spans="1:28">
      <c r="A4040" s="19"/>
      <c r="B4040" s="12"/>
      <c r="C4040" s="24"/>
      <c r="D4040" s="12"/>
      <c r="E4040" s="23"/>
      <c r="F4040" s="17"/>
      <c r="G4040" s="17"/>
      <c r="Z4040" s="22"/>
      <c r="AB4040" s="22"/>
    </row>
    <row r="4041" spans="1:28">
      <c r="A4041" s="19"/>
      <c r="B4041" s="12"/>
      <c r="C4041" s="24"/>
      <c r="D4041" s="12"/>
      <c r="E4041" s="23"/>
      <c r="F4041" s="17"/>
      <c r="G4041" s="17"/>
      <c r="Z4041" s="22"/>
      <c r="AB4041" s="22"/>
    </row>
    <row r="4042" spans="1:28">
      <c r="A4042" s="19"/>
      <c r="B4042" s="12"/>
      <c r="C4042" s="24"/>
      <c r="D4042" s="12"/>
      <c r="E4042" s="23"/>
      <c r="F4042" s="17"/>
      <c r="G4042" s="17"/>
      <c r="Z4042" s="22"/>
      <c r="AB4042" s="22"/>
    </row>
    <row r="4043" spans="1:28">
      <c r="A4043" s="19"/>
      <c r="B4043" s="12"/>
      <c r="C4043" s="24"/>
      <c r="D4043" s="12"/>
      <c r="E4043" s="23"/>
      <c r="F4043" s="17"/>
      <c r="G4043" s="17"/>
      <c r="Z4043" s="22"/>
      <c r="AB4043" s="22"/>
    </row>
    <row r="4044" spans="1:28">
      <c r="A4044" s="19"/>
      <c r="B4044" s="12"/>
      <c r="C4044" s="24"/>
      <c r="D4044" s="12"/>
      <c r="E4044" s="23"/>
      <c r="F4044" s="17"/>
      <c r="G4044" s="17"/>
      <c r="Z4044" s="22"/>
      <c r="AB4044" s="22"/>
    </row>
    <row r="4045" spans="1:28">
      <c r="A4045" s="19"/>
      <c r="B4045" s="12"/>
      <c r="C4045" s="24"/>
      <c r="D4045" s="12"/>
      <c r="E4045" s="23"/>
      <c r="F4045" s="17"/>
      <c r="G4045" s="17"/>
      <c r="Z4045" s="22"/>
      <c r="AB4045" s="22"/>
    </row>
    <row r="4046" spans="1:28">
      <c r="A4046" s="19"/>
      <c r="B4046" s="12"/>
      <c r="C4046" s="24"/>
      <c r="D4046" s="12"/>
      <c r="E4046" s="23"/>
      <c r="F4046" s="17"/>
      <c r="G4046" s="17"/>
      <c r="Z4046" s="22"/>
      <c r="AB4046" s="22"/>
    </row>
    <row r="4047" spans="1:28">
      <c r="A4047" s="19"/>
      <c r="B4047" s="12"/>
      <c r="C4047" s="24"/>
      <c r="D4047" s="12"/>
      <c r="E4047" s="23"/>
      <c r="F4047" s="17"/>
      <c r="G4047" s="17"/>
      <c r="Z4047" s="22"/>
      <c r="AB4047" s="22"/>
    </row>
    <row r="4048" spans="1:28">
      <c r="A4048" s="19"/>
      <c r="B4048" s="12"/>
      <c r="C4048" s="24"/>
      <c r="D4048" s="12"/>
      <c r="E4048" s="23"/>
      <c r="F4048" s="17"/>
      <c r="G4048" s="17"/>
      <c r="Z4048" s="22"/>
      <c r="AB4048" s="22"/>
    </row>
    <row r="4049" spans="1:28">
      <c r="A4049" s="19"/>
      <c r="B4049" s="12"/>
      <c r="C4049" s="24"/>
      <c r="D4049" s="12"/>
      <c r="E4049" s="23"/>
      <c r="F4049" s="17"/>
      <c r="G4049" s="17"/>
      <c r="Z4049" s="22"/>
      <c r="AB4049" s="22"/>
    </row>
    <row r="4050" spans="1:28">
      <c r="A4050" s="19"/>
      <c r="B4050" s="12"/>
      <c r="C4050" s="24"/>
      <c r="D4050" s="12"/>
      <c r="E4050" s="23"/>
      <c r="F4050" s="17"/>
      <c r="G4050" s="17"/>
      <c r="Z4050" s="22"/>
      <c r="AB4050" s="22"/>
    </row>
    <row r="4051" spans="1:28">
      <c r="A4051" s="19"/>
      <c r="B4051" s="12"/>
      <c r="C4051" s="24"/>
      <c r="D4051" s="12"/>
      <c r="E4051" s="23"/>
      <c r="F4051" s="17"/>
      <c r="G4051" s="17"/>
      <c r="Z4051" s="22"/>
      <c r="AB4051" s="22"/>
    </row>
    <row r="4052" spans="1:28">
      <c r="A4052" s="19"/>
      <c r="B4052" s="12"/>
      <c r="C4052" s="24"/>
      <c r="D4052" s="12"/>
      <c r="E4052" s="23"/>
      <c r="F4052" s="17"/>
      <c r="G4052" s="17"/>
      <c r="Z4052" s="22"/>
      <c r="AB4052" s="22"/>
    </row>
    <row r="4053" spans="1:28">
      <c r="A4053" s="19"/>
      <c r="B4053" s="12"/>
      <c r="C4053" s="24"/>
      <c r="D4053" s="12"/>
      <c r="E4053" s="23"/>
      <c r="F4053" s="17"/>
      <c r="G4053" s="17"/>
      <c r="Z4053" s="22"/>
      <c r="AB4053" s="22"/>
    </row>
    <row r="4054" spans="1:28">
      <c r="A4054" s="19"/>
      <c r="B4054" s="12"/>
      <c r="C4054" s="24"/>
      <c r="D4054" s="12"/>
      <c r="E4054" s="23"/>
      <c r="F4054" s="17"/>
      <c r="G4054" s="17"/>
      <c r="Z4054" s="22"/>
      <c r="AB4054" s="22"/>
    </row>
    <row r="4055" spans="1:28">
      <c r="A4055" s="19"/>
      <c r="B4055" s="12"/>
      <c r="C4055" s="24"/>
      <c r="D4055" s="12"/>
      <c r="E4055" s="23"/>
      <c r="F4055" s="17"/>
      <c r="G4055" s="17"/>
      <c r="Z4055" s="22"/>
      <c r="AB4055" s="22"/>
    </row>
    <row r="4056" spans="1:28">
      <c r="A4056" s="19"/>
      <c r="B4056" s="12"/>
      <c r="C4056" s="24"/>
      <c r="D4056" s="12"/>
      <c r="E4056" s="23"/>
      <c r="F4056" s="17"/>
      <c r="G4056" s="17"/>
      <c r="Z4056" s="22"/>
      <c r="AB4056" s="22"/>
    </row>
    <row r="4057" spans="1:28">
      <c r="A4057" s="19"/>
      <c r="B4057" s="12"/>
      <c r="C4057" s="24"/>
      <c r="D4057" s="12"/>
      <c r="E4057" s="23"/>
      <c r="F4057" s="17"/>
      <c r="G4057" s="17"/>
      <c r="Z4057" s="22"/>
      <c r="AB4057" s="22"/>
    </row>
    <row r="4058" spans="1:28">
      <c r="A4058" s="19"/>
      <c r="B4058" s="12"/>
      <c r="C4058" s="24"/>
      <c r="D4058" s="12"/>
      <c r="E4058" s="23"/>
      <c r="F4058" s="17"/>
      <c r="G4058" s="17"/>
      <c r="Z4058" s="22"/>
      <c r="AB4058" s="22"/>
    </row>
    <row r="4059" spans="1:28">
      <c r="A4059" s="19"/>
      <c r="B4059" s="12"/>
      <c r="C4059" s="24"/>
      <c r="D4059" s="12"/>
      <c r="E4059" s="23"/>
      <c r="F4059" s="17"/>
      <c r="G4059" s="17"/>
      <c r="Z4059" s="22"/>
      <c r="AB4059" s="22"/>
    </row>
    <row r="4060" spans="1:28">
      <c r="A4060" s="19"/>
      <c r="B4060" s="12"/>
      <c r="C4060" s="24"/>
      <c r="D4060" s="12"/>
      <c r="E4060" s="23"/>
      <c r="F4060" s="17"/>
      <c r="G4060" s="17"/>
      <c r="Z4060" s="22"/>
      <c r="AB4060" s="22"/>
    </row>
    <row r="4061" spans="1:28">
      <c r="A4061" s="19"/>
      <c r="B4061" s="12"/>
      <c r="C4061" s="24"/>
      <c r="D4061" s="12"/>
      <c r="E4061" s="23"/>
      <c r="F4061" s="17"/>
      <c r="G4061" s="17"/>
      <c r="Z4061" s="22"/>
      <c r="AB4061" s="22"/>
    </row>
    <row r="4062" spans="1:28">
      <c r="A4062" s="19"/>
      <c r="B4062" s="12"/>
      <c r="C4062" s="24"/>
      <c r="D4062" s="12"/>
      <c r="E4062" s="23"/>
      <c r="F4062" s="17"/>
      <c r="G4062" s="17"/>
      <c r="Z4062" s="22"/>
      <c r="AB4062" s="22"/>
    </row>
    <row r="4063" spans="1:28">
      <c r="A4063" s="19"/>
      <c r="B4063" s="12"/>
      <c r="C4063" s="24"/>
      <c r="D4063" s="12"/>
      <c r="E4063" s="23"/>
      <c r="F4063" s="17"/>
      <c r="G4063" s="17"/>
      <c r="Z4063" s="22"/>
      <c r="AB4063" s="22"/>
    </row>
    <row r="4064" spans="1:28">
      <c r="A4064" s="19"/>
      <c r="B4064" s="12"/>
      <c r="C4064" s="24"/>
      <c r="D4064" s="12"/>
      <c r="E4064" s="23"/>
      <c r="F4064" s="17"/>
      <c r="G4064" s="17"/>
      <c r="Z4064" s="22"/>
      <c r="AB4064" s="22"/>
    </row>
    <row r="4065" spans="1:28">
      <c r="A4065" s="19"/>
      <c r="B4065" s="12"/>
      <c r="C4065" s="24"/>
      <c r="D4065" s="12"/>
      <c r="E4065" s="23"/>
      <c r="F4065" s="17"/>
      <c r="G4065" s="17"/>
      <c r="Z4065" s="22"/>
      <c r="AB4065" s="22"/>
    </row>
    <row r="4066" spans="1:28">
      <c r="A4066" s="19"/>
      <c r="B4066" s="12"/>
      <c r="C4066" s="24"/>
      <c r="D4066" s="12"/>
      <c r="E4066" s="23"/>
      <c r="F4066" s="17"/>
      <c r="G4066" s="17"/>
      <c r="Z4066" s="22"/>
      <c r="AB4066" s="22"/>
    </row>
    <row r="4067" spans="1:28">
      <c r="A4067" s="19"/>
      <c r="B4067" s="12"/>
      <c r="C4067" s="24"/>
      <c r="D4067" s="12"/>
      <c r="E4067" s="23"/>
      <c r="F4067" s="17"/>
      <c r="G4067" s="17"/>
      <c r="Z4067" s="22"/>
      <c r="AB4067" s="22"/>
    </row>
    <row r="4068" spans="1:28">
      <c r="A4068" s="19"/>
      <c r="B4068" s="12"/>
      <c r="C4068" s="24"/>
      <c r="D4068" s="12"/>
      <c r="E4068" s="23"/>
      <c r="F4068" s="17"/>
      <c r="G4068" s="17"/>
      <c r="Z4068" s="22"/>
      <c r="AB4068" s="22"/>
    </row>
    <row r="4069" spans="1:28">
      <c r="A4069" s="19"/>
      <c r="B4069" s="12"/>
      <c r="C4069" s="24"/>
      <c r="D4069" s="12"/>
      <c r="E4069" s="23"/>
      <c r="F4069" s="17"/>
      <c r="G4069" s="17"/>
      <c r="Z4069" s="22"/>
      <c r="AB4069" s="22"/>
    </row>
    <row r="4070" spans="1:28">
      <c r="A4070" s="19"/>
      <c r="B4070" s="12"/>
      <c r="C4070" s="24"/>
      <c r="D4070" s="12"/>
      <c r="E4070" s="23"/>
      <c r="F4070" s="17"/>
      <c r="G4070" s="17"/>
      <c r="Z4070" s="22"/>
      <c r="AB4070" s="22"/>
    </row>
    <row r="4071" spans="1:28">
      <c r="A4071" s="19"/>
      <c r="B4071" s="12"/>
      <c r="C4071" s="24"/>
      <c r="D4071" s="12"/>
      <c r="E4071" s="23"/>
      <c r="F4071" s="17"/>
      <c r="G4071" s="17"/>
      <c r="Z4071" s="22"/>
      <c r="AB4071" s="22"/>
    </row>
    <row r="4072" spans="1:28">
      <c r="A4072" s="19"/>
      <c r="B4072" s="12"/>
      <c r="C4072" s="24"/>
      <c r="D4072" s="12"/>
      <c r="E4072" s="23"/>
      <c r="F4072" s="17"/>
      <c r="G4072" s="17"/>
      <c r="Z4072" s="22"/>
      <c r="AB4072" s="22"/>
    </row>
    <row r="4073" spans="1:28">
      <c r="A4073" s="19"/>
      <c r="B4073" s="12"/>
      <c r="C4073" s="24"/>
      <c r="D4073" s="12"/>
      <c r="E4073" s="23"/>
      <c r="F4073" s="17"/>
      <c r="G4073" s="17"/>
      <c r="Z4073" s="22"/>
      <c r="AB4073" s="22"/>
    </row>
    <row r="4074" spans="1:28">
      <c r="A4074" s="19"/>
      <c r="B4074" s="12"/>
      <c r="C4074" s="24"/>
      <c r="D4074" s="12"/>
      <c r="E4074" s="23"/>
      <c r="F4074" s="17"/>
      <c r="G4074" s="17"/>
      <c r="Z4074" s="22"/>
      <c r="AB4074" s="22"/>
    </row>
    <row r="4075" spans="1:28">
      <c r="A4075" s="19"/>
      <c r="B4075" s="12"/>
      <c r="C4075" s="24"/>
      <c r="D4075" s="12"/>
      <c r="E4075" s="23"/>
      <c r="F4075" s="17"/>
      <c r="G4075" s="17"/>
      <c r="Z4075" s="22"/>
      <c r="AB4075" s="22"/>
    </row>
    <row r="4076" spans="1:28">
      <c r="A4076" s="19"/>
      <c r="B4076" s="12"/>
      <c r="C4076" s="24"/>
      <c r="D4076" s="12"/>
      <c r="E4076" s="23"/>
      <c r="F4076" s="17"/>
      <c r="G4076" s="17"/>
      <c r="Z4076" s="22"/>
      <c r="AB4076" s="22"/>
    </row>
    <row r="4077" spans="1:28">
      <c r="A4077" s="19"/>
      <c r="B4077" s="12"/>
      <c r="C4077" s="24"/>
      <c r="D4077" s="12"/>
      <c r="E4077" s="23"/>
      <c r="F4077" s="17"/>
      <c r="G4077" s="17"/>
      <c r="Z4077" s="22"/>
      <c r="AB4077" s="22"/>
    </row>
    <row r="4078" spans="1:28">
      <c r="A4078" s="19"/>
      <c r="B4078" s="12"/>
      <c r="C4078" s="24"/>
      <c r="D4078" s="12"/>
      <c r="E4078" s="23"/>
      <c r="F4078" s="17"/>
      <c r="G4078" s="17"/>
      <c r="Z4078" s="22"/>
      <c r="AB4078" s="22"/>
    </row>
    <row r="4079" spans="1:28">
      <c r="A4079" s="19"/>
      <c r="B4079" s="12"/>
      <c r="C4079" s="24"/>
      <c r="D4079" s="12"/>
      <c r="E4079" s="23"/>
      <c r="F4079" s="17"/>
      <c r="G4079" s="17"/>
      <c r="Z4079" s="22"/>
      <c r="AB4079" s="22"/>
    </row>
    <row r="4080" spans="1:28">
      <c r="A4080" s="19"/>
      <c r="B4080" s="12"/>
      <c r="C4080" s="24"/>
      <c r="D4080" s="12"/>
      <c r="E4080" s="23"/>
      <c r="F4080" s="17"/>
      <c r="G4080" s="17"/>
      <c r="Z4080" s="22"/>
      <c r="AB4080" s="22"/>
    </row>
    <row r="4081" spans="1:28">
      <c r="A4081" s="19"/>
      <c r="B4081" s="12"/>
      <c r="C4081" s="24"/>
      <c r="D4081" s="12"/>
      <c r="E4081" s="23"/>
      <c r="F4081" s="17"/>
      <c r="G4081" s="17"/>
      <c r="Z4081" s="22"/>
      <c r="AB4081" s="22"/>
    </row>
    <row r="4082" spans="1:28">
      <c r="A4082" s="19"/>
      <c r="B4082" s="12"/>
      <c r="C4082" s="24"/>
      <c r="D4082" s="12"/>
      <c r="E4082" s="23"/>
      <c r="F4082" s="17"/>
      <c r="G4082" s="17"/>
      <c r="Z4082" s="22"/>
      <c r="AB4082" s="22"/>
    </row>
    <row r="4083" spans="1:28">
      <c r="A4083" s="19"/>
      <c r="B4083" s="12"/>
      <c r="C4083" s="24"/>
      <c r="D4083" s="12"/>
      <c r="E4083" s="23"/>
      <c r="F4083" s="17"/>
      <c r="G4083" s="17"/>
      <c r="Z4083" s="22"/>
      <c r="AB4083" s="22"/>
    </row>
    <row r="4084" spans="1:28">
      <c r="A4084" s="19"/>
      <c r="B4084" s="12"/>
      <c r="C4084" s="24"/>
      <c r="D4084" s="12"/>
      <c r="E4084" s="23"/>
      <c r="F4084" s="17"/>
      <c r="G4084" s="17"/>
      <c r="Z4084" s="22"/>
      <c r="AB4084" s="22"/>
    </row>
    <row r="4085" spans="1:28">
      <c r="A4085" s="19"/>
      <c r="B4085" s="12"/>
      <c r="C4085" s="24"/>
      <c r="D4085" s="12"/>
      <c r="E4085" s="23"/>
      <c r="F4085" s="17"/>
      <c r="G4085" s="17"/>
      <c r="Z4085" s="22"/>
      <c r="AB4085" s="22"/>
    </row>
    <row r="4086" spans="1:28">
      <c r="A4086" s="19"/>
      <c r="B4086" s="12"/>
      <c r="C4086" s="24"/>
      <c r="D4086" s="12"/>
      <c r="E4086" s="23"/>
      <c r="F4086" s="17"/>
      <c r="G4086" s="17"/>
      <c r="Z4086" s="22"/>
      <c r="AB4086" s="22"/>
    </row>
    <row r="4087" spans="1:28">
      <c r="A4087" s="19"/>
      <c r="B4087" s="12"/>
      <c r="C4087" s="24"/>
      <c r="D4087" s="12"/>
      <c r="E4087" s="23"/>
      <c r="F4087" s="17"/>
      <c r="G4087" s="17"/>
      <c r="Z4087" s="22"/>
      <c r="AB4087" s="22"/>
    </row>
    <row r="4088" spans="1:28">
      <c r="A4088" s="19"/>
      <c r="B4088" s="12"/>
      <c r="C4088" s="24"/>
      <c r="D4088" s="12"/>
      <c r="E4088" s="23"/>
      <c r="F4088" s="17"/>
      <c r="G4088" s="17"/>
      <c r="Z4088" s="22"/>
      <c r="AB4088" s="22"/>
    </row>
    <row r="4089" spans="1:28">
      <c r="A4089" s="19"/>
      <c r="B4089" s="12"/>
      <c r="C4089" s="24"/>
      <c r="D4089" s="12"/>
      <c r="E4089" s="23"/>
      <c r="F4089" s="17"/>
      <c r="G4089" s="17"/>
      <c r="Z4089" s="22"/>
      <c r="AB4089" s="22"/>
    </row>
    <row r="4090" spans="1:28">
      <c r="A4090" s="19"/>
      <c r="B4090" s="12"/>
      <c r="C4090" s="24"/>
      <c r="D4090" s="12"/>
      <c r="E4090" s="23"/>
      <c r="F4090" s="17"/>
      <c r="G4090" s="17"/>
      <c r="Z4090" s="22"/>
      <c r="AB4090" s="22"/>
    </row>
    <row r="4091" spans="1:28">
      <c r="A4091" s="19"/>
      <c r="B4091" s="12"/>
      <c r="C4091" s="24"/>
      <c r="D4091" s="12"/>
      <c r="E4091" s="23"/>
      <c r="F4091" s="17"/>
      <c r="G4091" s="17"/>
      <c r="Z4091" s="22"/>
      <c r="AB4091" s="22"/>
    </row>
    <row r="4092" spans="1:28">
      <c r="A4092" s="19"/>
      <c r="B4092" s="12"/>
      <c r="C4092" s="24"/>
      <c r="D4092" s="12"/>
      <c r="E4092" s="23"/>
      <c r="F4092" s="17"/>
      <c r="G4092" s="17"/>
      <c r="Z4092" s="22"/>
      <c r="AB4092" s="22"/>
    </row>
    <row r="4093" spans="1:28">
      <c r="A4093" s="19"/>
      <c r="B4093" s="12"/>
      <c r="C4093" s="24"/>
      <c r="D4093" s="12"/>
      <c r="E4093" s="23"/>
      <c r="F4093" s="17"/>
      <c r="G4093" s="17"/>
      <c r="Z4093" s="22"/>
      <c r="AB4093" s="22"/>
    </row>
    <row r="4094" spans="1:28">
      <c r="A4094" s="19"/>
      <c r="B4094" s="12"/>
      <c r="C4094" s="24"/>
      <c r="D4094" s="12"/>
      <c r="E4094" s="23"/>
      <c r="F4094" s="17"/>
      <c r="G4094" s="17"/>
      <c r="Z4094" s="22"/>
      <c r="AB4094" s="22"/>
    </row>
    <row r="4095" spans="1:28">
      <c r="A4095" s="19"/>
      <c r="B4095" s="12"/>
      <c r="C4095" s="24"/>
      <c r="D4095" s="12"/>
      <c r="E4095" s="23"/>
      <c r="F4095" s="17"/>
      <c r="G4095" s="17"/>
      <c r="Z4095" s="22"/>
      <c r="AB4095" s="22"/>
    </row>
    <row r="4096" spans="1:28">
      <c r="A4096" s="19"/>
      <c r="B4096" s="12"/>
      <c r="C4096" s="24"/>
      <c r="D4096" s="12"/>
      <c r="E4096" s="23"/>
      <c r="F4096" s="17"/>
      <c r="G4096" s="17"/>
      <c r="Z4096" s="22"/>
      <c r="AB4096" s="22"/>
    </row>
    <row r="4097" spans="1:28">
      <c r="A4097" s="19"/>
      <c r="B4097" s="12"/>
      <c r="C4097" s="24"/>
      <c r="D4097" s="12"/>
      <c r="E4097" s="23"/>
      <c r="F4097" s="17"/>
      <c r="G4097" s="17"/>
      <c r="Z4097" s="22"/>
      <c r="AB4097" s="22"/>
    </row>
    <row r="4098" spans="1:28">
      <c r="A4098" s="19"/>
      <c r="B4098" s="12"/>
      <c r="C4098" s="24"/>
      <c r="D4098" s="12"/>
      <c r="E4098" s="23"/>
      <c r="F4098" s="17"/>
      <c r="G4098" s="17"/>
      <c r="Z4098" s="22"/>
      <c r="AB4098" s="22"/>
    </row>
    <row r="4099" spans="1:28">
      <c r="A4099" s="19"/>
      <c r="B4099" s="12"/>
      <c r="C4099" s="24"/>
      <c r="D4099" s="12"/>
      <c r="E4099" s="23"/>
      <c r="F4099" s="17"/>
      <c r="G4099" s="17"/>
      <c r="Z4099" s="22"/>
      <c r="AB4099" s="22"/>
    </row>
    <row r="4100" spans="1:28">
      <c r="A4100" s="19"/>
      <c r="B4100" s="12"/>
      <c r="C4100" s="24"/>
      <c r="D4100" s="12"/>
      <c r="E4100" s="23"/>
      <c r="F4100" s="17"/>
      <c r="G4100" s="17"/>
      <c r="Z4100" s="22"/>
      <c r="AB4100" s="22"/>
    </row>
    <row r="4101" spans="1:28">
      <c r="A4101" s="19"/>
      <c r="B4101" s="12"/>
      <c r="C4101" s="24"/>
      <c r="D4101" s="12"/>
      <c r="E4101" s="23"/>
      <c r="F4101" s="17"/>
      <c r="G4101" s="17"/>
      <c r="Z4101" s="22"/>
      <c r="AB4101" s="22"/>
    </row>
    <row r="4102" spans="1:28">
      <c r="A4102" s="19"/>
      <c r="B4102" s="12"/>
      <c r="C4102" s="24"/>
      <c r="D4102" s="12"/>
      <c r="E4102" s="23"/>
      <c r="F4102" s="17"/>
      <c r="G4102" s="17"/>
      <c r="Z4102" s="22"/>
      <c r="AB4102" s="22"/>
    </row>
    <row r="4103" spans="1:28">
      <c r="A4103" s="19"/>
      <c r="B4103" s="12"/>
      <c r="C4103" s="24"/>
      <c r="D4103" s="12"/>
      <c r="E4103" s="23"/>
      <c r="F4103" s="17"/>
      <c r="G4103" s="17"/>
      <c r="Z4103" s="22"/>
      <c r="AB4103" s="22"/>
    </row>
    <row r="4104" spans="1:28">
      <c r="A4104" s="19"/>
      <c r="B4104" s="12"/>
      <c r="C4104" s="24"/>
      <c r="D4104" s="12"/>
      <c r="E4104" s="23"/>
      <c r="F4104" s="17"/>
      <c r="G4104" s="17"/>
      <c r="Z4104" s="22"/>
      <c r="AB4104" s="22"/>
    </row>
    <row r="4105" spans="1:28">
      <c r="A4105" s="19"/>
      <c r="B4105" s="12"/>
      <c r="C4105" s="24"/>
      <c r="D4105" s="12"/>
      <c r="E4105" s="23"/>
      <c r="F4105" s="17"/>
      <c r="G4105" s="17"/>
      <c r="Z4105" s="22"/>
      <c r="AB4105" s="22"/>
    </row>
    <row r="4106" spans="1:28">
      <c r="A4106" s="19"/>
      <c r="B4106" s="12"/>
      <c r="C4106" s="24"/>
      <c r="D4106" s="12"/>
      <c r="E4106" s="23"/>
      <c r="F4106" s="17"/>
      <c r="G4106" s="17"/>
      <c r="Z4106" s="22"/>
      <c r="AB4106" s="22"/>
    </row>
    <row r="4107" spans="1:28">
      <c r="A4107" s="19"/>
      <c r="B4107" s="12"/>
      <c r="C4107" s="24"/>
      <c r="D4107" s="12"/>
      <c r="E4107" s="23"/>
      <c r="F4107" s="17"/>
      <c r="G4107" s="17"/>
      <c r="Z4107" s="22"/>
      <c r="AB4107" s="22"/>
    </row>
    <row r="4108" spans="1:28">
      <c r="A4108" s="19"/>
      <c r="B4108" s="12"/>
      <c r="C4108" s="24"/>
      <c r="D4108" s="12"/>
      <c r="E4108" s="23"/>
      <c r="F4108" s="17"/>
      <c r="G4108" s="17"/>
      <c r="Z4108" s="22"/>
      <c r="AB4108" s="22"/>
    </row>
    <row r="4109" spans="1:28">
      <c r="A4109" s="19"/>
      <c r="B4109" s="12"/>
      <c r="C4109" s="24"/>
      <c r="D4109" s="12"/>
      <c r="E4109" s="23"/>
      <c r="F4109" s="17"/>
      <c r="G4109" s="17"/>
      <c r="Z4109" s="22"/>
      <c r="AB4109" s="22"/>
    </row>
    <row r="4110" spans="1:28">
      <c r="A4110" s="19"/>
      <c r="B4110" s="12"/>
      <c r="C4110" s="24"/>
      <c r="D4110" s="12"/>
      <c r="E4110" s="23"/>
      <c r="F4110" s="17"/>
      <c r="G4110" s="17"/>
      <c r="Z4110" s="22"/>
      <c r="AB4110" s="22"/>
    </row>
    <row r="4111" spans="1:28">
      <c r="A4111" s="19"/>
      <c r="B4111" s="12"/>
      <c r="C4111" s="24"/>
      <c r="D4111" s="12"/>
      <c r="E4111" s="23"/>
      <c r="F4111" s="17"/>
      <c r="G4111" s="17"/>
      <c r="Z4111" s="22"/>
      <c r="AB4111" s="22"/>
    </row>
    <row r="4112" spans="1:28">
      <c r="A4112" s="19"/>
      <c r="B4112" s="12"/>
      <c r="C4112" s="24"/>
      <c r="D4112" s="12"/>
      <c r="E4112" s="23"/>
      <c r="F4112" s="17"/>
      <c r="G4112" s="17"/>
      <c r="Z4112" s="22"/>
      <c r="AB4112" s="22"/>
    </row>
    <row r="4113" spans="1:28">
      <c r="A4113" s="19"/>
      <c r="B4113" s="12"/>
      <c r="C4113" s="24"/>
      <c r="D4113" s="12"/>
      <c r="E4113" s="23"/>
      <c r="F4113" s="17"/>
      <c r="G4113" s="17"/>
      <c r="Z4113" s="22"/>
      <c r="AB4113" s="22"/>
    </row>
    <row r="4114" spans="1:28">
      <c r="A4114" s="19"/>
      <c r="B4114" s="12"/>
      <c r="C4114" s="24"/>
      <c r="D4114" s="12"/>
      <c r="E4114" s="23"/>
      <c r="F4114" s="17"/>
      <c r="G4114" s="17"/>
      <c r="Z4114" s="22"/>
      <c r="AB4114" s="22"/>
    </row>
    <row r="4115" spans="1:28">
      <c r="A4115" s="19"/>
      <c r="B4115" s="12"/>
      <c r="C4115" s="24"/>
      <c r="D4115" s="12"/>
      <c r="E4115" s="23"/>
      <c r="F4115" s="17"/>
      <c r="G4115" s="17"/>
      <c r="Z4115" s="22"/>
      <c r="AB4115" s="22"/>
    </row>
    <row r="4116" spans="1:28">
      <c r="A4116" s="19"/>
      <c r="B4116" s="12"/>
      <c r="C4116" s="24"/>
      <c r="D4116" s="12"/>
      <c r="E4116" s="23"/>
      <c r="F4116" s="17"/>
      <c r="G4116" s="17"/>
      <c r="Z4116" s="22"/>
      <c r="AB4116" s="22"/>
    </row>
    <row r="4117" spans="1:28">
      <c r="A4117" s="19"/>
      <c r="B4117" s="12"/>
      <c r="C4117" s="24"/>
      <c r="D4117" s="12"/>
      <c r="E4117" s="23"/>
      <c r="F4117" s="17"/>
      <c r="G4117" s="17"/>
      <c r="Z4117" s="22"/>
      <c r="AB4117" s="22"/>
    </row>
    <row r="4118" spans="1:28">
      <c r="A4118" s="19"/>
      <c r="B4118" s="12"/>
      <c r="C4118" s="24"/>
      <c r="D4118" s="12"/>
      <c r="E4118" s="23"/>
      <c r="F4118" s="17"/>
      <c r="G4118" s="17"/>
      <c r="Z4118" s="22"/>
      <c r="AB4118" s="22"/>
    </row>
    <row r="4119" spans="1:28">
      <c r="A4119" s="19"/>
      <c r="B4119" s="12"/>
      <c r="C4119" s="24"/>
      <c r="D4119" s="12"/>
      <c r="E4119" s="23"/>
      <c r="F4119" s="17"/>
      <c r="G4119" s="17"/>
      <c r="Z4119" s="22"/>
      <c r="AB4119" s="22"/>
    </row>
    <row r="4120" spans="1:28">
      <c r="A4120" s="19"/>
      <c r="B4120" s="12"/>
      <c r="C4120" s="24"/>
      <c r="D4120" s="12"/>
      <c r="E4120" s="23"/>
      <c r="F4120" s="17"/>
      <c r="G4120" s="17"/>
      <c r="Z4120" s="22"/>
      <c r="AB4120" s="22"/>
    </row>
    <row r="4121" spans="1:28">
      <c r="A4121" s="19"/>
      <c r="B4121" s="12"/>
      <c r="C4121" s="24"/>
      <c r="D4121" s="12"/>
      <c r="E4121" s="23"/>
      <c r="F4121" s="17"/>
      <c r="G4121" s="17"/>
      <c r="Z4121" s="22"/>
      <c r="AB4121" s="22"/>
    </row>
    <row r="4122" spans="1:28">
      <c r="A4122" s="19"/>
      <c r="B4122" s="12"/>
      <c r="C4122" s="24"/>
      <c r="D4122" s="12"/>
      <c r="E4122" s="23"/>
      <c r="F4122" s="17"/>
      <c r="G4122" s="17"/>
      <c r="Z4122" s="22"/>
      <c r="AB4122" s="22"/>
    </row>
    <row r="4123" spans="1:28">
      <c r="A4123" s="19"/>
      <c r="B4123" s="12"/>
      <c r="C4123" s="24"/>
      <c r="D4123" s="12"/>
      <c r="E4123" s="23"/>
      <c r="F4123" s="17"/>
      <c r="G4123" s="17"/>
      <c r="Z4123" s="22"/>
      <c r="AB4123" s="22"/>
    </row>
    <row r="4124" spans="1:28">
      <c r="A4124" s="19"/>
      <c r="B4124" s="12"/>
      <c r="C4124" s="24"/>
      <c r="D4124" s="12"/>
      <c r="E4124" s="23"/>
      <c r="F4124" s="17"/>
      <c r="G4124" s="17"/>
      <c r="Z4124" s="22"/>
      <c r="AB4124" s="22"/>
    </row>
    <row r="4125" spans="1:28">
      <c r="A4125" s="19"/>
      <c r="B4125" s="12"/>
      <c r="C4125" s="24"/>
      <c r="D4125" s="12"/>
      <c r="E4125" s="23"/>
      <c r="F4125" s="17"/>
      <c r="G4125" s="17"/>
      <c r="Z4125" s="22"/>
      <c r="AB4125" s="22"/>
    </row>
    <row r="4126" spans="1:28">
      <c r="A4126" s="19"/>
      <c r="B4126" s="12"/>
      <c r="C4126" s="24"/>
      <c r="D4126" s="12"/>
      <c r="E4126" s="23"/>
      <c r="F4126" s="17"/>
      <c r="G4126" s="17"/>
      <c r="Z4126" s="22"/>
      <c r="AB4126" s="22"/>
    </row>
    <row r="4127" spans="1:28">
      <c r="A4127" s="19"/>
      <c r="B4127" s="12"/>
      <c r="C4127" s="24"/>
      <c r="D4127" s="12"/>
      <c r="E4127" s="23"/>
      <c r="F4127" s="17"/>
      <c r="G4127" s="17"/>
      <c r="Z4127" s="22"/>
      <c r="AB4127" s="22"/>
    </row>
    <row r="4128" spans="1:28">
      <c r="A4128" s="19"/>
      <c r="B4128" s="12"/>
      <c r="C4128" s="24"/>
      <c r="D4128" s="12"/>
      <c r="E4128" s="23"/>
      <c r="F4128" s="17"/>
      <c r="G4128" s="17"/>
      <c r="Z4128" s="22"/>
      <c r="AB4128" s="22"/>
    </row>
    <row r="4129" spans="1:28">
      <c r="A4129" s="19"/>
      <c r="B4129" s="12"/>
      <c r="C4129" s="24"/>
      <c r="D4129" s="12"/>
      <c r="E4129" s="23"/>
      <c r="F4129" s="17"/>
      <c r="G4129" s="17"/>
      <c r="Z4129" s="22"/>
      <c r="AB4129" s="22"/>
    </row>
    <row r="4130" spans="1:28">
      <c r="A4130" s="19"/>
      <c r="B4130" s="12"/>
      <c r="C4130" s="24"/>
      <c r="D4130" s="12"/>
      <c r="E4130" s="23"/>
      <c r="F4130" s="17"/>
      <c r="G4130" s="17"/>
      <c r="Z4130" s="22"/>
      <c r="AB4130" s="22"/>
    </row>
    <row r="4131" spans="1:28">
      <c r="A4131" s="19"/>
      <c r="B4131" s="12"/>
      <c r="C4131" s="24"/>
      <c r="D4131" s="12"/>
      <c r="E4131" s="23"/>
      <c r="F4131" s="17"/>
      <c r="G4131" s="17"/>
      <c r="Z4131" s="22"/>
      <c r="AB4131" s="22"/>
    </row>
    <row r="4132" spans="1:28">
      <c r="A4132" s="19"/>
      <c r="B4132" s="12"/>
      <c r="C4132" s="24"/>
      <c r="D4132" s="12"/>
      <c r="E4132" s="23"/>
      <c r="F4132" s="17"/>
      <c r="G4132" s="17"/>
      <c r="Z4132" s="22"/>
      <c r="AB4132" s="22"/>
    </row>
    <row r="4133" spans="1:28">
      <c r="A4133" s="19"/>
      <c r="B4133" s="12"/>
      <c r="C4133" s="24"/>
      <c r="D4133" s="12"/>
      <c r="E4133" s="23"/>
      <c r="F4133" s="17"/>
      <c r="G4133" s="17"/>
      <c r="Z4133" s="22"/>
      <c r="AB4133" s="22"/>
    </row>
    <row r="4134" spans="1:28">
      <c r="A4134" s="19"/>
      <c r="B4134" s="12"/>
      <c r="C4134" s="24"/>
      <c r="D4134" s="12"/>
      <c r="E4134" s="23"/>
      <c r="F4134" s="17"/>
      <c r="G4134" s="17"/>
      <c r="Z4134" s="22"/>
      <c r="AB4134" s="22"/>
    </row>
    <row r="4135" spans="1:28">
      <c r="A4135" s="19"/>
      <c r="B4135" s="12"/>
      <c r="C4135" s="24"/>
      <c r="D4135" s="12"/>
      <c r="E4135" s="23"/>
      <c r="F4135" s="17"/>
      <c r="G4135" s="17"/>
      <c r="Z4135" s="22"/>
      <c r="AB4135" s="22"/>
    </row>
    <row r="4136" spans="1:28">
      <c r="A4136" s="19"/>
      <c r="B4136" s="12"/>
      <c r="C4136" s="24"/>
      <c r="D4136" s="12"/>
      <c r="E4136" s="23"/>
      <c r="F4136" s="17"/>
      <c r="G4136" s="17"/>
      <c r="Z4136" s="22"/>
      <c r="AB4136" s="22"/>
    </row>
    <row r="4137" spans="1:28">
      <c r="A4137" s="19"/>
      <c r="B4137" s="12"/>
      <c r="C4137" s="24"/>
      <c r="D4137" s="12"/>
      <c r="E4137" s="23"/>
      <c r="F4137" s="17"/>
      <c r="G4137" s="17"/>
      <c r="Z4137" s="22"/>
      <c r="AB4137" s="22"/>
    </row>
    <row r="4138" spans="1:28">
      <c r="A4138" s="19"/>
      <c r="B4138" s="12"/>
      <c r="C4138" s="24"/>
      <c r="D4138" s="12"/>
      <c r="E4138" s="23"/>
      <c r="F4138" s="17"/>
      <c r="G4138" s="17"/>
      <c r="Z4138" s="22"/>
      <c r="AB4138" s="22"/>
    </row>
    <row r="4139" spans="1:28">
      <c r="A4139" s="19"/>
      <c r="B4139" s="12"/>
      <c r="C4139" s="24"/>
      <c r="D4139" s="12"/>
      <c r="E4139" s="23"/>
      <c r="F4139" s="17"/>
      <c r="G4139" s="17"/>
      <c r="Z4139" s="22"/>
      <c r="AB4139" s="22"/>
    </row>
    <row r="4140" spans="1:28">
      <c r="A4140" s="19"/>
      <c r="B4140" s="12"/>
      <c r="C4140" s="24"/>
      <c r="D4140" s="12"/>
      <c r="E4140" s="23"/>
      <c r="F4140" s="17"/>
      <c r="G4140" s="17"/>
      <c r="Z4140" s="22"/>
      <c r="AB4140" s="22"/>
    </row>
    <row r="4141" spans="1:28">
      <c r="A4141" s="19"/>
      <c r="B4141" s="12"/>
      <c r="C4141" s="24"/>
      <c r="D4141" s="12"/>
      <c r="E4141" s="23"/>
      <c r="F4141" s="17"/>
      <c r="G4141" s="17"/>
      <c r="Z4141" s="22"/>
      <c r="AB4141" s="22"/>
    </row>
    <row r="4142" spans="1:28">
      <c r="A4142" s="19"/>
      <c r="B4142" s="12"/>
      <c r="C4142" s="24"/>
      <c r="D4142" s="12"/>
      <c r="E4142" s="23"/>
      <c r="F4142" s="17"/>
      <c r="G4142" s="17"/>
      <c r="Z4142" s="22"/>
      <c r="AB4142" s="22"/>
    </row>
    <row r="4143" spans="1:28">
      <c r="A4143" s="19"/>
      <c r="B4143" s="12"/>
      <c r="C4143" s="24"/>
      <c r="D4143" s="12"/>
      <c r="E4143" s="23"/>
      <c r="F4143" s="17"/>
      <c r="G4143" s="17"/>
      <c r="Z4143" s="22"/>
      <c r="AB4143" s="22"/>
    </row>
    <row r="4144" spans="1:28">
      <c r="A4144" s="19"/>
      <c r="B4144" s="12"/>
      <c r="C4144" s="24"/>
      <c r="D4144" s="12"/>
      <c r="E4144" s="23"/>
      <c r="F4144" s="17"/>
      <c r="G4144" s="17"/>
      <c r="Z4144" s="22"/>
      <c r="AB4144" s="22"/>
    </row>
    <row r="4145" spans="1:28">
      <c r="A4145" s="19"/>
      <c r="B4145" s="12"/>
      <c r="C4145" s="24"/>
      <c r="D4145" s="12"/>
      <c r="E4145" s="23"/>
      <c r="F4145" s="17"/>
      <c r="G4145" s="17"/>
      <c r="Z4145" s="22"/>
      <c r="AB4145" s="22"/>
    </row>
    <row r="4146" spans="1:28">
      <c r="A4146" s="19"/>
      <c r="B4146" s="12"/>
      <c r="C4146" s="24"/>
      <c r="D4146" s="12"/>
      <c r="E4146" s="23"/>
      <c r="F4146" s="17"/>
      <c r="G4146" s="17"/>
      <c r="Z4146" s="22"/>
      <c r="AB4146" s="22"/>
    </row>
    <row r="4147" spans="1:28">
      <c r="A4147" s="19"/>
      <c r="B4147" s="12"/>
      <c r="C4147" s="24"/>
      <c r="D4147" s="12"/>
      <c r="E4147" s="23"/>
      <c r="F4147" s="17"/>
      <c r="G4147" s="17"/>
      <c r="Z4147" s="22"/>
      <c r="AB4147" s="22"/>
    </row>
    <row r="4148" spans="1:28">
      <c r="A4148" s="19"/>
      <c r="B4148" s="12"/>
      <c r="C4148" s="24"/>
      <c r="D4148" s="12"/>
      <c r="E4148" s="23"/>
      <c r="F4148" s="17"/>
      <c r="G4148" s="17"/>
      <c r="Z4148" s="22"/>
      <c r="AB4148" s="22"/>
    </row>
    <row r="4149" spans="1:28">
      <c r="A4149" s="19"/>
      <c r="B4149" s="12"/>
      <c r="C4149" s="24"/>
      <c r="D4149" s="12"/>
      <c r="E4149" s="23"/>
      <c r="F4149" s="17"/>
      <c r="G4149" s="17"/>
      <c r="Z4149" s="22"/>
      <c r="AB4149" s="22"/>
    </row>
    <row r="4150" spans="1:28">
      <c r="A4150" s="19"/>
      <c r="B4150" s="12"/>
      <c r="C4150" s="24"/>
      <c r="D4150" s="12"/>
      <c r="E4150" s="23"/>
      <c r="F4150" s="17"/>
      <c r="G4150" s="17"/>
      <c r="Z4150" s="22"/>
      <c r="AB4150" s="22"/>
    </row>
    <row r="4151" spans="1:28">
      <c r="A4151" s="19"/>
      <c r="B4151" s="12"/>
      <c r="C4151" s="24"/>
      <c r="D4151" s="12"/>
      <c r="E4151" s="23"/>
      <c r="F4151" s="17"/>
      <c r="G4151" s="17"/>
      <c r="Z4151" s="22"/>
      <c r="AB4151" s="22"/>
    </row>
    <row r="4152" spans="1:28">
      <c r="A4152" s="19"/>
      <c r="B4152" s="12"/>
      <c r="C4152" s="24"/>
      <c r="D4152" s="12"/>
      <c r="E4152" s="23"/>
      <c r="F4152" s="17"/>
      <c r="G4152" s="17"/>
      <c r="Z4152" s="22"/>
      <c r="AB4152" s="22"/>
    </row>
    <row r="4153" spans="1:28">
      <c r="A4153" s="19"/>
      <c r="B4153" s="12"/>
      <c r="C4153" s="24"/>
      <c r="D4153" s="12"/>
      <c r="E4153" s="23"/>
      <c r="F4153" s="17"/>
      <c r="G4153" s="17"/>
      <c r="Z4153" s="22"/>
      <c r="AB4153" s="22"/>
    </row>
    <row r="4154" spans="1:28">
      <c r="A4154" s="19"/>
      <c r="B4154" s="12"/>
      <c r="C4154" s="24"/>
      <c r="D4154" s="12"/>
      <c r="E4154" s="23"/>
      <c r="F4154" s="17"/>
      <c r="G4154" s="17"/>
      <c r="Z4154" s="22"/>
      <c r="AB4154" s="22"/>
    </row>
    <row r="4155" spans="1:28">
      <c r="A4155" s="19"/>
      <c r="B4155" s="12"/>
      <c r="C4155" s="24"/>
      <c r="D4155" s="12"/>
      <c r="E4155" s="23"/>
      <c r="F4155" s="17"/>
      <c r="G4155" s="17"/>
      <c r="Z4155" s="22"/>
      <c r="AB4155" s="22"/>
    </row>
    <row r="4156" spans="1:28">
      <c r="A4156" s="19"/>
      <c r="B4156" s="12"/>
      <c r="C4156" s="24"/>
      <c r="D4156" s="12"/>
      <c r="E4156" s="23"/>
      <c r="F4156" s="17"/>
      <c r="G4156" s="17"/>
      <c r="Z4156" s="22"/>
      <c r="AB4156" s="22"/>
    </row>
    <row r="4157" spans="1:28">
      <c r="A4157" s="19"/>
      <c r="B4157" s="12"/>
      <c r="C4157" s="24"/>
      <c r="D4157" s="12"/>
      <c r="E4157" s="23"/>
      <c r="F4157" s="17"/>
      <c r="G4157" s="17"/>
      <c r="Z4157" s="22"/>
      <c r="AB4157" s="22"/>
    </row>
    <row r="4158" spans="1:28">
      <c r="A4158" s="19"/>
      <c r="B4158" s="12"/>
      <c r="C4158" s="24"/>
      <c r="D4158" s="12"/>
      <c r="E4158" s="23"/>
      <c r="F4158" s="17"/>
      <c r="G4158" s="17"/>
      <c r="Z4158" s="22"/>
      <c r="AB4158" s="22"/>
    </row>
    <row r="4159" spans="1:28">
      <c r="A4159" s="19"/>
      <c r="B4159" s="12"/>
      <c r="C4159" s="24"/>
      <c r="D4159" s="12"/>
      <c r="E4159" s="23"/>
      <c r="F4159" s="17"/>
      <c r="G4159" s="17"/>
      <c r="Z4159" s="22"/>
      <c r="AB4159" s="22"/>
    </row>
    <row r="4160" spans="1:28">
      <c r="A4160" s="19"/>
      <c r="B4160" s="12"/>
      <c r="C4160" s="24"/>
      <c r="D4160" s="12"/>
      <c r="E4160" s="23"/>
      <c r="F4160" s="17"/>
      <c r="G4160" s="17"/>
      <c r="Z4160" s="22"/>
      <c r="AB4160" s="22"/>
    </row>
    <row r="4161" spans="1:28">
      <c r="A4161" s="19"/>
      <c r="B4161" s="12"/>
      <c r="C4161" s="24"/>
      <c r="D4161" s="12"/>
      <c r="E4161" s="23"/>
      <c r="F4161" s="17"/>
      <c r="G4161" s="17"/>
      <c r="Z4161" s="22"/>
      <c r="AB4161" s="22"/>
    </row>
    <row r="4162" spans="1:28">
      <c r="A4162" s="19"/>
      <c r="B4162" s="12"/>
      <c r="C4162" s="24"/>
      <c r="D4162" s="12"/>
      <c r="E4162" s="23"/>
      <c r="F4162" s="17"/>
      <c r="G4162" s="17"/>
      <c r="Z4162" s="22"/>
      <c r="AB4162" s="22"/>
    </row>
    <row r="4163" spans="1:28">
      <c r="A4163" s="19"/>
      <c r="B4163" s="12"/>
      <c r="C4163" s="24"/>
      <c r="D4163" s="12"/>
      <c r="E4163" s="23"/>
      <c r="F4163" s="17"/>
      <c r="G4163" s="17"/>
      <c r="Z4163" s="22"/>
      <c r="AB4163" s="22"/>
    </row>
    <row r="4164" spans="1:28">
      <c r="A4164" s="19"/>
      <c r="B4164" s="12"/>
      <c r="C4164" s="24"/>
      <c r="D4164" s="12"/>
      <c r="E4164" s="23"/>
      <c r="F4164" s="17"/>
      <c r="G4164" s="17"/>
      <c r="Z4164" s="22"/>
      <c r="AB4164" s="22"/>
    </row>
    <row r="4165" spans="1:28">
      <c r="A4165" s="19"/>
      <c r="B4165" s="12"/>
      <c r="C4165" s="24"/>
      <c r="D4165" s="12"/>
      <c r="E4165" s="23"/>
      <c r="F4165" s="17"/>
      <c r="G4165" s="17"/>
      <c r="Z4165" s="22"/>
      <c r="AB4165" s="22"/>
    </row>
    <row r="4166" spans="1:28">
      <c r="A4166" s="19"/>
      <c r="B4166" s="12"/>
      <c r="C4166" s="24"/>
      <c r="D4166" s="12"/>
      <c r="E4166" s="23"/>
      <c r="F4166" s="17"/>
      <c r="G4166" s="17"/>
      <c r="Z4166" s="22"/>
      <c r="AB4166" s="22"/>
    </row>
    <row r="4167" spans="1:28">
      <c r="A4167" s="19"/>
      <c r="B4167" s="12"/>
      <c r="C4167" s="24"/>
      <c r="D4167" s="12"/>
      <c r="E4167" s="23"/>
      <c r="F4167" s="17"/>
      <c r="G4167" s="17"/>
      <c r="Z4167" s="22"/>
      <c r="AB4167" s="22"/>
    </row>
    <row r="4168" spans="1:28">
      <c r="A4168" s="19"/>
      <c r="B4168" s="12"/>
      <c r="C4168" s="24"/>
      <c r="D4168" s="12"/>
      <c r="E4168" s="23"/>
      <c r="F4168" s="17"/>
      <c r="G4168" s="17"/>
      <c r="Z4168" s="22"/>
      <c r="AB4168" s="22"/>
    </row>
    <row r="4169" spans="1:28">
      <c r="A4169" s="19"/>
      <c r="B4169" s="12"/>
      <c r="C4169" s="24"/>
      <c r="D4169" s="12"/>
      <c r="E4169" s="23"/>
      <c r="F4169" s="17"/>
      <c r="G4169" s="17"/>
      <c r="Z4169" s="22"/>
      <c r="AB4169" s="22"/>
    </row>
    <row r="4170" spans="1:28">
      <c r="A4170" s="19"/>
      <c r="B4170" s="12"/>
      <c r="C4170" s="24"/>
      <c r="D4170" s="12"/>
      <c r="E4170" s="23"/>
      <c r="F4170" s="17"/>
      <c r="G4170" s="17"/>
      <c r="Z4170" s="22"/>
      <c r="AB4170" s="22"/>
    </row>
    <row r="4171" spans="1:28">
      <c r="A4171" s="19"/>
      <c r="B4171" s="12"/>
      <c r="C4171" s="24"/>
      <c r="D4171" s="12"/>
      <c r="E4171" s="23"/>
      <c r="F4171" s="17"/>
      <c r="G4171" s="17"/>
      <c r="Z4171" s="22"/>
      <c r="AB4171" s="22"/>
    </row>
    <row r="4172" spans="1:28">
      <c r="A4172" s="19"/>
      <c r="B4172" s="12"/>
      <c r="C4172" s="24"/>
      <c r="D4172" s="12"/>
      <c r="E4172" s="23"/>
      <c r="F4172" s="17"/>
      <c r="G4172" s="17"/>
      <c r="Z4172" s="22"/>
      <c r="AB4172" s="22"/>
    </row>
    <row r="4173" spans="1:28">
      <c r="A4173" s="19"/>
      <c r="B4173" s="12"/>
      <c r="C4173" s="24"/>
      <c r="D4173" s="12"/>
      <c r="E4173" s="23"/>
      <c r="F4173" s="17"/>
      <c r="G4173" s="17"/>
      <c r="Z4173" s="22"/>
      <c r="AB4173" s="22"/>
    </row>
    <row r="4174" spans="1:28">
      <c r="A4174" s="19"/>
      <c r="B4174" s="12"/>
      <c r="C4174" s="24"/>
      <c r="D4174" s="12"/>
      <c r="E4174" s="23"/>
      <c r="F4174" s="17"/>
      <c r="G4174" s="17"/>
      <c r="Z4174" s="22"/>
      <c r="AB4174" s="22"/>
    </row>
    <row r="4175" spans="1:28">
      <c r="A4175" s="19"/>
      <c r="B4175" s="12"/>
      <c r="C4175" s="24"/>
      <c r="D4175" s="12"/>
      <c r="E4175" s="23"/>
      <c r="F4175" s="17"/>
      <c r="G4175" s="17"/>
      <c r="Z4175" s="22"/>
      <c r="AB4175" s="22"/>
    </row>
    <row r="4176" spans="1:28">
      <c r="A4176" s="19"/>
      <c r="B4176" s="12"/>
      <c r="C4176" s="24"/>
      <c r="D4176" s="12"/>
      <c r="E4176" s="23"/>
      <c r="F4176" s="17"/>
      <c r="G4176" s="17"/>
      <c r="Z4176" s="22"/>
      <c r="AB4176" s="22"/>
    </row>
    <row r="4177" spans="1:28">
      <c r="A4177" s="19"/>
      <c r="B4177" s="12"/>
      <c r="C4177" s="24"/>
      <c r="D4177" s="12"/>
      <c r="E4177" s="23"/>
      <c r="F4177" s="17"/>
      <c r="G4177" s="17"/>
      <c r="Z4177" s="22"/>
      <c r="AB4177" s="22"/>
    </row>
    <row r="4178" spans="1:28">
      <c r="A4178" s="19"/>
      <c r="B4178" s="12"/>
      <c r="C4178" s="24"/>
      <c r="D4178" s="12"/>
      <c r="E4178" s="23"/>
      <c r="F4178" s="17"/>
      <c r="G4178" s="17"/>
      <c r="Z4178" s="22"/>
      <c r="AB4178" s="22"/>
    </row>
    <row r="4179" spans="1:28">
      <c r="A4179" s="19"/>
      <c r="B4179" s="12"/>
      <c r="C4179" s="24"/>
      <c r="D4179" s="12"/>
      <c r="E4179" s="23"/>
      <c r="F4179" s="17"/>
      <c r="G4179" s="17"/>
      <c r="Z4179" s="22"/>
      <c r="AB4179" s="22"/>
    </row>
    <row r="4180" spans="1:28">
      <c r="A4180" s="19"/>
      <c r="B4180" s="12"/>
      <c r="C4180" s="24"/>
      <c r="D4180" s="12"/>
      <c r="E4180" s="23"/>
      <c r="F4180" s="17"/>
      <c r="G4180" s="17"/>
      <c r="Z4180" s="22"/>
      <c r="AB4180" s="22"/>
    </row>
    <row r="4181" spans="1:28">
      <c r="A4181" s="19"/>
      <c r="B4181" s="12"/>
      <c r="C4181" s="24"/>
      <c r="D4181" s="12"/>
      <c r="E4181" s="23"/>
      <c r="F4181" s="17"/>
      <c r="G4181" s="17"/>
      <c r="Z4181" s="22"/>
      <c r="AB4181" s="22"/>
    </row>
    <row r="4182" spans="1:28">
      <c r="A4182" s="19"/>
      <c r="B4182" s="12"/>
      <c r="C4182" s="24"/>
      <c r="D4182" s="12"/>
      <c r="E4182" s="23"/>
      <c r="F4182" s="17"/>
      <c r="G4182" s="17"/>
      <c r="Z4182" s="22"/>
      <c r="AB4182" s="22"/>
    </row>
    <row r="4183" spans="1:28">
      <c r="A4183" s="19"/>
      <c r="B4183" s="12"/>
      <c r="C4183" s="24"/>
      <c r="D4183" s="12"/>
      <c r="E4183" s="23"/>
      <c r="F4183" s="17"/>
      <c r="G4183" s="17"/>
      <c r="Z4183" s="22"/>
      <c r="AB4183" s="22"/>
    </row>
    <row r="4184" spans="1:28">
      <c r="A4184" s="19"/>
      <c r="B4184" s="12"/>
      <c r="C4184" s="24"/>
      <c r="D4184" s="12"/>
      <c r="E4184" s="23"/>
      <c r="F4184" s="17"/>
      <c r="G4184" s="17"/>
      <c r="Z4184" s="22"/>
      <c r="AB4184" s="22"/>
    </row>
    <row r="4185" spans="1:28">
      <c r="A4185" s="19"/>
      <c r="B4185" s="12"/>
      <c r="C4185" s="24"/>
      <c r="D4185" s="12"/>
      <c r="E4185" s="23"/>
      <c r="F4185" s="17"/>
      <c r="G4185" s="17"/>
      <c r="Z4185" s="22"/>
      <c r="AB4185" s="22"/>
    </row>
    <row r="4186" spans="1:28">
      <c r="A4186" s="19"/>
      <c r="B4186" s="12"/>
      <c r="C4186" s="24"/>
      <c r="D4186" s="12"/>
      <c r="E4186" s="23"/>
      <c r="F4186" s="17"/>
      <c r="G4186" s="17"/>
      <c r="Z4186" s="22"/>
      <c r="AB4186" s="22"/>
    </row>
    <row r="4187" spans="1:28">
      <c r="A4187" s="19"/>
      <c r="B4187" s="12"/>
      <c r="C4187" s="24"/>
      <c r="D4187" s="12"/>
      <c r="E4187" s="23"/>
      <c r="F4187" s="17"/>
      <c r="G4187" s="17"/>
      <c r="Z4187" s="22"/>
      <c r="AB4187" s="22"/>
    </row>
    <row r="4188" spans="1:28">
      <c r="A4188" s="19"/>
      <c r="B4188" s="12"/>
      <c r="C4188" s="24"/>
      <c r="D4188" s="12"/>
      <c r="E4188" s="23"/>
      <c r="F4188" s="17"/>
      <c r="G4188" s="17"/>
      <c r="Z4188" s="22"/>
      <c r="AB4188" s="22"/>
    </row>
    <row r="4189" spans="1:28">
      <c r="A4189" s="19"/>
      <c r="B4189" s="12"/>
      <c r="C4189" s="24"/>
      <c r="D4189" s="12"/>
      <c r="E4189" s="23"/>
      <c r="F4189" s="17"/>
      <c r="G4189" s="17"/>
      <c r="Z4189" s="22"/>
      <c r="AB4189" s="22"/>
    </row>
    <row r="4190" spans="1:28">
      <c r="A4190" s="19"/>
      <c r="B4190" s="12"/>
      <c r="C4190" s="24"/>
      <c r="D4190" s="12"/>
      <c r="E4190" s="23"/>
      <c r="F4190" s="17"/>
      <c r="G4190" s="17"/>
      <c r="Z4190" s="22"/>
      <c r="AB4190" s="22"/>
    </row>
    <row r="4191" spans="1:28">
      <c r="A4191" s="19"/>
      <c r="B4191" s="12"/>
      <c r="C4191" s="24"/>
      <c r="D4191" s="12"/>
      <c r="E4191" s="23"/>
      <c r="F4191" s="17"/>
      <c r="G4191" s="17"/>
      <c r="Z4191" s="22"/>
      <c r="AB4191" s="22"/>
    </row>
    <row r="4192" spans="1:28">
      <c r="A4192" s="19"/>
      <c r="B4192" s="12"/>
      <c r="C4192" s="24"/>
      <c r="D4192" s="12"/>
      <c r="E4192" s="23"/>
      <c r="F4192" s="17"/>
      <c r="G4192" s="17"/>
      <c r="Z4192" s="22"/>
      <c r="AB4192" s="22"/>
    </row>
    <row r="4193" spans="1:28">
      <c r="A4193" s="19"/>
      <c r="B4193" s="12"/>
      <c r="C4193" s="24"/>
      <c r="D4193" s="12"/>
      <c r="E4193" s="23"/>
      <c r="F4193" s="17"/>
      <c r="G4193" s="17"/>
      <c r="Z4193" s="22"/>
      <c r="AB4193" s="22"/>
    </row>
    <row r="4194" spans="1:28">
      <c r="A4194" s="19"/>
      <c r="B4194" s="12"/>
      <c r="C4194" s="24"/>
      <c r="D4194" s="12"/>
      <c r="E4194" s="23"/>
      <c r="F4194" s="17"/>
      <c r="G4194" s="17"/>
      <c r="Z4194" s="22"/>
      <c r="AB4194" s="22"/>
    </row>
    <row r="4195" spans="1:28">
      <c r="A4195" s="19"/>
      <c r="B4195" s="12"/>
      <c r="C4195" s="24"/>
      <c r="D4195" s="12"/>
      <c r="E4195" s="23"/>
      <c r="F4195" s="17"/>
      <c r="G4195" s="17"/>
      <c r="Z4195" s="22"/>
      <c r="AB4195" s="22"/>
    </row>
    <row r="4196" spans="1:28">
      <c r="A4196" s="19"/>
      <c r="B4196" s="12"/>
      <c r="C4196" s="24"/>
      <c r="D4196" s="12"/>
      <c r="E4196" s="23"/>
      <c r="F4196" s="17"/>
      <c r="G4196" s="17"/>
      <c r="Z4196" s="22"/>
      <c r="AB4196" s="22"/>
    </row>
    <row r="4197" spans="1:28">
      <c r="A4197" s="19"/>
      <c r="B4197" s="12"/>
      <c r="C4197" s="24"/>
      <c r="D4197" s="12"/>
      <c r="E4197" s="23"/>
      <c r="F4197" s="17"/>
      <c r="G4197" s="17"/>
      <c r="Z4197" s="22"/>
      <c r="AB4197" s="22"/>
    </row>
    <row r="4198" spans="1:28">
      <c r="A4198" s="19"/>
      <c r="B4198" s="12"/>
      <c r="C4198" s="24"/>
      <c r="D4198" s="12"/>
      <c r="E4198" s="23"/>
      <c r="F4198" s="17"/>
      <c r="G4198" s="17"/>
      <c r="Z4198" s="22"/>
      <c r="AB4198" s="22"/>
    </row>
    <row r="4199" spans="1:28">
      <c r="A4199" s="19"/>
      <c r="B4199" s="12"/>
      <c r="C4199" s="24"/>
      <c r="D4199" s="12"/>
      <c r="E4199" s="23"/>
      <c r="F4199" s="17"/>
      <c r="G4199" s="17"/>
      <c r="Z4199" s="22"/>
      <c r="AB4199" s="22"/>
    </row>
    <row r="4200" spans="1:28">
      <c r="A4200" s="19"/>
      <c r="B4200" s="12"/>
      <c r="C4200" s="24"/>
      <c r="D4200" s="12"/>
      <c r="E4200" s="23"/>
      <c r="F4200" s="17"/>
      <c r="G4200" s="17"/>
      <c r="Z4200" s="22"/>
      <c r="AB4200" s="22"/>
    </row>
    <row r="4201" spans="1:28">
      <c r="A4201" s="19"/>
      <c r="B4201" s="12"/>
      <c r="C4201" s="24"/>
      <c r="D4201" s="12"/>
      <c r="E4201" s="23"/>
      <c r="F4201" s="17"/>
      <c r="G4201" s="17"/>
      <c r="Z4201" s="22"/>
      <c r="AB4201" s="22"/>
    </row>
    <row r="4202" spans="1:28">
      <c r="A4202" s="19"/>
      <c r="B4202" s="12"/>
      <c r="C4202" s="24"/>
      <c r="D4202" s="12"/>
      <c r="E4202" s="23"/>
      <c r="F4202" s="17"/>
      <c r="G4202" s="17"/>
      <c r="Z4202" s="22"/>
      <c r="AB4202" s="22"/>
    </row>
    <row r="4203" spans="1:28">
      <c r="A4203" s="19"/>
      <c r="B4203" s="12"/>
      <c r="C4203" s="24"/>
      <c r="D4203" s="12"/>
      <c r="E4203" s="23"/>
      <c r="F4203" s="17"/>
      <c r="G4203" s="17"/>
      <c r="Z4203" s="22"/>
      <c r="AB4203" s="22"/>
    </row>
    <row r="4204" spans="1:28">
      <c r="A4204" s="19"/>
      <c r="B4204" s="12"/>
      <c r="C4204" s="24"/>
      <c r="D4204" s="12"/>
      <c r="E4204" s="23"/>
      <c r="F4204" s="17"/>
      <c r="G4204" s="17"/>
      <c r="Z4204" s="22"/>
      <c r="AB4204" s="22"/>
    </row>
    <row r="4205" spans="1:28">
      <c r="A4205" s="19"/>
      <c r="B4205" s="12"/>
      <c r="C4205" s="24"/>
      <c r="D4205" s="12"/>
      <c r="E4205" s="23"/>
      <c r="F4205" s="17"/>
      <c r="G4205" s="17"/>
      <c r="Z4205" s="22"/>
      <c r="AB4205" s="22"/>
    </row>
    <row r="4206" spans="1:28">
      <c r="A4206" s="19"/>
      <c r="B4206" s="12"/>
      <c r="C4206" s="24"/>
      <c r="D4206" s="12"/>
      <c r="E4206" s="23"/>
      <c r="F4206" s="17"/>
      <c r="G4206" s="17"/>
      <c r="Z4206" s="22"/>
      <c r="AB4206" s="22"/>
    </row>
    <row r="4207" spans="1:28">
      <c r="A4207" s="19"/>
      <c r="B4207" s="12"/>
      <c r="C4207" s="24"/>
      <c r="D4207" s="12"/>
      <c r="E4207" s="23"/>
      <c r="F4207" s="17"/>
      <c r="G4207" s="17"/>
      <c r="Z4207" s="22"/>
      <c r="AB4207" s="22"/>
    </row>
    <row r="4208" spans="1:28">
      <c r="A4208" s="19"/>
      <c r="B4208" s="12"/>
      <c r="C4208" s="24"/>
      <c r="D4208" s="12"/>
      <c r="E4208" s="23"/>
      <c r="F4208" s="17"/>
      <c r="G4208" s="17"/>
      <c r="Z4208" s="22"/>
      <c r="AB4208" s="22"/>
    </row>
    <row r="4209" spans="1:28">
      <c r="A4209" s="19"/>
      <c r="B4209" s="12"/>
      <c r="C4209" s="24"/>
      <c r="D4209" s="12"/>
      <c r="E4209" s="23"/>
      <c r="F4209" s="17"/>
      <c r="G4209" s="17"/>
      <c r="Z4209" s="22"/>
      <c r="AB4209" s="22"/>
    </row>
    <row r="4210" spans="1:28">
      <c r="A4210" s="19"/>
      <c r="B4210" s="12"/>
      <c r="C4210" s="24"/>
      <c r="D4210" s="12"/>
      <c r="E4210" s="23"/>
      <c r="F4210" s="17"/>
      <c r="G4210" s="17"/>
      <c r="Z4210" s="22"/>
      <c r="AB4210" s="22"/>
    </row>
    <row r="4211" spans="1:28">
      <c r="A4211" s="19"/>
      <c r="B4211" s="12"/>
      <c r="C4211" s="24"/>
      <c r="D4211" s="12"/>
      <c r="E4211" s="23"/>
      <c r="F4211" s="17"/>
      <c r="G4211" s="17"/>
      <c r="Z4211" s="22"/>
      <c r="AB4211" s="22"/>
    </row>
    <row r="4212" spans="1:28">
      <c r="A4212" s="19"/>
      <c r="B4212" s="12"/>
      <c r="C4212" s="24"/>
      <c r="D4212" s="12"/>
      <c r="E4212" s="23"/>
      <c r="F4212" s="17"/>
      <c r="G4212" s="17"/>
      <c r="Z4212" s="22"/>
      <c r="AB4212" s="22"/>
    </row>
    <row r="4213" spans="1:28">
      <c r="A4213" s="19"/>
      <c r="B4213" s="12"/>
      <c r="C4213" s="24"/>
      <c r="D4213" s="12"/>
      <c r="E4213" s="23"/>
      <c r="F4213" s="17"/>
      <c r="G4213" s="17"/>
      <c r="Z4213" s="22"/>
      <c r="AB4213" s="22"/>
    </row>
    <row r="4214" spans="1:28">
      <c r="A4214" s="19"/>
      <c r="B4214" s="12"/>
      <c r="C4214" s="24"/>
      <c r="D4214" s="12"/>
      <c r="E4214" s="23"/>
      <c r="F4214" s="17"/>
      <c r="G4214" s="17"/>
      <c r="Z4214" s="22"/>
      <c r="AB4214" s="22"/>
    </row>
    <row r="4215" spans="1:28">
      <c r="A4215" s="19"/>
      <c r="B4215" s="12"/>
      <c r="C4215" s="24"/>
      <c r="D4215" s="12"/>
      <c r="E4215" s="23"/>
      <c r="F4215" s="17"/>
      <c r="G4215" s="17"/>
      <c r="Z4215" s="22"/>
      <c r="AB4215" s="22"/>
    </row>
    <row r="4216" spans="1:28">
      <c r="A4216" s="19"/>
      <c r="B4216" s="12"/>
      <c r="C4216" s="24"/>
      <c r="D4216" s="12"/>
      <c r="E4216" s="23"/>
      <c r="F4216" s="17"/>
      <c r="G4216" s="17"/>
      <c r="Z4216" s="22"/>
      <c r="AB4216" s="22"/>
    </row>
    <row r="4217" spans="1:28">
      <c r="A4217" s="19"/>
      <c r="B4217" s="12"/>
      <c r="C4217" s="24"/>
      <c r="D4217" s="12"/>
      <c r="E4217" s="23"/>
      <c r="F4217" s="17"/>
      <c r="G4217" s="17"/>
      <c r="Z4217" s="22"/>
      <c r="AB4217" s="22"/>
    </row>
    <row r="4218" spans="1:28">
      <c r="A4218" s="19"/>
      <c r="B4218" s="12"/>
      <c r="C4218" s="24"/>
      <c r="D4218" s="12"/>
      <c r="E4218" s="23"/>
      <c r="F4218" s="17"/>
      <c r="G4218" s="17"/>
      <c r="Z4218" s="22"/>
      <c r="AB4218" s="22"/>
    </row>
    <row r="4219" spans="1:28">
      <c r="A4219" s="19"/>
      <c r="B4219" s="12"/>
      <c r="C4219" s="24"/>
      <c r="D4219" s="12"/>
      <c r="E4219" s="23"/>
      <c r="F4219" s="17"/>
      <c r="G4219" s="17"/>
      <c r="Z4219" s="22"/>
      <c r="AB4219" s="22"/>
    </row>
    <row r="4220" spans="1:28">
      <c r="A4220" s="19"/>
      <c r="B4220" s="12"/>
      <c r="C4220" s="24"/>
      <c r="D4220" s="12"/>
      <c r="E4220" s="23"/>
      <c r="F4220" s="17"/>
      <c r="G4220" s="17"/>
      <c r="Z4220" s="22"/>
      <c r="AB4220" s="22"/>
    </row>
    <row r="4221" spans="1:28">
      <c r="A4221" s="19"/>
      <c r="B4221" s="12"/>
      <c r="C4221" s="24"/>
      <c r="D4221" s="12"/>
      <c r="E4221" s="23"/>
      <c r="F4221" s="17"/>
      <c r="G4221" s="17"/>
      <c r="Z4221" s="22"/>
      <c r="AB4221" s="22"/>
    </row>
    <row r="4222" spans="1:28">
      <c r="A4222" s="19"/>
      <c r="B4222" s="12"/>
      <c r="C4222" s="24"/>
      <c r="D4222" s="12"/>
      <c r="E4222" s="23"/>
      <c r="F4222" s="17"/>
      <c r="G4222" s="17"/>
      <c r="Z4222" s="22"/>
      <c r="AB4222" s="22"/>
    </row>
    <row r="4223" spans="1:28">
      <c r="A4223" s="19"/>
      <c r="B4223" s="12"/>
      <c r="C4223" s="24"/>
      <c r="D4223" s="12"/>
      <c r="E4223" s="23"/>
      <c r="F4223" s="17"/>
      <c r="G4223" s="17"/>
      <c r="Z4223" s="22"/>
      <c r="AB4223" s="22"/>
    </row>
    <row r="4224" spans="1:28">
      <c r="A4224" s="19"/>
      <c r="B4224" s="12"/>
      <c r="C4224" s="24"/>
      <c r="D4224" s="12"/>
      <c r="E4224" s="23"/>
      <c r="F4224" s="17"/>
      <c r="G4224" s="17"/>
      <c r="Z4224" s="22"/>
      <c r="AB4224" s="22"/>
    </row>
    <row r="4225" spans="1:28">
      <c r="A4225" s="19"/>
      <c r="B4225" s="12"/>
      <c r="C4225" s="24"/>
      <c r="D4225" s="12"/>
      <c r="E4225" s="23"/>
      <c r="F4225" s="17"/>
      <c r="G4225" s="17"/>
      <c r="Z4225" s="22"/>
      <c r="AB4225" s="22"/>
    </row>
    <row r="4226" spans="1:28">
      <c r="A4226" s="19"/>
      <c r="B4226" s="12"/>
      <c r="C4226" s="24"/>
      <c r="D4226" s="12"/>
      <c r="E4226" s="23"/>
      <c r="F4226" s="17"/>
      <c r="G4226" s="17"/>
      <c r="Z4226" s="22"/>
      <c r="AB4226" s="22"/>
    </row>
    <row r="4227" spans="1:28">
      <c r="A4227" s="19"/>
      <c r="B4227" s="12"/>
      <c r="C4227" s="24"/>
      <c r="D4227" s="12"/>
      <c r="E4227" s="23"/>
      <c r="F4227" s="17"/>
      <c r="G4227" s="17"/>
      <c r="Z4227" s="22"/>
      <c r="AB4227" s="22"/>
    </row>
    <row r="4228" spans="1:28">
      <c r="A4228" s="19"/>
      <c r="B4228" s="12"/>
      <c r="C4228" s="24"/>
      <c r="D4228" s="12"/>
      <c r="E4228" s="23"/>
      <c r="F4228" s="17"/>
      <c r="G4228" s="17"/>
      <c r="Z4228" s="22"/>
      <c r="AB4228" s="22"/>
    </row>
    <row r="4229" spans="1:28">
      <c r="A4229" s="19"/>
      <c r="B4229" s="12"/>
      <c r="C4229" s="24"/>
      <c r="D4229" s="12"/>
      <c r="E4229" s="23"/>
      <c r="F4229" s="17"/>
      <c r="G4229" s="17"/>
      <c r="Z4229" s="22"/>
      <c r="AB4229" s="22"/>
    </row>
    <row r="4230" spans="1:28">
      <c r="A4230" s="19"/>
      <c r="B4230" s="12"/>
      <c r="C4230" s="24"/>
      <c r="D4230" s="12"/>
      <c r="E4230" s="23"/>
      <c r="F4230" s="17"/>
      <c r="G4230" s="17"/>
      <c r="Z4230" s="22"/>
      <c r="AB4230" s="22"/>
    </row>
    <row r="4231" spans="1:28">
      <c r="A4231" s="19"/>
      <c r="B4231" s="12"/>
      <c r="C4231" s="24"/>
      <c r="D4231" s="12"/>
      <c r="E4231" s="23"/>
      <c r="F4231" s="17"/>
      <c r="G4231" s="17"/>
      <c r="Z4231" s="22"/>
      <c r="AB4231" s="22"/>
    </row>
    <row r="4232" spans="1:28">
      <c r="A4232" s="19"/>
      <c r="B4232" s="12"/>
      <c r="C4232" s="24"/>
      <c r="D4232" s="12"/>
      <c r="E4232" s="23"/>
      <c r="F4232" s="17"/>
      <c r="G4232" s="17"/>
      <c r="Z4232" s="22"/>
      <c r="AB4232" s="22"/>
    </row>
    <row r="4233" spans="1:28">
      <c r="A4233" s="19"/>
      <c r="B4233" s="12"/>
      <c r="C4233" s="24"/>
      <c r="D4233" s="12"/>
      <c r="E4233" s="23"/>
      <c r="F4233" s="17"/>
      <c r="G4233" s="17"/>
      <c r="Z4233" s="22"/>
      <c r="AB4233" s="22"/>
    </row>
    <row r="4234" spans="1:28">
      <c r="A4234" s="19"/>
      <c r="B4234" s="12"/>
      <c r="C4234" s="24"/>
      <c r="D4234" s="12"/>
      <c r="E4234" s="23"/>
      <c r="F4234" s="17"/>
      <c r="G4234" s="17"/>
      <c r="Z4234" s="22"/>
      <c r="AB4234" s="22"/>
    </row>
    <row r="4235" spans="1:28">
      <c r="A4235" s="19"/>
      <c r="B4235" s="12"/>
      <c r="C4235" s="24"/>
      <c r="D4235" s="12"/>
      <c r="E4235" s="23"/>
      <c r="F4235" s="17"/>
      <c r="G4235" s="17"/>
      <c r="Z4235" s="22"/>
      <c r="AB4235" s="22"/>
    </row>
    <row r="4236" spans="1:28">
      <c r="A4236" s="19"/>
      <c r="B4236" s="12"/>
      <c r="C4236" s="24"/>
      <c r="D4236" s="12"/>
      <c r="E4236" s="23"/>
      <c r="F4236" s="17"/>
      <c r="G4236" s="17"/>
      <c r="Z4236" s="22"/>
      <c r="AB4236" s="22"/>
    </row>
    <row r="4237" spans="1:28">
      <c r="A4237" s="19"/>
      <c r="B4237" s="12"/>
      <c r="C4237" s="24"/>
      <c r="D4237" s="12"/>
      <c r="E4237" s="23"/>
      <c r="F4237" s="17"/>
      <c r="G4237" s="17"/>
      <c r="Z4237" s="22"/>
      <c r="AB4237" s="22"/>
    </row>
    <row r="4238" spans="1:28">
      <c r="A4238" s="19"/>
      <c r="B4238" s="12"/>
      <c r="C4238" s="24"/>
      <c r="D4238" s="12"/>
      <c r="E4238" s="23"/>
      <c r="F4238" s="17"/>
      <c r="G4238" s="17"/>
      <c r="Z4238" s="22"/>
      <c r="AB4238" s="22"/>
    </row>
    <row r="4239" spans="1:28">
      <c r="A4239" s="19"/>
      <c r="B4239" s="12"/>
      <c r="C4239" s="24"/>
      <c r="D4239" s="12"/>
      <c r="E4239" s="23"/>
      <c r="F4239" s="17"/>
      <c r="G4239" s="17"/>
      <c r="Z4239" s="22"/>
      <c r="AB4239" s="22"/>
    </row>
    <row r="4240" spans="1:28">
      <c r="A4240" s="19"/>
      <c r="B4240" s="12"/>
      <c r="C4240" s="24"/>
      <c r="D4240" s="12"/>
      <c r="E4240" s="23"/>
      <c r="F4240" s="17"/>
      <c r="G4240" s="17"/>
      <c r="Z4240" s="22"/>
      <c r="AB4240" s="22"/>
    </row>
    <row r="4241" spans="1:28">
      <c r="A4241" s="19"/>
      <c r="B4241" s="12"/>
      <c r="C4241" s="24"/>
      <c r="D4241" s="12"/>
      <c r="E4241" s="23"/>
      <c r="F4241" s="17"/>
      <c r="G4241" s="17"/>
      <c r="Z4241" s="22"/>
      <c r="AB4241" s="22"/>
    </row>
    <row r="4242" spans="1:28">
      <c r="A4242" s="19"/>
      <c r="B4242" s="12"/>
      <c r="C4242" s="24"/>
      <c r="D4242" s="12"/>
      <c r="E4242" s="23"/>
      <c r="F4242" s="17"/>
      <c r="G4242" s="17"/>
      <c r="Z4242" s="22"/>
      <c r="AB4242" s="22"/>
    </row>
    <row r="4243" spans="1:28">
      <c r="A4243" s="19"/>
      <c r="B4243" s="12"/>
      <c r="C4243" s="24"/>
      <c r="D4243" s="12"/>
      <c r="E4243" s="23"/>
      <c r="F4243" s="17"/>
      <c r="G4243" s="17"/>
      <c r="Z4243" s="22"/>
      <c r="AB4243" s="22"/>
    </row>
    <row r="4244" spans="1:28">
      <c r="A4244" s="19"/>
      <c r="B4244" s="12"/>
      <c r="C4244" s="24"/>
      <c r="D4244" s="12"/>
      <c r="E4244" s="23"/>
      <c r="F4244" s="17"/>
      <c r="G4244" s="17"/>
      <c r="Z4244" s="22"/>
      <c r="AB4244" s="22"/>
    </row>
    <row r="4245" spans="1:28">
      <c r="A4245" s="19"/>
      <c r="B4245" s="12"/>
      <c r="C4245" s="24"/>
      <c r="D4245" s="12"/>
      <c r="E4245" s="23"/>
      <c r="F4245" s="17"/>
      <c r="G4245" s="17"/>
      <c r="Z4245" s="22"/>
      <c r="AB4245" s="22"/>
    </row>
    <row r="4246" spans="1:28">
      <c r="A4246" s="19"/>
      <c r="B4246" s="12"/>
      <c r="C4246" s="24"/>
      <c r="D4246" s="12"/>
      <c r="E4246" s="23"/>
      <c r="F4246" s="17"/>
      <c r="G4246" s="17"/>
      <c r="Z4246" s="22"/>
      <c r="AB4246" s="22"/>
    </row>
    <row r="4247" spans="1:28">
      <c r="A4247" s="19"/>
      <c r="B4247" s="12"/>
      <c r="C4247" s="24"/>
      <c r="D4247" s="12"/>
      <c r="E4247" s="23"/>
      <c r="F4247" s="17"/>
      <c r="G4247" s="17"/>
      <c r="Z4247" s="22"/>
      <c r="AB4247" s="22"/>
    </row>
    <row r="4248" spans="1:28">
      <c r="A4248" s="19"/>
      <c r="B4248" s="12"/>
      <c r="C4248" s="24"/>
      <c r="D4248" s="12"/>
      <c r="E4248" s="23"/>
      <c r="F4248" s="17"/>
      <c r="G4248" s="17"/>
      <c r="Z4248" s="22"/>
      <c r="AB4248" s="22"/>
    </row>
    <row r="4249" spans="1:28">
      <c r="A4249" s="19"/>
      <c r="B4249" s="12"/>
      <c r="C4249" s="24"/>
      <c r="D4249" s="12"/>
      <c r="E4249" s="23"/>
      <c r="F4249" s="17"/>
      <c r="G4249" s="17"/>
      <c r="Z4249" s="22"/>
      <c r="AB4249" s="22"/>
    </row>
    <row r="4250" spans="1:28">
      <c r="A4250" s="19"/>
      <c r="B4250" s="12"/>
      <c r="C4250" s="24"/>
      <c r="D4250" s="12"/>
      <c r="E4250" s="23"/>
      <c r="F4250" s="17"/>
      <c r="G4250" s="17"/>
      <c r="Z4250" s="22"/>
      <c r="AB4250" s="22"/>
    </row>
    <row r="4251" spans="1:28">
      <c r="A4251" s="19"/>
      <c r="B4251" s="12"/>
      <c r="C4251" s="24"/>
      <c r="D4251" s="12"/>
      <c r="E4251" s="23"/>
      <c r="F4251" s="17"/>
      <c r="G4251" s="17"/>
      <c r="Z4251" s="22"/>
      <c r="AB4251" s="22"/>
    </row>
    <row r="4252" spans="1:28">
      <c r="A4252" s="19"/>
      <c r="B4252" s="12"/>
      <c r="C4252" s="24"/>
      <c r="D4252" s="12"/>
      <c r="E4252" s="23"/>
      <c r="F4252" s="17"/>
      <c r="G4252" s="17"/>
      <c r="Z4252" s="22"/>
      <c r="AB4252" s="22"/>
    </row>
    <row r="4253" spans="1:28">
      <c r="A4253" s="19"/>
      <c r="B4253" s="12"/>
      <c r="C4253" s="24"/>
      <c r="D4253" s="12"/>
      <c r="E4253" s="23"/>
      <c r="F4253" s="17"/>
      <c r="G4253" s="17"/>
      <c r="Z4253" s="22"/>
      <c r="AB4253" s="22"/>
    </row>
    <row r="4254" spans="1:28">
      <c r="A4254" s="19"/>
      <c r="B4254" s="12"/>
      <c r="C4254" s="24"/>
      <c r="D4254" s="12"/>
      <c r="E4254" s="23"/>
      <c r="F4254" s="17"/>
      <c r="G4254" s="17"/>
      <c r="Z4254" s="22"/>
      <c r="AB4254" s="22"/>
    </row>
    <row r="4255" spans="1:28">
      <c r="A4255" s="19"/>
      <c r="B4255" s="12"/>
      <c r="C4255" s="24"/>
      <c r="D4255" s="12"/>
      <c r="E4255" s="23"/>
      <c r="F4255" s="17"/>
      <c r="G4255" s="17"/>
      <c r="Z4255" s="22"/>
      <c r="AB4255" s="22"/>
    </row>
    <row r="4256" spans="1:28">
      <c r="A4256" s="19"/>
      <c r="B4256" s="12"/>
      <c r="C4256" s="24"/>
      <c r="D4256" s="12"/>
      <c r="E4256" s="23"/>
      <c r="F4256" s="17"/>
      <c r="G4256" s="17"/>
      <c r="Z4256" s="22"/>
      <c r="AB4256" s="22"/>
    </row>
    <row r="4257" spans="1:28">
      <c r="A4257" s="19"/>
      <c r="B4257" s="12"/>
      <c r="C4257" s="24"/>
      <c r="D4257" s="12"/>
      <c r="E4257" s="23"/>
      <c r="F4257" s="17"/>
      <c r="G4257" s="17"/>
      <c r="Z4257" s="22"/>
      <c r="AB4257" s="22"/>
    </row>
    <row r="4258" spans="1:28">
      <c r="A4258" s="19"/>
      <c r="B4258" s="12"/>
      <c r="C4258" s="24"/>
      <c r="D4258" s="12"/>
      <c r="E4258" s="23"/>
      <c r="F4258" s="17"/>
      <c r="G4258" s="17"/>
      <c r="Z4258" s="22"/>
      <c r="AB4258" s="22"/>
    </row>
    <row r="4259" spans="1:28">
      <c r="A4259" s="19"/>
      <c r="B4259" s="12"/>
      <c r="C4259" s="24"/>
      <c r="D4259" s="12"/>
      <c r="E4259" s="23"/>
      <c r="F4259" s="17"/>
      <c r="G4259" s="17"/>
      <c r="Z4259" s="22"/>
      <c r="AB4259" s="22"/>
    </row>
    <row r="4260" spans="1:28">
      <c r="A4260" s="19"/>
      <c r="B4260" s="12"/>
      <c r="C4260" s="24"/>
      <c r="D4260" s="12"/>
      <c r="E4260" s="23"/>
      <c r="F4260" s="17"/>
      <c r="G4260" s="17"/>
      <c r="Z4260" s="22"/>
      <c r="AB4260" s="22"/>
    </row>
    <row r="4261" spans="1:28">
      <c r="A4261" s="19"/>
      <c r="B4261" s="12"/>
      <c r="C4261" s="24"/>
      <c r="D4261" s="12"/>
      <c r="E4261" s="23"/>
      <c r="F4261" s="17"/>
      <c r="G4261" s="17"/>
      <c r="Z4261" s="22"/>
      <c r="AB4261" s="22"/>
    </row>
    <row r="4262" spans="1:28">
      <c r="A4262" s="19"/>
      <c r="B4262" s="12"/>
      <c r="C4262" s="24"/>
      <c r="D4262" s="12"/>
      <c r="E4262" s="23"/>
      <c r="F4262" s="17"/>
      <c r="G4262" s="17"/>
      <c r="Z4262" s="22"/>
      <c r="AB4262" s="22"/>
    </row>
    <row r="4263" spans="1:28">
      <c r="A4263" s="19"/>
      <c r="B4263" s="12"/>
      <c r="C4263" s="24"/>
      <c r="D4263" s="12"/>
      <c r="E4263" s="23"/>
      <c r="F4263" s="17"/>
      <c r="G4263" s="17"/>
      <c r="Z4263" s="22"/>
      <c r="AB4263" s="22"/>
    </row>
    <row r="4264" spans="1:28">
      <c r="A4264" s="19"/>
      <c r="B4264" s="12"/>
      <c r="C4264" s="24"/>
      <c r="D4264" s="12"/>
      <c r="E4264" s="23"/>
      <c r="F4264" s="17"/>
      <c r="G4264" s="17"/>
      <c r="Z4264" s="22"/>
      <c r="AB4264" s="22"/>
    </row>
    <row r="4265" spans="1:28">
      <c r="A4265" s="19"/>
      <c r="B4265" s="12"/>
      <c r="C4265" s="24"/>
      <c r="D4265" s="12"/>
      <c r="E4265" s="23"/>
      <c r="F4265" s="17"/>
      <c r="G4265" s="17"/>
      <c r="Z4265" s="22"/>
      <c r="AB4265" s="22"/>
    </row>
    <row r="4266" spans="1:28">
      <c r="A4266" s="19"/>
      <c r="B4266" s="12"/>
      <c r="C4266" s="24"/>
      <c r="D4266" s="12"/>
      <c r="E4266" s="23"/>
      <c r="F4266" s="17"/>
      <c r="G4266" s="17"/>
      <c r="Z4266" s="22"/>
      <c r="AB4266" s="22"/>
    </row>
    <row r="4267" spans="1:28">
      <c r="A4267" s="19"/>
      <c r="B4267" s="12"/>
      <c r="C4267" s="24"/>
      <c r="D4267" s="12"/>
      <c r="E4267" s="23"/>
      <c r="F4267" s="17"/>
      <c r="G4267" s="17"/>
      <c r="Z4267" s="22"/>
      <c r="AB4267" s="22"/>
    </row>
    <row r="4268" spans="1:28">
      <c r="A4268" s="19"/>
      <c r="B4268" s="12"/>
      <c r="C4268" s="24"/>
      <c r="D4268" s="12"/>
      <c r="E4268" s="23"/>
      <c r="F4268" s="17"/>
      <c r="G4268" s="17"/>
      <c r="Z4268" s="22"/>
      <c r="AB4268" s="22"/>
    </row>
    <row r="4269" spans="1:28">
      <c r="A4269" s="19"/>
      <c r="B4269" s="12"/>
      <c r="C4269" s="24"/>
      <c r="D4269" s="12"/>
      <c r="E4269" s="23"/>
      <c r="F4269" s="17"/>
      <c r="G4269" s="17"/>
      <c r="Z4269" s="22"/>
      <c r="AB4269" s="22"/>
    </row>
    <row r="4270" spans="1:28">
      <c r="A4270" s="19"/>
      <c r="B4270" s="12"/>
      <c r="C4270" s="24"/>
      <c r="D4270" s="12"/>
      <c r="E4270" s="23"/>
      <c r="F4270" s="17"/>
      <c r="G4270" s="17"/>
      <c r="Z4270" s="22"/>
      <c r="AB4270" s="22"/>
    </row>
    <row r="4271" spans="1:28">
      <c r="A4271" s="19"/>
      <c r="B4271" s="12"/>
      <c r="C4271" s="24"/>
      <c r="D4271" s="12"/>
      <c r="E4271" s="23"/>
      <c r="F4271" s="17"/>
      <c r="G4271" s="17"/>
      <c r="Z4271" s="22"/>
      <c r="AB4271" s="22"/>
    </row>
    <row r="4272" spans="1:28">
      <c r="A4272" s="19"/>
      <c r="B4272" s="12"/>
      <c r="C4272" s="24"/>
      <c r="D4272" s="12"/>
      <c r="E4272" s="23"/>
      <c r="F4272" s="17"/>
      <c r="G4272" s="17"/>
      <c r="Z4272" s="22"/>
      <c r="AB4272" s="22"/>
    </row>
    <row r="4273" spans="1:28">
      <c r="A4273" s="19"/>
      <c r="B4273" s="12"/>
      <c r="C4273" s="24"/>
      <c r="D4273" s="12"/>
      <c r="E4273" s="23"/>
      <c r="F4273" s="17"/>
      <c r="G4273" s="17"/>
      <c r="Z4273" s="22"/>
      <c r="AB4273" s="22"/>
    </row>
    <row r="4274" spans="1:28">
      <c r="A4274" s="19"/>
      <c r="B4274" s="12"/>
      <c r="C4274" s="24"/>
      <c r="D4274" s="12"/>
      <c r="E4274" s="23"/>
      <c r="F4274" s="17"/>
      <c r="G4274" s="17"/>
      <c r="Z4274" s="22"/>
      <c r="AB4274" s="22"/>
    </row>
    <row r="4275" spans="1:28">
      <c r="A4275" s="19"/>
      <c r="B4275" s="12"/>
      <c r="C4275" s="24"/>
      <c r="D4275" s="12"/>
      <c r="E4275" s="23"/>
      <c r="F4275" s="17"/>
      <c r="G4275" s="17"/>
      <c r="Z4275" s="22"/>
      <c r="AB4275" s="22"/>
    </row>
    <row r="4276" spans="1:28">
      <c r="A4276" s="19"/>
      <c r="B4276" s="12"/>
      <c r="C4276" s="24"/>
      <c r="D4276" s="12"/>
      <c r="E4276" s="23"/>
      <c r="F4276" s="17"/>
      <c r="G4276" s="17"/>
      <c r="Z4276" s="22"/>
      <c r="AB4276" s="22"/>
    </row>
    <row r="4277" spans="1:28">
      <c r="A4277" s="19"/>
      <c r="B4277" s="12"/>
      <c r="C4277" s="24"/>
      <c r="D4277" s="12"/>
      <c r="E4277" s="23"/>
      <c r="F4277" s="17"/>
      <c r="G4277" s="17"/>
      <c r="Z4277" s="22"/>
      <c r="AB4277" s="22"/>
    </row>
    <row r="4278" spans="1:28">
      <c r="A4278" s="19"/>
      <c r="B4278" s="12"/>
      <c r="C4278" s="24"/>
      <c r="D4278" s="12"/>
      <c r="E4278" s="23"/>
      <c r="F4278" s="17"/>
      <c r="G4278" s="17"/>
      <c r="Z4278" s="22"/>
      <c r="AB4278" s="22"/>
    </row>
    <row r="4279" spans="1:28">
      <c r="A4279" s="19"/>
      <c r="B4279" s="12"/>
      <c r="C4279" s="24"/>
      <c r="D4279" s="12"/>
      <c r="E4279" s="23"/>
      <c r="F4279" s="17"/>
      <c r="G4279" s="17"/>
      <c r="Z4279" s="22"/>
      <c r="AB4279" s="22"/>
    </row>
    <row r="4280" spans="1:28">
      <c r="A4280" s="19"/>
      <c r="B4280" s="12"/>
      <c r="C4280" s="24"/>
      <c r="D4280" s="12"/>
      <c r="E4280" s="23"/>
      <c r="F4280" s="17"/>
      <c r="G4280" s="17"/>
      <c r="Z4280" s="22"/>
      <c r="AB4280" s="22"/>
    </row>
    <row r="4281" spans="1:28">
      <c r="A4281" s="19"/>
      <c r="B4281" s="12"/>
      <c r="C4281" s="24"/>
      <c r="D4281" s="12"/>
      <c r="E4281" s="23"/>
      <c r="F4281" s="17"/>
      <c r="G4281" s="17"/>
      <c r="Z4281" s="22"/>
      <c r="AB4281" s="22"/>
    </row>
    <row r="4282" spans="1:28">
      <c r="A4282" s="19"/>
      <c r="B4282" s="12"/>
      <c r="C4282" s="24"/>
      <c r="D4282" s="12"/>
      <c r="E4282" s="23"/>
      <c r="F4282" s="17"/>
      <c r="G4282" s="17"/>
      <c r="Z4282" s="22"/>
      <c r="AB4282" s="22"/>
    </row>
    <row r="4283" spans="1:28">
      <c r="A4283" s="19"/>
      <c r="B4283" s="12"/>
      <c r="C4283" s="24"/>
      <c r="D4283" s="12"/>
      <c r="E4283" s="23"/>
      <c r="F4283" s="17"/>
      <c r="G4283" s="17"/>
      <c r="Z4283" s="22"/>
      <c r="AB4283" s="22"/>
    </row>
    <row r="4284" spans="1:28">
      <c r="A4284" s="19"/>
      <c r="B4284" s="12"/>
      <c r="C4284" s="24"/>
      <c r="D4284" s="12"/>
      <c r="E4284" s="23"/>
      <c r="F4284" s="17"/>
      <c r="G4284" s="17"/>
      <c r="Z4284" s="22"/>
      <c r="AB4284" s="22"/>
    </row>
    <row r="4285" spans="1:28">
      <c r="A4285" s="19"/>
      <c r="B4285" s="12"/>
      <c r="C4285" s="24"/>
      <c r="D4285" s="12"/>
      <c r="E4285" s="23"/>
      <c r="F4285" s="17"/>
      <c r="G4285" s="17"/>
      <c r="Z4285" s="22"/>
      <c r="AB4285" s="22"/>
    </row>
    <row r="4286" spans="1:28">
      <c r="A4286" s="19"/>
      <c r="B4286" s="12"/>
      <c r="C4286" s="24"/>
      <c r="D4286" s="12"/>
      <c r="E4286" s="23"/>
      <c r="F4286" s="17"/>
      <c r="G4286" s="17"/>
      <c r="Z4286" s="22"/>
      <c r="AB4286" s="22"/>
    </row>
    <row r="4287" spans="1:28">
      <c r="A4287" s="19"/>
      <c r="B4287" s="12"/>
      <c r="C4287" s="24"/>
      <c r="D4287" s="12"/>
      <c r="E4287" s="23"/>
      <c r="F4287" s="17"/>
      <c r="G4287" s="17"/>
      <c r="Z4287" s="22"/>
      <c r="AB4287" s="22"/>
    </row>
    <row r="4288" spans="1:28">
      <c r="A4288" s="19"/>
      <c r="B4288" s="12"/>
      <c r="C4288" s="24"/>
      <c r="D4288" s="12"/>
      <c r="E4288" s="23"/>
      <c r="F4288" s="17"/>
      <c r="G4288" s="17"/>
      <c r="Z4288" s="22"/>
      <c r="AB4288" s="22"/>
    </row>
    <row r="4289" spans="1:28">
      <c r="A4289" s="19"/>
      <c r="B4289" s="12"/>
      <c r="C4289" s="24"/>
      <c r="D4289" s="12"/>
      <c r="E4289" s="23"/>
      <c r="F4289" s="17"/>
      <c r="G4289" s="17"/>
      <c r="Z4289" s="22"/>
      <c r="AB4289" s="22"/>
    </row>
    <row r="4290" spans="1:28">
      <c r="A4290" s="19"/>
      <c r="B4290" s="12"/>
      <c r="C4290" s="24"/>
      <c r="D4290" s="12"/>
      <c r="E4290" s="23"/>
      <c r="F4290" s="17"/>
      <c r="G4290" s="17"/>
      <c r="Z4290" s="22"/>
      <c r="AB4290" s="22"/>
    </row>
    <row r="4291" spans="1:28">
      <c r="A4291" s="19"/>
      <c r="B4291" s="12"/>
      <c r="C4291" s="24"/>
      <c r="D4291" s="12"/>
      <c r="E4291" s="23"/>
      <c r="F4291" s="17"/>
      <c r="G4291" s="17"/>
      <c r="Z4291" s="22"/>
      <c r="AB4291" s="22"/>
    </row>
    <row r="4292" spans="1:28">
      <c r="A4292" s="19"/>
      <c r="B4292" s="12"/>
      <c r="C4292" s="24"/>
      <c r="D4292" s="12"/>
      <c r="E4292" s="23"/>
      <c r="F4292" s="17"/>
      <c r="G4292" s="17"/>
      <c r="Z4292" s="22"/>
      <c r="AB4292" s="22"/>
    </row>
    <row r="4293" spans="1:28">
      <c r="A4293" s="19"/>
      <c r="B4293" s="12"/>
      <c r="C4293" s="24"/>
      <c r="D4293" s="12"/>
      <c r="E4293" s="23"/>
      <c r="F4293" s="17"/>
      <c r="G4293" s="17"/>
      <c r="Z4293" s="22"/>
      <c r="AB4293" s="22"/>
    </row>
    <row r="4294" spans="1:28">
      <c r="A4294" s="19"/>
      <c r="B4294" s="12"/>
      <c r="C4294" s="24"/>
      <c r="D4294" s="12"/>
      <c r="E4294" s="23"/>
      <c r="F4294" s="17"/>
      <c r="G4294" s="17"/>
      <c r="Z4294" s="22"/>
      <c r="AB4294" s="22"/>
    </row>
    <row r="4295" spans="1:28">
      <c r="A4295" s="19"/>
      <c r="B4295" s="12"/>
      <c r="C4295" s="24"/>
      <c r="D4295" s="12"/>
      <c r="E4295" s="23"/>
      <c r="F4295" s="17"/>
      <c r="G4295" s="17"/>
      <c r="Z4295" s="22"/>
      <c r="AB4295" s="22"/>
    </row>
    <row r="4296" spans="1:28">
      <c r="A4296" s="19"/>
      <c r="B4296" s="12"/>
      <c r="C4296" s="24"/>
      <c r="D4296" s="12"/>
      <c r="E4296" s="23"/>
      <c r="F4296" s="17"/>
      <c r="G4296" s="17"/>
      <c r="Z4296" s="22"/>
      <c r="AB4296" s="22"/>
    </row>
    <row r="4297" spans="1:28">
      <c r="A4297" s="19"/>
      <c r="B4297" s="12"/>
      <c r="C4297" s="24"/>
      <c r="D4297" s="12"/>
      <c r="E4297" s="23"/>
      <c r="F4297" s="17"/>
      <c r="G4297" s="17"/>
      <c r="Z4297" s="22"/>
      <c r="AB4297" s="22"/>
    </row>
    <row r="4298" spans="1:28">
      <c r="A4298" s="19"/>
      <c r="B4298" s="12"/>
      <c r="C4298" s="24"/>
      <c r="D4298" s="12"/>
      <c r="E4298" s="23"/>
      <c r="F4298" s="17"/>
      <c r="G4298" s="17"/>
      <c r="Z4298" s="22"/>
      <c r="AB4298" s="22"/>
    </row>
    <row r="4299" spans="1:28">
      <c r="A4299" s="19"/>
      <c r="B4299" s="12"/>
      <c r="C4299" s="24"/>
      <c r="D4299" s="12"/>
      <c r="E4299" s="23"/>
      <c r="F4299" s="17"/>
      <c r="G4299" s="17"/>
      <c r="Z4299" s="22"/>
      <c r="AB4299" s="22"/>
    </row>
    <row r="4300" spans="1:28">
      <c r="A4300" s="19"/>
      <c r="B4300" s="12"/>
      <c r="C4300" s="24"/>
      <c r="D4300" s="12"/>
      <c r="E4300" s="23"/>
      <c r="F4300" s="17"/>
      <c r="G4300" s="17"/>
      <c r="Z4300" s="22"/>
      <c r="AB4300" s="22"/>
    </row>
    <row r="4301" spans="1:28">
      <c r="A4301" s="19"/>
      <c r="B4301" s="12"/>
      <c r="C4301" s="24"/>
      <c r="D4301" s="12"/>
      <c r="E4301" s="23"/>
      <c r="F4301" s="17"/>
      <c r="G4301" s="17"/>
      <c r="Z4301" s="22"/>
      <c r="AB4301" s="22"/>
    </row>
    <row r="4302" spans="1:28">
      <c r="A4302" s="19"/>
      <c r="B4302" s="12"/>
      <c r="C4302" s="24"/>
      <c r="D4302" s="12"/>
      <c r="E4302" s="23"/>
      <c r="F4302" s="17"/>
      <c r="G4302" s="17"/>
      <c r="Z4302" s="22"/>
      <c r="AB4302" s="22"/>
    </row>
    <row r="4303" spans="1:28">
      <c r="A4303" s="19"/>
      <c r="B4303" s="12"/>
      <c r="C4303" s="24"/>
      <c r="D4303" s="12"/>
      <c r="E4303" s="23"/>
      <c r="F4303" s="17"/>
      <c r="G4303" s="17"/>
      <c r="Z4303" s="22"/>
      <c r="AB4303" s="22"/>
    </row>
    <row r="4304" spans="1:28">
      <c r="A4304" s="19"/>
      <c r="B4304" s="12"/>
      <c r="C4304" s="24"/>
      <c r="D4304" s="12"/>
      <c r="E4304" s="23"/>
      <c r="F4304" s="17"/>
      <c r="G4304" s="17"/>
      <c r="Z4304" s="22"/>
      <c r="AB4304" s="22"/>
    </row>
    <row r="4305" spans="1:28">
      <c r="A4305" s="19"/>
      <c r="B4305" s="12"/>
      <c r="C4305" s="24"/>
      <c r="D4305" s="12"/>
      <c r="E4305" s="23"/>
      <c r="F4305" s="17"/>
      <c r="G4305" s="17"/>
      <c r="Z4305" s="22"/>
      <c r="AB4305" s="22"/>
    </row>
    <row r="4306" spans="1:28">
      <c r="A4306" s="19"/>
      <c r="B4306" s="12"/>
      <c r="C4306" s="24"/>
      <c r="D4306" s="12"/>
      <c r="E4306" s="23"/>
      <c r="F4306" s="17"/>
      <c r="G4306" s="17"/>
      <c r="Z4306" s="22"/>
      <c r="AB4306" s="22"/>
    </row>
    <row r="4307" spans="1:28">
      <c r="A4307" s="19"/>
      <c r="B4307" s="12"/>
      <c r="C4307" s="24"/>
      <c r="D4307" s="12"/>
      <c r="E4307" s="23"/>
      <c r="F4307" s="17"/>
      <c r="G4307" s="17"/>
      <c r="Z4307" s="22"/>
      <c r="AB4307" s="22"/>
    </row>
    <row r="4308" spans="1:28">
      <c r="A4308" s="19"/>
      <c r="B4308" s="12"/>
      <c r="C4308" s="24"/>
      <c r="D4308" s="12"/>
      <c r="E4308" s="23"/>
      <c r="F4308" s="17"/>
      <c r="G4308" s="17"/>
      <c r="Z4308" s="22"/>
      <c r="AB4308" s="22"/>
    </row>
    <row r="4309" spans="1:28">
      <c r="A4309" s="19"/>
      <c r="B4309" s="12"/>
      <c r="C4309" s="24"/>
      <c r="D4309" s="12"/>
      <c r="E4309" s="23"/>
      <c r="F4309" s="17"/>
      <c r="G4309" s="17"/>
      <c r="Z4309" s="22"/>
      <c r="AB4309" s="22"/>
    </row>
    <row r="4310" spans="1:28">
      <c r="A4310" s="19"/>
      <c r="B4310" s="12"/>
      <c r="C4310" s="24"/>
      <c r="D4310" s="12"/>
      <c r="E4310" s="23"/>
      <c r="F4310" s="17"/>
      <c r="G4310" s="17"/>
      <c r="Z4310" s="22"/>
      <c r="AB4310" s="22"/>
    </row>
    <row r="4311" spans="1:28">
      <c r="A4311" s="19"/>
      <c r="B4311" s="12"/>
      <c r="C4311" s="24"/>
      <c r="D4311" s="12"/>
      <c r="E4311" s="23"/>
      <c r="F4311" s="17"/>
      <c r="G4311" s="17"/>
      <c r="Z4311" s="22"/>
      <c r="AB4311" s="22"/>
    </row>
    <row r="4312" spans="1:28">
      <c r="A4312" s="19"/>
      <c r="B4312" s="12"/>
      <c r="C4312" s="24"/>
      <c r="D4312" s="12"/>
      <c r="E4312" s="23"/>
      <c r="F4312" s="17"/>
      <c r="G4312" s="17"/>
      <c r="Z4312" s="22"/>
      <c r="AB4312" s="22"/>
    </row>
    <row r="4313" spans="1:28">
      <c r="A4313" s="19"/>
      <c r="B4313" s="12"/>
      <c r="C4313" s="24"/>
      <c r="D4313" s="12"/>
      <c r="E4313" s="23"/>
      <c r="F4313" s="17"/>
      <c r="G4313" s="17"/>
      <c r="Z4313" s="22"/>
      <c r="AB4313" s="22"/>
    </row>
    <row r="4314" spans="1:28">
      <c r="A4314" s="19"/>
      <c r="B4314" s="12"/>
      <c r="C4314" s="24"/>
      <c r="D4314" s="12"/>
      <c r="E4314" s="23"/>
      <c r="F4314" s="17"/>
      <c r="G4314" s="17"/>
      <c r="Z4314" s="22"/>
      <c r="AB4314" s="22"/>
    </row>
    <row r="4315" spans="1:28">
      <c r="A4315" s="19"/>
      <c r="B4315" s="12"/>
      <c r="C4315" s="24"/>
      <c r="D4315" s="12"/>
      <c r="E4315" s="23"/>
      <c r="F4315" s="17"/>
      <c r="G4315" s="17"/>
      <c r="Z4315" s="22"/>
      <c r="AB4315" s="22"/>
    </row>
    <row r="4316" spans="1:28">
      <c r="A4316" s="19"/>
      <c r="B4316" s="12"/>
      <c r="C4316" s="24"/>
      <c r="D4316" s="12"/>
      <c r="E4316" s="23"/>
      <c r="F4316" s="17"/>
      <c r="G4316" s="17"/>
      <c r="Z4316" s="22"/>
      <c r="AB4316" s="22"/>
    </row>
    <row r="4317" spans="1:28">
      <c r="A4317" s="19"/>
      <c r="B4317" s="12"/>
      <c r="C4317" s="24"/>
      <c r="D4317" s="12"/>
      <c r="E4317" s="23"/>
      <c r="F4317" s="17"/>
      <c r="G4317" s="17"/>
      <c r="Z4317" s="22"/>
      <c r="AB4317" s="22"/>
    </row>
    <row r="4318" spans="1:28">
      <c r="A4318" s="19"/>
      <c r="B4318" s="12"/>
      <c r="C4318" s="24"/>
      <c r="D4318" s="12"/>
      <c r="E4318" s="23"/>
      <c r="F4318" s="17"/>
      <c r="G4318" s="17"/>
      <c r="Z4318" s="22"/>
      <c r="AB4318" s="22"/>
    </row>
    <row r="4319" spans="1:28">
      <c r="A4319" s="19"/>
      <c r="B4319" s="12"/>
      <c r="C4319" s="24"/>
      <c r="D4319" s="12"/>
      <c r="E4319" s="23"/>
      <c r="F4319" s="17"/>
      <c r="G4319" s="17"/>
      <c r="Z4319" s="22"/>
      <c r="AB4319" s="22"/>
    </row>
    <row r="4320" spans="1:28">
      <c r="A4320" s="19"/>
      <c r="B4320" s="12"/>
      <c r="C4320" s="24"/>
      <c r="D4320" s="12"/>
      <c r="E4320" s="23"/>
      <c r="F4320" s="17"/>
      <c r="G4320" s="17"/>
      <c r="Z4320" s="22"/>
      <c r="AB4320" s="22"/>
    </row>
    <row r="4321" spans="1:28">
      <c r="A4321" s="19"/>
      <c r="B4321" s="12"/>
      <c r="C4321" s="24"/>
      <c r="D4321" s="12"/>
      <c r="E4321" s="23"/>
      <c r="F4321" s="17"/>
      <c r="G4321" s="17"/>
      <c r="Z4321" s="22"/>
      <c r="AB4321" s="22"/>
    </row>
    <row r="4322" spans="1:28">
      <c r="A4322" s="19"/>
      <c r="B4322" s="12"/>
      <c r="C4322" s="24"/>
      <c r="D4322" s="12"/>
      <c r="E4322" s="23"/>
      <c r="F4322" s="17"/>
      <c r="G4322" s="17"/>
      <c r="Z4322" s="22"/>
      <c r="AB4322" s="22"/>
    </row>
    <row r="4323" spans="1:28">
      <c r="A4323" s="19"/>
      <c r="B4323" s="12"/>
      <c r="C4323" s="24"/>
      <c r="D4323" s="12"/>
      <c r="E4323" s="23"/>
      <c r="F4323" s="17"/>
      <c r="G4323" s="17"/>
      <c r="Z4323" s="22"/>
      <c r="AB4323" s="22"/>
    </row>
    <row r="4324" spans="1:28">
      <c r="A4324" s="19"/>
      <c r="B4324" s="12"/>
      <c r="C4324" s="24"/>
      <c r="D4324" s="12"/>
      <c r="E4324" s="23"/>
      <c r="F4324" s="17"/>
      <c r="G4324" s="17"/>
      <c r="Z4324" s="22"/>
      <c r="AB4324" s="22"/>
    </row>
    <row r="4325" spans="1:28">
      <c r="A4325" s="19"/>
      <c r="B4325" s="12"/>
      <c r="C4325" s="24"/>
      <c r="D4325" s="12"/>
      <c r="E4325" s="23"/>
      <c r="F4325" s="17"/>
      <c r="G4325" s="17"/>
      <c r="Z4325" s="22"/>
      <c r="AB4325" s="22"/>
    </row>
    <row r="4326" spans="1:28">
      <c r="A4326" s="19"/>
      <c r="B4326" s="12"/>
      <c r="C4326" s="24"/>
      <c r="D4326" s="12"/>
      <c r="E4326" s="23"/>
      <c r="F4326" s="17"/>
      <c r="G4326" s="17"/>
      <c r="Z4326" s="22"/>
      <c r="AB4326" s="22"/>
    </row>
    <row r="4327" spans="1:28">
      <c r="A4327" s="19"/>
      <c r="B4327" s="12"/>
      <c r="C4327" s="24"/>
      <c r="D4327" s="12"/>
      <c r="E4327" s="23"/>
      <c r="F4327" s="17"/>
      <c r="G4327" s="17"/>
      <c r="Z4327" s="22"/>
      <c r="AB4327" s="22"/>
    </row>
    <row r="4328" spans="1:28">
      <c r="A4328" s="19"/>
      <c r="B4328" s="12"/>
      <c r="C4328" s="24"/>
      <c r="D4328" s="12"/>
      <c r="E4328" s="23"/>
      <c r="F4328" s="17"/>
      <c r="G4328" s="17"/>
      <c r="Z4328" s="22"/>
      <c r="AB4328" s="22"/>
    </row>
    <row r="4329" spans="1:28">
      <c r="A4329" s="19"/>
      <c r="B4329" s="12"/>
      <c r="C4329" s="24"/>
      <c r="D4329" s="12"/>
      <c r="E4329" s="23"/>
      <c r="F4329" s="17"/>
      <c r="G4329" s="17"/>
      <c r="Z4329" s="22"/>
      <c r="AB4329" s="22"/>
    </row>
    <row r="4330" spans="1:28">
      <c r="A4330" s="19"/>
      <c r="B4330" s="12"/>
      <c r="C4330" s="24"/>
      <c r="D4330" s="12"/>
      <c r="E4330" s="23"/>
      <c r="F4330" s="17"/>
      <c r="G4330" s="17"/>
      <c r="Z4330" s="22"/>
      <c r="AB4330" s="22"/>
    </row>
    <row r="4331" spans="1:28">
      <c r="A4331" s="19"/>
      <c r="B4331" s="12"/>
      <c r="C4331" s="24"/>
      <c r="D4331" s="12"/>
      <c r="E4331" s="23"/>
      <c r="F4331" s="17"/>
      <c r="G4331" s="17"/>
      <c r="Z4331" s="22"/>
      <c r="AB4331" s="22"/>
    </row>
    <row r="4332" spans="1:28">
      <c r="A4332" s="19"/>
      <c r="B4332" s="12"/>
      <c r="C4332" s="24"/>
      <c r="D4332" s="12"/>
      <c r="E4332" s="23"/>
      <c r="F4332" s="17"/>
      <c r="G4332" s="17"/>
      <c r="Z4332" s="22"/>
      <c r="AB4332" s="22"/>
    </row>
    <row r="4333" spans="1:28">
      <c r="A4333" s="19"/>
      <c r="B4333" s="12"/>
      <c r="C4333" s="24"/>
      <c r="D4333" s="12"/>
      <c r="E4333" s="23"/>
      <c r="F4333" s="17"/>
      <c r="G4333" s="17"/>
      <c r="Z4333" s="22"/>
      <c r="AB4333" s="22"/>
    </row>
    <row r="4334" spans="1:28">
      <c r="A4334" s="19"/>
      <c r="B4334" s="12"/>
      <c r="C4334" s="24"/>
      <c r="D4334" s="12"/>
      <c r="E4334" s="23"/>
      <c r="F4334" s="17"/>
      <c r="G4334" s="17"/>
      <c r="Z4334" s="22"/>
      <c r="AB4334" s="22"/>
    </row>
    <row r="4335" spans="1:28">
      <c r="A4335" s="19"/>
      <c r="B4335" s="12"/>
      <c r="C4335" s="24"/>
      <c r="D4335" s="12"/>
      <c r="E4335" s="23"/>
      <c r="F4335" s="17"/>
      <c r="G4335" s="17"/>
      <c r="Z4335" s="22"/>
      <c r="AB4335" s="22"/>
    </row>
    <row r="4336" spans="1:28">
      <c r="A4336" s="19"/>
      <c r="B4336" s="12"/>
      <c r="C4336" s="24"/>
      <c r="D4336" s="12"/>
      <c r="E4336" s="23"/>
      <c r="F4336" s="17"/>
      <c r="G4336" s="17"/>
      <c r="Z4336" s="22"/>
      <c r="AB4336" s="22"/>
    </row>
    <row r="4337" spans="1:28">
      <c r="A4337" s="19"/>
      <c r="B4337" s="12"/>
      <c r="C4337" s="24"/>
      <c r="D4337" s="12"/>
      <c r="E4337" s="23"/>
      <c r="F4337" s="17"/>
      <c r="G4337" s="17"/>
      <c r="Z4337" s="22"/>
      <c r="AB4337" s="22"/>
    </row>
    <row r="4338" spans="1:28">
      <c r="A4338" s="19"/>
      <c r="B4338" s="12"/>
      <c r="C4338" s="24"/>
      <c r="D4338" s="12"/>
      <c r="E4338" s="23"/>
      <c r="F4338" s="17"/>
      <c r="G4338" s="17"/>
      <c r="Z4338" s="22"/>
      <c r="AB4338" s="22"/>
    </row>
    <row r="4339" spans="1:28">
      <c r="A4339" s="19"/>
      <c r="B4339" s="12"/>
      <c r="C4339" s="24"/>
      <c r="D4339" s="12"/>
      <c r="E4339" s="23"/>
      <c r="F4339" s="17"/>
      <c r="G4339" s="17"/>
      <c r="Z4339" s="22"/>
      <c r="AB4339" s="22"/>
    </row>
    <row r="4340" spans="1:28">
      <c r="A4340" s="19"/>
      <c r="B4340" s="12"/>
      <c r="C4340" s="24"/>
      <c r="D4340" s="12"/>
      <c r="E4340" s="23"/>
      <c r="F4340" s="17"/>
      <c r="G4340" s="17"/>
      <c r="Z4340" s="22"/>
      <c r="AB4340" s="22"/>
    </row>
    <row r="4341" spans="1:28">
      <c r="A4341" s="19"/>
      <c r="B4341" s="12"/>
      <c r="C4341" s="24"/>
      <c r="D4341" s="12"/>
      <c r="E4341" s="23"/>
      <c r="F4341" s="17"/>
      <c r="G4341" s="17"/>
      <c r="Z4341" s="22"/>
      <c r="AB4341" s="22"/>
    </row>
    <row r="4342" spans="1:28">
      <c r="A4342" s="19"/>
      <c r="B4342" s="12"/>
      <c r="C4342" s="24"/>
      <c r="D4342" s="12"/>
      <c r="E4342" s="23"/>
      <c r="F4342" s="17"/>
      <c r="G4342" s="17"/>
      <c r="Z4342" s="22"/>
      <c r="AB4342" s="22"/>
    </row>
    <row r="4343" spans="1:28">
      <c r="A4343" s="19"/>
      <c r="B4343" s="12"/>
      <c r="C4343" s="24"/>
      <c r="D4343" s="12"/>
      <c r="E4343" s="23"/>
      <c r="F4343" s="17"/>
      <c r="G4343" s="17"/>
      <c r="Z4343" s="22"/>
      <c r="AB4343" s="22"/>
    </row>
    <row r="4344" spans="1:28">
      <c r="A4344" s="19"/>
      <c r="B4344" s="12"/>
      <c r="C4344" s="24"/>
      <c r="D4344" s="12"/>
      <c r="E4344" s="23"/>
      <c r="F4344" s="17"/>
      <c r="G4344" s="17"/>
      <c r="Z4344" s="22"/>
      <c r="AB4344" s="22"/>
    </row>
    <row r="4345" spans="1:28">
      <c r="A4345" s="19"/>
      <c r="B4345" s="12"/>
      <c r="C4345" s="24"/>
      <c r="D4345" s="12"/>
      <c r="E4345" s="23"/>
      <c r="F4345" s="17"/>
      <c r="G4345" s="17"/>
      <c r="Z4345" s="22"/>
      <c r="AB4345" s="22"/>
    </row>
    <row r="4346" spans="1:28">
      <c r="A4346" s="19"/>
      <c r="B4346" s="12"/>
      <c r="C4346" s="24"/>
      <c r="D4346" s="12"/>
      <c r="E4346" s="23"/>
      <c r="F4346" s="17"/>
      <c r="G4346" s="17"/>
      <c r="Z4346" s="22"/>
      <c r="AB4346" s="22"/>
    </row>
    <row r="4347" spans="1:28">
      <c r="A4347" s="19"/>
      <c r="B4347" s="12"/>
      <c r="C4347" s="24"/>
      <c r="D4347" s="12"/>
      <c r="E4347" s="23"/>
      <c r="F4347" s="17"/>
      <c r="G4347" s="17"/>
      <c r="Z4347" s="22"/>
      <c r="AB4347" s="22"/>
    </row>
    <row r="4348" spans="1:28">
      <c r="A4348" s="19"/>
      <c r="B4348" s="12"/>
      <c r="C4348" s="24"/>
      <c r="D4348" s="12"/>
      <c r="E4348" s="23"/>
      <c r="F4348" s="17"/>
      <c r="G4348" s="17"/>
      <c r="Z4348" s="22"/>
      <c r="AB4348" s="22"/>
    </row>
    <row r="4349" spans="1:28">
      <c r="A4349" s="19"/>
      <c r="B4349" s="12"/>
      <c r="C4349" s="24"/>
      <c r="D4349" s="12"/>
      <c r="E4349" s="23"/>
      <c r="F4349" s="17"/>
      <c r="G4349" s="17"/>
      <c r="Z4349" s="22"/>
      <c r="AB4349" s="22"/>
    </row>
    <row r="4350" spans="1:28">
      <c r="A4350" s="19"/>
      <c r="B4350" s="12"/>
      <c r="C4350" s="24"/>
      <c r="D4350" s="12"/>
      <c r="E4350" s="23"/>
      <c r="F4350" s="17"/>
      <c r="G4350" s="17"/>
      <c r="Z4350" s="22"/>
      <c r="AB4350" s="22"/>
    </row>
    <row r="4351" spans="1:28">
      <c r="A4351" s="19"/>
      <c r="B4351" s="12"/>
      <c r="C4351" s="24"/>
      <c r="D4351" s="12"/>
      <c r="E4351" s="23"/>
      <c r="F4351" s="17"/>
      <c r="G4351" s="17"/>
      <c r="Z4351" s="22"/>
      <c r="AB4351" s="22"/>
    </row>
    <row r="4352" spans="1:28">
      <c r="A4352" s="19"/>
      <c r="B4352" s="12"/>
      <c r="C4352" s="24"/>
      <c r="D4352" s="12"/>
      <c r="E4352" s="23"/>
      <c r="F4352" s="17"/>
      <c r="G4352" s="17"/>
      <c r="Z4352" s="22"/>
      <c r="AB4352" s="22"/>
    </row>
    <row r="4353" spans="1:28">
      <c r="A4353" s="19"/>
      <c r="B4353" s="12"/>
      <c r="C4353" s="24"/>
      <c r="D4353" s="12"/>
      <c r="E4353" s="23"/>
      <c r="F4353" s="17"/>
      <c r="G4353" s="17"/>
      <c r="Z4353" s="22"/>
      <c r="AB4353" s="22"/>
    </row>
    <row r="4354" spans="1:28">
      <c r="A4354" s="19"/>
      <c r="B4354" s="12"/>
      <c r="C4354" s="24"/>
      <c r="D4354" s="12"/>
      <c r="E4354" s="23"/>
      <c r="F4354" s="17"/>
      <c r="G4354" s="17"/>
      <c r="Z4354" s="22"/>
      <c r="AB4354" s="22"/>
    </row>
    <row r="4355" spans="1:28">
      <c r="A4355" s="19"/>
      <c r="B4355" s="12"/>
      <c r="C4355" s="24"/>
      <c r="D4355" s="12"/>
      <c r="E4355" s="23"/>
      <c r="F4355" s="17"/>
      <c r="G4355" s="17"/>
      <c r="Z4355" s="22"/>
      <c r="AB4355" s="22"/>
    </row>
    <row r="4356" spans="1:28">
      <c r="A4356" s="19"/>
      <c r="B4356" s="12"/>
      <c r="C4356" s="24"/>
      <c r="D4356" s="12"/>
      <c r="E4356" s="23"/>
      <c r="F4356" s="17"/>
      <c r="G4356" s="17"/>
      <c r="Z4356" s="22"/>
      <c r="AB4356" s="22"/>
    </row>
    <row r="4357" spans="1:28">
      <c r="A4357" s="19"/>
      <c r="B4357" s="12"/>
      <c r="C4357" s="24"/>
      <c r="D4357" s="12"/>
      <c r="E4357" s="23"/>
      <c r="F4357" s="17"/>
      <c r="G4357" s="17"/>
      <c r="Z4357" s="22"/>
      <c r="AB4357" s="22"/>
    </row>
    <row r="4358" spans="1:28">
      <c r="A4358" s="19"/>
      <c r="B4358" s="12"/>
      <c r="C4358" s="24"/>
      <c r="D4358" s="12"/>
      <c r="E4358" s="23"/>
      <c r="F4358" s="17"/>
      <c r="G4358" s="17"/>
      <c r="Z4358" s="22"/>
      <c r="AB4358" s="22"/>
    </row>
    <row r="4359" spans="1:28">
      <c r="A4359" s="19"/>
      <c r="B4359" s="12"/>
      <c r="C4359" s="24"/>
      <c r="D4359" s="12"/>
      <c r="E4359" s="23"/>
      <c r="F4359" s="17"/>
      <c r="G4359" s="17"/>
      <c r="Z4359" s="22"/>
      <c r="AB4359" s="22"/>
    </row>
    <row r="4360" spans="1:28">
      <c r="A4360" s="19"/>
      <c r="B4360" s="12"/>
      <c r="C4360" s="24"/>
      <c r="D4360" s="12"/>
      <c r="E4360" s="23"/>
      <c r="F4360" s="17"/>
      <c r="G4360" s="17"/>
      <c r="Z4360" s="22"/>
      <c r="AB4360" s="22"/>
    </row>
    <row r="4361" spans="1:28">
      <c r="A4361" s="19"/>
      <c r="B4361" s="12"/>
      <c r="C4361" s="24"/>
      <c r="D4361" s="12"/>
      <c r="E4361" s="23"/>
      <c r="F4361" s="17"/>
      <c r="G4361" s="17"/>
      <c r="Z4361" s="22"/>
      <c r="AB4361" s="22"/>
    </row>
    <row r="4362" spans="1:28">
      <c r="A4362" s="19"/>
      <c r="B4362" s="12"/>
      <c r="C4362" s="24"/>
      <c r="D4362" s="12"/>
      <c r="E4362" s="23"/>
      <c r="F4362" s="17"/>
      <c r="G4362" s="17"/>
      <c r="Z4362" s="22"/>
      <c r="AB4362" s="22"/>
    </row>
    <row r="4363" spans="1:28">
      <c r="A4363" s="19"/>
      <c r="B4363" s="12"/>
      <c r="C4363" s="24"/>
      <c r="D4363" s="12"/>
      <c r="E4363" s="23"/>
      <c r="F4363" s="17"/>
      <c r="G4363" s="17"/>
      <c r="Z4363" s="22"/>
      <c r="AB4363" s="22"/>
    </row>
    <row r="4364" spans="1:28">
      <c r="A4364" s="19"/>
      <c r="B4364" s="12"/>
      <c r="C4364" s="24"/>
      <c r="D4364" s="12"/>
      <c r="E4364" s="23"/>
      <c r="F4364" s="17"/>
      <c r="G4364" s="17"/>
      <c r="Z4364" s="22"/>
      <c r="AB4364" s="22"/>
    </row>
    <row r="4365" spans="1:28">
      <c r="A4365" s="19"/>
      <c r="B4365" s="12"/>
      <c r="C4365" s="24"/>
      <c r="D4365" s="12"/>
      <c r="E4365" s="23"/>
      <c r="F4365" s="17"/>
      <c r="G4365" s="17"/>
      <c r="Z4365" s="22"/>
      <c r="AB4365" s="22"/>
    </row>
    <row r="4366" spans="1:28">
      <c r="A4366" s="19"/>
      <c r="B4366" s="12"/>
      <c r="C4366" s="24"/>
      <c r="D4366" s="12"/>
      <c r="E4366" s="23"/>
      <c r="F4366" s="17"/>
      <c r="G4366" s="17"/>
      <c r="Z4366" s="22"/>
      <c r="AB4366" s="22"/>
    </row>
    <row r="4367" spans="1:28">
      <c r="A4367" s="19"/>
      <c r="B4367" s="12"/>
      <c r="C4367" s="24"/>
      <c r="D4367" s="12"/>
      <c r="E4367" s="23"/>
      <c r="F4367" s="17"/>
      <c r="G4367" s="17"/>
      <c r="Z4367" s="22"/>
      <c r="AB4367" s="22"/>
    </row>
    <row r="4368" spans="1:28">
      <c r="A4368" s="19"/>
      <c r="B4368" s="12"/>
      <c r="C4368" s="24"/>
      <c r="D4368" s="12"/>
      <c r="E4368" s="23"/>
      <c r="F4368" s="17"/>
      <c r="G4368" s="17"/>
      <c r="Z4368" s="22"/>
      <c r="AB4368" s="22"/>
    </row>
    <row r="4369" spans="1:28">
      <c r="A4369" s="19"/>
      <c r="B4369" s="12"/>
      <c r="C4369" s="24"/>
      <c r="D4369" s="12"/>
      <c r="E4369" s="23"/>
      <c r="F4369" s="17"/>
      <c r="G4369" s="17"/>
      <c r="Z4369" s="22"/>
      <c r="AB4369" s="22"/>
    </row>
    <row r="4370" spans="1:28">
      <c r="A4370" s="19"/>
      <c r="B4370" s="12"/>
      <c r="C4370" s="24"/>
      <c r="D4370" s="12"/>
      <c r="E4370" s="23"/>
      <c r="F4370" s="17"/>
      <c r="G4370" s="17"/>
      <c r="Z4370" s="22"/>
      <c r="AB4370" s="22"/>
    </row>
    <row r="4371" spans="1:28">
      <c r="A4371" s="19"/>
      <c r="B4371" s="12"/>
      <c r="C4371" s="24"/>
      <c r="D4371" s="12"/>
      <c r="E4371" s="23"/>
      <c r="F4371" s="17"/>
      <c r="G4371" s="17"/>
      <c r="Z4371" s="22"/>
      <c r="AB4371" s="22"/>
    </row>
    <row r="4372" spans="1:28">
      <c r="A4372" s="19"/>
      <c r="B4372" s="12"/>
      <c r="C4372" s="24"/>
      <c r="D4372" s="12"/>
      <c r="E4372" s="23"/>
      <c r="F4372" s="17"/>
      <c r="G4372" s="17"/>
      <c r="Z4372" s="22"/>
      <c r="AB4372" s="22"/>
    </row>
    <row r="4373" spans="1:28">
      <c r="A4373" s="19"/>
      <c r="B4373" s="12"/>
      <c r="C4373" s="24"/>
      <c r="D4373" s="12"/>
      <c r="E4373" s="23"/>
      <c r="F4373" s="17"/>
      <c r="G4373" s="17"/>
      <c r="Z4373" s="22"/>
      <c r="AB4373" s="22"/>
    </row>
    <row r="4374" spans="1:28">
      <c r="A4374" s="19"/>
      <c r="B4374" s="12"/>
      <c r="C4374" s="24"/>
      <c r="D4374" s="12"/>
      <c r="E4374" s="23"/>
      <c r="F4374" s="17"/>
      <c r="G4374" s="17"/>
      <c r="Z4374" s="22"/>
      <c r="AB4374" s="22"/>
    </row>
    <row r="4375" spans="1:28">
      <c r="A4375" s="19"/>
      <c r="B4375" s="12"/>
      <c r="C4375" s="24"/>
      <c r="D4375" s="12"/>
      <c r="E4375" s="23"/>
      <c r="F4375" s="17"/>
      <c r="G4375" s="17"/>
      <c r="Z4375" s="22"/>
      <c r="AB4375" s="22"/>
    </row>
    <row r="4376" spans="1:28">
      <c r="A4376" s="19"/>
      <c r="B4376" s="12"/>
      <c r="C4376" s="24"/>
      <c r="D4376" s="12"/>
      <c r="E4376" s="23"/>
      <c r="F4376" s="17"/>
      <c r="G4376" s="17"/>
      <c r="Z4376" s="22"/>
      <c r="AB4376" s="22"/>
    </row>
    <row r="4377" spans="1:28">
      <c r="A4377" s="19"/>
      <c r="B4377" s="12"/>
      <c r="C4377" s="24"/>
      <c r="D4377" s="12"/>
      <c r="E4377" s="23"/>
      <c r="F4377" s="17"/>
      <c r="G4377" s="17"/>
      <c r="Z4377" s="22"/>
      <c r="AB4377" s="22"/>
    </row>
    <row r="4378" spans="1:28">
      <c r="A4378" s="19"/>
      <c r="B4378" s="12"/>
      <c r="C4378" s="24"/>
      <c r="D4378" s="12"/>
      <c r="E4378" s="23"/>
      <c r="F4378" s="17"/>
      <c r="G4378" s="17"/>
      <c r="Z4378" s="22"/>
      <c r="AB4378" s="22"/>
    </row>
    <row r="4379" spans="1:28">
      <c r="A4379" s="19"/>
      <c r="B4379" s="12"/>
      <c r="C4379" s="24"/>
      <c r="D4379" s="12"/>
      <c r="E4379" s="23"/>
      <c r="F4379" s="17"/>
      <c r="G4379" s="17"/>
      <c r="Z4379" s="22"/>
      <c r="AB4379" s="22"/>
    </row>
    <row r="4380" spans="1:28">
      <c r="A4380" s="19"/>
      <c r="B4380" s="12"/>
      <c r="C4380" s="24"/>
      <c r="D4380" s="12"/>
      <c r="E4380" s="23"/>
      <c r="F4380" s="17"/>
      <c r="G4380" s="17"/>
      <c r="Z4380" s="22"/>
      <c r="AB4380" s="22"/>
    </row>
    <row r="4381" spans="1:28">
      <c r="A4381" s="19"/>
      <c r="B4381" s="12"/>
      <c r="C4381" s="24"/>
      <c r="D4381" s="12"/>
      <c r="E4381" s="23"/>
      <c r="F4381" s="17"/>
      <c r="G4381" s="17"/>
      <c r="Z4381" s="22"/>
      <c r="AB4381" s="22"/>
    </row>
    <row r="4382" spans="1:28">
      <c r="A4382" s="19"/>
      <c r="B4382" s="12"/>
      <c r="C4382" s="24"/>
      <c r="D4382" s="12"/>
      <c r="E4382" s="23"/>
      <c r="F4382" s="17"/>
      <c r="G4382" s="17"/>
      <c r="Z4382" s="22"/>
      <c r="AB4382" s="22"/>
    </row>
    <row r="4383" spans="1:28">
      <c r="A4383" s="19"/>
      <c r="B4383" s="12"/>
      <c r="C4383" s="24"/>
      <c r="D4383" s="12"/>
      <c r="E4383" s="23"/>
      <c r="F4383" s="17"/>
      <c r="G4383" s="17"/>
      <c r="Z4383" s="22"/>
      <c r="AB4383" s="22"/>
    </row>
    <row r="4384" spans="1:28">
      <c r="A4384" s="19"/>
      <c r="B4384" s="12"/>
      <c r="C4384" s="24"/>
      <c r="D4384" s="12"/>
      <c r="E4384" s="23"/>
      <c r="F4384" s="17"/>
      <c r="G4384" s="17"/>
      <c r="Z4384" s="22"/>
      <c r="AB4384" s="22"/>
    </row>
    <row r="4385" spans="1:28">
      <c r="A4385" s="19"/>
      <c r="B4385" s="12"/>
      <c r="C4385" s="24"/>
      <c r="D4385" s="12"/>
      <c r="E4385" s="23"/>
      <c r="F4385" s="17"/>
      <c r="G4385" s="17"/>
      <c r="Z4385" s="22"/>
      <c r="AB4385" s="22"/>
    </row>
    <row r="4386" spans="1:28">
      <c r="A4386" s="19"/>
      <c r="B4386" s="12"/>
      <c r="C4386" s="24"/>
      <c r="D4386" s="12"/>
      <c r="E4386" s="23"/>
      <c r="F4386" s="17"/>
      <c r="G4386" s="17"/>
      <c r="Z4386" s="22"/>
      <c r="AB4386" s="22"/>
    </row>
    <row r="4387" spans="1:28">
      <c r="A4387" s="19"/>
      <c r="B4387" s="12"/>
      <c r="C4387" s="24"/>
      <c r="D4387" s="12"/>
      <c r="E4387" s="23"/>
      <c r="F4387" s="17"/>
      <c r="G4387" s="17"/>
      <c r="Z4387" s="22"/>
      <c r="AB4387" s="22"/>
    </row>
    <row r="4388" spans="1:28">
      <c r="A4388" s="19"/>
      <c r="B4388" s="12"/>
      <c r="C4388" s="24"/>
      <c r="D4388" s="12"/>
      <c r="E4388" s="23"/>
      <c r="F4388" s="17"/>
      <c r="G4388" s="17"/>
      <c r="Z4388" s="22"/>
      <c r="AB4388" s="22"/>
    </row>
    <row r="4389" spans="1:28">
      <c r="A4389" s="19"/>
      <c r="B4389" s="12"/>
      <c r="C4389" s="24"/>
      <c r="D4389" s="12"/>
      <c r="E4389" s="23"/>
      <c r="F4389" s="17"/>
      <c r="G4389" s="17"/>
      <c r="Z4389" s="22"/>
      <c r="AB4389" s="22"/>
    </row>
    <row r="4390" spans="1:28">
      <c r="A4390" s="19"/>
      <c r="B4390" s="12"/>
      <c r="C4390" s="24"/>
      <c r="D4390" s="12"/>
      <c r="E4390" s="23"/>
      <c r="F4390" s="17"/>
      <c r="G4390" s="17"/>
      <c r="Z4390" s="22"/>
      <c r="AB4390" s="22"/>
    </row>
    <row r="4391" spans="1:28">
      <c r="A4391" s="19"/>
      <c r="B4391" s="12"/>
      <c r="C4391" s="24"/>
      <c r="D4391" s="12"/>
      <c r="E4391" s="23"/>
      <c r="F4391" s="17"/>
      <c r="G4391" s="17"/>
      <c r="Z4391" s="22"/>
      <c r="AB4391" s="22"/>
    </row>
    <row r="4392" spans="1:28">
      <c r="A4392" s="19"/>
      <c r="B4392" s="12"/>
      <c r="C4392" s="24"/>
      <c r="D4392" s="12"/>
      <c r="E4392" s="23"/>
      <c r="F4392" s="17"/>
      <c r="G4392" s="17"/>
      <c r="Z4392" s="22"/>
      <c r="AB4392" s="22"/>
    </row>
    <row r="4393" spans="1:28">
      <c r="A4393" s="19"/>
      <c r="B4393" s="12"/>
      <c r="C4393" s="24"/>
      <c r="D4393" s="12"/>
      <c r="E4393" s="23"/>
      <c r="F4393" s="17"/>
      <c r="G4393" s="17"/>
      <c r="Z4393" s="22"/>
      <c r="AB4393" s="22"/>
    </row>
    <row r="4394" spans="1:28">
      <c r="A4394" s="19"/>
      <c r="B4394" s="12"/>
      <c r="C4394" s="24"/>
      <c r="D4394" s="12"/>
      <c r="E4394" s="23"/>
      <c r="F4394" s="17"/>
      <c r="G4394" s="17"/>
      <c r="Z4394" s="22"/>
      <c r="AB4394" s="22"/>
    </row>
    <row r="4395" spans="1:28">
      <c r="A4395" s="19"/>
      <c r="B4395" s="12"/>
      <c r="C4395" s="24"/>
      <c r="D4395" s="12"/>
      <c r="E4395" s="23"/>
      <c r="F4395" s="17"/>
      <c r="G4395" s="17"/>
      <c r="Z4395" s="22"/>
      <c r="AB4395" s="22"/>
    </row>
    <row r="4396" spans="1:28">
      <c r="A4396" s="19"/>
      <c r="B4396" s="12"/>
      <c r="C4396" s="24"/>
      <c r="D4396" s="12"/>
      <c r="E4396" s="23"/>
      <c r="F4396" s="17"/>
      <c r="G4396" s="17"/>
      <c r="Z4396" s="22"/>
      <c r="AB4396" s="22"/>
    </row>
    <row r="4397" spans="1:28">
      <c r="A4397" s="19"/>
      <c r="B4397" s="12"/>
      <c r="C4397" s="24"/>
      <c r="D4397" s="12"/>
      <c r="E4397" s="23"/>
      <c r="F4397" s="17"/>
      <c r="G4397" s="17"/>
      <c r="Z4397" s="22"/>
      <c r="AB4397" s="22"/>
    </row>
    <row r="4398" spans="1:28">
      <c r="A4398" s="19"/>
      <c r="B4398" s="12"/>
      <c r="C4398" s="24"/>
      <c r="D4398" s="12"/>
      <c r="E4398" s="23"/>
      <c r="F4398" s="17"/>
      <c r="G4398" s="17"/>
      <c r="Z4398" s="22"/>
      <c r="AB4398" s="22"/>
    </row>
    <row r="4399" spans="1:28">
      <c r="A4399" s="19"/>
      <c r="B4399" s="12"/>
      <c r="C4399" s="24"/>
      <c r="D4399" s="12"/>
      <c r="E4399" s="23"/>
      <c r="F4399" s="17"/>
      <c r="G4399" s="17"/>
      <c r="Z4399" s="22"/>
      <c r="AB4399" s="22"/>
    </row>
    <row r="4400" spans="1:28">
      <c r="A4400" s="19"/>
      <c r="B4400" s="12"/>
      <c r="C4400" s="24"/>
      <c r="D4400" s="12"/>
      <c r="E4400" s="23"/>
      <c r="F4400" s="17"/>
      <c r="G4400" s="17"/>
      <c r="Z4400" s="22"/>
      <c r="AB4400" s="22"/>
    </row>
    <row r="4401" spans="1:28">
      <c r="A4401" s="19"/>
      <c r="B4401" s="12"/>
      <c r="C4401" s="24"/>
      <c r="D4401" s="12"/>
      <c r="E4401" s="23"/>
      <c r="F4401" s="17"/>
      <c r="G4401" s="17"/>
      <c r="Z4401" s="22"/>
      <c r="AB4401" s="22"/>
    </row>
    <row r="4402" spans="1:28">
      <c r="A4402" s="19"/>
      <c r="B4402" s="12"/>
      <c r="C4402" s="24"/>
      <c r="D4402" s="12"/>
      <c r="E4402" s="23"/>
      <c r="F4402" s="17"/>
      <c r="G4402" s="17"/>
      <c r="Z4402" s="22"/>
      <c r="AB4402" s="22"/>
    </row>
    <row r="4403" spans="1:28">
      <c r="A4403" s="19"/>
      <c r="B4403" s="12"/>
      <c r="C4403" s="24"/>
      <c r="D4403" s="12"/>
      <c r="E4403" s="23"/>
      <c r="F4403" s="17"/>
      <c r="G4403" s="17"/>
      <c r="Z4403" s="22"/>
      <c r="AB4403" s="22"/>
    </row>
    <row r="4404" spans="1:28">
      <c r="A4404" s="19"/>
      <c r="B4404" s="12"/>
      <c r="C4404" s="24"/>
      <c r="D4404" s="12"/>
      <c r="E4404" s="23"/>
      <c r="F4404" s="17"/>
      <c r="G4404" s="17"/>
      <c r="Z4404" s="22"/>
      <c r="AB4404" s="22"/>
    </row>
    <row r="4405" spans="1:28">
      <c r="A4405" s="19"/>
      <c r="B4405" s="12"/>
      <c r="C4405" s="24"/>
      <c r="D4405" s="12"/>
      <c r="E4405" s="23"/>
      <c r="F4405" s="17"/>
      <c r="G4405" s="17"/>
      <c r="Z4405" s="22"/>
      <c r="AB4405" s="22"/>
    </row>
    <row r="4406" spans="1:28">
      <c r="A4406" s="19"/>
      <c r="B4406" s="12"/>
      <c r="C4406" s="24"/>
      <c r="D4406" s="12"/>
      <c r="E4406" s="23"/>
      <c r="F4406" s="17"/>
      <c r="G4406" s="17"/>
      <c r="Z4406" s="22"/>
      <c r="AB4406" s="22"/>
    </row>
    <row r="4407" spans="1:28">
      <c r="A4407" s="19"/>
      <c r="B4407" s="12"/>
      <c r="C4407" s="24"/>
      <c r="D4407" s="12"/>
      <c r="E4407" s="23"/>
      <c r="F4407" s="17"/>
      <c r="G4407" s="17"/>
      <c r="Z4407" s="22"/>
      <c r="AB4407" s="22"/>
    </row>
    <row r="4408" spans="1:28">
      <c r="A4408" s="19"/>
      <c r="B4408" s="12"/>
      <c r="C4408" s="24"/>
      <c r="D4408" s="12"/>
      <c r="E4408" s="23"/>
      <c r="F4408" s="17"/>
      <c r="G4408" s="17"/>
      <c r="Z4408" s="22"/>
      <c r="AB4408" s="22"/>
    </row>
    <row r="4409" spans="1:28">
      <c r="A4409" s="19"/>
      <c r="B4409" s="12"/>
      <c r="C4409" s="24"/>
      <c r="D4409" s="12"/>
      <c r="E4409" s="23"/>
      <c r="F4409" s="17"/>
      <c r="G4409" s="17"/>
      <c r="Z4409" s="22"/>
      <c r="AB4409" s="22"/>
    </row>
    <row r="4410" spans="1:28">
      <c r="A4410" s="19"/>
      <c r="B4410" s="12"/>
      <c r="C4410" s="24"/>
      <c r="D4410" s="12"/>
      <c r="E4410" s="23"/>
      <c r="F4410" s="17"/>
      <c r="G4410" s="17"/>
      <c r="Z4410" s="22"/>
      <c r="AB4410" s="22"/>
    </row>
    <row r="4411" spans="1:28">
      <c r="A4411" s="19"/>
      <c r="B4411" s="12"/>
      <c r="C4411" s="24"/>
      <c r="D4411" s="12"/>
      <c r="E4411" s="23"/>
      <c r="F4411" s="17"/>
      <c r="G4411" s="17"/>
      <c r="Z4411" s="22"/>
      <c r="AB4411" s="22"/>
    </row>
    <row r="4412" spans="1:28">
      <c r="A4412" s="19"/>
      <c r="B4412" s="12"/>
      <c r="C4412" s="24"/>
      <c r="D4412" s="12"/>
      <c r="E4412" s="23"/>
      <c r="F4412" s="17"/>
      <c r="G4412" s="17"/>
      <c r="Z4412" s="22"/>
      <c r="AB4412" s="22"/>
    </row>
    <row r="4413" spans="1:28">
      <c r="A4413" s="19"/>
      <c r="B4413" s="12"/>
      <c r="C4413" s="24"/>
      <c r="D4413" s="12"/>
      <c r="E4413" s="23"/>
      <c r="F4413" s="17"/>
      <c r="G4413" s="17"/>
      <c r="Z4413" s="22"/>
      <c r="AB4413" s="22"/>
    </row>
    <row r="4414" spans="1:28">
      <c r="A4414" s="19"/>
      <c r="B4414" s="12"/>
      <c r="C4414" s="24"/>
      <c r="D4414" s="12"/>
      <c r="E4414" s="23"/>
      <c r="F4414" s="17"/>
      <c r="G4414" s="17"/>
      <c r="Z4414" s="22"/>
      <c r="AB4414" s="22"/>
    </row>
    <row r="4415" spans="1:28">
      <c r="A4415" s="19"/>
      <c r="B4415" s="12"/>
      <c r="C4415" s="24"/>
      <c r="D4415" s="12"/>
      <c r="E4415" s="23"/>
      <c r="F4415" s="17"/>
      <c r="G4415" s="17"/>
      <c r="Z4415" s="22"/>
      <c r="AB4415" s="22"/>
    </row>
    <row r="4416" spans="1:28">
      <c r="A4416" s="19"/>
      <c r="B4416" s="12"/>
      <c r="C4416" s="24"/>
      <c r="D4416" s="12"/>
      <c r="E4416" s="23"/>
      <c r="F4416" s="17"/>
      <c r="G4416" s="17"/>
      <c r="Z4416" s="22"/>
      <c r="AB4416" s="22"/>
    </row>
    <row r="4417" spans="1:28">
      <c r="A4417" s="19"/>
      <c r="B4417" s="12"/>
      <c r="C4417" s="24"/>
      <c r="D4417" s="12"/>
      <c r="E4417" s="23"/>
      <c r="F4417" s="17"/>
      <c r="G4417" s="17"/>
      <c r="Z4417" s="22"/>
      <c r="AB4417" s="22"/>
    </row>
    <row r="4418" spans="1:28">
      <c r="A4418" s="19"/>
      <c r="B4418" s="12"/>
      <c r="C4418" s="24"/>
      <c r="D4418" s="12"/>
      <c r="E4418" s="23"/>
      <c r="F4418" s="17"/>
      <c r="G4418" s="17"/>
      <c r="Z4418" s="22"/>
      <c r="AB4418" s="22"/>
    </row>
    <row r="4419" spans="1:28">
      <c r="A4419" s="19"/>
      <c r="B4419" s="12"/>
      <c r="C4419" s="24"/>
      <c r="D4419" s="12"/>
      <c r="E4419" s="23"/>
      <c r="F4419" s="17"/>
      <c r="G4419" s="17"/>
      <c r="Z4419" s="22"/>
      <c r="AB4419" s="22"/>
    </row>
    <row r="4420" spans="1:28">
      <c r="A4420" s="19"/>
      <c r="B4420" s="12"/>
      <c r="C4420" s="24"/>
      <c r="D4420" s="12"/>
      <c r="E4420" s="23"/>
      <c r="F4420" s="17"/>
      <c r="G4420" s="17"/>
      <c r="Z4420" s="22"/>
      <c r="AB4420" s="22"/>
    </row>
    <row r="4421" spans="1:28">
      <c r="A4421" s="19"/>
      <c r="B4421" s="12"/>
      <c r="C4421" s="24"/>
      <c r="D4421" s="12"/>
      <c r="E4421" s="23"/>
      <c r="F4421" s="17"/>
      <c r="G4421" s="17"/>
      <c r="Z4421" s="22"/>
      <c r="AB4421" s="22"/>
    </row>
    <row r="4422" spans="1:28">
      <c r="A4422" s="19"/>
      <c r="B4422" s="12"/>
      <c r="C4422" s="24"/>
      <c r="D4422" s="12"/>
      <c r="E4422" s="23"/>
      <c r="F4422" s="17"/>
      <c r="G4422" s="17"/>
      <c r="Z4422" s="22"/>
      <c r="AB4422" s="22"/>
    </row>
    <row r="4423" spans="1:28">
      <c r="A4423" s="19"/>
      <c r="B4423" s="12"/>
      <c r="C4423" s="24"/>
      <c r="D4423" s="12"/>
      <c r="E4423" s="23"/>
      <c r="F4423" s="17"/>
      <c r="G4423" s="17"/>
      <c r="Z4423" s="22"/>
      <c r="AB4423" s="22"/>
    </row>
    <row r="4424" spans="1:28">
      <c r="A4424" s="19"/>
      <c r="B4424" s="12"/>
      <c r="C4424" s="24"/>
      <c r="D4424" s="12"/>
      <c r="E4424" s="23"/>
      <c r="F4424" s="17"/>
      <c r="G4424" s="17"/>
      <c r="Z4424" s="22"/>
      <c r="AB4424" s="22"/>
    </row>
    <row r="4425" spans="1:28">
      <c r="A4425" s="19"/>
      <c r="B4425" s="12"/>
      <c r="C4425" s="24"/>
      <c r="D4425" s="12"/>
      <c r="E4425" s="23"/>
      <c r="F4425" s="17"/>
      <c r="G4425" s="17"/>
      <c r="Z4425" s="22"/>
      <c r="AB4425" s="22"/>
    </row>
    <row r="4426" spans="1:28">
      <c r="A4426" s="19"/>
      <c r="B4426" s="12"/>
      <c r="C4426" s="24"/>
      <c r="D4426" s="12"/>
      <c r="E4426" s="23"/>
      <c r="F4426" s="17"/>
      <c r="G4426" s="17"/>
      <c r="Z4426" s="22"/>
      <c r="AB4426" s="22"/>
    </row>
    <row r="4427" spans="1:28">
      <c r="A4427" s="19"/>
      <c r="B4427" s="12"/>
      <c r="C4427" s="24"/>
      <c r="D4427" s="12"/>
      <c r="E4427" s="23"/>
      <c r="F4427" s="17"/>
      <c r="G4427" s="17"/>
      <c r="Z4427" s="22"/>
      <c r="AB4427" s="22"/>
    </row>
    <row r="4428" spans="1:28">
      <c r="A4428" s="19"/>
      <c r="B4428" s="12"/>
      <c r="C4428" s="24"/>
      <c r="D4428" s="12"/>
      <c r="E4428" s="23"/>
      <c r="F4428" s="17"/>
      <c r="G4428" s="17"/>
      <c r="Z4428" s="22"/>
      <c r="AB4428" s="22"/>
    </row>
    <row r="4429" spans="1:28">
      <c r="A4429" s="19"/>
      <c r="B4429" s="12"/>
      <c r="C4429" s="24"/>
      <c r="D4429" s="12"/>
      <c r="E4429" s="23"/>
      <c r="F4429" s="17"/>
      <c r="G4429" s="17"/>
      <c r="Z4429" s="22"/>
      <c r="AB4429" s="22"/>
    </row>
    <row r="4430" spans="1:28">
      <c r="A4430" s="19"/>
      <c r="B4430" s="12"/>
      <c r="C4430" s="24"/>
      <c r="D4430" s="12"/>
      <c r="E4430" s="23"/>
      <c r="F4430" s="17"/>
      <c r="G4430" s="17"/>
      <c r="Z4430" s="22"/>
      <c r="AB4430" s="22"/>
    </row>
    <row r="4431" spans="1:28">
      <c r="A4431" s="19"/>
      <c r="B4431" s="12"/>
      <c r="C4431" s="24"/>
      <c r="D4431" s="12"/>
      <c r="E4431" s="23"/>
      <c r="F4431" s="17"/>
      <c r="G4431" s="17"/>
      <c r="Z4431" s="22"/>
      <c r="AB4431" s="22"/>
    </row>
    <row r="4432" spans="1:28">
      <c r="A4432" s="19"/>
      <c r="B4432" s="12"/>
      <c r="C4432" s="24"/>
      <c r="D4432" s="12"/>
      <c r="E4432" s="23"/>
      <c r="F4432" s="17"/>
      <c r="G4432" s="17"/>
      <c r="Z4432" s="22"/>
      <c r="AB4432" s="22"/>
    </row>
    <row r="4433" spans="1:28">
      <c r="A4433" s="19"/>
      <c r="B4433" s="12"/>
      <c r="C4433" s="24"/>
      <c r="D4433" s="12"/>
      <c r="E4433" s="23"/>
      <c r="F4433" s="17"/>
      <c r="G4433" s="17"/>
      <c r="Z4433" s="22"/>
      <c r="AB4433" s="22"/>
    </row>
    <row r="4434" spans="1:28">
      <c r="A4434" s="19"/>
      <c r="B4434" s="12"/>
      <c r="C4434" s="24"/>
      <c r="D4434" s="12"/>
      <c r="E4434" s="23"/>
      <c r="F4434" s="17"/>
      <c r="G4434" s="17"/>
      <c r="Z4434" s="22"/>
      <c r="AB4434" s="22"/>
    </row>
    <row r="4435" spans="1:28">
      <c r="A4435" s="19"/>
      <c r="B4435" s="12"/>
      <c r="C4435" s="24"/>
      <c r="D4435" s="12"/>
      <c r="E4435" s="23"/>
      <c r="F4435" s="17"/>
      <c r="G4435" s="17"/>
      <c r="Z4435" s="22"/>
      <c r="AB4435" s="22"/>
    </row>
    <row r="4436" spans="1:28">
      <c r="A4436" s="19"/>
      <c r="B4436" s="12"/>
      <c r="C4436" s="24"/>
      <c r="D4436" s="12"/>
      <c r="E4436" s="23"/>
      <c r="F4436" s="17"/>
      <c r="G4436" s="17"/>
      <c r="Z4436" s="22"/>
      <c r="AB4436" s="22"/>
    </row>
    <row r="4437" spans="1:28">
      <c r="A4437" s="19"/>
      <c r="B4437" s="12"/>
      <c r="C4437" s="24"/>
      <c r="D4437" s="12"/>
      <c r="E4437" s="23"/>
      <c r="F4437" s="17"/>
      <c r="G4437" s="17"/>
      <c r="Z4437" s="22"/>
      <c r="AB4437" s="22"/>
    </row>
    <row r="4438" spans="1:28">
      <c r="A4438" s="19"/>
      <c r="B4438" s="12"/>
      <c r="C4438" s="24"/>
      <c r="D4438" s="12"/>
      <c r="E4438" s="23"/>
      <c r="F4438" s="17"/>
      <c r="G4438" s="17"/>
      <c r="Z4438" s="22"/>
      <c r="AB4438" s="22"/>
    </row>
    <row r="4439" spans="1:28">
      <c r="A4439" s="19"/>
      <c r="B4439" s="12"/>
      <c r="C4439" s="24"/>
      <c r="D4439" s="12"/>
      <c r="E4439" s="23"/>
      <c r="F4439" s="17"/>
      <c r="G4439" s="17"/>
      <c r="Z4439" s="22"/>
      <c r="AB4439" s="22"/>
    </row>
    <row r="4440" spans="1:28">
      <c r="A4440" s="19"/>
      <c r="B4440" s="12"/>
      <c r="C4440" s="24"/>
      <c r="D4440" s="12"/>
      <c r="E4440" s="23"/>
      <c r="F4440" s="17"/>
      <c r="G4440" s="17"/>
      <c r="Z4440" s="22"/>
      <c r="AB4440" s="22"/>
    </row>
    <row r="4441" spans="1:28">
      <c r="A4441" s="19"/>
      <c r="B4441" s="12"/>
      <c r="C4441" s="24"/>
      <c r="D4441" s="12"/>
      <c r="E4441" s="23"/>
      <c r="F4441" s="17"/>
      <c r="G4441" s="17"/>
      <c r="Z4441" s="22"/>
      <c r="AB4441" s="22"/>
    </row>
    <row r="4442" spans="1:28">
      <c r="A4442" s="19"/>
      <c r="B4442" s="12"/>
      <c r="C4442" s="24"/>
      <c r="D4442" s="12"/>
      <c r="E4442" s="23"/>
      <c r="F4442" s="17"/>
      <c r="G4442" s="17"/>
      <c r="Z4442" s="22"/>
      <c r="AB4442" s="22"/>
    </row>
    <row r="4443" spans="1:28">
      <c r="A4443" s="19"/>
      <c r="B4443" s="12"/>
      <c r="C4443" s="24"/>
      <c r="D4443" s="12"/>
      <c r="E4443" s="23"/>
      <c r="F4443" s="17"/>
      <c r="G4443" s="17"/>
      <c r="Z4443" s="22"/>
      <c r="AB4443" s="22"/>
    </row>
    <row r="4444" spans="1:28">
      <c r="A4444" s="19"/>
      <c r="B4444" s="12"/>
      <c r="C4444" s="24"/>
      <c r="D4444" s="12"/>
      <c r="E4444" s="23"/>
      <c r="F4444" s="17"/>
      <c r="G4444" s="17"/>
      <c r="Z4444" s="22"/>
      <c r="AB4444" s="22"/>
    </row>
    <row r="4445" spans="1:28">
      <c r="A4445" s="19"/>
      <c r="B4445" s="12"/>
      <c r="C4445" s="24"/>
      <c r="D4445" s="12"/>
      <c r="E4445" s="23"/>
      <c r="F4445" s="17"/>
      <c r="G4445" s="17"/>
      <c r="Z4445" s="22"/>
      <c r="AB4445" s="22"/>
    </row>
    <row r="4446" spans="1:28">
      <c r="A4446" s="19"/>
      <c r="B4446" s="12"/>
      <c r="C4446" s="24"/>
      <c r="D4446" s="12"/>
      <c r="E4446" s="23"/>
      <c r="F4446" s="17"/>
      <c r="G4446" s="17"/>
      <c r="Z4446" s="22"/>
      <c r="AB4446" s="22"/>
    </row>
    <row r="4447" spans="1:28">
      <c r="A4447" s="19"/>
      <c r="B4447" s="12"/>
      <c r="C4447" s="24"/>
      <c r="D4447" s="12"/>
      <c r="E4447" s="23"/>
      <c r="F4447" s="17"/>
      <c r="G4447" s="17"/>
      <c r="Z4447" s="22"/>
      <c r="AB4447" s="22"/>
    </row>
    <row r="4448" spans="1:28">
      <c r="A4448" s="19"/>
      <c r="B4448" s="12"/>
      <c r="C4448" s="24"/>
      <c r="D4448" s="12"/>
      <c r="E4448" s="23"/>
      <c r="F4448" s="17"/>
      <c r="G4448" s="17"/>
      <c r="Z4448" s="22"/>
      <c r="AB4448" s="22"/>
    </row>
    <row r="4449" spans="1:28">
      <c r="A4449" s="19"/>
      <c r="B4449" s="12"/>
      <c r="C4449" s="24"/>
      <c r="D4449" s="12"/>
      <c r="E4449" s="23"/>
      <c r="F4449" s="17"/>
      <c r="G4449" s="17"/>
      <c r="Z4449" s="22"/>
      <c r="AB4449" s="22"/>
    </row>
    <row r="4450" spans="1:28">
      <c r="A4450" s="19"/>
      <c r="B4450" s="12"/>
      <c r="C4450" s="24"/>
      <c r="D4450" s="12"/>
      <c r="E4450" s="23"/>
      <c r="F4450" s="17"/>
      <c r="G4450" s="17"/>
      <c r="Z4450" s="22"/>
      <c r="AB4450" s="22"/>
    </row>
    <row r="4451" spans="1:28">
      <c r="A4451" s="19"/>
      <c r="B4451" s="12"/>
      <c r="C4451" s="24"/>
      <c r="D4451" s="12"/>
      <c r="E4451" s="23"/>
      <c r="F4451" s="17"/>
      <c r="G4451" s="17"/>
      <c r="Z4451" s="22"/>
      <c r="AB4451" s="22"/>
    </row>
    <row r="4452" spans="1:28">
      <c r="A4452" s="19"/>
      <c r="B4452" s="12"/>
      <c r="C4452" s="24"/>
      <c r="D4452" s="12"/>
      <c r="E4452" s="23"/>
      <c r="F4452" s="17"/>
      <c r="G4452" s="17"/>
      <c r="Z4452" s="22"/>
      <c r="AB4452" s="22"/>
    </row>
    <row r="4453" spans="1:28">
      <c r="A4453" s="19"/>
      <c r="B4453" s="12"/>
      <c r="C4453" s="24"/>
      <c r="D4453" s="12"/>
      <c r="E4453" s="23"/>
      <c r="F4453" s="17"/>
      <c r="G4453" s="17"/>
      <c r="Z4453" s="22"/>
      <c r="AB4453" s="22"/>
    </row>
    <row r="4454" spans="1:28">
      <c r="A4454" s="19"/>
      <c r="B4454" s="12"/>
      <c r="C4454" s="24"/>
      <c r="D4454" s="12"/>
      <c r="E4454" s="23"/>
      <c r="F4454" s="17"/>
      <c r="G4454" s="17"/>
      <c r="Z4454" s="22"/>
      <c r="AB4454" s="22"/>
    </row>
    <row r="4455" spans="1:28">
      <c r="A4455" s="19"/>
      <c r="B4455" s="12"/>
      <c r="C4455" s="24"/>
      <c r="D4455" s="12"/>
      <c r="E4455" s="23"/>
      <c r="F4455" s="17"/>
      <c r="G4455" s="17"/>
      <c r="Z4455" s="22"/>
      <c r="AB4455" s="22"/>
    </row>
    <row r="4456" spans="1:28">
      <c r="A4456" s="19"/>
      <c r="B4456" s="12"/>
      <c r="C4456" s="24"/>
      <c r="D4456" s="12"/>
      <c r="E4456" s="23"/>
      <c r="F4456" s="17"/>
      <c r="G4456" s="17"/>
      <c r="Z4456" s="22"/>
      <c r="AB4456" s="22"/>
    </row>
    <row r="4457" spans="1:28">
      <c r="A4457" s="19"/>
      <c r="B4457" s="12"/>
      <c r="C4457" s="24"/>
      <c r="D4457" s="12"/>
      <c r="E4457" s="23"/>
      <c r="F4457" s="17"/>
      <c r="G4457" s="17"/>
      <c r="Z4457" s="22"/>
      <c r="AB4457" s="22"/>
    </row>
    <row r="4458" spans="1:28">
      <c r="A4458" s="19"/>
      <c r="B4458" s="12"/>
      <c r="C4458" s="24"/>
      <c r="D4458" s="12"/>
      <c r="E4458" s="23"/>
      <c r="F4458" s="17"/>
      <c r="G4458" s="17"/>
      <c r="Z4458" s="22"/>
      <c r="AB4458" s="22"/>
    </row>
    <row r="4459" spans="1:28">
      <c r="A4459" s="19"/>
      <c r="B4459" s="12"/>
      <c r="C4459" s="24"/>
      <c r="D4459" s="12"/>
      <c r="E4459" s="23"/>
      <c r="F4459" s="17"/>
      <c r="G4459" s="17"/>
      <c r="Z4459" s="22"/>
      <c r="AB4459" s="22"/>
    </row>
    <row r="4460" spans="1:28">
      <c r="A4460" s="19"/>
      <c r="B4460" s="12"/>
      <c r="C4460" s="24"/>
      <c r="D4460" s="12"/>
      <c r="E4460" s="23"/>
      <c r="F4460" s="17"/>
      <c r="G4460" s="17"/>
      <c r="Z4460" s="22"/>
      <c r="AB4460" s="22"/>
    </row>
    <row r="4461" spans="1:28">
      <c r="A4461" s="19"/>
      <c r="B4461" s="12"/>
      <c r="C4461" s="24"/>
      <c r="D4461" s="12"/>
      <c r="E4461" s="23"/>
      <c r="F4461" s="17"/>
      <c r="G4461" s="17"/>
      <c r="Z4461" s="22"/>
      <c r="AB4461" s="22"/>
    </row>
    <row r="4462" spans="1:28">
      <c r="A4462" s="19"/>
      <c r="B4462" s="12"/>
      <c r="C4462" s="24"/>
      <c r="D4462" s="12"/>
      <c r="E4462" s="23"/>
      <c r="F4462" s="17"/>
      <c r="G4462" s="17"/>
      <c r="Z4462" s="22"/>
      <c r="AB4462" s="22"/>
    </row>
    <row r="4463" spans="1:28">
      <c r="A4463" s="19"/>
      <c r="B4463" s="12"/>
      <c r="C4463" s="24"/>
      <c r="D4463" s="12"/>
      <c r="E4463" s="23"/>
      <c r="F4463" s="17"/>
      <c r="G4463" s="17"/>
      <c r="Z4463" s="22"/>
      <c r="AB4463" s="22"/>
    </row>
    <row r="4464" spans="1:28">
      <c r="A4464" s="19"/>
      <c r="B4464" s="12"/>
      <c r="C4464" s="24"/>
      <c r="D4464" s="12"/>
      <c r="E4464" s="23"/>
      <c r="F4464" s="17"/>
      <c r="G4464" s="17"/>
      <c r="Z4464" s="22"/>
      <c r="AB4464" s="22"/>
    </row>
    <row r="4465" spans="1:28">
      <c r="A4465" s="19"/>
      <c r="B4465" s="12"/>
      <c r="C4465" s="24"/>
      <c r="D4465" s="12"/>
      <c r="E4465" s="23"/>
      <c r="F4465" s="17"/>
      <c r="G4465" s="17"/>
      <c r="Z4465" s="22"/>
      <c r="AB4465" s="22"/>
    </row>
    <row r="4466" spans="1:28">
      <c r="A4466" s="19"/>
      <c r="B4466" s="12"/>
      <c r="C4466" s="24"/>
      <c r="D4466" s="12"/>
      <c r="E4466" s="23"/>
      <c r="F4466" s="17"/>
      <c r="G4466" s="17"/>
      <c r="Z4466" s="22"/>
      <c r="AB4466" s="22"/>
    </row>
    <row r="4467" spans="1:28">
      <c r="A4467" s="19"/>
      <c r="B4467" s="12"/>
      <c r="C4467" s="24"/>
      <c r="D4467" s="12"/>
      <c r="E4467" s="23"/>
      <c r="F4467" s="17"/>
      <c r="G4467" s="17"/>
      <c r="Z4467" s="22"/>
      <c r="AB4467" s="22"/>
    </row>
    <row r="4468" spans="1:28">
      <c r="A4468" s="19"/>
      <c r="B4468" s="12"/>
      <c r="C4468" s="24"/>
      <c r="D4468" s="12"/>
      <c r="E4468" s="23"/>
      <c r="F4468" s="17"/>
      <c r="G4468" s="17"/>
      <c r="Z4468" s="22"/>
      <c r="AB4468" s="22"/>
    </row>
    <row r="4469" spans="1:28">
      <c r="A4469" s="19"/>
      <c r="B4469" s="12"/>
      <c r="C4469" s="24"/>
      <c r="D4469" s="12"/>
      <c r="E4469" s="23"/>
      <c r="F4469" s="17"/>
      <c r="G4469" s="17"/>
      <c r="Z4469" s="22"/>
      <c r="AB4469" s="22"/>
    </row>
    <row r="4470" spans="1:28">
      <c r="A4470" s="19"/>
      <c r="B4470" s="12"/>
      <c r="C4470" s="24"/>
      <c r="D4470" s="12"/>
      <c r="E4470" s="23"/>
      <c r="F4470" s="17"/>
      <c r="G4470" s="17"/>
      <c r="Z4470" s="22"/>
      <c r="AB4470" s="22"/>
    </row>
    <row r="4471" spans="1:28">
      <c r="A4471" s="19"/>
      <c r="B4471" s="12"/>
      <c r="C4471" s="24"/>
      <c r="D4471" s="12"/>
      <c r="E4471" s="23"/>
      <c r="F4471" s="17"/>
      <c r="G4471" s="17"/>
      <c r="Z4471" s="22"/>
      <c r="AB4471" s="22"/>
    </row>
    <row r="4472" spans="1:28">
      <c r="A4472" s="19"/>
      <c r="B4472" s="12"/>
      <c r="C4472" s="24"/>
      <c r="D4472" s="12"/>
      <c r="E4472" s="23"/>
      <c r="F4472" s="17"/>
      <c r="G4472" s="17"/>
      <c r="Z4472" s="22"/>
      <c r="AB4472" s="22"/>
    </row>
    <row r="4473" spans="1:28">
      <c r="A4473" s="19"/>
      <c r="B4473" s="12"/>
      <c r="C4473" s="24"/>
      <c r="D4473" s="12"/>
      <c r="E4473" s="23"/>
      <c r="F4473" s="17"/>
      <c r="G4473" s="17"/>
      <c r="Z4473" s="22"/>
      <c r="AB4473" s="22"/>
    </row>
    <row r="4474" spans="1:28">
      <c r="A4474" s="19"/>
      <c r="B4474" s="12"/>
      <c r="C4474" s="24"/>
      <c r="D4474" s="12"/>
      <c r="E4474" s="23"/>
      <c r="F4474" s="17"/>
      <c r="G4474" s="17"/>
      <c r="Z4474" s="22"/>
      <c r="AB4474" s="22"/>
    </row>
    <row r="4475" spans="1:28">
      <c r="A4475" s="19"/>
      <c r="B4475" s="12"/>
      <c r="C4475" s="24"/>
      <c r="D4475" s="12"/>
      <c r="E4475" s="23"/>
      <c r="F4475" s="17"/>
      <c r="G4475" s="17"/>
      <c r="Z4475" s="22"/>
      <c r="AB4475" s="22"/>
    </row>
    <row r="4476" spans="1:28">
      <c r="A4476" s="19"/>
      <c r="B4476" s="12"/>
      <c r="C4476" s="24"/>
      <c r="D4476" s="12"/>
      <c r="E4476" s="23"/>
      <c r="F4476" s="17"/>
      <c r="G4476" s="17"/>
      <c r="Z4476" s="22"/>
      <c r="AB4476" s="22"/>
    </row>
    <row r="4477" spans="1:28">
      <c r="A4477" s="19"/>
      <c r="B4477" s="12"/>
      <c r="C4477" s="24"/>
      <c r="D4477" s="12"/>
      <c r="E4477" s="23"/>
      <c r="F4477" s="17"/>
      <c r="G4477" s="17"/>
      <c r="Z4477" s="22"/>
      <c r="AB4477" s="22"/>
    </row>
    <row r="4478" spans="1:28">
      <c r="A4478" s="19"/>
      <c r="B4478" s="12"/>
      <c r="C4478" s="24"/>
      <c r="D4478" s="12"/>
      <c r="E4478" s="23"/>
      <c r="F4478" s="17"/>
      <c r="G4478" s="17"/>
      <c r="Z4478" s="22"/>
      <c r="AB4478" s="22"/>
    </row>
    <row r="4479" spans="1:28">
      <c r="A4479" s="19"/>
      <c r="B4479" s="12"/>
      <c r="C4479" s="24"/>
      <c r="D4479" s="12"/>
      <c r="E4479" s="23"/>
      <c r="F4479" s="17"/>
      <c r="G4479" s="17"/>
      <c r="Z4479" s="22"/>
      <c r="AB4479" s="22"/>
    </row>
    <row r="4480" spans="1:28">
      <c r="A4480" s="19"/>
      <c r="B4480" s="12"/>
      <c r="C4480" s="24"/>
      <c r="D4480" s="12"/>
      <c r="E4480" s="23"/>
      <c r="F4480" s="17"/>
      <c r="G4480" s="17"/>
      <c r="Z4480" s="22"/>
      <c r="AB4480" s="22"/>
    </row>
    <row r="4481" spans="1:28">
      <c r="A4481" s="19"/>
      <c r="B4481" s="12"/>
      <c r="C4481" s="24"/>
      <c r="D4481" s="12"/>
      <c r="E4481" s="23"/>
      <c r="F4481" s="17"/>
      <c r="G4481" s="17"/>
      <c r="Z4481" s="22"/>
      <c r="AB4481" s="22"/>
    </row>
    <row r="4482" spans="1:28">
      <c r="A4482" s="19"/>
      <c r="B4482" s="12"/>
      <c r="C4482" s="24"/>
      <c r="D4482" s="12"/>
      <c r="E4482" s="23"/>
      <c r="F4482" s="17"/>
      <c r="G4482" s="17"/>
      <c r="Z4482" s="22"/>
      <c r="AB4482" s="22"/>
    </row>
    <row r="4483" spans="1:28">
      <c r="A4483" s="19"/>
      <c r="B4483" s="12"/>
      <c r="C4483" s="24"/>
      <c r="D4483" s="12"/>
      <c r="E4483" s="23"/>
      <c r="F4483" s="17"/>
      <c r="G4483" s="17"/>
      <c r="Z4483" s="22"/>
      <c r="AB4483" s="22"/>
    </row>
    <row r="4484" spans="1:28">
      <c r="A4484" s="19"/>
      <c r="B4484" s="12"/>
      <c r="C4484" s="24"/>
      <c r="D4484" s="12"/>
      <c r="E4484" s="23"/>
      <c r="F4484" s="17"/>
      <c r="G4484" s="17"/>
      <c r="Z4484" s="22"/>
      <c r="AB4484" s="22"/>
    </row>
    <row r="4485" spans="1:28">
      <c r="A4485" s="19"/>
      <c r="B4485" s="12"/>
      <c r="C4485" s="24"/>
      <c r="D4485" s="12"/>
      <c r="E4485" s="23"/>
      <c r="F4485" s="17"/>
      <c r="G4485" s="17"/>
      <c r="Z4485" s="22"/>
      <c r="AB4485" s="22"/>
    </row>
    <row r="4486" spans="1:28">
      <c r="A4486" s="19"/>
      <c r="B4486" s="12"/>
      <c r="C4486" s="24"/>
      <c r="D4486" s="12"/>
      <c r="E4486" s="23"/>
      <c r="F4486" s="17"/>
      <c r="G4486" s="17"/>
      <c r="Z4486" s="22"/>
      <c r="AB4486" s="22"/>
    </row>
    <row r="4487" spans="1:28">
      <c r="A4487" s="19"/>
      <c r="B4487" s="12"/>
      <c r="C4487" s="24"/>
      <c r="D4487" s="12"/>
      <c r="E4487" s="23"/>
      <c r="F4487" s="17"/>
      <c r="G4487" s="17"/>
      <c r="Z4487" s="22"/>
      <c r="AB4487" s="22"/>
    </row>
    <row r="4488" spans="1:28">
      <c r="A4488" s="19"/>
      <c r="B4488" s="12"/>
      <c r="C4488" s="24"/>
      <c r="D4488" s="12"/>
      <c r="E4488" s="23"/>
      <c r="F4488" s="17"/>
      <c r="G4488" s="17"/>
      <c r="Z4488" s="22"/>
      <c r="AB4488" s="22"/>
    </row>
    <row r="4489" spans="1:28">
      <c r="A4489" s="19"/>
      <c r="B4489" s="12"/>
      <c r="C4489" s="24"/>
      <c r="D4489" s="12"/>
      <c r="E4489" s="23"/>
      <c r="F4489" s="17"/>
      <c r="G4489" s="17"/>
      <c r="Z4489" s="22"/>
      <c r="AB4489" s="22"/>
    </row>
    <row r="4490" spans="1:28">
      <c r="A4490" s="19"/>
      <c r="B4490" s="12"/>
      <c r="C4490" s="24"/>
      <c r="D4490" s="12"/>
      <c r="E4490" s="23"/>
      <c r="F4490" s="17"/>
      <c r="G4490" s="17"/>
      <c r="Z4490" s="22"/>
      <c r="AB4490" s="22"/>
    </row>
    <row r="4491" spans="1:28">
      <c r="A4491" s="19"/>
      <c r="B4491" s="12"/>
      <c r="C4491" s="24"/>
      <c r="D4491" s="12"/>
      <c r="E4491" s="23"/>
      <c r="F4491" s="17"/>
      <c r="G4491" s="17"/>
      <c r="Z4491" s="22"/>
      <c r="AB4491" s="22"/>
    </row>
    <row r="4492" spans="1:28">
      <c r="A4492" s="19"/>
      <c r="B4492" s="12"/>
      <c r="C4492" s="24"/>
      <c r="D4492" s="12"/>
      <c r="E4492" s="23"/>
      <c r="F4492" s="17"/>
      <c r="G4492" s="17"/>
      <c r="Z4492" s="22"/>
      <c r="AB4492" s="22"/>
    </row>
    <row r="4493" spans="1:28">
      <c r="A4493" s="19"/>
      <c r="B4493" s="12"/>
      <c r="C4493" s="24"/>
      <c r="D4493" s="12"/>
      <c r="E4493" s="23"/>
      <c r="F4493" s="17"/>
      <c r="G4493" s="17"/>
      <c r="Z4493" s="22"/>
      <c r="AB4493" s="22"/>
    </row>
    <row r="4494" spans="1:28">
      <c r="A4494" s="19"/>
      <c r="B4494" s="12"/>
      <c r="C4494" s="24"/>
      <c r="D4494" s="12"/>
      <c r="E4494" s="23"/>
      <c r="F4494" s="17"/>
      <c r="G4494" s="17"/>
      <c r="Z4494" s="22"/>
      <c r="AB4494" s="22"/>
    </row>
    <row r="4495" spans="1:28">
      <c r="A4495" s="19"/>
      <c r="B4495" s="12"/>
      <c r="C4495" s="24"/>
      <c r="D4495" s="12"/>
      <c r="E4495" s="23"/>
      <c r="F4495" s="17"/>
      <c r="G4495" s="17"/>
      <c r="Z4495" s="22"/>
      <c r="AB4495" s="22"/>
    </row>
    <row r="4496" spans="1:28">
      <c r="A4496" s="19"/>
      <c r="B4496" s="12"/>
      <c r="C4496" s="24"/>
      <c r="D4496" s="12"/>
      <c r="E4496" s="23"/>
      <c r="F4496" s="17"/>
      <c r="G4496" s="17"/>
      <c r="Z4496" s="22"/>
      <c r="AB4496" s="22"/>
    </row>
    <row r="4497" spans="1:28">
      <c r="A4497" s="19"/>
      <c r="B4497" s="12"/>
      <c r="C4497" s="24"/>
      <c r="D4497" s="12"/>
      <c r="E4497" s="23"/>
      <c r="F4497" s="17"/>
      <c r="G4497" s="17"/>
      <c r="Z4497" s="22"/>
      <c r="AB4497" s="22"/>
    </row>
    <row r="4498" spans="1:28">
      <c r="A4498" s="19"/>
      <c r="B4498" s="12"/>
      <c r="C4498" s="24"/>
      <c r="D4498" s="12"/>
      <c r="E4498" s="23"/>
      <c r="F4498" s="17"/>
      <c r="G4498" s="17"/>
      <c r="Z4498" s="22"/>
      <c r="AB4498" s="22"/>
    </row>
    <row r="4499" spans="1:28">
      <c r="A4499" s="19"/>
      <c r="B4499" s="12"/>
      <c r="C4499" s="24"/>
      <c r="D4499" s="12"/>
      <c r="E4499" s="23"/>
      <c r="F4499" s="17"/>
      <c r="G4499" s="17"/>
      <c r="Z4499" s="22"/>
      <c r="AB4499" s="22"/>
    </row>
    <row r="4500" spans="1:28">
      <c r="A4500" s="19"/>
      <c r="B4500" s="12"/>
      <c r="C4500" s="24"/>
      <c r="D4500" s="12"/>
      <c r="E4500" s="23"/>
      <c r="F4500" s="17"/>
      <c r="G4500" s="17"/>
      <c r="Z4500" s="22"/>
      <c r="AB4500" s="22"/>
    </row>
    <row r="4501" spans="1:28">
      <c r="A4501" s="19"/>
      <c r="B4501" s="12"/>
      <c r="C4501" s="24"/>
      <c r="D4501" s="12"/>
      <c r="E4501" s="23"/>
      <c r="F4501" s="17"/>
      <c r="G4501" s="17"/>
      <c r="Z4501" s="22"/>
      <c r="AB4501" s="22"/>
    </row>
    <row r="4502" spans="1:28">
      <c r="A4502" s="19"/>
      <c r="B4502" s="12"/>
      <c r="C4502" s="24"/>
      <c r="D4502" s="12"/>
      <c r="E4502" s="23"/>
      <c r="F4502" s="17"/>
      <c r="G4502" s="17"/>
      <c r="Z4502" s="22"/>
      <c r="AB4502" s="22"/>
    </row>
    <row r="4503" spans="1:28">
      <c r="A4503" s="19"/>
      <c r="B4503" s="12"/>
      <c r="C4503" s="24"/>
      <c r="D4503" s="12"/>
      <c r="E4503" s="23"/>
      <c r="F4503" s="17"/>
      <c r="G4503" s="17"/>
      <c r="Z4503" s="22"/>
      <c r="AB4503" s="22"/>
    </row>
    <row r="4504" spans="1:28">
      <c r="A4504" s="19"/>
      <c r="B4504" s="12"/>
      <c r="C4504" s="24"/>
      <c r="D4504" s="12"/>
      <c r="E4504" s="23"/>
      <c r="F4504" s="17"/>
      <c r="G4504" s="17"/>
      <c r="Z4504" s="22"/>
      <c r="AB4504" s="22"/>
    </row>
    <row r="4505" spans="1:28">
      <c r="A4505" s="19"/>
      <c r="B4505" s="12"/>
      <c r="C4505" s="24"/>
      <c r="D4505" s="12"/>
      <c r="E4505" s="23"/>
      <c r="F4505" s="17"/>
      <c r="G4505" s="17"/>
      <c r="Z4505" s="22"/>
      <c r="AB4505" s="22"/>
    </row>
    <row r="4506" spans="1:28">
      <c r="A4506" s="19"/>
      <c r="B4506" s="12"/>
      <c r="C4506" s="24"/>
      <c r="D4506" s="12"/>
      <c r="E4506" s="23"/>
      <c r="F4506" s="17"/>
      <c r="G4506" s="17"/>
      <c r="Z4506" s="22"/>
      <c r="AB4506" s="22"/>
    </row>
    <row r="4507" spans="1:28">
      <c r="A4507" s="19"/>
      <c r="B4507" s="12"/>
      <c r="C4507" s="24"/>
      <c r="D4507" s="12"/>
      <c r="E4507" s="23"/>
      <c r="F4507" s="17"/>
      <c r="G4507" s="17"/>
      <c r="Z4507" s="22"/>
      <c r="AB4507" s="22"/>
    </row>
    <row r="4508" spans="1:28">
      <c r="A4508" s="19"/>
      <c r="B4508" s="12"/>
      <c r="C4508" s="24"/>
      <c r="D4508" s="12"/>
      <c r="E4508" s="23"/>
      <c r="F4508" s="17"/>
      <c r="G4508" s="17"/>
      <c r="Z4508" s="22"/>
      <c r="AB4508" s="22"/>
    </row>
    <row r="4509" spans="1:28">
      <c r="A4509" s="19"/>
      <c r="B4509" s="12"/>
      <c r="C4509" s="24"/>
      <c r="D4509" s="12"/>
      <c r="E4509" s="23"/>
      <c r="F4509" s="17"/>
      <c r="G4509" s="17"/>
      <c r="Z4509" s="22"/>
      <c r="AB4509" s="22"/>
    </row>
    <row r="4510" spans="1:28">
      <c r="A4510" s="19"/>
      <c r="B4510" s="12"/>
      <c r="C4510" s="24"/>
      <c r="D4510" s="12"/>
      <c r="E4510" s="23"/>
      <c r="F4510" s="17"/>
      <c r="G4510" s="17"/>
      <c r="Z4510" s="22"/>
      <c r="AB4510" s="22"/>
    </row>
    <row r="4511" spans="1:28">
      <c r="A4511" s="19"/>
      <c r="B4511" s="12"/>
      <c r="C4511" s="24"/>
      <c r="D4511" s="12"/>
      <c r="E4511" s="23"/>
      <c r="F4511" s="17"/>
      <c r="G4511" s="17"/>
      <c r="Z4511" s="22"/>
      <c r="AB4511" s="22"/>
    </row>
    <row r="4512" spans="1:28">
      <c r="A4512" s="19"/>
      <c r="B4512" s="12"/>
      <c r="C4512" s="24"/>
      <c r="D4512" s="12"/>
      <c r="E4512" s="23"/>
      <c r="F4512" s="17"/>
      <c r="G4512" s="17"/>
      <c r="Z4512" s="22"/>
      <c r="AB4512" s="22"/>
    </row>
    <row r="4513" spans="1:28">
      <c r="A4513" s="19"/>
      <c r="B4513" s="12"/>
      <c r="C4513" s="24"/>
      <c r="D4513" s="12"/>
      <c r="E4513" s="23"/>
      <c r="F4513" s="17"/>
      <c r="G4513" s="17"/>
      <c r="Z4513" s="22"/>
      <c r="AB4513" s="22"/>
    </row>
    <row r="4514" spans="1:28">
      <c r="A4514" s="19"/>
      <c r="B4514" s="12"/>
      <c r="C4514" s="24"/>
      <c r="D4514" s="12"/>
      <c r="E4514" s="23"/>
      <c r="F4514" s="17"/>
      <c r="G4514" s="17"/>
      <c r="Z4514" s="22"/>
      <c r="AB4514" s="22"/>
    </row>
    <row r="4515" spans="1:28">
      <c r="A4515" s="19"/>
      <c r="B4515" s="12"/>
      <c r="C4515" s="24"/>
      <c r="D4515" s="12"/>
      <c r="E4515" s="23"/>
      <c r="F4515" s="17"/>
      <c r="G4515" s="17"/>
      <c r="Z4515" s="22"/>
      <c r="AB4515" s="22"/>
    </row>
    <row r="4516" spans="1:28">
      <c r="A4516" s="19"/>
      <c r="B4516" s="12"/>
      <c r="C4516" s="24"/>
      <c r="D4516" s="12"/>
      <c r="E4516" s="23"/>
      <c r="F4516" s="17"/>
      <c r="G4516" s="17"/>
      <c r="Z4516" s="22"/>
      <c r="AB4516" s="22"/>
    </row>
    <row r="4517" spans="1:28">
      <c r="A4517" s="19"/>
      <c r="B4517" s="12"/>
      <c r="C4517" s="24"/>
      <c r="D4517" s="12"/>
      <c r="E4517" s="23"/>
      <c r="F4517" s="17"/>
      <c r="G4517" s="17"/>
      <c r="Z4517" s="22"/>
      <c r="AB4517" s="22"/>
    </row>
    <row r="4518" spans="1:28">
      <c r="A4518" s="19"/>
      <c r="B4518" s="12"/>
      <c r="C4518" s="24"/>
      <c r="D4518" s="12"/>
      <c r="E4518" s="23"/>
      <c r="F4518" s="17"/>
      <c r="G4518" s="17"/>
      <c r="Z4518" s="22"/>
      <c r="AB4518" s="22"/>
    </row>
    <row r="4519" spans="1:28">
      <c r="A4519" s="19"/>
      <c r="B4519" s="12"/>
      <c r="C4519" s="24"/>
      <c r="D4519" s="12"/>
      <c r="E4519" s="23"/>
      <c r="F4519" s="17"/>
      <c r="G4519" s="17"/>
      <c r="Z4519" s="22"/>
      <c r="AB4519" s="22"/>
    </row>
    <row r="4520" spans="1:28">
      <c r="A4520" s="19"/>
      <c r="B4520" s="12"/>
      <c r="C4520" s="24"/>
      <c r="D4520" s="12"/>
      <c r="E4520" s="23"/>
      <c r="F4520" s="17"/>
      <c r="G4520" s="17"/>
      <c r="Z4520" s="22"/>
      <c r="AB4520" s="22"/>
    </row>
    <row r="4521" spans="1:28">
      <c r="A4521" s="19"/>
      <c r="B4521" s="12"/>
      <c r="C4521" s="24"/>
      <c r="D4521" s="12"/>
      <c r="E4521" s="23"/>
      <c r="F4521" s="17"/>
      <c r="G4521" s="17"/>
      <c r="Z4521" s="22"/>
      <c r="AB4521" s="22"/>
    </row>
    <row r="4522" spans="1:28">
      <c r="A4522" s="19"/>
      <c r="B4522" s="12"/>
      <c r="C4522" s="24"/>
      <c r="D4522" s="12"/>
      <c r="E4522" s="23"/>
      <c r="F4522" s="17"/>
      <c r="G4522" s="17"/>
      <c r="Z4522" s="22"/>
      <c r="AB4522" s="22"/>
    </row>
    <row r="4523" spans="1:28">
      <c r="A4523" s="19"/>
      <c r="B4523" s="12"/>
      <c r="C4523" s="24"/>
      <c r="D4523" s="12"/>
      <c r="E4523" s="23"/>
      <c r="F4523" s="17"/>
      <c r="G4523" s="17"/>
      <c r="Z4523" s="22"/>
      <c r="AB4523" s="22"/>
    </row>
    <row r="4524" spans="1:28">
      <c r="A4524" s="19"/>
      <c r="B4524" s="12"/>
      <c r="C4524" s="24"/>
      <c r="D4524" s="12"/>
      <c r="E4524" s="23"/>
      <c r="F4524" s="17"/>
      <c r="G4524" s="17"/>
      <c r="Z4524" s="22"/>
      <c r="AB4524" s="22"/>
    </row>
    <row r="4525" spans="1:28">
      <c r="A4525" s="19"/>
      <c r="B4525" s="12"/>
      <c r="C4525" s="24"/>
      <c r="D4525" s="12"/>
      <c r="E4525" s="23"/>
      <c r="F4525" s="17"/>
      <c r="G4525" s="17"/>
      <c r="Z4525" s="22"/>
      <c r="AB4525" s="22"/>
    </row>
    <row r="4526" spans="1:28">
      <c r="A4526" s="19"/>
      <c r="B4526" s="12"/>
      <c r="C4526" s="24"/>
      <c r="D4526" s="12"/>
      <c r="E4526" s="23"/>
      <c r="F4526" s="17"/>
      <c r="G4526" s="17"/>
      <c r="Z4526" s="22"/>
      <c r="AB4526" s="22"/>
    </row>
    <row r="4527" spans="1:28">
      <c r="A4527" s="19"/>
      <c r="B4527" s="12"/>
      <c r="C4527" s="24"/>
      <c r="D4527" s="12"/>
      <c r="E4527" s="23"/>
      <c r="F4527" s="17"/>
      <c r="G4527" s="17"/>
      <c r="Z4527" s="22"/>
      <c r="AB4527" s="22"/>
    </row>
    <row r="4528" spans="1:28">
      <c r="A4528" s="19"/>
      <c r="B4528" s="12"/>
      <c r="C4528" s="24"/>
      <c r="D4528" s="12"/>
      <c r="E4528" s="23"/>
      <c r="F4528" s="17"/>
      <c r="G4528" s="17"/>
      <c r="Z4528" s="22"/>
      <c r="AB4528" s="22"/>
    </row>
    <row r="4529" spans="1:28">
      <c r="A4529" s="19"/>
      <c r="B4529" s="12"/>
      <c r="C4529" s="24"/>
      <c r="D4529" s="12"/>
      <c r="E4529" s="23"/>
      <c r="F4529" s="17"/>
      <c r="G4529" s="17"/>
      <c r="Z4529" s="22"/>
      <c r="AB4529" s="22"/>
    </row>
    <row r="4530" spans="1:28">
      <c r="A4530" s="19"/>
      <c r="B4530" s="12"/>
      <c r="C4530" s="24"/>
      <c r="D4530" s="12"/>
      <c r="E4530" s="23"/>
      <c r="F4530" s="17"/>
      <c r="G4530" s="17"/>
      <c r="Z4530" s="22"/>
      <c r="AB4530" s="22"/>
    </row>
    <row r="4531" spans="1:28">
      <c r="A4531" s="19"/>
      <c r="B4531" s="12"/>
      <c r="C4531" s="24"/>
      <c r="D4531" s="12"/>
      <c r="E4531" s="23"/>
      <c r="F4531" s="17"/>
      <c r="G4531" s="17"/>
      <c r="Z4531" s="22"/>
      <c r="AB4531" s="22"/>
    </row>
    <row r="4532" spans="1:28">
      <c r="A4532" s="19"/>
      <c r="B4532" s="12"/>
      <c r="C4532" s="24"/>
      <c r="D4532" s="12"/>
      <c r="E4532" s="23"/>
      <c r="F4532" s="17"/>
      <c r="G4532" s="17"/>
      <c r="Z4532" s="22"/>
      <c r="AB4532" s="22"/>
    </row>
    <row r="4533" spans="1:28">
      <c r="A4533" s="19"/>
      <c r="B4533" s="12"/>
      <c r="C4533" s="24"/>
      <c r="D4533" s="12"/>
      <c r="E4533" s="23"/>
      <c r="F4533" s="17"/>
      <c r="G4533" s="17"/>
      <c r="Z4533" s="22"/>
      <c r="AB4533" s="22"/>
    </row>
    <row r="4534" spans="1:28">
      <c r="A4534" s="19"/>
      <c r="B4534" s="12"/>
      <c r="C4534" s="24"/>
      <c r="D4534" s="12"/>
      <c r="E4534" s="23"/>
      <c r="F4534" s="17"/>
      <c r="G4534" s="17"/>
      <c r="Z4534" s="22"/>
      <c r="AB4534" s="22"/>
    </row>
    <row r="4535" spans="1:28">
      <c r="A4535" s="19"/>
      <c r="B4535" s="12"/>
      <c r="C4535" s="24"/>
      <c r="D4535" s="12"/>
      <c r="E4535" s="23"/>
      <c r="F4535" s="17"/>
      <c r="G4535" s="17"/>
      <c r="Z4535" s="22"/>
      <c r="AB4535" s="22"/>
    </row>
    <row r="4536" spans="1:28">
      <c r="A4536" s="19"/>
      <c r="B4536" s="12"/>
      <c r="C4536" s="24"/>
      <c r="D4536" s="12"/>
      <c r="E4536" s="23"/>
      <c r="F4536" s="17"/>
      <c r="G4536" s="17"/>
      <c r="Z4536" s="22"/>
      <c r="AB4536" s="22"/>
    </row>
    <row r="4537" spans="1:28">
      <c r="A4537" s="19"/>
      <c r="B4537" s="12"/>
      <c r="C4537" s="24"/>
      <c r="D4537" s="12"/>
      <c r="E4537" s="23"/>
      <c r="F4537" s="17"/>
      <c r="G4537" s="17"/>
      <c r="Z4537" s="22"/>
      <c r="AB4537" s="22"/>
    </row>
    <row r="4538" spans="1:28">
      <c r="A4538" s="19"/>
      <c r="B4538" s="12"/>
      <c r="C4538" s="24"/>
      <c r="D4538" s="12"/>
      <c r="E4538" s="23"/>
      <c r="F4538" s="17"/>
      <c r="G4538" s="17"/>
      <c r="Z4538" s="22"/>
      <c r="AB4538" s="22"/>
    </row>
    <row r="4539" spans="1:28">
      <c r="A4539" s="19"/>
      <c r="B4539" s="12"/>
      <c r="C4539" s="24"/>
      <c r="D4539" s="12"/>
      <c r="E4539" s="23"/>
      <c r="F4539" s="17"/>
      <c r="G4539" s="17"/>
      <c r="Z4539" s="22"/>
      <c r="AB4539" s="22"/>
    </row>
    <row r="4540" spans="1:28">
      <c r="A4540" s="19"/>
      <c r="B4540" s="12"/>
      <c r="C4540" s="24"/>
      <c r="D4540" s="12"/>
      <c r="E4540" s="23"/>
      <c r="F4540" s="17"/>
      <c r="G4540" s="17"/>
      <c r="Z4540" s="22"/>
      <c r="AB4540" s="22"/>
    </row>
    <row r="4541" spans="1:28">
      <c r="A4541" s="19"/>
      <c r="B4541" s="12"/>
      <c r="C4541" s="24"/>
      <c r="D4541" s="12"/>
      <c r="E4541" s="23"/>
      <c r="F4541" s="17"/>
      <c r="G4541" s="17"/>
      <c r="Z4541" s="22"/>
      <c r="AB4541" s="22"/>
    </row>
    <row r="4542" spans="1:28">
      <c r="A4542" s="19"/>
      <c r="B4542" s="12"/>
      <c r="C4542" s="24"/>
      <c r="D4542" s="12"/>
      <c r="E4542" s="23"/>
      <c r="F4542" s="17"/>
      <c r="G4542" s="17"/>
      <c r="Z4542" s="22"/>
      <c r="AB4542" s="22"/>
    </row>
    <row r="4543" spans="1:28">
      <c r="A4543" s="19"/>
      <c r="B4543" s="12"/>
      <c r="C4543" s="24"/>
      <c r="D4543" s="12"/>
      <c r="E4543" s="23"/>
      <c r="F4543" s="17"/>
      <c r="G4543" s="17"/>
      <c r="Z4543" s="22"/>
      <c r="AB4543" s="22"/>
    </row>
    <row r="4544" spans="1:28">
      <c r="A4544" s="19"/>
      <c r="B4544" s="12"/>
      <c r="C4544" s="24"/>
      <c r="D4544" s="12"/>
      <c r="E4544" s="23"/>
      <c r="F4544" s="17"/>
      <c r="G4544" s="17"/>
      <c r="Z4544" s="22"/>
      <c r="AB4544" s="22"/>
    </row>
    <row r="4545" spans="1:28">
      <c r="A4545" s="19"/>
      <c r="B4545" s="12"/>
      <c r="C4545" s="24"/>
      <c r="D4545" s="12"/>
      <c r="E4545" s="23"/>
      <c r="F4545" s="17"/>
      <c r="G4545" s="17"/>
      <c r="Z4545" s="22"/>
      <c r="AB4545" s="22"/>
    </row>
    <row r="4546" spans="1:28">
      <c r="A4546" s="19"/>
      <c r="B4546" s="12"/>
      <c r="C4546" s="24"/>
      <c r="D4546" s="12"/>
      <c r="E4546" s="23"/>
      <c r="F4546" s="17"/>
      <c r="G4546" s="17"/>
      <c r="Z4546" s="22"/>
      <c r="AB4546" s="22"/>
    </row>
    <row r="4547" spans="1:28">
      <c r="A4547" s="19"/>
      <c r="B4547" s="12"/>
      <c r="C4547" s="24"/>
      <c r="D4547" s="12"/>
      <c r="E4547" s="23"/>
      <c r="F4547" s="17"/>
      <c r="G4547" s="17"/>
      <c r="Z4547" s="22"/>
      <c r="AB4547" s="22"/>
    </row>
    <row r="4548" spans="1:28">
      <c r="A4548" s="19"/>
      <c r="B4548" s="12"/>
      <c r="C4548" s="24"/>
      <c r="D4548" s="12"/>
      <c r="E4548" s="23"/>
      <c r="F4548" s="17"/>
      <c r="G4548" s="17"/>
      <c r="Z4548" s="22"/>
      <c r="AB4548" s="22"/>
    </row>
    <row r="4549" spans="1:28">
      <c r="A4549" s="19"/>
      <c r="B4549" s="12"/>
      <c r="C4549" s="24"/>
      <c r="D4549" s="12"/>
      <c r="E4549" s="23"/>
      <c r="F4549" s="17"/>
      <c r="G4549" s="17"/>
      <c r="Z4549" s="22"/>
      <c r="AB4549" s="22"/>
    </row>
    <row r="4550" spans="1:28">
      <c r="A4550" s="19"/>
      <c r="B4550" s="12"/>
      <c r="C4550" s="24"/>
      <c r="D4550" s="12"/>
      <c r="E4550" s="23"/>
      <c r="F4550" s="17"/>
      <c r="G4550" s="17"/>
      <c r="Z4550" s="22"/>
      <c r="AB4550" s="22"/>
    </row>
    <row r="4551" spans="1:28">
      <c r="A4551" s="19"/>
      <c r="B4551" s="12"/>
      <c r="C4551" s="24"/>
      <c r="D4551" s="12"/>
      <c r="E4551" s="23"/>
      <c r="F4551" s="17"/>
      <c r="G4551" s="17"/>
      <c r="Z4551" s="22"/>
      <c r="AB4551" s="22"/>
    </row>
    <row r="4552" spans="1:28">
      <c r="A4552" s="19"/>
      <c r="B4552" s="12"/>
      <c r="C4552" s="24"/>
      <c r="D4552" s="12"/>
      <c r="E4552" s="23"/>
      <c r="F4552" s="17"/>
      <c r="G4552" s="17"/>
      <c r="Z4552" s="22"/>
      <c r="AB4552" s="22"/>
    </row>
    <row r="4553" spans="1:28">
      <c r="A4553" s="19"/>
      <c r="B4553" s="12"/>
      <c r="C4553" s="24"/>
      <c r="D4553" s="12"/>
      <c r="E4553" s="23"/>
      <c r="F4553" s="17"/>
      <c r="G4553" s="17"/>
      <c r="Z4553" s="22"/>
      <c r="AB4553" s="22"/>
    </row>
    <row r="4554" spans="1:28">
      <c r="A4554" s="19"/>
      <c r="B4554" s="12"/>
      <c r="C4554" s="24"/>
      <c r="D4554" s="12"/>
      <c r="E4554" s="23"/>
      <c r="F4554" s="17"/>
      <c r="G4554" s="17"/>
      <c r="Z4554" s="22"/>
      <c r="AB4554" s="22"/>
    </row>
    <row r="4555" spans="1:28">
      <c r="A4555" s="19"/>
      <c r="B4555" s="12"/>
      <c r="C4555" s="24"/>
      <c r="D4555" s="12"/>
      <c r="E4555" s="23"/>
      <c r="F4555" s="17"/>
      <c r="G4555" s="17"/>
      <c r="Z4555" s="22"/>
      <c r="AB4555" s="22"/>
    </row>
    <row r="4556" spans="1:28">
      <c r="A4556" s="19"/>
      <c r="B4556" s="12"/>
      <c r="C4556" s="24"/>
      <c r="D4556" s="12"/>
      <c r="E4556" s="23"/>
      <c r="F4556" s="17"/>
      <c r="G4556" s="17"/>
      <c r="Z4556" s="22"/>
      <c r="AB4556" s="22"/>
    </row>
    <row r="4557" spans="1:28">
      <c r="A4557" s="19"/>
      <c r="B4557" s="12"/>
      <c r="C4557" s="24"/>
      <c r="D4557" s="12"/>
      <c r="E4557" s="23"/>
      <c r="F4557" s="17"/>
      <c r="G4557" s="17"/>
      <c r="Z4557" s="22"/>
      <c r="AB4557" s="22"/>
    </row>
    <row r="4558" spans="1:28">
      <c r="A4558" s="19"/>
      <c r="B4558" s="12"/>
      <c r="C4558" s="24"/>
      <c r="D4558" s="12"/>
      <c r="E4558" s="23"/>
      <c r="F4558" s="17"/>
      <c r="G4558" s="17"/>
      <c r="Z4558" s="22"/>
      <c r="AB4558" s="22"/>
    </row>
    <row r="4559" spans="1:28">
      <c r="A4559" s="19"/>
      <c r="B4559" s="12"/>
      <c r="C4559" s="24"/>
      <c r="D4559" s="12"/>
      <c r="E4559" s="23"/>
      <c r="F4559" s="17"/>
      <c r="G4559" s="17"/>
      <c r="Z4559" s="22"/>
      <c r="AB4559" s="22"/>
    </row>
    <row r="4560" spans="1:28">
      <c r="A4560" s="19"/>
      <c r="B4560" s="12"/>
      <c r="C4560" s="24"/>
      <c r="D4560" s="12"/>
      <c r="E4560" s="23"/>
      <c r="F4560" s="17"/>
      <c r="G4560" s="17"/>
      <c r="Z4560" s="22"/>
      <c r="AB4560" s="22"/>
    </row>
    <row r="4561" spans="1:28">
      <c r="A4561" s="19"/>
      <c r="B4561" s="12"/>
      <c r="C4561" s="24"/>
      <c r="D4561" s="12"/>
      <c r="E4561" s="23"/>
      <c r="F4561" s="17"/>
      <c r="G4561" s="17"/>
      <c r="Z4561" s="22"/>
      <c r="AB4561" s="22"/>
    </row>
    <row r="4562" spans="1:28">
      <c r="A4562" s="19"/>
      <c r="B4562" s="12"/>
      <c r="C4562" s="24"/>
      <c r="D4562" s="12"/>
      <c r="E4562" s="23"/>
      <c r="F4562" s="17"/>
      <c r="G4562" s="17"/>
      <c r="Z4562" s="22"/>
      <c r="AB4562" s="22"/>
    </row>
    <row r="4563" spans="1:28">
      <c r="A4563" s="19"/>
      <c r="B4563" s="12"/>
      <c r="C4563" s="24"/>
      <c r="D4563" s="12"/>
      <c r="E4563" s="23"/>
      <c r="F4563" s="17"/>
      <c r="G4563" s="17"/>
      <c r="Z4563" s="22"/>
      <c r="AB4563" s="22"/>
    </row>
    <row r="4564" spans="1:28">
      <c r="A4564" s="19"/>
      <c r="B4564" s="12"/>
      <c r="C4564" s="24"/>
      <c r="D4564" s="12"/>
      <c r="E4564" s="23"/>
      <c r="F4564" s="17"/>
      <c r="G4564" s="17"/>
      <c r="Z4564" s="22"/>
      <c r="AB4564" s="22"/>
    </row>
    <row r="4565" spans="1:28">
      <c r="A4565" s="19"/>
      <c r="B4565" s="12"/>
      <c r="C4565" s="24"/>
      <c r="D4565" s="12"/>
      <c r="E4565" s="23"/>
      <c r="F4565" s="17"/>
      <c r="G4565" s="17"/>
      <c r="Z4565" s="22"/>
      <c r="AB4565" s="22"/>
    </row>
    <row r="4566" spans="1:28">
      <c r="A4566" s="19"/>
      <c r="B4566" s="12"/>
      <c r="C4566" s="24"/>
      <c r="D4566" s="12"/>
      <c r="E4566" s="23"/>
      <c r="F4566" s="17"/>
      <c r="G4566" s="17"/>
      <c r="Z4566" s="22"/>
      <c r="AB4566" s="22"/>
    </row>
    <row r="4567" spans="1:28">
      <c r="A4567" s="19"/>
      <c r="B4567" s="12"/>
      <c r="C4567" s="24"/>
      <c r="D4567" s="12"/>
      <c r="E4567" s="23"/>
      <c r="F4567" s="17"/>
      <c r="G4567" s="17"/>
      <c r="Z4567" s="22"/>
      <c r="AB4567" s="22"/>
    </row>
    <row r="4568" spans="1:28">
      <c r="A4568" s="19"/>
      <c r="B4568" s="12"/>
      <c r="C4568" s="24"/>
      <c r="D4568" s="12"/>
      <c r="E4568" s="23"/>
      <c r="F4568" s="17"/>
      <c r="G4568" s="17"/>
      <c r="Z4568" s="22"/>
      <c r="AB4568" s="22"/>
    </row>
    <row r="4569" spans="1:28">
      <c r="A4569" s="19"/>
      <c r="B4569" s="12"/>
      <c r="C4569" s="24"/>
      <c r="D4569" s="12"/>
      <c r="E4569" s="23"/>
      <c r="F4569" s="17"/>
      <c r="G4569" s="17"/>
      <c r="Z4569" s="22"/>
      <c r="AB4569" s="22"/>
    </row>
    <row r="4570" spans="1:28">
      <c r="A4570" s="19"/>
      <c r="B4570" s="12"/>
      <c r="C4570" s="24"/>
      <c r="D4570" s="12"/>
      <c r="E4570" s="23"/>
      <c r="F4570" s="17"/>
      <c r="G4570" s="17"/>
      <c r="Z4570" s="22"/>
      <c r="AB4570" s="22"/>
    </row>
    <row r="4571" spans="1:28">
      <c r="A4571" s="19"/>
      <c r="B4571" s="12"/>
      <c r="C4571" s="24"/>
      <c r="D4571" s="12"/>
      <c r="E4571" s="23"/>
      <c r="F4571" s="17"/>
      <c r="G4571" s="17"/>
      <c r="Z4571" s="22"/>
      <c r="AB4571" s="22"/>
    </row>
    <row r="4572" spans="1:28">
      <c r="A4572" s="19"/>
      <c r="B4572" s="12"/>
      <c r="C4572" s="24"/>
      <c r="D4572" s="12"/>
      <c r="E4572" s="23"/>
      <c r="F4572" s="17"/>
      <c r="G4572" s="17"/>
      <c r="Z4572" s="22"/>
      <c r="AB4572" s="22"/>
    </row>
    <row r="4573" spans="1:28">
      <c r="A4573" s="19"/>
      <c r="B4573" s="12"/>
      <c r="C4573" s="24"/>
      <c r="D4573" s="12"/>
      <c r="E4573" s="23"/>
      <c r="F4573" s="17"/>
      <c r="G4573" s="17"/>
      <c r="Z4573" s="22"/>
      <c r="AB4573" s="22"/>
    </row>
    <row r="4574" spans="1:28">
      <c r="A4574" s="19"/>
      <c r="B4574" s="12"/>
      <c r="C4574" s="24"/>
      <c r="D4574" s="12"/>
      <c r="E4574" s="23"/>
      <c r="F4574" s="17"/>
      <c r="G4574" s="17"/>
      <c r="Z4574" s="22"/>
      <c r="AB4574" s="22"/>
    </row>
    <row r="4575" spans="1:28">
      <c r="A4575" s="19"/>
      <c r="B4575" s="12"/>
      <c r="C4575" s="24"/>
      <c r="D4575" s="12"/>
      <c r="E4575" s="23"/>
      <c r="F4575" s="17"/>
      <c r="G4575" s="17"/>
      <c r="Z4575" s="22"/>
      <c r="AB4575" s="22"/>
    </row>
    <row r="4576" spans="1:28">
      <c r="A4576" s="19"/>
      <c r="B4576" s="12"/>
      <c r="C4576" s="24"/>
      <c r="D4576" s="12"/>
      <c r="E4576" s="23"/>
      <c r="F4576" s="17"/>
      <c r="G4576" s="17"/>
      <c r="Z4576" s="22"/>
      <c r="AB4576" s="22"/>
    </row>
    <row r="4577" spans="1:28">
      <c r="A4577" s="19"/>
      <c r="B4577" s="12"/>
      <c r="C4577" s="24"/>
      <c r="D4577" s="12"/>
      <c r="E4577" s="23"/>
      <c r="F4577" s="17"/>
      <c r="G4577" s="17"/>
      <c r="Z4577" s="22"/>
      <c r="AB4577" s="22"/>
    </row>
    <row r="4578" spans="1:28">
      <c r="A4578" s="19"/>
      <c r="B4578" s="12"/>
      <c r="C4578" s="24"/>
      <c r="D4578" s="12"/>
      <c r="E4578" s="23"/>
      <c r="F4578" s="17"/>
      <c r="G4578" s="17"/>
      <c r="Z4578" s="22"/>
      <c r="AB4578" s="22"/>
    </row>
    <row r="4579" spans="1:28">
      <c r="A4579" s="19"/>
      <c r="B4579" s="12"/>
      <c r="C4579" s="24"/>
      <c r="D4579" s="12"/>
      <c r="E4579" s="23"/>
      <c r="F4579" s="17"/>
      <c r="G4579" s="17"/>
      <c r="Z4579" s="22"/>
      <c r="AB4579" s="22"/>
    </row>
    <row r="4580" spans="1:28">
      <c r="A4580" s="19"/>
      <c r="B4580" s="12"/>
      <c r="C4580" s="24"/>
      <c r="D4580" s="12"/>
      <c r="E4580" s="23"/>
      <c r="F4580" s="17"/>
      <c r="G4580" s="17"/>
      <c r="Z4580" s="22"/>
      <c r="AB4580" s="22"/>
    </row>
    <row r="4581" spans="1:28">
      <c r="A4581" s="19"/>
      <c r="B4581" s="12"/>
      <c r="C4581" s="24"/>
      <c r="D4581" s="12"/>
      <c r="E4581" s="23"/>
      <c r="F4581" s="17"/>
      <c r="G4581" s="17"/>
      <c r="Z4581" s="22"/>
      <c r="AB4581" s="22"/>
    </row>
    <row r="4582" spans="1:28">
      <c r="A4582" s="19"/>
      <c r="B4582" s="12"/>
      <c r="C4582" s="24"/>
      <c r="D4582" s="12"/>
      <c r="E4582" s="23"/>
      <c r="F4582" s="17"/>
      <c r="G4582" s="17"/>
      <c r="Z4582" s="22"/>
      <c r="AB4582" s="22"/>
    </row>
    <row r="4583" spans="1:28">
      <c r="A4583" s="19"/>
      <c r="B4583" s="12"/>
      <c r="C4583" s="24"/>
      <c r="D4583" s="12"/>
      <c r="E4583" s="23"/>
      <c r="F4583" s="17"/>
      <c r="G4583" s="17"/>
      <c r="Z4583" s="22"/>
      <c r="AB4583" s="22"/>
    </row>
    <row r="4584" spans="1:28">
      <c r="A4584" s="19"/>
      <c r="B4584" s="12"/>
      <c r="C4584" s="24"/>
      <c r="D4584" s="12"/>
      <c r="E4584" s="23"/>
      <c r="F4584" s="17"/>
      <c r="G4584" s="17"/>
      <c r="Z4584" s="22"/>
      <c r="AB4584" s="22"/>
    </row>
    <row r="4585" spans="1:28">
      <c r="A4585" s="19"/>
      <c r="B4585" s="12"/>
      <c r="C4585" s="24"/>
      <c r="D4585" s="12"/>
      <c r="E4585" s="23"/>
      <c r="F4585" s="17"/>
      <c r="G4585" s="17"/>
      <c r="Z4585" s="22"/>
      <c r="AB4585" s="22"/>
    </row>
    <row r="4586" spans="1:28">
      <c r="A4586" s="19"/>
      <c r="B4586" s="12"/>
      <c r="C4586" s="24"/>
      <c r="D4586" s="12"/>
      <c r="E4586" s="23"/>
      <c r="F4586" s="17"/>
      <c r="G4586" s="17"/>
      <c r="Z4586" s="22"/>
      <c r="AB4586" s="22"/>
    </row>
    <row r="4587" spans="1:28">
      <c r="A4587" s="19"/>
      <c r="B4587" s="12"/>
      <c r="C4587" s="24"/>
      <c r="D4587" s="12"/>
      <c r="E4587" s="23"/>
      <c r="F4587" s="17"/>
      <c r="G4587" s="17"/>
      <c r="Z4587" s="22"/>
      <c r="AB4587" s="22"/>
    </row>
    <row r="4588" spans="1:28">
      <c r="A4588" s="19"/>
      <c r="B4588" s="12"/>
      <c r="C4588" s="24"/>
      <c r="D4588" s="12"/>
      <c r="E4588" s="23"/>
      <c r="F4588" s="17"/>
      <c r="G4588" s="17"/>
      <c r="Z4588" s="22"/>
      <c r="AB4588" s="22"/>
    </row>
    <row r="4589" spans="1:28">
      <c r="A4589" s="19"/>
      <c r="B4589" s="12"/>
      <c r="C4589" s="24"/>
      <c r="D4589" s="12"/>
      <c r="E4589" s="23"/>
      <c r="F4589" s="17"/>
      <c r="G4589" s="17"/>
      <c r="Z4589" s="22"/>
      <c r="AB4589" s="22"/>
    </row>
    <row r="4590" spans="1:28">
      <c r="A4590" s="19"/>
      <c r="B4590" s="12"/>
      <c r="C4590" s="24"/>
      <c r="D4590" s="12"/>
      <c r="E4590" s="23"/>
      <c r="F4590" s="17"/>
      <c r="G4590" s="17"/>
      <c r="Z4590" s="22"/>
      <c r="AB4590" s="22"/>
    </row>
    <row r="4591" spans="1:28">
      <c r="A4591" s="19"/>
      <c r="B4591" s="12"/>
      <c r="C4591" s="24"/>
      <c r="D4591" s="12"/>
      <c r="E4591" s="23"/>
      <c r="F4591" s="17"/>
      <c r="G4591" s="17"/>
      <c r="Z4591" s="22"/>
      <c r="AB4591" s="22"/>
    </row>
    <row r="4592" spans="1:28">
      <c r="A4592" s="19"/>
      <c r="B4592" s="12"/>
      <c r="C4592" s="24"/>
      <c r="D4592" s="12"/>
      <c r="E4592" s="23"/>
      <c r="F4592" s="17"/>
      <c r="G4592" s="17"/>
      <c r="Z4592" s="22"/>
      <c r="AB4592" s="22"/>
    </row>
    <row r="4593" spans="1:28">
      <c r="A4593" s="19"/>
      <c r="B4593" s="12"/>
      <c r="C4593" s="24"/>
      <c r="D4593" s="12"/>
      <c r="E4593" s="23"/>
      <c r="F4593" s="17"/>
      <c r="G4593" s="17"/>
      <c r="Z4593" s="22"/>
      <c r="AB4593" s="22"/>
    </row>
    <row r="4594" spans="1:28">
      <c r="A4594" s="19"/>
      <c r="B4594" s="12"/>
      <c r="C4594" s="24"/>
      <c r="D4594" s="12"/>
      <c r="E4594" s="23"/>
      <c r="F4594" s="17"/>
      <c r="G4594" s="17"/>
      <c r="Z4594" s="22"/>
      <c r="AB4594" s="22"/>
    </row>
    <row r="4595" spans="1:28">
      <c r="A4595" s="19"/>
      <c r="B4595" s="12"/>
      <c r="C4595" s="24"/>
      <c r="D4595" s="12"/>
      <c r="E4595" s="23"/>
      <c r="F4595" s="17"/>
      <c r="G4595" s="17"/>
      <c r="Z4595" s="22"/>
      <c r="AB4595" s="22"/>
    </row>
    <row r="4596" spans="1:28">
      <c r="A4596" s="19"/>
      <c r="B4596" s="12"/>
      <c r="C4596" s="24"/>
      <c r="D4596" s="12"/>
      <c r="E4596" s="23"/>
      <c r="F4596" s="17"/>
      <c r="G4596" s="17"/>
      <c r="Z4596" s="22"/>
      <c r="AB4596" s="22"/>
    </row>
    <row r="4597" spans="1:28">
      <c r="A4597" s="19"/>
      <c r="B4597" s="12"/>
      <c r="C4597" s="24"/>
      <c r="D4597" s="12"/>
      <c r="E4597" s="23"/>
      <c r="F4597" s="17"/>
      <c r="G4597" s="17"/>
      <c r="Z4597" s="22"/>
      <c r="AB4597" s="22"/>
    </row>
    <row r="4598" spans="1:28">
      <c r="A4598" s="19"/>
      <c r="B4598" s="12"/>
      <c r="C4598" s="24"/>
      <c r="D4598" s="12"/>
      <c r="E4598" s="23"/>
      <c r="F4598" s="17"/>
      <c r="G4598" s="17"/>
      <c r="Z4598" s="22"/>
      <c r="AB4598" s="22"/>
    </row>
    <row r="4599" spans="1:28">
      <c r="A4599" s="19"/>
      <c r="B4599" s="12"/>
      <c r="C4599" s="24"/>
      <c r="D4599" s="12"/>
      <c r="E4599" s="23"/>
      <c r="F4599" s="17"/>
      <c r="G4599" s="17"/>
      <c r="Z4599" s="22"/>
      <c r="AB4599" s="22"/>
    </row>
    <row r="4600" spans="1:28">
      <c r="A4600" s="19"/>
      <c r="B4600" s="12"/>
      <c r="C4600" s="24"/>
      <c r="D4600" s="12"/>
      <c r="E4600" s="23"/>
      <c r="F4600" s="17"/>
      <c r="G4600" s="17"/>
      <c r="Z4600" s="22"/>
      <c r="AB4600" s="22"/>
    </row>
    <row r="4601" spans="1:28">
      <c r="A4601" s="19"/>
      <c r="B4601" s="12"/>
      <c r="C4601" s="24"/>
      <c r="D4601" s="12"/>
      <c r="E4601" s="23"/>
      <c r="F4601" s="17"/>
      <c r="G4601" s="17"/>
      <c r="Z4601" s="22"/>
      <c r="AB4601" s="22"/>
    </row>
    <row r="4602" spans="1:28">
      <c r="A4602" s="19"/>
      <c r="B4602" s="12"/>
      <c r="C4602" s="24"/>
      <c r="D4602" s="12"/>
      <c r="E4602" s="23"/>
      <c r="F4602" s="17"/>
      <c r="G4602" s="17"/>
      <c r="Z4602" s="22"/>
      <c r="AB4602" s="22"/>
    </row>
    <row r="4603" spans="1:28">
      <c r="A4603" s="19"/>
      <c r="B4603" s="12"/>
      <c r="C4603" s="24"/>
      <c r="D4603" s="12"/>
      <c r="E4603" s="23"/>
      <c r="F4603" s="17"/>
      <c r="G4603" s="17"/>
      <c r="Z4603" s="22"/>
      <c r="AB4603" s="22"/>
    </row>
    <row r="4604" spans="1:28">
      <c r="A4604" s="19"/>
      <c r="B4604" s="12"/>
      <c r="C4604" s="24"/>
      <c r="D4604" s="12"/>
      <c r="E4604" s="23"/>
      <c r="F4604" s="17"/>
      <c r="G4604" s="17"/>
      <c r="Z4604" s="22"/>
      <c r="AB4604" s="22"/>
    </row>
    <row r="4605" spans="1:28">
      <c r="A4605" s="19"/>
      <c r="B4605" s="12"/>
      <c r="C4605" s="24"/>
      <c r="D4605" s="12"/>
      <c r="E4605" s="23"/>
      <c r="F4605" s="17"/>
      <c r="G4605" s="17"/>
      <c r="Z4605" s="22"/>
      <c r="AB4605" s="22"/>
    </row>
    <row r="4606" spans="1:28">
      <c r="A4606" s="19"/>
      <c r="B4606" s="12"/>
      <c r="C4606" s="24"/>
      <c r="D4606" s="12"/>
      <c r="E4606" s="23"/>
      <c r="F4606" s="17"/>
      <c r="G4606" s="17"/>
      <c r="Z4606" s="22"/>
      <c r="AB4606" s="22"/>
    </row>
    <row r="4607" spans="1:28">
      <c r="A4607" s="19"/>
      <c r="B4607" s="12"/>
      <c r="C4607" s="24"/>
      <c r="D4607" s="12"/>
      <c r="E4607" s="23"/>
      <c r="F4607" s="17"/>
      <c r="G4607" s="17"/>
      <c r="Z4607" s="22"/>
      <c r="AB4607" s="22"/>
    </row>
    <row r="4608" spans="1:28">
      <c r="A4608" s="19"/>
      <c r="B4608" s="12"/>
      <c r="C4608" s="24"/>
      <c r="D4608" s="12"/>
      <c r="E4608" s="23"/>
      <c r="F4608" s="17"/>
      <c r="G4608" s="17"/>
      <c r="Z4608" s="22"/>
      <c r="AB4608" s="22"/>
    </row>
    <row r="4609" spans="1:28">
      <c r="A4609" s="19"/>
      <c r="B4609" s="12"/>
      <c r="C4609" s="24"/>
      <c r="D4609" s="12"/>
      <c r="E4609" s="23"/>
      <c r="F4609" s="17"/>
      <c r="G4609" s="17"/>
      <c r="Z4609" s="22"/>
      <c r="AB4609" s="22"/>
    </row>
    <row r="4610" spans="1:28">
      <c r="A4610" s="19"/>
      <c r="B4610" s="12"/>
      <c r="C4610" s="24"/>
      <c r="D4610" s="12"/>
      <c r="E4610" s="23"/>
      <c r="F4610" s="17"/>
      <c r="G4610" s="17"/>
      <c r="Z4610" s="22"/>
      <c r="AB4610" s="22"/>
    </row>
    <row r="4611" spans="1:28">
      <c r="A4611" s="19"/>
      <c r="B4611" s="12"/>
      <c r="C4611" s="24"/>
      <c r="D4611" s="12"/>
      <c r="E4611" s="23"/>
      <c r="F4611" s="17"/>
      <c r="G4611" s="17"/>
      <c r="Z4611" s="22"/>
      <c r="AB4611" s="22"/>
    </row>
    <row r="4612" spans="1:28">
      <c r="A4612" s="19"/>
      <c r="B4612" s="12"/>
      <c r="C4612" s="24"/>
      <c r="D4612" s="12"/>
      <c r="E4612" s="23"/>
      <c r="F4612" s="17"/>
      <c r="G4612" s="17"/>
      <c r="Z4612" s="22"/>
      <c r="AB4612" s="22"/>
    </row>
    <row r="4613" spans="1:28">
      <c r="A4613" s="19"/>
      <c r="B4613" s="12"/>
      <c r="C4613" s="24"/>
      <c r="D4613" s="12"/>
      <c r="E4613" s="23"/>
      <c r="F4613" s="17"/>
      <c r="G4613" s="17"/>
      <c r="Z4613" s="22"/>
      <c r="AB4613" s="22"/>
    </row>
    <row r="4614" spans="1:28">
      <c r="A4614" s="19"/>
      <c r="B4614" s="12"/>
      <c r="C4614" s="24"/>
      <c r="D4614" s="12"/>
      <c r="E4614" s="23"/>
      <c r="F4614" s="17"/>
      <c r="G4614" s="17"/>
      <c r="Z4614" s="22"/>
      <c r="AB4614" s="22"/>
    </row>
    <row r="4615" spans="1:28">
      <c r="A4615" s="19"/>
      <c r="B4615" s="12"/>
      <c r="C4615" s="24"/>
      <c r="D4615" s="12"/>
      <c r="E4615" s="23"/>
      <c r="F4615" s="17"/>
      <c r="G4615" s="17"/>
      <c r="Z4615" s="22"/>
      <c r="AB4615" s="22"/>
    </row>
    <row r="4616" spans="1:28">
      <c r="A4616" s="19"/>
      <c r="B4616" s="12"/>
      <c r="C4616" s="24"/>
      <c r="D4616" s="12"/>
      <c r="E4616" s="23"/>
      <c r="F4616" s="17"/>
      <c r="G4616" s="17"/>
      <c r="Z4616" s="22"/>
      <c r="AB4616" s="22"/>
    </row>
    <row r="4617" spans="1:28">
      <c r="A4617" s="19"/>
      <c r="B4617" s="12"/>
      <c r="C4617" s="24"/>
      <c r="D4617" s="12"/>
      <c r="E4617" s="23"/>
      <c r="F4617" s="17"/>
      <c r="G4617" s="17"/>
      <c r="Z4617" s="22"/>
      <c r="AB4617" s="22"/>
    </row>
    <row r="4618" spans="1:28">
      <c r="A4618" s="19"/>
      <c r="B4618" s="12"/>
      <c r="C4618" s="24"/>
      <c r="D4618" s="12"/>
      <c r="E4618" s="23"/>
      <c r="F4618" s="17"/>
      <c r="G4618" s="17"/>
      <c r="Z4618" s="22"/>
      <c r="AB4618" s="22"/>
    </row>
    <row r="4619" spans="1:28">
      <c r="A4619" s="19"/>
      <c r="B4619" s="12"/>
      <c r="C4619" s="24"/>
      <c r="D4619" s="12"/>
      <c r="E4619" s="23"/>
      <c r="F4619" s="17"/>
      <c r="G4619" s="17"/>
      <c r="Z4619" s="22"/>
      <c r="AB4619" s="22"/>
    </row>
    <row r="4620" spans="1:28">
      <c r="A4620" s="19"/>
      <c r="B4620" s="12"/>
      <c r="C4620" s="24"/>
      <c r="D4620" s="12"/>
      <c r="E4620" s="23"/>
      <c r="F4620" s="17"/>
      <c r="G4620" s="17"/>
      <c r="Z4620" s="22"/>
      <c r="AB4620" s="22"/>
    </row>
    <row r="4621" spans="1:28">
      <c r="A4621" s="19"/>
      <c r="B4621" s="12"/>
      <c r="C4621" s="24"/>
      <c r="D4621" s="12"/>
      <c r="E4621" s="23"/>
      <c r="F4621" s="17"/>
      <c r="G4621" s="17"/>
      <c r="Z4621" s="22"/>
      <c r="AB4621" s="22"/>
    </row>
    <row r="4622" spans="1:28">
      <c r="A4622" s="19"/>
      <c r="B4622" s="12"/>
      <c r="C4622" s="24"/>
      <c r="D4622" s="12"/>
      <c r="E4622" s="23"/>
      <c r="F4622" s="17"/>
      <c r="G4622" s="17"/>
      <c r="Z4622" s="22"/>
      <c r="AB4622" s="22"/>
    </row>
    <row r="4623" spans="1:28">
      <c r="A4623" s="19"/>
      <c r="B4623" s="12"/>
      <c r="C4623" s="24"/>
      <c r="D4623" s="12"/>
      <c r="E4623" s="23"/>
      <c r="F4623" s="17"/>
      <c r="G4623" s="17"/>
      <c r="Z4623" s="22"/>
      <c r="AB4623" s="22"/>
    </row>
    <row r="4624" spans="1:28">
      <c r="A4624" s="19"/>
      <c r="B4624" s="12"/>
      <c r="C4624" s="24"/>
      <c r="D4624" s="12"/>
      <c r="E4624" s="23"/>
      <c r="F4624" s="17"/>
      <c r="G4624" s="17"/>
      <c r="Z4624" s="22"/>
      <c r="AB4624" s="22"/>
    </row>
    <row r="4625" spans="1:28">
      <c r="A4625" s="19"/>
      <c r="B4625" s="12"/>
      <c r="C4625" s="24"/>
      <c r="D4625" s="12"/>
      <c r="E4625" s="23"/>
      <c r="F4625" s="17"/>
      <c r="G4625" s="17"/>
      <c r="Z4625" s="22"/>
      <c r="AB4625" s="22"/>
    </row>
    <row r="4626" spans="1:28">
      <c r="A4626" s="19"/>
      <c r="B4626" s="12"/>
      <c r="C4626" s="24"/>
      <c r="D4626" s="12"/>
      <c r="E4626" s="23"/>
      <c r="F4626" s="17"/>
      <c r="G4626" s="17"/>
      <c r="Z4626" s="22"/>
      <c r="AB4626" s="22"/>
    </row>
    <row r="4627" spans="1:28">
      <c r="A4627" s="19"/>
      <c r="B4627" s="12"/>
      <c r="C4627" s="24"/>
      <c r="D4627" s="12"/>
      <c r="E4627" s="23"/>
      <c r="F4627" s="17"/>
      <c r="G4627" s="17"/>
      <c r="Z4627" s="22"/>
      <c r="AB4627" s="22"/>
    </row>
    <row r="4628" spans="1:28">
      <c r="A4628" s="19"/>
      <c r="B4628" s="12"/>
      <c r="C4628" s="24"/>
      <c r="D4628" s="12"/>
      <c r="E4628" s="23"/>
      <c r="F4628" s="17"/>
      <c r="G4628" s="17"/>
      <c r="Z4628" s="22"/>
      <c r="AB4628" s="22"/>
    </row>
    <row r="4629" spans="1:28">
      <c r="A4629" s="19"/>
      <c r="B4629" s="12"/>
      <c r="C4629" s="24"/>
      <c r="D4629" s="12"/>
      <c r="E4629" s="23"/>
      <c r="F4629" s="17"/>
      <c r="G4629" s="17"/>
      <c r="Z4629" s="22"/>
      <c r="AB4629" s="22"/>
    </row>
    <row r="4630" spans="1:28">
      <c r="A4630" s="19"/>
      <c r="B4630" s="12"/>
      <c r="C4630" s="24"/>
      <c r="D4630" s="12"/>
      <c r="E4630" s="23"/>
      <c r="F4630" s="17"/>
      <c r="G4630" s="17"/>
      <c r="Z4630" s="22"/>
      <c r="AB4630" s="22"/>
    </row>
    <row r="4631" spans="1:28">
      <c r="A4631" s="19"/>
      <c r="B4631" s="12"/>
      <c r="C4631" s="24"/>
      <c r="D4631" s="12"/>
      <c r="E4631" s="23"/>
      <c r="F4631" s="17"/>
      <c r="G4631" s="17"/>
      <c r="Z4631" s="22"/>
      <c r="AB4631" s="22"/>
    </row>
    <row r="4632" spans="1:28">
      <c r="A4632" s="19"/>
      <c r="B4632" s="12"/>
      <c r="C4632" s="24"/>
      <c r="D4632" s="12"/>
      <c r="E4632" s="23"/>
      <c r="F4632" s="17"/>
      <c r="G4632" s="17"/>
      <c r="Z4632" s="22"/>
      <c r="AB4632" s="22"/>
    </row>
    <row r="4633" spans="1:28">
      <c r="A4633" s="19"/>
      <c r="B4633" s="12"/>
      <c r="C4633" s="24"/>
      <c r="D4633" s="12"/>
      <c r="E4633" s="23"/>
      <c r="F4633" s="17"/>
      <c r="G4633" s="17"/>
      <c r="Z4633" s="22"/>
      <c r="AB4633" s="22"/>
    </row>
    <row r="4634" spans="1:28">
      <c r="A4634" s="19"/>
      <c r="B4634" s="12"/>
      <c r="C4634" s="24"/>
      <c r="D4634" s="12"/>
      <c r="E4634" s="23"/>
      <c r="F4634" s="17"/>
      <c r="G4634" s="17"/>
      <c r="Z4634" s="22"/>
      <c r="AB4634" s="22"/>
    </row>
    <row r="4635" spans="1:28">
      <c r="A4635" s="19"/>
      <c r="B4635" s="12"/>
      <c r="C4635" s="24"/>
      <c r="D4635" s="12"/>
      <c r="E4635" s="23"/>
      <c r="F4635" s="17"/>
      <c r="G4635" s="17"/>
      <c r="Z4635" s="22"/>
      <c r="AB4635" s="22"/>
    </row>
    <row r="4636" spans="1:28">
      <c r="A4636" s="19"/>
      <c r="B4636" s="12"/>
      <c r="C4636" s="24"/>
      <c r="D4636" s="12"/>
      <c r="E4636" s="23"/>
      <c r="F4636" s="17"/>
      <c r="G4636" s="17"/>
      <c r="Z4636" s="22"/>
      <c r="AB4636" s="22"/>
    </row>
    <row r="4637" spans="1:28">
      <c r="A4637" s="19"/>
      <c r="B4637" s="12"/>
      <c r="C4637" s="24"/>
      <c r="D4637" s="12"/>
      <c r="E4637" s="23"/>
      <c r="F4637" s="17"/>
      <c r="G4637" s="17"/>
      <c r="Z4637" s="22"/>
      <c r="AB4637" s="22"/>
    </row>
    <row r="4638" spans="1:28">
      <c r="A4638" s="19"/>
      <c r="B4638" s="12"/>
      <c r="C4638" s="24"/>
      <c r="D4638" s="12"/>
      <c r="E4638" s="23"/>
      <c r="F4638" s="17"/>
      <c r="G4638" s="17"/>
      <c r="Z4638" s="22"/>
      <c r="AB4638" s="22"/>
    </row>
    <row r="4639" spans="1:28">
      <c r="A4639" s="19"/>
      <c r="B4639" s="12"/>
      <c r="C4639" s="24"/>
      <c r="D4639" s="12"/>
      <c r="E4639" s="23"/>
      <c r="F4639" s="17"/>
      <c r="G4639" s="17"/>
      <c r="Z4639" s="22"/>
      <c r="AB4639" s="22"/>
    </row>
    <row r="4640" spans="1:28">
      <c r="A4640" s="19"/>
      <c r="B4640" s="12"/>
      <c r="C4640" s="24"/>
      <c r="D4640" s="12"/>
      <c r="E4640" s="23"/>
      <c r="F4640" s="17"/>
      <c r="G4640" s="17"/>
      <c r="Z4640" s="22"/>
      <c r="AB4640" s="22"/>
    </row>
    <row r="4641" spans="1:28">
      <c r="A4641" s="19"/>
      <c r="B4641" s="12"/>
      <c r="C4641" s="24"/>
      <c r="D4641" s="12"/>
      <c r="E4641" s="23"/>
      <c r="F4641" s="17"/>
      <c r="G4641" s="17"/>
      <c r="Z4641" s="22"/>
      <c r="AB4641" s="22"/>
    </row>
    <row r="4642" spans="1:28">
      <c r="A4642" s="19"/>
      <c r="B4642" s="12"/>
      <c r="C4642" s="24"/>
      <c r="D4642" s="12"/>
      <c r="E4642" s="23"/>
      <c r="F4642" s="17"/>
      <c r="G4642" s="17"/>
      <c r="Z4642" s="22"/>
      <c r="AB4642" s="22"/>
    </row>
    <row r="4643" spans="1:28">
      <c r="A4643" s="19"/>
      <c r="B4643" s="12"/>
      <c r="C4643" s="24"/>
      <c r="D4643" s="12"/>
      <c r="E4643" s="23"/>
      <c r="F4643" s="17"/>
      <c r="G4643" s="17"/>
      <c r="Z4643" s="22"/>
      <c r="AB4643" s="22"/>
    </row>
    <row r="4644" spans="1:28">
      <c r="A4644" s="19"/>
      <c r="B4644" s="12"/>
      <c r="C4644" s="24"/>
      <c r="D4644" s="12"/>
      <c r="E4644" s="23"/>
      <c r="F4644" s="17"/>
      <c r="G4644" s="17"/>
      <c r="Z4644" s="22"/>
      <c r="AB4644" s="22"/>
    </row>
    <row r="4645" spans="1:28">
      <c r="A4645" s="19"/>
      <c r="B4645" s="12"/>
      <c r="C4645" s="24"/>
      <c r="D4645" s="12"/>
      <c r="E4645" s="23"/>
      <c r="F4645" s="17"/>
      <c r="G4645" s="17"/>
      <c r="Z4645" s="22"/>
      <c r="AB4645" s="22"/>
    </row>
    <row r="4646" spans="1:28">
      <c r="A4646" s="19"/>
      <c r="B4646" s="12"/>
      <c r="C4646" s="24"/>
      <c r="D4646" s="12"/>
      <c r="E4646" s="23"/>
      <c r="F4646" s="17"/>
      <c r="G4646" s="17"/>
      <c r="Z4646" s="22"/>
      <c r="AB4646" s="22"/>
    </row>
    <row r="4647" spans="1:28">
      <c r="A4647" s="19"/>
      <c r="B4647" s="12"/>
      <c r="C4647" s="24"/>
      <c r="D4647" s="12"/>
      <c r="E4647" s="23"/>
      <c r="F4647" s="17"/>
      <c r="G4647" s="17"/>
      <c r="Z4647" s="22"/>
      <c r="AB4647" s="22"/>
    </row>
    <row r="4648" spans="1:28">
      <c r="A4648" s="19"/>
      <c r="B4648" s="12"/>
      <c r="C4648" s="24"/>
      <c r="D4648" s="12"/>
      <c r="E4648" s="23"/>
      <c r="F4648" s="17"/>
      <c r="G4648" s="17"/>
      <c r="Z4648" s="22"/>
      <c r="AB4648" s="22"/>
    </row>
    <row r="4649" spans="1:28">
      <c r="A4649" s="19"/>
      <c r="B4649" s="12"/>
      <c r="C4649" s="24"/>
      <c r="D4649" s="12"/>
      <c r="E4649" s="23"/>
      <c r="F4649" s="17"/>
      <c r="G4649" s="17"/>
      <c r="Z4649" s="22"/>
      <c r="AB4649" s="22"/>
    </row>
    <row r="4650" spans="1:28">
      <c r="A4650" s="19"/>
      <c r="B4650" s="12"/>
      <c r="C4650" s="24"/>
      <c r="D4650" s="12"/>
      <c r="E4650" s="23"/>
      <c r="F4650" s="17"/>
      <c r="G4650" s="17"/>
      <c r="Z4650" s="22"/>
      <c r="AB4650" s="22"/>
    </row>
    <row r="4651" spans="1:28">
      <c r="A4651" s="19"/>
      <c r="B4651" s="12"/>
      <c r="C4651" s="24"/>
      <c r="D4651" s="12"/>
      <c r="E4651" s="23"/>
      <c r="F4651" s="17"/>
      <c r="G4651" s="17"/>
      <c r="Z4651" s="22"/>
      <c r="AB4651" s="22"/>
    </row>
    <row r="4652" spans="1:28">
      <c r="A4652" s="19"/>
      <c r="B4652" s="12"/>
      <c r="C4652" s="24"/>
      <c r="D4652" s="12"/>
      <c r="E4652" s="23"/>
      <c r="F4652" s="17"/>
      <c r="G4652" s="17"/>
      <c r="Z4652" s="22"/>
      <c r="AB4652" s="22"/>
    </row>
    <row r="4653" spans="1:28">
      <c r="A4653" s="19"/>
      <c r="B4653" s="12"/>
      <c r="C4653" s="24"/>
      <c r="D4653" s="12"/>
      <c r="E4653" s="23"/>
      <c r="F4653" s="17"/>
      <c r="G4653" s="17"/>
      <c r="Z4653" s="22"/>
      <c r="AB4653" s="22"/>
    </row>
    <row r="4654" spans="1:28">
      <c r="A4654" s="19"/>
      <c r="B4654" s="12"/>
      <c r="C4654" s="24"/>
      <c r="D4654" s="12"/>
      <c r="E4654" s="23"/>
      <c r="F4654" s="17"/>
      <c r="G4654" s="17"/>
      <c r="Z4654" s="22"/>
      <c r="AB4654" s="22"/>
    </row>
    <row r="4655" spans="1:28">
      <c r="A4655" s="19"/>
      <c r="B4655" s="12"/>
      <c r="C4655" s="24"/>
      <c r="D4655" s="12"/>
      <c r="E4655" s="23"/>
      <c r="F4655" s="17"/>
      <c r="G4655" s="17"/>
      <c r="Z4655" s="22"/>
      <c r="AB4655" s="22"/>
    </row>
    <row r="4656" spans="1:28">
      <c r="A4656" s="19"/>
      <c r="B4656" s="12"/>
      <c r="C4656" s="24"/>
      <c r="D4656" s="12"/>
      <c r="E4656" s="23"/>
      <c r="F4656" s="17"/>
      <c r="G4656" s="17"/>
      <c r="Z4656" s="22"/>
      <c r="AB4656" s="22"/>
    </row>
    <row r="4657" spans="1:28">
      <c r="A4657" s="19"/>
      <c r="B4657" s="12"/>
      <c r="C4657" s="24"/>
      <c r="D4657" s="12"/>
      <c r="E4657" s="23"/>
      <c r="F4657" s="17"/>
      <c r="G4657" s="17"/>
      <c r="Z4657" s="22"/>
      <c r="AB4657" s="22"/>
    </row>
    <row r="4658" spans="1:28">
      <c r="A4658" s="19"/>
      <c r="B4658" s="12"/>
      <c r="C4658" s="24"/>
      <c r="D4658" s="12"/>
      <c r="E4658" s="23"/>
      <c r="F4658" s="17"/>
      <c r="G4658" s="17"/>
      <c r="Z4658" s="22"/>
      <c r="AB4658" s="22"/>
    </row>
    <row r="4659" spans="1:28">
      <c r="A4659" s="19"/>
      <c r="B4659" s="12"/>
      <c r="C4659" s="24"/>
      <c r="D4659" s="12"/>
      <c r="E4659" s="23"/>
      <c r="F4659" s="17"/>
      <c r="G4659" s="17"/>
      <c r="Z4659" s="22"/>
      <c r="AB4659" s="22"/>
    </row>
    <row r="4660" spans="1:28">
      <c r="A4660" s="19"/>
      <c r="B4660" s="12"/>
      <c r="C4660" s="24"/>
      <c r="D4660" s="12"/>
      <c r="E4660" s="23"/>
      <c r="F4660" s="17"/>
      <c r="G4660" s="17"/>
      <c r="Z4660" s="22"/>
      <c r="AB4660" s="22"/>
    </row>
    <row r="4661" spans="1:28">
      <c r="A4661" s="19"/>
      <c r="B4661" s="12"/>
      <c r="C4661" s="24"/>
      <c r="D4661" s="12"/>
      <c r="E4661" s="23"/>
      <c r="F4661" s="17"/>
      <c r="G4661" s="17"/>
      <c r="Z4661" s="22"/>
      <c r="AB4661" s="22"/>
    </row>
    <row r="4662" spans="1:28">
      <c r="A4662" s="19"/>
      <c r="B4662" s="12"/>
      <c r="C4662" s="24"/>
      <c r="D4662" s="12"/>
      <c r="E4662" s="23"/>
      <c r="F4662" s="17"/>
      <c r="G4662" s="17"/>
      <c r="Z4662" s="22"/>
      <c r="AB4662" s="22"/>
    </row>
    <row r="4663" spans="1:28">
      <c r="A4663" s="19"/>
      <c r="B4663" s="12"/>
      <c r="C4663" s="24"/>
      <c r="D4663" s="12"/>
      <c r="E4663" s="23"/>
      <c r="F4663" s="17"/>
      <c r="G4663" s="17"/>
      <c r="Z4663" s="22"/>
      <c r="AB4663" s="22"/>
    </row>
    <row r="4664" spans="1:28">
      <c r="A4664" s="19"/>
      <c r="B4664" s="12"/>
      <c r="C4664" s="24"/>
      <c r="D4664" s="12"/>
      <c r="E4664" s="23"/>
      <c r="F4664" s="17"/>
      <c r="G4664" s="17"/>
      <c r="Z4664" s="22"/>
      <c r="AB4664" s="22"/>
    </row>
    <row r="4665" spans="1:28">
      <c r="A4665" s="19"/>
      <c r="B4665" s="12"/>
      <c r="C4665" s="24"/>
      <c r="D4665" s="12"/>
      <c r="E4665" s="23"/>
      <c r="F4665" s="17"/>
      <c r="G4665" s="17"/>
      <c r="Z4665" s="22"/>
      <c r="AB4665" s="22"/>
    </row>
    <row r="4666" spans="1:28">
      <c r="A4666" s="19"/>
      <c r="B4666" s="12"/>
      <c r="C4666" s="24"/>
      <c r="D4666" s="12"/>
      <c r="E4666" s="23"/>
      <c r="F4666" s="17"/>
      <c r="G4666" s="17"/>
      <c r="Z4666" s="22"/>
      <c r="AB4666" s="22"/>
    </row>
    <row r="4667" spans="1:28">
      <c r="A4667" s="19"/>
      <c r="B4667" s="12"/>
      <c r="C4667" s="24"/>
      <c r="D4667" s="12"/>
      <c r="E4667" s="23"/>
      <c r="F4667" s="17"/>
      <c r="G4667" s="17"/>
      <c r="Z4667" s="22"/>
      <c r="AB4667" s="22"/>
    </row>
    <row r="4668" spans="1:28">
      <c r="A4668" s="19"/>
      <c r="B4668" s="12"/>
      <c r="C4668" s="24"/>
      <c r="D4668" s="12"/>
      <c r="E4668" s="23"/>
      <c r="F4668" s="17"/>
      <c r="G4668" s="17"/>
      <c r="Z4668" s="22"/>
      <c r="AB4668" s="22"/>
    </row>
    <row r="4669" spans="1:28">
      <c r="A4669" s="19"/>
      <c r="B4669" s="12"/>
      <c r="C4669" s="24"/>
      <c r="D4669" s="12"/>
      <c r="E4669" s="23"/>
      <c r="F4669" s="17"/>
      <c r="G4669" s="17"/>
      <c r="Z4669" s="22"/>
      <c r="AB4669" s="22"/>
    </row>
    <row r="4670" spans="1:28">
      <c r="A4670" s="19"/>
      <c r="B4670" s="12"/>
      <c r="C4670" s="24"/>
      <c r="D4670" s="12"/>
      <c r="E4670" s="23"/>
      <c r="F4670" s="17"/>
      <c r="G4670" s="17"/>
      <c r="Z4670" s="22"/>
      <c r="AB4670" s="22"/>
    </row>
    <row r="4671" spans="1:28">
      <c r="A4671" s="19"/>
      <c r="B4671" s="12"/>
      <c r="C4671" s="24"/>
      <c r="D4671" s="12"/>
      <c r="E4671" s="23"/>
      <c r="F4671" s="17"/>
      <c r="G4671" s="17"/>
      <c r="Z4671" s="22"/>
      <c r="AB4671" s="22"/>
    </row>
    <row r="4672" spans="1:28">
      <c r="A4672" s="19"/>
      <c r="B4672" s="12"/>
      <c r="C4672" s="24"/>
      <c r="D4672" s="12"/>
      <c r="E4672" s="23"/>
      <c r="F4672" s="17"/>
      <c r="G4672" s="17"/>
      <c r="Z4672" s="22"/>
      <c r="AB4672" s="22"/>
    </row>
    <row r="4673" spans="1:28">
      <c r="A4673" s="19"/>
      <c r="B4673" s="12"/>
      <c r="C4673" s="24"/>
      <c r="D4673" s="12"/>
      <c r="E4673" s="23"/>
      <c r="F4673" s="17"/>
      <c r="G4673" s="17"/>
      <c r="Z4673" s="22"/>
      <c r="AB4673" s="22"/>
    </row>
    <row r="4674" spans="1:28">
      <c r="A4674" s="19"/>
      <c r="B4674" s="12"/>
      <c r="C4674" s="24"/>
      <c r="D4674" s="12"/>
      <c r="E4674" s="23"/>
      <c r="F4674" s="17"/>
      <c r="G4674" s="17"/>
      <c r="Z4674" s="22"/>
      <c r="AB4674" s="22"/>
    </row>
    <row r="4675" spans="1:28">
      <c r="A4675" s="19"/>
      <c r="B4675" s="12"/>
      <c r="C4675" s="24"/>
      <c r="D4675" s="12"/>
      <c r="E4675" s="23"/>
      <c r="F4675" s="17"/>
      <c r="G4675" s="17"/>
      <c r="Z4675" s="22"/>
      <c r="AB4675" s="22"/>
    </row>
    <row r="4676" spans="1:28">
      <c r="A4676" s="19"/>
      <c r="B4676" s="12"/>
      <c r="C4676" s="24"/>
      <c r="D4676" s="12"/>
      <c r="E4676" s="23"/>
      <c r="F4676" s="17"/>
      <c r="G4676" s="17"/>
      <c r="Z4676" s="22"/>
      <c r="AB4676" s="22"/>
    </row>
    <row r="4677" spans="1:28">
      <c r="A4677" s="19"/>
      <c r="B4677" s="12"/>
      <c r="C4677" s="24"/>
      <c r="D4677" s="12"/>
      <c r="E4677" s="23"/>
      <c r="F4677" s="17"/>
      <c r="G4677" s="17"/>
      <c r="Z4677" s="22"/>
      <c r="AB4677" s="22"/>
    </row>
    <row r="4678" spans="1:28">
      <c r="A4678" s="19"/>
      <c r="B4678" s="12"/>
      <c r="C4678" s="24"/>
      <c r="D4678" s="12"/>
      <c r="E4678" s="23"/>
      <c r="F4678" s="17"/>
      <c r="G4678" s="17"/>
      <c r="Z4678" s="22"/>
      <c r="AB4678" s="22"/>
    </row>
    <row r="4679" spans="1:28">
      <c r="A4679" s="19"/>
      <c r="B4679" s="12"/>
      <c r="C4679" s="24"/>
      <c r="D4679" s="12"/>
      <c r="E4679" s="23"/>
      <c r="F4679" s="17"/>
      <c r="G4679" s="17"/>
      <c r="Z4679" s="22"/>
      <c r="AB4679" s="22"/>
    </row>
    <row r="4680" spans="1:28">
      <c r="A4680" s="19"/>
      <c r="B4680" s="12"/>
      <c r="C4680" s="24"/>
      <c r="D4680" s="12"/>
      <c r="E4680" s="23"/>
      <c r="F4680" s="17"/>
      <c r="G4680" s="17"/>
      <c r="Z4680" s="22"/>
      <c r="AB4680" s="22"/>
    </row>
    <row r="4681" spans="1:28">
      <c r="A4681" s="19"/>
      <c r="B4681" s="12"/>
      <c r="C4681" s="24"/>
      <c r="D4681" s="12"/>
      <c r="E4681" s="23"/>
      <c r="F4681" s="17"/>
      <c r="G4681" s="17"/>
      <c r="Z4681" s="22"/>
      <c r="AB4681" s="22"/>
    </row>
    <row r="4682" spans="1:28">
      <c r="A4682" s="19"/>
      <c r="B4682" s="12"/>
      <c r="C4682" s="24"/>
      <c r="D4682" s="12"/>
      <c r="E4682" s="23"/>
      <c r="F4682" s="17"/>
      <c r="G4682" s="17"/>
      <c r="Z4682" s="22"/>
      <c r="AB4682" s="22"/>
    </row>
    <row r="4683" spans="1:28">
      <c r="A4683" s="19"/>
      <c r="B4683" s="12"/>
      <c r="C4683" s="24"/>
      <c r="D4683" s="12"/>
      <c r="E4683" s="23"/>
      <c r="F4683" s="17"/>
      <c r="G4683" s="17"/>
      <c r="Z4683" s="22"/>
      <c r="AB4683" s="22"/>
    </row>
    <row r="4684" spans="1:28">
      <c r="A4684" s="19"/>
      <c r="B4684" s="12"/>
      <c r="C4684" s="24"/>
      <c r="D4684" s="12"/>
      <c r="E4684" s="23"/>
      <c r="F4684" s="17"/>
      <c r="G4684" s="17"/>
      <c r="Z4684" s="22"/>
      <c r="AB4684" s="22"/>
    </row>
    <row r="4685" spans="1:28">
      <c r="A4685" s="19"/>
      <c r="B4685" s="12"/>
      <c r="C4685" s="24"/>
      <c r="D4685" s="12"/>
      <c r="E4685" s="23"/>
      <c r="F4685" s="17"/>
      <c r="G4685" s="17"/>
      <c r="Z4685" s="22"/>
      <c r="AB4685" s="22"/>
    </row>
    <row r="4686" spans="1:28">
      <c r="A4686" s="19"/>
      <c r="B4686" s="12"/>
      <c r="C4686" s="24"/>
      <c r="D4686" s="12"/>
      <c r="E4686" s="23"/>
      <c r="F4686" s="17"/>
      <c r="G4686" s="17"/>
      <c r="Z4686" s="22"/>
      <c r="AB4686" s="22"/>
    </row>
    <row r="4687" spans="1:28">
      <c r="A4687" s="19"/>
      <c r="B4687" s="12"/>
      <c r="C4687" s="24"/>
      <c r="D4687" s="12"/>
      <c r="E4687" s="23"/>
      <c r="F4687" s="17"/>
      <c r="G4687" s="17"/>
      <c r="Z4687" s="22"/>
      <c r="AB4687" s="22"/>
    </row>
    <row r="4688" spans="1:28">
      <c r="A4688" s="19"/>
      <c r="B4688" s="12"/>
      <c r="C4688" s="24"/>
      <c r="D4688" s="12"/>
      <c r="E4688" s="23"/>
      <c r="F4688" s="17"/>
      <c r="G4688" s="17"/>
      <c r="Z4688" s="22"/>
      <c r="AB4688" s="22"/>
    </row>
    <row r="4689" spans="1:28">
      <c r="A4689" s="19"/>
      <c r="B4689" s="12"/>
      <c r="C4689" s="24"/>
      <c r="D4689" s="12"/>
      <c r="E4689" s="23"/>
      <c r="F4689" s="17"/>
      <c r="G4689" s="17"/>
      <c r="Z4689" s="22"/>
      <c r="AB4689" s="22"/>
    </row>
    <row r="4690" spans="1:28">
      <c r="A4690" s="19"/>
      <c r="B4690" s="12"/>
      <c r="C4690" s="24"/>
      <c r="D4690" s="12"/>
      <c r="E4690" s="23"/>
      <c r="F4690" s="17"/>
      <c r="G4690" s="17"/>
      <c r="Z4690" s="22"/>
      <c r="AB4690" s="22"/>
    </row>
    <row r="4691" spans="1:28">
      <c r="A4691" s="19"/>
      <c r="B4691" s="12"/>
      <c r="C4691" s="24"/>
      <c r="D4691" s="12"/>
      <c r="E4691" s="23"/>
      <c r="F4691" s="17"/>
      <c r="G4691" s="17"/>
      <c r="Z4691" s="22"/>
      <c r="AB4691" s="22"/>
    </row>
    <row r="4692" spans="1:28">
      <c r="A4692" s="19"/>
      <c r="B4692" s="12"/>
      <c r="C4692" s="24"/>
      <c r="D4692" s="12"/>
      <c r="E4692" s="23"/>
      <c r="F4692" s="17"/>
      <c r="G4692" s="17"/>
      <c r="Z4692" s="22"/>
      <c r="AB4692" s="22"/>
    </row>
    <row r="4693" spans="1:28">
      <c r="A4693" s="19"/>
      <c r="B4693" s="12"/>
      <c r="C4693" s="24"/>
      <c r="D4693" s="12"/>
      <c r="E4693" s="23"/>
      <c r="F4693" s="17"/>
      <c r="G4693" s="17"/>
      <c r="Z4693" s="22"/>
      <c r="AB4693" s="22"/>
    </row>
    <row r="4694" spans="1:28">
      <c r="A4694" s="19"/>
      <c r="B4694" s="12"/>
      <c r="C4694" s="24"/>
      <c r="D4694" s="12"/>
      <c r="E4694" s="23"/>
      <c r="F4694" s="17"/>
      <c r="G4694" s="17"/>
      <c r="Z4694" s="22"/>
      <c r="AB4694" s="22"/>
    </row>
    <row r="4695" spans="1:28">
      <c r="A4695" s="19"/>
      <c r="B4695" s="12"/>
      <c r="C4695" s="24"/>
      <c r="D4695" s="12"/>
      <c r="E4695" s="23"/>
      <c r="F4695" s="17"/>
      <c r="G4695" s="17"/>
      <c r="Z4695" s="22"/>
      <c r="AB4695" s="22"/>
    </row>
    <row r="4696" spans="1:28">
      <c r="A4696" s="19"/>
      <c r="B4696" s="12"/>
      <c r="C4696" s="24"/>
      <c r="D4696" s="12"/>
      <c r="E4696" s="23"/>
      <c r="F4696" s="17"/>
      <c r="G4696" s="17"/>
      <c r="Z4696" s="22"/>
      <c r="AB4696" s="22"/>
    </row>
    <row r="4697" spans="1:28">
      <c r="A4697" s="19"/>
      <c r="B4697" s="12"/>
      <c r="C4697" s="24"/>
      <c r="D4697" s="12"/>
      <c r="E4697" s="23"/>
      <c r="F4697" s="17"/>
      <c r="G4697" s="17"/>
      <c r="Z4697" s="22"/>
      <c r="AB4697" s="22"/>
    </row>
    <row r="4698" spans="1:28">
      <c r="A4698" s="19"/>
      <c r="B4698" s="12"/>
      <c r="C4698" s="24"/>
      <c r="D4698" s="12"/>
      <c r="E4698" s="23"/>
      <c r="F4698" s="17"/>
      <c r="G4698" s="17"/>
      <c r="Z4698" s="22"/>
      <c r="AB4698" s="22"/>
    </row>
    <row r="4699" spans="1:28">
      <c r="A4699" s="19"/>
      <c r="B4699" s="12"/>
      <c r="C4699" s="24"/>
      <c r="D4699" s="12"/>
      <c r="E4699" s="23"/>
      <c r="F4699" s="17"/>
      <c r="G4699" s="17"/>
      <c r="Z4699" s="22"/>
      <c r="AB4699" s="22"/>
    </row>
    <row r="4700" spans="1:28">
      <c r="A4700" s="19"/>
      <c r="B4700" s="12"/>
      <c r="C4700" s="24"/>
      <c r="D4700" s="12"/>
      <c r="E4700" s="23"/>
      <c r="F4700" s="17"/>
      <c r="G4700" s="17"/>
      <c r="Z4700" s="22"/>
      <c r="AB4700" s="22"/>
    </row>
    <row r="4701" spans="1:28">
      <c r="A4701" s="19"/>
      <c r="B4701" s="12"/>
      <c r="C4701" s="24"/>
      <c r="D4701" s="12"/>
      <c r="E4701" s="23"/>
      <c r="F4701" s="17"/>
      <c r="G4701" s="17"/>
      <c r="Z4701" s="22"/>
      <c r="AB4701" s="22"/>
    </row>
    <row r="4702" spans="1:28">
      <c r="A4702" s="19"/>
      <c r="B4702" s="12"/>
      <c r="C4702" s="24"/>
      <c r="D4702" s="12"/>
      <c r="E4702" s="23"/>
      <c r="F4702" s="17"/>
      <c r="G4702" s="17"/>
      <c r="Z4702" s="22"/>
      <c r="AB4702" s="22"/>
    </row>
    <row r="4703" spans="1:28">
      <c r="A4703" s="19"/>
      <c r="B4703" s="12"/>
      <c r="C4703" s="24"/>
      <c r="D4703" s="12"/>
      <c r="E4703" s="23"/>
      <c r="F4703" s="17"/>
      <c r="G4703" s="17"/>
      <c r="Z4703" s="22"/>
      <c r="AB4703" s="22"/>
    </row>
    <row r="4704" spans="1:28">
      <c r="A4704" s="19"/>
      <c r="B4704" s="12"/>
      <c r="C4704" s="24"/>
      <c r="D4704" s="12"/>
      <c r="E4704" s="23"/>
      <c r="F4704" s="17"/>
      <c r="G4704" s="17"/>
      <c r="Z4704" s="22"/>
      <c r="AB4704" s="22"/>
    </row>
    <row r="4705" spans="1:28">
      <c r="A4705" s="19"/>
      <c r="B4705" s="12"/>
      <c r="C4705" s="24"/>
      <c r="D4705" s="12"/>
      <c r="E4705" s="23"/>
      <c r="F4705" s="17"/>
      <c r="G4705" s="17"/>
      <c r="Z4705" s="22"/>
      <c r="AB4705" s="22"/>
    </row>
    <row r="4706" spans="1:28">
      <c r="A4706" s="19"/>
      <c r="B4706" s="12"/>
      <c r="C4706" s="24"/>
      <c r="D4706" s="12"/>
      <c r="E4706" s="23"/>
      <c r="F4706" s="17"/>
      <c r="G4706" s="17"/>
      <c r="Z4706" s="22"/>
      <c r="AB4706" s="22"/>
    </row>
    <row r="4707" spans="1:28">
      <c r="A4707" s="19"/>
      <c r="B4707" s="12"/>
      <c r="C4707" s="24"/>
      <c r="D4707" s="12"/>
      <c r="E4707" s="23"/>
      <c r="F4707" s="17"/>
      <c r="G4707" s="17"/>
      <c r="Z4707" s="22"/>
      <c r="AB4707" s="22"/>
    </row>
    <row r="4708" spans="1:28">
      <c r="A4708" s="19"/>
      <c r="B4708" s="12"/>
      <c r="C4708" s="24"/>
      <c r="D4708" s="12"/>
      <c r="E4708" s="23"/>
      <c r="F4708" s="17"/>
      <c r="G4708" s="17"/>
      <c r="Z4708" s="22"/>
      <c r="AB4708" s="22"/>
    </row>
    <row r="4709" spans="1:28">
      <c r="A4709" s="19"/>
      <c r="B4709" s="12"/>
      <c r="C4709" s="24"/>
      <c r="D4709" s="12"/>
      <c r="E4709" s="23"/>
      <c r="F4709" s="17"/>
      <c r="G4709" s="17"/>
      <c r="Z4709" s="22"/>
      <c r="AB4709" s="22"/>
    </row>
    <row r="4710" spans="1:28">
      <c r="A4710" s="19"/>
      <c r="B4710" s="12"/>
      <c r="C4710" s="24"/>
      <c r="D4710" s="12"/>
      <c r="E4710" s="23"/>
      <c r="F4710" s="17"/>
      <c r="G4710" s="17"/>
      <c r="Z4710" s="22"/>
      <c r="AB4710" s="22"/>
    </row>
    <row r="4711" spans="1:28">
      <c r="A4711" s="19"/>
      <c r="B4711" s="12"/>
      <c r="C4711" s="24"/>
      <c r="D4711" s="12"/>
      <c r="E4711" s="23"/>
      <c r="F4711" s="17"/>
      <c r="G4711" s="17"/>
      <c r="Z4711" s="22"/>
      <c r="AB4711" s="22"/>
    </row>
    <row r="4712" spans="1:28">
      <c r="A4712" s="19"/>
      <c r="B4712" s="12"/>
      <c r="C4712" s="24"/>
      <c r="D4712" s="12"/>
      <c r="E4712" s="23"/>
      <c r="F4712" s="17"/>
      <c r="G4712" s="17"/>
      <c r="Z4712" s="22"/>
      <c r="AB4712" s="22"/>
    </row>
    <row r="4713" spans="1:28">
      <c r="A4713" s="19"/>
      <c r="B4713" s="12"/>
      <c r="C4713" s="24"/>
      <c r="D4713" s="12"/>
      <c r="E4713" s="23"/>
      <c r="F4713" s="17"/>
      <c r="G4713" s="17"/>
      <c r="Z4713" s="22"/>
      <c r="AB4713" s="22"/>
    </row>
    <row r="4714" spans="1:28">
      <c r="A4714" s="19"/>
      <c r="B4714" s="12"/>
      <c r="C4714" s="24"/>
      <c r="D4714" s="12"/>
      <c r="E4714" s="23"/>
      <c r="F4714" s="17"/>
      <c r="G4714" s="17"/>
      <c r="Z4714" s="22"/>
      <c r="AB4714" s="22"/>
    </row>
    <row r="4715" spans="1:28">
      <c r="A4715" s="19"/>
      <c r="B4715" s="12"/>
      <c r="C4715" s="24"/>
      <c r="D4715" s="12"/>
      <c r="E4715" s="23"/>
      <c r="F4715" s="17"/>
      <c r="G4715" s="17"/>
      <c r="Z4715" s="22"/>
      <c r="AB4715" s="22"/>
    </row>
    <row r="4716" spans="1:28">
      <c r="A4716" s="19"/>
      <c r="B4716" s="12"/>
      <c r="C4716" s="24"/>
      <c r="D4716" s="12"/>
      <c r="E4716" s="23"/>
      <c r="F4716" s="17"/>
      <c r="G4716" s="17"/>
      <c r="Z4716" s="22"/>
      <c r="AB4716" s="22"/>
    </row>
    <row r="4717" spans="1:28">
      <c r="A4717" s="19"/>
      <c r="B4717" s="12"/>
      <c r="C4717" s="24"/>
      <c r="D4717" s="12"/>
      <c r="E4717" s="23"/>
      <c r="F4717" s="17"/>
      <c r="G4717" s="17"/>
      <c r="Z4717" s="22"/>
      <c r="AB4717" s="22"/>
    </row>
    <row r="4718" spans="1:28">
      <c r="A4718" s="19"/>
      <c r="B4718" s="12"/>
      <c r="C4718" s="24"/>
      <c r="D4718" s="12"/>
      <c r="E4718" s="23"/>
      <c r="F4718" s="17"/>
      <c r="G4718" s="17"/>
      <c r="Z4718" s="22"/>
      <c r="AB4718" s="22"/>
    </row>
    <row r="4719" spans="1:28">
      <c r="A4719" s="19"/>
      <c r="B4719" s="12"/>
      <c r="C4719" s="24"/>
      <c r="D4719" s="12"/>
      <c r="E4719" s="23"/>
      <c r="F4719" s="17"/>
      <c r="G4719" s="17"/>
      <c r="Z4719" s="22"/>
      <c r="AB4719" s="22"/>
    </row>
    <row r="4720" spans="1:28">
      <c r="A4720" s="19"/>
      <c r="B4720" s="12"/>
      <c r="C4720" s="24"/>
      <c r="D4720" s="12"/>
      <c r="E4720" s="23"/>
      <c r="F4720" s="17"/>
      <c r="G4720" s="17"/>
      <c r="Z4720" s="22"/>
      <c r="AB4720" s="22"/>
    </row>
    <row r="4721" spans="1:28">
      <c r="A4721" s="19"/>
      <c r="B4721" s="12"/>
      <c r="C4721" s="24"/>
      <c r="D4721" s="12"/>
      <c r="E4721" s="23"/>
      <c r="F4721" s="17"/>
      <c r="G4721" s="17"/>
      <c r="Z4721" s="22"/>
      <c r="AB4721" s="22"/>
    </row>
    <row r="4722" spans="1:28">
      <c r="A4722" s="19"/>
      <c r="B4722" s="12"/>
      <c r="C4722" s="24"/>
      <c r="D4722" s="12"/>
      <c r="E4722" s="23"/>
      <c r="F4722" s="17"/>
      <c r="G4722" s="17"/>
      <c r="Z4722" s="22"/>
      <c r="AB4722" s="22"/>
    </row>
    <row r="4723" spans="1:28">
      <c r="A4723" s="19"/>
      <c r="B4723" s="12"/>
      <c r="C4723" s="24"/>
      <c r="D4723" s="12"/>
      <c r="E4723" s="23"/>
      <c r="F4723" s="17"/>
      <c r="G4723" s="17"/>
      <c r="Z4723" s="22"/>
      <c r="AB4723" s="22"/>
    </row>
    <row r="4724" spans="1:28">
      <c r="A4724" s="19"/>
      <c r="B4724" s="12"/>
      <c r="C4724" s="24"/>
      <c r="D4724" s="12"/>
      <c r="E4724" s="23"/>
      <c r="F4724" s="17"/>
      <c r="G4724" s="17"/>
      <c r="Z4724" s="22"/>
      <c r="AB4724" s="22"/>
    </row>
    <row r="4725" spans="1:28">
      <c r="A4725" s="19"/>
      <c r="B4725" s="12"/>
      <c r="C4725" s="24"/>
      <c r="D4725" s="12"/>
      <c r="E4725" s="23"/>
      <c r="F4725" s="17"/>
      <c r="G4725" s="17"/>
      <c r="Z4725" s="22"/>
      <c r="AB4725" s="22"/>
    </row>
    <row r="4726" spans="1:28">
      <c r="A4726" s="19"/>
      <c r="B4726" s="12"/>
      <c r="C4726" s="24"/>
      <c r="D4726" s="12"/>
      <c r="E4726" s="23"/>
      <c r="F4726" s="17"/>
      <c r="G4726" s="17"/>
      <c r="Z4726" s="22"/>
      <c r="AB4726" s="22"/>
    </row>
    <row r="4727" spans="1:28">
      <c r="A4727" s="19"/>
      <c r="B4727" s="12"/>
      <c r="C4727" s="24"/>
      <c r="D4727" s="12"/>
      <c r="E4727" s="23"/>
      <c r="F4727" s="17"/>
      <c r="G4727" s="17"/>
      <c r="Z4727" s="22"/>
      <c r="AB4727" s="22"/>
    </row>
    <row r="4728" spans="1:28">
      <c r="A4728" s="19"/>
      <c r="B4728" s="12"/>
      <c r="C4728" s="24"/>
      <c r="D4728" s="12"/>
      <c r="E4728" s="23"/>
      <c r="F4728" s="17"/>
      <c r="G4728" s="17"/>
      <c r="Z4728" s="22"/>
      <c r="AB4728" s="22"/>
    </row>
    <row r="4729" spans="1:28">
      <c r="A4729" s="19"/>
      <c r="B4729" s="12"/>
      <c r="C4729" s="24"/>
      <c r="D4729" s="12"/>
      <c r="E4729" s="23"/>
      <c r="F4729" s="17"/>
      <c r="G4729" s="17"/>
      <c r="Z4729" s="22"/>
      <c r="AB4729" s="22"/>
    </row>
    <row r="4730" spans="1:28">
      <c r="A4730" s="19"/>
      <c r="B4730" s="12"/>
      <c r="C4730" s="24"/>
      <c r="D4730" s="12"/>
      <c r="E4730" s="23"/>
      <c r="F4730" s="17"/>
      <c r="G4730" s="17"/>
      <c r="Z4730" s="22"/>
      <c r="AB4730" s="22"/>
    </row>
    <row r="4731" spans="1:28">
      <c r="A4731" s="19"/>
      <c r="B4731" s="12"/>
      <c r="C4731" s="24"/>
      <c r="D4731" s="12"/>
      <c r="E4731" s="23"/>
      <c r="F4731" s="17"/>
      <c r="G4731" s="17"/>
      <c r="Z4731" s="22"/>
      <c r="AB4731" s="22"/>
    </row>
    <row r="4732" spans="1:28">
      <c r="A4732" s="19"/>
      <c r="B4732" s="12"/>
      <c r="C4732" s="24"/>
      <c r="D4732" s="12"/>
      <c r="E4732" s="23"/>
      <c r="F4732" s="17"/>
      <c r="G4732" s="17"/>
      <c r="Z4732" s="22"/>
      <c r="AB4732" s="22"/>
    </row>
    <row r="4733" spans="1:28">
      <c r="A4733" s="19"/>
      <c r="B4733" s="12"/>
      <c r="C4733" s="24"/>
      <c r="D4733" s="12"/>
      <c r="E4733" s="23"/>
      <c r="F4733" s="17"/>
      <c r="G4733" s="17"/>
      <c r="Z4733" s="22"/>
      <c r="AB4733" s="22"/>
    </row>
    <row r="4734" spans="1:28">
      <c r="A4734" s="19"/>
      <c r="B4734" s="12"/>
      <c r="C4734" s="24"/>
      <c r="D4734" s="12"/>
      <c r="E4734" s="23"/>
      <c r="F4734" s="17"/>
      <c r="G4734" s="17"/>
      <c r="Z4734" s="22"/>
      <c r="AB4734" s="22"/>
    </row>
    <row r="4735" spans="1:28">
      <c r="A4735" s="19"/>
      <c r="B4735" s="12"/>
      <c r="C4735" s="24"/>
      <c r="D4735" s="12"/>
      <c r="E4735" s="23"/>
      <c r="F4735" s="17"/>
      <c r="G4735" s="17"/>
      <c r="Z4735" s="22"/>
      <c r="AB4735" s="22"/>
    </row>
    <row r="4736" spans="1:28">
      <c r="A4736" s="19"/>
      <c r="B4736" s="12"/>
      <c r="C4736" s="24"/>
      <c r="D4736" s="12"/>
      <c r="E4736" s="23"/>
      <c r="F4736" s="17"/>
      <c r="G4736" s="17"/>
      <c r="Z4736" s="22"/>
      <c r="AB4736" s="22"/>
    </row>
    <row r="4737" spans="1:28">
      <c r="A4737" s="19"/>
      <c r="B4737" s="12"/>
      <c r="C4737" s="24"/>
      <c r="D4737" s="12"/>
      <c r="E4737" s="23"/>
      <c r="F4737" s="17"/>
      <c r="G4737" s="17"/>
      <c r="Z4737" s="22"/>
      <c r="AB4737" s="22"/>
    </row>
    <row r="4738" spans="1:28">
      <c r="A4738" s="19"/>
      <c r="B4738" s="12"/>
      <c r="C4738" s="24"/>
      <c r="D4738" s="12"/>
      <c r="E4738" s="23"/>
      <c r="F4738" s="17"/>
      <c r="G4738" s="17"/>
      <c r="Z4738" s="22"/>
      <c r="AB4738" s="22"/>
    </row>
    <row r="4739" spans="1:28">
      <c r="A4739" s="19"/>
      <c r="B4739" s="12"/>
      <c r="C4739" s="24"/>
      <c r="D4739" s="12"/>
      <c r="E4739" s="23"/>
      <c r="F4739" s="17"/>
      <c r="G4739" s="17"/>
      <c r="Z4739" s="22"/>
      <c r="AB4739" s="22"/>
    </row>
    <row r="4740" spans="1:28">
      <c r="A4740" s="19"/>
      <c r="B4740" s="12"/>
      <c r="C4740" s="24"/>
      <c r="D4740" s="12"/>
      <c r="E4740" s="23"/>
      <c r="F4740" s="17"/>
      <c r="G4740" s="17"/>
      <c r="Z4740" s="22"/>
      <c r="AB4740" s="22"/>
    </row>
    <row r="4741" spans="1:28">
      <c r="A4741" s="19"/>
      <c r="B4741" s="12"/>
      <c r="C4741" s="24"/>
      <c r="D4741" s="12"/>
      <c r="E4741" s="23"/>
      <c r="F4741" s="17"/>
      <c r="G4741" s="17"/>
      <c r="Z4741" s="22"/>
      <c r="AB4741" s="22"/>
    </row>
    <row r="4742" spans="1:28">
      <c r="A4742" s="19"/>
      <c r="B4742" s="12"/>
      <c r="C4742" s="24"/>
      <c r="D4742" s="12"/>
      <c r="E4742" s="23"/>
      <c r="F4742" s="17"/>
      <c r="G4742" s="17"/>
      <c r="Z4742" s="22"/>
      <c r="AB4742" s="22"/>
    </row>
    <row r="4743" spans="1:28">
      <c r="A4743" s="19"/>
      <c r="B4743" s="12"/>
      <c r="C4743" s="24"/>
      <c r="D4743" s="12"/>
      <c r="E4743" s="23"/>
      <c r="F4743" s="17"/>
      <c r="G4743" s="17"/>
      <c r="Z4743" s="22"/>
      <c r="AB4743" s="22"/>
    </row>
    <row r="4744" spans="1:28">
      <c r="A4744" s="19"/>
      <c r="B4744" s="12"/>
      <c r="C4744" s="24"/>
      <c r="D4744" s="12"/>
      <c r="E4744" s="23"/>
      <c r="F4744" s="17"/>
      <c r="G4744" s="17"/>
      <c r="Z4744" s="22"/>
      <c r="AB4744" s="22"/>
    </row>
    <row r="4745" spans="1:28">
      <c r="A4745" s="19"/>
      <c r="B4745" s="12"/>
      <c r="C4745" s="24"/>
      <c r="D4745" s="12"/>
      <c r="E4745" s="23"/>
      <c r="F4745" s="17"/>
      <c r="G4745" s="17"/>
      <c r="Z4745" s="22"/>
      <c r="AB4745" s="22"/>
    </row>
    <row r="4746" spans="1:28">
      <c r="A4746" s="19"/>
      <c r="B4746" s="12"/>
      <c r="C4746" s="24"/>
      <c r="D4746" s="12"/>
      <c r="E4746" s="23"/>
      <c r="F4746" s="17"/>
      <c r="G4746" s="17"/>
      <c r="Z4746" s="22"/>
      <c r="AB4746" s="22"/>
    </row>
    <row r="4747" spans="1:28">
      <c r="A4747" s="19"/>
      <c r="B4747" s="12"/>
      <c r="C4747" s="24"/>
      <c r="D4747" s="12"/>
      <c r="E4747" s="23"/>
      <c r="F4747" s="17"/>
      <c r="G4747" s="17"/>
      <c r="Z4747" s="22"/>
      <c r="AB4747" s="22"/>
    </row>
    <row r="4748" spans="1:28">
      <c r="A4748" s="19"/>
      <c r="B4748" s="12"/>
      <c r="C4748" s="24"/>
      <c r="D4748" s="12"/>
      <c r="E4748" s="23"/>
      <c r="F4748" s="17"/>
      <c r="G4748" s="17"/>
      <c r="Z4748" s="22"/>
      <c r="AB4748" s="22"/>
    </row>
    <row r="4749" spans="1:28">
      <c r="A4749" s="19"/>
      <c r="B4749" s="12"/>
      <c r="C4749" s="24"/>
      <c r="D4749" s="12"/>
      <c r="E4749" s="23"/>
      <c r="F4749" s="17"/>
      <c r="G4749" s="17"/>
      <c r="Z4749" s="22"/>
      <c r="AB4749" s="22"/>
    </row>
    <row r="4750" spans="1:28">
      <c r="A4750" s="19"/>
      <c r="B4750" s="12"/>
      <c r="C4750" s="24"/>
      <c r="D4750" s="12"/>
      <c r="E4750" s="23"/>
      <c r="F4750" s="17"/>
      <c r="G4750" s="17"/>
      <c r="Z4750" s="22"/>
      <c r="AB4750" s="22"/>
    </row>
    <row r="4751" spans="1:28">
      <c r="A4751" s="19"/>
      <c r="B4751" s="12"/>
      <c r="C4751" s="24"/>
      <c r="D4751" s="12"/>
      <c r="E4751" s="23"/>
      <c r="F4751" s="17"/>
      <c r="G4751" s="17"/>
      <c r="Z4751" s="22"/>
      <c r="AB4751" s="22"/>
    </row>
    <row r="4752" spans="1:28">
      <c r="A4752" s="19"/>
      <c r="B4752" s="12"/>
      <c r="C4752" s="24"/>
      <c r="D4752" s="12"/>
      <c r="E4752" s="23"/>
      <c r="F4752" s="17"/>
      <c r="G4752" s="17"/>
      <c r="Z4752" s="22"/>
      <c r="AB4752" s="22"/>
    </row>
    <row r="4753" spans="1:28">
      <c r="A4753" s="19"/>
      <c r="B4753" s="12"/>
      <c r="C4753" s="24"/>
      <c r="D4753" s="12"/>
      <c r="E4753" s="23"/>
      <c r="F4753" s="17"/>
      <c r="G4753" s="17"/>
      <c r="Z4753" s="22"/>
      <c r="AB4753" s="22"/>
    </row>
    <row r="4754" spans="1:28">
      <c r="A4754" s="19"/>
      <c r="B4754" s="12"/>
      <c r="C4754" s="24"/>
      <c r="D4754" s="12"/>
      <c r="E4754" s="23"/>
      <c r="F4754" s="17"/>
      <c r="G4754" s="17"/>
      <c r="Z4754" s="22"/>
      <c r="AB4754" s="22"/>
    </row>
    <row r="4755" spans="1:28">
      <c r="A4755" s="19"/>
      <c r="B4755" s="12"/>
      <c r="C4755" s="24"/>
      <c r="D4755" s="12"/>
      <c r="E4755" s="23"/>
      <c r="F4755" s="17"/>
      <c r="G4755" s="17"/>
      <c r="Z4755" s="22"/>
      <c r="AB4755" s="22"/>
    </row>
    <row r="4756" spans="1:28">
      <c r="A4756" s="19"/>
      <c r="B4756" s="12"/>
      <c r="C4756" s="24"/>
      <c r="D4756" s="12"/>
      <c r="E4756" s="23"/>
      <c r="F4756" s="17"/>
      <c r="G4756" s="17"/>
      <c r="Z4756" s="22"/>
      <c r="AB4756" s="22"/>
    </row>
    <row r="4757" spans="1:28">
      <c r="A4757" s="19"/>
      <c r="B4757" s="12"/>
      <c r="C4757" s="24"/>
      <c r="D4757" s="12"/>
      <c r="E4757" s="23"/>
      <c r="F4757" s="17"/>
      <c r="G4757" s="17"/>
      <c r="Z4757" s="22"/>
      <c r="AB4757" s="22"/>
    </row>
    <row r="4758" spans="1:28">
      <c r="A4758" s="19"/>
      <c r="B4758" s="12"/>
      <c r="C4758" s="24"/>
      <c r="D4758" s="12"/>
      <c r="E4758" s="23"/>
      <c r="F4758" s="17"/>
      <c r="G4758" s="17"/>
      <c r="Z4758" s="22"/>
      <c r="AB4758" s="22"/>
    </row>
    <row r="4759" spans="1:28">
      <c r="A4759" s="19"/>
      <c r="B4759" s="12"/>
      <c r="C4759" s="24"/>
      <c r="D4759" s="12"/>
      <c r="E4759" s="23"/>
      <c r="F4759" s="17"/>
      <c r="G4759" s="17"/>
      <c r="Z4759" s="22"/>
      <c r="AB4759" s="22"/>
    </row>
    <row r="4760" spans="1:28">
      <c r="A4760" s="19"/>
      <c r="B4760" s="12"/>
      <c r="C4760" s="24"/>
      <c r="D4760" s="12"/>
      <c r="E4760" s="23"/>
      <c r="F4760" s="17"/>
      <c r="G4760" s="17"/>
      <c r="Z4760" s="22"/>
      <c r="AB4760" s="22"/>
    </row>
    <row r="4761" spans="1:28">
      <c r="A4761" s="19"/>
      <c r="B4761" s="12"/>
      <c r="C4761" s="24"/>
      <c r="D4761" s="12"/>
      <c r="E4761" s="23"/>
      <c r="F4761" s="17"/>
      <c r="G4761" s="17"/>
      <c r="Z4761" s="22"/>
      <c r="AB4761" s="22"/>
    </row>
    <row r="4762" spans="1:28">
      <c r="A4762" s="19"/>
      <c r="B4762" s="12"/>
      <c r="C4762" s="24"/>
      <c r="D4762" s="12"/>
      <c r="E4762" s="23"/>
      <c r="F4762" s="17"/>
      <c r="G4762" s="17"/>
      <c r="Z4762" s="22"/>
      <c r="AB4762" s="22"/>
    </row>
    <row r="4763" spans="1:28">
      <c r="A4763" s="19"/>
      <c r="B4763" s="12"/>
      <c r="C4763" s="24"/>
      <c r="D4763" s="12"/>
      <c r="E4763" s="23"/>
      <c r="F4763" s="17"/>
      <c r="G4763" s="17"/>
      <c r="Z4763" s="22"/>
      <c r="AB4763" s="22"/>
    </row>
    <row r="4764" spans="1:28">
      <c r="A4764" s="19"/>
      <c r="B4764" s="12"/>
      <c r="C4764" s="24"/>
      <c r="D4764" s="12"/>
      <c r="E4764" s="23"/>
      <c r="F4764" s="17"/>
      <c r="G4764" s="17"/>
      <c r="Z4764" s="22"/>
      <c r="AB4764" s="22"/>
    </row>
    <row r="4765" spans="1:28">
      <c r="A4765" s="19"/>
      <c r="B4765" s="12"/>
      <c r="C4765" s="24"/>
      <c r="D4765" s="12"/>
      <c r="E4765" s="23"/>
      <c r="F4765" s="17"/>
      <c r="G4765" s="17"/>
      <c r="Z4765" s="22"/>
      <c r="AB4765" s="22"/>
    </row>
    <row r="4766" spans="1:28">
      <c r="A4766" s="19"/>
      <c r="B4766" s="12"/>
      <c r="C4766" s="24"/>
      <c r="D4766" s="12"/>
      <c r="E4766" s="23"/>
      <c r="F4766" s="17"/>
      <c r="G4766" s="17"/>
      <c r="Z4766" s="22"/>
      <c r="AB4766" s="22"/>
    </row>
    <row r="4767" spans="1:28">
      <c r="A4767" s="19"/>
      <c r="B4767" s="12"/>
      <c r="C4767" s="24"/>
      <c r="D4767" s="12"/>
      <c r="E4767" s="23"/>
      <c r="F4767" s="17"/>
      <c r="G4767" s="17"/>
      <c r="Z4767" s="22"/>
      <c r="AB4767" s="22"/>
    </row>
    <row r="4768" spans="1:28">
      <c r="A4768" s="19"/>
      <c r="B4768" s="12"/>
      <c r="C4768" s="24"/>
      <c r="D4768" s="12"/>
      <c r="E4768" s="23"/>
      <c r="F4768" s="17"/>
      <c r="G4768" s="17"/>
      <c r="Z4768" s="22"/>
      <c r="AB4768" s="22"/>
    </row>
    <row r="4769" spans="1:28">
      <c r="A4769" s="19"/>
      <c r="B4769" s="12"/>
      <c r="C4769" s="24"/>
      <c r="D4769" s="12"/>
      <c r="E4769" s="23"/>
      <c r="F4769" s="17"/>
      <c r="G4769" s="17"/>
      <c r="Z4769" s="22"/>
      <c r="AB4769" s="22"/>
    </row>
    <row r="4770" spans="1:28">
      <c r="A4770" s="19"/>
      <c r="B4770" s="12"/>
      <c r="C4770" s="24"/>
      <c r="D4770" s="12"/>
      <c r="E4770" s="23"/>
      <c r="F4770" s="17"/>
      <c r="G4770" s="17"/>
      <c r="Z4770" s="22"/>
      <c r="AB4770" s="22"/>
    </row>
    <row r="4771" spans="1:28">
      <c r="A4771" s="19"/>
      <c r="B4771" s="12"/>
      <c r="C4771" s="24"/>
      <c r="D4771" s="12"/>
      <c r="E4771" s="23"/>
      <c r="F4771" s="17"/>
      <c r="G4771" s="17"/>
      <c r="Z4771" s="22"/>
      <c r="AB4771" s="22"/>
    </row>
    <row r="4772" spans="1:28">
      <c r="A4772" s="19"/>
      <c r="B4772" s="12"/>
      <c r="C4772" s="24"/>
      <c r="D4772" s="12"/>
      <c r="E4772" s="23"/>
      <c r="F4772" s="17"/>
      <c r="G4772" s="17"/>
      <c r="Z4772" s="22"/>
      <c r="AB4772" s="22"/>
    </row>
    <row r="4773" spans="1:28">
      <c r="A4773" s="19"/>
      <c r="B4773" s="12"/>
      <c r="C4773" s="24"/>
      <c r="D4773" s="12"/>
      <c r="E4773" s="23"/>
      <c r="F4773" s="17"/>
      <c r="G4773" s="17"/>
      <c r="Z4773" s="22"/>
      <c r="AB4773" s="22"/>
    </row>
    <row r="4774" spans="1:28">
      <c r="A4774" s="19"/>
      <c r="B4774" s="12"/>
      <c r="C4774" s="24"/>
      <c r="D4774" s="12"/>
      <c r="E4774" s="23"/>
      <c r="F4774" s="17"/>
      <c r="G4774" s="17"/>
      <c r="Z4774" s="22"/>
      <c r="AB4774" s="22"/>
    </row>
    <row r="4775" spans="1:28">
      <c r="A4775" s="19"/>
      <c r="B4775" s="12"/>
      <c r="C4775" s="24"/>
      <c r="D4775" s="12"/>
      <c r="E4775" s="23"/>
      <c r="F4775" s="17"/>
      <c r="G4775" s="17"/>
      <c r="Z4775" s="22"/>
      <c r="AB4775" s="22"/>
    </row>
    <row r="4776" spans="1:28">
      <c r="A4776" s="19"/>
      <c r="B4776" s="12"/>
      <c r="C4776" s="24"/>
      <c r="D4776" s="12"/>
      <c r="E4776" s="23"/>
      <c r="F4776" s="17"/>
      <c r="G4776" s="17"/>
      <c r="Z4776" s="22"/>
      <c r="AB4776" s="22"/>
    </row>
    <row r="4777" spans="1:28">
      <c r="A4777" s="19"/>
      <c r="B4777" s="12"/>
      <c r="C4777" s="24"/>
      <c r="D4777" s="12"/>
      <c r="E4777" s="23"/>
      <c r="F4777" s="17"/>
      <c r="G4777" s="17"/>
      <c r="Z4777" s="22"/>
      <c r="AB4777" s="22"/>
    </row>
    <row r="4778" spans="1:28">
      <c r="A4778" s="19"/>
      <c r="B4778" s="12"/>
      <c r="C4778" s="24"/>
      <c r="D4778" s="12"/>
      <c r="E4778" s="23"/>
      <c r="F4778" s="17"/>
      <c r="G4778" s="17"/>
      <c r="Z4778" s="22"/>
      <c r="AB4778" s="22"/>
    </row>
    <row r="4779" spans="1:28">
      <c r="A4779" s="19"/>
      <c r="B4779" s="12"/>
      <c r="C4779" s="24"/>
      <c r="D4779" s="12"/>
      <c r="E4779" s="23"/>
      <c r="F4779" s="17"/>
      <c r="G4779" s="17"/>
      <c r="Z4779" s="22"/>
      <c r="AB4779" s="22"/>
    </row>
    <row r="4780" spans="1:28">
      <c r="A4780" s="19"/>
      <c r="B4780" s="12"/>
      <c r="C4780" s="24"/>
      <c r="D4780" s="12"/>
      <c r="E4780" s="23"/>
      <c r="F4780" s="17"/>
      <c r="G4780" s="17"/>
      <c r="Z4780" s="22"/>
      <c r="AB4780" s="22"/>
    </row>
    <row r="4781" spans="1:28">
      <c r="A4781" s="19"/>
      <c r="B4781" s="12"/>
      <c r="C4781" s="24"/>
      <c r="D4781" s="12"/>
      <c r="E4781" s="23"/>
      <c r="F4781" s="17"/>
      <c r="G4781" s="17"/>
      <c r="Z4781" s="22"/>
      <c r="AB4781" s="22"/>
    </row>
    <row r="4782" spans="1:28">
      <c r="A4782" s="19"/>
      <c r="B4782" s="12"/>
      <c r="C4782" s="24"/>
      <c r="D4782" s="12"/>
      <c r="E4782" s="23"/>
      <c r="F4782" s="17"/>
      <c r="G4782" s="17"/>
      <c r="Z4782" s="22"/>
      <c r="AB4782" s="22"/>
    </row>
    <row r="4783" spans="1:28">
      <c r="A4783" s="19"/>
      <c r="B4783" s="12"/>
      <c r="C4783" s="24"/>
      <c r="D4783" s="12"/>
      <c r="E4783" s="23"/>
      <c r="F4783" s="17"/>
      <c r="G4783" s="17"/>
      <c r="Z4783" s="22"/>
      <c r="AB4783" s="22"/>
    </row>
    <row r="4784" spans="1:28">
      <c r="A4784" s="19"/>
      <c r="B4784" s="12"/>
      <c r="C4784" s="24"/>
      <c r="D4784" s="12"/>
      <c r="E4784" s="23"/>
      <c r="F4784" s="17"/>
      <c r="G4784" s="17"/>
      <c r="Z4784" s="22"/>
      <c r="AB4784" s="22"/>
    </row>
    <row r="4785" spans="1:28">
      <c r="A4785" s="19"/>
      <c r="B4785" s="12"/>
      <c r="C4785" s="24"/>
      <c r="D4785" s="12"/>
      <c r="E4785" s="23"/>
      <c r="F4785" s="17"/>
      <c r="G4785" s="17"/>
      <c r="Z4785" s="22"/>
      <c r="AB4785" s="22"/>
    </row>
    <row r="4786" spans="1:28">
      <c r="A4786" s="19"/>
      <c r="B4786" s="12"/>
      <c r="C4786" s="24"/>
      <c r="D4786" s="12"/>
      <c r="E4786" s="23"/>
      <c r="F4786" s="17"/>
      <c r="G4786" s="17"/>
      <c r="Z4786" s="22"/>
      <c r="AB4786" s="22"/>
    </row>
    <row r="4787" spans="1:28">
      <c r="A4787" s="19"/>
      <c r="B4787" s="12"/>
      <c r="C4787" s="24"/>
      <c r="D4787" s="12"/>
      <c r="E4787" s="23"/>
      <c r="F4787" s="17"/>
      <c r="G4787" s="17"/>
      <c r="Z4787" s="22"/>
      <c r="AB4787" s="22"/>
    </row>
    <row r="4788" spans="1:28">
      <c r="A4788" s="19"/>
      <c r="B4788" s="12"/>
      <c r="C4788" s="24"/>
      <c r="D4788" s="12"/>
      <c r="E4788" s="23"/>
      <c r="F4788" s="17"/>
      <c r="G4788" s="17"/>
      <c r="Z4788" s="22"/>
      <c r="AB4788" s="22"/>
    </row>
    <row r="4789" spans="1:28">
      <c r="A4789" s="19"/>
      <c r="B4789" s="12"/>
      <c r="C4789" s="24"/>
      <c r="D4789" s="12"/>
      <c r="E4789" s="23"/>
      <c r="F4789" s="17"/>
      <c r="G4789" s="17"/>
      <c r="Z4789" s="22"/>
      <c r="AB4789" s="22"/>
    </row>
    <row r="4790" spans="1:28">
      <c r="A4790" s="19"/>
      <c r="B4790" s="12"/>
      <c r="C4790" s="24"/>
      <c r="D4790" s="12"/>
      <c r="E4790" s="23"/>
      <c r="F4790" s="17"/>
      <c r="G4790" s="17"/>
      <c r="Z4790" s="22"/>
      <c r="AB4790" s="22"/>
    </row>
    <row r="4791" spans="1:28">
      <c r="A4791" s="19"/>
      <c r="B4791" s="12"/>
      <c r="C4791" s="24"/>
      <c r="D4791" s="12"/>
      <c r="E4791" s="23"/>
      <c r="F4791" s="17"/>
      <c r="G4791" s="17"/>
      <c r="Z4791" s="22"/>
      <c r="AB4791" s="22"/>
    </row>
    <row r="4792" spans="1:28">
      <c r="A4792" s="19"/>
      <c r="B4792" s="12"/>
      <c r="C4792" s="24"/>
      <c r="D4792" s="12"/>
      <c r="E4792" s="23"/>
      <c r="F4792" s="17"/>
      <c r="G4792" s="17"/>
      <c r="Z4792" s="22"/>
      <c r="AB4792" s="22"/>
    </row>
    <row r="4793" spans="1:28">
      <c r="A4793" s="19"/>
      <c r="B4793" s="12"/>
      <c r="C4793" s="24"/>
      <c r="D4793" s="12"/>
      <c r="E4793" s="23"/>
      <c r="F4793" s="17"/>
      <c r="G4793" s="17"/>
      <c r="Z4793" s="22"/>
      <c r="AB4793" s="22"/>
    </row>
    <row r="4794" spans="1:28">
      <c r="A4794" s="19"/>
      <c r="B4794" s="12"/>
      <c r="C4794" s="24"/>
      <c r="D4794" s="12"/>
      <c r="E4794" s="23"/>
      <c r="F4794" s="17"/>
      <c r="G4794" s="17"/>
      <c r="Z4794" s="22"/>
      <c r="AB4794" s="22"/>
    </row>
    <row r="4795" spans="1:28">
      <c r="A4795" s="19"/>
      <c r="B4795" s="12"/>
      <c r="C4795" s="24"/>
      <c r="D4795" s="12"/>
      <c r="E4795" s="23"/>
      <c r="F4795" s="17"/>
      <c r="G4795" s="17"/>
      <c r="Z4795" s="22"/>
      <c r="AB4795" s="22"/>
    </row>
    <row r="4796" spans="1:28">
      <c r="A4796" s="19"/>
      <c r="B4796" s="12"/>
      <c r="C4796" s="24"/>
      <c r="D4796" s="12"/>
      <c r="E4796" s="23"/>
      <c r="F4796" s="17"/>
      <c r="G4796" s="17"/>
      <c r="Z4796" s="22"/>
      <c r="AB4796" s="22"/>
    </row>
    <row r="4797" spans="1:28">
      <c r="A4797" s="19"/>
      <c r="B4797" s="12"/>
      <c r="C4797" s="24"/>
      <c r="D4797" s="12"/>
      <c r="E4797" s="23"/>
      <c r="F4797" s="17"/>
      <c r="G4797" s="17"/>
      <c r="Z4797" s="22"/>
      <c r="AB4797" s="22"/>
    </row>
    <row r="4798" spans="1:28">
      <c r="A4798" s="19"/>
      <c r="B4798" s="12"/>
      <c r="C4798" s="24"/>
      <c r="D4798" s="12"/>
      <c r="E4798" s="23"/>
      <c r="F4798" s="17"/>
      <c r="G4798" s="17"/>
      <c r="Z4798" s="22"/>
      <c r="AB4798" s="22"/>
    </row>
    <row r="4799" spans="1:28">
      <c r="A4799" s="19"/>
      <c r="B4799" s="12"/>
      <c r="C4799" s="24"/>
      <c r="D4799" s="12"/>
      <c r="E4799" s="23"/>
      <c r="F4799" s="17"/>
      <c r="G4799" s="17"/>
      <c r="Z4799" s="22"/>
      <c r="AB4799" s="22"/>
    </row>
    <row r="4800" spans="1:28">
      <c r="A4800" s="19"/>
      <c r="B4800" s="12"/>
      <c r="C4800" s="24"/>
      <c r="D4800" s="12"/>
      <c r="E4800" s="23"/>
      <c r="F4800" s="17"/>
      <c r="G4800" s="17"/>
      <c r="Z4800" s="22"/>
      <c r="AB4800" s="22"/>
    </row>
    <row r="4801" spans="1:28">
      <c r="A4801" s="19"/>
      <c r="B4801" s="12"/>
      <c r="C4801" s="24"/>
      <c r="D4801" s="12"/>
      <c r="E4801" s="23"/>
      <c r="F4801" s="17"/>
      <c r="G4801" s="17"/>
      <c r="Z4801" s="22"/>
      <c r="AB4801" s="22"/>
    </row>
    <row r="4802" spans="1:28">
      <c r="A4802" s="19"/>
      <c r="B4802" s="12"/>
      <c r="C4802" s="24"/>
      <c r="D4802" s="12"/>
      <c r="E4802" s="23"/>
      <c r="F4802" s="17"/>
      <c r="G4802" s="17"/>
      <c r="Z4802" s="22"/>
      <c r="AB4802" s="22"/>
    </row>
    <row r="4803" spans="1:28">
      <c r="A4803" s="19"/>
      <c r="B4803" s="12"/>
      <c r="C4803" s="24"/>
      <c r="D4803" s="12"/>
      <c r="E4803" s="23"/>
      <c r="F4803" s="17"/>
      <c r="G4803" s="17"/>
      <c r="Z4803" s="22"/>
      <c r="AB4803" s="22"/>
    </row>
    <row r="4804" spans="1:28">
      <c r="A4804" s="19"/>
      <c r="B4804" s="12"/>
      <c r="C4804" s="24"/>
      <c r="D4804" s="12"/>
      <c r="E4804" s="23"/>
      <c r="F4804" s="17"/>
      <c r="G4804" s="17"/>
      <c r="Z4804" s="22"/>
      <c r="AB4804" s="22"/>
    </row>
    <row r="4805" spans="1:28">
      <c r="A4805" s="19"/>
      <c r="B4805" s="12"/>
      <c r="C4805" s="24"/>
      <c r="D4805" s="12"/>
      <c r="E4805" s="23"/>
      <c r="F4805" s="17"/>
      <c r="G4805" s="17"/>
      <c r="Z4805" s="22"/>
      <c r="AB4805" s="22"/>
    </row>
    <row r="4806" spans="1:28">
      <c r="A4806" s="19"/>
      <c r="B4806" s="12"/>
      <c r="C4806" s="24"/>
      <c r="D4806" s="12"/>
      <c r="E4806" s="23"/>
      <c r="F4806" s="17"/>
      <c r="G4806" s="17"/>
      <c r="Z4806" s="22"/>
      <c r="AB4806" s="22"/>
    </row>
    <row r="4807" spans="1:28">
      <c r="A4807" s="19"/>
      <c r="B4807" s="12"/>
      <c r="C4807" s="24"/>
      <c r="D4807" s="12"/>
      <c r="E4807" s="23"/>
      <c r="F4807" s="17"/>
      <c r="G4807" s="17"/>
      <c r="Z4807" s="22"/>
      <c r="AB4807" s="22"/>
    </row>
    <row r="4808" spans="1:28">
      <c r="A4808" s="19"/>
      <c r="B4808" s="12"/>
      <c r="C4808" s="24"/>
      <c r="D4808" s="12"/>
      <c r="E4808" s="23"/>
      <c r="F4808" s="17"/>
      <c r="G4808" s="17"/>
      <c r="Z4808" s="22"/>
      <c r="AB4808" s="22"/>
    </row>
    <row r="4809" spans="1:28">
      <c r="A4809" s="19"/>
      <c r="B4809" s="12"/>
      <c r="C4809" s="24"/>
      <c r="D4809" s="12"/>
      <c r="E4809" s="23"/>
      <c r="F4809" s="17"/>
      <c r="G4809" s="17"/>
      <c r="Z4809" s="22"/>
      <c r="AB4809" s="22"/>
    </row>
    <row r="4810" spans="1:28">
      <c r="A4810" s="19"/>
      <c r="B4810" s="12"/>
      <c r="C4810" s="24"/>
      <c r="D4810" s="12"/>
      <c r="E4810" s="23"/>
      <c r="F4810" s="17"/>
      <c r="G4810" s="17"/>
      <c r="Z4810" s="22"/>
      <c r="AB4810" s="22"/>
    </row>
    <row r="4811" spans="1:28">
      <c r="A4811" s="19"/>
      <c r="B4811" s="12"/>
      <c r="C4811" s="24"/>
      <c r="D4811" s="12"/>
      <c r="E4811" s="23"/>
      <c r="F4811" s="17"/>
      <c r="G4811" s="17"/>
      <c r="Z4811" s="22"/>
      <c r="AB4811" s="22"/>
    </row>
    <row r="4812" spans="1:28">
      <c r="A4812" s="19"/>
      <c r="B4812" s="12"/>
      <c r="C4812" s="24"/>
      <c r="D4812" s="12"/>
      <c r="E4812" s="23"/>
      <c r="F4812" s="17"/>
      <c r="G4812" s="17"/>
      <c r="Z4812" s="22"/>
      <c r="AB4812" s="22"/>
    </row>
    <row r="4813" spans="1:28">
      <c r="A4813" s="19"/>
      <c r="B4813" s="12"/>
      <c r="C4813" s="24"/>
      <c r="D4813" s="12"/>
      <c r="E4813" s="23"/>
      <c r="F4813" s="17"/>
      <c r="G4813" s="17"/>
      <c r="Z4813" s="22"/>
      <c r="AB4813" s="22"/>
    </row>
    <row r="4814" spans="1:28">
      <c r="A4814" s="19"/>
      <c r="B4814" s="12"/>
      <c r="C4814" s="24"/>
      <c r="D4814" s="12"/>
      <c r="E4814" s="23"/>
      <c r="F4814" s="17"/>
      <c r="G4814" s="17"/>
      <c r="Z4814" s="22"/>
      <c r="AB4814" s="22"/>
    </row>
    <row r="4815" spans="1:28">
      <c r="A4815" s="19"/>
      <c r="B4815" s="12"/>
      <c r="C4815" s="24"/>
      <c r="D4815" s="12"/>
      <c r="E4815" s="23"/>
      <c r="F4815" s="17"/>
      <c r="G4815" s="17"/>
      <c r="Z4815" s="22"/>
      <c r="AB4815" s="22"/>
    </row>
    <row r="4816" spans="1:28">
      <c r="A4816" s="19"/>
      <c r="B4816" s="12"/>
      <c r="C4816" s="24"/>
      <c r="D4816" s="12"/>
      <c r="E4816" s="23"/>
      <c r="F4816" s="17"/>
      <c r="G4816" s="17"/>
      <c r="Z4816" s="22"/>
      <c r="AB4816" s="22"/>
    </row>
    <row r="4817" spans="1:28">
      <c r="A4817" s="19"/>
      <c r="B4817" s="12"/>
      <c r="C4817" s="24"/>
      <c r="D4817" s="12"/>
      <c r="E4817" s="23"/>
      <c r="F4817" s="17"/>
      <c r="G4817" s="17"/>
      <c r="Z4817" s="22"/>
      <c r="AB4817" s="22"/>
    </row>
    <row r="4818" spans="1:28">
      <c r="A4818" s="19"/>
      <c r="B4818" s="12"/>
      <c r="C4818" s="24"/>
      <c r="D4818" s="12"/>
      <c r="E4818" s="23"/>
      <c r="F4818" s="17"/>
      <c r="G4818" s="17"/>
      <c r="Z4818" s="22"/>
      <c r="AB4818" s="22"/>
    </row>
    <row r="4819" spans="1:28">
      <c r="A4819" s="19"/>
      <c r="B4819" s="12"/>
      <c r="C4819" s="24"/>
      <c r="D4819" s="12"/>
      <c r="E4819" s="23"/>
      <c r="F4819" s="17"/>
      <c r="G4819" s="17"/>
      <c r="Z4819" s="22"/>
      <c r="AB4819" s="22"/>
    </row>
    <row r="4820" spans="1:28">
      <c r="A4820" s="19"/>
      <c r="B4820" s="12"/>
      <c r="C4820" s="24"/>
      <c r="D4820" s="12"/>
      <c r="E4820" s="23"/>
      <c r="F4820" s="17"/>
      <c r="G4820" s="17"/>
      <c r="Z4820" s="22"/>
      <c r="AB4820" s="22"/>
    </row>
    <row r="4821" spans="1:28">
      <c r="A4821" s="19"/>
      <c r="B4821" s="12"/>
      <c r="C4821" s="24"/>
      <c r="D4821" s="12"/>
      <c r="E4821" s="23"/>
      <c r="F4821" s="17"/>
      <c r="G4821" s="17"/>
      <c r="Z4821" s="22"/>
      <c r="AB4821" s="22"/>
    </row>
    <row r="4822" spans="1:28">
      <c r="A4822" s="19"/>
      <c r="B4822" s="12"/>
      <c r="C4822" s="24"/>
      <c r="D4822" s="12"/>
      <c r="E4822" s="23"/>
      <c r="F4822" s="17"/>
      <c r="G4822" s="17"/>
      <c r="Z4822" s="22"/>
      <c r="AB4822" s="22"/>
    </row>
    <row r="4823" spans="1:28">
      <c r="A4823" s="19"/>
      <c r="B4823" s="12"/>
      <c r="C4823" s="24"/>
      <c r="D4823" s="12"/>
      <c r="E4823" s="23"/>
      <c r="F4823" s="17"/>
      <c r="G4823" s="17"/>
      <c r="Z4823" s="22"/>
      <c r="AB4823" s="22"/>
    </row>
    <row r="4824" spans="1:28">
      <c r="A4824" s="19"/>
      <c r="B4824" s="12"/>
      <c r="C4824" s="24"/>
      <c r="D4824" s="12"/>
      <c r="E4824" s="23"/>
      <c r="F4824" s="17"/>
      <c r="G4824" s="17"/>
      <c r="Z4824" s="22"/>
      <c r="AB4824" s="22"/>
    </row>
    <row r="4825" spans="1:28">
      <c r="A4825" s="19"/>
      <c r="B4825" s="12"/>
      <c r="C4825" s="24"/>
      <c r="D4825" s="12"/>
      <c r="E4825" s="23"/>
      <c r="F4825" s="17"/>
      <c r="G4825" s="17"/>
      <c r="Z4825" s="22"/>
      <c r="AB4825" s="22"/>
    </row>
    <row r="4826" spans="1:28">
      <c r="A4826" s="19"/>
      <c r="B4826" s="12"/>
      <c r="C4826" s="24"/>
      <c r="D4826" s="12"/>
      <c r="E4826" s="23"/>
      <c r="F4826" s="17"/>
      <c r="G4826" s="17"/>
      <c r="Z4826" s="22"/>
      <c r="AB4826" s="22"/>
    </row>
    <row r="4827" spans="1:28">
      <c r="A4827" s="19"/>
      <c r="B4827" s="12"/>
      <c r="C4827" s="24"/>
      <c r="D4827" s="12"/>
      <c r="E4827" s="23"/>
      <c r="F4827" s="17"/>
      <c r="G4827" s="17"/>
      <c r="Z4827" s="22"/>
      <c r="AB4827" s="22"/>
    </row>
    <row r="4828" spans="1:28">
      <c r="A4828" s="19"/>
      <c r="B4828" s="12"/>
      <c r="C4828" s="24"/>
      <c r="D4828" s="12"/>
      <c r="E4828" s="23"/>
      <c r="F4828" s="17"/>
      <c r="G4828" s="17"/>
      <c r="Z4828" s="22"/>
      <c r="AB4828" s="22"/>
    </row>
    <row r="4829" spans="1:28">
      <c r="A4829" s="19"/>
      <c r="B4829" s="12"/>
      <c r="C4829" s="24"/>
      <c r="D4829" s="12"/>
      <c r="E4829" s="23"/>
      <c r="F4829" s="17"/>
      <c r="G4829" s="17"/>
      <c r="Z4829" s="22"/>
      <c r="AB4829" s="22"/>
    </row>
    <row r="4830" spans="1:28">
      <c r="A4830" s="19"/>
      <c r="B4830" s="12"/>
      <c r="C4830" s="24"/>
      <c r="D4830" s="12"/>
      <c r="E4830" s="23"/>
      <c r="F4830" s="17"/>
      <c r="G4830" s="17"/>
      <c r="Z4830" s="22"/>
      <c r="AB4830" s="22"/>
    </row>
    <row r="4831" spans="1:28">
      <c r="A4831" s="19"/>
      <c r="B4831" s="12"/>
      <c r="C4831" s="24"/>
      <c r="D4831" s="12"/>
      <c r="E4831" s="23"/>
      <c r="F4831" s="17"/>
      <c r="G4831" s="17"/>
      <c r="Z4831" s="22"/>
      <c r="AB4831" s="22"/>
    </row>
    <row r="4832" spans="1:28">
      <c r="A4832" s="19"/>
      <c r="B4832" s="12"/>
      <c r="C4832" s="24"/>
      <c r="D4832" s="12"/>
      <c r="E4832" s="23"/>
      <c r="F4832" s="17"/>
      <c r="G4832" s="17"/>
      <c r="Z4832" s="22"/>
      <c r="AB4832" s="22"/>
    </row>
    <row r="4833" spans="1:28">
      <c r="A4833" s="19"/>
      <c r="B4833" s="12"/>
      <c r="C4833" s="24"/>
      <c r="D4833" s="12"/>
      <c r="E4833" s="23"/>
      <c r="F4833" s="17"/>
      <c r="G4833" s="17"/>
      <c r="Z4833" s="22"/>
      <c r="AB4833" s="22"/>
    </row>
    <row r="4834" spans="1:28">
      <c r="A4834" s="19"/>
      <c r="B4834" s="12"/>
      <c r="C4834" s="24"/>
      <c r="D4834" s="12"/>
      <c r="E4834" s="23"/>
      <c r="F4834" s="17"/>
      <c r="G4834" s="17"/>
      <c r="Z4834" s="22"/>
      <c r="AB4834" s="22"/>
    </row>
    <row r="4835" spans="1:28">
      <c r="A4835" s="19"/>
      <c r="B4835" s="12"/>
      <c r="C4835" s="24"/>
      <c r="D4835" s="12"/>
      <c r="E4835" s="23"/>
      <c r="F4835" s="17"/>
      <c r="G4835" s="17"/>
      <c r="Z4835" s="22"/>
      <c r="AB4835" s="22"/>
    </row>
    <row r="4836" spans="1:28">
      <c r="A4836" s="19"/>
      <c r="B4836" s="12"/>
      <c r="C4836" s="24"/>
      <c r="D4836" s="12"/>
      <c r="E4836" s="23"/>
      <c r="F4836" s="17"/>
      <c r="G4836" s="17"/>
      <c r="Z4836" s="22"/>
      <c r="AB4836" s="22"/>
    </row>
    <row r="4837" spans="1:28">
      <c r="A4837" s="19"/>
      <c r="B4837" s="12"/>
      <c r="C4837" s="24"/>
      <c r="D4837" s="12"/>
      <c r="E4837" s="23"/>
      <c r="F4837" s="17"/>
      <c r="G4837" s="17"/>
      <c r="Z4837" s="22"/>
      <c r="AB4837" s="22"/>
    </row>
    <row r="4838" spans="1:28">
      <c r="A4838" s="19"/>
      <c r="B4838" s="12"/>
      <c r="C4838" s="24"/>
      <c r="D4838" s="12"/>
      <c r="E4838" s="23"/>
      <c r="F4838" s="17"/>
      <c r="G4838" s="17"/>
      <c r="Z4838" s="22"/>
      <c r="AB4838" s="22"/>
    </row>
    <row r="4839" spans="1:28">
      <c r="A4839" s="19"/>
      <c r="B4839" s="12"/>
      <c r="C4839" s="24"/>
      <c r="D4839" s="12"/>
      <c r="E4839" s="23"/>
      <c r="F4839" s="17"/>
      <c r="G4839" s="17"/>
      <c r="Z4839" s="22"/>
      <c r="AB4839" s="22"/>
    </row>
    <row r="4840" spans="1:28">
      <c r="A4840" s="19"/>
      <c r="B4840" s="12"/>
      <c r="C4840" s="24"/>
      <c r="D4840" s="12"/>
      <c r="E4840" s="23"/>
      <c r="F4840" s="17"/>
      <c r="G4840" s="17"/>
      <c r="Z4840" s="22"/>
      <c r="AB4840" s="22"/>
    </row>
    <row r="4841" spans="1:28">
      <c r="A4841" s="19"/>
      <c r="B4841" s="12"/>
      <c r="C4841" s="24"/>
      <c r="D4841" s="12"/>
      <c r="E4841" s="23"/>
      <c r="F4841" s="17"/>
      <c r="G4841" s="17"/>
      <c r="Z4841" s="22"/>
      <c r="AB4841" s="22"/>
    </row>
    <row r="4842" spans="1:28">
      <c r="A4842" s="19"/>
      <c r="B4842" s="12"/>
      <c r="C4842" s="24"/>
      <c r="D4842" s="12"/>
      <c r="E4842" s="23"/>
      <c r="F4842" s="17"/>
      <c r="G4842" s="17"/>
      <c r="Z4842" s="22"/>
      <c r="AB4842" s="22"/>
    </row>
    <row r="4843" spans="1:28">
      <c r="A4843" s="19"/>
      <c r="B4843" s="12"/>
      <c r="C4843" s="24"/>
      <c r="D4843" s="12"/>
      <c r="E4843" s="23"/>
      <c r="F4843" s="17"/>
      <c r="G4843" s="17"/>
      <c r="Z4843" s="22"/>
      <c r="AB4843" s="22"/>
    </row>
    <row r="4844" spans="1:28">
      <c r="A4844" s="19"/>
      <c r="B4844" s="12"/>
      <c r="C4844" s="24"/>
      <c r="D4844" s="12"/>
      <c r="E4844" s="23"/>
      <c r="F4844" s="17"/>
      <c r="G4844" s="17"/>
      <c r="Z4844" s="22"/>
      <c r="AB4844" s="22"/>
    </row>
    <row r="4845" spans="1:28">
      <c r="A4845" s="19"/>
      <c r="B4845" s="12"/>
      <c r="C4845" s="24"/>
      <c r="D4845" s="12"/>
      <c r="E4845" s="23"/>
      <c r="F4845" s="17"/>
      <c r="G4845" s="17"/>
      <c r="Z4845" s="22"/>
      <c r="AB4845" s="22"/>
    </row>
    <row r="4846" spans="1:28">
      <c r="A4846" s="19"/>
      <c r="B4846" s="12"/>
      <c r="C4846" s="24"/>
      <c r="D4846" s="12"/>
      <c r="E4846" s="23"/>
      <c r="F4846" s="17"/>
      <c r="G4846" s="17"/>
      <c r="Z4846" s="22"/>
      <c r="AB4846" s="22"/>
    </row>
    <row r="4847" spans="1:28">
      <c r="A4847" s="19"/>
      <c r="B4847" s="12"/>
      <c r="C4847" s="24"/>
      <c r="D4847" s="12"/>
      <c r="E4847" s="23"/>
      <c r="F4847" s="17"/>
      <c r="G4847" s="17"/>
      <c r="Z4847" s="22"/>
      <c r="AB4847" s="22"/>
    </row>
    <row r="4848" spans="1:28">
      <c r="A4848" s="19"/>
      <c r="B4848" s="12"/>
      <c r="C4848" s="24"/>
      <c r="D4848" s="12"/>
      <c r="E4848" s="23"/>
      <c r="F4848" s="17"/>
      <c r="G4848" s="17"/>
      <c r="Z4848" s="22"/>
      <c r="AB4848" s="22"/>
    </row>
    <row r="4849" spans="1:28">
      <c r="A4849" s="19"/>
      <c r="B4849" s="12"/>
      <c r="C4849" s="24"/>
      <c r="D4849" s="12"/>
      <c r="E4849" s="23"/>
      <c r="F4849" s="17"/>
      <c r="G4849" s="17"/>
      <c r="Z4849" s="22"/>
      <c r="AB4849" s="22"/>
    </row>
    <row r="4850" spans="1:28">
      <c r="A4850" s="19"/>
      <c r="B4850" s="12"/>
      <c r="C4850" s="24"/>
      <c r="D4850" s="12"/>
      <c r="E4850" s="23"/>
      <c r="F4850" s="17"/>
      <c r="G4850" s="17"/>
      <c r="Z4850" s="22"/>
      <c r="AB4850" s="22"/>
    </row>
    <row r="4851" spans="1:28">
      <c r="A4851" s="19"/>
      <c r="B4851" s="12"/>
      <c r="C4851" s="24"/>
      <c r="D4851" s="12"/>
      <c r="E4851" s="23"/>
      <c r="F4851" s="17"/>
      <c r="G4851" s="17"/>
      <c r="Z4851" s="22"/>
      <c r="AB4851" s="22"/>
    </row>
    <row r="4852" spans="1:28">
      <c r="A4852" s="19"/>
      <c r="B4852" s="12"/>
      <c r="C4852" s="24"/>
      <c r="D4852" s="12"/>
      <c r="E4852" s="23"/>
      <c r="F4852" s="17"/>
      <c r="G4852" s="17"/>
      <c r="Z4852" s="22"/>
      <c r="AB4852" s="22"/>
    </row>
    <row r="4853" spans="1:28">
      <c r="A4853" s="19"/>
      <c r="B4853" s="12"/>
      <c r="C4853" s="24"/>
      <c r="D4853" s="12"/>
      <c r="E4853" s="23"/>
      <c r="F4853" s="17"/>
      <c r="G4853" s="17"/>
      <c r="Z4853" s="22"/>
      <c r="AB4853" s="22"/>
    </row>
    <row r="4854" spans="1:28">
      <c r="A4854" s="19"/>
      <c r="B4854" s="12"/>
      <c r="C4854" s="24"/>
      <c r="D4854" s="12"/>
      <c r="E4854" s="23"/>
      <c r="F4854" s="17"/>
      <c r="G4854" s="17"/>
      <c r="Z4854" s="22"/>
      <c r="AB4854" s="22"/>
    </row>
    <row r="4855" spans="1:28">
      <c r="A4855" s="19"/>
      <c r="B4855" s="12"/>
      <c r="C4855" s="24"/>
      <c r="D4855" s="12"/>
      <c r="E4855" s="23"/>
      <c r="F4855" s="17"/>
      <c r="G4855" s="17"/>
      <c r="Z4855" s="22"/>
      <c r="AB4855" s="22"/>
    </row>
    <row r="4856" spans="1:28">
      <c r="A4856" s="19"/>
      <c r="B4856" s="12"/>
      <c r="C4856" s="24"/>
      <c r="D4856" s="12"/>
      <c r="E4856" s="23"/>
      <c r="F4856" s="17"/>
      <c r="G4856" s="17"/>
      <c r="Z4856" s="22"/>
      <c r="AB4856" s="22"/>
    </row>
    <row r="4857" spans="1:28">
      <c r="A4857" s="19"/>
      <c r="B4857" s="12"/>
      <c r="C4857" s="24"/>
      <c r="D4857" s="12"/>
      <c r="E4857" s="23"/>
      <c r="F4857" s="17"/>
      <c r="G4857" s="17"/>
      <c r="Z4857" s="22"/>
      <c r="AB4857" s="22"/>
    </row>
    <row r="4858" spans="1:28">
      <c r="A4858" s="19"/>
      <c r="B4858" s="12"/>
      <c r="C4858" s="24"/>
      <c r="D4858" s="12"/>
      <c r="E4858" s="23"/>
      <c r="F4858" s="17"/>
      <c r="G4858" s="17"/>
      <c r="Z4858" s="22"/>
      <c r="AB4858" s="22"/>
    </row>
    <row r="4859" spans="1:28">
      <c r="A4859" s="19"/>
      <c r="B4859" s="12"/>
      <c r="C4859" s="24"/>
      <c r="D4859" s="12"/>
      <c r="E4859" s="23"/>
      <c r="F4859" s="17"/>
      <c r="G4859" s="17"/>
      <c r="Z4859" s="22"/>
      <c r="AB4859" s="22"/>
    </row>
    <row r="4860" spans="1:28">
      <c r="A4860" s="19"/>
      <c r="B4860" s="12"/>
      <c r="C4860" s="24"/>
      <c r="D4860" s="12"/>
      <c r="E4860" s="23"/>
      <c r="F4860" s="17"/>
      <c r="G4860" s="17"/>
      <c r="Z4860" s="22"/>
      <c r="AB4860" s="22"/>
    </row>
    <row r="4861" spans="1:28">
      <c r="A4861" s="19"/>
      <c r="B4861" s="12"/>
      <c r="C4861" s="24"/>
      <c r="D4861" s="12"/>
      <c r="E4861" s="23"/>
      <c r="F4861" s="17"/>
      <c r="G4861" s="17"/>
      <c r="Z4861" s="22"/>
      <c r="AB4861" s="22"/>
    </row>
    <row r="4862" spans="1:28">
      <c r="A4862" s="19"/>
      <c r="B4862" s="12"/>
      <c r="C4862" s="24"/>
      <c r="D4862" s="12"/>
      <c r="E4862" s="23"/>
      <c r="F4862" s="17"/>
      <c r="G4862" s="17"/>
      <c r="Z4862" s="22"/>
      <c r="AB4862" s="22"/>
    </row>
    <row r="4863" spans="1:28">
      <c r="A4863" s="19"/>
      <c r="B4863" s="12"/>
      <c r="C4863" s="24"/>
      <c r="D4863" s="12"/>
      <c r="E4863" s="23"/>
      <c r="F4863" s="17"/>
      <c r="G4863" s="17"/>
      <c r="Z4863" s="22"/>
      <c r="AB4863" s="22"/>
    </row>
    <row r="4864" spans="1:28">
      <c r="A4864" s="19"/>
      <c r="B4864" s="12"/>
      <c r="C4864" s="24"/>
      <c r="D4864" s="12"/>
      <c r="E4864" s="23"/>
      <c r="F4864" s="17"/>
      <c r="G4864" s="17"/>
      <c r="Z4864" s="22"/>
      <c r="AB4864" s="22"/>
    </row>
    <row r="4865" spans="1:28">
      <c r="A4865" s="19"/>
      <c r="B4865" s="12"/>
      <c r="C4865" s="24"/>
      <c r="D4865" s="12"/>
      <c r="E4865" s="23"/>
      <c r="F4865" s="17"/>
      <c r="G4865" s="17"/>
      <c r="Z4865" s="22"/>
      <c r="AB4865" s="22"/>
    </row>
    <row r="4866" spans="1:28">
      <c r="A4866" s="19"/>
      <c r="B4866" s="12"/>
      <c r="C4866" s="24"/>
      <c r="D4866" s="12"/>
      <c r="E4866" s="23"/>
      <c r="F4866" s="17"/>
      <c r="G4866" s="17"/>
      <c r="Z4866" s="22"/>
      <c r="AB4866" s="22"/>
    </row>
    <row r="4867" spans="1:28">
      <c r="A4867" s="19"/>
      <c r="B4867" s="12"/>
      <c r="C4867" s="24"/>
      <c r="D4867" s="12"/>
      <c r="E4867" s="23"/>
      <c r="F4867" s="17"/>
      <c r="G4867" s="17"/>
      <c r="Z4867" s="22"/>
      <c r="AB4867" s="22"/>
    </row>
    <row r="4868" spans="1:28">
      <c r="A4868" s="19"/>
      <c r="B4868" s="12"/>
      <c r="C4868" s="24"/>
      <c r="D4868" s="12"/>
      <c r="E4868" s="23"/>
      <c r="F4868" s="17"/>
      <c r="G4868" s="17"/>
      <c r="Z4868" s="22"/>
      <c r="AB4868" s="22"/>
    </row>
    <row r="4869" spans="1:28">
      <c r="A4869" s="19"/>
      <c r="B4869" s="12"/>
      <c r="C4869" s="24"/>
      <c r="D4869" s="12"/>
      <c r="E4869" s="23"/>
      <c r="F4869" s="17"/>
      <c r="G4869" s="17"/>
      <c r="Z4869" s="22"/>
      <c r="AB4869" s="22"/>
    </row>
    <row r="4870" spans="1:28">
      <c r="A4870" s="19"/>
      <c r="B4870" s="12"/>
      <c r="C4870" s="24"/>
      <c r="D4870" s="12"/>
      <c r="E4870" s="23"/>
      <c r="F4870" s="17"/>
      <c r="G4870" s="17"/>
      <c r="Z4870" s="22"/>
      <c r="AB4870" s="22"/>
    </row>
    <row r="4871" spans="1:28">
      <c r="A4871" s="19"/>
      <c r="B4871" s="12"/>
      <c r="C4871" s="24"/>
      <c r="D4871" s="12"/>
      <c r="E4871" s="23"/>
      <c r="F4871" s="17"/>
      <c r="G4871" s="17"/>
      <c r="Z4871" s="22"/>
      <c r="AB4871" s="22"/>
    </row>
    <row r="4872" spans="1:28">
      <c r="A4872" s="19"/>
      <c r="B4872" s="12"/>
      <c r="C4872" s="24"/>
      <c r="D4872" s="12"/>
      <c r="E4872" s="23"/>
      <c r="F4872" s="17"/>
      <c r="G4872" s="17"/>
      <c r="Z4872" s="22"/>
      <c r="AB4872" s="22"/>
    </row>
    <row r="4873" spans="1:28">
      <c r="A4873" s="19"/>
      <c r="B4873" s="12"/>
      <c r="C4873" s="24"/>
      <c r="D4873" s="12"/>
      <c r="E4873" s="23"/>
      <c r="F4873" s="17"/>
      <c r="G4873" s="17"/>
      <c r="Z4873" s="22"/>
      <c r="AB4873" s="22"/>
    </row>
    <row r="4874" spans="1:28">
      <c r="A4874" s="19"/>
      <c r="B4874" s="12"/>
      <c r="C4874" s="24"/>
      <c r="D4874" s="12"/>
      <c r="E4874" s="23"/>
      <c r="F4874" s="17"/>
      <c r="G4874" s="17"/>
      <c r="Z4874" s="22"/>
      <c r="AB4874" s="22"/>
    </row>
    <row r="4875" spans="1:28">
      <c r="A4875" s="19"/>
      <c r="B4875" s="12"/>
      <c r="C4875" s="24"/>
      <c r="D4875" s="12"/>
      <c r="E4875" s="23"/>
      <c r="F4875" s="17"/>
      <c r="G4875" s="17"/>
      <c r="Z4875" s="22"/>
      <c r="AB4875" s="22"/>
    </row>
    <row r="4876" spans="1:28">
      <c r="A4876" s="19"/>
      <c r="B4876" s="12"/>
      <c r="C4876" s="24"/>
      <c r="D4876" s="12"/>
      <c r="E4876" s="23"/>
      <c r="F4876" s="17"/>
      <c r="G4876" s="17"/>
      <c r="Z4876" s="22"/>
      <c r="AB4876" s="22"/>
    </row>
    <row r="4877" spans="1:28">
      <c r="A4877" s="19"/>
      <c r="B4877" s="12"/>
      <c r="C4877" s="24"/>
      <c r="D4877" s="12"/>
      <c r="E4877" s="23"/>
      <c r="F4877" s="17"/>
      <c r="G4877" s="17"/>
      <c r="Z4877" s="22"/>
      <c r="AB4877" s="22"/>
    </row>
    <row r="4878" spans="1:28">
      <c r="A4878" s="19"/>
      <c r="B4878" s="12"/>
      <c r="C4878" s="24"/>
      <c r="D4878" s="12"/>
      <c r="E4878" s="23"/>
      <c r="F4878" s="17"/>
      <c r="G4878" s="17"/>
      <c r="Z4878" s="22"/>
      <c r="AB4878" s="22"/>
    </row>
    <row r="4879" spans="1:28">
      <c r="A4879" s="19"/>
      <c r="B4879" s="12"/>
      <c r="C4879" s="24"/>
      <c r="D4879" s="12"/>
      <c r="E4879" s="23"/>
      <c r="F4879" s="17"/>
      <c r="G4879" s="17"/>
      <c r="Z4879" s="22"/>
      <c r="AB4879" s="22"/>
    </row>
    <row r="4880" spans="1:28">
      <c r="A4880" s="19"/>
      <c r="B4880" s="12"/>
      <c r="C4880" s="24"/>
      <c r="D4880" s="12"/>
      <c r="E4880" s="23"/>
      <c r="F4880" s="17"/>
      <c r="G4880" s="17"/>
      <c r="Z4880" s="22"/>
      <c r="AB4880" s="22"/>
    </row>
    <row r="4881" spans="1:28">
      <c r="A4881" s="19"/>
      <c r="B4881" s="12"/>
      <c r="C4881" s="24"/>
      <c r="D4881" s="12"/>
      <c r="E4881" s="23"/>
      <c r="F4881" s="17"/>
      <c r="G4881" s="17"/>
      <c r="Z4881" s="22"/>
      <c r="AB4881" s="22"/>
    </row>
    <row r="4882" spans="1:28">
      <c r="A4882" s="19"/>
      <c r="B4882" s="12"/>
      <c r="C4882" s="24"/>
      <c r="D4882" s="12"/>
      <c r="E4882" s="23"/>
      <c r="F4882" s="17"/>
      <c r="G4882" s="17"/>
      <c r="Z4882" s="22"/>
      <c r="AB4882" s="22"/>
    </row>
    <row r="4883" spans="1:28">
      <c r="A4883" s="19"/>
      <c r="B4883" s="12"/>
      <c r="C4883" s="24"/>
      <c r="D4883" s="12"/>
      <c r="E4883" s="23"/>
      <c r="F4883" s="17"/>
      <c r="G4883" s="17"/>
      <c r="Z4883" s="22"/>
      <c r="AB4883" s="22"/>
    </row>
    <row r="4884" spans="1:28">
      <c r="A4884" s="19"/>
      <c r="B4884" s="12"/>
      <c r="C4884" s="24"/>
      <c r="D4884" s="12"/>
      <c r="E4884" s="23"/>
      <c r="F4884" s="17"/>
      <c r="G4884" s="17"/>
      <c r="Z4884" s="22"/>
      <c r="AB4884" s="22"/>
    </row>
    <row r="4885" spans="1:28">
      <c r="A4885" s="19"/>
      <c r="B4885" s="12"/>
      <c r="C4885" s="24"/>
      <c r="D4885" s="12"/>
      <c r="E4885" s="23"/>
      <c r="F4885" s="17"/>
      <c r="G4885" s="17"/>
      <c r="Z4885" s="22"/>
      <c r="AB4885" s="22"/>
    </row>
    <row r="4886" spans="1:28">
      <c r="A4886" s="19"/>
      <c r="B4886" s="12"/>
      <c r="C4886" s="24"/>
      <c r="D4886" s="12"/>
      <c r="E4886" s="23"/>
      <c r="F4886" s="17"/>
      <c r="G4886" s="17"/>
      <c r="Z4886" s="22"/>
      <c r="AB4886" s="22"/>
    </row>
    <row r="4887" spans="1:28">
      <c r="A4887" s="19"/>
      <c r="B4887" s="12"/>
      <c r="C4887" s="24"/>
      <c r="D4887" s="12"/>
      <c r="E4887" s="23"/>
      <c r="F4887" s="17"/>
      <c r="G4887" s="17"/>
      <c r="Z4887" s="22"/>
      <c r="AB4887" s="22"/>
    </row>
    <row r="4888" spans="1:28">
      <c r="A4888" s="19"/>
      <c r="B4888" s="12"/>
      <c r="C4888" s="24"/>
      <c r="D4888" s="12"/>
      <c r="E4888" s="23"/>
      <c r="F4888" s="17"/>
      <c r="G4888" s="17"/>
      <c r="Z4888" s="22"/>
      <c r="AB4888" s="22"/>
    </row>
    <row r="4889" spans="1:28">
      <c r="A4889" s="19"/>
      <c r="B4889" s="12"/>
      <c r="C4889" s="24"/>
      <c r="D4889" s="12"/>
      <c r="E4889" s="23"/>
      <c r="F4889" s="17"/>
      <c r="G4889" s="17"/>
      <c r="Z4889" s="22"/>
      <c r="AB4889" s="22"/>
    </row>
    <row r="4890" spans="1:28">
      <c r="A4890" s="19"/>
      <c r="B4890" s="12"/>
      <c r="C4890" s="24"/>
      <c r="D4890" s="12"/>
      <c r="E4890" s="23"/>
      <c r="F4890" s="17"/>
      <c r="G4890" s="17"/>
      <c r="Z4890" s="22"/>
      <c r="AB4890" s="22"/>
    </row>
    <row r="4891" spans="1:28">
      <c r="A4891" s="19"/>
      <c r="B4891" s="12"/>
      <c r="C4891" s="24"/>
      <c r="D4891" s="12"/>
      <c r="E4891" s="23"/>
      <c r="F4891" s="17"/>
      <c r="G4891" s="17"/>
      <c r="Z4891" s="22"/>
      <c r="AB4891" s="22"/>
    </row>
    <row r="4892" spans="1:28">
      <c r="A4892" s="19"/>
      <c r="B4892" s="12"/>
      <c r="C4892" s="24"/>
      <c r="D4892" s="12"/>
      <c r="E4892" s="23"/>
      <c r="F4892" s="17"/>
      <c r="G4892" s="17"/>
      <c r="Z4892" s="22"/>
      <c r="AB4892" s="22"/>
    </row>
    <row r="4893" spans="1:28">
      <c r="A4893" s="19"/>
      <c r="B4893" s="12"/>
      <c r="C4893" s="24"/>
      <c r="D4893" s="12"/>
      <c r="E4893" s="23"/>
      <c r="F4893" s="17"/>
      <c r="G4893" s="17"/>
      <c r="Z4893" s="22"/>
      <c r="AB4893" s="22"/>
    </row>
    <row r="4894" spans="1:28">
      <c r="A4894" s="19"/>
      <c r="B4894" s="12"/>
      <c r="C4894" s="24"/>
      <c r="D4894" s="12"/>
      <c r="E4894" s="23"/>
      <c r="F4894" s="17"/>
      <c r="G4894" s="17"/>
      <c r="Z4894" s="22"/>
      <c r="AB4894" s="22"/>
    </row>
    <row r="4895" spans="1:28">
      <c r="A4895" s="19"/>
      <c r="B4895" s="12"/>
      <c r="C4895" s="24"/>
      <c r="D4895" s="12"/>
      <c r="E4895" s="23"/>
      <c r="F4895" s="17"/>
      <c r="G4895" s="17"/>
      <c r="Z4895" s="22"/>
      <c r="AB4895" s="22"/>
    </row>
    <row r="4896" spans="1:28">
      <c r="A4896" s="19"/>
      <c r="B4896" s="12"/>
      <c r="C4896" s="24"/>
      <c r="D4896" s="12"/>
      <c r="E4896" s="23"/>
      <c r="F4896" s="17"/>
      <c r="G4896" s="17"/>
      <c r="Z4896" s="22"/>
      <c r="AB4896" s="22"/>
    </row>
    <row r="4897" spans="1:28">
      <c r="A4897" s="19"/>
      <c r="B4897" s="12"/>
      <c r="C4897" s="24"/>
      <c r="D4897" s="12"/>
      <c r="E4897" s="23"/>
      <c r="F4897" s="17"/>
      <c r="G4897" s="17"/>
      <c r="Z4897" s="22"/>
      <c r="AB4897" s="22"/>
    </row>
    <row r="4898" spans="1:28">
      <c r="A4898" s="19"/>
      <c r="B4898" s="12"/>
      <c r="C4898" s="24"/>
      <c r="D4898" s="12"/>
      <c r="E4898" s="23"/>
      <c r="F4898" s="17"/>
      <c r="G4898" s="17"/>
      <c r="Z4898" s="22"/>
      <c r="AB4898" s="22"/>
    </row>
    <row r="4899" spans="1:28">
      <c r="A4899" s="19"/>
      <c r="B4899" s="12"/>
      <c r="C4899" s="24"/>
      <c r="D4899" s="12"/>
      <c r="E4899" s="23"/>
      <c r="F4899" s="17"/>
      <c r="G4899" s="17"/>
      <c r="Z4899" s="22"/>
      <c r="AB4899" s="22"/>
    </row>
    <row r="4900" spans="1:28">
      <c r="A4900" s="19"/>
      <c r="B4900" s="12"/>
      <c r="C4900" s="24"/>
      <c r="D4900" s="12"/>
      <c r="E4900" s="23"/>
      <c r="F4900" s="17"/>
      <c r="G4900" s="17"/>
      <c r="Z4900" s="22"/>
      <c r="AB4900" s="22"/>
    </row>
    <row r="4901" spans="1:28">
      <c r="A4901" s="19"/>
      <c r="B4901" s="12"/>
      <c r="C4901" s="24"/>
      <c r="D4901" s="12"/>
      <c r="E4901" s="23"/>
      <c r="F4901" s="17"/>
      <c r="G4901" s="17"/>
      <c r="Z4901" s="22"/>
      <c r="AB4901" s="22"/>
    </row>
    <row r="4902" spans="1:28">
      <c r="A4902" s="19"/>
      <c r="B4902" s="12"/>
      <c r="C4902" s="24"/>
      <c r="D4902" s="12"/>
      <c r="E4902" s="23"/>
      <c r="F4902" s="17"/>
      <c r="G4902" s="17"/>
      <c r="Z4902" s="22"/>
      <c r="AB4902" s="22"/>
    </row>
    <row r="4903" spans="1:28">
      <c r="A4903" s="19"/>
      <c r="B4903" s="12"/>
      <c r="C4903" s="24"/>
      <c r="D4903" s="12"/>
      <c r="E4903" s="23"/>
      <c r="F4903" s="17"/>
      <c r="G4903" s="17"/>
      <c r="Z4903" s="22"/>
      <c r="AB4903" s="22"/>
    </row>
    <row r="4904" spans="1:28">
      <c r="A4904" s="19"/>
      <c r="B4904" s="12"/>
      <c r="C4904" s="24"/>
      <c r="D4904" s="12"/>
      <c r="E4904" s="23"/>
      <c r="F4904" s="17"/>
      <c r="G4904" s="17"/>
      <c r="Z4904" s="22"/>
      <c r="AB4904" s="22"/>
    </row>
    <row r="4905" spans="1:28">
      <c r="A4905" s="19"/>
      <c r="B4905" s="12"/>
      <c r="C4905" s="24"/>
      <c r="D4905" s="12"/>
      <c r="E4905" s="23"/>
      <c r="F4905" s="17"/>
      <c r="G4905" s="17"/>
      <c r="Z4905" s="22"/>
      <c r="AB4905" s="22"/>
    </row>
    <row r="4906" spans="1:28">
      <c r="A4906" s="19"/>
      <c r="B4906" s="12"/>
      <c r="C4906" s="24"/>
      <c r="D4906" s="12"/>
      <c r="E4906" s="23"/>
      <c r="F4906" s="17"/>
      <c r="G4906" s="17"/>
      <c r="Z4906" s="22"/>
      <c r="AB4906" s="22"/>
    </row>
    <row r="4907" spans="1:28">
      <c r="A4907" s="19"/>
      <c r="B4907" s="12"/>
      <c r="C4907" s="24"/>
      <c r="D4907" s="12"/>
      <c r="E4907" s="23"/>
      <c r="F4907" s="17"/>
      <c r="G4907" s="17"/>
      <c r="Z4907" s="22"/>
      <c r="AB4907" s="22"/>
    </row>
    <row r="4908" spans="1:28">
      <c r="A4908" s="19"/>
      <c r="B4908" s="12"/>
      <c r="C4908" s="24"/>
      <c r="D4908" s="12"/>
      <c r="E4908" s="23"/>
      <c r="F4908" s="17"/>
      <c r="G4908" s="17"/>
      <c r="Z4908" s="22"/>
      <c r="AB4908" s="22"/>
    </row>
    <row r="4909" spans="1:28">
      <c r="A4909" s="19"/>
      <c r="B4909" s="12"/>
      <c r="C4909" s="24"/>
      <c r="D4909" s="12"/>
      <c r="E4909" s="23"/>
      <c r="F4909" s="17"/>
      <c r="G4909" s="17"/>
      <c r="Z4909" s="22"/>
      <c r="AB4909" s="22"/>
    </row>
    <row r="4910" spans="1:28">
      <c r="A4910" s="19"/>
      <c r="B4910" s="12"/>
      <c r="C4910" s="24"/>
      <c r="D4910" s="12"/>
      <c r="E4910" s="23"/>
      <c r="F4910" s="17"/>
      <c r="G4910" s="17"/>
      <c r="Z4910" s="22"/>
      <c r="AB4910" s="22"/>
    </row>
    <row r="4911" spans="1:28">
      <c r="A4911" s="19"/>
      <c r="B4911" s="12"/>
      <c r="C4911" s="24"/>
      <c r="D4911" s="12"/>
      <c r="E4911" s="23"/>
      <c r="F4911" s="17"/>
      <c r="G4911" s="17"/>
      <c r="Z4911" s="22"/>
      <c r="AB4911" s="22"/>
    </row>
    <row r="4912" spans="1:28">
      <c r="A4912" s="19"/>
      <c r="B4912" s="12"/>
      <c r="C4912" s="24"/>
      <c r="D4912" s="12"/>
      <c r="E4912" s="23"/>
      <c r="F4912" s="17"/>
      <c r="G4912" s="17"/>
      <c r="Z4912" s="22"/>
      <c r="AB4912" s="22"/>
    </row>
    <row r="4913" spans="1:28">
      <c r="A4913" s="19"/>
      <c r="B4913" s="12"/>
      <c r="C4913" s="24"/>
      <c r="D4913" s="12"/>
      <c r="E4913" s="23"/>
      <c r="F4913" s="17"/>
      <c r="G4913" s="17"/>
      <c r="Z4913" s="22"/>
      <c r="AB4913" s="22"/>
    </row>
    <row r="4914" spans="1:28">
      <c r="A4914" s="19"/>
      <c r="B4914" s="12"/>
      <c r="C4914" s="24"/>
      <c r="D4914" s="12"/>
      <c r="E4914" s="23"/>
      <c r="F4914" s="17"/>
      <c r="G4914" s="17"/>
      <c r="Z4914" s="22"/>
      <c r="AB4914" s="22"/>
    </row>
    <row r="4915" spans="1:28">
      <c r="A4915" s="19"/>
      <c r="B4915" s="12"/>
      <c r="C4915" s="24"/>
      <c r="D4915" s="12"/>
      <c r="E4915" s="23"/>
      <c r="F4915" s="17"/>
      <c r="G4915" s="17"/>
      <c r="Z4915" s="22"/>
      <c r="AB4915" s="22"/>
    </row>
    <row r="4916" spans="1:28">
      <c r="A4916" s="19"/>
      <c r="B4916" s="12"/>
      <c r="C4916" s="24"/>
      <c r="D4916" s="12"/>
      <c r="E4916" s="23"/>
      <c r="F4916" s="17"/>
      <c r="G4916" s="17"/>
      <c r="Z4916" s="22"/>
      <c r="AB4916" s="22"/>
    </row>
    <row r="4917" spans="1:28">
      <c r="A4917" s="19"/>
      <c r="B4917" s="12"/>
      <c r="C4917" s="24"/>
      <c r="D4917" s="12"/>
      <c r="E4917" s="23"/>
      <c r="F4917" s="17"/>
      <c r="G4917" s="17"/>
      <c r="Z4917" s="22"/>
      <c r="AB4917" s="22"/>
    </row>
    <row r="4918" spans="1:28">
      <c r="A4918" s="19"/>
      <c r="B4918" s="12"/>
      <c r="C4918" s="24"/>
      <c r="D4918" s="12"/>
      <c r="E4918" s="23"/>
      <c r="F4918" s="17"/>
      <c r="G4918" s="17"/>
      <c r="Z4918" s="22"/>
      <c r="AB4918" s="22"/>
    </row>
    <row r="4919" spans="1:28">
      <c r="A4919" s="19"/>
      <c r="B4919" s="12"/>
      <c r="C4919" s="24"/>
      <c r="D4919" s="12"/>
      <c r="E4919" s="23"/>
      <c r="F4919" s="17"/>
      <c r="G4919" s="17"/>
      <c r="Z4919" s="22"/>
      <c r="AB4919" s="22"/>
    </row>
    <row r="4920" spans="1:28">
      <c r="A4920" s="19"/>
      <c r="B4920" s="12"/>
      <c r="C4920" s="24"/>
      <c r="D4920" s="12"/>
      <c r="E4920" s="23"/>
      <c r="F4920" s="17"/>
      <c r="G4920" s="17"/>
      <c r="Z4920" s="22"/>
      <c r="AB4920" s="22"/>
    </row>
    <row r="4921" spans="1:28">
      <c r="A4921" s="19"/>
      <c r="B4921" s="12"/>
      <c r="C4921" s="24"/>
      <c r="D4921" s="12"/>
      <c r="E4921" s="23"/>
      <c r="F4921" s="17"/>
      <c r="G4921" s="17"/>
      <c r="Z4921" s="22"/>
      <c r="AB4921" s="22"/>
    </row>
    <row r="4922" spans="1:28">
      <c r="A4922" s="19"/>
      <c r="B4922" s="12"/>
      <c r="C4922" s="24"/>
      <c r="D4922" s="12"/>
      <c r="E4922" s="23"/>
      <c r="F4922" s="17"/>
      <c r="G4922" s="17"/>
      <c r="Z4922" s="22"/>
      <c r="AB4922" s="22"/>
    </row>
    <row r="4923" spans="1:28">
      <c r="A4923" s="19"/>
      <c r="B4923" s="12"/>
      <c r="C4923" s="24"/>
      <c r="D4923" s="12"/>
      <c r="E4923" s="23"/>
      <c r="F4923" s="17"/>
      <c r="G4923" s="17"/>
      <c r="Z4923" s="22"/>
      <c r="AB4923" s="22"/>
    </row>
    <row r="4924" spans="1:28">
      <c r="A4924" s="19"/>
      <c r="B4924" s="12"/>
      <c r="C4924" s="24"/>
      <c r="D4924" s="12"/>
      <c r="E4924" s="23"/>
      <c r="F4924" s="17"/>
      <c r="G4924" s="17"/>
      <c r="Z4924" s="22"/>
      <c r="AB4924" s="22"/>
    </row>
    <row r="4925" spans="1:28">
      <c r="A4925" s="19"/>
      <c r="B4925" s="12"/>
      <c r="C4925" s="24"/>
      <c r="D4925" s="12"/>
      <c r="E4925" s="23"/>
      <c r="F4925" s="17"/>
      <c r="G4925" s="17"/>
      <c r="Z4925" s="22"/>
      <c r="AB4925" s="22"/>
    </row>
    <row r="4926" spans="1:28">
      <c r="A4926" s="19"/>
      <c r="B4926" s="12"/>
      <c r="C4926" s="24"/>
      <c r="D4926" s="12"/>
      <c r="E4926" s="23"/>
      <c r="F4926" s="17"/>
      <c r="G4926" s="17"/>
      <c r="Z4926" s="22"/>
      <c r="AB4926" s="22"/>
    </row>
    <row r="4927" spans="1:28">
      <c r="A4927" s="19"/>
      <c r="B4927" s="12"/>
      <c r="C4927" s="24"/>
      <c r="D4927" s="12"/>
      <c r="E4927" s="23"/>
      <c r="F4927" s="17"/>
      <c r="G4927" s="17"/>
      <c r="Z4927" s="22"/>
      <c r="AB4927" s="22"/>
    </row>
    <row r="4928" spans="1:28">
      <c r="A4928" s="19"/>
      <c r="B4928" s="12"/>
      <c r="C4928" s="24"/>
      <c r="D4928" s="12"/>
      <c r="E4928" s="23"/>
      <c r="F4928" s="17"/>
      <c r="G4928" s="17"/>
      <c r="Z4928" s="22"/>
      <c r="AB4928" s="22"/>
    </row>
    <row r="4929" spans="1:28">
      <c r="A4929" s="19"/>
      <c r="B4929" s="12"/>
      <c r="C4929" s="24"/>
      <c r="D4929" s="12"/>
      <c r="E4929" s="23"/>
      <c r="F4929" s="17"/>
      <c r="G4929" s="17"/>
      <c r="Z4929" s="22"/>
      <c r="AB4929" s="22"/>
    </row>
    <row r="4930" spans="1:28">
      <c r="A4930" s="19"/>
      <c r="B4930" s="12"/>
      <c r="C4930" s="24"/>
      <c r="D4930" s="12"/>
      <c r="E4930" s="23"/>
      <c r="F4930" s="17"/>
      <c r="G4930" s="17"/>
      <c r="Z4930" s="22"/>
      <c r="AB4930" s="22"/>
    </row>
    <row r="4931" spans="1:28">
      <c r="A4931" s="19"/>
      <c r="B4931" s="12"/>
      <c r="C4931" s="24"/>
      <c r="D4931" s="12"/>
      <c r="E4931" s="23"/>
      <c r="F4931" s="17"/>
      <c r="G4931" s="17"/>
      <c r="Z4931" s="22"/>
      <c r="AB4931" s="22"/>
    </row>
    <row r="4932" spans="1:28">
      <c r="A4932" s="19"/>
      <c r="B4932" s="12"/>
      <c r="C4932" s="24"/>
      <c r="D4932" s="12"/>
      <c r="E4932" s="23"/>
      <c r="F4932" s="17"/>
      <c r="G4932" s="17"/>
      <c r="Z4932" s="22"/>
      <c r="AB4932" s="22"/>
    </row>
    <row r="4933" spans="1:28">
      <c r="A4933" s="19"/>
      <c r="B4933" s="12"/>
      <c r="C4933" s="24"/>
      <c r="D4933" s="12"/>
      <c r="E4933" s="23"/>
      <c r="F4933" s="17"/>
      <c r="G4933" s="17"/>
      <c r="Z4933" s="22"/>
      <c r="AB4933" s="22"/>
    </row>
    <row r="4934" spans="1:28">
      <c r="A4934" s="19"/>
      <c r="B4934" s="12"/>
      <c r="C4934" s="24"/>
      <c r="D4934" s="12"/>
      <c r="E4934" s="23"/>
      <c r="F4934" s="17"/>
      <c r="G4934" s="17"/>
      <c r="Z4934" s="22"/>
      <c r="AB4934" s="22"/>
    </row>
    <row r="4935" spans="1:28">
      <c r="A4935" s="19"/>
      <c r="B4935" s="12"/>
      <c r="C4935" s="24"/>
      <c r="D4935" s="12"/>
      <c r="E4935" s="23"/>
      <c r="F4935" s="17"/>
      <c r="G4935" s="17"/>
      <c r="Z4935" s="22"/>
      <c r="AB4935" s="22"/>
    </row>
    <row r="4936" spans="1:28">
      <c r="A4936" s="19"/>
      <c r="B4936" s="12"/>
      <c r="C4936" s="24"/>
      <c r="D4936" s="12"/>
      <c r="E4936" s="23"/>
      <c r="F4936" s="17"/>
      <c r="G4936" s="17"/>
      <c r="Z4936" s="22"/>
      <c r="AB4936" s="22"/>
    </row>
    <row r="4937" spans="1:28">
      <c r="A4937" s="19"/>
      <c r="B4937" s="12"/>
      <c r="C4937" s="24"/>
      <c r="D4937" s="12"/>
      <c r="E4937" s="23"/>
      <c r="F4937" s="17"/>
      <c r="G4937" s="17"/>
      <c r="Z4937" s="22"/>
      <c r="AB4937" s="22"/>
    </row>
    <row r="4938" spans="1:28">
      <c r="A4938" s="19"/>
      <c r="B4938" s="12"/>
      <c r="C4938" s="24"/>
      <c r="D4938" s="12"/>
      <c r="E4938" s="23"/>
      <c r="F4938" s="17"/>
      <c r="G4938" s="17"/>
      <c r="Z4938" s="22"/>
      <c r="AB4938" s="22"/>
    </row>
    <row r="4939" spans="1:28">
      <c r="A4939" s="19"/>
      <c r="B4939" s="12"/>
      <c r="C4939" s="24"/>
      <c r="D4939" s="12"/>
      <c r="E4939" s="23"/>
      <c r="F4939" s="17"/>
      <c r="G4939" s="17"/>
      <c r="Z4939" s="22"/>
      <c r="AB4939" s="22"/>
    </row>
    <row r="4940" spans="1:28">
      <c r="A4940" s="19"/>
      <c r="B4940" s="12"/>
      <c r="C4940" s="24"/>
      <c r="D4940" s="12"/>
      <c r="E4940" s="23"/>
      <c r="F4940" s="17"/>
      <c r="G4940" s="17"/>
      <c r="Z4940" s="22"/>
      <c r="AB4940" s="22"/>
    </row>
    <row r="4941" spans="1:28">
      <c r="A4941" s="19"/>
      <c r="B4941" s="12"/>
      <c r="C4941" s="24"/>
      <c r="D4941" s="12"/>
      <c r="E4941" s="23"/>
      <c r="F4941" s="17"/>
      <c r="G4941" s="17"/>
      <c r="Z4941" s="22"/>
      <c r="AB4941" s="22"/>
    </row>
    <row r="4942" spans="1:28">
      <c r="A4942" s="19"/>
      <c r="B4942" s="12"/>
      <c r="C4942" s="24"/>
      <c r="D4942" s="12"/>
      <c r="E4942" s="23"/>
      <c r="F4942" s="17"/>
      <c r="G4942" s="17"/>
      <c r="Z4942" s="22"/>
      <c r="AB4942" s="22"/>
    </row>
    <row r="4943" spans="1:28">
      <c r="A4943" s="19"/>
      <c r="B4943" s="12"/>
      <c r="C4943" s="24"/>
      <c r="D4943" s="12"/>
      <c r="E4943" s="23"/>
      <c r="F4943" s="17"/>
      <c r="G4943" s="17"/>
      <c r="Z4943" s="22"/>
      <c r="AB4943" s="22"/>
    </row>
    <row r="4944" spans="1:28">
      <c r="A4944" s="19"/>
      <c r="B4944" s="12"/>
      <c r="C4944" s="24"/>
      <c r="D4944" s="12"/>
      <c r="E4944" s="23"/>
      <c r="F4944" s="17"/>
      <c r="G4944" s="17"/>
      <c r="Z4944" s="22"/>
      <c r="AB4944" s="22"/>
    </row>
    <row r="4945" spans="1:28">
      <c r="A4945" s="19"/>
      <c r="B4945" s="12"/>
      <c r="C4945" s="24"/>
      <c r="D4945" s="12"/>
      <c r="E4945" s="23"/>
      <c r="F4945" s="17"/>
      <c r="G4945" s="17"/>
      <c r="Z4945" s="22"/>
      <c r="AB4945" s="22"/>
    </row>
    <row r="4946" spans="1:28">
      <c r="A4946" s="19"/>
      <c r="B4946" s="12"/>
      <c r="C4946" s="24"/>
      <c r="D4946" s="12"/>
      <c r="E4946" s="23"/>
      <c r="F4946" s="17"/>
      <c r="G4946" s="17"/>
      <c r="Z4946" s="22"/>
      <c r="AB4946" s="22"/>
    </row>
    <row r="4947" spans="1:28">
      <c r="A4947" s="19"/>
      <c r="B4947" s="12"/>
      <c r="C4947" s="24"/>
      <c r="D4947" s="12"/>
      <c r="E4947" s="23"/>
      <c r="F4947" s="17"/>
      <c r="G4947" s="17"/>
      <c r="Z4947" s="22"/>
      <c r="AB4947" s="22"/>
    </row>
    <row r="4948" spans="1:28">
      <c r="A4948" s="19"/>
      <c r="B4948" s="12"/>
      <c r="C4948" s="24"/>
      <c r="D4948" s="12"/>
      <c r="E4948" s="23"/>
      <c r="F4948" s="17"/>
      <c r="G4948" s="17"/>
      <c r="Z4948" s="22"/>
      <c r="AB4948" s="22"/>
    </row>
    <row r="4949" spans="1:28">
      <c r="A4949" s="19"/>
      <c r="B4949" s="12"/>
      <c r="C4949" s="24"/>
      <c r="D4949" s="12"/>
      <c r="E4949" s="23"/>
      <c r="F4949" s="17"/>
      <c r="G4949" s="17"/>
      <c r="Z4949" s="22"/>
      <c r="AB4949" s="22"/>
    </row>
    <row r="4950" spans="1:28">
      <c r="A4950" s="19"/>
      <c r="B4950" s="12"/>
      <c r="C4950" s="24"/>
      <c r="D4950" s="12"/>
      <c r="E4950" s="23"/>
      <c r="F4950" s="17"/>
      <c r="G4950" s="17"/>
      <c r="Z4950" s="22"/>
      <c r="AB4950" s="22"/>
    </row>
    <row r="4951" spans="1:28">
      <c r="A4951" s="19"/>
      <c r="B4951" s="12"/>
      <c r="C4951" s="24"/>
      <c r="D4951" s="12"/>
      <c r="E4951" s="23"/>
      <c r="F4951" s="17"/>
      <c r="G4951" s="17"/>
      <c r="Z4951" s="22"/>
      <c r="AB4951" s="22"/>
    </row>
    <row r="4952" spans="1:28">
      <c r="A4952" s="19"/>
      <c r="B4952" s="12"/>
      <c r="C4952" s="24"/>
      <c r="D4952" s="12"/>
      <c r="E4952" s="23"/>
      <c r="F4952" s="17"/>
      <c r="G4952" s="17"/>
      <c r="Z4952" s="22"/>
      <c r="AB4952" s="22"/>
    </row>
    <row r="4953" spans="1:28">
      <c r="A4953" s="19"/>
      <c r="B4953" s="12"/>
      <c r="C4953" s="24"/>
      <c r="D4953" s="12"/>
      <c r="E4953" s="23"/>
      <c r="F4953" s="17"/>
      <c r="G4953" s="17"/>
      <c r="Z4953" s="22"/>
      <c r="AB4953" s="22"/>
    </row>
    <row r="4954" spans="1:28">
      <c r="A4954" s="19"/>
      <c r="B4954" s="12"/>
      <c r="C4954" s="24"/>
      <c r="D4954" s="12"/>
      <c r="E4954" s="23"/>
      <c r="F4954" s="17"/>
      <c r="G4954" s="17"/>
      <c r="Z4954" s="22"/>
      <c r="AB4954" s="22"/>
    </row>
    <row r="4955" spans="1:28">
      <c r="A4955" s="19"/>
      <c r="B4955" s="12"/>
      <c r="C4955" s="24"/>
      <c r="D4955" s="12"/>
      <c r="E4955" s="23"/>
      <c r="F4955" s="17"/>
      <c r="G4955" s="17"/>
      <c r="Z4955" s="22"/>
      <c r="AB4955" s="22"/>
    </row>
    <row r="4956" spans="1:28">
      <c r="A4956" s="19"/>
      <c r="B4956" s="12"/>
      <c r="C4956" s="24"/>
      <c r="D4956" s="12"/>
      <c r="E4956" s="23"/>
      <c r="F4956" s="17"/>
      <c r="G4956" s="17"/>
      <c r="Z4956" s="22"/>
      <c r="AB4956" s="22"/>
    </row>
    <row r="4957" spans="1:28">
      <c r="A4957" s="19"/>
      <c r="B4957" s="12"/>
      <c r="C4957" s="24"/>
      <c r="D4957" s="12"/>
      <c r="E4957" s="23"/>
      <c r="F4957" s="17"/>
      <c r="G4957" s="17"/>
      <c r="Z4957" s="22"/>
      <c r="AB4957" s="22"/>
    </row>
    <row r="4958" spans="1:28">
      <c r="A4958" s="19"/>
      <c r="B4958" s="12"/>
      <c r="C4958" s="24"/>
      <c r="D4958" s="12"/>
      <c r="E4958" s="23"/>
      <c r="F4958" s="17"/>
      <c r="G4958" s="17"/>
      <c r="Z4958" s="22"/>
      <c r="AB4958" s="22"/>
    </row>
    <row r="4959" spans="1:28">
      <c r="A4959" s="19"/>
      <c r="B4959" s="12"/>
      <c r="C4959" s="24"/>
      <c r="D4959" s="12"/>
      <c r="E4959" s="23"/>
      <c r="F4959" s="17"/>
      <c r="G4959" s="17"/>
      <c r="Z4959" s="22"/>
      <c r="AB4959" s="22"/>
    </row>
    <row r="4960" spans="1:28">
      <c r="A4960" s="19"/>
      <c r="B4960" s="12"/>
      <c r="C4960" s="24"/>
      <c r="D4960" s="12"/>
      <c r="E4960" s="23"/>
      <c r="F4960" s="17"/>
      <c r="G4960" s="17"/>
      <c r="Z4960" s="22"/>
      <c r="AB4960" s="22"/>
    </row>
    <row r="4961" spans="1:28">
      <c r="A4961" s="19"/>
      <c r="B4961" s="12"/>
      <c r="C4961" s="24"/>
      <c r="D4961" s="12"/>
      <c r="E4961" s="23"/>
      <c r="F4961" s="17"/>
      <c r="G4961" s="17"/>
      <c r="Z4961" s="22"/>
      <c r="AB4961" s="22"/>
    </row>
    <row r="4962" spans="1:28">
      <c r="A4962" s="19"/>
      <c r="B4962" s="12"/>
      <c r="C4962" s="24"/>
      <c r="D4962" s="12"/>
      <c r="E4962" s="23"/>
      <c r="F4962" s="17"/>
      <c r="G4962" s="17"/>
      <c r="Z4962" s="22"/>
      <c r="AB4962" s="22"/>
    </row>
    <row r="4963" spans="1:28">
      <c r="A4963" s="19"/>
      <c r="B4963" s="12"/>
      <c r="C4963" s="24"/>
      <c r="D4963" s="12"/>
      <c r="E4963" s="23"/>
      <c r="F4963" s="17"/>
      <c r="G4963" s="17"/>
      <c r="Z4963" s="22"/>
      <c r="AB4963" s="22"/>
    </row>
    <row r="4964" spans="1:28">
      <c r="A4964" s="19"/>
      <c r="B4964" s="12"/>
      <c r="C4964" s="24"/>
      <c r="D4964" s="12"/>
      <c r="E4964" s="23"/>
      <c r="F4964" s="17"/>
      <c r="G4964" s="17"/>
      <c r="Z4964" s="22"/>
      <c r="AB4964" s="22"/>
    </row>
    <row r="4965" spans="1:28">
      <c r="A4965" s="19"/>
      <c r="B4965" s="12"/>
      <c r="C4965" s="24"/>
      <c r="D4965" s="12"/>
      <c r="E4965" s="23"/>
      <c r="F4965" s="17"/>
      <c r="G4965" s="17"/>
      <c r="Z4965" s="22"/>
      <c r="AB4965" s="22"/>
    </row>
    <row r="4966" spans="1:28">
      <c r="A4966" s="19"/>
      <c r="B4966" s="12"/>
      <c r="C4966" s="24"/>
      <c r="D4966" s="12"/>
      <c r="E4966" s="23"/>
      <c r="F4966" s="17"/>
      <c r="G4966" s="17"/>
      <c r="Z4966" s="22"/>
      <c r="AB4966" s="22"/>
    </row>
    <row r="4967" spans="1:28">
      <c r="A4967" s="19"/>
      <c r="B4967" s="12"/>
      <c r="C4967" s="24"/>
      <c r="D4967" s="12"/>
      <c r="E4967" s="23"/>
      <c r="F4967" s="17"/>
      <c r="G4967" s="17"/>
      <c r="Z4967" s="22"/>
      <c r="AB4967" s="22"/>
    </row>
    <row r="4968" spans="1:28">
      <c r="A4968" s="19"/>
      <c r="B4968" s="12"/>
      <c r="C4968" s="24"/>
      <c r="D4968" s="12"/>
      <c r="E4968" s="23"/>
      <c r="F4968" s="17"/>
      <c r="G4968" s="17"/>
      <c r="Z4968" s="22"/>
      <c r="AB4968" s="22"/>
    </row>
    <row r="4969" spans="1:28">
      <c r="A4969" s="19"/>
      <c r="B4969" s="12"/>
      <c r="C4969" s="24"/>
      <c r="D4969" s="12"/>
      <c r="E4969" s="23"/>
      <c r="F4969" s="17"/>
      <c r="G4969" s="17"/>
      <c r="Z4969" s="22"/>
      <c r="AB4969" s="22"/>
    </row>
    <row r="4970" spans="1:28">
      <c r="A4970" s="19"/>
      <c r="B4970" s="12"/>
      <c r="C4970" s="24"/>
      <c r="D4970" s="12"/>
      <c r="E4970" s="23"/>
      <c r="F4970" s="17"/>
      <c r="G4970" s="17"/>
      <c r="Z4970" s="22"/>
      <c r="AB4970" s="22"/>
    </row>
    <row r="4971" spans="1:28">
      <c r="A4971" s="19"/>
      <c r="B4971" s="12"/>
      <c r="C4971" s="24"/>
      <c r="D4971" s="12"/>
      <c r="E4971" s="23"/>
      <c r="F4971" s="17"/>
      <c r="G4971" s="17"/>
      <c r="Z4971" s="22"/>
      <c r="AB4971" s="22"/>
    </row>
    <row r="4972" spans="1:28">
      <c r="A4972" s="19"/>
      <c r="B4972" s="12"/>
      <c r="C4972" s="24"/>
      <c r="D4972" s="12"/>
      <c r="E4972" s="23"/>
      <c r="F4972" s="17"/>
      <c r="G4972" s="17"/>
      <c r="Z4972" s="22"/>
      <c r="AB4972" s="22"/>
    </row>
    <row r="4973" spans="1:28">
      <c r="A4973" s="19"/>
      <c r="B4973" s="12"/>
      <c r="C4973" s="24"/>
      <c r="D4973" s="12"/>
      <c r="E4973" s="23"/>
      <c r="F4973" s="17"/>
      <c r="G4973" s="17"/>
      <c r="Z4973" s="22"/>
      <c r="AB4973" s="22"/>
    </row>
    <row r="4974" spans="1:28">
      <c r="A4974" s="19"/>
      <c r="B4974" s="12"/>
      <c r="C4974" s="24"/>
      <c r="D4974" s="12"/>
      <c r="E4974" s="23"/>
      <c r="F4974" s="17"/>
      <c r="G4974" s="17"/>
      <c r="Z4974" s="22"/>
      <c r="AB4974" s="22"/>
    </row>
    <row r="4975" spans="1:28">
      <c r="A4975" s="19"/>
      <c r="B4975" s="12"/>
      <c r="C4975" s="24"/>
      <c r="D4975" s="12"/>
      <c r="E4975" s="23"/>
      <c r="F4975" s="17"/>
      <c r="G4975" s="17"/>
      <c r="Z4975" s="22"/>
      <c r="AB4975" s="22"/>
    </row>
    <row r="4976" spans="1:28">
      <c r="A4976" s="19"/>
      <c r="B4976" s="12"/>
      <c r="C4976" s="24"/>
      <c r="D4976" s="12"/>
      <c r="E4976" s="23"/>
      <c r="F4976" s="17"/>
      <c r="G4976" s="17"/>
      <c r="Z4976" s="22"/>
      <c r="AB4976" s="22"/>
    </row>
    <row r="4977" spans="1:28">
      <c r="A4977" s="19"/>
      <c r="B4977" s="12"/>
      <c r="C4977" s="24"/>
      <c r="D4977" s="12"/>
      <c r="E4977" s="23"/>
      <c r="F4977" s="17"/>
      <c r="G4977" s="17"/>
      <c r="Z4977" s="22"/>
      <c r="AB4977" s="22"/>
    </row>
    <row r="4978" spans="1:28">
      <c r="A4978" s="19"/>
      <c r="B4978" s="12"/>
      <c r="C4978" s="24"/>
      <c r="D4978" s="12"/>
      <c r="E4978" s="23"/>
      <c r="F4978" s="17"/>
      <c r="G4978" s="17"/>
      <c r="Z4978" s="22"/>
      <c r="AB4978" s="22"/>
    </row>
    <row r="4979" spans="1:28">
      <c r="A4979" s="19"/>
      <c r="B4979" s="12"/>
      <c r="C4979" s="24"/>
      <c r="D4979" s="12"/>
      <c r="E4979" s="23"/>
      <c r="F4979" s="17"/>
      <c r="G4979" s="17"/>
      <c r="Z4979" s="22"/>
      <c r="AB4979" s="22"/>
    </row>
    <row r="4980" spans="1:28">
      <c r="A4980" s="19"/>
      <c r="B4980" s="12"/>
      <c r="C4980" s="24"/>
      <c r="D4980" s="12"/>
      <c r="E4980" s="23"/>
      <c r="F4980" s="17"/>
      <c r="G4980" s="17"/>
      <c r="Z4980" s="22"/>
      <c r="AB4980" s="22"/>
    </row>
    <row r="4981" spans="1:28">
      <c r="A4981" s="19"/>
      <c r="B4981" s="12"/>
      <c r="C4981" s="24"/>
      <c r="D4981" s="12"/>
      <c r="E4981" s="23"/>
      <c r="F4981" s="17"/>
      <c r="G4981" s="17"/>
      <c r="Z4981" s="22"/>
      <c r="AB4981" s="22"/>
    </row>
    <row r="4982" spans="1:28">
      <c r="A4982" s="19"/>
      <c r="B4982" s="12"/>
      <c r="C4982" s="24"/>
      <c r="D4982" s="12"/>
      <c r="E4982" s="23"/>
      <c r="F4982" s="17"/>
      <c r="G4982" s="17"/>
      <c r="Z4982" s="22"/>
      <c r="AB4982" s="22"/>
    </row>
    <row r="4983" spans="1:28">
      <c r="A4983" s="19"/>
      <c r="B4983" s="12"/>
      <c r="C4983" s="24"/>
      <c r="D4983" s="12"/>
      <c r="E4983" s="23"/>
      <c r="F4983" s="17"/>
      <c r="G4983" s="17"/>
      <c r="Z4983" s="22"/>
      <c r="AB4983" s="22"/>
    </row>
    <row r="4984" spans="1:28">
      <c r="A4984" s="19"/>
      <c r="B4984" s="12"/>
      <c r="C4984" s="24"/>
      <c r="D4984" s="12"/>
      <c r="E4984" s="23"/>
      <c r="F4984" s="17"/>
      <c r="G4984" s="17"/>
      <c r="Z4984" s="22"/>
      <c r="AB4984" s="22"/>
    </row>
    <row r="4985" spans="1:28">
      <c r="A4985" s="19"/>
      <c r="B4985" s="12"/>
      <c r="C4985" s="24"/>
      <c r="D4985" s="12"/>
      <c r="E4985" s="23"/>
      <c r="F4985" s="17"/>
      <c r="G4985" s="17"/>
      <c r="Z4985" s="22"/>
      <c r="AB4985" s="22"/>
    </row>
    <row r="4986" spans="1:28">
      <c r="A4986" s="19"/>
      <c r="B4986" s="12"/>
      <c r="C4986" s="24"/>
      <c r="D4986" s="12"/>
      <c r="E4986" s="23"/>
      <c r="F4986" s="17"/>
      <c r="G4986" s="17"/>
      <c r="Z4986" s="22"/>
      <c r="AB4986" s="22"/>
    </row>
    <row r="4987" spans="1:28">
      <c r="A4987" s="19"/>
      <c r="B4987" s="12"/>
      <c r="C4987" s="24"/>
      <c r="D4987" s="12"/>
      <c r="E4987" s="23"/>
      <c r="F4987" s="17"/>
      <c r="G4987" s="17"/>
      <c r="Z4987" s="22"/>
      <c r="AB4987" s="22"/>
    </row>
    <row r="4988" spans="1:28">
      <c r="A4988" s="19"/>
      <c r="B4988" s="12"/>
      <c r="C4988" s="24"/>
      <c r="D4988" s="12"/>
      <c r="E4988" s="23"/>
      <c r="F4988" s="17"/>
      <c r="G4988" s="17"/>
      <c r="Z4988" s="22"/>
      <c r="AB4988" s="22"/>
    </row>
    <row r="4989" spans="1:28">
      <c r="A4989" s="19"/>
      <c r="B4989" s="12"/>
      <c r="C4989" s="24"/>
      <c r="D4989" s="12"/>
      <c r="E4989" s="23"/>
      <c r="F4989" s="17"/>
      <c r="G4989" s="17"/>
      <c r="Z4989" s="22"/>
      <c r="AB4989" s="22"/>
    </row>
    <row r="4990" spans="1:28">
      <c r="A4990" s="19"/>
      <c r="B4990" s="12"/>
      <c r="C4990" s="24"/>
      <c r="D4990" s="12"/>
      <c r="E4990" s="23"/>
      <c r="F4990" s="17"/>
      <c r="G4990" s="17"/>
      <c r="Z4990" s="22"/>
      <c r="AB4990" s="22"/>
    </row>
    <row r="4991" spans="1:28">
      <c r="A4991" s="19"/>
      <c r="B4991" s="12"/>
      <c r="C4991" s="24"/>
      <c r="D4991" s="12"/>
      <c r="E4991" s="23"/>
      <c r="F4991" s="17"/>
      <c r="G4991" s="17"/>
      <c r="Z4991" s="22"/>
      <c r="AB4991" s="22"/>
    </row>
    <row r="4992" spans="1:28">
      <c r="A4992" s="19"/>
      <c r="B4992" s="12"/>
      <c r="C4992" s="24"/>
      <c r="D4992" s="12"/>
      <c r="E4992" s="23"/>
      <c r="F4992" s="17"/>
      <c r="G4992" s="17"/>
      <c r="Z4992" s="22"/>
      <c r="AB4992" s="22"/>
    </row>
    <row r="4993" spans="1:28">
      <c r="A4993" s="19"/>
      <c r="B4993" s="12"/>
      <c r="C4993" s="24"/>
      <c r="D4993" s="12"/>
      <c r="E4993" s="23"/>
      <c r="F4993" s="17"/>
      <c r="G4993" s="17"/>
      <c r="Z4993" s="22"/>
      <c r="AB4993" s="22"/>
    </row>
    <row r="4994" spans="1:28">
      <c r="A4994" s="19"/>
      <c r="B4994" s="12"/>
      <c r="C4994" s="24"/>
      <c r="D4994" s="12"/>
      <c r="E4994" s="23"/>
      <c r="F4994" s="17"/>
      <c r="G4994" s="17"/>
      <c r="Z4994" s="22"/>
      <c r="AB4994" s="22"/>
    </row>
    <row r="4995" spans="1:28">
      <c r="A4995" s="19"/>
      <c r="B4995" s="12"/>
      <c r="C4995" s="24"/>
      <c r="D4995" s="12"/>
      <c r="E4995" s="23"/>
      <c r="F4995" s="17"/>
      <c r="G4995" s="17"/>
      <c r="Z4995" s="22"/>
      <c r="AB4995" s="22"/>
    </row>
    <row r="4996" spans="1:28">
      <c r="A4996" s="19"/>
      <c r="B4996" s="12"/>
      <c r="C4996" s="24"/>
      <c r="D4996" s="12"/>
      <c r="E4996" s="23"/>
      <c r="F4996" s="17"/>
      <c r="G4996" s="17"/>
      <c r="Z4996" s="22"/>
      <c r="AB4996" s="22"/>
    </row>
    <row r="4997" spans="1:28">
      <c r="A4997" s="19"/>
      <c r="B4997" s="12"/>
      <c r="C4997" s="24"/>
      <c r="D4997" s="12"/>
      <c r="E4997" s="23"/>
      <c r="F4997" s="17"/>
      <c r="G4997" s="17"/>
      <c r="Z4997" s="22"/>
      <c r="AB4997" s="22"/>
    </row>
    <row r="4998" spans="1:28">
      <c r="A4998" s="19"/>
      <c r="B4998" s="12"/>
      <c r="C4998" s="24"/>
      <c r="D4998" s="12"/>
      <c r="E4998" s="23"/>
      <c r="F4998" s="17"/>
      <c r="G4998" s="17"/>
      <c r="Z4998" s="22"/>
      <c r="AB4998" s="22"/>
    </row>
    <row r="4999" spans="1:28">
      <c r="A4999" s="19"/>
      <c r="B4999" s="12"/>
      <c r="C4999" s="24"/>
      <c r="D4999" s="12"/>
      <c r="E4999" s="23"/>
      <c r="F4999" s="17"/>
      <c r="G4999" s="17"/>
      <c r="Z4999" s="22"/>
      <c r="AB4999" s="22"/>
    </row>
    <row r="5000" spans="1:28">
      <c r="A5000" s="19"/>
      <c r="B5000" s="12"/>
      <c r="C5000" s="24"/>
      <c r="D5000" s="12"/>
      <c r="E5000" s="23"/>
      <c r="F5000" s="17"/>
      <c r="G5000" s="17"/>
      <c r="Z5000" s="22"/>
      <c r="AB5000" s="22"/>
    </row>
    <row r="5001" spans="1:28">
      <c r="A5001" s="19"/>
      <c r="B5001" s="12"/>
      <c r="C5001" s="24"/>
      <c r="D5001" s="12"/>
      <c r="E5001" s="23"/>
      <c r="F5001" s="17"/>
      <c r="G5001" s="17"/>
      <c r="Z5001" s="22"/>
      <c r="AB5001" s="22"/>
    </row>
    <row r="5002" spans="1:28">
      <c r="A5002" s="19"/>
      <c r="B5002" s="12"/>
      <c r="C5002" s="24"/>
      <c r="D5002" s="12"/>
      <c r="E5002" s="23"/>
      <c r="F5002" s="17"/>
      <c r="G5002" s="17"/>
      <c r="Z5002" s="22"/>
      <c r="AB5002" s="22"/>
    </row>
    <row r="5003" spans="1:28">
      <c r="A5003" s="19"/>
      <c r="B5003" s="12"/>
      <c r="C5003" s="24"/>
      <c r="D5003" s="12"/>
      <c r="E5003" s="23"/>
      <c r="F5003" s="17"/>
      <c r="G5003" s="17"/>
      <c r="Z5003" s="22"/>
      <c r="AB5003" s="22"/>
    </row>
    <row r="5004" spans="1:28">
      <c r="A5004" s="19"/>
      <c r="B5004" s="12"/>
      <c r="C5004" s="24"/>
      <c r="D5004" s="12"/>
      <c r="E5004" s="23"/>
      <c r="F5004" s="17"/>
      <c r="G5004" s="17"/>
      <c r="Z5004" s="22"/>
      <c r="AB5004" s="22"/>
    </row>
    <row r="5005" spans="1:28">
      <c r="A5005" s="19"/>
      <c r="B5005" s="12"/>
      <c r="C5005" s="24"/>
      <c r="D5005" s="12"/>
      <c r="E5005" s="23"/>
      <c r="F5005" s="17"/>
      <c r="G5005" s="17"/>
      <c r="Z5005" s="22"/>
      <c r="AB5005" s="22"/>
    </row>
    <row r="5006" spans="1:28">
      <c r="A5006" s="19"/>
      <c r="B5006" s="12"/>
      <c r="C5006" s="24"/>
      <c r="D5006" s="12"/>
      <c r="E5006" s="23"/>
      <c r="F5006" s="17"/>
      <c r="G5006" s="17"/>
      <c r="Z5006" s="22"/>
      <c r="AB5006" s="22"/>
    </row>
    <row r="5007" spans="1:28">
      <c r="A5007" s="19"/>
      <c r="B5007" s="12"/>
      <c r="C5007" s="24"/>
      <c r="D5007" s="12"/>
      <c r="E5007" s="23"/>
      <c r="F5007" s="17"/>
      <c r="G5007" s="17"/>
      <c r="Z5007" s="22"/>
      <c r="AB5007" s="22"/>
    </row>
    <row r="5008" spans="1:28">
      <c r="A5008" s="19"/>
      <c r="B5008" s="12"/>
      <c r="C5008" s="24"/>
      <c r="D5008" s="12"/>
      <c r="E5008" s="23"/>
      <c r="F5008" s="17"/>
      <c r="G5008" s="17"/>
      <c r="Z5008" s="22"/>
      <c r="AB5008" s="22"/>
    </row>
    <row r="5009" spans="1:28">
      <c r="A5009" s="19"/>
      <c r="B5009" s="12"/>
      <c r="C5009" s="24"/>
      <c r="D5009" s="12"/>
      <c r="E5009" s="23"/>
      <c r="F5009" s="17"/>
      <c r="G5009" s="17"/>
      <c r="Z5009" s="22"/>
      <c r="AB5009" s="22"/>
    </row>
    <row r="5010" spans="1:28">
      <c r="A5010" s="19"/>
      <c r="B5010" s="12"/>
      <c r="C5010" s="24"/>
      <c r="D5010" s="12"/>
      <c r="E5010" s="23"/>
      <c r="F5010" s="17"/>
      <c r="G5010" s="17"/>
      <c r="Z5010" s="22"/>
      <c r="AB5010" s="22"/>
    </row>
    <row r="5011" spans="1:28">
      <c r="A5011" s="19"/>
      <c r="B5011" s="12"/>
      <c r="C5011" s="24"/>
      <c r="D5011" s="12"/>
      <c r="E5011" s="23"/>
      <c r="F5011" s="17"/>
      <c r="G5011" s="17"/>
      <c r="Z5011" s="22"/>
      <c r="AB5011" s="22"/>
    </row>
    <row r="5012" spans="1:28">
      <c r="A5012" s="19"/>
      <c r="B5012" s="12"/>
      <c r="C5012" s="24"/>
      <c r="D5012" s="12"/>
      <c r="E5012" s="23"/>
      <c r="F5012" s="17"/>
      <c r="G5012" s="17"/>
      <c r="Z5012" s="22"/>
      <c r="AB5012" s="22"/>
    </row>
    <row r="5013" spans="1:28">
      <c r="A5013" s="19"/>
      <c r="B5013" s="12"/>
      <c r="C5013" s="24"/>
      <c r="D5013" s="12"/>
      <c r="E5013" s="23"/>
      <c r="F5013" s="17"/>
      <c r="G5013" s="17"/>
      <c r="Z5013" s="22"/>
      <c r="AB5013" s="22"/>
    </row>
    <row r="5014" spans="1:28">
      <c r="A5014" s="19"/>
      <c r="B5014" s="12"/>
      <c r="C5014" s="24"/>
      <c r="D5014" s="12"/>
      <c r="E5014" s="23"/>
      <c r="F5014" s="17"/>
      <c r="G5014" s="17"/>
      <c r="Z5014" s="22"/>
      <c r="AB5014" s="22"/>
    </row>
    <row r="5015" spans="1:28">
      <c r="A5015" s="19"/>
      <c r="B5015" s="12"/>
      <c r="C5015" s="24"/>
      <c r="D5015" s="12"/>
      <c r="E5015" s="23"/>
      <c r="F5015" s="17"/>
      <c r="G5015" s="17"/>
      <c r="Z5015" s="22"/>
      <c r="AB5015" s="22"/>
    </row>
    <row r="5016" spans="1:28">
      <c r="A5016" s="19"/>
      <c r="B5016" s="12"/>
      <c r="C5016" s="24"/>
      <c r="D5016" s="12"/>
      <c r="E5016" s="23"/>
      <c r="F5016" s="17"/>
      <c r="G5016" s="17"/>
      <c r="Z5016" s="22"/>
      <c r="AB5016" s="22"/>
    </row>
    <row r="5017" spans="1:28">
      <c r="A5017" s="19"/>
      <c r="B5017" s="12"/>
      <c r="C5017" s="24"/>
      <c r="D5017" s="12"/>
      <c r="E5017" s="23"/>
      <c r="F5017" s="17"/>
      <c r="G5017" s="17"/>
      <c r="Z5017" s="22"/>
      <c r="AB5017" s="22"/>
    </row>
    <row r="5018" spans="1:28">
      <c r="A5018" s="19"/>
      <c r="B5018" s="12"/>
      <c r="C5018" s="24"/>
      <c r="D5018" s="12"/>
      <c r="E5018" s="23"/>
      <c r="F5018" s="17"/>
      <c r="G5018" s="17"/>
      <c r="Z5018" s="22"/>
      <c r="AB5018" s="22"/>
    </row>
    <row r="5019" spans="1:28">
      <c r="A5019" s="19"/>
      <c r="B5019" s="12"/>
      <c r="C5019" s="24"/>
      <c r="D5019" s="12"/>
      <c r="E5019" s="23"/>
      <c r="F5019" s="17"/>
      <c r="G5019" s="17"/>
      <c r="Z5019" s="22"/>
      <c r="AB5019" s="22"/>
    </row>
    <row r="5020" spans="1:28">
      <c r="A5020" s="19"/>
      <c r="B5020" s="12"/>
      <c r="C5020" s="24"/>
      <c r="D5020" s="12"/>
      <c r="E5020" s="23"/>
      <c r="F5020" s="17"/>
      <c r="G5020" s="17"/>
      <c r="Z5020" s="22"/>
      <c r="AB5020" s="22"/>
    </row>
    <row r="5021" spans="1:28">
      <c r="A5021" s="19"/>
      <c r="B5021" s="12"/>
      <c r="C5021" s="24"/>
      <c r="D5021" s="12"/>
      <c r="E5021" s="23"/>
      <c r="F5021" s="17"/>
      <c r="G5021" s="17"/>
      <c r="Z5021" s="22"/>
      <c r="AB5021" s="22"/>
    </row>
    <row r="5022" spans="1:28">
      <c r="A5022" s="19"/>
      <c r="B5022" s="12"/>
      <c r="C5022" s="24"/>
      <c r="D5022" s="12"/>
      <c r="E5022" s="23"/>
      <c r="F5022" s="17"/>
      <c r="G5022" s="17"/>
      <c r="Z5022" s="22"/>
      <c r="AB5022" s="22"/>
    </row>
    <row r="5023" spans="1:28">
      <c r="A5023" s="19"/>
      <c r="B5023" s="12"/>
      <c r="C5023" s="24"/>
      <c r="D5023" s="12"/>
      <c r="E5023" s="23"/>
      <c r="F5023" s="17"/>
      <c r="G5023" s="17"/>
      <c r="Z5023" s="22"/>
      <c r="AB5023" s="22"/>
    </row>
    <row r="5024" spans="1:28">
      <c r="A5024" s="19"/>
      <c r="B5024" s="12"/>
      <c r="C5024" s="24"/>
      <c r="D5024" s="12"/>
      <c r="E5024" s="23"/>
      <c r="F5024" s="17"/>
      <c r="G5024" s="17"/>
      <c r="Z5024" s="22"/>
      <c r="AB5024" s="22"/>
    </row>
    <row r="5025" spans="1:28">
      <c r="A5025" s="19"/>
      <c r="B5025" s="12"/>
      <c r="C5025" s="24"/>
      <c r="D5025" s="12"/>
      <c r="E5025" s="23"/>
      <c r="F5025" s="17"/>
      <c r="G5025" s="17"/>
      <c r="Z5025" s="22"/>
      <c r="AB5025" s="22"/>
    </row>
    <row r="5026" spans="1:28">
      <c r="A5026" s="19"/>
      <c r="B5026" s="12"/>
      <c r="C5026" s="24"/>
      <c r="D5026" s="12"/>
      <c r="E5026" s="23"/>
      <c r="F5026" s="17"/>
      <c r="G5026" s="17"/>
      <c r="Z5026" s="22"/>
      <c r="AB5026" s="22"/>
    </row>
    <row r="5027" spans="1:28">
      <c r="A5027" s="19"/>
      <c r="B5027" s="12"/>
      <c r="C5027" s="24"/>
      <c r="D5027" s="12"/>
      <c r="E5027" s="23"/>
      <c r="F5027" s="17"/>
      <c r="G5027" s="17"/>
      <c r="Z5027" s="22"/>
      <c r="AB5027" s="22"/>
    </row>
    <row r="5028" spans="1:28">
      <c r="A5028" s="19"/>
      <c r="B5028" s="12"/>
      <c r="C5028" s="24"/>
      <c r="D5028" s="12"/>
      <c r="E5028" s="23"/>
      <c r="F5028" s="17"/>
      <c r="G5028" s="17"/>
      <c r="Z5028" s="22"/>
      <c r="AB5028" s="22"/>
    </row>
    <row r="5029" spans="1:28">
      <c r="A5029" s="19"/>
      <c r="B5029" s="12"/>
      <c r="C5029" s="24"/>
      <c r="D5029" s="12"/>
      <c r="E5029" s="23"/>
      <c r="F5029" s="17"/>
      <c r="G5029" s="17"/>
      <c r="Z5029" s="22"/>
      <c r="AB5029" s="22"/>
    </row>
    <row r="5030" spans="1:28">
      <c r="A5030" s="19"/>
      <c r="B5030" s="12"/>
      <c r="C5030" s="24"/>
      <c r="D5030" s="12"/>
      <c r="E5030" s="23"/>
      <c r="F5030" s="17"/>
      <c r="G5030" s="17"/>
      <c r="Z5030" s="22"/>
      <c r="AB5030" s="22"/>
    </row>
    <row r="5031" spans="1:28">
      <c r="A5031" s="19"/>
      <c r="B5031" s="12"/>
      <c r="C5031" s="24"/>
      <c r="D5031" s="12"/>
      <c r="E5031" s="23"/>
      <c r="F5031" s="17"/>
      <c r="G5031" s="17"/>
      <c r="Z5031" s="22"/>
      <c r="AB5031" s="22"/>
    </row>
    <row r="5032" spans="1:28">
      <c r="A5032" s="19"/>
      <c r="B5032" s="12"/>
      <c r="C5032" s="24"/>
      <c r="D5032" s="12"/>
      <c r="E5032" s="23"/>
      <c r="F5032" s="17"/>
      <c r="G5032" s="17"/>
      <c r="Z5032" s="22"/>
      <c r="AB5032" s="22"/>
    </row>
    <row r="5033" spans="1:28">
      <c r="A5033" s="19"/>
      <c r="B5033" s="12"/>
      <c r="C5033" s="24"/>
      <c r="D5033" s="12"/>
      <c r="E5033" s="23"/>
      <c r="F5033" s="17"/>
      <c r="G5033" s="17"/>
      <c r="Z5033" s="22"/>
      <c r="AB5033" s="22"/>
    </row>
    <row r="5034" spans="1:28">
      <c r="A5034" s="19"/>
      <c r="B5034" s="12"/>
      <c r="C5034" s="24"/>
      <c r="D5034" s="12"/>
      <c r="E5034" s="23"/>
      <c r="F5034" s="17"/>
      <c r="G5034" s="17"/>
      <c r="Z5034" s="22"/>
      <c r="AB5034" s="22"/>
    </row>
    <row r="5035" spans="1:28">
      <c r="A5035" s="19"/>
      <c r="B5035" s="12"/>
      <c r="C5035" s="24"/>
      <c r="D5035" s="12"/>
      <c r="E5035" s="23"/>
      <c r="F5035" s="17"/>
      <c r="G5035" s="17"/>
      <c r="Z5035" s="22"/>
      <c r="AB5035" s="22"/>
    </row>
    <row r="5036" spans="1:28">
      <c r="A5036" s="19"/>
      <c r="B5036" s="12"/>
      <c r="C5036" s="24"/>
      <c r="D5036" s="12"/>
      <c r="E5036" s="23"/>
      <c r="F5036" s="17"/>
      <c r="G5036" s="17"/>
      <c r="Z5036" s="22"/>
      <c r="AB5036" s="22"/>
    </row>
    <row r="5037" spans="1:28">
      <c r="A5037" s="19"/>
      <c r="B5037" s="12"/>
      <c r="C5037" s="24"/>
      <c r="D5037" s="12"/>
      <c r="E5037" s="23"/>
      <c r="F5037" s="17"/>
      <c r="G5037" s="17"/>
      <c r="Z5037" s="22"/>
      <c r="AB5037" s="22"/>
    </row>
    <row r="5038" spans="1:28">
      <c r="A5038" s="19"/>
      <c r="B5038" s="12"/>
      <c r="C5038" s="24"/>
      <c r="D5038" s="12"/>
      <c r="E5038" s="23"/>
      <c r="F5038" s="17"/>
      <c r="G5038" s="17"/>
      <c r="Z5038" s="22"/>
      <c r="AB5038" s="22"/>
    </row>
    <row r="5039" spans="1:28">
      <c r="A5039" s="19"/>
      <c r="B5039" s="12"/>
      <c r="C5039" s="24"/>
      <c r="D5039" s="12"/>
      <c r="E5039" s="23"/>
      <c r="F5039" s="17"/>
      <c r="G5039" s="17"/>
      <c r="Z5039" s="22"/>
      <c r="AB5039" s="22"/>
    </row>
    <row r="5040" spans="1:28">
      <c r="A5040" s="19"/>
      <c r="B5040" s="12"/>
      <c r="C5040" s="24"/>
      <c r="D5040" s="12"/>
      <c r="E5040" s="23"/>
      <c r="F5040" s="17"/>
      <c r="G5040" s="17"/>
      <c r="Z5040" s="22"/>
      <c r="AB5040" s="22"/>
    </row>
    <row r="5041" spans="1:28">
      <c r="A5041" s="19"/>
      <c r="B5041" s="12"/>
      <c r="C5041" s="24"/>
      <c r="D5041" s="12"/>
      <c r="E5041" s="23"/>
      <c r="F5041" s="17"/>
      <c r="G5041" s="17"/>
      <c r="Z5041" s="22"/>
      <c r="AB5041" s="22"/>
    </row>
    <row r="5042" spans="1:28">
      <c r="A5042" s="19"/>
      <c r="B5042" s="12"/>
      <c r="C5042" s="24"/>
      <c r="D5042" s="12"/>
      <c r="E5042" s="23"/>
      <c r="F5042" s="17"/>
      <c r="G5042" s="17"/>
      <c r="Z5042" s="22"/>
      <c r="AB5042" s="22"/>
    </row>
    <row r="5043" spans="1:28">
      <c r="A5043" s="19"/>
      <c r="B5043" s="12"/>
      <c r="C5043" s="24"/>
      <c r="D5043" s="12"/>
      <c r="E5043" s="23"/>
      <c r="F5043" s="17"/>
      <c r="G5043" s="17"/>
      <c r="Z5043" s="22"/>
      <c r="AB5043" s="22"/>
    </row>
    <row r="5044" spans="1:28">
      <c r="A5044" s="19"/>
      <c r="B5044" s="12"/>
      <c r="C5044" s="24"/>
      <c r="D5044" s="12"/>
      <c r="E5044" s="23"/>
      <c r="F5044" s="17"/>
      <c r="G5044" s="17"/>
      <c r="Z5044" s="22"/>
      <c r="AB5044" s="22"/>
    </row>
    <row r="5045" spans="1:28">
      <c r="A5045" s="19"/>
      <c r="B5045" s="12"/>
      <c r="C5045" s="24"/>
      <c r="D5045" s="12"/>
      <c r="E5045" s="23"/>
      <c r="F5045" s="17"/>
      <c r="G5045" s="17"/>
      <c r="Z5045" s="22"/>
      <c r="AB5045" s="22"/>
    </row>
    <row r="5046" spans="1:28">
      <c r="A5046" s="19"/>
      <c r="B5046" s="12"/>
      <c r="C5046" s="24"/>
      <c r="D5046" s="12"/>
      <c r="E5046" s="23"/>
      <c r="F5046" s="17"/>
      <c r="G5046" s="17"/>
      <c r="Z5046" s="22"/>
      <c r="AB5046" s="22"/>
    </row>
    <row r="5047" spans="1:28">
      <c r="A5047" s="19"/>
      <c r="B5047" s="12"/>
      <c r="C5047" s="24"/>
      <c r="D5047" s="12"/>
      <c r="E5047" s="23"/>
      <c r="F5047" s="17"/>
      <c r="G5047" s="17"/>
      <c r="Z5047" s="22"/>
      <c r="AB5047" s="22"/>
    </row>
    <row r="5048" spans="1:28">
      <c r="A5048" s="19"/>
      <c r="B5048" s="12"/>
      <c r="C5048" s="24"/>
      <c r="D5048" s="12"/>
      <c r="E5048" s="23"/>
      <c r="F5048" s="17"/>
      <c r="G5048" s="17"/>
      <c r="Z5048" s="22"/>
      <c r="AB5048" s="22"/>
    </row>
    <row r="5049" spans="1:28">
      <c r="A5049" s="19"/>
      <c r="B5049" s="12"/>
      <c r="C5049" s="24"/>
      <c r="D5049" s="12"/>
      <c r="E5049" s="23"/>
      <c r="F5049" s="17"/>
      <c r="G5049" s="17"/>
      <c r="Z5049" s="22"/>
      <c r="AB5049" s="22"/>
    </row>
    <row r="5050" spans="1:28">
      <c r="A5050" s="19"/>
      <c r="B5050" s="12"/>
      <c r="C5050" s="24"/>
      <c r="D5050" s="12"/>
      <c r="E5050" s="23"/>
      <c r="F5050" s="17"/>
      <c r="G5050" s="17"/>
      <c r="Z5050" s="22"/>
      <c r="AB5050" s="22"/>
    </row>
    <row r="5051" spans="1:28">
      <c r="A5051" s="19"/>
      <c r="B5051" s="12"/>
      <c r="C5051" s="24"/>
      <c r="D5051" s="12"/>
      <c r="E5051" s="23"/>
      <c r="F5051" s="17"/>
      <c r="G5051" s="17"/>
      <c r="Z5051" s="22"/>
      <c r="AB5051" s="22"/>
    </row>
    <row r="5052" spans="1:28">
      <c r="A5052" s="19"/>
      <c r="B5052" s="12"/>
      <c r="C5052" s="24"/>
      <c r="D5052" s="12"/>
      <c r="E5052" s="23"/>
      <c r="F5052" s="17"/>
      <c r="G5052" s="17"/>
      <c r="Z5052" s="22"/>
      <c r="AB5052" s="22"/>
    </row>
    <row r="5053" spans="1:28">
      <c r="A5053" s="19"/>
      <c r="B5053" s="12"/>
      <c r="C5053" s="24"/>
      <c r="D5053" s="12"/>
      <c r="E5053" s="23"/>
      <c r="F5053" s="17"/>
      <c r="G5053" s="17"/>
      <c r="Z5053" s="22"/>
      <c r="AB5053" s="22"/>
    </row>
    <row r="5054" spans="1:28">
      <c r="A5054" s="19"/>
      <c r="B5054" s="12"/>
      <c r="C5054" s="24"/>
      <c r="D5054" s="12"/>
      <c r="E5054" s="23"/>
      <c r="F5054" s="17"/>
      <c r="G5054" s="17"/>
      <c r="Z5054" s="22"/>
      <c r="AB5054" s="22"/>
    </row>
    <row r="5055" spans="1:28">
      <c r="A5055" s="19"/>
      <c r="B5055" s="12"/>
      <c r="C5055" s="24"/>
      <c r="D5055" s="12"/>
      <c r="E5055" s="23"/>
      <c r="F5055" s="17"/>
      <c r="G5055" s="17"/>
      <c r="Z5055" s="22"/>
      <c r="AB5055" s="22"/>
    </row>
    <row r="5056" spans="1:28">
      <c r="A5056" s="19"/>
      <c r="B5056" s="12"/>
      <c r="C5056" s="24"/>
      <c r="D5056" s="12"/>
      <c r="E5056" s="23"/>
      <c r="F5056" s="17"/>
      <c r="G5056" s="17"/>
      <c r="Z5056" s="22"/>
      <c r="AB5056" s="22"/>
    </row>
    <row r="5057" spans="1:28">
      <c r="A5057" s="19"/>
      <c r="B5057" s="12"/>
      <c r="C5057" s="24"/>
      <c r="D5057" s="12"/>
      <c r="E5057" s="23"/>
      <c r="F5057" s="17"/>
      <c r="G5057" s="17"/>
      <c r="Z5057" s="22"/>
      <c r="AB5057" s="22"/>
    </row>
    <row r="5058" spans="1:28">
      <c r="A5058" s="19"/>
      <c r="B5058" s="12"/>
      <c r="C5058" s="24"/>
      <c r="D5058" s="12"/>
      <c r="E5058" s="23"/>
      <c r="F5058" s="17"/>
      <c r="G5058" s="17"/>
      <c r="Z5058" s="22"/>
      <c r="AB5058" s="22"/>
    </row>
    <row r="5059" spans="1:28">
      <c r="A5059" s="19"/>
      <c r="B5059" s="12"/>
      <c r="C5059" s="24"/>
      <c r="D5059" s="12"/>
      <c r="E5059" s="23"/>
      <c r="F5059" s="17"/>
      <c r="G5059" s="17"/>
      <c r="Z5059" s="22"/>
      <c r="AB5059" s="22"/>
    </row>
    <row r="5060" spans="1:28">
      <c r="A5060" s="19"/>
      <c r="B5060" s="12"/>
      <c r="C5060" s="24"/>
      <c r="D5060" s="12"/>
      <c r="E5060" s="23"/>
      <c r="F5060" s="17"/>
      <c r="G5060" s="17"/>
      <c r="Z5060" s="22"/>
      <c r="AB5060" s="22"/>
    </row>
    <row r="5061" spans="1:28">
      <c r="A5061" s="19"/>
      <c r="B5061" s="12"/>
      <c r="C5061" s="24"/>
      <c r="D5061" s="12"/>
      <c r="E5061" s="23"/>
      <c r="F5061" s="17"/>
      <c r="G5061" s="17"/>
      <c r="Z5061" s="22"/>
      <c r="AB5061" s="22"/>
    </row>
    <row r="5062" spans="1:28">
      <c r="A5062" s="19"/>
      <c r="B5062" s="12"/>
      <c r="C5062" s="24"/>
      <c r="D5062" s="12"/>
      <c r="E5062" s="23"/>
      <c r="F5062" s="17"/>
      <c r="G5062" s="17"/>
      <c r="Z5062" s="22"/>
      <c r="AB5062" s="22"/>
    </row>
    <row r="5063" spans="1:28">
      <c r="A5063" s="19"/>
      <c r="B5063" s="12"/>
      <c r="C5063" s="24"/>
      <c r="D5063" s="12"/>
      <c r="E5063" s="23"/>
      <c r="F5063" s="17"/>
      <c r="G5063" s="17"/>
      <c r="Z5063" s="22"/>
      <c r="AB5063" s="22"/>
    </row>
    <row r="5064" spans="1:28">
      <c r="A5064" s="19"/>
      <c r="B5064" s="12"/>
      <c r="C5064" s="24"/>
      <c r="D5064" s="12"/>
      <c r="E5064" s="23"/>
      <c r="F5064" s="17"/>
      <c r="G5064" s="17"/>
      <c r="Z5064" s="22"/>
      <c r="AB5064" s="22"/>
    </row>
    <row r="5065" spans="1:28">
      <c r="A5065" s="19"/>
      <c r="B5065" s="12"/>
      <c r="C5065" s="24"/>
      <c r="D5065" s="12"/>
      <c r="E5065" s="23"/>
      <c r="F5065" s="17"/>
      <c r="G5065" s="17"/>
      <c r="Z5065" s="22"/>
      <c r="AB5065" s="22"/>
    </row>
    <row r="5066" spans="1:28">
      <c r="A5066" s="19"/>
      <c r="B5066" s="12"/>
      <c r="C5066" s="24"/>
      <c r="D5066" s="12"/>
      <c r="E5066" s="23"/>
      <c r="F5066" s="17"/>
      <c r="G5066" s="17"/>
      <c r="Z5066" s="22"/>
      <c r="AB5066" s="22"/>
    </row>
    <row r="5067" spans="1:28">
      <c r="A5067" s="19"/>
      <c r="B5067" s="12"/>
      <c r="C5067" s="24"/>
      <c r="D5067" s="12"/>
      <c r="E5067" s="23"/>
      <c r="F5067" s="17"/>
      <c r="G5067" s="17"/>
      <c r="Z5067" s="22"/>
      <c r="AB5067" s="22"/>
    </row>
    <row r="5068" spans="1:28">
      <c r="A5068" s="19"/>
      <c r="B5068" s="12"/>
      <c r="C5068" s="24"/>
      <c r="D5068" s="12"/>
      <c r="E5068" s="23"/>
      <c r="F5068" s="17"/>
      <c r="G5068" s="17"/>
      <c r="Z5068" s="22"/>
      <c r="AB5068" s="22"/>
    </row>
    <row r="5069" spans="1:28">
      <c r="A5069" s="19"/>
      <c r="B5069" s="12"/>
      <c r="C5069" s="24"/>
      <c r="D5069" s="12"/>
      <c r="E5069" s="23"/>
      <c r="F5069" s="17"/>
      <c r="G5069" s="17"/>
      <c r="Z5069" s="22"/>
      <c r="AB5069" s="22"/>
    </row>
    <row r="5070" spans="1:28">
      <c r="A5070" s="19"/>
      <c r="B5070" s="12"/>
      <c r="C5070" s="24"/>
      <c r="D5070" s="12"/>
      <c r="E5070" s="23"/>
      <c r="F5070" s="17"/>
      <c r="G5070" s="17"/>
      <c r="Z5070" s="22"/>
      <c r="AB5070" s="22"/>
    </row>
    <row r="5071" spans="1:28">
      <c r="A5071" s="19"/>
      <c r="B5071" s="12"/>
      <c r="C5071" s="24"/>
      <c r="D5071" s="12"/>
      <c r="E5071" s="23"/>
      <c r="F5071" s="17"/>
      <c r="G5071" s="17"/>
      <c r="Z5071" s="22"/>
      <c r="AB5071" s="22"/>
    </row>
    <row r="5072" spans="1:28">
      <c r="A5072" s="19"/>
      <c r="B5072" s="12"/>
      <c r="C5072" s="24"/>
      <c r="D5072" s="12"/>
      <c r="E5072" s="23"/>
      <c r="F5072" s="17"/>
      <c r="G5072" s="17"/>
      <c r="Z5072" s="22"/>
      <c r="AB5072" s="22"/>
    </row>
    <row r="5073" spans="1:28">
      <c r="A5073" s="19"/>
      <c r="B5073" s="12"/>
      <c r="C5073" s="24"/>
      <c r="D5073" s="12"/>
      <c r="E5073" s="23"/>
      <c r="F5073" s="17"/>
      <c r="G5073" s="17"/>
      <c r="Z5073" s="22"/>
      <c r="AB5073" s="22"/>
    </row>
    <row r="5074" spans="1:28">
      <c r="A5074" s="19"/>
      <c r="B5074" s="12"/>
      <c r="C5074" s="24"/>
      <c r="D5074" s="12"/>
      <c r="E5074" s="23"/>
      <c r="F5074" s="17"/>
      <c r="G5074" s="17"/>
      <c r="Z5074" s="22"/>
      <c r="AB5074" s="22"/>
    </row>
    <row r="5075" spans="1:28">
      <c r="A5075" s="19"/>
      <c r="B5075" s="12"/>
      <c r="C5075" s="24"/>
      <c r="D5075" s="12"/>
      <c r="E5075" s="23"/>
      <c r="F5075" s="17"/>
      <c r="G5075" s="17"/>
      <c r="Z5075" s="22"/>
      <c r="AB5075" s="22"/>
    </row>
    <row r="5076" spans="1:28">
      <c r="A5076" s="19"/>
      <c r="B5076" s="12"/>
      <c r="C5076" s="24"/>
      <c r="D5076" s="12"/>
      <c r="E5076" s="23"/>
      <c r="F5076" s="17"/>
      <c r="G5076" s="17"/>
      <c r="Z5076" s="22"/>
      <c r="AB5076" s="22"/>
    </row>
    <row r="5077" spans="1:28">
      <c r="A5077" s="19"/>
      <c r="B5077" s="12"/>
      <c r="C5077" s="24"/>
      <c r="D5077" s="12"/>
      <c r="E5077" s="23"/>
      <c r="F5077" s="17"/>
      <c r="G5077" s="17"/>
      <c r="Z5077" s="22"/>
      <c r="AB5077" s="22"/>
    </row>
    <row r="5078" spans="1:28">
      <c r="A5078" s="19"/>
      <c r="B5078" s="12"/>
      <c r="C5078" s="24"/>
      <c r="D5078" s="12"/>
      <c r="E5078" s="23"/>
      <c r="F5078" s="17"/>
      <c r="G5078" s="17"/>
      <c r="Z5078" s="22"/>
      <c r="AB5078" s="22"/>
    </row>
    <row r="5079" spans="1:28">
      <c r="A5079" s="19"/>
      <c r="B5079" s="12"/>
      <c r="C5079" s="24"/>
      <c r="D5079" s="12"/>
      <c r="E5079" s="23"/>
      <c r="F5079" s="17"/>
      <c r="G5079" s="17"/>
      <c r="Z5079" s="22"/>
      <c r="AB5079" s="22"/>
    </row>
    <row r="5080" spans="1:28">
      <c r="A5080" s="19"/>
      <c r="B5080" s="12"/>
      <c r="C5080" s="24"/>
      <c r="D5080" s="12"/>
      <c r="E5080" s="23"/>
      <c r="F5080" s="17"/>
      <c r="G5080" s="17"/>
      <c r="Z5080" s="22"/>
      <c r="AB5080" s="22"/>
    </row>
    <row r="5081" spans="1:28">
      <c r="A5081" s="19"/>
      <c r="B5081" s="12"/>
      <c r="C5081" s="24"/>
      <c r="D5081" s="12"/>
      <c r="E5081" s="23"/>
      <c r="F5081" s="17"/>
      <c r="G5081" s="17"/>
      <c r="Z5081" s="22"/>
      <c r="AB5081" s="22"/>
    </row>
    <row r="5082" spans="1:28">
      <c r="A5082" s="19"/>
      <c r="B5082" s="12"/>
      <c r="C5082" s="24"/>
      <c r="D5082" s="12"/>
      <c r="E5082" s="23"/>
      <c r="F5082" s="17"/>
      <c r="G5082" s="17"/>
      <c r="Z5082" s="22"/>
      <c r="AB5082" s="22"/>
    </row>
    <row r="5083" spans="1:28">
      <c r="A5083" s="19"/>
      <c r="B5083" s="12"/>
      <c r="C5083" s="24"/>
      <c r="D5083" s="12"/>
      <c r="E5083" s="23"/>
      <c r="F5083" s="17"/>
      <c r="G5083" s="17"/>
      <c r="Z5083" s="22"/>
      <c r="AB5083" s="22"/>
    </row>
    <row r="5084" spans="1:28">
      <c r="A5084" s="19"/>
      <c r="B5084" s="12"/>
      <c r="C5084" s="24"/>
      <c r="D5084" s="12"/>
      <c r="E5084" s="23"/>
      <c r="F5084" s="17"/>
      <c r="G5084" s="17"/>
      <c r="Z5084" s="22"/>
      <c r="AB5084" s="22"/>
    </row>
    <row r="5085" spans="1:28">
      <c r="A5085" s="19"/>
      <c r="B5085" s="12"/>
      <c r="C5085" s="24"/>
      <c r="D5085" s="12"/>
      <c r="E5085" s="23"/>
      <c r="F5085" s="17"/>
      <c r="G5085" s="17"/>
      <c r="Z5085" s="22"/>
      <c r="AB5085" s="22"/>
    </row>
    <row r="5086" spans="1:28">
      <c r="A5086" s="19"/>
      <c r="B5086" s="12"/>
      <c r="C5086" s="24"/>
      <c r="D5086" s="12"/>
      <c r="E5086" s="23"/>
      <c r="F5086" s="17"/>
      <c r="G5086" s="17"/>
      <c r="Z5086" s="22"/>
      <c r="AB5086" s="22"/>
    </row>
    <row r="5087" spans="1:28">
      <c r="A5087" s="19"/>
      <c r="B5087" s="12"/>
      <c r="C5087" s="24"/>
      <c r="D5087" s="12"/>
      <c r="E5087" s="23"/>
      <c r="F5087" s="17"/>
      <c r="G5087" s="17"/>
      <c r="Z5087" s="22"/>
      <c r="AB5087" s="22"/>
    </row>
    <row r="5088" spans="1:28">
      <c r="A5088" s="19"/>
      <c r="B5088" s="12"/>
      <c r="C5088" s="24"/>
      <c r="D5088" s="12"/>
      <c r="E5088" s="23"/>
      <c r="F5088" s="17"/>
      <c r="G5088" s="17"/>
      <c r="Z5088" s="22"/>
      <c r="AB5088" s="22"/>
    </row>
    <row r="5089" spans="1:28">
      <c r="A5089" s="19"/>
      <c r="B5089" s="12"/>
      <c r="C5089" s="24"/>
      <c r="D5089" s="12"/>
      <c r="E5089" s="23"/>
      <c r="F5089" s="17"/>
      <c r="G5089" s="17"/>
      <c r="Z5089" s="22"/>
      <c r="AB5089" s="22"/>
    </row>
    <row r="5090" spans="1:28">
      <c r="A5090" s="19"/>
      <c r="B5090" s="12"/>
      <c r="C5090" s="24"/>
      <c r="D5090" s="12"/>
      <c r="E5090" s="23"/>
      <c r="F5090" s="17"/>
      <c r="G5090" s="17"/>
      <c r="Z5090" s="22"/>
      <c r="AB5090" s="22"/>
    </row>
    <row r="5091" spans="1:28">
      <c r="A5091" s="19"/>
      <c r="B5091" s="12"/>
      <c r="C5091" s="24"/>
      <c r="D5091" s="12"/>
      <c r="E5091" s="23"/>
      <c r="F5091" s="17"/>
      <c r="G5091" s="17"/>
      <c r="Z5091" s="22"/>
      <c r="AB5091" s="22"/>
    </row>
    <row r="5092" spans="1:28">
      <c r="A5092" s="19"/>
      <c r="B5092" s="12"/>
      <c r="C5092" s="24"/>
      <c r="D5092" s="12"/>
      <c r="E5092" s="23"/>
      <c r="F5092" s="17"/>
      <c r="G5092" s="17"/>
      <c r="Z5092" s="22"/>
      <c r="AB5092" s="22"/>
    </row>
    <row r="5093" spans="1:28">
      <c r="A5093" s="19"/>
      <c r="B5093" s="12"/>
      <c r="C5093" s="24"/>
      <c r="D5093" s="12"/>
      <c r="E5093" s="23"/>
      <c r="F5093" s="17"/>
      <c r="G5093" s="17"/>
      <c r="Z5093" s="22"/>
      <c r="AB5093" s="22"/>
    </row>
    <row r="5094" spans="1:28">
      <c r="A5094" s="19"/>
      <c r="B5094" s="12"/>
      <c r="C5094" s="24"/>
      <c r="D5094" s="12"/>
      <c r="E5094" s="23"/>
      <c r="F5094" s="17"/>
      <c r="G5094" s="17"/>
      <c r="Z5094" s="22"/>
      <c r="AB5094" s="22"/>
    </row>
    <row r="5095" spans="1:28">
      <c r="A5095" s="19"/>
      <c r="B5095" s="12"/>
      <c r="C5095" s="24"/>
      <c r="D5095" s="12"/>
      <c r="E5095" s="23"/>
      <c r="F5095" s="17"/>
      <c r="G5095" s="17"/>
      <c r="Z5095" s="22"/>
      <c r="AB5095" s="22"/>
    </row>
    <row r="5096" spans="1:28">
      <c r="A5096" s="19"/>
      <c r="B5096" s="12"/>
      <c r="C5096" s="24"/>
      <c r="D5096" s="12"/>
      <c r="E5096" s="23"/>
      <c r="F5096" s="17"/>
      <c r="G5096" s="17"/>
      <c r="Z5096" s="22"/>
      <c r="AB5096" s="22"/>
    </row>
    <row r="5097" spans="1:28">
      <c r="A5097" s="19"/>
      <c r="B5097" s="12"/>
      <c r="C5097" s="24"/>
      <c r="D5097" s="12"/>
      <c r="E5097" s="23"/>
      <c r="F5097" s="17"/>
      <c r="G5097" s="17"/>
      <c r="Z5097" s="22"/>
      <c r="AB5097" s="22"/>
    </row>
    <row r="5098" spans="1:28">
      <c r="A5098" s="19"/>
      <c r="B5098" s="12"/>
      <c r="C5098" s="24"/>
      <c r="D5098" s="12"/>
      <c r="E5098" s="23"/>
      <c r="F5098" s="17"/>
      <c r="G5098" s="17"/>
      <c r="Z5098" s="22"/>
      <c r="AB5098" s="22"/>
    </row>
    <row r="5099" spans="1:28">
      <c r="A5099" s="19"/>
      <c r="B5099" s="12"/>
      <c r="C5099" s="24"/>
      <c r="D5099" s="12"/>
      <c r="E5099" s="23"/>
      <c r="F5099" s="17"/>
      <c r="G5099" s="17"/>
      <c r="Z5099" s="22"/>
      <c r="AB5099" s="22"/>
    </row>
    <row r="5100" spans="1:28">
      <c r="A5100" s="19"/>
      <c r="B5100" s="12"/>
      <c r="C5100" s="24"/>
      <c r="D5100" s="12"/>
      <c r="E5100" s="23"/>
      <c r="F5100" s="17"/>
      <c r="G5100" s="17"/>
      <c r="Z5100" s="22"/>
      <c r="AB5100" s="22"/>
    </row>
    <row r="5101" spans="1:28">
      <c r="A5101" s="19"/>
      <c r="B5101" s="12"/>
      <c r="C5101" s="24"/>
      <c r="D5101" s="12"/>
      <c r="E5101" s="23"/>
      <c r="F5101" s="17"/>
      <c r="G5101" s="17"/>
      <c r="Z5101" s="22"/>
      <c r="AB5101" s="22"/>
    </row>
    <row r="5102" spans="1:28">
      <c r="A5102" s="19"/>
      <c r="B5102" s="12"/>
      <c r="C5102" s="24"/>
      <c r="D5102" s="12"/>
      <c r="E5102" s="23"/>
      <c r="F5102" s="17"/>
      <c r="G5102" s="17"/>
      <c r="Z5102" s="22"/>
      <c r="AB5102" s="22"/>
    </row>
    <row r="5103" spans="1:28">
      <c r="A5103" s="19"/>
      <c r="B5103" s="12"/>
      <c r="C5103" s="24"/>
      <c r="D5103" s="12"/>
      <c r="E5103" s="23"/>
      <c r="F5103" s="17"/>
      <c r="G5103" s="17"/>
      <c r="Z5103" s="22"/>
      <c r="AB5103" s="22"/>
    </row>
    <row r="5104" spans="1:28">
      <c r="A5104" s="19"/>
      <c r="B5104" s="12"/>
      <c r="C5104" s="24"/>
      <c r="D5104" s="12"/>
      <c r="E5104" s="23"/>
      <c r="F5104" s="17"/>
      <c r="G5104" s="17"/>
      <c r="Z5104" s="22"/>
      <c r="AB5104" s="22"/>
    </row>
    <row r="5105" spans="1:28">
      <c r="A5105" s="19"/>
      <c r="B5105" s="12"/>
      <c r="C5105" s="24"/>
      <c r="D5105" s="12"/>
      <c r="E5105" s="23"/>
      <c r="F5105" s="17"/>
      <c r="G5105" s="17"/>
      <c r="Z5105" s="22"/>
      <c r="AB5105" s="22"/>
    </row>
    <row r="5106" spans="1:28">
      <c r="A5106" s="19"/>
      <c r="B5106" s="12"/>
      <c r="C5106" s="24"/>
      <c r="D5106" s="12"/>
      <c r="E5106" s="23"/>
      <c r="F5106" s="17"/>
      <c r="G5106" s="17"/>
      <c r="Z5106" s="22"/>
      <c r="AB5106" s="22"/>
    </row>
    <row r="5107" spans="1:28">
      <c r="A5107" s="19"/>
      <c r="B5107" s="12"/>
      <c r="C5107" s="24"/>
      <c r="D5107" s="12"/>
      <c r="E5107" s="23"/>
      <c r="F5107" s="17"/>
      <c r="G5107" s="17"/>
      <c r="Z5107" s="22"/>
      <c r="AB5107" s="22"/>
    </row>
    <row r="5108" spans="1:28">
      <c r="A5108" s="19"/>
      <c r="B5108" s="12"/>
      <c r="C5108" s="24"/>
      <c r="D5108" s="12"/>
      <c r="E5108" s="23"/>
      <c r="F5108" s="17"/>
      <c r="G5108" s="17"/>
      <c r="Z5108" s="22"/>
      <c r="AB5108" s="22"/>
    </row>
    <row r="5109" spans="1:28">
      <c r="A5109" s="19"/>
      <c r="B5109" s="12"/>
      <c r="C5109" s="24"/>
      <c r="D5109" s="12"/>
      <c r="E5109" s="23"/>
      <c r="F5109" s="17"/>
      <c r="G5109" s="17"/>
      <c r="Z5109" s="22"/>
      <c r="AB5109" s="22"/>
    </row>
    <row r="5110" spans="1:28">
      <c r="A5110" s="19"/>
      <c r="B5110" s="12"/>
      <c r="C5110" s="24"/>
      <c r="D5110" s="12"/>
      <c r="E5110" s="23"/>
      <c r="F5110" s="17"/>
      <c r="G5110" s="17"/>
      <c r="Z5110" s="22"/>
      <c r="AB5110" s="22"/>
    </row>
    <row r="5111" spans="1:28">
      <c r="A5111" s="19"/>
      <c r="B5111" s="12"/>
      <c r="C5111" s="24"/>
      <c r="D5111" s="12"/>
      <c r="E5111" s="23"/>
      <c r="F5111" s="17"/>
      <c r="G5111" s="17"/>
      <c r="Z5111" s="22"/>
      <c r="AB5111" s="22"/>
    </row>
    <row r="5112" spans="1:28">
      <c r="A5112" s="19"/>
      <c r="B5112" s="12"/>
      <c r="C5112" s="24"/>
      <c r="D5112" s="12"/>
      <c r="E5112" s="23"/>
      <c r="F5112" s="17"/>
      <c r="G5112" s="17"/>
      <c r="Z5112" s="22"/>
      <c r="AB5112" s="22"/>
    </row>
    <row r="5113" spans="1:28">
      <c r="A5113" s="19"/>
      <c r="B5113" s="12"/>
      <c r="C5113" s="24"/>
      <c r="D5113" s="12"/>
      <c r="E5113" s="23"/>
      <c r="F5113" s="17"/>
      <c r="G5113" s="17"/>
      <c r="Z5113" s="22"/>
      <c r="AB5113" s="22"/>
    </row>
    <row r="5114" spans="1:28">
      <c r="A5114" s="19"/>
      <c r="B5114" s="12"/>
      <c r="C5114" s="24"/>
      <c r="D5114" s="12"/>
      <c r="E5114" s="23"/>
      <c r="F5114" s="17"/>
      <c r="G5114" s="17"/>
      <c r="Z5114" s="22"/>
      <c r="AB5114" s="22"/>
    </row>
    <row r="5115" spans="1:28">
      <c r="A5115" s="19"/>
      <c r="B5115" s="12"/>
      <c r="C5115" s="24"/>
      <c r="D5115" s="12"/>
      <c r="E5115" s="23"/>
      <c r="F5115" s="17"/>
      <c r="G5115" s="17"/>
      <c r="Z5115" s="22"/>
      <c r="AB5115" s="22"/>
    </row>
    <row r="5116" spans="1:28">
      <c r="A5116" s="19"/>
      <c r="B5116" s="12"/>
      <c r="C5116" s="24"/>
      <c r="D5116" s="12"/>
      <c r="E5116" s="23"/>
      <c r="F5116" s="17"/>
      <c r="G5116" s="17"/>
      <c r="Z5116" s="22"/>
      <c r="AB5116" s="22"/>
    </row>
    <row r="5117" spans="1:28">
      <c r="A5117" s="19"/>
      <c r="B5117" s="12"/>
      <c r="C5117" s="24"/>
      <c r="D5117" s="12"/>
      <c r="E5117" s="23"/>
      <c r="F5117" s="17"/>
      <c r="G5117" s="17"/>
      <c r="Z5117" s="22"/>
      <c r="AB5117" s="22"/>
    </row>
    <row r="5118" spans="1:28">
      <c r="A5118" s="19"/>
      <c r="B5118" s="12"/>
      <c r="C5118" s="24"/>
      <c r="D5118" s="12"/>
      <c r="E5118" s="23"/>
      <c r="F5118" s="17"/>
      <c r="G5118" s="17"/>
      <c r="Z5118" s="22"/>
      <c r="AB5118" s="22"/>
    </row>
    <row r="5119" spans="1:28">
      <c r="A5119" s="19"/>
      <c r="B5119" s="12"/>
      <c r="C5119" s="24"/>
      <c r="D5119" s="12"/>
      <c r="E5119" s="23"/>
      <c r="F5119" s="17"/>
      <c r="G5119" s="17"/>
      <c r="Z5119" s="22"/>
      <c r="AB5119" s="22"/>
    </row>
    <row r="5120" spans="1:28">
      <c r="A5120" s="19"/>
      <c r="B5120" s="12"/>
      <c r="C5120" s="24"/>
      <c r="D5120" s="12"/>
      <c r="E5120" s="23"/>
      <c r="F5120" s="17"/>
      <c r="G5120" s="17"/>
      <c r="Z5120" s="22"/>
      <c r="AB5120" s="22"/>
    </row>
    <row r="5121" spans="1:28">
      <c r="A5121" s="19"/>
      <c r="B5121" s="12"/>
      <c r="C5121" s="24"/>
      <c r="D5121" s="12"/>
      <c r="E5121" s="23"/>
      <c r="F5121" s="17"/>
      <c r="G5121" s="17"/>
      <c r="Z5121" s="22"/>
      <c r="AB5121" s="22"/>
    </row>
    <row r="5122" spans="1:28">
      <c r="A5122" s="19"/>
      <c r="B5122" s="12"/>
      <c r="C5122" s="24"/>
      <c r="D5122" s="12"/>
      <c r="E5122" s="23"/>
      <c r="F5122" s="17"/>
      <c r="G5122" s="17"/>
      <c r="Z5122" s="22"/>
      <c r="AB5122" s="22"/>
    </row>
    <row r="5123" spans="1:28">
      <c r="A5123" s="19"/>
      <c r="B5123" s="12"/>
      <c r="C5123" s="24"/>
      <c r="D5123" s="12"/>
      <c r="E5123" s="23"/>
      <c r="F5123" s="17"/>
      <c r="G5123" s="17"/>
      <c r="Z5123" s="22"/>
      <c r="AB5123" s="22"/>
    </row>
    <row r="5124" spans="1:28">
      <c r="A5124" s="19"/>
      <c r="B5124" s="12"/>
      <c r="C5124" s="24"/>
      <c r="D5124" s="12"/>
      <c r="E5124" s="23"/>
      <c r="F5124" s="17"/>
      <c r="G5124" s="17"/>
      <c r="Z5124" s="22"/>
      <c r="AB5124" s="22"/>
    </row>
    <row r="5125" spans="1:28">
      <c r="A5125" s="19"/>
      <c r="B5125" s="12"/>
      <c r="C5125" s="24"/>
      <c r="D5125" s="12"/>
      <c r="E5125" s="23"/>
      <c r="F5125" s="17"/>
      <c r="G5125" s="17"/>
      <c r="Z5125" s="22"/>
      <c r="AB5125" s="22"/>
    </row>
    <row r="5126" spans="1:28">
      <c r="A5126" s="19"/>
      <c r="B5126" s="12"/>
      <c r="C5126" s="24"/>
      <c r="D5126" s="12"/>
      <c r="E5126" s="23"/>
      <c r="F5126" s="17"/>
      <c r="G5126" s="17"/>
      <c r="Z5126" s="22"/>
      <c r="AB5126" s="22"/>
    </row>
    <row r="5127" spans="1:28">
      <c r="A5127" s="19"/>
      <c r="B5127" s="12"/>
      <c r="C5127" s="24"/>
      <c r="D5127" s="12"/>
      <c r="E5127" s="23"/>
      <c r="F5127" s="17"/>
      <c r="G5127" s="17"/>
      <c r="Z5127" s="22"/>
      <c r="AB5127" s="22"/>
    </row>
    <row r="5128" spans="1:28">
      <c r="A5128" s="19"/>
      <c r="B5128" s="12"/>
      <c r="C5128" s="24"/>
      <c r="D5128" s="12"/>
      <c r="E5128" s="23"/>
      <c r="F5128" s="17"/>
      <c r="G5128" s="17"/>
      <c r="Z5128" s="22"/>
      <c r="AB5128" s="22"/>
    </row>
    <row r="5129" spans="1:28">
      <c r="A5129" s="19"/>
      <c r="B5129" s="12"/>
      <c r="C5129" s="24"/>
      <c r="D5129" s="12"/>
      <c r="E5129" s="23"/>
      <c r="F5129" s="17"/>
      <c r="G5129" s="17"/>
      <c r="Z5129" s="22"/>
      <c r="AB5129" s="22"/>
    </row>
    <row r="5130" spans="1:28">
      <c r="A5130" s="19"/>
      <c r="B5130" s="12"/>
      <c r="C5130" s="24"/>
      <c r="D5130" s="12"/>
      <c r="E5130" s="23"/>
      <c r="F5130" s="17"/>
      <c r="G5130" s="17"/>
      <c r="Z5130" s="22"/>
      <c r="AB5130" s="22"/>
    </row>
    <row r="5131" spans="1:28">
      <c r="A5131" s="19"/>
      <c r="B5131" s="12"/>
      <c r="C5131" s="24"/>
      <c r="D5131" s="12"/>
      <c r="E5131" s="23"/>
      <c r="F5131" s="17"/>
      <c r="G5131" s="17"/>
      <c r="Z5131" s="22"/>
      <c r="AB5131" s="22"/>
    </row>
    <row r="5132" spans="1:28">
      <c r="A5132" s="19"/>
      <c r="B5132" s="12"/>
      <c r="C5132" s="24"/>
      <c r="D5132" s="12"/>
      <c r="E5132" s="23"/>
      <c r="F5132" s="17"/>
      <c r="G5132" s="17"/>
      <c r="Z5132" s="22"/>
      <c r="AB5132" s="22"/>
    </row>
    <row r="5133" spans="1:28">
      <c r="A5133" s="19"/>
      <c r="B5133" s="12"/>
      <c r="C5133" s="24"/>
      <c r="D5133" s="12"/>
      <c r="E5133" s="23"/>
      <c r="F5133" s="17"/>
      <c r="G5133" s="17"/>
      <c r="Z5133" s="22"/>
      <c r="AB5133" s="22"/>
    </row>
    <row r="5134" spans="1:28">
      <c r="A5134" s="19"/>
      <c r="B5134" s="12"/>
      <c r="C5134" s="24"/>
      <c r="D5134" s="12"/>
      <c r="E5134" s="23"/>
      <c r="F5134" s="17"/>
      <c r="G5134" s="17"/>
      <c r="Z5134" s="22"/>
      <c r="AB5134" s="22"/>
    </row>
    <row r="5135" spans="1:28">
      <c r="A5135" s="19"/>
      <c r="B5135" s="12"/>
      <c r="C5135" s="24"/>
      <c r="D5135" s="12"/>
      <c r="E5135" s="23"/>
      <c r="F5135" s="17"/>
      <c r="G5135" s="17"/>
      <c r="Z5135" s="22"/>
      <c r="AB5135" s="22"/>
    </row>
    <row r="5136" spans="1:28">
      <c r="A5136" s="19"/>
      <c r="B5136" s="12"/>
      <c r="C5136" s="24"/>
      <c r="D5136" s="12"/>
      <c r="E5136" s="23"/>
      <c r="F5136" s="17"/>
      <c r="G5136" s="17"/>
      <c r="Z5136" s="22"/>
      <c r="AB5136" s="22"/>
    </row>
    <row r="5137" spans="1:28">
      <c r="A5137" s="19"/>
      <c r="B5137" s="12"/>
      <c r="C5137" s="24"/>
      <c r="D5137" s="12"/>
      <c r="E5137" s="23"/>
      <c r="F5137" s="17"/>
      <c r="G5137" s="17"/>
      <c r="Z5137" s="22"/>
      <c r="AB5137" s="22"/>
    </row>
    <row r="5138" spans="1:28">
      <c r="A5138" s="19"/>
      <c r="B5138" s="12"/>
      <c r="C5138" s="24"/>
      <c r="D5138" s="12"/>
      <c r="E5138" s="23"/>
      <c r="F5138" s="17"/>
      <c r="G5138" s="17"/>
      <c r="Z5138" s="22"/>
      <c r="AB5138" s="22"/>
    </row>
    <row r="5139" spans="1:28">
      <c r="A5139" s="19"/>
      <c r="B5139" s="12"/>
      <c r="C5139" s="24"/>
      <c r="D5139" s="12"/>
      <c r="E5139" s="23"/>
      <c r="F5139" s="17"/>
      <c r="G5139" s="17"/>
      <c r="Z5139" s="22"/>
      <c r="AB5139" s="22"/>
    </row>
    <row r="5140" spans="1:28">
      <c r="A5140" s="19"/>
      <c r="B5140" s="12"/>
      <c r="C5140" s="24"/>
      <c r="D5140" s="12"/>
      <c r="E5140" s="23"/>
      <c r="F5140" s="17"/>
      <c r="G5140" s="17"/>
      <c r="Z5140" s="22"/>
      <c r="AB5140" s="22"/>
    </row>
    <row r="5141" spans="1:28">
      <c r="A5141" s="19"/>
      <c r="B5141" s="12"/>
      <c r="C5141" s="24"/>
      <c r="D5141" s="12"/>
      <c r="E5141" s="23"/>
      <c r="F5141" s="17"/>
      <c r="G5141" s="17"/>
      <c r="Z5141" s="22"/>
      <c r="AB5141" s="22"/>
    </row>
    <row r="5142" spans="1:28">
      <c r="A5142" s="19"/>
      <c r="B5142" s="12"/>
      <c r="C5142" s="24"/>
      <c r="D5142" s="12"/>
      <c r="E5142" s="23"/>
      <c r="F5142" s="17"/>
      <c r="G5142" s="17"/>
      <c r="Z5142" s="22"/>
      <c r="AB5142" s="22"/>
    </row>
    <row r="5143" spans="1:28">
      <c r="A5143" s="19"/>
      <c r="B5143" s="12"/>
      <c r="C5143" s="24"/>
      <c r="D5143" s="12"/>
      <c r="E5143" s="23"/>
      <c r="F5143" s="17"/>
      <c r="G5143" s="17"/>
      <c r="Z5143" s="22"/>
      <c r="AB5143" s="22"/>
    </row>
    <row r="5144" spans="1:28">
      <c r="A5144" s="19"/>
      <c r="B5144" s="12"/>
      <c r="C5144" s="24"/>
      <c r="D5144" s="12"/>
      <c r="E5144" s="23"/>
      <c r="F5144" s="17"/>
      <c r="G5144" s="17"/>
      <c r="Z5144" s="22"/>
      <c r="AB5144" s="22"/>
    </row>
    <row r="5145" spans="1:28">
      <c r="A5145" s="19"/>
      <c r="B5145" s="12"/>
      <c r="C5145" s="24"/>
      <c r="D5145" s="12"/>
      <c r="E5145" s="23"/>
      <c r="F5145" s="17"/>
      <c r="G5145" s="17"/>
      <c r="Z5145" s="22"/>
      <c r="AB5145" s="22"/>
    </row>
    <row r="5146" spans="1:28">
      <c r="A5146" s="19"/>
      <c r="B5146" s="12"/>
      <c r="C5146" s="24"/>
      <c r="D5146" s="12"/>
      <c r="E5146" s="23"/>
      <c r="F5146" s="17"/>
      <c r="G5146" s="17"/>
      <c r="Z5146" s="22"/>
      <c r="AB5146" s="22"/>
    </row>
    <row r="5147" spans="1:28">
      <c r="A5147" s="19"/>
      <c r="B5147" s="12"/>
      <c r="C5147" s="24"/>
      <c r="D5147" s="12"/>
      <c r="E5147" s="23"/>
      <c r="F5147" s="17"/>
      <c r="G5147" s="17"/>
      <c r="Z5147" s="22"/>
      <c r="AB5147" s="22"/>
    </row>
    <row r="5148" spans="1:28">
      <c r="A5148" s="19"/>
      <c r="B5148" s="12"/>
      <c r="C5148" s="24"/>
      <c r="D5148" s="12"/>
      <c r="E5148" s="23"/>
      <c r="F5148" s="17"/>
      <c r="G5148" s="17"/>
      <c r="Z5148" s="22"/>
      <c r="AB5148" s="22"/>
    </row>
    <row r="5149" spans="1:28">
      <c r="A5149" s="19"/>
      <c r="B5149" s="12"/>
      <c r="C5149" s="24"/>
      <c r="D5149" s="12"/>
      <c r="E5149" s="23"/>
      <c r="F5149" s="17"/>
      <c r="G5149" s="17"/>
      <c r="Z5149" s="22"/>
      <c r="AB5149" s="22"/>
    </row>
    <row r="5150" spans="1:28">
      <c r="A5150" s="19"/>
      <c r="B5150" s="12"/>
      <c r="C5150" s="24"/>
      <c r="D5150" s="12"/>
      <c r="E5150" s="23"/>
      <c r="F5150" s="17"/>
      <c r="G5150" s="17"/>
      <c r="Z5150" s="22"/>
      <c r="AB5150" s="22"/>
    </row>
    <row r="5151" spans="1:28">
      <c r="A5151" s="19"/>
      <c r="B5151" s="12"/>
      <c r="C5151" s="24"/>
      <c r="D5151" s="12"/>
      <c r="E5151" s="23"/>
      <c r="F5151" s="17"/>
      <c r="G5151" s="17"/>
      <c r="Z5151" s="22"/>
      <c r="AB5151" s="22"/>
    </row>
    <row r="5152" spans="1:28">
      <c r="A5152" s="19"/>
      <c r="B5152" s="12"/>
      <c r="C5152" s="24"/>
      <c r="D5152" s="12"/>
      <c r="E5152" s="23"/>
      <c r="F5152" s="17"/>
      <c r="G5152" s="17"/>
      <c r="Z5152" s="22"/>
      <c r="AB5152" s="22"/>
    </row>
    <row r="5153" spans="1:28">
      <c r="A5153" s="19"/>
      <c r="B5153" s="12"/>
      <c r="C5153" s="24"/>
      <c r="D5153" s="12"/>
      <c r="E5153" s="23"/>
      <c r="F5153" s="17"/>
      <c r="G5153" s="17"/>
      <c r="Z5153" s="22"/>
      <c r="AB5153" s="22"/>
    </row>
    <row r="5154" spans="1:28">
      <c r="A5154" s="19"/>
      <c r="B5154" s="12"/>
      <c r="C5154" s="24"/>
      <c r="D5154" s="12"/>
      <c r="E5154" s="23"/>
      <c r="F5154" s="17"/>
      <c r="G5154" s="17"/>
      <c r="Z5154" s="22"/>
      <c r="AB5154" s="22"/>
    </row>
    <row r="5155" spans="1:28">
      <c r="A5155" s="19"/>
      <c r="B5155" s="12"/>
      <c r="C5155" s="24"/>
      <c r="D5155" s="12"/>
      <c r="E5155" s="23"/>
      <c r="F5155" s="17"/>
      <c r="G5155" s="17"/>
      <c r="Z5155" s="22"/>
      <c r="AB5155" s="22"/>
    </row>
    <row r="5156" spans="1:28">
      <c r="A5156" s="19"/>
      <c r="B5156" s="12"/>
      <c r="C5156" s="24"/>
      <c r="D5156" s="12"/>
      <c r="E5156" s="23"/>
      <c r="F5156" s="17"/>
      <c r="G5156" s="17"/>
      <c r="Z5156" s="22"/>
      <c r="AB5156" s="22"/>
    </row>
    <row r="5157" spans="1:28">
      <c r="A5157" s="19"/>
      <c r="B5157" s="12"/>
      <c r="C5157" s="24"/>
      <c r="D5157" s="12"/>
      <c r="E5157" s="23"/>
      <c r="F5157" s="17"/>
      <c r="G5157" s="17"/>
      <c r="Z5157" s="22"/>
      <c r="AB5157" s="22"/>
    </row>
    <row r="5158" spans="1:28">
      <c r="A5158" s="19"/>
      <c r="B5158" s="12"/>
      <c r="C5158" s="24"/>
      <c r="D5158" s="12"/>
      <c r="E5158" s="23"/>
      <c r="F5158" s="17"/>
      <c r="G5158" s="17"/>
      <c r="Z5158" s="22"/>
      <c r="AB5158" s="22"/>
    </row>
    <row r="5159" spans="1:28">
      <c r="A5159" s="19"/>
      <c r="B5159" s="12"/>
      <c r="C5159" s="24"/>
      <c r="D5159" s="12"/>
      <c r="E5159" s="23"/>
      <c r="F5159" s="17"/>
      <c r="G5159" s="17"/>
      <c r="Z5159" s="22"/>
      <c r="AB5159" s="22"/>
    </row>
    <row r="5160" spans="1:28">
      <c r="A5160" s="19"/>
      <c r="B5160" s="12"/>
      <c r="C5160" s="24"/>
      <c r="D5160" s="12"/>
      <c r="E5160" s="23"/>
      <c r="F5160" s="17"/>
      <c r="G5160" s="17"/>
      <c r="Z5160" s="22"/>
      <c r="AB5160" s="22"/>
    </row>
    <row r="5161" spans="1:28">
      <c r="A5161" s="19"/>
      <c r="B5161" s="12"/>
      <c r="C5161" s="24"/>
      <c r="D5161" s="12"/>
      <c r="E5161" s="23"/>
      <c r="F5161" s="17"/>
      <c r="G5161" s="17"/>
      <c r="Z5161" s="22"/>
      <c r="AB5161" s="22"/>
    </row>
    <row r="5162" spans="1:28">
      <c r="A5162" s="19"/>
      <c r="B5162" s="12"/>
      <c r="C5162" s="24"/>
      <c r="D5162" s="12"/>
      <c r="E5162" s="23"/>
      <c r="F5162" s="17"/>
      <c r="G5162" s="17"/>
      <c r="Z5162" s="22"/>
      <c r="AB5162" s="22"/>
    </row>
    <row r="5163" spans="1:28">
      <c r="A5163" s="19"/>
      <c r="B5163" s="12"/>
      <c r="C5163" s="24"/>
      <c r="D5163" s="12"/>
      <c r="E5163" s="23"/>
      <c r="F5163" s="17"/>
      <c r="G5163" s="17"/>
      <c r="Z5163" s="22"/>
      <c r="AB5163" s="22"/>
    </row>
    <row r="5164" spans="1:28">
      <c r="A5164" s="19"/>
      <c r="B5164" s="12"/>
      <c r="C5164" s="24"/>
      <c r="D5164" s="12"/>
      <c r="E5164" s="23"/>
      <c r="F5164" s="17"/>
      <c r="G5164" s="17"/>
      <c r="Z5164" s="22"/>
      <c r="AB5164" s="22"/>
    </row>
    <row r="5165" spans="1:28">
      <c r="A5165" s="19"/>
      <c r="B5165" s="12"/>
      <c r="C5165" s="24"/>
      <c r="D5165" s="12"/>
      <c r="E5165" s="23"/>
      <c r="F5165" s="17"/>
      <c r="G5165" s="17"/>
      <c r="Z5165" s="22"/>
      <c r="AB5165" s="22"/>
    </row>
    <row r="5166" spans="1:28">
      <c r="A5166" s="19"/>
      <c r="B5166" s="12"/>
      <c r="C5166" s="24"/>
      <c r="D5166" s="12"/>
      <c r="E5166" s="23"/>
      <c r="F5166" s="17"/>
      <c r="G5166" s="17"/>
      <c r="Z5166" s="22"/>
      <c r="AB5166" s="22"/>
    </row>
    <row r="5167" spans="1:28">
      <c r="A5167" s="19"/>
      <c r="B5167" s="12"/>
      <c r="C5167" s="24"/>
      <c r="D5167" s="12"/>
      <c r="E5167" s="23"/>
      <c r="F5167" s="17"/>
      <c r="G5167" s="17"/>
      <c r="Z5167" s="22"/>
      <c r="AB5167" s="22"/>
    </row>
    <row r="5168" spans="1:28">
      <c r="A5168" s="19"/>
      <c r="B5168" s="12"/>
      <c r="C5168" s="24"/>
      <c r="D5168" s="12"/>
      <c r="E5168" s="23"/>
      <c r="F5168" s="17"/>
      <c r="G5168" s="17"/>
      <c r="Z5168" s="22"/>
      <c r="AB5168" s="22"/>
    </row>
    <row r="5169" spans="1:28">
      <c r="A5169" s="19"/>
      <c r="B5169" s="12"/>
      <c r="C5169" s="24"/>
      <c r="D5169" s="12"/>
      <c r="E5169" s="23"/>
      <c r="F5169" s="17"/>
      <c r="G5169" s="17"/>
      <c r="Z5169" s="22"/>
      <c r="AB5169" s="22"/>
    </row>
    <row r="5170" spans="1:28">
      <c r="A5170" s="19"/>
      <c r="B5170" s="12"/>
      <c r="C5170" s="24"/>
      <c r="D5170" s="12"/>
      <c r="E5170" s="23"/>
      <c r="F5170" s="17"/>
      <c r="G5170" s="17"/>
      <c r="Z5170" s="22"/>
      <c r="AB5170" s="22"/>
    </row>
    <row r="5171" spans="1:28">
      <c r="A5171" s="19"/>
      <c r="B5171" s="12"/>
      <c r="C5171" s="24"/>
      <c r="D5171" s="12"/>
      <c r="E5171" s="23"/>
      <c r="F5171" s="17"/>
      <c r="G5171" s="17"/>
      <c r="Z5171" s="22"/>
      <c r="AB5171" s="22"/>
    </row>
    <row r="5172" spans="1:28">
      <c r="A5172" s="19"/>
      <c r="B5172" s="12"/>
      <c r="C5172" s="24"/>
      <c r="D5172" s="12"/>
      <c r="E5172" s="23"/>
      <c r="F5172" s="17"/>
      <c r="G5172" s="17"/>
      <c r="Z5172" s="22"/>
      <c r="AB5172" s="22"/>
    </row>
    <row r="5173" spans="1:28">
      <c r="A5173" s="19"/>
      <c r="B5173" s="12"/>
      <c r="C5173" s="24"/>
      <c r="D5173" s="12"/>
      <c r="E5173" s="23"/>
      <c r="F5173" s="17"/>
      <c r="G5173" s="17"/>
      <c r="Z5173" s="22"/>
      <c r="AB5173" s="22"/>
    </row>
    <row r="5174" spans="1:28">
      <c r="A5174" s="19"/>
      <c r="B5174" s="12"/>
      <c r="C5174" s="24"/>
      <c r="D5174" s="12"/>
      <c r="E5174" s="23"/>
      <c r="F5174" s="17"/>
      <c r="G5174" s="17"/>
      <c r="Z5174" s="22"/>
      <c r="AB5174" s="22"/>
    </row>
    <row r="5175" spans="1:28">
      <c r="A5175" s="19"/>
      <c r="B5175" s="12"/>
      <c r="C5175" s="24"/>
      <c r="D5175" s="12"/>
      <c r="E5175" s="23"/>
      <c r="F5175" s="17"/>
      <c r="G5175" s="17"/>
      <c r="Z5175" s="22"/>
      <c r="AB5175" s="22"/>
    </row>
    <row r="5176" spans="1:28">
      <c r="A5176" s="19"/>
      <c r="B5176" s="12"/>
      <c r="C5176" s="24"/>
      <c r="D5176" s="12"/>
      <c r="E5176" s="23"/>
      <c r="F5176" s="17"/>
      <c r="G5176" s="17"/>
      <c r="Z5176" s="22"/>
      <c r="AB5176" s="22"/>
    </row>
    <row r="5177" spans="1:28">
      <c r="A5177" s="19"/>
      <c r="B5177" s="12"/>
      <c r="C5177" s="24"/>
      <c r="D5177" s="12"/>
      <c r="E5177" s="23"/>
      <c r="F5177" s="17"/>
      <c r="G5177" s="17"/>
      <c r="Z5177" s="22"/>
      <c r="AB5177" s="22"/>
    </row>
    <row r="5178" spans="1:28">
      <c r="A5178" s="19"/>
      <c r="B5178" s="12"/>
      <c r="C5178" s="24"/>
      <c r="D5178" s="12"/>
      <c r="E5178" s="23"/>
      <c r="F5178" s="17"/>
      <c r="G5178" s="17"/>
      <c r="Z5178" s="22"/>
      <c r="AB5178" s="22"/>
    </row>
    <row r="5179" spans="1:28">
      <c r="A5179" s="19"/>
      <c r="B5179" s="12"/>
      <c r="C5179" s="24"/>
      <c r="D5179" s="12"/>
      <c r="E5179" s="23"/>
      <c r="F5179" s="17"/>
      <c r="G5179" s="17"/>
      <c r="Z5179" s="22"/>
      <c r="AB5179" s="22"/>
    </row>
    <row r="5180" spans="1:28">
      <c r="A5180" s="19"/>
      <c r="B5180" s="12"/>
      <c r="C5180" s="24"/>
      <c r="D5180" s="12"/>
      <c r="E5180" s="23"/>
      <c r="F5180" s="17"/>
      <c r="G5180" s="17"/>
      <c r="Z5180" s="22"/>
      <c r="AB5180" s="22"/>
    </row>
    <row r="5181" spans="1:28">
      <c r="A5181" s="19"/>
      <c r="B5181" s="12"/>
      <c r="C5181" s="24"/>
      <c r="D5181" s="12"/>
      <c r="E5181" s="23"/>
      <c r="F5181" s="17"/>
      <c r="G5181" s="17"/>
      <c r="Z5181" s="22"/>
      <c r="AB5181" s="22"/>
    </row>
    <row r="5182" spans="1:28">
      <c r="A5182" s="19"/>
      <c r="B5182" s="12"/>
      <c r="C5182" s="24"/>
      <c r="D5182" s="12"/>
      <c r="E5182" s="23"/>
      <c r="F5182" s="17"/>
      <c r="G5182" s="17"/>
      <c r="Z5182" s="22"/>
      <c r="AB5182" s="22"/>
    </row>
    <row r="5183" spans="1:28">
      <c r="A5183" s="19"/>
      <c r="B5183" s="12"/>
      <c r="C5183" s="24"/>
      <c r="D5183" s="12"/>
      <c r="E5183" s="23"/>
      <c r="F5183" s="17"/>
      <c r="G5183" s="17"/>
      <c r="Z5183" s="22"/>
      <c r="AB5183" s="22"/>
    </row>
    <row r="5184" spans="1:28">
      <c r="A5184" s="19"/>
      <c r="B5184" s="12"/>
      <c r="C5184" s="24"/>
      <c r="D5184" s="12"/>
      <c r="E5184" s="23"/>
      <c r="F5184" s="17"/>
      <c r="G5184" s="17"/>
      <c r="Z5184" s="22"/>
      <c r="AB5184" s="22"/>
    </row>
    <row r="5185" spans="1:28">
      <c r="A5185" s="19"/>
      <c r="B5185" s="12"/>
      <c r="C5185" s="24"/>
      <c r="D5185" s="12"/>
      <c r="E5185" s="23"/>
      <c r="F5185" s="17"/>
      <c r="G5185" s="17"/>
      <c r="Z5185" s="22"/>
      <c r="AB5185" s="22"/>
    </row>
    <row r="5186" spans="1:28">
      <c r="A5186" s="19"/>
      <c r="B5186" s="12"/>
      <c r="C5186" s="24"/>
      <c r="D5186" s="12"/>
      <c r="E5186" s="23"/>
      <c r="F5186" s="17"/>
      <c r="G5186" s="17"/>
      <c r="Z5186" s="22"/>
      <c r="AB5186" s="22"/>
    </row>
    <row r="5187" spans="1:28">
      <c r="A5187" s="19"/>
      <c r="B5187" s="12"/>
      <c r="C5187" s="24"/>
      <c r="D5187" s="12"/>
      <c r="E5187" s="23"/>
      <c r="F5187" s="17"/>
      <c r="G5187" s="17"/>
      <c r="Z5187" s="22"/>
      <c r="AB5187" s="22"/>
    </row>
    <row r="5188" spans="1:28">
      <c r="A5188" s="19"/>
      <c r="B5188" s="12"/>
      <c r="C5188" s="24"/>
      <c r="D5188" s="12"/>
      <c r="E5188" s="23"/>
      <c r="F5188" s="17"/>
      <c r="G5188" s="17"/>
      <c r="Z5188" s="22"/>
      <c r="AB5188" s="22"/>
    </row>
    <row r="5189" spans="1:28">
      <c r="A5189" s="19"/>
      <c r="B5189" s="12"/>
      <c r="C5189" s="24"/>
      <c r="D5189" s="12"/>
      <c r="E5189" s="23"/>
      <c r="F5189" s="17"/>
      <c r="G5189" s="17"/>
      <c r="Z5189" s="22"/>
      <c r="AB5189" s="22"/>
    </row>
    <row r="5190" spans="1:28">
      <c r="A5190" s="19"/>
      <c r="B5190" s="12"/>
      <c r="C5190" s="24"/>
      <c r="D5190" s="12"/>
      <c r="E5190" s="23"/>
      <c r="F5190" s="17"/>
      <c r="G5190" s="17"/>
      <c r="Z5190" s="22"/>
      <c r="AB5190" s="22"/>
    </row>
    <row r="5191" spans="1:28">
      <c r="A5191" s="19"/>
      <c r="B5191" s="12"/>
      <c r="C5191" s="24"/>
      <c r="D5191" s="12"/>
      <c r="E5191" s="23"/>
      <c r="F5191" s="17"/>
      <c r="G5191" s="17"/>
      <c r="Z5191" s="22"/>
      <c r="AB5191" s="22"/>
    </row>
    <row r="5192" spans="1:28">
      <c r="A5192" s="19"/>
      <c r="B5192" s="12"/>
      <c r="C5192" s="24"/>
      <c r="D5192" s="12"/>
      <c r="E5192" s="23"/>
      <c r="F5192" s="17"/>
      <c r="G5192" s="17"/>
      <c r="Z5192" s="22"/>
      <c r="AB5192" s="22"/>
    </row>
    <row r="5193" spans="1:28">
      <c r="A5193" s="19"/>
      <c r="B5193" s="12"/>
      <c r="C5193" s="24"/>
      <c r="D5193" s="12"/>
      <c r="E5193" s="23"/>
      <c r="F5193" s="17"/>
      <c r="G5193" s="17"/>
      <c r="Z5193" s="22"/>
      <c r="AB5193" s="22"/>
    </row>
    <row r="5194" spans="1:28">
      <c r="A5194" s="19"/>
      <c r="B5194" s="12"/>
      <c r="C5194" s="24"/>
      <c r="D5194" s="12"/>
      <c r="E5194" s="23"/>
      <c r="F5194" s="17"/>
      <c r="G5194" s="17"/>
      <c r="Z5194" s="22"/>
      <c r="AB5194" s="22"/>
    </row>
    <row r="5195" spans="1:28">
      <c r="A5195" s="19"/>
      <c r="B5195" s="12"/>
      <c r="C5195" s="24"/>
      <c r="D5195" s="12"/>
      <c r="E5195" s="23"/>
      <c r="F5195" s="17"/>
      <c r="G5195" s="17"/>
      <c r="Z5195" s="22"/>
      <c r="AB5195" s="22"/>
    </row>
    <row r="5196" spans="1:28">
      <c r="A5196" s="19"/>
      <c r="B5196" s="12"/>
      <c r="C5196" s="24"/>
      <c r="D5196" s="12"/>
      <c r="E5196" s="23"/>
      <c r="F5196" s="17"/>
      <c r="G5196" s="17"/>
      <c r="Z5196" s="22"/>
      <c r="AB5196" s="22"/>
    </row>
    <row r="5197" spans="1:28">
      <c r="A5197" s="19"/>
      <c r="B5197" s="12"/>
      <c r="C5197" s="24"/>
      <c r="D5197" s="12"/>
      <c r="E5197" s="23"/>
      <c r="F5197" s="17"/>
      <c r="G5197" s="17"/>
      <c r="Z5197" s="22"/>
      <c r="AB5197" s="22"/>
    </row>
    <row r="5198" spans="1:28">
      <c r="A5198" s="19"/>
      <c r="B5198" s="12"/>
      <c r="C5198" s="24"/>
      <c r="D5198" s="12"/>
      <c r="E5198" s="23"/>
      <c r="F5198" s="17"/>
      <c r="G5198" s="17"/>
      <c r="Z5198" s="22"/>
      <c r="AB5198" s="22"/>
    </row>
    <row r="5199" spans="1:28">
      <c r="A5199" s="19"/>
      <c r="B5199" s="12"/>
      <c r="C5199" s="24"/>
      <c r="D5199" s="12"/>
      <c r="E5199" s="23"/>
      <c r="F5199" s="17"/>
      <c r="G5199" s="17"/>
      <c r="Z5199" s="22"/>
      <c r="AB5199" s="22"/>
    </row>
    <row r="5200" spans="1:28">
      <c r="A5200" s="19"/>
      <c r="B5200" s="12"/>
      <c r="C5200" s="24"/>
      <c r="D5200" s="12"/>
      <c r="E5200" s="23"/>
      <c r="F5200" s="17"/>
      <c r="G5200" s="17"/>
      <c r="Z5200" s="22"/>
      <c r="AB5200" s="22"/>
    </row>
    <row r="5201" spans="1:28">
      <c r="A5201" s="19"/>
      <c r="B5201" s="12"/>
      <c r="C5201" s="24"/>
      <c r="D5201" s="12"/>
      <c r="E5201" s="23"/>
      <c r="F5201" s="17"/>
      <c r="G5201" s="17"/>
      <c r="Z5201" s="22"/>
      <c r="AB5201" s="22"/>
    </row>
    <row r="5202" spans="1:28">
      <c r="A5202" s="19"/>
      <c r="B5202" s="12"/>
      <c r="C5202" s="24"/>
      <c r="D5202" s="12"/>
      <c r="E5202" s="23"/>
      <c r="F5202" s="17"/>
      <c r="G5202" s="17"/>
      <c r="Z5202" s="22"/>
      <c r="AB5202" s="22"/>
    </row>
    <row r="5203" spans="1:28">
      <c r="A5203" s="19"/>
      <c r="B5203" s="12"/>
      <c r="C5203" s="24"/>
      <c r="D5203" s="12"/>
      <c r="E5203" s="23"/>
      <c r="F5203" s="17"/>
      <c r="G5203" s="17"/>
      <c r="Z5203" s="22"/>
      <c r="AB5203" s="22"/>
    </row>
    <row r="5204" spans="1:28">
      <c r="A5204" s="19"/>
      <c r="B5204" s="12"/>
      <c r="C5204" s="24"/>
      <c r="D5204" s="12"/>
      <c r="E5204" s="23"/>
      <c r="F5204" s="17"/>
      <c r="G5204" s="17"/>
      <c r="Z5204" s="22"/>
      <c r="AB5204" s="22"/>
    </row>
    <row r="5205" spans="1:28">
      <c r="A5205" s="19"/>
      <c r="B5205" s="12"/>
      <c r="C5205" s="24"/>
      <c r="D5205" s="12"/>
      <c r="E5205" s="23"/>
      <c r="F5205" s="17"/>
      <c r="G5205" s="17"/>
      <c r="Z5205" s="22"/>
      <c r="AB5205" s="22"/>
    </row>
    <row r="5206" spans="1:28">
      <c r="A5206" s="19"/>
      <c r="B5206" s="12"/>
      <c r="C5206" s="24"/>
      <c r="D5206" s="12"/>
      <c r="E5206" s="23"/>
      <c r="F5206" s="17"/>
      <c r="G5206" s="17"/>
      <c r="Z5206" s="22"/>
      <c r="AB5206" s="22"/>
    </row>
    <row r="5207" spans="1:28">
      <c r="A5207" s="19"/>
      <c r="B5207" s="12"/>
      <c r="C5207" s="24"/>
      <c r="D5207" s="12"/>
      <c r="E5207" s="23"/>
      <c r="F5207" s="17"/>
      <c r="G5207" s="17"/>
      <c r="Z5207" s="22"/>
      <c r="AB5207" s="22"/>
    </row>
    <row r="5208" spans="1:28">
      <c r="A5208" s="19"/>
      <c r="B5208" s="12"/>
      <c r="C5208" s="24"/>
      <c r="D5208" s="12"/>
      <c r="E5208" s="23"/>
      <c r="F5208" s="17"/>
      <c r="G5208" s="17"/>
      <c r="Z5208" s="22"/>
      <c r="AB5208" s="22"/>
    </row>
    <row r="5209" spans="1:28">
      <c r="A5209" s="19"/>
      <c r="B5209" s="12"/>
      <c r="C5209" s="24"/>
      <c r="D5209" s="12"/>
      <c r="E5209" s="23"/>
      <c r="F5209" s="17"/>
      <c r="G5209" s="17"/>
      <c r="Z5209" s="22"/>
      <c r="AB5209" s="22"/>
    </row>
    <row r="5210" spans="1:28">
      <c r="A5210" s="19"/>
      <c r="B5210" s="12"/>
      <c r="C5210" s="24"/>
      <c r="D5210" s="12"/>
      <c r="E5210" s="23"/>
      <c r="F5210" s="17"/>
      <c r="G5210" s="17"/>
      <c r="Z5210" s="22"/>
      <c r="AB5210" s="22"/>
    </row>
    <row r="5211" spans="1:28">
      <c r="A5211" s="19"/>
      <c r="B5211" s="12"/>
      <c r="C5211" s="24"/>
      <c r="D5211" s="12"/>
      <c r="E5211" s="23"/>
      <c r="F5211" s="17"/>
      <c r="G5211" s="17"/>
      <c r="Z5211" s="22"/>
      <c r="AB5211" s="22"/>
    </row>
    <row r="5212" spans="1:28">
      <c r="A5212" s="19"/>
      <c r="B5212" s="12"/>
      <c r="C5212" s="24"/>
      <c r="D5212" s="12"/>
      <c r="E5212" s="23"/>
      <c r="F5212" s="17"/>
      <c r="G5212" s="17"/>
      <c r="Z5212" s="22"/>
      <c r="AB5212" s="22"/>
    </row>
    <row r="5213" spans="1:28">
      <c r="A5213" s="19"/>
      <c r="B5213" s="12"/>
      <c r="C5213" s="24"/>
      <c r="D5213" s="12"/>
      <c r="E5213" s="23"/>
      <c r="F5213" s="17"/>
      <c r="G5213" s="17"/>
      <c r="Z5213" s="22"/>
      <c r="AB5213" s="22"/>
    </row>
    <row r="5214" spans="1:28">
      <c r="A5214" s="19"/>
      <c r="B5214" s="12"/>
      <c r="C5214" s="24"/>
      <c r="D5214" s="12"/>
      <c r="E5214" s="23"/>
      <c r="F5214" s="17"/>
      <c r="G5214" s="17"/>
      <c r="Z5214" s="22"/>
      <c r="AB5214" s="22"/>
    </row>
    <row r="5215" spans="1:28">
      <c r="A5215" s="19"/>
      <c r="B5215" s="12"/>
      <c r="C5215" s="24"/>
      <c r="D5215" s="12"/>
      <c r="E5215" s="23"/>
      <c r="F5215" s="17"/>
      <c r="G5215" s="17"/>
      <c r="Z5215" s="22"/>
      <c r="AB5215" s="22"/>
    </row>
    <row r="5216" spans="1:28">
      <c r="A5216" s="19"/>
      <c r="B5216" s="12"/>
      <c r="C5216" s="24"/>
      <c r="D5216" s="12"/>
      <c r="E5216" s="23"/>
      <c r="F5216" s="17"/>
      <c r="G5216" s="17"/>
      <c r="Z5216" s="22"/>
      <c r="AB5216" s="22"/>
    </row>
    <row r="5217" spans="1:28">
      <c r="A5217" s="19"/>
      <c r="B5217" s="12"/>
      <c r="C5217" s="24"/>
      <c r="D5217" s="12"/>
      <c r="E5217" s="23"/>
      <c r="F5217" s="17"/>
      <c r="G5217" s="17"/>
      <c r="Z5217" s="22"/>
      <c r="AB5217" s="22"/>
    </row>
    <row r="5218" spans="1:28">
      <c r="A5218" s="19"/>
      <c r="B5218" s="12"/>
      <c r="C5218" s="24"/>
      <c r="D5218" s="12"/>
      <c r="E5218" s="23"/>
      <c r="F5218" s="17"/>
      <c r="G5218" s="17"/>
      <c r="Z5218" s="22"/>
      <c r="AB5218" s="22"/>
    </row>
    <row r="5219" spans="1:28">
      <c r="A5219" s="19"/>
      <c r="B5219" s="12"/>
      <c r="C5219" s="24"/>
      <c r="D5219" s="12"/>
      <c r="E5219" s="23"/>
      <c r="F5219" s="17"/>
      <c r="G5219" s="17"/>
      <c r="Z5219" s="22"/>
      <c r="AB5219" s="22"/>
    </row>
    <row r="5220" spans="1:28">
      <c r="A5220" s="19"/>
      <c r="B5220" s="12"/>
      <c r="C5220" s="24"/>
      <c r="D5220" s="12"/>
      <c r="E5220" s="23"/>
      <c r="F5220" s="17"/>
      <c r="G5220" s="17"/>
      <c r="Z5220" s="22"/>
      <c r="AB5220" s="22"/>
    </row>
    <row r="5221" spans="1:28">
      <c r="A5221" s="19"/>
      <c r="B5221" s="12"/>
      <c r="C5221" s="24"/>
      <c r="D5221" s="12"/>
      <c r="E5221" s="23"/>
      <c r="F5221" s="17"/>
      <c r="G5221" s="17"/>
      <c r="Z5221" s="22"/>
      <c r="AB5221" s="22"/>
    </row>
    <row r="5222" spans="1:28">
      <c r="A5222" s="19"/>
      <c r="B5222" s="12"/>
      <c r="C5222" s="24"/>
      <c r="D5222" s="12"/>
      <c r="E5222" s="23"/>
      <c r="F5222" s="17"/>
      <c r="G5222" s="17"/>
      <c r="Z5222" s="22"/>
      <c r="AB5222" s="22"/>
    </row>
    <row r="5223" spans="1:28">
      <c r="A5223" s="19"/>
      <c r="B5223" s="12"/>
      <c r="C5223" s="24"/>
      <c r="D5223" s="12"/>
      <c r="E5223" s="23"/>
      <c r="F5223" s="17"/>
      <c r="G5223" s="17"/>
      <c r="Z5223" s="22"/>
      <c r="AB5223" s="22"/>
    </row>
    <row r="5224" spans="1:28">
      <c r="A5224" s="19"/>
      <c r="B5224" s="12"/>
      <c r="C5224" s="24"/>
      <c r="D5224" s="12"/>
      <c r="E5224" s="23"/>
      <c r="F5224" s="17"/>
      <c r="G5224" s="17"/>
      <c r="Z5224" s="22"/>
      <c r="AB5224" s="22"/>
    </row>
    <row r="5225" spans="1:28">
      <c r="A5225" s="19"/>
      <c r="B5225" s="12"/>
      <c r="C5225" s="24"/>
      <c r="D5225" s="12"/>
      <c r="E5225" s="23"/>
      <c r="F5225" s="17"/>
      <c r="G5225" s="17"/>
      <c r="Z5225" s="22"/>
      <c r="AB5225" s="22"/>
    </row>
    <row r="5226" spans="1:28">
      <c r="A5226" s="19"/>
      <c r="B5226" s="12"/>
      <c r="C5226" s="24"/>
      <c r="D5226" s="12"/>
      <c r="E5226" s="23"/>
      <c r="F5226" s="17"/>
      <c r="G5226" s="17"/>
      <c r="Z5226" s="22"/>
      <c r="AB5226" s="22"/>
    </row>
    <row r="5227" spans="1:28">
      <c r="A5227" s="19"/>
      <c r="B5227" s="12"/>
      <c r="C5227" s="24"/>
      <c r="D5227" s="12"/>
      <c r="E5227" s="23"/>
      <c r="F5227" s="17"/>
      <c r="G5227" s="17"/>
      <c r="Z5227" s="22"/>
      <c r="AB5227" s="22"/>
    </row>
    <row r="5228" spans="1:28">
      <c r="A5228" s="19"/>
      <c r="B5228" s="12"/>
      <c r="C5228" s="24"/>
      <c r="D5228" s="12"/>
      <c r="E5228" s="23"/>
      <c r="F5228" s="17"/>
      <c r="G5228" s="17"/>
      <c r="Z5228" s="22"/>
      <c r="AB5228" s="22"/>
    </row>
    <row r="5229" spans="1:28">
      <c r="A5229" s="19"/>
      <c r="B5229" s="12"/>
      <c r="C5229" s="24"/>
      <c r="D5229" s="12"/>
      <c r="E5229" s="23"/>
      <c r="F5229" s="17"/>
      <c r="G5229" s="17"/>
      <c r="Z5229" s="22"/>
      <c r="AB5229" s="22"/>
    </row>
    <row r="5230" spans="1:28">
      <c r="A5230" s="19"/>
      <c r="B5230" s="12"/>
      <c r="C5230" s="24"/>
      <c r="D5230" s="12"/>
      <c r="E5230" s="23"/>
      <c r="F5230" s="17"/>
      <c r="G5230" s="17"/>
      <c r="Z5230" s="22"/>
      <c r="AB5230" s="22"/>
    </row>
    <row r="5231" spans="1:28">
      <c r="A5231" s="19"/>
      <c r="B5231" s="12"/>
      <c r="C5231" s="24"/>
      <c r="D5231" s="12"/>
      <c r="E5231" s="23"/>
      <c r="F5231" s="17"/>
      <c r="G5231" s="17"/>
      <c r="Z5231" s="22"/>
      <c r="AB5231" s="22"/>
    </row>
    <row r="5232" spans="1:28">
      <c r="A5232" s="19"/>
      <c r="B5232" s="12"/>
      <c r="C5232" s="24"/>
      <c r="D5232" s="12"/>
      <c r="E5232" s="23"/>
      <c r="F5232" s="17"/>
      <c r="G5232" s="17"/>
      <c r="Z5232" s="22"/>
      <c r="AB5232" s="22"/>
    </row>
    <row r="5233" spans="1:28">
      <c r="A5233" s="19"/>
      <c r="B5233" s="12"/>
      <c r="C5233" s="24"/>
      <c r="D5233" s="12"/>
      <c r="E5233" s="23"/>
      <c r="F5233" s="17"/>
      <c r="G5233" s="17"/>
      <c r="Z5233" s="22"/>
      <c r="AB5233" s="22"/>
    </row>
    <row r="5234" spans="1:28">
      <c r="A5234" s="19"/>
      <c r="B5234" s="12"/>
      <c r="C5234" s="24"/>
      <c r="D5234" s="12"/>
      <c r="E5234" s="23"/>
      <c r="F5234" s="17"/>
      <c r="G5234" s="17"/>
      <c r="Z5234" s="22"/>
      <c r="AB5234" s="22"/>
    </row>
    <row r="5235" spans="1:28">
      <c r="A5235" s="19"/>
      <c r="B5235" s="12"/>
      <c r="C5235" s="24"/>
      <c r="D5235" s="12"/>
      <c r="E5235" s="23"/>
      <c r="F5235" s="17"/>
      <c r="G5235" s="17"/>
      <c r="Z5235" s="22"/>
      <c r="AB5235" s="22"/>
    </row>
    <row r="5236" spans="1:28">
      <c r="A5236" s="19"/>
      <c r="B5236" s="12"/>
      <c r="C5236" s="24"/>
      <c r="D5236" s="12"/>
      <c r="E5236" s="23"/>
      <c r="F5236" s="17"/>
      <c r="G5236" s="17"/>
      <c r="Z5236" s="22"/>
      <c r="AB5236" s="22"/>
    </row>
    <row r="5237" spans="1:28">
      <c r="A5237" s="19"/>
      <c r="B5237" s="12"/>
      <c r="C5237" s="24"/>
      <c r="D5237" s="12"/>
      <c r="E5237" s="23"/>
      <c r="F5237" s="17"/>
      <c r="G5237" s="17"/>
      <c r="Z5237" s="22"/>
      <c r="AB5237" s="22"/>
    </row>
    <row r="5238" spans="1:28">
      <c r="A5238" s="19"/>
      <c r="B5238" s="12"/>
      <c r="C5238" s="24"/>
      <c r="D5238" s="12"/>
      <c r="E5238" s="23"/>
      <c r="F5238" s="17"/>
      <c r="G5238" s="17"/>
      <c r="Z5238" s="22"/>
      <c r="AB5238" s="22"/>
    </row>
    <row r="5239" spans="1:28">
      <c r="A5239" s="19"/>
      <c r="B5239" s="12"/>
      <c r="C5239" s="24"/>
      <c r="D5239" s="12"/>
      <c r="E5239" s="23"/>
      <c r="F5239" s="17"/>
      <c r="G5239" s="17"/>
      <c r="Z5239" s="22"/>
      <c r="AB5239" s="22"/>
    </row>
    <row r="5240" spans="1:28">
      <c r="A5240" s="19"/>
      <c r="B5240" s="12"/>
      <c r="C5240" s="24"/>
      <c r="D5240" s="12"/>
      <c r="E5240" s="23"/>
      <c r="F5240" s="17"/>
      <c r="G5240" s="17"/>
      <c r="Z5240" s="22"/>
      <c r="AB5240" s="22"/>
    </row>
    <row r="5241" spans="1:28">
      <c r="A5241" s="19"/>
      <c r="B5241" s="12"/>
      <c r="C5241" s="24"/>
      <c r="D5241" s="12"/>
      <c r="E5241" s="23"/>
      <c r="F5241" s="17"/>
      <c r="G5241" s="17"/>
      <c r="Z5241" s="22"/>
      <c r="AB5241" s="22"/>
    </row>
    <row r="5242" spans="1:28">
      <c r="A5242" s="19"/>
      <c r="B5242" s="12"/>
      <c r="C5242" s="24"/>
      <c r="D5242" s="12"/>
      <c r="E5242" s="23"/>
      <c r="F5242" s="17"/>
      <c r="G5242" s="17"/>
      <c r="Z5242" s="22"/>
      <c r="AB5242" s="22"/>
    </row>
    <row r="5243" spans="1:28">
      <c r="A5243" s="19"/>
      <c r="B5243" s="12"/>
      <c r="C5243" s="24"/>
      <c r="D5243" s="12"/>
      <c r="E5243" s="23"/>
      <c r="F5243" s="17"/>
      <c r="G5243" s="17"/>
      <c r="Z5243" s="22"/>
      <c r="AB5243" s="22"/>
    </row>
    <row r="5244" spans="1:28">
      <c r="A5244" s="19"/>
      <c r="B5244" s="12"/>
      <c r="C5244" s="24"/>
      <c r="D5244" s="12"/>
      <c r="E5244" s="23"/>
      <c r="F5244" s="17"/>
      <c r="G5244" s="17"/>
      <c r="Z5244" s="22"/>
      <c r="AB5244" s="22"/>
    </row>
    <row r="5245" spans="1:28">
      <c r="A5245" s="19"/>
      <c r="B5245" s="12"/>
      <c r="C5245" s="24"/>
      <c r="D5245" s="12"/>
      <c r="E5245" s="23"/>
      <c r="F5245" s="17"/>
      <c r="G5245" s="17"/>
      <c r="Z5245" s="22"/>
      <c r="AB5245" s="22"/>
    </row>
    <row r="5246" spans="1:28">
      <c r="A5246" s="19"/>
      <c r="B5246" s="12"/>
      <c r="C5246" s="24"/>
      <c r="D5246" s="12"/>
      <c r="E5246" s="23"/>
      <c r="F5246" s="17"/>
      <c r="G5246" s="17"/>
      <c r="Z5246" s="22"/>
      <c r="AB5246" s="22"/>
    </row>
    <row r="5247" spans="1:28">
      <c r="A5247" s="19"/>
      <c r="B5247" s="12"/>
      <c r="C5247" s="24"/>
      <c r="D5247" s="12"/>
      <c r="E5247" s="23"/>
      <c r="F5247" s="17"/>
      <c r="G5247" s="17"/>
      <c r="Z5247" s="22"/>
      <c r="AB5247" s="22"/>
    </row>
    <row r="5248" spans="1:28">
      <c r="A5248" s="19"/>
      <c r="B5248" s="12"/>
      <c r="C5248" s="24"/>
      <c r="D5248" s="12"/>
      <c r="E5248" s="23"/>
      <c r="F5248" s="17"/>
      <c r="G5248" s="17"/>
      <c r="Z5248" s="22"/>
      <c r="AB5248" s="22"/>
    </row>
    <row r="5249" spans="1:28">
      <c r="A5249" s="19"/>
      <c r="B5249" s="12"/>
      <c r="C5249" s="24"/>
      <c r="D5249" s="12"/>
      <c r="E5249" s="23"/>
      <c r="F5249" s="17"/>
      <c r="G5249" s="17"/>
      <c r="Z5249" s="22"/>
      <c r="AB5249" s="22"/>
    </row>
    <row r="5250" spans="1:28">
      <c r="A5250" s="19"/>
      <c r="B5250" s="12"/>
      <c r="C5250" s="24"/>
      <c r="D5250" s="12"/>
      <c r="E5250" s="23"/>
      <c r="F5250" s="17"/>
      <c r="G5250" s="17"/>
      <c r="Z5250" s="22"/>
      <c r="AB5250" s="22"/>
    </row>
    <row r="5251" spans="1:28">
      <c r="A5251" s="19"/>
      <c r="B5251" s="12"/>
      <c r="C5251" s="24"/>
      <c r="D5251" s="12"/>
      <c r="E5251" s="23"/>
      <c r="F5251" s="17"/>
      <c r="G5251" s="17"/>
      <c r="Z5251" s="22"/>
      <c r="AB5251" s="22"/>
    </row>
    <row r="5252" spans="1:28">
      <c r="A5252" s="19"/>
      <c r="B5252" s="12"/>
      <c r="C5252" s="24"/>
      <c r="D5252" s="12"/>
      <c r="E5252" s="23"/>
      <c r="F5252" s="17"/>
      <c r="G5252" s="17"/>
      <c r="Z5252" s="22"/>
      <c r="AB5252" s="22"/>
    </row>
    <row r="5253" spans="1:28">
      <c r="A5253" s="19"/>
      <c r="B5253" s="12"/>
      <c r="C5253" s="24"/>
      <c r="D5253" s="12"/>
      <c r="E5253" s="23"/>
      <c r="F5253" s="17"/>
      <c r="G5253" s="17"/>
      <c r="Z5253" s="22"/>
      <c r="AB5253" s="22"/>
    </row>
    <row r="5254" spans="1:28">
      <c r="A5254" s="19"/>
      <c r="B5254" s="12"/>
      <c r="C5254" s="24"/>
      <c r="D5254" s="12"/>
      <c r="E5254" s="23"/>
      <c r="F5254" s="17"/>
      <c r="G5254" s="17"/>
      <c r="Z5254" s="22"/>
      <c r="AB5254" s="22"/>
    </row>
    <row r="5255" spans="1:28">
      <c r="A5255" s="19"/>
      <c r="B5255" s="12"/>
      <c r="C5255" s="24"/>
      <c r="D5255" s="12"/>
      <c r="E5255" s="23"/>
      <c r="F5255" s="17"/>
      <c r="G5255" s="17"/>
      <c r="Z5255" s="22"/>
      <c r="AB5255" s="22"/>
    </row>
    <row r="5256" spans="1:28">
      <c r="A5256" s="19"/>
      <c r="B5256" s="12"/>
      <c r="C5256" s="24"/>
      <c r="D5256" s="12"/>
      <c r="E5256" s="23"/>
      <c r="F5256" s="17"/>
      <c r="G5256" s="17"/>
      <c r="Z5256" s="22"/>
      <c r="AB5256" s="22"/>
    </row>
    <row r="5257" spans="1:28">
      <c r="A5257" s="19"/>
      <c r="B5257" s="12"/>
      <c r="C5257" s="24"/>
      <c r="D5257" s="12"/>
      <c r="E5257" s="23"/>
      <c r="F5257" s="17"/>
      <c r="G5257" s="17"/>
      <c r="Z5257" s="22"/>
      <c r="AB5257" s="22"/>
    </row>
    <row r="5258" spans="1:28">
      <c r="A5258" s="19"/>
      <c r="B5258" s="12"/>
      <c r="C5258" s="24"/>
      <c r="D5258" s="12"/>
      <c r="E5258" s="23"/>
      <c r="F5258" s="17"/>
      <c r="G5258" s="17"/>
      <c r="Z5258" s="22"/>
      <c r="AB5258" s="22"/>
    </row>
    <row r="5259" spans="1:28">
      <c r="A5259" s="19"/>
      <c r="B5259" s="12"/>
      <c r="C5259" s="24"/>
      <c r="D5259" s="12"/>
      <c r="E5259" s="23"/>
      <c r="F5259" s="17"/>
      <c r="G5259" s="17"/>
      <c r="Z5259" s="22"/>
      <c r="AB5259" s="22"/>
    </row>
    <row r="5260" spans="1:28">
      <c r="A5260" s="19"/>
      <c r="B5260" s="12"/>
      <c r="C5260" s="24"/>
      <c r="D5260" s="12"/>
      <c r="E5260" s="23"/>
      <c r="F5260" s="17"/>
      <c r="G5260" s="17"/>
      <c r="Z5260" s="22"/>
      <c r="AB5260" s="22"/>
    </row>
    <row r="5261" spans="1:28">
      <c r="A5261" s="19"/>
      <c r="B5261" s="12"/>
      <c r="C5261" s="24"/>
      <c r="D5261" s="12"/>
      <c r="E5261" s="23"/>
      <c r="F5261" s="17"/>
      <c r="G5261" s="17"/>
      <c r="Z5261" s="22"/>
      <c r="AB5261" s="22"/>
    </row>
    <row r="5262" spans="1:28">
      <c r="A5262" s="19"/>
      <c r="B5262" s="12"/>
      <c r="C5262" s="24"/>
      <c r="D5262" s="12"/>
      <c r="E5262" s="23"/>
      <c r="F5262" s="17"/>
      <c r="G5262" s="17"/>
      <c r="Z5262" s="22"/>
      <c r="AB5262" s="22"/>
    </row>
    <row r="5263" spans="1:28">
      <c r="A5263" s="19"/>
      <c r="B5263" s="12"/>
      <c r="C5263" s="24"/>
      <c r="D5263" s="12"/>
      <c r="E5263" s="23"/>
      <c r="F5263" s="17"/>
      <c r="G5263" s="17"/>
      <c r="Z5263" s="22"/>
      <c r="AB5263" s="22"/>
    </row>
    <row r="5264" spans="1:28">
      <c r="A5264" s="19"/>
      <c r="B5264" s="12"/>
      <c r="C5264" s="24"/>
      <c r="D5264" s="12"/>
      <c r="E5264" s="23"/>
      <c r="F5264" s="17"/>
      <c r="G5264" s="17"/>
      <c r="Z5264" s="22"/>
      <c r="AB5264" s="22"/>
    </row>
    <row r="5265" spans="1:28">
      <c r="A5265" s="19"/>
      <c r="B5265" s="12"/>
      <c r="C5265" s="24"/>
      <c r="D5265" s="12"/>
      <c r="E5265" s="23"/>
      <c r="F5265" s="17"/>
      <c r="G5265" s="17"/>
      <c r="Z5265" s="22"/>
      <c r="AB5265" s="22"/>
    </row>
    <row r="5266" spans="1:28">
      <c r="A5266" s="19"/>
      <c r="B5266" s="12"/>
      <c r="C5266" s="24"/>
      <c r="D5266" s="12"/>
      <c r="E5266" s="23"/>
      <c r="F5266" s="17"/>
      <c r="G5266" s="17"/>
      <c r="Z5266" s="22"/>
      <c r="AB5266" s="22"/>
    </row>
    <row r="5267" spans="1:28">
      <c r="A5267" s="19"/>
      <c r="B5267" s="12"/>
      <c r="C5267" s="24"/>
      <c r="D5267" s="12"/>
      <c r="E5267" s="23"/>
      <c r="F5267" s="17"/>
      <c r="G5267" s="17"/>
      <c r="Z5267" s="22"/>
      <c r="AB5267" s="22"/>
    </row>
    <row r="5268" spans="1:28">
      <c r="A5268" s="19"/>
      <c r="B5268" s="12"/>
      <c r="C5268" s="24"/>
      <c r="D5268" s="12"/>
      <c r="E5268" s="23"/>
      <c r="F5268" s="17"/>
      <c r="G5268" s="17"/>
      <c r="Z5268" s="22"/>
      <c r="AB5268" s="22"/>
    </row>
    <row r="5269" spans="1:28">
      <c r="A5269" s="19"/>
      <c r="B5269" s="12"/>
      <c r="C5269" s="24"/>
      <c r="D5269" s="12"/>
      <c r="E5269" s="23"/>
      <c r="F5269" s="17"/>
      <c r="G5269" s="17"/>
      <c r="Z5269" s="22"/>
      <c r="AB5269" s="22"/>
    </row>
    <row r="5270" spans="1:28">
      <c r="A5270" s="19"/>
      <c r="B5270" s="12"/>
      <c r="C5270" s="24"/>
      <c r="D5270" s="12"/>
      <c r="E5270" s="23"/>
      <c r="F5270" s="17"/>
      <c r="G5270" s="17"/>
      <c r="Z5270" s="22"/>
      <c r="AB5270" s="22"/>
    </row>
    <row r="5271" spans="1:28">
      <c r="A5271" s="19"/>
      <c r="B5271" s="12"/>
      <c r="C5271" s="24"/>
      <c r="D5271" s="12"/>
      <c r="E5271" s="23"/>
      <c r="F5271" s="17"/>
      <c r="G5271" s="17"/>
      <c r="Z5271" s="22"/>
      <c r="AB5271" s="22"/>
    </row>
    <row r="5272" spans="1:28">
      <c r="A5272" s="19"/>
      <c r="B5272" s="12"/>
      <c r="C5272" s="24"/>
      <c r="D5272" s="12"/>
      <c r="E5272" s="23"/>
      <c r="F5272" s="17"/>
      <c r="G5272" s="17"/>
      <c r="Z5272" s="22"/>
      <c r="AB5272" s="22"/>
    </row>
    <row r="5273" spans="1:28">
      <c r="A5273" s="19"/>
      <c r="B5273" s="12"/>
      <c r="C5273" s="24"/>
      <c r="D5273" s="12"/>
      <c r="E5273" s="23"/>
      <c r="F5273" s="17"/>
      <c r="G5273" s="17"/>
      <c r="Z5273" s="22"/>
      <c r="AB5273" s="22"/>
    </row>
    <row r="5274" spans="1:28">
      <c r="A5274" s="19"/>
      <c r="B5274" s="12"/>
      <c r="C5274" s="24"/>
      <c r="D5274" s="12"/>
      <c r="E5274" s="23"/>
      <c r="F5274" s="17"/>
      <c r="G5274" s="17"/>
      <c r="Z5274" s="22"/>
      <c r="AB5274" s="22"/>
    </row>
    <row r="5275" spans="1:28">
      <c r="A5275" s="19"/>
      <c r="B5275" s="12"/>
      <c r="C5275" s="24"/>
      <c r="D5275" s="12"/>
      <c r="E5275" s="23"/>
      <c r="F5275" s="17"/>
      <c r="G5275" s="17"/>
      <c r="Z5275" s="22"/>
      <c r="AB5275" s="22"/>
    </row>
    <row r="5276" spans="1:28">
      <c r="A5276" s="19"/>
      <c r="B5276" s="12"/>
      <c r="C5276" s="24"/>
      <c r="D5276" s="12"/>
      <c r="E5276" s="23"/>
      <c r="F5276" s="17"/>
      <c r="G5276" s="17"/>
      <c r="Z5276" s="22"/>
      <c r="AB5276" s="22"/>
    </row>
    <row r="5277" spans="1:28">
      <c r="A5277" s="19"/>
      <c r="B5277" s="12"/>
      <c r="C5277" s="24"/>
      <c r="D5277" s="12"/>
      <c r="E5277" s="23"/>
      <c r="F5277" s="17"/>
      <c r="G5277" s="17"/>
      <c r="Z5277" s="22"/>
      <c r="AB5277" s="22"/>
    </row>
    <row r="5278" spans="1:28">
      <c r="A5278" s="19"/>
      <c r="B5278" s="12"/>
      <c r="C5278" s="24"/>
      <c r="D5278" s="12"/>
      <c r="E5278" s="23"/>
      <c r="F5278" s="17"/>
      <c r="G5278" s="17"/>
      <c r="Z5278" s="22"/>
      <c r="AB5278" s="22"/>
    </row>
    <row r="5279" spans="1:28">
      <c r="A5279" s="19"/>
      <c r="B5279" s="12"/>
      <c r="C5279" s="24"/>
      <c r="D5279" s="12"/>
      <c r="E5279" s="23"/>
      <c r="F5279" s="17"/>
      <c r="G5279" s="17"/>
      <c r="Z5279" s="22"/>
      <c r="AB5279" s="22"/>
    </row>
    <row r="5280" spans="1:28">
      <c r="A5280" s="19"/>
      <c r="B5280" s="12"/>
      <c r="C5280" s="24"/>
      <c r="D5280" s="12"/>
      <c r="E5280" s="23"/>
      <c r="F5280" s="17"/>
      <c r="G5280" s="17"/>
      <c r="Z5280" s="22"/>
      <c r="AB5280" s="22"/>
    </row>
    <row r="5281" spans="1:28">
      <c r="A5281" s="19"/>
      <c r="B5281" s="12"/>
      <c r="C5281" s="24"/>
      <c r="D5281" s="12"/>
      <c r="E5281" s="23"/>
      <c r="F5281" s="17"/>
      <c r="G5281" s="17"/>
      <c r="Z5281" s="22"/>
      <c r="AB5281" s="22"/>
    </row>
    <row r="5282" spans="1:28">
      <c r="A5282" s="19"/>
      <c r="B5282" s="12"/>
      <c r="C5282" s="24"/>
      <c r="D5282" s="12"/>
      <c r="E5282" s="23"/>
      <c r="F5282" s="17"/>
      <c r="G5282" s="17"/>
      <c r="Z5282" s="22"/>
      <c r="AB5282" s="22"/>
    </row>
    <row r="5283" spans="1:28">
      <c r="A5283" s="19"/>
      <c r="B5283" s="12"/>
      <c r="C5283" s="24"/>
      <c r="D5283" s="12"/>
      <c r="E5283" s="23"/>
      <c r="F5283" s="17"/>
      <c r="G5283" s="17"/>
      <c r="Z5283" s="22"/>
      <c r="AB5283" s="22"/>
    </row>
    <row r="5284" spans="1:28">
      <c r="A5284" s="19"/>
      <c r="B5284" s="12"/>
      <c r="C5284" s="24"/>
      <c r="D5284" s="12"/>
      <c r="E5284" s="23"/>
      <c r="F5284" s="17"/>
      <c r="G5284" s="17"/>
      <c r="Z5284" s="22"/>
      <c r="AB5284" s="22"/>
    </row>
    <row r="5285" spans="1:28">
      <c r="A5285" s="19"/>
      <c r="B5285" s="12"/>
      <c r="C5285" s="24"/>
      <c r="D5285" s="12"/>
      <c r="E5285" s="23"/>
      <c r="F5285" s="17"/>
      <c r="G5285" s="17"/>
      <c r="Z5285" s="22"/>
      <c r="AB5285" s="22"/>
    </row>
    <row r="5286" spans="1:28">
      <c r="A5286" s="19"/>
      <c r="B5286" s="12"/>
      <c r="C5286" s="24"/>
      <c r="D5286" s="12"/>
      <c r="E5286" s="23"/>
      <c r="F5286" s="17"/>
      <c r="G5286" s="17"/>
      <c r="Z5286" s="22"/>
      <c r="AB5286" s="22"/>
    </row>
    <row r="5287" spans="1:28">
      <c r="A5287" s="19"/>
      <c r="B5287" s="12"/>
      <c r="C5287" s="24"/>
      <c r="D5287" s="12"/>
      <c r="E5287" s="23"/>
      <c r="F5287" s="17"/>
      <c r="G5287" s="17"/>
      <c r="Z5287" s="22"/>
      <c r="AB5287" s="22"/>
    </row>
    <row r="5288" spans="1:28">
      <c r="A5288" s="19"/>
      <c r="B5288" s="12"/>
      <c r="C5288" s="24"/>
      <c r="D5288" s="12"/>
      <c r="E5288" s="23"/>
      <c r="F5288" s="17"/>
      <c r="G5288" s="17"/>
      <c r="Z5288" s="22"/>
      <c r="AB5288" s="22"/>
    </row>
    <row r="5289" spans="1:28">
      <c r="A5289" s="19"/>
      <c r="B5289" s="12"/>
      <c r="C5289" s="24"/>
      <c r="D5289" s="12"/>
      <c r="E5289" s="23"/>
      <c r="F5289" s="17"/>
      <c r="G5289" s="17"/>
      <c r="Z5289" s="22"/>
      <c r="AB5289" s="22"/>
    </row>
    <row r="5290" spans="1:28">
      <c r="A5290" s="19"/>
      <c r="B5290" s="12"/>
      <c r="C5290" s="24"/>
      <c r="D5290" s="12"/>
      <c r="E5290" s="23"/>
      <c r="F5290" s="17"/>
      <c r="G5290" s="17"/>
      <c r="Z5290" s="22"/>
      <c r="AB5290" s="22"/>
    </row>
    <row r="5291" spans="1:28">
      <c r="A5291" s="19"/>
      <c r="B5291" s="12"/>
      <c r="C5291" s="24"/>
      <c r="D5291" s="12"/>
      <c r="E5291" s="23"/>
      <c r="F5291" s="17"/>
      <c r="G5291" s="17"/>
      <c r="Z5291" s="22"/>
      <c r="AB5291" s="22"/>
    </row>
    <row r="5292" spans="1:28">
      <c r="A5292" s="19"/>
      <c r="B5292" s="12"/>
      <c r="C5292" s="24"/>
      <c r="D5292" s="12"/>
      <c r="E5292" s="23"/>
      <c r="F5292" s="17"/>
      <c r="G5292" s="17"/>
      <c r="Z5292" s="22"/>
      <c r="AB5292" s="22"/>
    </row>
    <row r="5293" spans="1:28">
      <c r="A5293" s="19"/>
      <c r="B5293" s="12"/>
      <c r="C5293" s="24"/>
      <c r="D5293" s="12"/>
      <c r="E5293" s="23"/>
      <c r="F5293" s="17"/>
      <c r="G5293" s="17"/>
      <c r="Z5293" s="22"/>
      <c r="AB5293" s="22"/>
    </row>
    <row r="5294" spans="1:28">
      <c r="A5294" s="19"/>
      <c r="B5294" s="12"/>
      <c r="C5294" s="24"/>
      <c r="D5294" s="12"/>
      <c r="E5294" s="23"/>
      <c r="F5294" s="17"/>
      <c r="G5294" s="17"/>
      <c r="Z5294" s="22"/>
      <c r="AB5294" s="22"/>
    </row>
    <row r="5295" spans="1:28">
      <c r="A5295" s="19"/>
      <c r="B5295" s="12"/>
      <c r="C5295" s="24"/>
      <c r="D5295" s="12"/>
      <c r="E5295" s="23"/>
      <c r="F5295" s="17"/>
      <c r="G5295" s="17"/>
      <c r="Z5295" s="22"/>
      <c r="AB5295" s="22"/>
    </row>
    <row r="5296" spans="1:28">
      <c r="A5296" s="19"/>
      <c r="B5296" s="12"/>
      <c r="C5296" s="24"/>
      <c r="D5296" s="12"/>
      <c r="E5296" s="23"/>
      <c r="F5296" s="17"/>
      <c r="G5296" s="17"/>
      <c r="Z5296" s="22"/>
      <c r="AB5296" s="22"/>
    </row>
    <row r="5297" spans="1:38">
      <c r="A5297" s="19"/>
      <c r="B5297" s="12"/>
      <c r="C5297" s="24"/>
      <c r="D5297" s="12"/>
      <c r="E5297" s="23"/>
      <c r="F5297" s="17"/>
      <c r="G5297" s="17"/>
      <c r="Z5297" s="22"/>
      <c r="AB5297" s="22"/>
    </row>
    <row r="5298" spans="1:38">
      <c r="A5298" s="19"/>
      <c r="B5298" s="12"/>
      <c r="C5298" s="24"/>
      <c r="D5298" s="12"/>
      <c r="E5298" s="23"/>
      <c r="F5298" s="17"/>
      <c r="G5298" s="17"/>
      <c r="Z5298" s="22"/>
      <c r="AB5298" s="22"/>
    </row>
    <row r="5299" spans="1:38">
      <c r="A5299" s="19"/>
      <c r="B5299" s="12"/>
      <c r="C5299" s="24"/>
      <c r="D5299" s="12"/>
      <c r="E5299" s="23"/>
      <c r="F5299" s="17"/>
      <c r="G5299" s="17"/>
      <c r="Z5299" s="22"/>
      <c r="AB5299" s="22"/>
    </row>
    <row r="5300" spans="1:38">
      <c r="A5300" s="19">
        <v>550443062</v>
      </c>
      <c r="B5300" s="12" t="s">
        <v>149</v>
      </c>
      <c r="C5300" s="24">
        <v>43062</v>
      </c>
      <c r="D5300" s="12" t="s">
        <v>150</v>
      </c>
      <c r="E5300" s="23">
        <v>10</v>
      </c>
      <c r="F5300" s="17" t="s">
        <v>151</v>
      </c>
      <c r="G5300" s="17" t="s">
        <v>152</v>
      </c>
      <c r="I5300" t="s">
        <v>153</v>
      </c>
      <c r="J5300" t="s">
        <v>154</v>
      </c>
      <c r="K5300" t="s">
        <v>156</v>
      </c>
      <c r="L5300" t="s">
        <v>157</v>
      </c>
      <c r="M5300" t="s">
        <v>155</v>
      </c>
      <c r="O5300" t="s">
        <v>158</v>
      </c>
      <c r="P5300" t="s">
        <v>141</v>
      </c>
      <c r="Z5300" s="22" t="s">
        <v>141</v>
      </c>
      <c r="AA5300" t="s">
        <v>141</v>
      </c>
      <c r="AB5300" s="22"/>
    </row>
    <row r="5301" spans="1:38">
      <c r="A5301" s="19"/>
      <c r="B5301" s="12"/>
      <c r="C5301" s="24"/>
      <c r="D5301" s="12"/>
      <c r="E5301" s="23"/>
      <c r="F5301" s="19"/>
      <c r="P5301" s="19"/>
      <c r="Q5301" s="19"/>
      <c r="Z5301" s="22"/>
      <c r="AA5301" s="19"/>
      <c r="AB5301" s="22"/>
      <c r="AK5301" s="19"/>
      <c r="AL5301" s="19"/>
    </row>
  </sheetData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U22057"/>
  <sheetViews>
    <sheetView workbookViewId="0">
      <selection activeCell="A4" sqref="A4"/>
    </sheetView>
  </sheetViews>
  <sheetFormatPr baseColWidth="10" defaultColWidth="8.83203125" defaultRowHeight="14" x14ac:dyDescent="0"/>
  <cols>
    <col min="1" max="7" width="13.5" customWidth="1"/>
    <col min="8" max="8" width="21.83203125" customWidth="1"/>
    <col min="9" max="9" width="29" customWidth="1"/>
    <col min="10" max="10" width="25.5" customWidth="1"/>
    <col min="11" max="15" width="13.5" customWidth="1"/>
    <col min="16" max="16" width="14.33203125" customWidth="1"/>
    <col min="17" max="18" width="13.5" customWidth="1"/>
    <col min="19" max="19" width="18.6640625" customWidth="1"/>
    <col min="20" max="20" width="18.33203125" customWidth="1"/>
    <col min="21" max="22" width="13.5" customWidth="1"/>
    <col min="23" max="23" width="17.6640625" customWidth="1"/>
    <col min="24" max="25" width="13.5" customWidth="1"/>
    <col min="26" max="26" width="19.83203125" customWidth="1"/>
    <col min="27" max="27" width="23.6640625" customWidth="1"/>
    <col min="28" max="28" width="13.5" customWidth="1"/>
    <col min="29" max="29" width="18.6640625" customWidth="1"/>
    <col min="30" max="30" width="13.5" customWidth="1"/>
    <col min="31" max="31" width="14" customWidth="1"/>
    <col min="32" max="33" width="13.5" customWidth="1"/>
    <col min="34" max="34" width="16.6640625" customWidth="1"/>
    <col min="35" max="35" width="18" customWidth="1"/>
    <col min="36" max="36" width="25.33203125" customWidth="1"/>
    <col min="37" max="37" width="17.5" customWidth="1"/>
    <col min="38" max="38" width="24.83203125" customWidth="1"/>
    <col min="39" max="39" width="13.83203125" customWidth="1"/>
    <col min="40" max="40" width="15.83203125" customWidth="1"/>
    <col min="41" max="41" width="15.5" customWidth="1"/>
    <col min="42" max="42" width="15.5" style="17" customWidth="1"/>
    <col min="43" max="43" width="14.1640625" customWidth="1"/>
    <col min="44" max="44" width="18.33203125" customWidth="1"/>
    <col min="45" max="45" width="24.5" customWidth="1"/>
    <col min="46" max="46" width="25.33203125" customWidth="1"/>
    <col min="47" max="47" width="25.5" customWidth="1"/>
  </cols>
  <sheetData>
    <row r="1" spans="1:47">
      <c r="Z1" s="5" t="str">
        <f>IF(Y1=1,"HIV",IF(X1=1,"TB",IF(W1=1,"Susp. Meningitis",IF(V1=1,"Measles",IF(R1=1,"Malaria",IF(T1=1,"Bloody Diarrhoea",IF(S1=1,"Watery Diarrhoea",IF(Q1=1,"ARI",IF(U1=1,"UOF",IF(COUNT(Q1:Y1)=0,"","Other"))))))))))</f>
        <v/>
      </c>
      <c r="AQ1" s="2" t="str">
        <f>IFERROR(VLOOKUP(Table2[[#This Row],[MSF ID]],Table1[[#All],[MSF ID]:[age category]],37,FALSE),"")</f>
        <v/>
      </c>
    </row>
    <row r="2" spans="1:47">
      <c r="A2" s="10" t="s">
        <v>51</v>
      </c>
      <c r="B2" s="10" t="s">
        <v>142</v>
      </c>
      <c r="C2" s="10" t="s">
        <v>143</v>
      </c>
      <c r="D2" s="10" t="s">
        <v>144</v>
      </c>
      <c r="E2" s="10" t="s">
        <v>145</v>
      </c>
      <c r="F2" s="10" t="s">
        <v>69</v>
      </c>
      <c r="G2" s="10" t="s">
        <v>70</v>
      </c>
      <c r="H2" s="10" t="s">
        <v>71</v>
      </c>
      <c r="I2" s="10" t="s">
        <v>72</v>
      </c>
      <c r="J2" s="10" t="s">
        <v>73</v>
      </c>
      <c r="K2" s="10" t="s">
        <v>74</v>
      </c>
      <c r="L2" s="10" t="s">
        <v>75</v>
      </c>
      <c r="M2" s="10" t="s">
        <v>76</v>
      </c>
      <c r="N2" s="10" t="s">
        <v>77</v>
      </c>
      <c r="O2" s="10" t="s">
        <v>78</v>
      </c>
      <c r="P2" s="10" t="s">
        <v>79</v>
      </c>
      <c r="Q2" s="10" t="s">
        <v>80</v>
      </c>
      <c r="R2" s="10" t="s">
        <v>81</v>
      </c>
      <c r="S2" s="10" t="s">
        <v>82</v>
      </c>
      <c r="T2" s="10" t="s">
        <v>83</v>
      </c>
      <c r="U2" s="10" t="s">
        <v>84</v>
      </c>
      <c r="V2" s="10" t="s">
        <v>85</v>
      </c>
      <c r="W2" s="10" t="s">
        <v>86</v>
      </c>
      <c r="X2" s="10" t="s">
        <v>87</v>
      </c>
      <c r="Y2" s="10" t="s">
        <v>88</v>
      </c>
      <c r="Z2" s="10" t="s">
        <v>51</v>
      </c>
      <c r="AA2" s="10" t="s">
        <v>89</v>
      </c>
      <c r="AB2" s="10" t="s">
        <v>90</v>
      </c>
      <c r="AC2" s="10" t="s">
        <v>91</v>
      </c>
      <c r="AD2" s="10" t="s">
        <v>92</v>
      </c>
      <c r="AE2" s="10" t="s">
        <v>93</v>
      </c>
      <c r="AF2" s="10" t="s">
        <v>94</v>
      </c>
      <c r="AG2" s="10" t="s">
        <v>95</v>
      </c>
      <c r="AH2" s="10" t="s">
        <v>96</v>
      </c>
      <c r="AI2" s="10" t="s">
        <v>97</v>
      </c>
      <c r="AJ2" s="10" t="s">
        <v>98</v>
      </c>
      <c r="AK2" s="10" t="s">
        <v>99</v>
      </c>
      <c r="AL2" s="10" t="s">
        <v>100</v>
      </c>
      <c r="AM2" s="10" t="s">
        <v>51</v>
      </c>
      <c r="AN2" s="10" t="s">
        <v>51</v>
      </c>
      <c r="AO2" s="10" t="s">
        <v>51</v>
      </c>
      <c r="AP2" s="17" t="s">
        <v>51</v>
      </c>
      <c r="AQ2" s="10" t="s">
        <v>51</v>
      </c>
      <c r="AR2" s="10" t="s">
        <v>51</v>
      </c>
      <c r="AS2" s="10" t="s">
        <v>51</v>
      </c>
      <c r="AT2" s="10" t="s">
        <v>51</v>
      </c>
      <c r="AU2" s="10" t="s">
        <v>51</v>
      </c>
    </row>
    <row r="3" spans="1:47">
      <c r="A3" s="1" t="s">
        <v>7</v>
      </c>
      <c r="B3" s="1" t="s">
        <v>8</v>
      </c>
      <c r="C3" s="1" t="s">
        <v>146</v>
      </c>
      <c r="D3" s="1" t="s">
        <v>147</v>
      </c>
      <c r="E3" s="1" t="s">
        <v>148</v>
      </c>
      <c r="F3" s="1" t="s">
        <v>101</v>
      </c>
      <c r="G3" s="1" t="s">
        <v>102</v>
      </c>
      <c r="H3" s="1" t="s">
        <v>103</v>
      </c>
      <c r="I3" s="1" t="s">
        <v>104</v>
      </c>
      <c r="J3" s="1" t="s">
        <v>105</v>
      </c>
      <c r="K3" s="1" t="s">
        <v>106</v>
      </c>
      <c r="L3" s="1" t="s">
        <v>107</v>
      </c>
      <c r="M3" s="1" t="s">
        <v>108</v>
      </c>
      <c r="N3" s="1" t="s">
        <v>109</v>
      </c>
      <c r="O3" s="1" t="s">
        <v>110</v>
      </c>
      <c r="P3" s="1" t="s">
        <v>111</v>
      </c>
      <c r="Q3" s="1" t="s">
        <v>112</v>
      </c>
      <c r="R3" s="1" t="s">
        <v>113</v>
      </c>
      <c r="S3" s="1" t="s">
        <v>114</v>
      </c>
      <c r="T3" s="1" t="s">
        <v>115</v>
      </c>
      <c r="U3" s="1" t="s">
        <v>116</v>
      </c>
      <c r="V3" s="1" t="s">
        <v>117</v>
      </c>
      <c r="W3" s="1" t="s">
        <v>118</v>
      </c>
      <c r="X3" s="1" t="s">
        <v>119</v>
      </c>
      <c r="Y3" s="1" t="s">
        <v>120</v>
      </c>
      <c r="Z3" s="1" t="s">
        <v>121</v>
      </c>
      <c r="AA3" s="1" t="s">
        <v>122</v>
      </c>
      <c r="AB3" s="1" t="s">
        <v>123</v>
      </c>
      <c r="AC3" s="1" t="s">
        <v>124</v>
      </c>
      <c r="AD3" s="1" t="s">
        <v>125</v>
      </c>
      <c r="AE3" s="1" t="s">
        <v>126</v>
      </c>
      <c r="AF3" s="1" t="s">
        <v>127</v>
      </c>
      <c r="AG3" s="1" t="s">
        <v>128</v>
      </c>
      <c r="AH3" s="1" t="s">
        <v>129</v>
      </c>
      <c r="AI3" s="1" t="s">
        <v>130</v>
      </c>
      <c r="AJ3" s="1" t="s">
        <v>131</v>
      </c>
      <c r="AK3" s="1" t="s">
        <v>132</v>
      </c>
      <c r="AL3" s="1" t="s">
        <v>133</v>
      </c>
      <c r="AM3" s="1" t="s">
        <v>134</v>
      </c>
      <c r="AN3" s="1" t="s">
        <v>135</v>
      </c>
      <c r="AO3" s="1" t="s">
        <v>136</v>
      </c>
      <c r="AP3" s="1" t="s">
        <v>43</v>
      </c>
      <c r="AQ3" s="1" t="s">
        <v>44</v>
      </c>
      <c r="AR3" s="1" t="s">
        <v>137</v>
      </c>
      <c r="AS3" s="1" t="s">
        <v>138</v>
      </c>
      <c r="AT3" s="1" t="s">
        <v>139</v>
      </c>
      <c r="AU3" s="1" t="s">
        <v>140</v>
      </c>
    </row>
    <row r="4" spans="1:47">
      <c r="A4" s="17" t="s">
        <v>51</v>
      </c>
      <c r="B4" s="17" t="s">
        <v>142</v>
      </c>
      <c r="C4" s="17" t="s">
        <v>143</v>
      </c>
      <c r="D4" s="17" t="s">
        <v>144</v>
      </c>
      <c r="E4" s="17" t="s">
        <v>145</v>
      </c>
      <c r="F4" s="17" t="s">
        <v>179</v>
      </c>
      <c r="G4" s="17" t="s">
        <v>180</v>
      </c>
      <c r="H4" s="17" t="s">
        <v>181</v>
      </c>
      <c r="I4" s="17" t="s">
        <v>182</v>
      </c>
      <c r="J4" s="17" t="s">
        <v>183</v>
      </c>
      <c r="K4" s="17" t="s">
        <v>184</v>
      </c>
      <c r="L4" s="17" t="s">
        <v>185</v>
      </c>
      <c r="M4" s="17" t="s">
        <v>186</v>
      </c>
      <c r="N4" s="17" t="s">
        <v>187</v>
      </c>
      <c r="O4" s="17" t="s">
        <v>188</v>
      </c>
      <c r="P4" s="17" t="s">
        <v>189</v>
      </c>
      <c r="Q4" s="17" t="s">
        <v>190</v>
      </c>
      <c r="R4" s="17" t="s">
        <v>191</v>
      </c>
      <c r="S4" s="17" t="s">
        <v>192</v>
      </c>
      <c r="T4" s="17" t="s">
        <v>193</v>
      </c>
      <c r="U4" s="17" t="s">
        <v>194</v>
      </c>
      <c r="V4" s="17" t="s">
        <v>195</v>
      </c>
      <c r="W4" s="17" t="s">
        <v>196</v>
      </c>
      <c r="X4" s="17" t="s">
        <v>197</v>
      </c>
      <c r="Y4" s="17" t="s">
        <v>198</v>
      </c>
      <c r="Z4" s="17" t="s">
        <v>51</v>
      </c>
      <c r="AA4" s="17" t="s">
        <v>199</v>
      </c>
      <c r="AB4" s="17" t="s">
        <v>200</v>
      </c>
      <c r="AC4" s="17" t="s">
        <v>201</v>
      </c>
      <c r="AD4" s="17" t="s">
        <v>202</v>
      </c>
      <c r="AE4" s="17" t="s">
        <v>203</v>
      </c>
      <c r="AF4" s="17" t="s">
        <v>204</v>
      </c>
      <c r="AG4" s="17" t="s">
        <v>205</v>
      </c>
      <c r="AH4" s="17" t="s">
        <v>206</v>
      </c>
      <c r="AI4" s="17" t="s">
        <v>207</v>
      </c>
      <c r="AJ4" s="17" t="s">
        <v>208</v>
      </c>
      <c r="AK4" s="17" t="s">
        <v>209</v>
      </c>
      <c r="AL4" s="17" t="s">
        <v>210</v>
      </c>
      <c r="AM4" s="17" t="s">
        <v>51</v>
      </c>
      <c r="AN4" s="17" t="s">
        <v>51</v>
      </c>
      <c r="AO4" s="17" t="s">
        <v>51</v>
      </c>
      <c r="AP4" s="17" t="s">
        <v>51</v>
      </c>
      <c r="AQ4" s="17" t="s">
        <v>51</v>
      </c>
      <c r="AR4" s="17" t="s">
        <v>51</v>
      </c>
      <c r="AS4" s="17" t="s">
        <v>51</v>
      </c>
      <c r="AT4" s="17" t="s">
        <v>51</v>
      </c>
      <c r="AU4" s="17" t="s">
        <v>51</v>
      </c>
    </row>
    <row r="5" spans="1:47">
      <c r="C5" s="20"/>
      <c r="Z5" s="20"/>
      <c r="AG5" s="20"/>
      <c r="AQ5" s="19"/>
      <c r="AR5" s="19"/>
      <c r="AS5" s="19"/>
      <c r="AT5" s="19"/>
      <c r="AU5" s="19"/>
    </row>
    <row r="6" spans="1:47">
      <c r="C6" s="20"/>
      <c r="Z6" s="20"/>
      <c r="AG6" s="20"/>
      <c r="AQ6" s="19"/>
      <c r="AR6" s="19"/>
      <c r="AS6" s="19"/>
      <c r="AT6" s="19"/>
      <c r="AU6" s="19"/>
    </row>
    <row r="7" spans="1:47">
      <c r="C7" s="20"/>
      <c r="Z7" s="20"/>
      <c r="AG7" s="20"/>
      <c r="AQ7" s="19"/>
      <c r="AR7" s="19"/>
      <c r="AS7" s="19"/>
      <c r="AT7" s="19"/>
      <c r="AU7" s="19"/>
    </row>
    <row r="8" spans="1:47">
      <c r="C8" s="20"/>
      <c r="Z8" s="20"/>
      <c r="AG8" s="20"/>
      <c r="AL8" s="7"/>
      <c r="AQ8" s="19"/>
      <c r="AR8" s="19"/>
      <c r="AS8" s="19"/>
      <c r="AT8" s="19"/>
      <c r="AU8" s="19"/>
    </row>
    <row r="9" spans="1:47">
      <c r="C9" s="20"/>
      <c r="Z9" s="20"/>
      <c r="AG9" s="20"/>
      <c r="AQ9" s="19"/>
      <c r="AR9" s="19"/>
      <c r="AS9" s="19"/>
      <c r="AT9" s="19"/>
      <c r="AU9" s="19"/>
    </row>
    <row r="10" spans="1:47">
      <c r="C10" s="20"/>
      <c r="Z10" s="20"/>
      <c r="AG10" s="20"/>
      <c r="AQ10" s="19"/>
      <c r="AR10" s="19"/>
      <c r="AS10" s="19"/>
      <c r="AT10" s="19"/>
      <c r="AU10" s="19"/>
    </row>
    <row r="11" spans="1:47">
      <c r="C11" s="20"/>
      <c r="Z11" s="20"/>
      <c r="AG11" s="20"/>
      <c r="AQ11" s="19"/>
      <c r="AR11" s="19"/>
      <c r="AS11" s="19"/>
      <c r="AT11" s="19"/>
      <c r="AU11" s="19"/>
    </row>
    <row r="12" spans="1:47">
      <c r="C12" s="20"/>
      <c r="Z12" s="20"/>
      <c r="AG12" s="20"/>
      <c r="AQ12" s="19"/>
      <c r="AR12" s="19"/>
      <c r="AS12" s="19"/>
      <c r="AT12" s="19"/>
      <c r="AU12" s="19"/>
    </row>
    <row r="13" spans="1:47">
      <c r="C13" s="20"/>
      <c r="Z13" s="20"/>
      <c r="AG13" s="20"/>
      <c r="AQ13" s="19"/>
      <c r="AR13" s="19"/>
      <c r="AS13" s="19"/>
      <c r="AT13" s="19"/>
      <c r="AU13" s="19"/>
    </row>
    <row r="14" spans="1:47">
      <c r="C14" s="20"/>
      <c r="Z14" s="20"/>
      <c r="AG14" s="20"/>
      <c r="AQ14" s="19"/>
      <c r="AR14" s="19"/>
      <c r="AS14" s="19"/>
      <c r="AT14" s="19"/>
      <c r="AU14" s="19"/>
    </row>
    <row r="15" spans="1:47">
      <c r="C15" s="20"/>
      <c r="Z15" s="20"/>
      <c r="AG15" s="20"/>
      <c r="AQ15" s="19"/>
      <c r="AR15" s="19"/>
      <c r="AS15" s="19"/>
      <c r="AT15" s="19"/>
      <c r="AU15" s="19"/>
    </row>
    <row r="16" spans="1:47">
      <c r="C16" s="20"/>
      <c r="Z16" s="20"/>
      <c r="AG16" s="20"/>
      <c r="AQ16" s="19"/>
      <c r="AR16" s="19"/>
      <c r="AS16" s="19"/>
      <c r="AT16" s="19"/>
      <c r="AU16" s="19"/>
    </row>
    <row r="17" spans="3:47">
      <c r="C17" s="20"/>
      <c r="Z17" s="20"/>
      <c r="AG17" s="20"/>
      <c r="AQ17" s="19"/>
      <c r="AR17" s="19"/>
      <c r="AS17" s="19"/>
      <c r="AT17" s="19"/>
      <c r="AU17" s="19"/>
    </row>
    <row r="18" spans="3:47">
      <c r="C18" s="20"/>
      <c r="Z18" s="20"/>
      <c r="AG18" s="20"/>
      <c r="AQ18" s="19"/>
      <c r="AR18" s="19"/>
      <c r="AS18" s="19"/>
      <c r="AT18" s="19"/>
      <c r="AU18" s="19"/>
    </row>
    <row r="19" spans="3:47">
      <c r="C19" s="20"/>
      <c r="Z19" s="20"/>
      <c r="AG19" s="20"/>
      <c r="AQ19" s="19"/>
      <c r="AR19" s="19"/>
      <c r="AS19" s="19"/>
      <c r="AT19" s="19"/>
      <c r="AU19" s="19"/>
    </row>
    <row r="20" spans="3:47">
      <c r="C20" s="20"/>
      <c r="Z20" s="20"/>
      <c r="AG20" s="20"/>
      <c r="AQ20" s="19"/>
      <c r="AR20" s="19"/>
      <c r="AS20" s="19"/>
      <c r="AT20" s="19"/>
      <c r="AU20" s="19"/>
    </row>
    <row r="21" spans="3:47">
      <c r="C21" s="20"/>
      <c r="Z21" s="20"/>
      <c r="AG21" s="20"/>
      <c r="AQ21" s="19"/>
      <c r="AR21" s="19"/>
      <c r="AS21" s="19"/>
      <c r="AT21" s="19"/>
      <c r="AU21" s="19"/>
    </row>
    <row r="22" spans="3:47">
      <c r="C22" s="20"/>
      <c r="Z22" s="20"/>
      <c r="AG22" s="20"/>
      <c r="AQ22" s="19"/>
      <c r="AR22" s="19"/>
      <c r="AS22" s="19"/>
      <c r="AT22" s="19"/>
      <c r="AU22" s="19"/>
    </row>
    <row r="23" spans="3:47">
      <c r="C23" s="20"/>
      <c r="Z23" s="20"/>
      <c r="AG23" s="20"/>
      <c r="AQ23" s="19"/>
      <c r="AR23" s="19"/>
      <c r="AS23" s="19"/>
      <c r="AT23" s="19"/>
      <c r="AU23" s="19"/>
    </row>
    <row r="24" spans="3:47">
      <c r="C24" s="20"/>
      <c r="Z24" s="20"/>
      <c r="AG24" s="20"/>
      <c r="AQ24" s="19"/>
      <c r="AR24" s="19"/>
      <c r="AS24" s="19"/>
      <c r="AT24" s="19"/>
      <c r="AU24" s="19"/>
    </row>
    <row r="25" spans="3:47">
      <c r="C25" s="20"/>
      <c r="Z25" s="20"/>
      <c r="AG25" s="20"/>
      <c r="AQ25" s="19"/>
      <c r="AR25" s="19"/>
      <c r="AS25" s="19"/>
      <c r="AT25" s="19"/>
      <c r="AU25" s="19"/>
    </row>
    <row r="26" spans="3:47">
      <c r="C26" s="20"/>
      <c r="Z26" s="20"/>
      <c r="AG26" s="20"/>
      <c r="AQ26" s="19"/>
      <c r="AR26" s="19"/>
      <c r="AS26" s="19"/>
      <c r="AT26" s="19"/>
      <c r="AU26" s="19"/>
    </row>
    <row r="27" spans="3:47">
      <c r="C27" s="20"/>
      <c r="Z27" s="20"/>
      <c r="AG27" s="20"/>
      <c r="AQ27" s="19"/>
      <c r="AR27" s="19"/>
      <c r="AS27" s="19"/>
      <c r="AT27" s="19"/>
      <c r="AU27" s="19"/>
    </row>
    <row r="28" spans="3:47">
      <c r="C28" s="20"/>
      <c r="Z28" s="20"/>
      <c r="AG28" s="20"/>
      <c r="AQ28" s="19"/>
      <c r="AR28" s="19"/>
      <c r="AS28" s="19"/>
      <c r="AT28" s="19"/>
      <c r="AU28" s="19"/>
    </row>
    <row r="29" spans="3:47">
      <c r="C29" s="20"/>
      <c r="Z29" s="20"/>
      <c r="AG29" s="20"/>
      <c r="AQ29" s="19"/>
      <c r="AR29" s="19"/>
      <c r="AS29" s="19"/>
      <c r="AT29" s="19"/>
      <c r="AU29" s="19"/>
    </row>
    <row r="30" spans="3:47">
      <c r="C30" s="20"/>
      <c r="Z30" s="20"/>
      <c r="AG30" s="20"/>
      <c r="AQ30" s="19"/>
      <c r="AR30" s="19"/>
      <c r="AS30" s="19"/>
      <c r="AT30" s="19"/>
      <c r="AU30" s="19"/>
    </row>
    <row r="31" spans="3:47">
      <c r="C31" s="20"/>
      <c r="Z31" s="20"/>
      <c r="AG31" s="20"/>
      <c r="AQ31" s="19"/>
      <c r="AR31" s="19"/>
      <c r="AS31" s="19"/>
      <c r="AT31" s="19"/>
      <c r="AU31" s="19"/>
    </row>
    <row r="32" spans="3:47">
      <c r="C32" s="20"/>
      <c r="Z32" s="20"/>
      <c r="AG32" s="20"/>
      <c r="AQ32" s="19"/>
      <c r="AR32" s="19"/>
      <c r="AS32" s="19"/>
      <c r="AT32" s="19"/>
      <c r="AU32" s="19"/>
    </row>
    <row r="33" spans="3:47">
      <c r="C33" s="20"/>
      <c r="Z33" s="20"/>
      <c r="AG33" s="20"/>
      <c r="AQ33" s="19"/>
      <c r="AR33" s="19"/>
      <c r="AS33" s="19"/>
      <c r="AT33" s="19"/>
      <c r="AU33" s="19"/>
    </row>
    <row r="34" spans="3:47">
      <c r="C34" s="20"/>
      <c r="Z34" s="20"/>
      <c r="AG34" s="20"/>
      <c r="AQ34" s="19"/>
      <c r="AR34" s="19"/>
      <c r="AS34" s="19"/>
      <c r="AT34" s="19"/>
      <c r="AU34" s="19"/>
    </row>
    <row r="35" spans="3:47">
      <c r="C35" s="20"/>
      <c r="Z35" s="20"/>
      <c r="AG35" s="20"/>
      <c r="AQ35" s="19"/>
      <c r="AR35" s="19"/>
      <c r="AS35" s="19"/>
      <c r="AT35" s="19"/>
      <c r="AU35" s="19"/>
    </row>
    <row r="36" spans="3:47">
      <c r="C36" s="20"/>
      <c r="Z36" s="20"/>
      <c r="AG36" s="20"/>
      <c r="AQ36" s="19"/>
      <c r="AR36" s="19"/>
      <c r="AS36" s="19"/>
      <c r="AT36" s="19"/>
      <c r="AU36" s="19"/>
    </row>
    <row r="37" spans="3:47">
      <c r="C37" s="20"/>
      <c r="Z37" s="20"/>
      <c r="AG37" s="20"/>
      <c r="AQ37" s="19"/>
      <c r="AR37" s="19"/>
      <c r="AS37" s="19"/>
      <c r="AT37" s="19"/>
      <c r="AU37" s="19"/>
    </row>
    <row r="38" spans="3:47">
      <c r="C38" s="20"/>
      <c r="Z38" s="20"/>
      <c r="AG38" s="20"/>
      <c r="AQ38" s="19"/>
      <c r="AR38" s="19"/>
      <c r="AS38" s="19"/>
      <c r="AT38" s="19"/>
      <c r="AU38" s="19"/>
    </row>
    <row r="39" spans="3:47">
      <c r="C39" s="20"/>
      <c r="Z39" s="20"/>
      <c r="AG39" s="20"/>
      <c r="AQ39" s="19"/>
      <c r="AR39" s="19"/>
      <c r="AS39" s="19"/>
      <c r="AT39" s="19"/>
      <c r="AU39" s="19"/>
    </row>
    <row r="40" spans="3:47">
      <c r="C40" s="20"/>
      <c r="Z40" s="20"/>
      <c r="AG40" s="20"/>
      <c r="AQ40" s="19"/>
      <c r="AR40" s="19"/>
      <c r="AS40" s="19"/>
      <c r="AT40" s="19"/>
      <c r="AU40" s="19"/>
    </row>
    <row r="41" spans="3:47">
      <c r="C41" s="20"/>
      <c r="Z41" s="20"/>
      <c r="AG41" s="20"/>
      <c r="AQ41" s="19"/>
      <c r="AR41" s="19"/>
      <c r="AS41" s="19"/>
      <c r="AT41" s="19"/>
      <c r="AU41" s="19"/>
    </row>
    <row r="42" spans="3:47">
      <c r="C42" s="20"/>
      <c r="Z42" s="20"/>
      <c r="AG42" s="20"/>
      <c r="AQ42" s="19"/>
      <c r="AR42" s="19"/>
      <c r="AS42" s="19"/>
      <c r="AT42" s="19"/>
      <c r="AU42" s="19"/>
    </row>
    <row r="43" spans="3:47">
      <c r="C43" s="20"/>
      <c r="Z43" s="20"/>
      <c r="AG43" s="20"/>
      <c r="AQ43" s="19"/>
      <c r="AR43" s="19"/>
      <c r="AS43" s="19"/>
      <c r="AT43" s="19"/>
      <c r="AU43" s="19"/>
    </row>
    <row r="44" spans="3:47">
      <c r="C44" s="20"/>
      <c r="Z44" s="20"/>
      <c r="AG44" s="20"/>
      <c r="AQ44" s="19"/>
      <c r="AR44" s="19"/>
      <c r="AS44" s="19"/>
      <c r="AT44" s="19"/>
      <c r="AU44" s="19"/>
    </row>
    <row r="45" spans="3:47">
      <c r="C45" s="20"/>
      <c r="Z45" s="20"/>
      <c r="AG45" s="20"/>
      <c r="AQ45" s="19"/>
      <c r="AR45" s="19"/>
      <c r="AS45" s="19"/>
      <c r="AT45" s="19"/>
      <c r="AU45" s="19"/>
    </row>
    <row r="46" spans="3:47">
      <c r="C46" s="20"/>
      <c r="Z46" s="20"/>
      <c r="AG46" s="20"/>
      <c r="AQ46" s="19"/>
      <c r="AR46" s="19"/>
      <c r="AS46" s="19"/>
      <c r="AT46" s="19"/>
      <c r="AU46" s="19"/>
    </row>
    <row r="47" spans="3:47">
      <c r="C47" s="20"/>
      <c r="Z47" s="20"/>
      <c r="AG47" s="20"/>
      <c r="AQ47" s="19"/>
      <c r="AR47" s="19"/>
      <c r="AS47" s="19"/>
      <c r="AT47" s="19"/>
      <c r="AU47" s="19"/>
    </row>
    <row r="48" spans="3:47">
      <c r="C48" s="20"/>
      <c r="Z48" s="20"/>
      <c r="AG48" s="20"/>
      <c r="AQ48" s="19"/>
      <c r="AR48" s="19"/>
      <c r="AS48" s="19"/>
      <c r="AT48" s="19"/>
      <c r="AU48" s="19"/>
    </row>
    <row r="49" spans="3:47">
      <c r="C49" s="20"/>
      <c r="Z49" s="20"/>
      <c r="AG49" s="20"/>
      <c r="AQ49" s="19"/>
      <c r="AR49" s="19"/>
      <c r="AS49" s="19"/>
      <c r="AT49" s="19"/>
      <c r="AU49" s="19"/>
    </row>
    <row r="50" spans="3:47">
      <c r="C50" s="20"/>
      <c r="Z50" s="20"/>
      <c r="AG50" s="20"/>
      <c r="AQ50" s="19"/>
      <c r="AR50" s="19"/>
      <c r="AS50" s="19"/>
      <c r="AT50" s="19"/>
      <c r="AU50" s="19"/>
    </row>
    <row r="51" spans="3:47">
      <c r="C51" s="20"/>
      <c r="Z51" s="20"/>
      <c r="AG51" s="20"/>
      <c r="AQ51" s="19"/>
      <c r="AR51" s="19"/>
      <c r="AS51" s="19"/>
      <c r="AT51" s="19"/>
      <c r="AU51" s="19"/>
    </row>
    <row r="52" spans="3:47">
      <c r="C52" s="20"/>
      <c r="Z52" s="20"/>
      <c r="AG52" s="20"/>
      <c r="AQ52" s="19"/>
      <c r="AR52" s="19"/>
      <c r="AS52" s="19"/>
      <c r="AT52" s="19"/>
      <c r="AU52" s="19"/>
    </row>
    <row r="53" spans="3:47">
      <c r="C53" s="20"/>
      <c r="Z53" s="20"/>
      <c r="AG53" s="20"/>
      <c r="AQ53" s="19"/>
      <c r="AR53" s="19"/>
      <c r="AS53" s="19"/>
      <c r="AT53" s="19"/>
      <c r="AU53" s="19"/>
    </row>
    <row r="54" spans="3:47">
      <c r="C54" s="20"/>
      <c r="Z54" s="20"/>
      <c r="AG54" s="20"/>
      <c r="AQ54" s="19"/>
      <c r="AR54" s="19"/>
      <c r="AS54" s="19"/>
      <c r="AT54" s="19"/>
      <c r="AU54" s="19"/>
    </row>
    <row r="55" spans="3:47">
      <c r="C55" s="20"/>
      <c r="Z55" s="20"/>
      <c r="AG55" s="20"/>
      <c r="AQ55" s="19"/>
      <c r="AR55" s="19"/>
      <c r="AS55" s="19"/>
      <c r="AT55" s="19"/>
      <c r="AU55" s="19"/>
    </row>
    <row r="56" spans="3:47">
      <c r="C56" s="20"/>
      <c r="Z56" s="20"/>
      <c r="AG56" s="20"/>
      <c r="AQ56" s="19"/>
      <c r="AR56" s="19"/>
      <c r="AS56" s="19"/>
      <c r="AT56" s="19"/>
      <c r="AU56" s="19"/>
    </row>
    <row r="57" spans="3:47">
      <c r="C57" s="20"/>
      <c r="Z57" s="20"/>
      <c r="AG57" s="20"/>
      <c r="AQ57" s="19"/>
      <c r="AR57" s="19"/>
      <c r="AS57" s="19"/>
      <c r="AT57" s="19"/>
      <c r="AU57" s="19"/>
    </row>
    <row r="58" spans="3:47">
      <c r="C58" s="20"/>
      <c r="Z58" s="20"/>
      <c r="AG58" s="20"/>
      <c r="AQ58" s="19"/>
      <c r="AR58" s="19"/>
      <c r="AS58" s="19"/>
      <c r="AT58" s="19"/>
      <c r="AU58" s="19"/>
    </row>
    <row r="59" spans="3:47">
      <c r="C59" s="20"/>
      <c r="Z59" s="20"/>
      <c r="AG59" s="20"/>
      <c r="AQ59" s="19"/>
      <c r="AR59" s="19"/>
      <c r="AS59" s="19"/>
      <c r="AT59" s="19"/>
      <c r="AU59" s="19"/>
    </row>
    <row r="60" spans="3:47">
      <c r="C60" s="20"/>
      <c r="Z60" s="20"/>
      <c r="AG60" s="20"/>
      <c r="AQ60" s="19"/>
      <c r="AR60" s="19"/>
      <c r="AS60" s="19"/>
      <c r="AT60" s="19"/>
      <c r="AU60" s="19"/>
    </row>
    <row r="61" spans="3:47">
      <c r="C61" s="20"/>
      <c r="Z61" s="20"/>
      <c r="AG61" s="20"/>
      <c r="AQ61" s="19"/>
      <c r="AR61" s="19"/>
      <c r="AS61" s="19"/>
      <c r="AT61" s="19"/>
      <c r="AU61" s="19"/>
    </row>
    <row r="62" spans="3:47">
      <c r="C62" s="20"/>
      <c r="Z62" s="20"/>
      <c r="AG62" s="20"/>
      <c r="AQ62" s="19"/>
      <c r="AR62" s="19"/>
      <c r="AS62" s="19"/>
      <c r="AT62" s="19"/>
      <c r="AU62" s="19"/>
    </row>
    <row r="63" spans="3:47">
      <c r="C63" s="20"/>
      <c r="Z63" s="20"/>
      <c r="AG63" s="20"/>
      <c r="AQ63" s="19"/>
      <c r="AR63" s="19"/>
      <c r="AS63" s="19"/>
      <c r="AT63" s="19"/>
      <c r="AU63" s="19"/>
    </row>
    <row r="64" spans="3:47">
      <c r="C64" s="20"/>
      <c r="Z64" s="20"/>
      <c r="AG64" s="20"/>
      <c r="AQ64" s="19"/>
      <c r="AR64" s="19"/>
      <c r="AS64" s="19"/>
      <c r="AT64" s="19"/>
      <c r="AU64" s="19"/>
    </row>
    <row r="65" spans="3:47">
      <c r="C65" s="20"/>
      <c r="Z65" s="20"/>
      <c r="AG65" s="20"/>
      <c r="AQ65" s="19"/>
      <c r="AR65" s="19"/>
      <c r="AS65" s="19"/>
      <c r="AT65" s="19"/>
      <c r="AU65" s="19"/>
    </row>
    <row r="66" spans="3:47">
      <c r="C66" s="20"/>
      <c r="Z66" s="20"/>
      <c r="AG66" s="20"/>
      <c r="AQ66" s="19"/>
      <c r="AR66" s="19"/>
      <c r="AS66" s="19"/>
      <c r="AT66" s="19"/>
      <c r="AU66" s="19"/>
    </row>
    <row r="67" spans="3:47">
      <c r="C67" s="20"/>
      <c r="Z67" s="20"/>
      <c r="AG67" s="20"/>
      <c r="AQ67" s="19"/>
      <c r="AR67" s="19"/>
      <c r="AS67" s="19"/>
      <c r="AT67" s="19"/>
      <c r="AU67" s="19"/>
    </row>
    <row r="68" spans="3:47">
      <c r="C68" s="20"/>
      <c r="Z68" s="20"/>
      <c r="AG68" s="20"/>
      <c r="AQ68" s="19"/>
      <c r="AR68" s="19"/>
      <c r="AS68" s="19"/>
      <c r="AT68" s="19"/>
      <c r="AU68" s="19"/>
    </row>
    <row r="69" spans="3:47">
      <c r="C69" s="20"/>
      <c r="Z69" s="20"/>
      <c r="AG69" s="20"/>
      <c r="AQ69" s="19"/>
      <c r="AR69" s="19"/>
      <c r="AS69" s="19"/>
      <c r="AT69" s="19"/>
      <c r="AU69" s="19"/>
    </row>
    <row r="70" spans="3:47">
      <c r="C70" s="20"/>
      <c r="Z70" s="20"/>
      <c r="AG70" s="20"/>
      <c r="AQ70" s="19"/>
      <c r="AR70" s="19"/>
      <c r="AS70" s="19"/>
      <c r="AT70" s="19"/>
      <c r="AU70" s="19"/>
    </row>
    <row r="71" spans="3:47">
      <c r="C71" s="20"/>
      <c r="Z71" s="20"/>
      <c r="AG71" s="20"/>
      <c r="AQ71" s="19"/>
      <c r="AR71" s="19"/>
      <c r="AS71" s="19"/>
      <c r="AT71" s="19"/>
      <c r="AU71" s="19"/>
    </row>
    <row r="72" spans="3:47">
      <c r="C72" s="20"/>
      <c r="Z72" s="20"/>
      <c r="AG72" s="20"/>
      <c r="AQ72" s="19"/>
      <c r="AR72" s="19"/>
      <c r="AS72" s="19"/>
      <c r="AT72" s="19"/>
      <c r="AU72" s="19"/>
    </row>
    <row r="73" spans="3:47">
      <c r="C73" s="20"/>
      <c r="Z73" s="20"/>
      <c r="AG73" s="20"/>
      <c r="AQ73" s="19"/>
      <c r="AR73" s="19"/>
      <c r="AS73" s="19"/>
      <c r="AT73" s="19"/>
      <c r="AU73" s="19"/>
    </row>
    <row r="74" spans="3:47">
      <c r="C74" s="20"/>
      <c r="Z74" s="20"/>
      <c r="AG74" s="20"/>
      <c r="AQ74" s="19"/>
      <c r="AR74" s="19"/>
      <c r="AS74" s="19"/>
      <c r="AT74" s="19"/>
      <c r="AU74" s="19"/>
    </row>
    <row r="75" spans="3:47">
      <c r="C75" s="20"/>
      <c r="Z75" s="20"/>
      <c r="AG75" s="20"/>
      <c r="AQ75" s="19"/>
      <c r="AR75" s="19"/>
      <c r="AS75" s="19"/>
      <c r="AT75" s="19"/>
      <c r="AU75" s="19"/>
    </row>
    <row r="76" spans="3:47">
      <c r="C76" s="20"/>
      <c r="Z76" s="20"/>
      <c r="AG76" s="20"/>
      <c r="AQ76" s="19"/>
      <c r="AR76" s="19"/>
      <c r="AS76" s="19"/>
      <c r="AT76" s="19"/>
      <c r="AU76" s="19"/>
    </row>
    <row r="77" spans="3:47">
      <c r="C77" s="20"/>
      <c r="Z77" s="20"/>
      <c r="AG77" s="20"/>
      <c r="AQ77" s="19"/>
      <c r="AR77" s="19"/>
      <c r="AS77" s="19"/>
      <c r="AT77" s="19"/>
      <c r="AU77" s="19"/>
    </row>
    <row r="78" spans="3:47">
      <c r="C78" s="20"/>
      <c r="Z78" s="20"/>
      <c r="AG78" s="20"/>
      <c r="AQ78" s="19"/>
      <c r="AR78" s="19"/>
      <c r="AS78" s="19"/>
      <c r="AT78" s="19"/>
      <c r="AU78" s="19"/>
    </row>
    <row r="79" spans="3:47">
      <c r="C79" s="20"/>
      <c r="Z79" s="20"/>
      <c r="AG79" s="20"/>
      <c r="AQ79" s="19"/>
      <c r="AR79" s="19"/>
      <c r="AS79" s="19"/>
      <c r="AT79" s="19"/>
      <c r="AU79" s="19"/>
    </row>
    <row r="80" spans="3:47">
      <c r="C80" s="20"/>
      <c r="Z80" s="20"/>
      <c r="AG80" s="20"/>
      <c r="AQ80" s="19"/>
      <c r="AR80" s="19"/>
      <c r="AS80" s="19"/>
      <c r="AT80" s="19"/>
      <c r="AU80" s="19"/>
    </row>
    <row r="81" spans="3:47">
      <c r="C81" s="20"/>
      <c r="Z81" s="20"/>
      <c r="AG81" s="20"/>
      <c r="AQ81" s="19"/>
      <c r="AR81" s="19"/>
      <c r="AS81" s="19"/>
      <c r="AT81" s="19"/>
      <c r="AU81" s="19"/>
    </row>
    <row r="82" spans="3:47">
      <c r="C82" s="20"/>
      <c r="Z82" s="20"/>
      <c r="AG82" s="20"/>
      <c r="AQ82" s="19"/>
      <c r="AR82" s="19"/>
      <c r="AS82" s="19"/>
      <c r="AT82" s="19"/>
      <c r="AU82" s="19"/>
    </row>
    <row r="83" spans="3:47">
      <c r="C83" s="20"/>
      <c r="Z83" s="20"/>
      <c r="AG83" s="20"/>
      <c r="AQ83" s="19"/>
      <c r="AR83" s="19"/>
      <c r="AS83" s="19"/>
      <c r="AT83" s="19"/>
      <c r="AU83" s="19"/>
    </row>
    <row r="84" spans="3:47">
      <c r="C84" s="20"/>
      <c r="Z84" s="20"/>
      <c r="AG84" s="20"/>
      <c r="AQ84" s="19"/>
      <c r="AR84" s="19"/>
      <c r="AS84" s="19"/>
      <c r="AT84" s="19"/>
      <c r="AU84" s="19"/>
    </row>
    <row r="85" spans="3:47">
      <c r="C85" s="20"/>
      <c r="Z85" s="20"/>
      <c r="AG85" s="20"/>
      <c r="AQ85" s="19"/>
      <c r="AR85" s="19"/>
      <c r="AS85" s="19"/>
      <c r="AT85" s="19"/>
      <c r="AU85" s="19"/>
    </row>
    <row r="86" spans="3:47">
      <c r="C86" s="20"/>
      <c r="Z86" s="20"/>
      <c r="AG86" s="20"/>
      <c r="AQ86" s="19"/>
      <c r="AR86" s="19"/>
      <c r="AS86" s="19"/>
      <c r="AT86" s="19"/>
      <c r="AU86" s="19"/>
    </row>
    <row r="87" spans="3:47">
      <c r="C87" s="20"/>
      <c r="Z87" s="20"/>
      <c r="AG87" s="20"/>
      <c r="AQ87" s="19"/>
      <c r="AR87" s="19"/>
      <c r="AS87" s="19"/>
      <c r="AT87" s="19"/>
      <c r="AU87" s="19"/>
    </row>
    <row r="88" spans="3:47">
      <c r="C88" s="20"/>
      <c r="Z88" s="20"/>
      <c r="AG88" s="20"/>
      <c r="AQ88" s="19"/>
      <c r="AR88" s="19"/>
      <c r="AS88" s="19"/>
      <c r="AT88" s="19"/>
      <c r="AU88" s="19"/>
    </row>
    <row r="89" spans="3:47">
      <c r="C89" s="20"/>
      <c r="Z89" s="20"/>
      <c r="AG89" s="20"/>
      <c r="AQ89" s="19"/>
      <c r="AR89" s="19"/>
      <c r="AS89" s="19"/>
      <c r="AT89" s="19"/>
      <c r="AU89" s="19"/>
    </row>
    <row r="90" spans="3:47">
      <c r="C90" s="20"/>
      <c r="Z90" s="20"/>
      <c r="AG90" s="20"/>
      <c r="AQ90" s="19"/>
      <c r="AR90" s="19"/>
      <c r="AS90" s="19"/>
      <c r="AT90" s="19"/>
      <c r="AU90" s="19"/>
    </row>
    <row r="91" spans="3:47">
      <c r="C91" s="20"/>
      <c r="Z91" s="20"/>
      <c r="AG91" s="20"/>
      <c r="AQ91" s="19"/>
      <c r="AR91" s="19"/>
      <c r="AS91" s="19"/>
      <c r="AT91" s="19"/>
      <c r="AU91" s="19"/>
    </row>
    <row r="92" spans="3:47">
      <c r="C92" s="20"/>
      <c r="Z92" s="20"/>
      <c r="AG92" s="20"/>
      <c r="AQ92" s="19"/>
      <c r="AR92" s="19"/>
      <c r="AS92" s="19"/>
      <c r="AT92" s="19"/>
      <c r="AU92" s="19"/>
    </row>
    <row r="93" spans="3:47">
      <c r="C93" s="20"/>
      <c r="Z93" s="20"/>
      <c r="AG93" s="20"/>
      <c r="AQ93" s="19"/>
      <c r="AR93" s="19"/>
      <c r="AS93" s="19"/>
      <c r="AT93" s="19"/>
      <c r="AU93" s="19"/>
    </row>
    <row r="94" spans="3:47">
      <c r="C94" s="20"/>
      <c r="Z94" s="20"/>
      <c r="AG94" s="20"/>
      <c r="AQ94" s="19"/>
      <c r="AR94" s="19"/>
      <c r="AS94" s="19"/>
      <c r="AT94" s="19"/>
      <c r="AU94" s="19"/>
    </row>
    <row r="95" spans="3:47">
      <c r="C95" s="20"/>
      <c r="Z95" s="20"/>
      <c r="AG95" s="20"/>
      <c r="AQ95" s="19"/>
      <c r="AR95" s="19"/>
      <c r="AS95" s="19"/>
      <c r="AT95" s="19"/>
      <c r="AU95" s="19"/>
    </row>
    <row r="96" spans="3:47">
      <c r="C96" s="20"/>
      <c r="Z96" s="20"/>
      <c r="AG96" s="20"/>
      <c r="AQ96" s="19"/>
      <c r="AR96" s="19"/>
      <c r="AS96" s="19"/>
      <c r="AT96" s="19"/>
      <c r="AU96" s="19"/>
    </row>
    <row r="97" spans="3:47">
      <c r="C97" s="20"/>
      <c r="Z97" s="20"/>
      <c r="AG97" s="20"/>
      <c r="AQ97" s="19"/>
      <c r="AR97" s="19"/>
      <c r="AS97" s="19"/>
      <c r="AT97" s="19"/>
      <c r="AU97" s="19"/>
    </row>
    <row r="98" spans="3:47">
      <c r="C98" s="20"/>
      <c r="Z98" s="20"/>
      <c r="AG98" s="20"/>
      <c r="AQ98" s="19"/>
      <c r="AR98" s="19"/>
      <c r="AS98" s="19"/>
      <c r="AT98" s="19"/>
      <c r="AU98" s="19"/>
    </row>
    <row r="99" spans="3:47">
      <c r="C99" s="20"/>
      <c r="Z99" s="20"/>
      <c r="AG99" s="20"/>
      <c r="AQ99" s="19"/>
      <c r="AR99" s="19"/>
      <c r="AS99" s="19"/>
      <c r="AT99" s="19"/>
      <c r="AU99" s="19"/>
    </row>
    <row r="100" spans="3:47">
      <c r="C100" s="20"/>
      <c r="Z100" s="20"/>
      <c r="AG100" s="20"/>
      <c r="AQ100" s="19"/>
      <c r="AR100" s="19"/>
      <c r="AS100" s="19"/>
      <c r="AT100" s="19"/>
      <c r="AU100" s="19"/>
    </row>
    <row r="101" spans="3:47">
      <c r="C101" s="20"/>
      <c r="Z101" s="20"/>
      <c r="AG101" s="20"/>
      <c r="AQ101" s="19"/>
      <c r="AR101" s="19"/>
      <c r="AS101" s="19"/>
      <c r="AT101" s="19"/>
      <c r="AU101" s="19"/>
    </row>
    <row r="102" spans="3:47">
      <c r="C102" s="20"/>
      <c r="Z102" s="20"/>
      <c r="AG102" s="20"/>
      <c r="AQ102" s="19"/>
      <c r="AR102" s="19"/>
      <c r="AS102" s="19"/>
      <c r="AT102" s="19"/>
      <c r="AU102" s="19"/>
    </row>
    <row r="103" spans="3:47">
      <c r="C103" s="20"/>
      <c r="Z103" s="20"/>
      <c r="AG103" s="20"/>
      <c r="AQ103" s="19"/>
      <c r="AR103" s="19"/>
      <c r="AS103" s="19"/>
      <c r="AT103" s="19"/>
      <c r="AU103" s="19"/>
    </row>
    <row r="104" spans="3:47">
      <c r="C104" s="20"/>
      <c r="Z104" s="20"/>
      <c r="AG104" s="20"/>
      <c r="AQ104" s="19"/>
      <c r="AR104" s="19"/>
      <c r="AS104" s="19"/>
      <c r="AT104" s="19"/>
      <c r="AU104" s="19"/>
    </row>
    <row r="105" spans="3:47">
      <c r="C105" s="20"/>
      <c r="Z105" s="20"/>
      <c r="AG105" s="20"/>
      <c r="AQ105" s="19"/>
      <c r="AR105" s="19"/>
      <c r="AS105" s="19"/>
      <c r="AT105" s="19"/>
      <c r="AU105" s="19"/>
    </row>
    <row r="106" spans="3:47">
      <c r="C106" s="20"/>
      <c r="Z106" s="20"/>
      <c r="AG106" s="20"/>
      <c r="AQ106" s="19"/>
      <c r="AR106" s="19"/>
      <c r="AS106" s="19"/>
      <c r="AT106" s="19"/>
      <c r="AU106" s="19"/>
    </row>
    <row r="107" spans="3:47">
      <c r="C107" s="20"/>
      <c r="Z107" s="20"/>
      <c r="AG107" s="20"/>
      <c r="AQ107" s="19"/>
      <c r="AR107" s="19"/>
      <c r="AS107" s="19"/>
      <c r="AT107" s="19"/>
      <c r="AU107" s="19"/>
    </row>
    <row r="108" spans="3:47">
      <c r="C108" s="20"/>
      <c r="Z108" s="20"/>
      <c r="AG108" s="20"/>
      <c r="AQ108" s="19"/>
      <c r="AR108" s="19"/>
      <c r="AS108" s="19"/>
      <c r="AT108" s="19"/>
      <c r="AU108" s="19"/>
    </row>
    <row r="109" spans="3:47">
      <c r="C109" s="20"/>
      <c r="Z109" s="20"/>
      <c r="AG109" s="20"/>
      <c r="AQ109" s="19"/>
      <c r="AR109" s="19"/>
      <c r="AS109" s="19"/>
      <c r="AT109" s="19"/>
      <c r="AU109" s="19"/>
    </row>
    <row r="110" spans="3:47">
      <c r="C110" s="20"/>
      <c r="Z110" s="20"/>
      <c r="AG110" s="20"/>
      <c r="AQ110" s="19"/>
      <c r="AR110" s="19"/>
      <c r="AS110" s="19"/>
      <c r="AT110" s="19"/>
      <c r="AU110" s="19"/>
    </row>
    <row r="111" spans="3:47">
      <c r="C111" s="20"/>
      <c r="Z111" s="20"/>
      <c r="AG111" s="20"/>
      <c r="AQ111" s="19"/>
      <c r="AR111" s="19"/>
      <c r="AS111" s="19"/>
      <c r="AT111" s="19"/>
      <c r="AU111" s="19"/>
    </row>
    <row r="112" spans="3:47">
      <c r="C112" s="20"/>
      <c r="Z112" s="20"/>
      <c r="AG112" s="20"/>
      <c r="AQ112" s="19"/>
      <c r="AR112" s="19"/>
      <c r="AS112" s="19"/>
      <c r="AT112" s="19"/>
      <c r="AU112" s="19"/>
    </row>
    <row r="113" spans="3:47">
      <c r="C113" s="20"/>
      <c r="Z113" s="20"/>
      <c r="AG113" s="20"/>
      <c r="AQ113" s="19"/>
      <c r="AR113" s="19"/>
      <c r="AS113" s="19"/>
      <c r="AT113" s="19"/>
      <c r="AU113" s="19"/>
    </row>
    <row r="114" spans="3:47">
      <c r="C114" s="20"/>
      <c r="Z114" s="20"/>
      <c r="AG114" s="20"/>
      <c r="AQ114" s="19"/>
      <c r="AR114" s="19"/>
      <c r="AS114" s="19"/>
      <c r="AT114" s="19"/>
      <c r="AU114" s="19"/>
    </row>
    <row r="115" spans="3:47">
      <c r="C115" s="20"/>
      <c r="Z115" s="20"/>
      <c r="AG115" s="20"/>
      <c r="AQ115" s="19"/>
      <c r="AR115" s="19"/>
      <c r="AS115" s="19"/>
      <c r="AT115" s="19"/>
      <c r="AU115" s="19"/>
    </row>
    <row r="116" spans="3:47">
      <c r="C116" s="20"/>
      <c r="Z116" s="20"/>
      <c r="AG116" s="20"/>
      <c r="AQ116" s="19"/>
      <c r="AR116" s="19"/>
      <c r="AS116" s="19"/>
      <c r="AT116" s="19"/>
      <c r="AU116" s="19"/>
    </row>
    <row r="117" spans="3:47">
      <c r="C117" s="20"/>
      <c r="Z117" s="20"/>
      <c r="AG117" s="20"/>
      <c r="AQ117" s="19"/>
      <c r="AR117" s="19"/>
      <c r="AS117" s="19"/>
      <c r="AT117" s="19"/>
      <c r="AU117" s="19"/>
    </row>
    <row r="118" spans="3:47">
      <c r="C118" s="20"/>
      <c r="Z118" s="20"/>
      <c r="AG118" s="20"/>
      <c r="AQ118" s="19"/>
      <c r="AR118" s="19"/>
      <c r="AS118" s="19"/>
      <c r="AT118" s="19"/>
      <c r="AU118" s="19"/>
    </row>
    <row r="119" spans="3:47">
      <c r="C119" s="20"/>
      <c r="Z119" s="20"/>
      <c r="AG119" s="20"/>
      <c r="AQ119" s="19"/>
      <c r="AR119" s="19"/>
      <c r="AS119" s="19"/>
      <c r="AT119" s="19"/>
      <c r="AU119" s="19"/>
    </row>
    <row r="120" spans="3:47">
      <c r="C120" s="20"/>
      <c r="Z120" s="20"/>
      <c r="AG120" s="20"/>
      <c r="AQ120" s="19"/>
      <c r="AR120" s="19"/>
      <c r="AS120" s="19"/>
      <c r="AT120" s="19"/>
      <c r="AU120" s="19"/>
    </row>
    <row r="121" spans="3:47">
      <c r="C121" s="20"/>
      <c r="Z121" s="20"/>
      <c r="AG121" s="20"/>
      <c r="AQ121" s="19"/>
      <c r="AR121" s="19"/>
      <c r="AS121" s="19"/>
      <c r="AT121" s="19"/>
      <c r="AU121" s="19"/>
    </row>
    <row r="122" spans="3:47">
      <c r="C122" s="20"/>
      <c r="Z122" s="20"/>
      <c r="AG122" s="20"/>
      <c r="AQ122" s="19"/>
      <c r="AR122" s="19"/>
      <c r="AS122" s="19"/>
      <c r="AT122" s="19"/>
      <c r="AU122" s="19"/>
    </row>
    <row r="123" spans="3:47">
      <c r="C123" s="20"/>
      <c r="Z123" s="20"/>
      <c r="AG123" s="20"/>
      <c r="AQ123" s="19"/>
      <c r="AR123" s="19"/>
      <c r="AS123" s="19"/>
      <c r="AT123" s="19"/>
      <c r="AU123" s="19"/>
    </row>
    <row r="124" spans="3:47">
      <c r="C124" s="20"/>
      <c r="Z124" s="20"/>
      <c r="AG124" s="20"/>
      <c r="AQ124" s="19"/>
      <c r="AR124" s="19"/>
      <c r="AS124" s="19"/>
      <c r="AT124" s="19"/>
      <c r="AU124" s="19"/>
    </row>
    <row r="125" spans="3:47">
      <c r="C125" s="20"/>
      <c r="Z125" s="20"/>
      <c r="AG125" s="20"/>
      <c r="AQ125" s="19"/>
      <c r="AR125" s="19"/>
      <c r="AS125" s="19"/>
      <c r="AT125" s="19"/>
      <c r="AU125" s="19"/>
    </row>
    <row r="126" spans="3:47">
      <c r="C126" s="20"/>
      <c r="Z126" s="20"/>
      <c r="AG126" s="20"/>
      <c r="AQ126" s="19"/>
      <c r="AR126" s="19"/>
      <c r="AS126" s="19"/>
      <c r="AT126" s="19"/>
      <c r="AU126" s="19"/>
    </row>
    <row r="127" spans="3:47">
      <c r="C127" s="20"/>
      <c r="Z127" s="20"/>
      <c r="AG127" s="20"/>
      <c r="AQ127" s="19"/>
      <c r="AR127" s="19"/>
      <c r="AS127" s="19"/>
      <c r="AT127" s="19"/>
      <c r="AU127" s="19"/>
    </row>
    <row r="128" spans="3:47">
      <c r="C128" s="20"/>
      <c r="Z128" s="20"/>
      <c r="AG128" s="20"/>
      <c r="AQ128" s="19"/>
      <c r="AR128" s="19"/>
      <c r="AS128" s="19"/>
      <c r="AT128" s="19"/>
      <c r="AU128" s="19"/>
    </row>
    <row r="129" spans="3:47">
      <c r="C129" s="20"/>
      <c r="Z129" s="20"/>
      <c r="AG129" s="20"/>
      <c r="AQ129" s="19"/>
      <c r="AR129" s="19"/>
      <c r="AS129" s="19"/>
      <c r="AT129" s="19"/>
      <c r="AU129" s="19"/>
    </row>
    <row r="130" spans="3:47">
      <c r="C130" s="20"/>
      <c r="Z130" s="20"/>
      <c r="AG130" s="20"/>
      <c r="AQ130" s="19"/>
      <c r="AR130" s="19"/>
      <c r="AS130" s="19"/>
      <c r="AT130" s="19"/>
      <c r="AU130" s="19"/>
    </row>
    <row r="131" spans="3:47">
      <c r="C131" s="20"/>
      <c r="Z131" s="20"/>
      <c r="AG131" s="20"/>
      <c r="AQ131" s="19"/>
      <c r="AR131" s="19"/>
      <c r="AS131" s="19"/>
      <c r="AT131" s="19"/>
      <c r="AU131" s="19"/>
    </row>
    <row r="132" spans="3:47">
      <c r="C132" s="20"/>
      <c r="Z132" s="20"/>
      <c r="AG132" s="20"/>
      <c r="AQ132" s="19"/>
      <c r="AR132" s="19"/>
      <c r="AS132" s="19"/>
      <c r="AT132" s="19"/>
      <c r="AU132" s="19"/>
    </row>
    <row r="133" spans="3:47">
      <c r="C133" s="20"/>
      <c r="Z133" s="20"/>
      <c r="AG133" s="20"/>
      <c r="AQ133" s="19"/>
      <c r="AR133" s="19"/>
      <c r="AS133" s="19"/>
      <c r="AT133" s="19"/>
      <c r="AU133" s="19"/>
    </row>
    <row r="134" spans="3:47">
      <c r="C134" s="20"/>
      <c r="Z134" s="20"/>
      <c r="AG134" s="20"/>
      <c r="AQ134" s="19"/>
      <c r="AR134" s="19"/>
      <c r="AS134" s="19"/>
      <c r="AT134" s="19"/>
      <c r="AU134" s="19"/>
    </row>
    <row r="135" spans="3:47">
      <c r="C135" s="20"/>
      <c r="Z135" s="20"/>
      <c r="AG135" s="20"/>
      <c r="AQ135" s="19"/>
      <c r="AR135" s="19"/>
      <c r="AS135" s="19"/>
      <c r="AT135" s="19"/>
      <c r="AU135" s="19"/>
    </row>
    <row r="136" spans="3:47">
      <c r="C136" s="20"/>
      <c r="Z136" s="20"/>
      <c r="AG136" s="20"/>
      <c r="AQ136" s="19"/>
      <c r="AR136" s="19"/>
      <c r="AS136" s="19"/>
      <c r="AT136" s="19"/>
      <c r="AU136" s="19"/>
    </row>
    <row r="137" spans="3:47">
      <c r="C137" s="20"/>
      <c r="Z137" s="20"/>
      <c r="AG137" s="20"/>
      <c r="AQ137" s="19"/>
      <c r="AR137" s="19"/>
      <c r="AS137" s="19"/>
      <c r="AT137" s="19"/>
      <c r="AU137" s="19"/>
    </row>
    <row r="138" spans="3:47">
      <c r="C138" s="20"/>
      <c r="Z138" s="20"/>
      <c r="AG138" s="20"/>
      <c r="AQ138" s="19"/>
      <c r="AR138" s="19"/>
      <c r="AS138" s="19"/>
      <c r="AT138" s="19"/>
      <c r="AU138" s="19"/>
    </row>
    <row r="139" spans="3:47">
      <c r="C139" s="20"/>
      <c r="Z139" s="20"/>
      <c r="AG139" s="20"/>
      <c r="AQ139" s="19"/>
      <c r="AR139" s="19"/>
      <c r="AS139" s="19"/>
      <c r="AT139" s="19"/>
      <c r="AU139" s="19"/>
    </row>
    <row r="140" spans="3:47">
      <c r="C140" s="20"/>
      <c r="Z140" s="20"/>
      <c r="AG140" s="20"/>
      <c r="AQ140" s="19"/>
      <c r="AR140" s="19"/>
      <c r="AS140" s="19"/>
      <c r="AT140" s="19"/>
      <c r="AU140" s="19"/>
    </row>
    <row r="141" spans="3:47">
      <c r="C141" s="20"/>
      <c r="Z141" s="20"/>
      <c r="AG141" s="20"/>
      <c r="AQ141" s="19"/>
      <c r="AR141" s="19"/>
      <c r="AS141" s="19"/>
      <c r="AT141" s="19"/>
      <c r="AU141" s="19"/>
    </row>
    <row r="142" spans="3:47">
      <c r="C142" s="20"/>
      <c r="Z142" s="20"/>
      <c r="AG142" s="20"/>
      <c r="AQ142" s="19"/>
      <c r="AR142" s="19"/>
      <c r="AS142" s="19"/>
      <c r="AT142" s="19"/>
      <c r="AU142" s="19"/>
    </row>
    <row r="143" spans="3:47">
      <c r="C143" s="20"/>
      <c r="Z143" s="20"/>
      <c r="AG143" s="20"/>
      <c r="AQ143" s="19"/>
      <c r="AR143" s="19"/>
      <c r="AS143" s="19"/>
      <c r="AT143" s="19"/>
      <c r="AU143" s="19"/>
    </row>
    <row r="144" spans="3:47">
      <c r="C144" s="20"/>
      <c r="Z144" s="20"/>
      <c r="AG144" s="20"/>
      <c r="AQ144" s="19"/>
      <c r="AR144" s="19"/>
      <c r="AS144" s="19"/>
      <c r="AT144" s="19"/>
      <c r="AU144" s="19"/>
    </row>
    <row r="145" spans="3:47">
      <c r="C145" s="20"/>
      <c r="Z145" s="20"/>
      <c r="AG145" s="20"/>
      <c r="AQ145" s="19"/>
      <c r="AR145" s="19"/>
      <c r="AS145" s="19"/>
      <c r="AT145" s="19"/>
      <c r="AU145" s="19"/>
    </row>
    <row r="146" spans="3:47">
      <c r="C146" s="20"/>
      <c r="Z146" s="20"/>
      <c r="AG146" s="20"/>
      <c r="AQ146" s="19"/>
      <c r="AR146" s="19"/>
      <c r="AS146" s="19"/>
      <c r="AT146" s="19"/>
      <c r="AU146" s="19"/>
    </row>
    <row r="147" spans="3:47">
      <c r="C147" s="20"/>
      <c r="Z147" s="20"/>
      <c r="AG147" s="20"/>
      <c r="AQ147" s="19"/>
      <c r="AR147" s="19"/>
      <c r="AS147" s="19"/>
      <c r="AT147" s="19"/>
      <c r="AU147" s="19"/>
    </row>
    <row r="148" spans="3:47">
      <c r="C148" s="20"/>
      <c r="Z148" s="20"/>
      <c r="AG148" s="20"/>
      <c r="AQ148" s="19"/>
      <c r="AR148" s="19"/>
      <c r="AS148" s="19"/>
      <c r="AT148" s="19"/>
      <c r="AU148" s="19"/>
    </row>
    <row r="149" spans="3:47">
      <c r="C149" s="20"/>
      <c r="Z149" s="20"/>
      <c r="AG149" s="20"/>
      <c r="AQ149" s="19"/>
      <c r="AR149" s="19"/>
      <c r="AS149" s="19"/>
      <c r="AT149" s="19"/>
      <c r="AU149" s="19"/>
    </row>
    <row r="150" spans="3:47">
      <c r="C150" s="20"/>
      <c r="Z150" s="20"/>
      <c r="AG150" s="20"/>
      <c r="AQ150" s="19"/>
      <c r="AR150" s="19"/>
      <c r="AS150" s="19"/>
      <c r="AT150" s="19"/>
      <c r="AU150" s="19"/>
    </row>
    <row r="151" spans="3:47">
      <c r="C151" s="20"/>
      <c r="Z151" s="20"/>
      <c r="AG151" s="20"/>
      <c r="AQ151" s="19"/>
      <c r="AR151" s="19"/>
      <c r="AS151" s="19"/>
      <c r="AT151" s="19"/>
      <c r="AU151" s="19"/>
    </row>
    <row r="152" spans="3:47">
      <c r="C152" s="20"/>
      <c r="Z152" s="20"/>
      <c r="AG152" s="20"/>
      <c r="AQ152" s="19"/>
      <c r="AR152" s="19"/>
      <c r="AS152" s="19"/>
      <c r="AT152" s="19"/>
      <c r="AU152" s="19"/>
    </row>
    <row r="153" spans="3:47">
      <c r="C153" s="20"/>
      <c r="Z153" s="20"/>
      <c r="AG153" s="20"/>
      <c r="AQ153" s="19"/>
      <c r="AR153" s="19"/>
      <c r="AS153" s="19"/>
      <c r="AT153" s="19"/>
      <c r="AU153" s="19"/>
    </row>
    <row r="154" spans="3:47">
      <c r="C154" s="20"/>
      <c r="Z154" s="20"/>
      <c r="AG154" s="20"/>
      <c r="AQ154" s="19"/>
      <c r="AR154" s="19"/>
      <c r="AS154" s="19"/>
      <c r="AT154" s="19"/>
      <c r="AU154" s="19"/>
    </row>
    <row r="155" spans="3:47">
      <c r="C155" s="20"/>
      <c r="Z155" s="20"/>
      <c r="AG155" s="20"/>
      <c r="AQ155" s="19"/>
      <c r="AR155" s="19"/>
      <c r="AS155" s="19"/>
      <c r="AT155" s="19"/>
      <c r="AU155" s="19"/>
    </row>
    <row r="156" spans="3:47">
      <c r="C156" s="20"/>
      <c r="Z156" s="20"/>
      <c r="AG156" s="20"/>
      <c r="AQ156" s="19"/>
      <c r="AR156" s="19"/>
      <c r="AS156" s="19"/>
      <c r="AT156" s="19"/>
      <c r="AU156" s="19"/>
    </row>
    <row r="157" spans="3:47">
      <c r="C157" s="20"/>
      <c r="Z157" s="20"/>
      <c r="AG157" s="20"/>
      <c r="AQ157" s="19"/>
      <c r="AR157" s="19"/>
      <c r="AS157" s="19"/>
      <c r="AT157" s="19"/>
      <c r="AU157" s="19"/>
    </row>
    <row r="158" spans="3:47">
      <c r="C158" s="20"/>
      <c r="Z158" s="20"/>
      <c r="AG158" s="20"/>
      <c r="AQ158" s="19"/>
      <c r="AR158" s="19"/>
      <c r="AS158" s="19"/>
      <c r="AT158" s="19"/>
      <c r="AU158" s="19"/>
    </row>
    <row r="159" spans="3:47">
      <c r="C159" s="20"/>
      <c r="Z159" s="20"/>
      <c r="AG159" s="20"/>
      <c r="AQ159" s="19"/>
      <c r="AR159" s="19"/>
      <c r="AS159" s="19"/>
      <c r="AT159" s="19"/>
      <c r="AU159" s="19"/>
    </row>
    <row r="160" spans="3:47">
      <c r="C160" s="20"/>
      <c r="Z160" s="20"/>
      <c r="AG160" s="20"/>
      <c r="AQ160" s="19"/>
      <c r="AR160" s="19"/>
      <c r="AS160" s="19"/>
      <c r="AT160" s="19"/>
      <c r="AU160" s="19"/>
    </row>
    <row r="161" spans="3:47">
      <c r="C161" s="20"/>
      <c r="Z161" s="20"/>
      <c r="AG161" s="20"/>
      <c r="AQ161" s="19"/>
      <c r="AR161" s="19"/>
      <c r="AS161" s="19"/>
      <c r="AT161" s="19"/>
      <c r="AU161" s="19"/>
    </row>
    <row r="162" spans="3:47">
      <c r="C162" s="20"/>
      <c r="Z162" s="20"/>
      <c r="AG162" s="20"/>
      <c r="AQ162" s="19"/>
      <c r="AR162" s="19"/>
      <c r="AS162" s="19"/>
      <c r="AT162" s="19"/>
      <c r="AU162" s="19"/>
    </row>
    <row r="163" spans="3:47">
      <c r="C163" s="20"/>
      <c r="Z163" s="20"/>
      <c r="AG163" s="20"/>
      <c r="AQ163" s="19"/>
      <c r="AR163" s="19"/>
      <c r="AS163" s="19"/>
      <c r="AT163" s="19"/>
      <c r="AU163" s="19"/>
    </row>
    <row r="164" spans="3:47">
      <c r="C164" s="20"/>
      <c r="Z164" s="20"/>
      <c r="AG164" s="20"/>
      <c r="AQ164" s="19"/>
      <c r="AR164" s="19"/>
      <c r="AS164" s="19"/>
      <c r="AT164" s="19"/>
      <c r="AU164" s="19"/>
    </row>
    <row r="165" spans="3:47">
      <c r="C165" s="20"/>
      <c r="Z165" s="20"/>
      <c r="AG165" s="20"/>
      <c r="AQ165" s="19"/>
      <c r="AR165" s="19"/>
      <c r="AS165" s="19"/>
      <c r="AT165" s="19"/>
      <c r="AU165" s="19"/>
    </row>
    <row r="166" spans="3:47">
      <c r="C166" s="20"/>
      <c r="Z166" s="20"/>
      <c r="AG166" s="20"/>
      <c r="AQ166" s="19"/>
      <c r="AR166" s="19"/>
      <c r="AS166" s="19"/>
      <c r="AT166" s="19"/>
      <c r="AU166" s="19"/>
    </row>
    <row r="167" spans="3:47">
      <c r="C167" s="20"/>
      <c r="Z167" s="20"/>
      <c r="AG167" s="20"/>
      <c r="AQ167" s="19"/>
      <c r="AR167" s="19"/>
      <c r="AS167" s="19"/>
      <c r="AT167" s="19"/>
      <c r="AU167" s="19"/>
    </row>
    <row r="168" spans="3:47">
      <c r="C168" s="20"/>
      <c r="Z168" s="20"/>
      <c r="AG168" s="20"/>
      <c r="AQ168" s="19"/>
      <c r="AR168" s="19"/>
      <c r="AS168" s="19"/>
      <c r="AT168" s="19"/>
      <c r="AU168" s="19"/>
    </row>
    <row r="169" spans="3:47">
      <c r="C169" s="20"/>
      <c r="Z169" s="20"/>
      <c r="AG169" s="20"/>
      <c r="AQ169" s="19"/>
      <c r="AR169" s="19"/>
      <c r="AS169" s="19"/>
      <c r="AT169" s="19"/>
      <c r="AU169" s="19"/>
    </row>
    <row r="170" spans="3:47">
      <c r="C170" s="20"/>
      <c r="Z170" s="20"/>
      <c r="AG170" s="20"/>
      <c r="AQ170" s="19"/>
      <c r="AR170" s="19"/>
      <c r="AS170" s="19"/>
      <c r="AT170" s="19"/>
      <c r="AU170" s="19"/>
    </row>
    <row r="171" spans="3:47">
      <c r="C171" s="20"/>
      <c r="Z171" s="20"/>
      <c r="AG171" s="20"/>
      <c r="AQ171" s="19"/>
      <c r="AR171" s="19"/>
      <c r="AS171" s="19"/>
      <c r="AT171" s="19"/>
      <c r="AU171" s="19"/>
    </row>
    <row r="172" spans="3:47">
      <c r="C172" s="20"/>
      <c r="Z172" s="20"/>
      <c r="AG172" s="20"/>
      <c r="AQ172" s="19"/>
      <c r="AR172" s="19"/>
      <c r="AS172" s="19"/>
      <c r="AT172" s="19"/>
      <c r="AU172" s="19"/>
    </row>
    <row r="173" spans="3:47">
      <c r="C173" s="20"/>
      <c r="Z173" s="20"/>
      <c r="AG173" s="20"/>
      <c r="AQ173" s="19"/>
      <c r="AR173" s="19"/>
      <c r="AS173" s="19"/>
      <c r="AT173" s="19"/>
      <c r="AU173" s="19"/>
    </row>
    <row r="174" spans="3:47">
      <c r="C174" s="20"/>
      <c r="Z174" s="20"/>
      <c r="AG174" s="20"/>
      <c r="AQ174" s="19"/>
      <c r="AR174" s="19"/>
      <c r="AS174" s="19"/>
      <c r="AT174" s="19"/>
      <c r="AU174" s="19"/>
    </row>
    <row r="175" spans="3:47">
      <c r="C175" s="20"/>
      <c r="Z175" s="20"/>
      <c r="AG175" s="20"/>
      <c r="AQ175" s="19"/>
      <c r="AR175" s="19"/>
      <c r="AS175" s="19"/>
      <c r="AT175" s="19"/>
      <c r="AU175" s="19"/>
    </row>
    <row r="176" spans="3:47">
      <c r="C176" s="20"/>
      <c r="Z176" s="20"/>
      <c r="AG176" s="20"/>
      <c r="AQ176" s="19"/>
      <c r="AR176" s="19"/>
      <c r="AS176" s="19"/>
      <c r="AT176" s="19"/>
      <c r="AU176" s="19"/>
    </row>
    <row r="177" spans="3:47">
      <c r="C177" s="20"/>
      <c r="Z177" s="20"/>
      <c r="AG177" s="20"/>
      <c r="AQ177" s="19"/>
      <c r="AR177" s="19"/>
      <c r="AS177" s="19"/>
      <c r="AT177" s="19"/>
      <c r="AU177" s="19"/>
    </row>
    <row r="178" spans="3:47">
      <c r="C178" s="20"/>
      <c r="Z178" s="20"/>
      <c r="AG178" s="20"/>
      <c r="AQ178" s="19"/>
      <c r="AR178" s="19"/>
      <c r="AS178" s="19"/>
      <c r="AT178" s="19"/>
      <c r="AU178" s="19"/>
    </row>
    <row r="179" spans="3:47">
      <c r="C179" s="20"/>
      <c r="Z179" s="20"/>
      <c r="AG179" s="20"/>
      <c r="AQ179" s="19"/>
      <c r="AR179" s="19"/>
      <c r="AS179" s="19"/>
      <c r="AT179" s="19"/>
      <c r="AU179" s="19"/>
    </row>
    <row r="180" spans="3:47">
      <c r="C180" s="20"/>
      <c r="Z180" s="20"/>
      <c r="AG180" s="20"/>
      <c r="AQ180" s="19"/>
      <c r="AR180" s="19"/>
      <c r="AS180" s="19"/>
      <c r="AT180" s="19"/>
      <c r="AU180" s="19"/>
    </row>
    <row r="181" spans="3:47">
      <c r="C181" s="20"/>
      <c r="Z181" s="20"/>
      <c r="AG181" s="20"/>
      <c r="AQ181" s="19"/>
      <c r="AR181" s="19"/>
      <c r="AS181" s="19"/>
      <c r="AT181" s="19"/>
      <c r="AU181" s="19"/>
    </row>
    <row r="182" spans="3:47">
      <c r="C182" s="20"/>
      <c r="Z182" s="20"/>
      <c r="AG182" s="20"/>
      <c r="AQ182" s="19"/>
      <c r="AR182" s="19"/>
      <c r="AS182" s="19"/>
      <c r="AT182" s="19"/>
      <c r="AU182" s="19"/>
    </row>
    <row r="183" spans="3:47">
      <c r="C183" s="20"/>
      <c r="Z183" s="20"/>
      <c r="AG183" s="20"/>
      <c r="AQ183" s="19"/>
      <c r="AR183" s="19"/>
      <c r="AS183" s="19"/>
      <c r="AT183" s="19"/>
      <c r="AU183" s="19"/>
    </row>
    <row r="184" spans="3:47">
      <c r="C184" s="20"/>
      <c r="Z184" s="20"/>
      <c r="AG184" s="20"/>
      <c r="AQ184" s="19"/>
      <c r="AR184" s="19"/>
      <c r="AS184" s="19"/>
      <c r="AT184" s="19"/>
      <c r="AU184" s="19"/>
    </row>
    <row r="185" spans="3:47">
      <c r="C185" s="20"/>
      <c r="Z185" s="20"/>
      <c r="AG185" s="20"/>
      <c r="AQ185" s="19"/>
      <c r="AR185" s="19"/>
      <c r="AS185" s="19"/>
      <c r="AT185" s="19"/>
      <c r="AU185" s="19"/>
    </row>
    <row r="186" spans="3:47">
      <c r="C186" s="20"/>
      <c r="Z186" s="20"/>
      <c r="AG186" s="20"/>
      <c r="AQ186" s="19"/>
      <c r="AR186" s="19"/>
      <c r="AS186" s="19"/>
      <c r="AT186" s="19"/>
      <c r="AU186" s="19"/>
    </row>
    <row r="187" spans="3:47">
      <c r="C187" s="20"/>
      <c r="Z187" s="20"/>
      <c r="AG187" s="20"/>
      <c r="AQ187" s="19"/>
      <c r="AR187" s="19"/>
      <c r="AS187" s="19"/>
      <c r="AT187" s="19"/>
      <c r="AU187" s="19"/>
    </row>
    <row r="188" spans="3:47">
      <c r="C188" s="20"/>
      <c r="Z188" s="20"/>
      <c r="AG188" s="20"/>
      <c r="AQ188" s="19"/>
      <c r="AR188" s="19"/>
      <c r="AS188" s="19"/>
      <c r="AT188" s="19"/>
      <c r="AU188" s="19"/>
    </row>
    <row r="189" spans="3:47">
      <c r="C189" s="20"/>
      <c r="Z189" s="20"/>
      <c r="AG189" s="20"/>
      <c r="AQ189" s="19"/>
      <c r="AR189" s="19"/>
      <c r="AS189" s="19"/>
      <c r="AT189" s="19"/>
      <c r="AU189" s="19"/>
    </row>
    <row r="190" spans="3:47">
      <c r="C190" s="20"/>
      <c r="Z190" s="20"/>
      <c r="AG190" s="20"/>
      <c r="AQ190" s="19"/>
      <c r="AR190" s="19"/>
      <c r="AS190" s="19"/>
      <c r="AT190" s="19"/>
      <c r="AU190" s="19"/>
    </row>
    <row r="191" spans="3:47">
      <c r="C191" s="20"/>
      <c r="Z191" s="20"/>
      <c r="AG191" s="20"/>
      <c r="AQ191" s="19"/>
      <c r="AR191" s="19"/>
      <c r="AS191" s="19"/>
      <c r="AT191" s="19"/>
      <c r="AU191" s="19"/>
    </row>
    <row r="192" spans="3:47">
      <c r="C192" s="20"/>
      <c r="Z192" s="20"/>
      <c r="AG192" s="20"/>
      <c r="AQ192" s="19"/>
      <c r="AR192" s="19"/>
      <c r="AS192" s="19"/>
      <c r="AT192" s="19"/>
      <c r="AU192" s="19"/>
    </row>
    <row r="193" spans="3:47">
      <c r="C193" s="20"/>
      <c r="Z193" s="20"/>
      <c r="AG193" s="20"/>
      <c r="AQ193" s="19"/>
      <c r="AR193" s="19"/>
      <c r="AS193" s="19"/>
      <c r="AT193" s="19"/>
      <c r="AU193" s="19"/>
    </row>
    <row r="194" spans="3:47">
      <c r="C194" s="20"/>
      <c r="Z194" s="20"/>
      <c r="AG194" s="20"/>
      <c r="AQ194" s="19"/>
      <c r="AR194" s="19"/>
      <c r="AS194" s="19"/>
      <c r="AT194" s="19"/>
      <c r="AU194" s="19"/>
    </row>
    <row r="195" spans="3:47">
      <c r="C195" s="20"/>
      <c r="Z195" s="20"/>
      <c r="AG195" s="20"/>
      <c r="AQ195" s="19"/>
      <c r="AR195" s="19"/>
      <c r="AS195" s="19"/>
      <c r="AT195" s="19"/>
      <c r="AU195" s="19"/>
    </row>
    <row r="196" spans="3:47">
      <c r="C196" s="20"/>
      <c r="Z196" s="20"/>
      <c r="AG196" s="20"/>
      <c r="AQ196" s="19"/>
      <c r="AR196" s="19"/>
      <c r="AS196" s="19"/>
      <c r="AT196" s="19"/>
      <c r="AU196" s="19"/>
    </row>
    <row r="197" spans="3:47">
      <c r="C197" s="20"/>
      <c r="Z197" s="20"/>
      <c r="AG197" s="20"/>
      <c r="AQ197" s="19"/>
      <c r="AR197" s="19"/>
      <c r="AS197" s="19"/>
      <c r="AT197" s="19"/>
      <c r="AU197" s="19"/>
    </row>
    <row r="198" spans="3:47">
      <c r="C198" s="20"/>
      <c r="Z198" s="20"/>
      <c r="AG198" s="20"/>
      <c r="AQ198" s="19"/>
      <c r="AR198" s="19"/>
      <c r="AS198" s="19"/>
      <c r="AT198" s="19"/>
      <c r="AU198" s="19"/>
    </row>
    <row r="199" spans="3:47">
      <c r="C199" s="20"/>
      <c r="Z199" s="20"/>
      <c r="AG199" s="20"/>
      <c r="AQ199" s="19"/>
      <c r="AR199" s="19"/>
      <c r="AS199" s="19"/>
      <c r="AT199" s="19"/>
      <c r="AU199" s="19"/>
    </row>
    <row r="200" spans="3:47">
      <c r="C200" s="20"/>
      <c r="Z200" s="20"/>
      <c r="AG200" s="20"/>
      <c r="AQ200" s="19"/>
      <c r="AR200" s="19"/>
      <c r="AS200" s="19"/>
      <c r="AT200" s="19"/>
      <c r="AU200" s="19"/>
    </row>
    <row r="201" spans="3:47">
      <c r="C201" s="20"/>
      <c r="Z201" s="20"/>
      <c r="AG201" s="20"/>
      <c r="AQ201" s="19"/>
      <c r="AR201" s="19"/>
      <c r="AS201" s="19"/>
      <c r="AT201" s="19"/>
      <c r="AU201" s="19"/>
    </row>
    <row r="202" spans="3:47">
      <c r="C202" s="20"/>
      <c r="Z202" s="20"/>
      <c r="AG202" s="20"/>
      <c r="AQ202" s="19"/>
      <c r="AR202" s="19"/>
      <c r="AS202" s="19"/>
      <c r="AT202" s="19"/>
      <c r="AU202" s="19"/>
    </row>
    <row r="203" spans="3:47">
      <c r="C203" s="20"/>
      <c r="Z203" s="20"/>
      <c r="AG203" s="20"/>
      <c r="AQ203" s="19"/>
      <c r="AR203" s="19"/>
      <c r="AS203" s="19"/>
      <c r="AT203" s="19"/>
      <c r="AU203" s="19"/>
    </row>
    <row r="204" spans="3:47">
      <c r="C204" s="20"/>
      <c r="Z204" s="20"/>
      <c r="AG204" s="20"/>
      <c r="AQ204" s="19"/>
      <c r="AR204" s="19"/>
      <c r="AS204" s="19"/>
      <c r="AT204" s="19"/>
      <c r="AU204" s="19"/>
    </row>
    <row r="205" spans="3:47">
      <c r="C205" s="20"/>
      <c r="Z205" s="20"/>
      <c r="AG205" s="20"/>
      <c r="AQ205" s="19"/>
      <c r="AR205" s="19"/>
      <c r="AS205" s="19"/>
      <c r="AT205" s="19"/>
      <c r="AU205" s="19"/>
    </row>
    <row r="206" spans="3:47">
      <c r="C206" s="20"/>
      <c r="Z206" s="20"/>
      <c r="AG206" s="20"/>
      <c r="AQ206" s="19"/>
      <c r="AR206" s="19"/>
      <c r="AS206" s="19"/>
      <c r="AT206" s="19"/>
      <c r="AU206" s="19"/>
    </row>
    <row r="207" spans="3:47">
      <c r="C207" s="20"/>
      <c r="Z207" s="20"/>
      <c r="AG207" s="20"/>
      <c r="AQ207" s="19"/>
      <c r="AR207" s="19"/>
      <c r="AS207" s="19"/>
      <c r="AT207" s="19"/>
      <c r="AU207" s="19"/>
    </row>
    <row r="208" spans="3:47">
      <c r="C208" s="20"/>
      <c r="Z208" s="20"/>
      <c r="AG208" s="20"/>
      <c r="AQ208" s="19"/>
      <c r="AR208" s="19"/>
      <c r="AS208" s="19"/>
      <c r="AT208" s="19"/>
      <c r="AU208" s="19"/>
    </row>
    <row r="209" spans="3:47">
      <c r="C209" s="20"/>
      <c r="Z209" s="20"/>
      <c r="AG209" s="20"/>
      <c r="AQ209" s="19"/>
      <c r="AR209" s="19"/>
      <c r="AS209" s="19"/>
      <c r="AT209" s="19"/>
      <c r="AU209" s="19"/>
    </row>
    <row r="210" spans="3:47">
      <c r="C210" s="20"/>
      <c r="Z210" s="20"/>
      <c r="AG210" s="20"/>
      <c r="AQ210" s="19"/>
      <c r="AR210" s="19"/>
      <c r="AS210" s="19"/>
      <c r="AT210" s="19"/>
      <c r="AU210" s="19"/>
    </row>
    <row r="211" spans="3:47">
      <c r="C211" s="20"/>
      <c r="Z211" s="20"/>
      <c r="AG211" s="20"/>
      <c r="AQ211" s="19"/>
      <c r="AR211" s="19"/>
      <c r="AS211" s="19"/>
      <c r="AT211" s="19"/>
      <c r="AU211" s="19"/>
    </row>
    <row r="212" spans="3:47">
      <c r="C212" s="20"/>
      <c r="Z212" s="20"/>
      <c r="AG212" s="20"/>
      <c r="AQ212" s="19"/>
      <c r="AR212" s="19"/>
      <c r="AS212" s="19"/>
      <c r="AT212" s="19"/>
      <c r="AU212" s="19"/>
    </row>
    <row r="213" spans="3:47">
      <c r="C213" s="20"/>
      <c r="Z213" s="20"/>
      <c r="AG213" s="20"/>
      <c r="AQ213" s="19"/>
      <c r="AR213" s="19"/>
      <c r="AS213" s="19"/>
      <c r="AT213" s="19"/>
      <c r="AU213" s="19"/>
    </row>
    <row r="214" spans="3:47">
      <c r="C214" s="20"/>
      <c r="Z214" s="20"/>
      <c r="AG214" s="20"/>
      <c r="AQ214" s="19"/>
      <c r="AR214" s="19"/>
      <c r="AS214" s="19"/>
      <c r="AT214" s="19"/>
      <c r="AU214" s="19"/>
    </row>
    <row r="215" spans="3:47">
      <c r="C215" s="20"/>
      <c r="Z215" s="20"/>
      <c r="AG215" s="20"/>
      <c r="AQ215" s="19"/>
      <c r="AR215" s="19"/>
      <c r="AS215" s="19"/>
      <c r="AT215" s="19"/>
      <c r="AU215" s="19"/>
    </row>
    <row r="216" spans="3:47">
      <c r="C216" s="20"/>
      <c r="Z216" s="20"/>
      <c r="AG216" s="20"/>
      <c r="AQ216" s="19"/>
      <c r="AR216" s="19"/>
      <c r="AS216" s="19"/>
      <c r="AT216" s="19"/>
      <c r="AU216" s="19"/>
    </row>
    <row r="217" spans="3:47">
      <c r="C217" s="20"/>
      <c r="Z217" s="20"/>
      <c r="AG217" s="20"/>
      <c r="AQ217" s="19"/>
      <c r="AR217" s="19"/>
      <c r="AS217" s="19"/>
      <c r="AT217" s="19"/>
      <c r="AU217" s="19"/>
    </row>
    <row r="218" spans="3:47">
      <c r="C218" s="20"/>
      <c r="Z218" s="20"/>
      <c r="AG218" s="20"/>
      <c r="AQ218" s="19"/>
      <c r="AR218" s="19"/>
      <c r="AS218" s="19"/>
      <c r="AT218" s="19"/>
      <c r="AU218" s="19"/>
    </row>
    <row r="219" spans="3:47">
      <c r="C219" s="20"/>
      <c r="Z219" s="20"/>
      <c r="AG219" s="20"/>
      <c r="AQ219" s="19"/>
      <c r="AR219" s="19"/>
      <c r="AS219" s="19"/>
      <c r="AT219" s="19"/>
      <c r="AU219" s="19"/>
    </row>
    <row r="220" spans="3:47">
      <c r="C220" s="20"/>
      <c r="Z220" s="20"/>
      <c r="AG220" s="20"/>
      <c r="AQ220" s="19"/>
      <c r="AR220" s="19"/>
      <c r="AS220" s="19"/>
      <c r="AT220" s="19"/>
      <c r="AU220" s="19"/>
    </row>
    <row r="221" spans="3:47">
      <c r="C221" s="20"/>
      <c r="Z221" s="20"/>
      <c r="AG221" s="20"/>
      <c r="AQ221" s="19"/>
      <c r="AR221" s="19"/>
      <c r="AS221" s="19"/>
      <c r="AT221" s="19"/>
      <c r="AU221" s="19"/>
    </row>
    <row r="222" spans="3:47">
      <c r="C222" s="20"/>
      <c r="Z222" s="20"/>
      <c r="AG222" s="20"/>
      <c r="AQ222" s="19"/>
      <c r="AR222" s="19"/>
      <c r="AS222" s="19"/>
      <c r="AT222" s="19"/>
      <c r="AU222" s="19"/>
    </row>
    <row r="223" spans="3:47">
      <c r="C223" s="20"/>
      <c r="Z223" s="20"/>
      <c r="AG223" s="20"/>
      <c r="AQ223" s="19"/>
      <c r="AR223" s="19"/>
      <c r="AS223" s="19"/>
      <c r="AT223" s="19"/>
      <c r="AU223" s="19"/>
    </row>
    <row r="224" spans="3:47">
      <c r="C224" s="20"/>
      <c r="Z224" s="20"/>
      <c r="AG224" s="20"/>
      <c r="AQ224" s="19"/>
      <c r="AR224" s="19"/>
      <c r="AS224" s="19"/>
      <c r="AT224" s="19"/>
      <c r="AU224" s="19"/>
    </row>
    <row r="225" spans="3:47">
      <c r="C225" s="20"/>
      <c r="Z225" s="20"/>
      <c r="AG225" s="20"/>
      <c r="AQ225" s="19"/>
      <c r="AR225" s="19"/>
      <c r="AS225" s="19"/>
      <c r="AT225" s="19"/>
      <c r="AU225" s="19"/>
    </row>
    <row r="226" spans="3:47">
      <c r="C226" s="20"/>
      <c r="Z226" s="20"/>
      <c r="AG226" s="20"/>
      <c r="AQ226" s="19"/>
      <c r="AR226" s="19"/>
      <c r="AS226" s="19"/>
      <c r="AT226" s="19"/>
      <c r="AU226" s="19"/>
    </row>
    <row r="227" spans="3:47">
      <c r="C227" s="20"/>
      <c r="Z227" s="20"/>
      <c r="AG227" s="20"/>
      <c r="AQ227" s="19"/>
      <c r="AR227" s="19"/>
      <c r="AS227" s="19"/>
      <c r="AT227" s="19"/>
      <c r="AU227" s="19"/>
    </row>
    <row r="228" spans="3:47">
      <c r="C228" s="20"/>
      <c r="Z228" s="20"/>
      <c r="AG228" s="20"/>
      <c r="AQ228" s="19"/>
      <c r="AR228" s="19"/>
      <c r="AS228" s="19"/>
      <c r="AT228" s="19"/>
      <c r="AU228" s="19"/>
    </row>
    <row r="229" spans="3:47">
      <c r="C229" s="20"/>
      <c r="Z229" s="20"/>
      <c r="AG229" s="20"/>
      <c r="AQ229" s="19"/>
      <c r="AR229" s="19"/>
      <c r="AS229" s="19"/>
      <c r="AT229" s="19"/>
      <c r="AU229" s="19"/>
    </row>
    <row r="230" spans="3:47">
      <c r="C230" s="20"/>
      <c r="Z230" s="20"/>
      <c r="AG230" s="20"/>
      <c r="AQ230" s="19"/>
      <c r="AR230" s="19"/>
      <c r="AS230" s="19"/>
      <c r="AT230" s="19"/>
      <c r="AU230" s="19"/>
    </row>
    <row r="231" spans="3:47">
      <c r="C231" s="20"/>
      <c r="Z231" s="20"/>
      <c r="AG231" s="20"/>
      <c r="AQ231" s="19"/>
      <c r="AR231" s="19"/>
      <c r="AS231" s="19"/>
      <c r="AT231" s="19"/>
      <c r="AU231" s="19"/>
    </row>
    <row r="232" spans="3:47">
      <c r="C232" s="20"/>
      <c r="Z232" s="20"/>
      <c r="AG232" s="20"/>
      <c r="AQ232" s="19"/>
      <c r="AR232" s="19"/>
      <c r="AS232" s="19"/>
      <c r="AT232" s="19"/>
      <c r="AU232" s="19"/>
    </row>
    <row r="233" spans="3:47">
      <c r="C233" s="20"/>
      <c r="Z233" s="20"/>
      <c r="AG233" s="20"/>
      <c r="AQ233" s="19"/>
      <c r="AR233" s="19"/>
      <c r="AS233" s="19"/>
      <c r="AT233" s="19"/>
      <c r="AU233" s="19"/>
    </row>
    <row r="234" spans="3:47">
      <c r="C234" s="20"/>
      <c r="Z234" s="20"/>
      <c r="AG234" s="20"/>
      <c r="AQ234" s="19"/>
      <c r="AR234" s="19"/>
      <c r="AS234" s="19"/>
      <c r="AT234" s="19"/>
      <c r="AU234" s="19"/>
    </row>
    <row r="235" spans="3:47">
      <c r="C235" s="20"/>
      <c r="Z235" s="20"/>
      <c r="AG235" s="20"/>
      <c r="AQ235" s="19"/>
      <c r="AR235" s="19"/>
      <c r="AS235" s="19"/>
      <c r="AT235" s="19"/>
      <c r="AU235" s="19"/>
    </row>
    <row r="236" spans="3:47">
      <c r="C236" s="20"/>
      <c r="Z236" s="20"/>
      <c r="AG236" s="20"/>
      <c r="AQ236" s="19"/>
      <c r="AR236" s="19"/>
      <c r="AS236" s="19"/>
      <c r="AT236" s="19"/>
      <c r="AU236" s="19"/>
    </row>
    <row r="237" spans="3:47">
      <c r="C237" s="20"/>
      <c r="Z237" s="20"/>
      <c r="AG237" s="20"/>
      <c r="AQ237" s="19"/>
      <c r="AR237" s="19"/>
      <c r="AS237" s="19"/>
      <c r="AT237" s="19"/>
      <c r="AU237" s="19"/>
    </row>
    <row r="238" spans="3:47">
      <c r="C238" s="20"/>
      <c r="Z238" s="20"/>
      <c r="AG238" s="20"/>
      <c r="AQ238" s="19"/>
      <c r="AR238" s="19"/>
      <c r="AS238" s="19"/>
      <c r="AT238" s="19"/>
      <c r="AU238" s="19"/>
    </row>
    <row r="239" spans="3:47">
      <c r="C239" s="20"/>
      <c r="Z239" s="20"/>
      <c r="AG239" s="20"/>
      <c r="AQ239" s="19"/>
      <c r="AR239" s="19"/>
      <c r="AS239" s="19"/>
      <c r="AT239" s="19"/>
      <c r="AU239" s="19"/>
    </row>
    <row r="240" spans="3:47">
      <c r="C240" s="20"/>
      <c r="Z240" s="20"/>
      <c r="AG240" s="20"/>
      <c r="AQ240" s="19"/>
      <c r="AR240" s="19"/>
      <c r="AS240" s="19"/>
      <c r="AT240" s="19"/>
      <c r="AU240" s="19"/>
    </row>
    <row r="241" spans="3:47">
      <c r="C241" s="20"/>
      <c r="Z241" s="20"/>
      <c r="AG241" s="20"/>
      <c r="AQ241" s="19"/>
      <c r="AR241" s="19"/>
      <c r="AS241" s="19"/>
      <c r="AT241" s="19"/>
      <c r="AU241" s="19"/>
    </row>
    <row r="242" spans="3:47">
      <c r="C242" s="20"/>
      <c r="Z242" s="20"/>
      <c r="AG242" s="20"/>
      <c r="AQ242" s="19"/>
      <c r="AR242" s="19"/>
      <c r="AS242" s="19"/>
      <c r="AT242" s="19"/>
      <c r="AU242" s="19"/>
    </row>
    <row r="243" spans="3:47">
      <c r="C243" s="20"/>
      <c r="Z243" s="20"/>
      <c r="AG243" s="20"/>
      <c r="AQ243" s="19"/>
      <c r="AR243" s="19"/>
      <c r="AS243" s="19"/>
      <c r="AT243" s="19"/>
      <c r="AU243" s="19"/>
    </row>
    <row r="244" spans="3:47">
      <c r="C244" s="20"/>
      <c r="Z244" s="20"/>
      <c r="AG244" s="20"/>
      <c r="AQ244" s="19"/>
      <c r="AR244" s="19"/>
      <c r="AS244" s="19"/>
      <c r="AT244" s="19"/>
      <c r="AU244" s="19"/>
    </row>
    <row r="245" spans="3:47">
      <c r="C245" s="20"/>
      <c r="Z245" s="20"/>
      <c r="AG245" s="20"/>
      <c r="AQ245" s="19"/>
      <c r="AR245" s="19"/>
      <c r="AS245" s="19"/>
      <c r="AT245" s="19"/>
      <c r="AU245" s="19"/>
    </row>
    <row r="246" spans="3:47">
      <c r="C246" s="20"/>
      <c r="Z246" s="20"/>
      <c r="AG246" s="20"/>
      <c r="AQ246" s="19"/>
      <c r="AR246" s="19"/>
      <c r="AS246" s="19"/>
      <c r="AT246" s="19"/>
      <c r="AU246" s="19"/>
    </row>
    <row r="247" spans="3:47">
      <c r="C247" s="20"/>
      <c r="Z247" s="20"/>
      <c r="AG247" s="20"/>
      <c r="AQ247" s="19"/>
      <c r="AR247" s="19"/>
      <c r="AS247" s="19"/>
      <c r="AT247" s="19"/>
      <c r="AU247" s="19"/>
    </row>
    <row r="248" spans="3:47">
      <c r="C248" s="20"/>
      <c r="Z248" s="20"/>
      <c r="AG248" s="20"/>
      <c r="AQ248" s="19"/>
      <c r="AR248" s="19"/>
      <c r="AS248" s="19"/>
      <c r="AT248" s="19"/>
      <c r="AU248" s="19"/>
    </row>
    <row r="249" spans="3:47">
      <c r="C249" s="20"/>
      <c r="Z249" s="20"/>
      <c r="AG249" s="20"/>
      <c r="AQ249" s="19"/>
      <c r="AR249" s="19"/>
      <c r="AS249" s="19"/>
      <c r="AT249" s="19"/>
      <c r="AU249" s="19"/>
    </row>
    <row r="250" spans="3:47">
      <c r="C250" s="20"/>
      <c r="Z250" s="20"/>
      <c r="AG250" s="20"/>
      <c r="AQ250" s="19"/>
      <c r="AR250" s="19"/>
      <c r="AS250" s="19"/>
      <c r="AT250" s="19"/>
      <c r="AU250" s="19"/>
    </row>
    <row r="251" spans="3:47">
      <c r="C251" s="20"/>
      <c r="Z251" s="20"/>
      <c r="AG251" s="20"/>
      <c r="AQ251" s="19"/>
      <c r="AR251" s="19"/>
      <c r="AS251" s="19"/>
      <c r="AT251" s="19"/>
      <c r="AU251" s="19"/>
    </row>
    <row r="252" spans="3:47">
      <c r="C252" s="20"/>
      <c r="Z252" s="20"/>
      <c r="AG252" s="20"/>
      <c r="AQ252" s="19"/>
      <c r="AR252" s="19"/>
      <c r="AS252" s="19"/>
      <c r="AT252" s="19"/>
      <c r="AU252" s="19"/>
    </row>
    <row r="253" spans="3:47">
      <c r="C253" s="20"/>
      <c r="Z253" s="20"/>
      <c r="AG253" s="20"/>
      <c r="AQ253" s="19"/>
      <c r="AR253" s="19"/>
      <c r="AS253" s="19"/>
      <c r="AT253" s="19"/>
      <c r="AU253" s="19"/>
    </row>
    <row r="254" spans="3:47">
      <c r="C254" s="20"/>
      <c r="Z254" s="20"/>
      <c r="AG254" s="20"/>
      <c r="AQ254" s="19"/>
      <c r="AR254" s="19"/>
      <c r="AS254" s="19"/>
      <c r="AT254" s="19"/>
      <c r="AU254" s="19"/>
    </row>
    <row r="255" spans="3:47">
      <c r="C255" s="20"/>
      <c r="Z255" s="20"/>
      <c r="AG255" s="20"/>
      <c r="AQ255" s="19"/>
      <c r="AR255" s="19"/>
      <c r="AS255" s="19"/>
      <c r="AT255" s="19"/>
      <c r="AU255" s="19"/>
    </row>
    <row r="256" spans="3:47">
      <c r="C256" s="20"/>
      <c r="Z256" s="20"/>
      <c r="AG256" s="20"/>
      <c r="AQ256" s="19"/>
      <c r="AR256" s="19"/>
      <c r="AS256" s="19"/>
      <c r="AT256" s="19"/>
      <c r="AU256" s="19"/>
    </row>
    <row r="257" spans="3:47">
      <c r="C257" s="20"/>
      <c r="Z257" s="20"/>
      <c r="AG257" s="20"/>
      <c r="AQ257" s="19"/>
      <c r="AR257" s="19"/>
      <c r="AS257" s="19"/>
      <c r="AT257" s="19"/>
      <c r="AU257" s="19"/>
    </row>
    <row r="258" spans="3:47">
      <c r="C258" s="20"/>
      <c r="Z258" s="20"/>
      <c r="AG258" s="20"/>
      <c r="AQ258" s="19"/>
      <c r="AR258" s="19"/>
      <c r="AS258" s="19"/>
      <c r="AT258" s="19"/>
      <c r="AU258" s="19"/>
    </row>
    <row r="259" spans="3:47">
      <c r="C259" s="20"/>
      <c r="Z259" s="20"/>
      <c r="AG259" s="20"/>
      <c r="AQ259" s="19"/>
      <c r="AR259" s="19"/>
      <c r="AS259" s="19"/>
      <c r="AT259" s="19"/>
      <c r="AU259" s="19"/>
    </row>
    <row r="260" spans="3:47">
      <c r="C260" s="20"/>
      <c r="Z260" s="20"/>
      <c r="AG260" s="20"/>
      <c r="AQ260" s="19"/>
      <c r="AR260" s="19"/>
      <c r="AS260" s="19"/>
      <c r="AT260" s="19"/>
      <c r="AU260" s="19"/>
    </row>
    <row r="261" spans="3:47">
      <c r="C261" s="20"/>
      <c r="Z261" s="20"/>
      <c r="AG261" s="20"/>
      <c r="AQ261" s="19"/>
      <c r="AR261" s="19"/>
      <c r="AS261" s="19"/>
      <c r="AT261" s="19"/>
      <c r="AU261" s="19"/>
    </row>
    <row r="262" spans="3:47">
      <c r="C262" s="20"/>
      <c r="Z262" s="20"/>
      <c r="AG262" s="20"/>
      <c r="AQ262" s="19"/>
      <c r="AR262" s="19"/>
      <c r="AS262" s="19"/>
      <c r="AT262" s="19"/>
      <c r="AU262" s="19"/>
    </row>
    <row r="263" spans="3:47">
      <c r="C263" s="20"/>
      <c r="Z263" s="20"/>
      <c r="AG263" s="20"/>
      <c r="AQ263" s="19"/>
      <c r="AR263" s="19"/>
      <c r="AS263" s="19"/>
      <c r="AT263" s="19"/>
      <c r="AU263" s="19"/>
    </row>
    <row r="264" spans="3:47">
      <c r="C264" s="20"/>
      <c r="Z264" s="20"/>
      <c r="AG264" s="20"/>
      <c r="AQ264" s="19"/>
      <c r="AR264" s="19"/>
      <c r="AS264" s="19"/>
      <c r="AT264" s="19"/>
      <c r="AU264" s="19"/>
    </row>
    <row r="265" spans="3:47">
      <c r="C265" s="20"/>
      <c r="Z265" s="20"/>
      <c r="AG265" s="20"/>
      <c r="AQ265" s="19"/>
      <c r="AR265" s="19"/>
      <c r="AS265" s="19"/>
      <c r="AT265" s="19"/>
      <c r="AU265" s="19"/>
    </row>
    <row r="266" spans="3:47">
      <c r="C266" s="20"/>
      <c r="Z266" s="20"/>
      <c r="AG266" s="20"/>
      <c r="AQ266" s="19"/>
      <c r="AR266" s="19"/>
      <c r="AS266" s="19"/>
      <c r="AT266" s="19"/>
      <c r="AU266" s="19"/>
    </row>
    <row r="267" spans="3:47">
      <c r="C267" s="20"/>
      <c r="Z267" s="20"/>
      <c r="AG267" s="20"/>
      <c r="AQ267" s="19"/>
      <c r="AR267" s="19"/>
      <c r="AS267" s="19"/>
      <c r="AT267" s="19"/>
      <c r="AU267" s="19"/>
    </row>
    <row r="268" spans="3:47">
      <c r="C268" s="20"/>
      <c r="Z268" s="20"/>
      <c r="AG268" s="20"/>
      <c r="AQ268" s="19"/>
      <c r="AR268" s="19"/>
      <c r="AS268" s="19"/>
      <c r="AT268" s="19"/>
      <c r="AU268" s="19"/>
    </row>
    <row r="269" spans="3:47">
      <c r="C269" s="20"/>
      <c r="Z269" s="20"/>
      <c r="AG269" s="20"/>
      <c r="AQ269" s="19"/>
      <c r="AR269" s="19"/>
      <c r="AS269" s="19"/>
      <c r="AT269" s="19"/>
      <c r="AU269" s="19"/>
    </row>
    <row r="270" spans="3:47">
      <c r="C270" s="20"/>
      <c r="Z270" s="20"/>
      <c r="AG270" s="20"/>
      <c r="AQ270" s="19"/>
      <c r="AR270" s="19"/>
      <c r="AS270" s="19"/>
      <c r="AT270" s="19"/>
      <c r="AU270" s="19"/>
    </row>
    <row r="271" spans="3:47">
      <c r="C271" s="20"/>
      <c r="Z271" s="20"/>
      <c r="AG271" s="20"/>
      <c r="AQ271" s="19"/>
      <c r="AR271" s="19"/>
      <c r="AS271" s="19"/>
      <c r="AT271" s="19"/>
      <c r="AU271" s="19"/>
    </row>
    <row r="272" spans="3:47">
      <c r="C272" s="20"/>
      <c r="Z272" s="20"/>
      <c r="AG272" s="20"/>
      <c r="AQ272" s="19"/>
      <c r="AR272" s="19"/>
      <c r="AS272" s="19"/>
      <c r="AT272" s="19"/>
      <c r="AU272" s="19"/>
    </row>
    <row r="273" spans="3:47">
      <c r="C273" s="20"/>
      <c r="Z273" s="20"/>
      <c r="AG273" s="20"/>
      <c r="AQ273" s="19"/>
      <c r="AR273" s="19"/>
      <c r="AS273" s="19"/>
      <c r="AT273" s="19"/>
      <c r="AU273" s="19"/>
    </row>
    <row r="274" spans="3:47">
      <c r="C274" s="20"/>
      <c r="Z274" s="20"/>
      <c r="AG274" s="20"/>
      <c r="AQ274" s="19"/>
      <c r="AR274" s="19"/>
      <c r="AS274" s="19"/>
      <c r="AT274" s="19"/>
      <c r="AU274" s="19"/>
    </row>
    <row r="275" spans="3:47">
      <c r="C275" s="20"/>
      <c r="Z275" s="20"/>
      <c r="AG275" s="20"/>
      <c r="AQ275" s="19"/>
      <c r="AR275" s="19"/>
      <c r="AS275" s="19"/>
      <c r="AT275" s="19"/>
      <c r="AU275" s="19"/>
    </row>
    <row r="276" spans="3:47">
      <c r="C276" s="20"/>
      <c r="Z276" s="20"/>
      <c r="AG276" s="20"/>
      <c r="AQ276" s="19"/>
      <c r="AR276" s="19"/>
      <c r="AS276" s="19"/>
      <c r="AT276" s="19"/>
      <c r="AU276" s="19"/>
    </row>
    <row r="277" spans="3:47">
      <c r="C277" s="20"/>
      <c r="Z277" s="20"/>
      <c r="AG277" s="20"/>
      <c r="AQ277" s="19"/>
      <c r="AR277" s="19"/>
      <c r="AS277" s="19"/>
      <c r="AT277" s="19"/>
      <c r="AU277" s="19"/>
    </row>
    <row r="278" spans="3:47">
      <c r="C278" s="20"/>
      <c r="Z278" s="20"/>
      <c r="AG278" s="20"/>
      <c r="AQ278" s="19"/>
      <c r="AR278" s="19"/>
      <c r="AS278" s="19"/>
      <c r="AT278" s="19"/>
      <c r="AU278" s="19"/>
    </row>
    <row r="279" spans="3:47">
      <c r="C279" s="20"/>
      <c r="Z279" s="20"/>
      <c r="AG279" s="20"/>
      <c r="AQ279" s="19"/>
      <c r="AR279" s="19"/>
      <c r="AS279" s="19"/>
      <c r="AT279" s="19"/>
      <c r="AU279" s="19"/>
    </row>
    <row r="280" spans="3:47">
      <c r="C280" s="20"/>
      <c r="Z280" s="20"/>
      <c r="AG280" s="20"/>
      <c r="AQ280" s="19"/>
      <c r="AR280" s="19"/>
      <c r="AS280" s="19"/>
      <c r="AT280" s="19"/>
      <c r="AU280" s="19"/>
    </row>
    <row r="281" spans="3:47">
      <c r="C281" s="20"/>
      <c r="Z281" s="20"/>
      <c r="AG281" s="20"/>
      <c r="AQ281" s="19"/>
      <c r="AR281" s="19"/>
      <c r="AS281" s="19"/>
      <c r="AT281" s="19"/>
      <c r="AU281" s="19"/>
    </row>
    <row r="282" spans="3:47">
      <c r="C282" s="20"/>
      <c r="Z282" s="20"/>
      <c r="AG282" s="20"/>
      <c r="AQ282" s="19"/>
      <c r="AR282" s="19"/>
      <c r="AS282" s="19"/>
      <c r="AT282" s="19"/>
      <c r="AU282" s="19"/>
    </row>
    <row r="283" spans="3:47">
      <c r="C283" s="20"/>
      <c r="Z283" s="20"/>
      <c r="AG283" s="20"/>
      <c r="AQ283" s="19"/>
      <c r="AR283" s="19"/>
      <c r="AS283" s="19"/>
      <c r="AT283" s="19"/>
      <c r="AU283" s="19"/>
    </row>
    <row r="284" spans="3:47">
      <c r="C284" s="20"/>
      <c r="Z284" s="20"/>
      <c r="AG284" s="20"/>
      <c r="AQ284" s="19"/>
      <c r="AR284" s="19"/>
      <c r="AS284" s="19"/>
      <c r="AT284" s="19"/>
      <c r="AU284" s="19"/>
    </row>
    <row r="285" spans="3:47">
      <c r="C285" s="20"/>
      <c r="Z285" s="20"/>
      <c r="AG285" s="20"/>
      <c r="AQ285" s="19"/>
      <c r="AR285" s="19"/>
      <c r="AS285" s="19"/>
      <c r="AT285" s="19"/>
      <c r="AU285" s="19"/>
    </row>
    <row r="286" spans="3:47">
      <c r="C286" s="20"/>
      <c r="Z286" s="20"/>
      <c r="AG286" s="20"/>
      <c r="AQ286" s="19"/>
      <c r="AR286" s="19"/>
      <c r="AS286" s="19"/>
      <c r="AT286" s="19"/>
      <c r="AU286" s="19"/>
    </row>
    <row r="287" spans="3:47">
      <c r="C287" s="20"/>
      <c r="Z287" s="20"/>
      <c r="AG287" s="20"/>
      <c r="AQ287" s="19"/>
      <c r="AR287" s="19"/>
      <c r="AS287" s="19"/>
      <c r="AT287" s="19"/>
      <c r="AU287" s="19"/>
    </row>
    <row r="288" spans="3:47">
      <c r="C288" s="20"/>
      <c r="Z288" s="20"/>
      <c r="AG288" s="20"/>
      <c r="AQ288" s="19"/>
      <c r="AR288" s="19"/>
      <c r="AS288" s="19"/>
      <c r="AT288" s="19"/>
      <c r="AU288" s="19"/>
    </row>
    <row r="289" spans="3:47">
      <c r="C289" s="20"/>
      <c r="Z289" s="20"/>
      <c r="AG289" s="20"/>
      <c r="AQ289" s="19"/>
      <c r="AR289" s="19"/>
      <c r="AS289" s="19"/>
      <c r="AT289" s="19"/>
      <c r="AU289" s="19"/>
    </row>
    <row r="290" spans="3:47">
      <c r="C290" s="20"/>
      <c r="Z290" s="20"/>
      <c r="AG290" s="20"/>
      <c r="AQ290" s="19"/>
      <c r="AR290" s="19"/>
      <c r="AS290" s="19"/>
      <c r="AT290" s="19"/>
      <c r="AU290" s="19"/>
    </row>
    <row r="291" spans="3:47">
      <c r="C291" s="20"/>
      <c r="Z291" s="20"/>
      <c r="AG291" s="20"/>
      <c r="AQ291" s="19"/>
      <c r="AR291" s="19"/>
      <c r="AS291" s="19"/>
      <c r="AT291" s="19"/>
      <c r="AU291" s="19"/>
    </row>
    <row r="292" spans="3:47">
      <c r="C292" s="20"/>
      <c r="Z292" s="20"/>
      <c r="AG292" s="20"/>
      <c r="AQ292" s="19"/>
      <c r="AR292" s="19"/>
      <c r="AS292" s="19"/>
      <c r="AT292" s="19"/>
      <c r="AU292" s="19"/>
    </row>
    <row r="293" spans="3:47">
      <c r="C293" s="20"/>
      <c r="Z293" s="20"/>
      <c r="AG293" s="20"/>
      <c r="AQ293" s="19"/>
      <c r="AR293" s="19"/>
      <c r="AS293" s="19"/>
      <c r="AT293" s="19"/>
      <c r="AU293" s="19"/>
    </row>
    <row r="294" spans="3:47">
      <c r="C294" s="20"/>
      <c r="Z294" s="20"/>
      <c r="AG294" s="20"/>
      <c r="AQ294" s="19"/>
      <c r="AR294" s="19"/>
      <c r="AS294" s="19"/>
      <c r="AT294" s="19"/>
      <c r="AU294" s="19"/>
    </row>
    <row r="295" spans="3:47">
      <c r="C295" s="20"/>
      <c r="Z295" s="20"/>
      <c r="AG295" s="20"/>
      <c r="AQ295" s="19"/>
      <c r="AR295" s="19"/>
      <c r="AS295" s="19"/>
      <c r="AT295" s="19"/>
      <c r="AU295" s="19"/>
    </row>
    <row r="296" spans="3:47">
      <c r="C296" s="20"/>
      <c r="Z296" s="20"/>
      <c r="AG296" s="20"/>
      <c r="AQ296" s="19"/>
      <c r="AR296" s="19"/>
      <c r="AS296" s="19"/>
      <c r="AT296" s="19"/>
      <c r="AU296" s="19"/>
    </row>
    <row r="297" spans="3:47">
      <c r="C297" s="20"/>
      <c r="Z297" s="20"/>
      <c r="AG297" s="20"/>
      <c r="AQ297" s="19"/>
      <c r="AR297" s="19"/>
      <c r="AS297" s="19"/>
      <c r="AT297" s="19"/>
      <c r="AU297" s="19"/>
    </row>
    <row r="298" spans="3:47">
      <c r="C298" s="20"/>
      <c r="Z298" s="20"/>
      <c r="AG298" s="20"/>
      <c r="AQ298" s="19"/>
      <c r="AR298" s="19"/>
      <c r="AS298" s="19"/>
      <c r="AT298" s="19"/>
      <c r="AU298" s="19"/>
    </row>
    <row r="299" spans="3:47">
      <c r="C299" s="20"/>
      <c r="Z299" s="20"/>
      <c r="AG299" s="20"/>
      <c r="AQ299" s="19"/>
      <c r="AR299" s="19"/>
      <c r="AS299" s="19"/>
      <c r="AT299" s="19"/>
      <c r="AU299" s="19"/>
    </row>
    <row r="300" spans="3:47">
      <c r="C300" s="20"/>
      <c r="Z300" s="20"/>
      <c r="AG300" s="20"/>
      <c r="AQ300" s="19"/>
      <c r="AR300" s="19"/>
      <c r="AS300" s="19"/>
      <c r="AT300" s="19"/>
      <c r="AU300" s="19"/>
    </row>
    <row r="301" spans="3:47">
      <c r="C301" s="20"/>
      <c r="Z301" s="20"/>
      <c r="AG301" s="20"/>
      <c r="AQ301" s="19"/>
      <c r="AR301" s="19"/>
      <c r="AS301" s="19"/>
      <c r="AT301" s="19"/>
      <c r="AU301" s="19"/>
    </row>
    <row r="302" spans="3:47">
      <c r="C302" s="20"/>
      <c r="Z302" s="20"/>
      <c r="AG302" s="20"/>
      <c r="AQ302" s="19"/>
      <c r="AR302" s="19"/>
      <c r="AS302" s="19"/>
      <c r="AT302" s="19"/>
      <c r="AU302" s="19"/>
    </row>
    <row r="303" spans="3:47">
      <c r="C303" s="20"/>
      <c r="Z303" s="20"/>
      <c r="AG303" s="20"/>
      <c r="AQ303" s="19"/>
      <c r="AR303" s="19"/>
      <c r="AS303" s="19"/>
      <c r="AT303" s="19"/>
      <c r="AU303" s="19"/>
    </row>
    <row r="304" spans="3:47">
      <c r="C304" s="20"/>
      <c r="Z304" s="20"/>
      <c r="AG304" s="20"/>
      <c r="AQ304" s="19"/>
      <c r="AR304" s="19"/>
      <c r="AS304" s="19"/>
      <c r="AT304" s="19"/>
      <c r="AU304" s="19"/>
    </row>
    <row r="305" spans="3:47">
      <c r="C305" s="20"/>
      <c r="Z305" s="20"/>
      <c r="AG305" s="20"/>
      <c r="AQ305" s="19"/>
      <c r="AR305" s="19"/>
      <c r="AS305" s="19"/>
      <c r="AT305" s="19"/>
      <c r="AU305" s="19"/>
    </row>
    <row r="306" spans="3:47">
      <c r="C306" s="20"/>
      <c r="Z306" s="20"/>
      <c r="AG306" s="20"/>
      <c r="AQ306" s="19"/>
      <c r="AR306" s="19"/>
      <c r="AS306" s="19"/>
      <c r="AT306" s="19"/>
      <c r="AU306" s="19"/>
    </row>
    <row r="307" spans="3:47">
      <c r="C307" s="20"/>
      <c r="Z307" s="20"/>
      <c r="AG307" s="20"/>
      <c r="AQ307" s="19"/>
      <c r="AR307" s="19"/>
      <c r="AS307" s="19"/>
      <c r="AT307" s="19"/>
      <c r="AU307" s="19"/>
    </row>
    <row r="308" spans="3:47">
      <c r="C308" s="20"/>
      <c r="Z308" s="20"/>
      <c r="AG308" s="20"/>
      <c r="AQ308" s="19"/>
      <c r="AR308" s="19"/>
      <c r="AS308" s="19"/>
      <c r="AT308" s="19"/>
      <c r="AU308" s="19"/>
    </row>
    <row r="309" spans="3:47">
      <c r="C309" s="20"/>
      <c r="Z309" s="20"/>
      <c r="AG309" s="20"/>
      <c r="AQ309" s="19"/>
      <c r="AR309" s="19"/>
      <c r="AS309" s="19"/>
      <c r="AT309" s="19"/>
      <c r="AU309" s="19"/>
    </row>
    <row r="310" spans="3:47">
      <c r="C310" s="20"/>
      <c r="Z310" s="20"/>
      <c r="AG310" s="20"/>
      <c r="AQ310" s="19"/>
      <c r="AR310" s="19"/>
      <c r="AS310" s="19"/>
      <c r="AT310" s="19"/>
      <c r="AU310" s="19"/>
    </row>
    <row r="311" spans="3:47">
      <c r="C311" s="20"/>
      <c r="Z311" s="20"/>
      <c r="AG311" s="20"/>
      <c r="AQ311" s="19"/>
      <c r="AR311" s="19"/>
      <c r="AS311" s="19"/>
      <c r="AT311" s="19"/>
      <c r="AU311" s="19"/>
    </row>
    <row r="312" spans="3:47">
      <c r="C312" s="20"/>
      <c r="Z312" s="20"/>
      <c r="AG312" s="20"/>
      <c r="AQ312" s="19"/>
      <c r="AR312" s="19"/>
      <c r="AS312" s="19"/>
      <c r="AT312" s="19"/>
      <c r="AU312" s="19"/>
    </row>
    <row r="313" spans="3:47">
      <c r="C313" s="20"/>
      <c r="Z313" s="20"/>
      <c r="AG313" s="20"/>
      <c r="AQ313" s="19"/>
      <c r="AR313" s="19"/>
      <c r="AS313" s="19"/>
      <c r="AT313" s="19"/>
      <c r="AU313" s="19"/>
    </row>
    <row r="314" spans="3:47">
      <c r="C314" s="20"/>
      <c r="Z314" s="20"/>
      <c r="AG314" s="20"/>
      <c r="AQ314" s="19"/>
      <c r="AR314" s="19"/>
      <c r="AS314" s="19"/>
      <c r="AT314" s="19"/>
      <c r="AU314" s="19"/>
    </row>
    <row r="315" spans="3:47">
      <c r="C315" s="20"/>
      <c r="Z315" s="20"/>
      <c r="AG315" s="20"/>
      <c r="AQ315" s="19"/>
      <c r="AR315" s="19"/>
      <c r="AS315" s="19"/>
      <c r="AT315" s="19"/>
      <c r="AU315" s="19"/>
    </row>
    <row r="316" spans="3:47">
      <c r="C316" s="20"/>
      <c r="Z316" s="20"/>
      <c r="AG316" s="20"/>
      <c r="AQ316" s="19"/>
      <c r="AR316" s="19"/>
      <c r="AS316" s="19"/>
      <c r="AT316" s="19"/>
      <c r="AU316" s="19"/>
    </row>
    <row r="317" spans="3:47">
      <c r="C317" s="20"/>
      <c r="Z317" s="20"/>
      <c r="AG317" s="20"/>
      <c r="AQ317" s="19"/>
      <c r="AR317" s="19"/>
      <c r="AS317" s="19"/>
      <c r="AT317" s="19"/>
      <c r="AU317" s="19"/>
    </row>
    <row r="318" spans="3:47">
      <c r="C318" s="20"/>
      <c r="Z318" s="20"/>
      <c r="AG318" s="20"/>
      <c r="AQ318" s="19"/>
      <c r="AR318" s="19"/>
      <c r="AS318" s="19"/>
      <c r="AT318" s="19"/>
      <c r="AU318" s="19"/>
    </row>
    <row r="319" spans="3:47">
      <c r="C319" s="20"/>
      <c r="Z319" s="20"/>
      <c r="AG319" s="20"/>
      <c r="AQ319" s="19"/>
      <c r="AR319" s="19"/>
      <c r="AS319" s="19"/>
      <c r="AT319" s="19"/>
      <c r="AU319" s="19"/>
    </row>
    <row r="320" spans="3:47">
      <c r="C320" s="20"/>
      <c r="Z320" s="20"/>
      <c r="AG320" s="20"/>
      <c r="AQ320" s="19"/>
      <c r="AR320" s="19"/>
      <c r="AS320" s="19"/>
      <c r="AT320" s="19"/>
      <c r="AU320" s="19"/>
    </row>
    <row r="321" spans="3:47">
      <c r="C321" s="20"/>
      <c r="Z321" s="20"/>
      <c r="AG321" s="20"/>
      <c r="AQ321" s="19"/>
      <c r="AR321" s="19"/>
      <c r="AS321" s="19"/>
      <c r="AT321" s="19"/>
      <c r="AU321" s="19"/>
    </row>
    <row r="322" spans="3:47">
      <c r="C322" s="20"/>
      <c r="Z322" s="20"/>
      <c r="AG322" s="20"/>
      <c r="AQ322" s="19"/>
      <c r="AR322" s="19"/>
      <c r="AS322" s="19"/>
      <c r="AT322" s="19"/>
      <c r="AU322" s="19"/>
    </row>
    <row r="323" spans="3:47">
      <c r="C323" s="20"/>
      <c r="Z323" s="20"/>
      <c r="AG323" s="20"/>
      <c r="AQ323" s="19"/>
      <c r="AR323" s="19"/>
      <c r="AS323" s="19"/>
      <c r="AT323" s="19"/>
      <c r="AU323" s="19"/>
    </row>
    <row r="324" spans="3:47">
      <c r="C324" s="20"/>
      <c r="Z324" s="20"/>
      <c r="AG324" s="20"/>
      <c r="AQ324" s="19"/>
      <c r="AR324" s="19"/>
      <c r="AS324" s="19"/>
      <c r="AT324" s="19"/>
      <c r="AU324" s="19"/>
    </row>
    <row r="325" spans="3:47">
      <c r="C325" s="20"/>
      <c r="Z325" s="20"/>
      <c r="AG325" s="20"/>
      <c r="AQ325" s="19"/>
      <c r="AR325" s="19"/>
      <c r="AS325" s="19"/>
      <c r="AT325" s="19"/>
      <c r="AU325" s="19"/>
    </row>
    <row r="326" spans="3:47">
      <c r="C326" s="20"/>
      <c r="Z326" s="20"/>
      <c r="AG326" s="20"/>
      <c r="AQ326" s="19"/>
      <c r="AR326" s="19"/>
      <c r="AS326" s="19"/>
      <c r="AT326" s="19"/>
      <c r="AU326" s="19"/>
    </row>
    <row r="327" spans="3:47">
      <c r="C327" s="20"/>
      <c r="Z327" s="20"/>
      <c r="AG327" s="20"/>
      <c r="AQ327" s="19"/>
      <c r="AR327" s="19"/>
      <c r="AS327" s="19"/>
      <c r="AT327" s="19"/>
      <c r="AU327" s="19"/>
    </row>
    <row r="328" spans="3:47">
      <c r="C328" s="20"/>
      <c r="Z328" s="20"/>
      <c r="AG328" s="20"/>
      <c r="AQ328" s="19"/>
      <c r="AR328" s="19"/>
      <c r="AS328" s="19"/>
      <c r="AT328" s="19"/>
      <c r="AU328" s="19"/>
    </row>
    <row r="329" spans="3:47">
      <c r="C329" s="20"/>
      <c r="Z329" s="20"/>
      <c r="AG329" s="20"/>
      <c r="AQ329" s="19"/>
      <c r="AR329" s="19"/>
      <c r="AS329" s="19"/>
      <c r="AT329" s="19"/>
      <c r="AU329" s="19"/>
    </row>
    <row r="330" spans="3:47">
      <c r="C330" s="20"/>
      <c r="Z330" s="20"/>
      <c r="AG330" s="20"/>
      <c r="AQ330" s="19"/>
      <c r="AR330" s="19"/>
      <c r="AS330" s="19"/>
      <c r="AT330" s="19"/>
      <c r="AU330" s="19"/>
    </row>
    <row r="331" spans="3:47">
      <c r="C331" s="20"/>
      <c r="Z331" s="20"/>
      <c r="AG331" s="20"/>
      <c r="AQ331" s="19"/>
      <c r="AR331" s="19"/>
      <c r="AS331" s="19"/>
      <c r="AT331" s="19"/>
      <c r="AU331" s="19"/>
    </row>
    <row r="332" spans="3:47">
      <c r="C332" s="20"/>
      <c r="Z332" s="20"/>
      <c r="AG332" s="20"/>
      <c r="AQ332" s="19"/>
      <c r="AR332" s="19"/>
      <c r="AS332" s="19"/>
      <c r="AT332" s="19"/>
      <c r="AU332" s="19"/>
    </row>
    <row r="333" spans="3:47">
      <c r="C333" s="20"/>
      <c r="Z333" s="20"/>
      <c r="AG333" s="20"/>
      <c r="AQ333" s="19"/>
      <c r="AR333" s="19"/>
      <c r="AS333" s="19"/>
      <c r="AT333" s="19"/>
      <c r="AU333" s="19"/>
    </row>
    <row r="334" spans="3:47">
      <c r="C334" s="20"/>
      <c r="Z334" s="20"/>
      <c r="AG334" s="20"/>
      <c r="AQ334" s="19"/>
      <c r="AR334" s="19"/>
      <c r="AS334" s="19"/>
      <c r="AT334" s="19"/>
      <c r="AU334" s="19"/>
    </row>
    <row r="335" spans="3:47">
      <c r="C335" s="20"/>
      <c r="Z335" s="20"/>
      <c r="AG335" s="20"/>
      <c r="AQ335" s="19"/>
      <c r="AR335" s="19"/>
      <c r="AS335" s="19"/>
      <c r="AT335" s="19"/>
      <c r="AU335" s="19"/>
    </row>
    <row r="336" spans="3:47">
      <c r="C336" s="20"/>
      <c r="Z336" s="20"/>
      <c r="AG336" s="20"/>
      <c r="AQ336" s="19"/>
      <c r="AR336" s="19"/>
      <c r="AS336" s="19"/>
      <c r="AT336" s="19"/>
      <c r="AU336" s="19"/>
    </row>
    <row r="337" spans="3:47">
      <c r="C337" s="20"/>
      <c r="Z337" s="20"/>
      <c r="AG337" s="20"/>
      <c r="AQ337" s="19"/>
      <c r="AR337" s="19"/>
      <c r="AS337" s="19"/>
      <c r="AT337" s="19"/>
      <c r="AU337" s="19"/>
    </row>
    <row r="338" spans="3:47">
      <c r="C338" s="20"/>
      <c r="Z338" s="20"/>
      <c r="AG338" s="20"/>
      <c r="AQ338" s="19"/>
      <c r="AR338" s="19"/>
      <c r="AS338" s="19"/>
      <c r="AT338" s="19"/>
      <c r="AU338" s="19"/>
    </row>
    <row r="339" spans="3:47">
      <c r="C339" s="20"/>
      <c r="Z339" s="20"/>
      <c r="AG339" s="20"/>
      <c r="AQ339" s="19"/>
      <c r="AR339" s="19"/>
      <c r="AS339" s="19"/>
      <c r="AT339" s="19"/>
      <c r="AU339" s="19"/>
    </row>
    <row r="340" spans="3:47">
      <c r="C340" s="20"/>
      <c r="Z340" s="20"/>
      <c r="AG340" s="20"/>
      <c r="AQ340" s="19"/>
      <c r="AR340" s="19"/>
      <c r="AS340" s="19"/>
      <c r="AT340" s="19"/>
      <c r="AU340" s="19"/>
    </row>
    <row r="341" spans="3:47">
      <c r="C341" s="20"/>
      <c r="Z341" s="20"/>
      <c r="AG341" s="20"/>
      <c r="AQ341" s="19"/>
      <c r="AR341" s="19"/>
      <c r="AS341" s="19"/>
      <c r="AT341" s="19"/>
      <c r="AU341" s="19"/>
    </row>
    <row r="342" spans="3:47">
      <c r="C342" s="20"/>
      <c r="Z342" s="20"/>
      <c r="AG342" s="20"/>
      <c r="AQ342" s="19"/>
      <c r="AR342" s="19"/>
      <c r="AS342" s="19"/>
      <c r="AT342" s="19"/>
      <c r="AU342" s="19"/>
    </row>
    <row r="343" spans="3:47">
      <c r="C343" s="20"/>
      <c r="Z343" s="20"/>
      <c r="AG343" s="20"/>
      <c r="AQ343" s="19"/>
      <c r="AR343" s="19"/>
      <c r="AS343" s="19"/>
      <c r="AT343" s="19"/>
      <c r="AU343" s="19"/>
    </row>
    <row r="344" spans="3:47">
      <c r="C344" s="20"/>
      <c r="Z344" s="20"/>
      <c r="AG344" s="20"/>
      <c r="AQ344" s="19"/>
      <c r="AR344" s="19"/>
      <c r="AS344" s="19"/>
      <c r="AT344" s="19"/>
      <c r="AU344" s="19"/>
    </row>
    <row r="345" spans="3:47">
      <c r="C345" s="20"/>
      <c r="Z345" s="20"/>
      <c r="AG345" s="20"/>
      <c r="AQ345" s="19"/>
      <c r="AR345" s="19"/>
      <c r="AS345" s="19"/>
      <c r="AT345" s="19"/>
      <c r="AU345" s="19"/>
    </row>
    <row r="346" spans="3:47">
      <c r="C346" s="20"/>
      <c r="Z346" s="20"/>
      <c r="AG346" s="20"/>
      <c r="AQ346" s="19"/>
      <c r="AR346" s="19"/>
      <c r="AS346" s="19"/>
      <c r="AT346" s="19"/>
      <c r="AU346" s="19"/>
    </row>
    <row r="347" spans="3:47">
      <c r="C347" s="20"/>
      <c r="Z347" s="20"/>
      <c r="AG347" s="20"/>
      <c r="AQ347" s="19"/>
      <c r="AR347" s="19"/>
      <c r="AS347" s="19"/>
      <c r="AT347" s="19"/>
      <c r="AU347" s="19"/>
    </row>
    <row r="348" spans="3:47">
      <c r="C348" s="20"/>
      <c r="Z348" s="20"/>
      <c r="AG348" s="20"/>
      <c r="AQ348" s="19"/>
      <c r="AR348" s="19"/>
      <c r="AS348" s="19"/>
      <c r="AT348" s="19"/>
      <c r="AU348" s="19"/>
    </row>
    <row r="349" spans="3:47">
      <c r="C349" s="20"/>
      <c r="Z349" s="20"/>
      <c r="AG349" s="20"/>
      <c r="AQ349" s="19"/>
      <c r="AR349" s="19"/>
      <c r="AS349" s="19"/>
      <c r="AT349" s="19"/>
      <c r="AU349" s="19"/>
    </row>
    <row r="350" spans="3:47">
      <c r="C350" s="20"/>
      <c r="Z350" s="20"/>
      <c r="AG350" s="20"/>
      <c r="AQ350" s="19"/>
      <c r="AR350" s="19"/>
      <c r="AS350" s="19"/>
      <c r="AT350" s="19"/>
      <c r="AU350" s="19"/>
    </row>
    <row r="351" spans="3:47">
      <c r="C351" s="20"/>
      <c r="Z351" s="20"/>
      <c r="AG351" s="20"/>
      <c r="AQ351" s="19"/>
      <c r="AR351" s="19"/>
      <c r="AS351" s="19"/>
      <c r="AT351" s="19"/>
      <c r="AU351" s="19"/>
    </row>
    <row r="352" spans="3:47">
      <c r="C352" s="20"/>
      <c r="Z352" s="20"/>
      <c r="AG352" s="20"/>
      <c r="AQ352" s="19"/>
      <c r="AR352" s="19"/>
      <c r="AS352" s="19"/>
      <c r="AT352" s="19"/>
      <c r="AU352" s="19"/>
    </row>
    <row r="353" spans="3:47">
      <c r="C353" s="20"/>
      <c r="Z353" s="20"/>
      <c r="AG353" s="20"/>
      <c r="AQ353" s="19"/>
      <c r="AR353" s="19"/>
      <c r="AS353" s="19"/>
      <c r="AT353" s="19"/>
      <c r="AU353" s="19"/>
    </row>
    <row r="354" spans="3:47">
      <c r="C354" s="20"/>
      <c r="Z354" s="20"/>
      <c r="AG354" s="20"/>
      <c r="AQ354" s="19"/>
      <c r="AR354" s="19"/>
      <c r="AS354" s="19"/>
      <c r="AT354" s="19"/>
      <c r="AU354" s="19"/>
    </row>
    <row r="355" spans="3:47">
      <c r="C355" s="20"/>
      <c r="Z355" s="20"/>
      <c r="AG355" s="20"/>
      <c r="AQ355" s="19"/>
      <c r="AR355" s="19"/>
      <c r="AS355" s="19"/>
      <c r="AT355" s="19"/>
      <c r="AU355" s="19"/>
    </row>
    <row r="356" spans="3:47">
      <c r="C356" s="20"/>
      <c r="Z356" s="20"/>
      <c r="AG356" s="20"/>
      <c r="AQ356" s="19"/>
      <c r="AR356" s="19"/>
      <c r="AS356" s="19"/>
      <c r="AT356" s="19"/>
      <c r="AU356" s="19"/>
    </row>
    <row r="357" spans="3:47">
      <c r="C357" s="20"/>
      <c r="Z357" s="20"/>
      <c r="AG357" s="20"/>
      <c r="AQ357" s="19"/>
      <c r="AR357" s="19"/>
      <c r="AS357" s="19"/>
      <c r="AT357" s="19"/>
      <c r="AU357" s="19"/>
    </row>
    <row r="358" spans="3:47">
      <c r="C358" s="20"/>
      <c r="Z358" s="20"/>
      <c r="AG358" s="20"/>
      <c r="AQ358" s="19"/>
      <c r="AR358" s="19"/>
      <c r="AS358" s="19"/>
      <c r="AT358" s="19"/>
      <c r="AU358" s="19"/>
    </row>
    <row r="359" spans="3:47">
      <c r="C359" s="20"/>
      <c r="Z359" s="20"/>
      <c r="AG359" s="20"/>
      <c r="AQ359" s="19"/>
      <c r="AR359" s="19"/>
      <c r="AS359" s="19"/>
      <c r="AT359" s="19"/>
      <c r="AU359" s="19"/>
    </row>
    <row r="360" spans="3:47">
      <c r="C360" s="20"/>
      <c r="Z360" s="20"/>
      <c r="AG360" s="20"/>
      <c r="AQ360" s="19"/>
      <c r="AR360" s="19"/>
      <c r="AS360" s="19"/>
      <c r="AT360" s="19"/>
      <c r="AU360" s="19"/>
    </row>
    <row r="361" spans="3:47">
      <c r="C361" s="20"/>
      <c r="Z361" s="20"/>
      <c r="AG361" s="20"/>
      <c r="AQ361" s="19"/>
      <c r="AR361" s="19"/>
      <c r="AS361" s="19"/>
      <c r="AT361" s="19"/>
      <c r="AU361" s="19"/>
    </row>
    <row r="362" spans="3:47">
      <c r="C362" s="20"/>
      <c r="Z362" s="20"/>
      <c r="AG362" s="20"/>
      <c r="AQ362" s="19"/>
      <c r="AR362" s="19"/>
      <c r="AS362" s="19"/>
      <c r="AT362" s="19"/>
      <c r="AU362" s="19"/>
    </row>
    <row r="363" spans="3:47">
      <c r="C363" s="20"/>
      <c r="Z363" s="20"/>
      <c r="AG363" s="20"/>
      <c r="AQ363" s="19"/>
      <c r="AR363" s="19"/>
      <c r="AS363" s="19"/>
      <c r="AT363" s="19"/>
      <c r="AU363" s="19"/>
    </row>
    <row r="364" spans="3:47">
      <c r="C364" s="20"/>
      <c r="Z364" s="20"/>
      <c r="AG364" s="20"/>
      <c r="AQ364" s="19"/>
      <c r="AR364" s="19"/>
      <c r="AS364" s="19"/>
      <c r="AT364" s="19"/>
      <c r="AU364" s="19"/>
    </row>
    <row r="365" spans="3:47">
      <c r="C365" s="20"/>
      <c r="Z365" s="20"/>
      <c r="AG365" s="20"/>
      <c r="AQ365" s="19"/>
      <c r="AR365" s="19"/>
      <c r="AS365" s="19"/>
      <c r="AT365" s="19"/>
      <c r="AU365" s="19"/>
    </row>
    <row r="366" spans="3:47">
      <c r="C366" s="20"/>
      <c r="Z366" s="20"/>
      <c r="AG366" s="20"/>
      <c r="AQ366" s="19"/>
      <c r="AR366" s="19"/>
      <c r="AS366" s="19"/>
      <c r="AT366" s="19"/>
      <c r="AU366" s="19"/>
    </row>
    <row r="367" spans="3:47">
      <c r="C367" s="20"/>
      <c r="Z367" s="20"/>
      <c r="AG367" s="20"/>
      <c r="AQ367" s="19"/>
      <c r="AR367" s="19"/>
      <c r="AS367" s="19"/>
      <c r="AT367" s="19"/>
      <c r="AU367" s="19"/>
    </row>
    <row r="368" spans="3:47">
      <c r="C368" s="20"/>
      <c r="Z368" s="20"/>
      <c r="AG368" s="20"/>
      <c r="AQ368" s="19"/>
      <c r="AR368" s="19"/>
      <c r="AS368" s="19"/>
      <c r="AT368" s="19"/>
      <c r="AU368" s="19"/>
    </row>
    <row r="369" spans="3:47">
      <c r="C369" s="20"/>
      <c r="Z369" s="20"/>
      <c r="AG369" s="20"/>
      <c r="AQ369" s="19"/>
      <c r="AR369" s="19"/>
      <c r="AS369" s="19"/>
      <c r="AT369" s="19"/>
      <c r="AU369" s="19"/>
    </row>
    <row r="370" spans="3:47">
      <c r="C370" s="20"/>
      <c r="Z370" s="20"/>
      <c r="AG370" s="20"/>
      <c r="AQ370" s="19"/>
      <c r="AR370" s="19"/>
      <c r="AS370" s="19"/>
      <c r="AT370" s="19"/>
      <c r="AU370" s="19"/>
    </row>
    <row r="371" spans="3:47">
      <c r="C371" s="20"/>
      <c r="Z371" s="20"/>
      <c r="AG371" s="20"/>
      <c r="AQ371" s="19"/>
      <c r="AR371" s="19"/>
      <c r="AS371" s="19"/>
      <c r="AT371" s="19"/>
      <c r="AU371" s="19"/>
    </row>
    <row r="372" spans="3:47">
      <c r="C372" s="20"/>
      <c r="Z372" s="20"/>
      <c r="AG372" s="20"/>
      <c r="AQ372" s="19"/>
      <c r="AR372" s="19"/>
      <c r="AS372" s="19"/>
      <c r="AT372" s="19"/>
      <c r="AU372" s="19"/>
    </row>
    <row r="373" spans="3:47">
      <c r="C373" s="20"/>
      <c r="Z373" s="20"/>
      <c r="AG373" s="20"/>
      <c r="AQ373" s="19"/>
      <c r="AR373" s="19"/>
      <c r="AS373" s="19"/>
      <c r="AT373" s="19"/>
      <c r="AU373" s="19"/>
    </row>
    <row r="374" spans="3:47">
      <c r="C374" s="20"/>
      <c r="Z374" s="20"/>
      <c r="AG374" s="20"/>
      <c r="AQ374" s="19"/>
      <c r="AR374" s="19"/>
      <c r="AS374" s="19"/>
      <c r="AT374" s="19"/>
      <c r="AU374" s="19"/>
    </row>
    <row r="375" spans="3:47">
      <c r="C375" s="20"/>
      <c r="Z375" s="20"/>
      <c r="AG375" s="20"/>
      <c r="AQ375" s="19"/>
      <c r="AR375" s="19"/>
      <c r="AS375" s="19"/>
      <c r="AT375" s="19"/>
      <c r="AU375" s="19"/>
    </row>
    <row r="376" spans="3:47">
      <c r="C376" s="20"/>
      <c r="Z376" s="20"/>
      <c r="AG376" s="20"/>
      <c r="AQ376" s="19"/>
      <c r="AR376" s="19"/>
      <c r="AS376" s="19"/>
      <c r="AT376" s="19"/>
      <c r="AU376" s="19"/>
    </row>
    <row r="377" spans="3:47">
      <c r="C377" s="20"/>
      <c r="Z377" s="20"/>
      <c r="AG377" s="20"/>
      <c r="AQ377" s="19"/>
      <c r="AR377" s="19"/>
      <c r="AS377" s="19"/>
      <c r="AT377" s="19"/>
      <c r="AU377" s="19"/>
    </row>
    <row r="378" spans="3:47">
      <c r="C378" s="20"/>
      <c r="Z378" s="20"/>
      <c r="AG378" s="20"/>
      <c r="AQ378" s="19"/>
      <c r="AR378" s="19"/>
      <c r="AS378" s="19"/>
      <c r="AT378" s="19"/>
      <c r="AU378" s="19"/>
    </row>
    <row r="379" spans="3:47">
      <c r="C379" s="20"/>
      <c r="Z379" s="20"/>
      <c r="AG379" s="20"/>
      <c r="AQ379" s="19"/>
      <c r="AR379" s="19"/>
      <c r="AS379" s="19"/>
      <c r="AT379" s="19"/>
      <c r="AU379" s="19"/>
    </row>
    <row r="380" spans="3:47">
      <c r="C380" s="20"/>
      <c r="Z380" s="20"/>
      <c r="AG380" s="20"/>
      <c r="AQ380" s="19"/>
      <c r="AR380" s="19"/>
      <c r="AS380" s="19"/>
      <c r="AT380" s="19"/>
      <c r="AU380" s="19"/>
    </row>
    <row r="381" spans="3:47">
      <c r="C381" s="20"/>
      <c r="Z381" s="20"/>
      <c r="AG381" s="20"/>
      <c r="AQ381" s="19"/>
      <c r="AR381" s="19"/>
      <c r="AS381" s="19"/>
      <c r="AT381" s="19"/>
      <c r="AU381" s="19"/>
    </row>
    <row r="382" spans="3:47">
      <c r="C382" s="20"/>
      <c r="Z382" s="20"/>
      <c r="AG382" s="20"/>
      <c r="AQ382" s="19"/>
      <c r="AR382" s="19"/>
      <c r="AS382" s="19"/>
      <c r="AT382" s="19"/>
      <c r="AU382" s="19"/>
    </row>
    <row r="383" spans="3:47">
      <c r="C383" s="20"/>
      <c r="Z383" s="20"/>
      <c r="AG383" s="20"/>
      <c r="AQ383" s="19"/>
      <c r="AR383" s="19"/>
      <c r="AS383" s="19"/>
      <c r="AT383" s="19"/>
      <c r="AU383" s="19"/>
    </row>
    <row r="384" spans="3:47">
      <c r="C384" s="20"/>
      <c r="Z384" s="20"/>
      <c r="AG384" s="20"/>
      <c r="AQ384" s="19"/>
      <c r="AR384" s="19"/>
      <c r="AS384" s="19"/>
      <c r="AT384" s="19"/>
      <c r="AU384" s="19"/>
    </row>
    <row r="385" spans="3:47">
      <c r="C385" s="20"/>
      <c r="Z385" s="20"/>
      <c r="AG385" s="20"/>
      <c r="AQ385" s="19"/>
      <c r="AR385" s="19"/>
      <c r="AS385" s="19"/>
      <c r="AT385" s="19"/>
      <c r="AU385" s="19"/>
    </row>
    <row r="386" spans="3:47">
      <c r="C386" s="20"/>
      <c r="Z386" s="20"/>
      <c r="AG386" s="20"/>
      <c r="AQ386" s="19"/>
      <c r="AR386" s="19"/>
      <c r="AS386" s="19"/>
      <c r="AT386" s="19"/>
      <c r="AU386" s="19"/>
    </row>
    <row r="387" spans="3:47">
      <c r="C387" s="20"/>
      <c r="Z387" s="20"/>
      <c r="AG387" s="20"/>
      <c r="AQ387" s="19"/>
      <c r="AR387" s="19"/>
      <c r="AS387" s="19"/>
      <c r="AT387" s="19"/>
      <c r="AU387" s="19"/>
    </row>
    <row r="388" spans="3:47">
      <c r="C388" s="20"/>
      <c r="Z388" s="20"/>
      <c r="AG388" s="20"/>
      <c r="AQ388" s="19"/>
      <c r="AR388" s="19"/>
      <c r="AS388" s="19"/>
      <c r="AT388" s="19"/>
      <c r="AU388" s="19"/>
    </row>
    <row r="389" spans="3:47">
      <c r="C389" s="20"/>
      <c r="Z389" s="20"/>
      <c r="AG389" s="20"/>
      <c r="AQ389" s="19"/>
      <c r="AR389" s="19"/>
      <c r="AS389" s="19"/>
      <c r="AT389" s="19"/>
      <c r="AU389" s="19"/>
    </row>
    <row r="390" spans="3:47">
      <c r="C390" s="20"/>
      <c r="Z390" s="20"/>
      <c r="AG390" s="20"/>
      <c r="AQ390" s="19"/>
      <c r="AR390" s="19"/>
      <c r="AS390" s="19"/>
      <c r="AT390" s="19"/>
      <c r="AU390" s="19"/>
    </row>
    <row r="391" spans="3:47">
      <c r="C391" s="20"/>
      <c r="Z391" s="20"/>
      <c r="AG391" s="20"/>
      <c r="AQ391" s="19"/>
      <c r="AR391" s="19"/>
      <c r="AS391" s="19"/>
      <c r="AT391" s="19"/>
      <c r="AU391" s="19"/>
    </row>
    <row r="392" spans="3:47">
      <c r="C392" s="20"/>
      <c r="Z392" s="20"/>
      <c r="AG392" s="20"/>
      <c r="AQ392" s="19"/>
      <c r="AR392" s="19"/>
      <c r="AS392" s="19"/>
      <c r="AT392" s="19"/>
      <c r="AU392" s="19"/>
    </row>
    <row r="393" spans="3:47">
      <c r="C393" s="20"/>
      <c r="Z393" s="20"/>
      <c r="AG393" s="20"/>
      <c r="AQ393" s="19"/>
      <c r="AR393" s="19"/>
      <c r="AS393" s="19"/>
      <c r="AT393" s="19"/>
      <c r="AU393" s="19"/>
    </row>
    <row r="394" spans="3:47">
      <c r="C394" s="20"/>
      <c r="Z394" s="20"/>
      <c r="AG394" s="20"/>
      <c r="AQ394" s="19"/>
      <c r="AR394" s="19"/>
      <c r="AS394" s="19"/>
      <c r="AT394" s="19"/>
      <c r="AU394" s="19"/>
    </row>
    <row r="395" spans="3:47">
      <c r="C395" s="20"/>
      <c r="Z395" s="20"/>
      <c r="AG395" s="20"/>
      <c r="AQ395" s="19"/>
      <c r="AR395" s="19"/>
      <c r="AS395" s="19"/>
      <c r="AT395" s="19"/>
      <c r="AU395" s="19"/>
    </row>
    <row r="396" spans="3:47">
      <c r="C396" s="20"/>
      <c r="Z396" s="20"/>
      <c r="AG396" s="20"/>
      <c r="AQ396" s="19"/>
      <c r="AR396" s="19"/>
      <c r="AS396" s="19"/>
      <c r="AT396" s="19"/>
      <c r="AU396" s="19"/>
    </row>
    <row r="397" spans="3:47">
      <c r="C397" s="20"/>
      <c r="Z397" s="20"/>
      <c r="AG397" s="20"/>
      <c r="AQ397" s="19"/>
      <c r="AR397" s="19"/>
      <c r="AS397" s="19"/>
      <c r="AT397" s="19"/>
      <c r="AU397" s="19"/>
    </row>
    <row r="398" spans="3:47">
      <c r="C398" s="20"/>
      <c r="Z398" s="20"/>
      <c r="AG398" s="20"/>
      <c r="AQ398" s="19"/>
      <c r="AR398" s="19"/>
      <c r="AS398" s="19"/>
      <c r="AT398" s="19"/>
      <c r="AU398" s="19"/>
    </row>
    <row r="399" spans="3:47">
      <c r="C399" s="20"/>
      <c r="Z399" s="20"/>
      <c r="AG399" s="20"/>
      <c r="AQ399" s="19"/>
      <c r="AR399" s="19"/>
      <c r="AS399" s="19"/>
      <c r="AT399" s="19"/>
      <c r="AU399" s="19"/>
    </row>
    <row r="400" spans="3:47">
      <c r="C400" s="20"/>
      <c r="Z400" s="20"/>
      <c r="AG400" s="20"/>
      <c r="AQ400" s="19"/>
      <c r="AR400" s="19"/>
      <c r="AS400" s="19"/>
      <c r="AT400" s="19"/>
      <c r="AU400" s="19"/>
    </row>
    <row r="401" spans="3:47">
      <c r="C401" s="20"/>
      <c r="Z401" s="20"/>
      <c r="AG401" s="20"/>
      <c r="AQ401" s="19"/>
      <c r="AR401" s="19"/>
      <c r="AS401" s="19"/>
      <c r="AT401" s="19"/>
      <c r="AU401" s="19"/>
    </row>
    <row r="402" spans="3:47">
      <c r="C402" s="20"/>
      <c r="Z402" s="20"/>
      <c r="AG402" s="20"/>
      <c r="AQ402" s="19"/>
      <c r="AR402" s="19"/>
      <c r="AS402" s="19"/>
      <c r="AT402" s="19"/>
      <c r="AU402" s="19"/>
    </row>
    <row r="403" spans="3:47">
      <c r="C403" s="20"/>
      <c r="Z403" s="20"/>
      <c r="AG403" s="20"/>
      <c r="AQ403" s="19"/>
      <c r="AR403" s="19"/>
      <c r="AS403" s="19"/>
      <c r="AT403" s="19"/>
      <c r="AU403" s="19"/>
    </row>
    <row r="404" spans="3:47">
      <c r="C404" s="20"/>
      <c r="Z404" s="20"/>
      <c r="AG404" s="20"/>
      <c r="AQ404" s="19"/>
      <c r="AR404" s="19"/>
      <c r="AS404" s="19"/>
      <c r="AT404" s="19"/>
      <c r="AU404" s="19"/>
    </row>
    <row r="405" spans="3:47">
      <c r="C405" s="20"/>
      <c r="Z405" s="20"/>
      <c r="AG405" s="20"/>
      <c r="AQ405" s="19"/>
      <c r="AR405" s="19"/>
      <c r="AS405" s="19"/>
      <c r="AT405" s="19"/>
      <c r="AU405" s="19"/>
    </row>
    <row r="406" spans="3:47">
      <c r="C406" s="20"/>
      <c r="Z406" s="20"/>
      <c r="AG406" s="20"/>
      <c r="AQ406" s="19"/>
      <c r="AR406" s="19"/>
      <c r="AS406" s="19"/>
      <c r="AT406" s="19"/>
      <c r="AU406" s="19"/>
    </row>
    <row r="407" spans="3:47">
      <c r="C407" s="20"/>
      <c r="Z407" s="20"/>
      <c r="AG407" s="20"/>
      <c r="AQ407" s="19"/>
      <c r="AR407" s="19"/>
      <c r="AS407" s="19"/>
      <c r="AT407" s="19"/>
      <c r="AU407" s="19"/>
    </row>
    <row r="408" spans="3:47">
      <c r="C408" s="20"/>
      <c r="Z408" s="20"/>
      <c r="AG408" s="20"/>
      <c r="AQ408" s="19"/>
      <c r="AR408" s="19"/>
      <c r="AS408" s="19"/>
      <c r="AT408" s="19"/>
      <c r="AU408" s="19"/>
    </row>
    <row r="409" spans="3:47">
      <c r="C409" s="20"/>
      <c r="Z409" s="20"/>
      <c r="AG409" s="20"/>
      <c r="AQ409" s="19"/>
      <c r="AR409" s="19"/>
      <c r="AS409" s="19"/>
      <c r="AT409" s="19"/>
      <c r="AU409" s="19"/>
    </row>
    <row r="410" spans="3:47">
      <c r="C410" s="20"/>
      <c r="Z410" s="20"/>
      <c r="AG410" s="20"/>
      <c r="AQ410" s="19"/>
      <c r="AR410" s="19"/>
      <c r="AS410" s="19"/>
      <c r="AT410" s="19"/>
      <c r="AU410" s="19"/>
    </row>
    <row r="411" spans="3:47">
      <c r="C411" s="20"/>
      <c r="Z411" s="20"/>
      <c r="AG411" s="20"/>
      <c r="AQ411" s="19"/>
      <c r="AR411" s="19"/>
      <c r="AS411" s="19"/>
      <c r="AT411" s="19"/>
      <c r="AU411" s="19"/>
    </row>
    <row r="412" spans="3:47">
      <c r="C412" s="20"/>
      <c r="Z412" s="20"/>
      <c r="AG412" s="20"/>
      <c r="AQ412" s="19"/>
      <c r="AR412" s="19"/>
      <c r="AS412" s="19"/>
      <c r="AT412" s="19"/>
      <c r="AU412" s="19"/>
    </row>
    <row r="413" spans="3:47">
      <c r="C413" s="20"/>
      <c r="Z413" s="20"/>
      <c r="AG413" s="20"/>
      <c r="AQ413" s="19"/>
      <c r="AR413" s="19"/>
      <c r="AS413" s="19"/>
      <c r="AT413" s="19"/>
      <c r="AU413" s="19"/>
    </row>
    <row r="414" spans="3:47">
      <c r="C414" s="20"/>
      <c r="Z414" s="20"/>
      <c r="AG414" s="20"/>
      <c r="AQ414" s="19"/>
      <c r="AR414" s="19"/>
      <c r="AS414" s="19"/>
      <c r="AT414" s="19"/>
      <c r="AU414" s="19"/>
    </row>
    <row r="415" spans="3:47">
      <c r="C415" s="20"/>
      <c r="Z415" s="20"/>
      <c r="AG415" s="20"/>
      <c r="AQ415" s="19"/>
      <c r="AR415" s="19"/>
      <c r="AS415" s="19"/>
      <c r="AT415" s="19"/>
      <c r="AU415" s="19"/>
    </row>
    <row r="416" spans="3:47">
      <c r="C416" s="20"/>
      <c r="Z416" s="20"/>
      <c r="AG416" s="20"/>
      <c r="AQ416" s="19"/>
      <c r="AR416" s="19"/>
      <c r="AS416" s="19"/>
      <c r="AT416" s="19"/>
      <c r="AU416" s="19"/>
    </row>
    <row r="417" spans="3:47">
      <c r="C417" s="20"/>
      <c r="Z417" s="20"/>
      <c r="AG417" s="20"/>
      <c r="AQ417" s="19"/>
      <c r="AR417" s="19"/>
      <c r="AS417" s="19"/>
      <c r="AT417" s="19"/>
      <c r="AU417" s="19"/>
    </row>
    <row r="418" spans="3:47">
      <c r="C418" s="20"/>
      <c r="Z418" s="20"/>
      <c r="AG418" s="20"/>
      <c r="AQ418" s="19"/>
      <c r="AR418" s="19"/>
      <c r="AS418" s="19"/>
      <c r="AT418" s="19"/>
      <c r="AU418" s="19"/>
    </row>
    <row r="419" spans="3:47">
      <c r="C419" s="20"/>
      <c r="Z419" s="20"/>
      <c r="AG419" s="20"/>
      <c r="AQ419" s="19"/>
      <c r="AR419" s="19"/>
      <c r="AS419" s="19"/>
      <c r="AT419" s="19"/>
      <c r="AU419" s="19"/>
    </row>
    <row r="420" spans="3:47">
      <c r="C420" s="20"/>
      <c r="Z420" s="20"/>
      <c r="AG420" s="20"/>
      <c r="AQ420" s="19"/>
      <c r="AR420" s="19"/>
      <c r="AS420" s="19"/>
      <c r="AT420" s="19"/>
      <c r="AU420" s="19"/>
    </row>
    <row r="421" spans="3:47">
      <c r="C421" s="20"/>
      <c r="Z421" s="20"/>
      <c r="AG421" s="20"/>
      <c r="AQ421" s="19"/>
      <c r="AR421" s="19"/>
      <c r="AS421" s="19"/>
      <c r="AT421" s="19"/>
      <c r="AU421" s="19"/>
    </row>
    <row r="422" spans="3:47">
      <c r="C422" s="20"/>
      <c r="Z422" s="20"/>
      <c r="AG422" s="20"/>
      <c r="AQ422" s="19"/>
      <c r="AR422" s="19"/>
      <c r="AS422" s="19"/>
      <c r="AT422" s="19"/>
      <c r="AU422" s="19"/>
    </row>
    <row r="423" spans="3:47">
      <c r="C423" s="20"/>
      <c r="Z423" s="20"/>
      <c r="AG423" s="20"/>
      <c r="AQ423" s="19"/>
      <c r="AR423" s="19"/>
      <c r="AS423" s="19"/>
      <c r="AT423" s="19"/>
      <c r="AU423" s="19"/>
    </row>
    <row r="424" spans="3:47">
      <c r="C424" s="20"/>
      <c r="Z424" s="20"/>
      <c r="AG424" s="20"/>
      <c r="AQ424" s="19"/>
      <c r="AR424" s="19"/>
      <c r="AS424" s="19"/>
      <c r="AT424" s="19"/>
      <c r="AU424" s="19"/>
    </row>
    <row r="425" spans="3:47">
      <c r="C425" s="20"/>
      <c r="Z425" s="20"/>
      <c r="AG425" s="20"/>
      <c r="AQ425" s="19"/>
      <c r="AR425" s="19"/>
      <c r="AS425" s="19"/>
      <c r="AT425" s="19"/>
      <c r="AU425" s="19"/>
    </row>
    <row r="426" spans="3:47">
      <c r="C426" s="20"/>
      <c r="Z426" s="20"/>
      <c r="AG426" s="20"/>
      <c r="AQ426" s="19"/>
      <c r="AR426" s="19"/>
      <c r="AS426" s="19"/>
      <c r="AT426" s="19"/>
      <c r="AU426" s="19"/>
    </row>
    <row r="427" spans="3:47">
      <c r="C427" s="20"/>
      <c r="Z427" s="20"/>
      <c r="AG427" s="20"/>
      <c r="AQ427" s="19"/>
      <c r="AR427" s="19"/>
      <c r="AS427" s="19"/>
      <c r="AT427" s="19"/>
      <c r="AU427" s="19"/>
    </row>
    <row r="428" spans="3:47">
      <c r="C428" s="20"/>
      <c r="Z428" s="20"/>
      <c r="AG428" s="20"/>
      <c r="AQ428" s="19"/>
      <c r="AR428" s="19"/>
      <c r="AS428" s="19"/>
      <c r="AT428" s="19"/>
      <c r="AU428" s="19"/>
    </row>
    <row r="429" spans="3:47">
      <c r="C429" s="20"/>
      <c r="Z429" s="20"/>
      <c r="AG429" s="20"/>
      <c r="AQ429" s="19"/>
      <c r="AR429" s="19"/>
      <c r="AS429" s="19"/>
      <c r="AT429" s="19"/>
      <c r="AU429" s="19"/>
    </row>
    <row r="430" spans="3:47">
      <c r="C430" s="20"/>
      <c r="Z430" s="20"/>
      <c r="AG430" s="20"/>
      <c r="AQ430" s="19"/>
      <c r="AR430" s="19"/>
      <c r="AS430" s="19"/>
      <c r="AT430" s="19"/>
      <c r="AU430" s="19"/>
    </row>
    <row r="431" spans="3:47">
      <c r="C431" s="20"/>
      <c r="Z431" s="20"/>
      <c r="AG431" s="20"/>
      <c r="AQ431" s="19"/>
      <c r="AR431" s="19"/>
      <c r="AS431" s="19"/>
      <c r="AT431" s="19"/>
      <c r="AU431" s="19"/>
    </row>
    <row r="432" spans="3:47">
      <c r="C432" s="20"/>
      <c r="Z432" s="20"/>
      <c r="AG432" s="20"/>
      <c r="AQ432" s="19"/>
      <c r="AR432" s="19"/>
      <c r="AS432" s="19"/>
      <c r="AT432" s="19"/>
      <c r="AU432" s="19"/>
    </row>
    <row r="433" spans="3:47">
      <c r="C433" s="20"/>
      <c r="Z433" s="20"/>
      <c r="AG433" s="20"/>
      <c r="AQ433" s="19"/>
      <c r="AR433" s="19"/>
      <c r="AS433" s="19"/>
      <c r="AT433" s="19"/>
      <c r="AU433" s="19"/>
    </row>
    <row r="434" spans="3:47">
      <c r="C434" s="20"/>
      <c r="Z434" s="20"/>
      <c r="AG434" s="20"/>
      <c r="AQ434" s="19"/>
      <c r="AR434" s="19"/>
      <c r="AS434" s="19"/>
      <c r="AT434" s="19"/>
      <c r="AU434" s="19"/>
    </row>
    <row r="435" spans="3:47">
      <c r="C435" s="20"/>
      <c r="Z435" s="20"/>
      <c r="AG435" s="20"/>
      <c r="AQ435" s="19"/>
      <c r="AR435" s="19"/>
      <c r="AS435" s="19"/>
      <c r="AT435" s="19"/>
      <c r="AU435" s="19"/>
    </row>
    <row r="436" spans="3:47">
      <c r="C436" s="20"/>
      <c r="Z436" s="20"/>
      <c r="AG436" s="20"/>
      <c r="AQ436" s="19"/>
      <c r="AR436" s="19"/>
      <c r="AS436" s="19"/>
      <c r="AT436" s="19"/>
      <c r="AU436" s="19"/>
    </row>
    <row r="437" spans="3:47">
      <c r="C437" s="20"/>
      <c r="Z437" s="20"/>
      <c r="AG437" s="20"/>
      <c r="AQ437" s="19"/>
      <c r="AR437" s="19"/>
      <c r="AS437" s="19"/>
      <c r="AT437" s="19"/>
      <c r="AU437" s="19"/>
    </row>
    <row r="438" spans="3:47">
      <c r="C438" s="20"/>
      <c r="Z438" s="20"/>
      <c r="AG438" s="20"/>
      <c r="AQ438" s="19"/>
      <c r="AR438" s="19"/>
      <c r="AS438" s="19"/>
      <c r="AT438" s="19"/>
      <c r="AU438" s="19"/>
    </row>
    <row r="439" spans="3:47">
      <c r="C439" s="20"/>
      <c r="Z439" s="20"/>
      <c r="AG439" s="20"/>
      <c r="AQ439" s="19"/>
      <c r="AR439" s="19"/>
      <c r="AS439" s="19"/>
      <c r="AT439" s="19"/>
      <c r="AU439" s="19"/>
    </row>
    <row r="440" spans="3:47">
      <c r="C440" s="20"/>
      <c r="Z440" s="20"/>
      <c r="AG440" s="20"/>
      <c r="AQ440" s="19"/>
      <c r="AR440" s="19"/>
      <c r="AS440" s="19"/>
      <c r="AT440" s="19"/>
      <c r="AU440" s="19"/>
    </row>
    <row r="441" spans="3:47">
      <c r="C441" s="20"/>
      <c r="Z441" s="20"/>
      <c r="AG441" s="20"/>
      <c r="AQ441" s="19"/>
      <c r="AR441" s="19"/>
      <c r="AS441" s="19"/>
      <c r="AT441" s="19"/>
      <c r="AU441" s="19"/>
    </row>
    <row r="442" spans="3:47">
      <c r="C442" s="20"/>
      <c r="Z442" s="20"/>
      <c r="AG442" s="20"/>
      <c r="AQ442" s="19"/>
      <c r="AR442" s="19"/>
      <c r="AS442" s="19"/>
      <c r="AT442" s="19"/>
      <c r="AU442" s="19"/>
    </row>
    <row r="443" spans="3:47">
      <c r="C443" s="20"/>
      <c r="Z443" s="20"/>
      <c r="AG443" s="20"/>
      <c r="AQ443" s="19"/>
      <c r="AR443" s="19"/>
      <c r="AS443" s="19"/>
      <c r="AT443" s="19"/>
      <c r="AU443" s="19"/>
    </row>
    <row r="444" spans="3:47">
      <c r="C444" s="20"/>
      <c r="Z444" s="20"/>
      <c r="AG444" s="20"/>
      <c r="AQ444" s="19"/>
      <c r="AR444" s="19"/>
      <c r="AS444" s="19"/>
      <c r="AT444" s="19"/>
      <c r="AU444" s="19"/>
    </row>
    <row r="445" spans="3:47">
      <c r="C445" s="20"/>
      <c r="Z445" s="20"/>
      <c r="AG445" s="20"/>
      <c r="AQ445" s="19"/>
      <c r="AR445" s="19"/>
      <c r="AS445" s="19"/>
      <c r="AT445" s="19"/>
      <c r="AU445" s="19"/>
    </row>
    <row r="446" spans="3:47">
      <c r="C446" s="20"/>
      <c r="Z446" s="20"/>
      <c r="AG446" s="20"/>
      <c r="AQ446" s="19"/>
      <c r="AR446" s="19"/>
      <c r="AS446" s="19"/>
      <c r="AT446" s="19"/>
      <c r="AU446" s="19"/>
    </row>
    <row r="447" spans="3:47">
      <c r="C447" s="20"/>
      <c r="Z447" s="20"/>
      <c r="AG447" s="20"/>
      <c r="AQ447" s="19"/>
      <c r="AR447" s="19"/>
      <c r="AS447" s="19"/>
      <c r="AT447" s="19"/>
      <c r="AU447" s="19"/>
    </row>
    <row r="448" spans="3:47">
      <c r="C448" s="20"/>
      <c r="Z448" s="20"/>
      <c r="AG448" s="20"/>
      <c r="AQ448" s="19"/>
      <c r="AR448" s="19"/>
      <c r="AS448" s="19"/>
      <c r="AT448" s="19"/>
      <c r="AU448" s="19"/>
    </row>
    <row r="449" spans="3:47">
      <c r="C449" s="20"/>
      <c r="Z449" s="20"/>
      <c r="AG449" s="20"/>
      <c r="AQ449" s="19"/>
      <c r="AR449" s="19"/>
      <c r="AS449" s="19"/>
      <c r="AT449" s="19"/>
      <c r="AU449" s="19"/>
    </row>
    <row r="450" spans="3:47">
      <c r="C450" s="20"/>
      <c r="Z450" s="20"/>
      <c r="AG450" s="20"/>
      <c r="AQ450" s="19"/>
      <c r="AR450" s="19"/>
      <c r="AS450" s="19"/>
      <c r="AT450" s="19"/>
      <c r="AU450" s="19"/>
    </row>
    <row r="451" spans="3:47">
      <c r="C451" s="20"/>
      <c r="Z451" s="20"/>
      <c r="AG451" s="20"/>
      <c r="AQ451" s="19"/>
      <c r="AR451" s="19"/>
      <c r="AS451" s="19"/>
      <c r="AT451" s="19"/>
      <c r="AU451" s="19"/>
    </row>
    <row r="452" spans="3:47">
      <c r="C452" s="20"/>
      <c r="Z452" s="20"/>
      <c r="AG452" s="20"/>
      <c r="AQ452" s="19"/>
      <c r="AR452" s="19"/>
      <c r="AS452" s="19"/>
      <c r="AT452" s="19"/>
      <c r="AU452" s="19"/>
    </row>
    <row r="453" spans="3:47">
      <c r="C453" s="20"/>
      <c r="Z453" s="20"/>
      <c r="AG453" s="20"/>
      <c r="AQ453" s="19"/>
      <c r="AR453" s="19"/>
      <c r="AS453" s="19"/>
      <c r="AT453" s="19"/>
      <c r="AU453" s="19"/>
    </row>
    <row r="454" spans="3:47">
      <c r="C454" s="20"/>
      <c r="Z454" s="20"/>
      <c r="AG454" s="20"/>
      <c r="AQ454" s="19"/>
      <c r="AR454" s="19"/>
      <c r="AS454" s="19"/>
      <c r="AT454" s="19"/>
      <c r="AU454" s="19"/>
    </row>
    <row r="455" spans="3:47">
      <c r="C455" s="20"/>
      <c r="Z455" s="20"/>
      <c r="AG455" s="20"/>
      <c r="AQ455" s="19"/>
      <c r="AR455" s="19"/>
      <c r="AS455" s="19"/>
      <c r="AT455" s="19"/>
      <c r="AU455" s="19"/>
    </row>
    <row r="456" spans="3:47">
      <c r="C456" s="20"/>
      <c r="Z456" s="20"/>
      <c r="AG456" s="20"/>
      <c r="AQ456" s="19"/>
      <c r="AR456" s="19"/>
      <c r="AS456" s="19"/>
      <c r="AT456" s="19"/>
      <c r="AU456" s="19"/>
    </row>
    <row r="457" spans="3:47">
      <c r="C457" s="20"/>
      <c r="Z457" s="20"/>
      <c r="AG457" s="20"/>
      <c r="AQ457" s="19"/>
      <c r="AR457" s="19"/>
      <c r="AS457" s="19"/>
      <c r="AT457" s="19"/>
      <c r="AU457" s="19"/>
    </row>
    <row r="458" spans="3:47">
      <c r="C458" s="20"/>
      <c r="Z458" s="20"/>
      <c r="AG458" s="20"/>
      <c r="AQ458" s="19"/>
      <c r="AR458" s="19"/>
      <c r="AS458" s="19"/>
      <c r="AT458" s="19"/>
      <c r="AU458" s="19"/>
    </row>
    <row r="459" spans="3:47">
      <c r="C459" s="20"/>
      <c r="Z459" s="20"/>
      <c r="AG459" s="20"/>
      <c r="AQ459" s="19"/>
      <c r="AR459" s="19"/>
      <c r="AS459" s="19"/>
      <c r="AT459" s="19"/>
      <c r="AU459" s="19"/>
    </row>
    <row r="460" spans="3:47">
      <c r="C460" s="20"/>
      <c r="Z460" s="20"/>
      <c r="AG460" s="20"/>
      <c r="AQ460" s="19"/>
      <c r="AR460" s="19"/>
      <c r="AS460" s="19"/>
      <c r="AT460" s="19"/>
      <c r="AU460" s="19"/>
    </row>
    <row r="461" spans="3:47">
      <c r="C461" s="20"/>
      <c r="Z461" s="20"/>
      <c r="AG461" s="20"/>
      <c r="AQ461" s="19"/>
      <c r="AR461" s="19"/>
      <c r="AS461" s="19"/>
      <c r="AT461" s="19"/>
      <c r="AU461" s="19"/>
    </row>
    <row r="462" spans="3:47">
      <c r="C462" s="20"/>
      <c r="Z462" s="20"/>
      <c r="AG462" s="20"/>
      <c r="AQ462" s="19"/>
      <c r="AR462" s="19"/>
      <c r="AS462" s="19"/>
      <c r="AT462" s="19"/>
      <c r="AU462" s="19"/>
    </row>
    <row r="463" spans="3:47">
      <c r="C463" s="20"/>
      <c r="Z463" s="20"/>
      <c r="AG463" s="20"/>
      <c r="AQ463" s="19"/>
      <c r="AR463" s="19"/>
      <c r="AS463" s="19"/>
      <c r="AT463" s="19"/>
      <c r="AU463" s="19"/>
    </row>
    <row r="464" spans="3:47">
      <c r="C464" s="20"/>
      <c r="Z464" s="20"/>
      <c r="AG464" s="20"/>
      <c r="AQ464" s="19"/>
      <c r="AR464" s="19"/>
      <c r="AS464" s="19"/>
      <c r="AT464" s="19"/>
      <c r="AU464" s="19"/>
    </row>
    <row r="465" spans="3:47">
      <c r="C465" s="20"/>
      <c r="Z465" s="20"/>
      <c r="AG465" s="20"/>
      <c r="AQ465" s="19"/>
      <c r="AR465" s="19"/>
      <c r="AS465" s="19"/>
      <c r="AT465" s="19"/>
      <c r="AU465" s="19"/>
    </row>
    <row r="466" spans="3:47">
      <c r="C466" s="20"/>
      <c r="Z466" s="20"/>
      <c r="AG466" s="20"/>
      <c r="AQ466" s="19"/>
      <c r="AR466" s="19"/>
      <c r="AS466" s="19"/>
      <c r="AT466" s="19"/>
      <c r="AU466" s="19"/>
    </row>
    <row r="467" spans="3:47">
      <c r="C467" s="20"/>
      <c r="Z467" s="20"/>
      <c r="AG467" s="20"/>
      <c r="AQ467" s="19"/>
      <c r="AR467" s="19"/>
      <c r="AS467" s="19"/>
      <c r="AT467" s="19"/>
      <c r="AU467" s="19"/>
    </row>
    <row r="468" spans="3:47">
      <c r="C468" s="20"/>
      <c r="Z468" s="35"/>
      <c r="AG468" s="20"/>
      <c r="AQ468" s="19"/>
      <c r="AR468" s="19"/>
      <c r="AS468" s="19"/>
      <c r="AT468" s="19"/>
      <c r="AU468" s="19"/>
    </row>
    <row r="469" spans="3:47">
      <c r="C469" s="20"/>
      <c r="Z469" s="20"/>
      <c r="AG469" s="20"/>
      <c r="AQ469" s="19"/>
      <c r="AR469" s="19"/>
      <c r="AS469" s="19"/>
      <c r="AT469" s="19"/>
      <c r="AU469" s="19"/>
    </row>
    <row r="470" spans="3:47">
      <c r="C470" s="20"/>
      <c r="Z470" s="20"/>
      <c r="AG470" s="20"/>
      <c r="AQ470" s="19"/>
      <c r="AR470" s="19"/>
      <c r="AS470" s="19"/>
      <c r="AT470" s="19"/>
      <c r="AU470" s="19"/>
    </row>
    <row r="471" spans="3:47">
      <c r="C471" s="20"/>
      <c r="Z471" s="20"/>
      <c r="AG471" s="20"/>
      <c r="AQ471" s="19"/>
      <c r="AR471" s="19"/>
      <c r="AS471" s="19"/>
      <c r="AT471" s="19"/>
      <c r="AU471" s="19"/>
    </row>
    <row r="472" spans="3:47">
      <c r="C472" s="20"/>
      <c r="Z472" s="20"/>
      <c r="AG472" s="20"/>
      <c r="AQ472" s="19"/>
      <c r="AR472" s="19"/>
      <c r="AS472" s="19"/>
      <c r="AT472" s="19"/>
      <c r="AU472" s="19"/>
    </row>
    <row r="473" spans="3:47">
      <c r="C473" s="20"/>
      <c r="Z473" s="20"/>
      <c r="AG473" s="20"/>
      <c r="AQ473" s="19"/>
      <c r="AR473" s="19"/>
      <c r="AS473" s="19"/>
      <c r="AT473" s="19"/>
      <c r="AU473" s="19"/>
    </row>
    <row r="474" spans="3:47">
      <c r="C474" s="20"/>
      <c r="Z474" s="20"/>
      <c r="AG474" s="20"/>
      <c r="AQ474" s="19"/>
      <c r="AR474" s="19"/>
      <c r="AS474" s="19"/>
      <c r="AT474" s="19"/>
      <c r="AU474" s="19"/>
    </row>
    <row r="475" spans="3:47">
      <c r="C475" s="20"/>
      <c r="Z475" s="20"/>
      <c r="AG475" s="20"/>
      <c r="AQ475" s="19"/>
      <c r="AR475" s="19"/>
      <c r="AS475" s="19"/>
      <c r="AT475" s="19"/>
      <c r="AU475" s="19"/>
    </row>
    <row r="476" spans="3:47">
      <c r="C476" s="20"/>
      <c r="Z476" s="20"/>
      <c r="AG476" s="20"/>
      <c r="AQ476" s="19"/>
      <c r="AR476" s="19"/>
      <c r="AS476" s="19"/>
      <c r="AT476" s="19"/>
      <c r="AU476" s="19"/>
    </row>
    <row r="477" spans="3:47">
      <c r="C477" s="20"/>
      <c r="Z477" s="20"/>
      <c r="AG477" s="20"/>
      <c r="AQ477" s="19"/>
      <c r="AR477" s="19"/>
      <c r="AS477" s="19"/>
      <c r="AT477" s="19"/>
      <c r="AU477" s="19"/>
    </row>
    <row r="478" spans="3:47">
      <c r="C478" s="20"/>
      <c r="Z478" s="20"/>
      <c r="AG478" s="20"/>
      <c r="AQ478" s="19"/>
      <c r="AR478" s="19"/>
      <c r="AS478" s="19"/>
      <c r="AT478" s="19"/>
      <c r="AU478" s="19"/>
    </row>
    <row r="479" spans="3:47">
      <c r="C479" s="20"/>
      <c r="Z479" s="20"/>
      <c r="AG479" s="20"/>
      <c r="AQ479" s="19"/>
      <c r="AR479" s="19"/>
      <c r="AS479" s="19"/>
      <c r="AT479" s="19"/>
      <c r="AU479" s="19"/>
    </row>
    <row r="480" spans="3:47">
      <c r="C480" s="20"/>
      <c r="Z480" s="20"/>
      <c r="AG480" s="20"/>
      <c r="AQ480" s="19"/>
      <c r="AR480" s="19"/>
      <c r="AS480" s="19"/>
      <c r="AT480" s="19"/>
      <c r="AU480" s="19"/>
    </row>
    <row r="481" spans="3:47">
      <c r="C481" s="20"/>
      <c r="Z481" s="20"/>
      <c r="AG481" s="20"/>
      <c r="AQ481" s="19"/>
      <c r="AR481" s="19"/>
      <c r="AS481" s="19"/>
      <c r="AT481" s="19"/>
      <c r="AU481" s="19"/>
    </row>
    <row r="482" spans="3:47">
      <c r="C482" s="20"/>
      <c r="Z482" s="20"/>
      <c r="AG482" s="20"/>
      <c r="AQ482" s="19"/>
      <c r="AR482" s="19"/>
      <c r="AS482" s="19"/>
      <c r="AT482" s="19"/>
      <c r="AU482" s="19"/>
    </row>
    <row r="483" spans="3:47">
      <c r="C483" s="20"/>
      <c r="Z483" s="20"/>
      <c r="AG483" s="20"/>
      <c r="AQ483" s="19"/>
      <c r="AR483" s="19"/>
      <c r="AS483" s="19"/>
      <c r="AT483" s="19"/>
      <c r="AU483" s="19"/>
    </row>
    <row r="484" spans="3:47">
      <c r="C484" s="20"/>
      <c r="Z484" s="20"/>
      <c r="AG484" s="20"/>
      <c r="AQ484" s="19"/>
      <c r="AR484" s="19"/>
      <c r="AS484" s="19"/>
      <c r="AT484" s="19"/>
      <c r="AU484" s="19"/>
    </row>
    <row r="485" spans="3:47">
      <c r="C485" s="20"/>
      <c r="Z485" s="20"/>
      <c r="AG485" s="20"/>
      <c r="AQ485" s="19"/>
      <c r="AR485" s="19"/>
      <c r="AS485" s="19"/>
      <c r="AT485" s="19"/>
      <c r="AU485" s="19"/>
    </row>
    <row r="486" spans="3:47">
      <c r="C486" s="20"/>
      <c r="Z486" s="20"/>
      <c r="AG486" s="20"/>
      <c r="AQ486" s="19"/>
      <c r="AR486" s="19"/>
      <c r="AS486" s="19"/>
      <c r="AT486" s="19"/>
      <c r="AU486" s="19"/>
    </row>
    <row r="487" spans="3:47">
      <c r="C487" s="20"/>
      <c r="Z487" s="20"/>
      <c r="AG487" s="20"/>
      <c r="AQ487" s="19"/>
      <c r="AR487" s="19"/>
      <c r="AS487" s="19"/>
      <c r="AT487" s="19"/>
      <c r="AU487" s="19"/>
    </row>
    <row r="488" spans="3:47">
      <c r="C488" s="20"/>
      <c r="Z488" s="20"/>
      <c r="AG488" s="20"/>
      <c r="AQ488" s="19"/>
      <c r="AR488" s="19"/>
      <c r="AS488" s="19"/>
      <c r="AT488" s="19"/>
      <c r="AU488" s="19"/>
    </row>
    <row r="489" spans="3:47">
      <c r="C489" s="20"/>
      <c r="Z489" s="20"/>
      <c r="AG489" s="20"/>
      <c r="AQ489" s="19"/>
      <c r="AR489" s="19"/>
      <c r="AS489" s="19"/>
      <c r="AT489" s="19"/>
      <c r="AU489" s="19"/>
    </row>
    <row r="490" spans="3:47">
      <c r="C490" s="20"/>
      <c r="Z490" s="20"/>
      <c r="AG490" s="20"/>
      <c r="AQ490" s="19"/>
      <c r="AR490" s="19"/>
      <c r="AS490" s="19"/>
      <c r="AT490" s="19"/>
      <c r="AU490" s="19"/>
    </row>
    <row r="491" spans="3:47">
      <c r="C491" s="20"/>
      <c r="Z491" s="20"/>
      <c r="AG491" s="20"/>
      <c r="AQ491" s="19"/>
      <c r="AR491" s="19"/>
      <c r="AS491" s="19"/>
      <c r="AT491" s="19"/>
      <c r="AU491" s="19"/>
    </row>
    <row r="492" spans="3:47">
      <c r="C492" s="20"/>
      <c r="Z492" s="20"/>
      <c r="AG492" s="20"/>
      <c r="AQ492" s="19"/>
      <c r="AR492" s="19"/>
      <c r="AS492" s="19"/>
      <c r="AT492" s="19"/>
      <c r="AU492" s="19"/>
    </row>
    <row r="493" spans="3:47">
      <c r="C493" s="20"/>
      <c r="Z493" s="20"/>
      <c r="AG493" s="20"/>
      <c r="AQ493" s="19"/>
      <c r="AR493" s="19"/>
      <c r="AS493" s="19"/>
      <c r="AT493" s="19"/>
      <c r="AU493" s="19"/>
    </row>
    <row r="494" spans="3:47">
      <c r="C494" s="20"/>
      <c r="Z494" s="20"/>
      <c r="AG494" s="20"/>
      <c r="AQ494" s="19"/>
      <c r="AR494" s="19"/>
      <c r="AS494" s="19"/>
      <c r="AT494" s="19"/>
      <c r="AU494" s="19"/>
    </row>
    <row r="495" spans="3:47">
      <c r="C495" s="20"/>
      <c r="Z495" s="20"/>
      <c r="AG495" s="20"/>
      <c r="AQ495" s="19"/>
      <c r="AR495" s="19"/>
      <c r="AS495" s="19"/>
      <c r="AT495" s="19"/>
      <c r="AU495" s="19"/>
    </row>
    <row r="496" spans="3:47">
      <c r="C496" s="20"/>
      <c r="Z496" s="20"/>
      <c r="AG496" s="20"/>
      <c r="AQ496" s="19"/>
      <c r="AR496" s="19"/>
      <c r="AS496" s="19"/>
      <c r="AT496" s="19"/>
      <c r="AU496" s="19"/>
    </row>
    <row r="497" spans="3:47">
      <c r="C497" s="20"/>
      <c r="Z497" s="20"/>
      <c r="AG497" s="20"/>
      <c r="AQ497" s="19"/>
      <c r="AR497" s="19"/>
      <c r="AS497" s="19"/>
      <c r="AT497" s="19"/>
      <c r="AU497" s="19"/>
    </row>
    <row r="498" spans="3:47">
      <c r="C498" s="20"/>
      <c r="Z498" s="20"/>
      <c r="AG498" s="20"/>
      <c r="AQ498" s="19"/>
      <c r="AR498" s="19"/>
      <c r="AS498" s="19"/>
      <c r="AT498" s="19"/>
      <c r="AU498" s="19"/>
    </row>
    <row r="499" spans="3:47">
      <c r="C499" s="20"/>
      <c r="Z499" s="20"/>
      <c r="AG499" s="20"/>
      <c r="AQ499" s="19"/>
      <c r="AR499" s="19"/>
      <c r="AS499" s="19"/>
      <c r="AT499" s="19"/>
      <c r="AU499" s="19"/>
    </row>
    <row r="500" spans="3:47">
      <c r="C500" s="20"/>
      <c r="Z500" s="20"/>
      <c r="AG500" s="20"/>
      <c r="AQ500" s="19"/>
      <c r="AR500" s="19"/>
      <c r="AS500" s="19"/>
      <c r="AT500" s="19"/>
      <c r="AU500" s="19"/>
    </row>
    <row r="501" spans="3:47">
      <c r="C501" s="20"/>
      <c r="Z501" s="20"/>
      <c r="AG501" s="20"/>
      <c r="AQ501" s="19"/>
      <c r="AR501" s="19"/>
      <c r="AS501" s="19"/>
      <c r="AT501" s="19"/>
      <c r="AU501" s="19"/>
    </row>
    <row r="502" spans="3:47">
      <c r="C502" s="20"/>
      <c r="Z502" s="20"/>
      <c r="AG502" s="20"/>
      <c r="AQ502" s="19"/>
      <c r="AR502" s="19"/>
      <c r="AS502" s="19"/>
      <c r="AT502" s="19"/>
      <c r="AU502" s="19"/>
    </row>
    <row r="503" spans="3:47">
      <c r="C503" s="20"/>
      <c r="Z503" s="20"/>
      <c r="AG503" s="20"/>
      <c r="AQ503" s="19"/>
      <c r="AR503" s="19"/>
      <c r="AS503" s="19"/>
      <c r="AT503" s="19"/>
      <c r="AU503" s="19"/>
    </row>
    <row r="504" spans="3:47">
      <c r="C504" s="20"/>
      <c r="Z504" s="20"/>
      <c r="AG504" s="20"/>
      <c r="AQ504" s="19"/>
      <c r="AR504" s="19"/>
      <c r="AS504" s="19"/>
      <c r="AT504" s="19"/>
      <c r="AU504" s="19"/>
    </row>
    <row r="505" spans="3:47">
      <c r="C505" s="20"/>
      <c r="Z505" s="20"/>
      <c r="AG505" s="20"/>
      <c r="AQ505" s="19"/>
      <c r="AR505" s="19"/>
      <c r="AS505" s="19"/>
      <c r="AT505" s="19"/>
      <c r="AU505" s="19"/>
    </row>
    <row r="506" spans="3:47">
      <c r="C506" s="20"/>
      <c r="Z506" s="20"/>
      <c r="AG506" s="20"/>
      <c r="AQ506" s="19"/>
      <c r="AR506" s="19"/>
      <c r="AS506" s="19"/>
      <c r="AT506" s="19"/>
      <c r="AU506" s="19"/>
    </row>
    <row r="507" spans="3:47">
      <c r="C507" s="20"/>
      <c r="Z507" s="20"/>
      <c r="AG507" s="20"/>
      <c r="AQ507" s="19"/>
      <c r="AR507" s="19"/>
      <c r="AS507" s="19"/>
      <c r="AT507" s="19"/>
      <c r="AU507" s="19"/>
    </row>
    <row r="508" spans="3:47">
      <c r="C508" s="20"/>
      <c r="Z508" s="20"/>
      <c r="AG508" s="20"/>
      <c r="AQ508" s="19"/>
      <c r="AR508" s="19"/>
      <c r="AS508" s="19"/>
      <c r="AT508" s="19"/>
      <c r="AU508" s="19"/>
    </row>
    <row r="509" spans="3:47">
      <c r="C509" s="20"/>
      <c r="Z509" s="20"/>
      <c r="AG509" s="20"/>
      <c r="AQ509" s="19"/>
      <c r="AR509" s="19"/>
      <c r="AS509" s="19"/>
      <c r="AT509" s="19"/>
      <c r="AU509" s="19"/>
    </row>
    <row r="510" spans="3:47">
      <c r="C510" s="20"/>
      <c r="Z510" s="20"/>
      <c r="AG510" s="20"/>
      <c r="AQ510" s="19"/>
      <c r="AR510" s="19"/>
      <c r="AS510" s="19"/>
      <c r="AT510" s="19"/>
      <c r="AU510" s="19"/>
    </row>
    <row r="511" spans="3:47">
      <c r="C511" s="20"/>
      <c r="Z511" s="20"/>
      <c r="AG511" s="20"/>
      <c r="AQ511" s="19"/>
      <c r="AR511" s="19"/>
      <c r="AS511" s="19"/>
      <c r="AT511" s="19"/>
      <c r="AU511" s="19"/>
    </row>
    <row r="512" spans="3:47">
      <c r="C512" s="20"/>
      <c r="Z512" s="20"/>
      <c r="AG512" s="20"/>
      <c r="AQ512" s="19"/>
      <c r="AR512" s="19"/>
      <c r="AS512" s="19"/>
      <c r="AT512" s="19"/>
      <c r="AU512" s="19"/>
    </row>
    <row r="513" spans="3:47">
      <c r="C513" s="20"/>
      <c r="Z513" s="20"/>
      <c r="AG513" s="20"/>
      <c r="AQ513" s="19"/>
      <c r="AR513" s="19"/>
      <c r="AS513" s="19"/>
      <c r="AT513" s="19"/>
      <c r="AU513" s="19"/>
    </row>
    <row r="514" spans="3:47">
      <c r="C514" s="20"/>
      <c r="Z514" s="20"/>
      <c r="AG514" s="20"/>
      <c r="AQ514" s="19"/>
      <c r="AR514" s="19"/>
      <c r="AS514" s="19"/>
      <c r="AT514" s="19"/>
      <c r="AU514" s="19"/>
    </row>
    <row r="515" spans="3:47">
      <c r="C515" s="20"/>
      <c r="Z515" s="20"/>
      <c r="AG515" s="20"/>
      <c r="AQ515" s="19"/>
      <c r="AR515" s="19"/>
      <c r="AS515" s="19"/>
      <c r="AT515" s="19"/>
      <c r="AU515" s="19"/>
    </row>
    <row r="516" spans="3:47">
      <c r="C516" s="20"/>
      <c r="Z516" s="20"/>
      <c r="AG516" s="20"/>
      <c r="AQ516" s="19"/>
      <c r="AR516" s="19"/>
      <c r="AS516" s="19"/>
      <c r="AT516" s="19"/>
      <c r="AU516" s="19"/>
    </row>
    <row r="517" spans="3:47">
      <c r="C517" s="20"/>
      <c r="Z517" s="20"/>
      <c r="AG517" s="20"/>
      <c r="AQ517" s="19"/>
      <c r="AR517" s="19"/>
      <c r="AS517" s="19"/>
      <c r="AT517" s="19"/>
      <c r="AU517" s="19"/>
    </row>
    <row r="518" spans="3:47">
      <c r="C518" s="20"/>
      <c r="Z518" s="20"/>
      <c r="AG518" s="20"/>
      <c r="AQ518" s="19"/>
      <c r="AR518" s="19"/>
      <c r="AS518" s="19"/>
      <c r="AT518" s="19"/>
      <c r="AU518" s="19"/>
    </row>
    <row r="519" spans="3:47">
      <c r="C519" s="20"/>
      <c r="Z519" s="20"/>
      <c r="AG519" s="20"/>
      <c r="AQ519" s="19"/>
      <c r="AR519" s="19"/>
      <c r="AS519" s="19"/>
      <c r="AT519" s="19"/>
      <c r="AU519" s="19"/>
    </row>
    <row r="520" spans="3:47">
      <c r="C520" s="20"/>
      <c r="Z520" s="20"/>
      <c r="AG520" s="20"/>
      <c r="AQ520" s="19"/>
      <c r="AR520" s="19"/>
      <c r="AS520" s="19"/>
      <c r="AT520" s="19"/>
      <c r="AU520" s="19"/>
    </row>
    <row r="521" spans="3:47">
      <c r="C521" s="20"/>
      <c r="Z521" s="20"/>
      <c r="AG521" s="20"/>
      <c r="AQ521" s="19"/>
      <c r="AR521" s="19"/>
      <c r="AS521" s="19"/>
      <c r="AT521" s="19"/>
      <c r="AU521" s="19"/>
    </row>
    <row r="522" spans="3:47">
      <c r="C522" s="20"/>
      <c r="Z522" s="20"/>
      <c r="AG522" s="20"/>
      <c r="AQ522" s="19"/>
      <c r="AR522" s="19"/>
      <c r="AS522" s="19"/>
      <c r="AT522" s="19"/>
      <c r="AU522" s="19"/>
    </row>
    <row r="523" spans="3:47">
      <c r="C523" s="20"/>
      <c r="Z523" s="20"/>
      <c r="AG523" s="20"/>
      <c r="AQ523" s="19"/>
      <c r="AR523" s="19"/>
      <c r="AS523" s="19"/>
      <c r="AT523" s="19"/>
      <c r="AU523" s="19"/>
    </row>
    <row r="524" spans="3:47">
      <c r="C524" s="20"/>
      <c r="Z524" s="20"/>
      <c r="AG524" s="20"/>
      <c r="AQ524" s="19"/>
      <c r="AR524" s="19"/>
      <c r="AS524" s="19"/>
      <c r="AT524" s="19"/>
      <c r="AU524" s="19"/>
    </row>
    <row r="525" spans="3:47">
      <c r="C525" s="20"/>
      <c r="Z525" s="20"/>
      <c r="AG525" s="20"/>
      <c r="AQ525" s="19"/>
      <c r="AR525" s="19"/>
      <c r="AS525" s="19"/>
      <c r="AT525" s="19"/>
      <c r="AU525" s="19"/>
    </row>
    <row r="526" spans="3:47">
      <c r="C526" s="20"/>
      <c r="Z526" s="20"/>
      <c r="AG526" s="20"/>
      <c r="AQ526" s="19"/>
      <c r="AR526" s="19"/>
      <c r="AS526" s="19"/>
      <c r="AT526" s="19"/>
      <c r="AU526" s="19"/>
    </row>
    <row r="527" spans="3:47">
      <c r="C527" s="20"/>
      <c r="Z527" s="20"/>
      <c r="AG527" s="20"/>
      <c r="AQ527" s="19"/>
      <c r="AR527" s="19"/>
      <c r="AS527" s="19"/>
      <c r="AT527" s="19"/>
      <c r="AU527" s="19"/>
    </row>
    <row r="528" spans="3:47">
      <c r="C528" s="20"/>
      <c r="Z528" s="20"/>
      <c r="AG528" s="20"/>
      <c r="AQ528" s="19"/>
      <c r="AR528" s="19"/>
      <c r="AS528" s="19"/>
      <c r="AT528" s="19"/>
      <c r="AU528" s="19"/>
    </row>
    <row r="529" spans="3:47">
      <c r="C529" s="20"/>
      <c r="Z529" s="20"/>
      <c r="AG529" s="20"/>
      <c r="AQ529" s="19"/>
      <c r="AR529" s="19"/>
      <c r="AS529" s="19"/>
      <c r="AT529" s="19"/>
      <c r="AU529" s="19"/>
    </row>
    <row r="530" spans="3:47">
      <c r="C530" s="20"/>
      <c r="Z530" s="20"/>
      <c r="AG530" s="20"/>
      <c r="AQ530" s="19"/>
      <c r="AR530" s="19"/>
      <c r="AS530" s="19"/>
      <c r="AT530" s="19"/>
      <c r="AU530" s="19"/>
    </row>
    <row r="531" spans="3:47">
      <c r="C531" s="20"/>
      <c r="Z531" s="20"/>
      <c r="AG531" s="20"/>
      <c r="AQ531" s="19"/>
      <c r="AR531" s="19"/>
      <c r="AS531" s="19"/>
      <c r="AT531" s="19"/>
      <c r="AU531" s="19"/>
    </row>
    <row r="532" spans="3:47">
      <c r="C532" s="20"/>
      <c r="Z532" s="20"/>
      <c r="AG532" s="20"/>
      <c r="AQ532" s="19"/>
      <c r="AR532" s="19"/>
      <c r="AS532" s="19"/>
      <c r="AT532" s="19"/>
      <c r="AU532" s="19"/>
    </row>
    <row r="533" spans="3:47">
      <c r="C533" s="20"/>
      <c r="Z533" s="20"/>
      <c r="AG533" s="20"/>
      <c r="AQ533" s="19"/>
      <c r="AR533" s="19"/>
      <c r="AS533" s="19"/>
      <c r="AT533" s="19"/>
      <c r="AU533" s="19"/>
    </row>
    <row r="534" spans="3:47">
      <c r="C534" s="20"/>
      <c r="Z534" s="20"/>
      <c r="AG534" s="20"/>
      <c r="AQ534" s="19"/>
      <c r="AR534" s="19"/>
      <c r="AS534" s="19"/>
      <c r="AT534" s="19"/>
      <c r="AU534" s="19"/>
    </row>
    <row r="535" spans="3:47">
      <c r="C535" s="20"/>
      <c r="Z535" s="20"/>
      <c r="AG535" s="20"/>
      <c r="AQ535" s="19"/>
      <c r="AR535" s="19"/>
      <c r="AS535" s="19"/>
      <c r="AT535" s="19"/>
      <c r="AU535" s="19"/>
    </row>
    <row r="536" spans="3:47">
      <c r="C536" s="20"/>
      <c r="Z536" s="20"/>
      <c r="AG536" s="20"/>
      <c r="AQ536" s="19"/>
      <c r="AR536" s="19"/>
      <c r="AS536" s="19"/>
      <c r="AT536" s="19"/>
      <c r="AU536" s="19"/>
    </row>
    <row r="537" spans="3:47">
      <c r="C537" s="20"/>
      <c r="Z537" s="20"/>
      <c r="AG537" s="20"/>
      <c r="AQ537" s="19"/>
      <c r="AR537" s="19"/>
      <c r="AS537" s="19"/>
      <c r="AT537" s="19"/>
      <c r="AU537" s="19"/>
    </row>
    <row r="538" spans="3:47">
      <c r="C538" s="20"/>
      <c r="Z538" s="20"/>
      <c r="AG538" s="20"/>
      <c r="AQ538" s="19"/>
      <c r="AR538" s="19"/>
      <c r="AS538" s="19"/>
      <c r="AT538" s="19"/>
      <c r="AU538" s="19"/>
    </row>
    <row r="539" spans="3:47">
      <c r="C539" s="20"/>
      <c r="Z539" s="20"/>
      <c r="AG539" s="20"/>
      <c r="AQ539" s="19"/>
      <c r="AR539" s="19"/>
      <c r="AS539" s="19"/>
      <c r="AT539" s="19"/>
      <c r="AU539" s="19"/>
    </row>
    <row r="540" spans="3:47">
      <c r="C540" s="20"/>
      <c r="Z540" s="20"/>
      <c r="AG540" s="20"/>
      <c r="AQ540" s="19"/>
      <c r="AR540" s="19"/>
      <c r="AS540" s="19"/>
      <c r="AT540" s="19"/>
      <c r="AU540" s="19"/>
    </row>
    <row r="541" spans="3:47">
      <c r="C541" s="20"/>
      <c r="Z541" s="20"/>
      <c r="AG541" s="20"/>
      <c r="AQ541" s="19"/>
      <c r="AR541" s="19"/>
      <c r="AS541" s="19"/>
      <c r="AT541" s="19"/>
      <c r="AU541" s="19"/>
    </row>
    <row r="542" spans="3:47">
      <c r="C542" s="20"/>
      <c r="Z542" s="20"/>
      <c r="AG542" s="20"/>
      <c r="AQ542" s="19"/>
      <c r="AR542" s="19"/>
      <c r="AS542" s="19"/>
      <c r="AT542" s="19"/>
      <c r="AU542" s="19"/>
    </row>
    <row r="543" spans="3:47">
      <c r="C543" s="20"/>
      <c r="Z543" s="20"/>
      <c r="AG543" s="20"/>
      <c r="AQ543" s="19"/>
      <c r="AR543" s="19"/>
      <c r="AS543" s="19"/>
      <c r="AT543" s="19"/>
      <c r="AU543" s="19"/>
    </row>
    <row r="544" spans="3:47">
      <c r="C544" s="20"/>
      <c r="Z544" s="20"/>
      <c r="AG544" s="20"/>
      <c r="AQ544" s="19"/>
      <c r="AR544" s="19"/>
      <c r="AS544" s="19"/>
      <c r="AT544" s="19"/>
      <c r="AU544" s="19"/>
    </row>
    <row r="545" spans="3:47">
      <c r="C545" s="20"/>
      <c r="Z545" s="20"/>
      <c r="AG545" s="20"/>
      <c r="AQ545" s="19"/>
      <c r="AR545" s="19"/>
      <c r="AS545" s="19"/>
      <c r="AT545" s="19"/>
      <c r="AU545" s="19"/>
    </row>
    <row r="546" spans="3:47">
      <c r="C546" s="20"/>
      <c r="Z546" s="20"/>
      <c r="AG546" s="20"/>
      <c r="AQ546" s="19"/>
      <c r="AR546" s="19"/>
      <c r="AS546" s="19"/>
      <c r="AT546" s="19"/>
      <c r="AU546" s="19"/>
    </row>
    <row r="547" spans="3:47">
      <c r="C547" s="20"/>
      <c r="Z547" s="20"/>
      <c r="AG547" s="20"/>
      <c r="AQ547" s="19"/>
      <c r="AR547" s="19"/>
      <c r="AS547" s="19"/>
      <c r="AT547" s="19"/>
      <c r="AU547" s="19"/>
    </row>
    <row r="548" spans="3:47">
      <c r="C548" s="20"/>
      <c r="Z548" s="20"/>
      <c r="AG548" s="20"/>
      <c r="AQ548" s="19"/>
      <c r="AR548" s="19"/>
      <c r="AS548" s="19"/>
      <c r="AT548" s="19"/>
      <c r="AU548" s="19"/>
    </row>
    <row r="549" spans="3:47">
      <c r="C549" s="20"/>
      <c r="Z549" s="20"/>
      <c r="AG549" s="20"/>
      <c r="AQ549" s="19"/>
      <c r="AR549" s="19"/>
      <c r="AS549" s="19"/>
      <c r="AT549" s="19"/>
      <c r="AU549" s="19"/>
    </row>
    <row r="550" spans="3:47">
      <c r="C550" s="20"/>
      <c r="Z550" s="20"/>
      <c r="AG550" s="20"/>
      <c r="AQ550" s="19"/>
      <c r="AR550" s="19"/>
      <c r="AS550" s="19"/>
      <c r="AT550" s="19"/>
      <c r="AU550" s="19"/>
    </row>
    <row r="551" spans="3:47">
      <c r="C551" s="20"/>
      <c r="Z551" s="20"/>
      <c r="AG551" s="20"/>
      <c r="AQ551" s="19"/>
      <c r="AR551" s="19"/>
      <c r="AS551" s="19"/>
      <c r="AT551" s="19"/>
      <c r="AU551" s="19"/>
    </row>
    <row r="552" spans="3:47">
      <c r="C552" s="20"/>
      <c r="Z552" s="20"/>
      <c r="AG552" s="20"/>
      <c r="AQ552" s="19"/>
      <c r="AR552" s="19"/>
      <c r="AS552" s="19"/>
      <c r="AT552" s="19"/>
      <c r="AU552" s="19"/>
    </row>
    <row r="553" spans="3:47">
      <c r="C553" s="20"/>
      <c r="Z553" s="20"/>
      <c r="AG553" s="20"/>
      <c r="AQ553" s="19"/>
      <c r="AR553" s="19"/>
      <c r="AS553" s="19"/>
      <c r="AT553" s="19"/>
      <c r="AU553" s="19"/>
    </row>
    <row r="554" spans="3:47">
      <c r="C554" s="20"/>
      <c r="Z554" s="20"/>
      <c r="AG554" s="20"/>
      <c r="AQ554" s="19"/>
      <c r="AR554" s="19"/>
      <c r="AS554" s="19"/>
      <c r="AT554" s="19"/>
      <c r="AU554" s="19"/>
    </row>
    <row r="555" spans="3:47">
      <c r="C555" s="20"/>
      <c r="Z555" s="20"/>
      <c r="AG555" s="20"/>
      <c r="AQ555" s="19"/>
      <c r="AR555" s="19"/>
      <c r="AS555" s="19"/>
      <c r="AT555" s="19"/>
      <c r="AU555" s="19"/>
    </row>
    <row r="556" spans="3:47">
      <c r="C556" s="20"/>
      <c r="Z556" s="20"/>
      <c r="AG556" s="20"/>
      <c r="AQ556" s="19"/>
      <c r="AR556" s="19"/>
      <c r="AS556" s="19"/>
      <c r="AT556" s="19"/>
      <c r="AU556" s="19"/>
    </row>
    <row r="557" spans="3:47">
      <c r="C557" s="20"/>
      <c r="Z557" s="20"/>
      <c r="AG557" s="20"/>
      <c r="AQ557" s="19"/>
      <c r="AR557" s="19"/>
      <c r="AS557" s="19"/>
      <c r="AT557" s="19"/>
      <c r="AU557" s="19"/>
    </row>
    <row r="558" spans="3:47">
      <c r="C558" s="20"/>
      <c r="Z558" s="20"/>
      <c r="AG558" s="20"/>
      <c r="AQ558" s="19"/>
      <c r="AR558" s="19"/>
      <c r="AS558" s="19"/>
      <c r="AT558" s="19"/>
      <c r="AU558" s="19"/>
    </row>
    <row r="559" spans="3:47">
      <c r="C559" s="20"/>
      <c r="Z559" s="20"/>
      <c r="AG559" s="20"/>
      <c r="AQ559" s="19"/>
      <c r="AR559" s="19"/>
      <c r="AS559" s="19"/>
      <c r="AT559" s="19"/>
      <c r="AU559" s="19"/>
    </row>
    <row r="560" spans="3:47">
      <c r="C560" s="20"/>
      <c r="Z560" s="20"/>
      <c r="AG560" s="20"/>
      <c r="AQ560" s="19"/>
      <c r="AR560" s="19"/>
      <c r="AS560" s="19"/>
      <c r="AT560" s="19"/>
      <c r="AU560" s="19"/>
    </row>
    <row r="561" spans="3:47">
      <c r="C561" s="20"/>
      <c r="Z561" s="20"/>
      <c r="AG561" s="20"/>
      <c r="AQ561" s="19"/>
      <c r="AR561" s="19"/>
      <c r="AS561" s="19"/>
      <c r="AT561" s="19"/>
      <c r="AU561" s="19"/>
    </row>
    <row r="562" spans="3:47">
      <c r="C562" s="20"/>
      <c r="Z562" s="20"/>
      <c r="AG562" s="20"/>
      <c r="AQ562" s="19"/>
      <c r="AR562" s="19"/>
      <c r="AS562" s="19"/>
      <c r="AT562" s="19"/>
      <c r="AU562" s="19"/>
    </row>
    <row r="563" spans="3:47">
      <c r="C563" s="20"/>
      <c r="Z563" s="20"/>
      <c r="AG563" s="20"/>
      <c r="AQ563" s="19"/>
      <c r="AR563" s="19"/>
      <c r="AS563" s="19"/>
      <c r="AT563" s="19"/>
      <c r="AU563" s="19"/>
    </row>
    <row r="564" spans="3:47">
      <c r="C564" s="20"/>
      <c r="Z564" s="20"/>
      <c r="AG564" s="20"/>
      <c r="AQ564" s="19"/>
      <c r="AR564" s="19"/>
      <c r="AS564" s="19"/>
      <c r="AT564" s="19"/>
      <c r="AU564" s="19"/>
    </row>
    <row r="565" spans="3:47">
      <c r="C565" s="20"/>
      <c r="Z565" s="20"/>
      <c r="AG565" s="20"/>
      <c r="AQ565" s="19"/>
      <c r="AR565" s="19"/>
      <c r="AS565" s="19"/>
      <c r="AT565" s="19"/>
      <c r="AU565" s="19"/>
    </row>
    <row r="566" spans="3:47">
      <c r="C566" s="20"/>
      <c r="Z566" s="20"/>
      <c r="AG566" s="20"/>
      <c r="AQ566" s="19"/>
      <c r="AR566" s="19"/>
      <c r="AS566" s="19"/>
      <c r="AT566" s="19"/>
      <c r="AU566" s="19"/>
    </row>
    <row r="567" spans="3:47">
      <c r="C567" s="20"/>
      <c r="Z567" s="20"/>
      <c r="AG567" s="20"/>
      <c r="AQ567" s="19"/>
      <c r="AR567" s="19"/>
      <c r="AS567" s="19"/>
      <c r="AT567" s="19"/>
      <c r="AU567" s="19"/>
    </row>
    <row r="568" spans="3:47">
      <c r="C568" s="20"/>
      <c r="Z568" s="20"/>
      <c r="AG568" s="20"/>
      <c r="AQ568" s="19"/>
      <c r="AR568" s="19"/>
      <c r="AS568" s="19"/>
      <c r="AT568" s="19"/>
      <c r="AU568" s="19"/>
    </row>
    <row r="569" spans="3:47">
      <c r="C569" s="20"/>
      <c r="Z569" s="20"/>
      <c r="AG569" s="20"/>
      <c r="AQ569" s="19"/>
      <c r="AR569" s="19"/>
      <c r="AS569" s="19"/>
      <c r="AT569" s="19"/>
      <c r="AU569" s="19"/>
    </row>
    <row r="570" spans="3:47">
      <c r="C570" s="20"/>
      <c r="Z570" s="20"/>
      <c r="AG570" s="20"/>
      <c r="AQ570" s="19"/>
      <c r="AR570" s="19"/>
      <c r="AS570" s="19"/>
      <c r="AT570" s="19"/>
      <c r="AU570" s="19"/>
    </row>
    <row r="571" spans="3:47">
      <c r="C571" s="20"/>
      <c r="Z571" s="20"/>
      <c r="AG571" s="20"/>
      <c r="AQ571" s="19"/>
      <c r="AR571" s="19"/>
      <c r="AS571" s="19"/>
      <c r="AT571" s="19"/>
      <c r="AU571" s="19"/>
    </row>
    <row r="572" spans="3:47">
      <c r="C572" s="20"/>
      <c r="Z572" s="20"/>
      <c r="AG572" s="20"/>
      <c r="AQ572" s="19"/>
      <c r="AR572" s="19"/>
      <c r="AS572" s="19"/>
      <c r="AT572" s="19"/>
      <c r="AU572" s="19"/>
    </row>
    <row r="573" spans="3:47">
      <c r="C573" s="20"/>
      <c r="Z573" s="20"/>
      <c r="AG573" s="20"/>
      <c r="AQ573" s="19"/>
      <c r="AR573" s="19"/>
      <c r="AS573" s="19"/>
      <c r="AT573" s="19"/>
      <c r="AU573" s="19"/>
    </row>
    <row r="574" spans="3:47">
      <c r="C574" s="20"/>
      <c r="Z574" s="20"/>
      <c r="AG574" s="20"/>
      <c r="AQ574" s="19"/>
      <c r="AR574" s="19"/>
      <c r="AS574" s="19"/>
      <c r="AT574" s="19"/>
      <c r="AU574" s="19"/>
    </row>
    <row r="575" spans="3:47">
      <c r="C575" s="20"/>
      <c r="Z575" s="20"/>
      <c r="AG575" s="20"/>
      <c r="AQ575" s="19"/>
      <c r="AR575" s="19"/>
      <c r="AS575" s="19"/>
      <c r="AT575" s="19"/>
      <c r="AU575" s="19"/>
    </row>
    <row r="576" spans="3:47">
      <c r="C576" s="20"/>
      <c r="Z576" s="20"/>
      <c r="AG576" s="20"/>
      <c r="AQ576" s="19"/>
      <c r="AR576" s="19"/>
      <c r="AS576" s="19"/>
      <c r="AT576" s="19"/>
      <c r="AU576" s="19"/>
    </row>
    <row r="577" spans="3:47">
      <c r="C577" s="20"/>
      <c r="Z577" s="20"/>
      <c r="AG577" s="20"/>
      <c r="AQ577" s="19"/>
      <c r="AR577" s="19"/>
      <c r="AS577" s="19"/>
      <c r="AT577" s="19"/>
      <c r="AU577" s="19"/>
    </row>
    <row r="578" spans="3:47">
      <c r="C578" s="20"/>
      <c r="Z578" s="20"/>
      <c r="AG578" s="20"/>
      <c r="AQ578" s="19"/>
      <c r="AR578" s="19"/>
      <c r="AS578" s="19"/>
      <c r="AT578" s="19"/>
      <c r="AU578" s="19"/>
    </row>
    <row r="579" spans="3:47">
      <c r="C579" s="20"/>
      <c r="Z579" s="20"/>
      <c r="AG579" s="20"/>
      <c r="AQ579" s="19"/>
      <c r="AR579" s="19"/>
      <c r="AS579" s="19"/>
      <c r="AT579" s="19"/>
      <c r="AU579" s="19"/>
    </row>
    <row r="580" spans="3:47">
      <c r="C580" s="20"/>
      <c r="Z580" s="20"/>
      <c r="AG580" s="20"/>
      <c r="AQ580" s="19"/>
      <c r="AR580" s="19"/>
      <c r="AS580" s="19"/>
      <c r="AT580" s="19"/>
      <c r="AU580" s="19"/>
    </row>
    <row r="581" spans="3:47">
      <c r="C581" s="20"/>
      <c r="Z581" s="20"/>
      <c r="AG581" s="20"/>
      <c r="AQ581" s="19"/>
      <c r="AR581" s="19"/>
      <c r="AS581" s="19"/>
      <c r="AT581" s="19"/>
      <c r="AU581" s="19"/>
    </row>
    <row r="582" spans="3:47">
      <c r="C582" s="20"/>
      <c r="Z582" s="20"/>
      <c r="AG582" s="20"/>
      <c r="AQ582" s="19"/>
      <c r="AR582" s="19"/>
      <c r="AS582" s="19"/>
      <c r="AT582" s="19"/>
      <c r="AU582" s="19"/>
    </row>
    <row r="583" spans="3:47">
      <c r="C583" s="20"/>
      <c r="Z583" s="20"/>
      <c r="AG583" s="20"/>
      <c r="AQ583" s="19"/>
      <c r="AR583" s="19"/>
      <c r="AS583" s="19"/>
      <c r="AT583" s="19"/>
      <c r="AU583" s="19"/>
    </row>
    <row r="584" spans="3:47">
      <c r="C584" s="20"/>
      <c r="Z584" s="20"/>
      <c r="AG584" s="20"/>
      <c r="AQ584" s="19"/>
      <c r="AR584" s="19"/>
      <c r="AS584" s="19"/>
      <c r="AT584" s="19"/>
      <c r="AU584" s="19"/>
    </row>
    <row r="585" spans="3:47">
      <c r="C585" s="20"/>
      <c r="Z585" s="20"/>
      <c r="AG585" s="20"/>
      <c r="AQ585" s="19"/>
      <c r="AR585" s="19"/>
      <c r="AS585" s="19"/>
      <c r="AT585" s="19"/>
      <c r="AU585" s="19"/>
    </row>
    <row r="586" spans="3:47">
      <c r="C586" s="20"/>
      <c r="Z586" s="20"/>
      <c r="AG586" s="20"/>
      <c r="AQ586" s="19"/>
      <c r="AR586" s="19"/>
      <c r="AS586" s="19"/>
      <c r="AT586" s="19"/>
      <c r="AU586" s="19"/>
    </row>
    <row r="587" spans="3:47">
      <c r="C587" s="20"/>
      <c r="Z587" s="20"/>
      <c r="AG587" s="20"/>
      <c r="AQ587" s="19"/>
      <c r="AR587" s="19"/>
      <c r="AS587" s="19"/>
      <c r="AT587" s="19"/>
      <c r="AU587" s="19"/>
    </row>
    <row r="588" spans="3:47">
      <c r="C588" s="20"/>
      <c r="Z588" s="20"/>
      <c r="AG588" s="20"/>
      <c r="AQ588" s="19"/>
      <c r="AR588" s="19"/>
      <c r="AS588" s="19"/>
      <c r="AT588" s="19"/>
      <c r="AU588" s="19"/>
    </row>
    <row r="589" spans="3:47">
      <c r="C589" s="20"/>
      <c r="Z589" s="20"/>
      <c r="AG589" s="20"/>
      <c r="AQ589" s="19"/>
      <c r="AR589" s="19"/>
      <c r="AS589" s="19"/>
      <c r="AT589" s="19"/>
      <c r="AU589" s="19"/>
    </row>
    <row r="590" spans="3:47">
      <c r="C590" s="20"/>
      <c r="Z590" s="20"/>
      <c r="AG590" s="20"/>
      <c r="AQ590" s="19"/>
      <c r="AR590" s="19"/>
      <c r="AS590" s="19"/>
      <c r="AT590" s="19"/>
      <c r="AU590" s="19"/>
    </row>
    <row r="591" spans="3:47">
      <c r="C591" s="20"/>
      <c r="Z591" s="20"/>
      <c r="AG591" s="20"/>
      <c r="AQ591" s="19"/>
      <c r="AR591" s="19"/>
      <c r="AS591" s="19"/>
      <c r="AT591" s="19"/>
      <c r="AU591" s="19"/>
    </row>
    <row r="592" spans="3:47">
      <c r="C592" s="20"/>
      <c r="Z592" s="20"/>
      <c r="AG592" s="20"/>
      <c r="AQ592" s="19"/>
      <c r="AR592" s="19"/>
      <c r="AS592" s="19"/>
      <c r="AT592" s="19"/>
      <c r="AU592" s="19"/>
    </row>
    <row r="593" spans="3:47">
      <c r="C593" s="20"/>
      <c r="Z593" s="20"/>
      <c r="AG593" s="20"/>
      <c r="AQ593" s="19"/>
      <c r="AR593" s="19"/>
      <c r="AS593" s="19"/>
      <c r="AT593" s="19"/>
      <c r="AU593" s="19"/>
    </row>
    <row r="594" spans="3:47">
      <c r="C594" s="20"/>
      <c r="Z594" s="20"/>
      <c r="AG594" s="20"/>
      <c r="AQ594" s="19"/>
      <c r="AR594" s="19"/>
      <c r="AS594" s="19"/>
      <c r="AT594" s="19"/>
      <c r="AU594" s="19"/>
    </row>
    <row r="595" spans="3:47">
      <c r="C595" s="20"/>
      <c r="Z595" s="20"/>
      <c r="AG595" s="20"/>
      <c r="AQ595" s="19"/>
      <c r="AR595" s="19"/>
      <c r="AS595" s="19"/>
      <c r="AT595" s="19"/>
      <c r="AU595" s="19"/>
    </row>
    <row r="596" spans="3:47">
      <c r="C596" s="20"/>
      <c r="Z596" s="20"/>
      <c r="AG596" s="20"/>
      <c r="AQ596" s="19"/>
      <c r="AR596" s="19"/>
      <c r="AS596" s="19"/>
      <c r="AT596" s="19"/>
      <c r="AU596" s="19"/>
    </row>
    <row r="597" spans="3:47">
      <c r="C597" s="20"/>
      <c r="Z597" s="20"/>
      <c r="AG597" s="20"/>
      <c r="AQ597" s="19"/>
      <c r="AR597" s="19"/>
      <c r="AS597" s="19"/>
      <c r="AT597" s="19"/>
      <c r="AU597" s="19"/>
    </row>
    <row r="598" spans="3:47">
      <c r="C598" s="20"/>
      <c r="Z598" s="20"/>
      <c r="AG598" s="20"/>
      <c r="AQ598" s="19"/>
      <c r="AR598" s="19"/>
      <c r="AS598" s="19"/>
      <c r="AT598" s="19"/>
      <c r="AU598" s="19"/>
    </row>
    <row r="599" spans="3:47">
      <c r="C599" s="20"/>
      <c r="Z599" s="20"/>
      <c r="AG599" s="20"/>
      <c r="AQ599" s="19"/>
      <c r="AR599" s="19"/>
      <c r="AS599" s="19"/>
      <c r="AT599" s="19"/>
      <c r="AU599" s="19"/>
    </row>
    <row r="600" spans="3:47">
      <c r="C600" s="20"/>
      <c r="Z600" s="20"/>
      <c r="AG600" s="20"/>
      <c r="AQ600" s="19"/>
      <c r="AR600" s="19"/>
      <c r="AS600" s="19"/>
      <c r="AT600" s="19"/>
      <c r="AU600" s="19"/>
    </row>
    <row r="601" spans="3:47">
      <c r="C601" s="20"/>
      <c r="Z601" s="20"/>
      <c r="AG601" s="20"/>
      <c r="AQ601" s="19"/>
      <c r="AR601" s="19"/>
      <c r="AS601" s="19"/>
      <c r="AT601" s="19"/>
      <c r="AU601" s="19"/>
    </row>
    <row r="602" spans="3:47">
      <c r="C602" s="20"/>
      <c r="Z602" s="20"/>
      <c r="AG602" s="20"/>
      <c r="AQ602" s="19"/>
      <c r="AR602" s="19"/>
      <c r="AS602" s="19"/>
      <c r="AT602" s="19"/>
      <c r="AU602" s="19"/>
    </row>
    <row r="603" spans="3:47">
      <c r="C603" s="20"/>
      <c r="Z603" s="20"/>
      <c r="AG603" s="20"/>
      <c r="AQ603" s="19"/>
      <c r="AR603" s="19"/>
      <c r="AS603" s="19"/>
      <c r="AT603" s="19"/>
      <c r="AU603" s="19"/>
    </row>
    <row r="604" spans="3:47">
      <c r="C604" s="20"/>
      <c r="Z604" s="20"/>
      <c r="AG604" s="20"/>
      <c r="AQ604" s="19"/>
      <c r="AR604" s="19"/>
      <c r="AS604" s="19"/>
      <c r="AT604" s="19"/>
      <c r="AU604" s="19"/>
    </row>
    <row r="605" spans="3:47">
      <c r="C605" s="20"/>
      <c r="Z605" s="20"/>
      <c r="AG605" s="20"/>
      <c r="AQ605" s="19"/>
      <c r="AR605" s="19"/>
      <c r="AS605" s="19"/>
      <c r="AT605" s="19"/>
      <c r="AU605" s="19"/>
    </row>
    <row r="606" spans="3:47">
      <c r="C606" s="20"/>
      <c r="Z606" s="20"/>
      <c r="AG606" s="20"/>
      <c r="AQ606" s="19"/>
      <c r="AR606" s="19"/>
      <c r="AS606" s="19"/>
      <c r="AT606" s="19"/>
      <c r="AU606" s="19"/>
    </row>
    <row r="607" spans="3:47">
      <c r="C607" s="20"/>
      <c r="Z607" s="20"/>
      <c r="AG607" s="20"/>
      <c r="AQ607" s="19"/>
      <c r="AR607" s="19"/>
      <c r="AS607" s="19"/>
      <c r="AT607" s="19"/>
      <c r="AU607" s="19"/>
    </row>
    <row r="608" spans="3:47">
      <c r="C608" s="20"/>
      <c r="Z608" s="20"/>
      <c r="AG608" s="20"/>
      <c r="AQ608" s="19"/>
      <c r="AR608" s="19"/>
      <c r="AS608" s="19"/>
      <c r="AT608" s="19"/>
      <c r="AU608" s="19"/>
    </row>
    <row r="609" spans="3:47">
      <c r="C609" s="20"/>
      <c r="Z609" s="20"/>
      <c r="AG609" s="20"/>
      <c r="AQ609" s="19"/>
      <c r="AR609" s="19"/>
      <c r="AS609" s="19"/>
      <c r="AT609" s="19"/>
      <c r="AU609" s="19"/>
    </row>
    <row r="610" spans="3:47">
      <c r="C610" s="20"/>
      <c r="Z610" s="20"/>
      <c r="AG610" s="20"/>
      <c r="AQ610" s="19"/>
      <c r="AR610" s="19"/>
      <c r="AS610" s="19"/>
      <c r="AT610" s="19"/>
      <c r="AU610" s="19"/>
    </row>
    <row r="611" spans="3:47">
      <c r="C611" s="20"/>
      <c r="Z611" s="20"/>
      <c r="AG611" s="20"/>
      <c r="AQ611" s="19"/>
      <c r="AR611" s="19"/>
      <c r="AS611" s="19"/>
      <c r="AT611" s="19"/>
      <c r="AU611" s="19"/>
    </row>
    <row r="612" spans="3:47">
      <c r="C612" s="20"/>
      <c r="Z612" s="20"/>
      <c r="AG612" s="20"/>
      <c r="AQ612" s="19"/>
      <c r="AR612" s="19"/>
      <c r="AS612" s="19"/>
      <c r="AT612" s="19"/>
      <c r="AU612" s="19"/>
    </row>
    <row r="613" spans="3:47">
      <c r="C613" s="20"/>
      <c r="Z613" s="20"/>
      <c r="AG613" s="20"/>
      <c r="AQ613" s="19"/>
      <c r="AR613" s="19"/>
      <c r="AS613" s="19"/>
      <c r="AT613" s="19"/>
      <c r="AU613" s="19"/>
    </row>
    <row r="614" spans="3:47">
      <c r="C614" s="20"/>
      <c r="Z614" s="20"/>
      <c r="AG614" s="20"/>
      <c r="AQ614" s="19"/>
      <c r="AR614" s="19"/>
      <c r="AS614" s="19"/>
      <c r="AT614" s="19"/>
      <c r="AU614" s="19"/>
    </row>
    <row r="615" spans="3:47">
      <c r="C615" s="20"/>
      <c r="Z615" s="20"/>
      <c r="AG615" s="20"/>
      <c r="AQ615" s="19"/>
      <c r="AR615" s="19"/>
      <c r="AS615" s="19"/>
      <c r="AT615" s="19"/>
      <c r="AU615" s="19"/>
    </row>
    <row r="616" spans="3:47">
      <c r="C616" s="20"/>
      <c r="Z616" s="20"/>
      <c r="AG616" s="20"/>
      <c r="AQ616" s="19"/>
      <c r="AR616" s="19"/>
      <c r="AS616" s="19"/>
      <c r="AT616" s="19"/>
      <c r="AU616" s="19"/>
    </row>
    <row r="617" spans="3:47">
      <c r="C617" s="20"/>
      <c r="Z617" s="20"/>
      <c r="AG617" s="20"/>
      <c r="AQ617" s="19"/>
      <c r="AR617" s="19"/>
      <c r="AS617" s="19"/>
      <c r="AT617" s="19"/>
      <c r="AU617" s="19"/>
    </row>
    <row r="618" spans="3:47">
      <c r="C618" s="20"/>
      <c r="Z618" s="20"/>
      <c r="AG618" s="20"/>
      <c r="AQ618" s="19"/>
      <c r="AR618" s="19"/>
      <c r="AS618" s="19"/>
      <c r="AT618" s="19"/>
      <c r="AU618" s="19"/>
    </row>
    <row r="619" spans="3:47">
      <c r="C619" s="20"/>
      <c r="Z619" s="20"/>
      <c r="AG619" s="20"/>
      <c r="AQ619" s="19"/>
      <c r="AR619" s="19"/>
      <c r="AS619" s="19"/>
      <c r="AT619" s="19"/>
      <c r="AU619" s="19"/>
    </row>
    <row r="620" spans="3:47">
      <c r="C620" s="20"/>
      <c r="Z620" s="20"/>
      <c r="AG620" s="20"/>
      <c r="AQ620" s="19"/>
      <c r="AR620" s="19"/>
      <c r="AS620" s="19"/>
      <c r="AT620" s="19"/>
      <c r="AU620" s="19"/>
    </row>
    <row r="621" spans="3:47">
      <c r="C621" s="20"/>
      <c r="Z621" s="20"/>
      <c r="AG621" s="20"/>
      <c r="AQ621" s="19"/>
      <c r="AR621" s="19"/>
      <c r="AS621" s="19"/>
      <c r="AT621" s="19"/>
      <c r="AU621" s="19"/>
    </row>
    <row r="622" spans="3:47">
      <c r="C622" s="20"/>
      <c r="Z622" s="20"/>
      <c r="AG622" s="20"/>
      <c r="AQ622" s="19"/>
      <c r="AR622" s="19"/>
      <c r="AS622" s="19"/>
      <c r="AT622" s="19"/>
      <c r="AU622" s="19"/>
    </row>
    <row r="623" spans="3:47">
      <c r="C623" s="20"/>
      <c r="Z623" s="20"/>
      <c r="AG623" s="20"/>
      <c r="AQ623" s="19"/>
      <c r="AR623" s="19"/>
      <c r="AS623" s="19"/>
      <c r="AT623" s="19"/>
      <c r="AU623" s="19"/>
    </row>
    <row r="624" spans="3:47">
      <c r="C624" s="20"/>
      <c r="Z624" s="20"/>
      <c r="AG624" s="20"/>
      <c r="AQ624" s="19"/>
      <c r="AR624" s="19"/>
      <c r="AS624" s="19"/>
      <c r="AT624" s="19"/>
      <c r="AU624" s="19"/>
    </row>
    <row r="625" spans="3:47">
      <c r="C625" s="20"/>
      <c r="Z625" s="20"/>
      <c r="AG625" s="20"/>
      <c r="AQ625" s="19"/>
      <c r="AR625" s="19"/>
      <c r="AS625" s="19"/>
      <c r="AT625" s="19"/>
      <c r="AU625" s="19"/>
    </row>
    <row r="626" spans="3:47">
      <c r="C626" s="20"/>
      <c r="Z626" s="20"/>
      <c r="AG626" s="20"/>
      <c r="AQ626" s="19"/>
      <c r="AR626" s="19"/>
      <c r="AS626" s="19"/>
      <c r="AT626" s="19"/>
      <c r="AU626" s="19"/>
    </row>
    <row r="627" spans="3:47">
      <c r="C627" s="20"/>
      <c r="Z627" s="20"/>
      <c r="AG627" s="20"/>
      <c r="AQ627" s="19"/>
      <c r="AR627" s="19"/>
      <c r="AS627" s="19"/>
      <c r="AT627" s="19"/>
      <c r="AU627" s="19"/>
    </row>
    <row r="628" spans="3:47">
      <c r="C628" s="20"/>
      <c r="Z628" s="20"/>
      <c r="AG628" s="20"/>
      <c r="AQ628" s="19"/>
      <c r="AR628" s="19"/>
      <c r="AS628" s="19"/>
      <c r="AT628" s="19"/>
      <c r="AU628" s="19"/>
    </row>
    <row r="629" spans="3:47">
      <c r="C629" s="20"/>
      <c r="Z629" s="20"/>
      <c r="AG629" s="20"/>
      <c r="AQ629" s="19"/>
      <c r="AR629" s="19"/>
      <c r="AS629" s="19"/>
      <c r="AT629" s="19"/>
      <c r="AU629" s="19"/>
    </row>
    <row r="630" spans="3:47">
      <c r="C630" s="20"/>
      <c r="Z630" s="20"/>
      <c r="AG630" s="20"/>
      <c r="AQ630" s="19"/>
      <c r="AR630" s="19"/>
      <c r="AS630" s="19"/>
      <c r="AT630" s="19"/>
      <c r="AU630" s="19"/>
    </row>
    <row r="631" spans="3:47">
      <c r="C631" s="20"/>
      <c r="Z631" s="20"/>
      <c r="AG631" s="20"/>
      <c r="AQ631" s="19"/>
      <c r="AR631" s="19"/>
      <c r="AS631" s="19"/>
      <c r="AT631" s="19"/>
      <c r="AU631" s="19"/>
    </row>
    <row r="632" spans="3:47">
      <c r="C632" s="20"/>
      <c r="Z632" s="20"/>
      <c r="AG632" s="20"/>
      <c r="AQ632" s="19"/>
      <c r="AR632" s="19"/>
      <c r="AS632" s="19"/>
      <c r="AT632" s="19"/>
      <c r="AU632" s="19"/>
    </row>
    <row r="633" spans="3:47">
      <c r="C633" s="20"/>
      <c r="Z633" s="20"/>
      <c r="AG633" s="20"/>
      <c r="AQ633" s="19"/>
      <c r="AR633" s="19"/>
      <c r="AS633" s="19"/>
      <c r="AT633" s="19"/>
      <c r="AU633" s="19"/>
    </row>
    <row r="634" spans="3:47">
      <c r="C634" s="20"/>
      <c r="Z634" s="20"/>
      <c r="AG634" s="20"/>
      <c r="AQ634" s="19"/>
      <c r="AR634" s="19"/>
      <c r="AS634" s="19"/>
      <c r="AT634" s="19"/>
      <c r="AU634" s="19"/>
    </row>
    <row r="635" spans="3:47">
      <c r="C635" s="20"/>
      <c r="Z635" s="20"/>
      <c r="AG635" s="20"/>
      <c r="AQ635" s="19"/>
      <c r="AR635" s="19"/>
      <c r="AS635" s="19"/>
      <c r="AT635" s="19"/>
      <c r="AU635" s="19"/>
    </row>
    <row r="636" spans="3:47">
      <c r="C636" s="20"/>
      <c r="Z636" s="20"/>
      <c r="AG636" s="20"/>
      <c r="AQ636" s="19"/>
      <c r="AR636" s="19"/>
      <c r="AS636" s="19"/>
      <c r="AT636" s="19"/>
      <c r="AU636" s="19"/>
    </row>
    <row r="637" spans="3:47">
      <c r="C637" s="20"/>
      <c r="Z637" s="20"/>
      <c r="AG637" s="20"/>
      <c r="AQ637" s="19"/>
      <c r="AR637" s="19"/>
      <c r="AS637" s="19"/>
      <c r="AT637" s="19"/>
      <c r="AU637" s="19"/>
    </row>
    <row r="638" spans="3:47">
      <c r="C638" s="20"/>
      <c r="Z638" s="20"/>
      <c r="AG638" s="20"/>
      <c r="AQ638" s="19"/>
      <c r="AR638" s="19"/>
      <c r="AS638" s="19"/>
      <c r="AT638" s="19"/>
      <c r="AU638" s="19"/>
    </row>
    <row r="639" spans="3:47">
      <c r="C639" s="20"/>
      <c r="Z639" s="20"/>
      <c r="AG639" s="20"/>
      <c r="AQ639" s="19"/>
      <c r="AR639" s="19"/>
      <c r="AS639" s="19"/>
      <c r="AT639" s="19"/>
      <c r="AU639" s="19"/>
    </row>
    <row r="640" spans="3:47">
      <c r="C640" s="20"/>
      <c r="Z640" s="20"/>
      <c r="AG640" s="20"/>
      <c r="AQ640" s="19"/>
      <c r="AR640" s="19"/>
      <c r="AS640" s="19"/>
      <c r="AT640" s="19"/>
      <c r="AU640" s="19"/>
    </row>
    <row r="641" spans="3:47">
      <c r="C641" s="20"/>
      <c r="Z641" s="20"/>
      <c r="AG641" s="20"/>
      <c r="AQ641" s="19"/>
      <c r="AR641" s="19"/>
      <c r="AS641" s="19"/>
      <c r="AT641" s="19"/>
      <c r="AU641" s="19"/>
    </row>
    <row r="642" spans="3:47">
      <c r="C642" s="20"/>
      <c r="Z642" s="35"/>
      <c r="AG642" s="20"/>
      <c r="AQ642" s="19"/>
      <c r="AR642" s="19"/>
      <c r="AS642" s="19"/>
      <c r="AT642" s="19"/>
      <c r="AU642" s="19"/>
    </row>
    <row r="643" spans="3:47">
      <c r="C643" s="20"/>
      <c r="Z643" s="20"/>
      <c r="AG643" s="20"/>
      <c r="AQ643" s="19"/>
      <c r="AR643" s="19"/>
      <c r="AS643" s="19"/>
      <c r="AT643" s="19"/>
      <c r="AU643" s="19"/>
    </row>
    <row r="644" spans="3:47">
      <c r="C644" s="20"/>
      <c r="Z644" s="20"/>
      <c r="AG644" s="20"/>
      <c r="AQ644" s="19"/>
      <c r="AR644" s="19"/>
      <c r="AS644" s="19"/>
      <c r="AT644" s="19"/>
      <c r="AU644" s="19"/>
    </row>
    <row r="645" spans="3:47">
      <c r="C645" s="20"/>
      <c r="Z645" s="20"/>
      <c r="AG645" s="20"/>
      <c r="AQ645" s="19"/>
      <c r="AR645" s="19"/>
      <c r="AS645" s="19"/>
      <c r="AT645" s="19"/>
      <c r="AU645" s="19"/>
    </row>
    <row r="646" spans="3:47">
      <c r="C646" s="20"/>
      <c r="Z646" s="20"/>
      <c r="AG646" s="20"/>
      <c r="AQ646" s="19"/>
      <c r="AR646" s="19"/>
      <c r="AS646" s="19"/>
      <c r="AT646" s="19"/>
      <c r="AU646" s="19"/>
    </row>
    <row r="647" spans="3:47">
      <c r="C647" s="20"/>
      <c r="Z647" s="20"/>
      <c r="AG647" s="20"/>
      <c r="AQ647" s="19"/>
      <c r="AR647" s="19"/>
      <c r="AS647" s="19"/>
      <c r="AT647" s="19"/>
      <c r="AU647" s="19"/>
    </row>
    <row r="648" spans="3:47">
      <c r="C648" s="20"/>
      <c r="Z648" s="20"/>
      <c r="AG648" s="20"/>
      <c r="AQ648" s="19"/>
      <c r="AR648" s="19"/>
      <c r="AS648" s="19"/>
      <c r="AT648" s="19"/>
      <c r="AU648" s="19"/>
    </row>
    <row r="649" spans="3:47">
      <c r="C649" s="20"/>
      <c r="Z649" s="20"/>
      <c r="AG649" s="20"/>
      <c r="AQ649" s="19"/>
      <c r="AR649" s="19"/>
      <c r="AS649" s="19"/>
      <c r="AT649" s="19"/>
      <c r="AU649" s="19"/>
    </row>
    <row r="650" spans="3:47">
      <c r="C650" s="20"/>
      <c r="Z650" s="20"/>
      <c r="AG650" s="20"/>
      <c r="AQ650" s="19"/>
      <c r="AR650" s="19"/>
      <c r="AS650" s="19"/>
      <c r="AT650" s="19"/>
      <c r="AU650" s="19"/>
    </row>
    <row r="651" spans="3:47">
      <c r="C651" s="20"/>
      <c r="Z651" s="20"/>
      <c r="AG651" s="20"/>
      <c r="AQ651" s="19"/>
      <c r="AR651" s="19"/>
      <c r="AS651" s="19"/>
      <c r="AT651" s="19"/>
      <c r="AU651" s="19"/>
    </row>
    <row r="652" spans="3:47">
      <c r="C652" s="20"/>
      <c r="Z652" s="20"/>
      <c r="AG652" s="20"/>
      <c r="AQ652" s="19"/>
      <c r="AR652" s="19"/>
      <c r="AS652" s="19"/>
      <c r="AT652" s="19"/>
      <c r="AU652" s="19"/>
    </row>
    <row r="653" spans="3:47">
      <c r="C653" s="20"/>
      <c r="Z653" s="20"/>
      <c r="AG653" s="20"/>
      <c r="AQ653" s="19"/>
      <c r="AR653" s="19"/>
      <c r="AS653" s="19"/>
      <c r="AT653" s="19"/>
      <c r="AU653" s="19"/>
    </row>
    <row r="654" spans="3:47">
      <c r="C654" s="20"/>
      <c r="Z654" s="20"/>
      <c r="AG654" s="20"/>
      <c r="AQ654" s="19"/>
      <c r="AR654" s="19"/>
      <c r="AS654" s="19"/>
      <c r="AT654" s="19"/>
      <c r="AU654" s="19"/>
    </row>
    <row r="655" spans="3:47">
      <c r="C655" s="20"/>
      <c r="Z655" s="20"/>
      <c r="AG655" s="20"/>
      <c r="AQ655" s="19"/>
      <c r="AR655" s="19"/>
      <c r="AS655" s="19"/>
      <c r="AT655" s="19"/>
      <c r="AU655" s="19"/>
    </row>
    <row r="656" spans="3:47">
      <c r="C656" s="20"/>
      <c r="Z656" s="20"/>
      <c r="AG656" s="20"/>
      <c r="AQ656" s="19"/>
      <c r="AR656" s="19"/>
      <c r="AS656" s="19"/>
      <c r="AT656" s="19"/>
      <c r="AU656" s="19"/>
    </row>
    <row r="657" spans="3:47">
      <c r="C657" s="20"/>
      <c r="Z657" s="20"/>
      <c r="AG657" s="20"/>
      <c r="AQ657" s="19"/>
      <c r="AR657" s="19"/>
      <c r="AS657" s="19"/>
      <c r="AT657" s="19"/>
      <c r="AU657" s="19"/>
    </row>
    <row r="658" spans="3:47">
      <c r="C658" s="20"/>
      <c r="Z658" s="20"/>
      <c r="AG658" s="20"/>
      <c r="AQ658" s="19"/>
      <c r="AR658" s="19"/>
      <c r="AS658" s="19"/>
      <c r="AT658" s="19"/>
      <c r="AU658" s="19"/>
    </row>
    <row r="659" spans="3:47">
      <c r="C659" s="20"/>
      <c r="Z659" s="20"/>
      <c r="AG659" s="20"/>
      <c r="AQ659" s="19"/>
      <c r="AR659" s="19"/>
      <c r="AS659" s="19"/>
      <c r="AT659" s="19"/>
      <c r="AU659" s="19"/>
    </row>
    <row r="660" spans="3:47">
      <c r="C660" s="20"/>
      <c r="Z660" s="20"/>
      <c r="AG660" s="20"/>
      <c r="AQ660" s="19"/>
      <c r="AR660" s="19"/>
      <c r="AS660" s="19"/>
      <c r="AT660" s="19"/>
      <c r="AU660" s="19"/>
    </row>
    <row r="661" spans="3:47">
      <c r="C661" s="20"/>
      <c r="Z661" s="20"/>
      <c r="AG661" s="20"/>
      <c r="AQ661" s="19"/>
      <c r="AR661" s="19"/>
      <c r="AS661" s="19"/>
      <c r="AT661" s="19"/>
      <c r="AU661" s="19"/>
    </row>
    <row r="662" spans="3:47">
      <c r="C662" s="20"/>
      <c r="Z662" s="20"/>
      <c r="AG662" s="20"/>
      <c r="AQ662" s="19"/>
      <c r="AR662" s="19"/>
      <c r="AS662" s="19"/>
      <c r="AT662" s="19"/>
      <c r="AU662" s="19"/>
    </row>
    <row r="663" spans="3:47">
      <c r="C663" s="20"/>
      <c r="Z663" s="20"/>
      <c r="AG663" s="20"/>
      <c r="AQ663" s="19"/>
      <c r="AR663" s="19"/>
      <c r="AS663" s="19"/>
      <c r="AT663" s="19"/>
      <c r="AU663" s="19"/>
    </row>
    <row r="664" spans="3:47">
      <c r="C664" s="20"/>
      <c r="Z664" s="20"/>
      <c r="AG664" s="20"/>
      <c r="AQ664" s="19"/>
      <c r="AR664" s="19"/>
      <c r="AS664" s="19"/>
      <c r="AT664" s="19"/>
      <c r="AU664" s="19"/>
    </row>
    <row r="665" spans="3:47">
      <c r="C665" s="20"/>
      <c r="Z665" s="20"/>
      <c r="AG665" s="20"/>
      <c r="AQ665" s="19"/>
      <c r="AR665" s="19"/>
      <c r="AS665" s="19"/>
      <c r="AT665" s="19"/>
      <c r="AU665" s="19"/>
    </row>
    <row r="666" spans="3:47">
      <c r="C666" s="20"/>
      <c r="Z666" s="20"/>
      <c r="AG666" s="20"/>
      <c r="AQ666" s="19"/>
      <c r="AR666" s="19"/>
      <c r="AS666" s="19"/>
      <c r="AT666" s="19"/>
      <c r="AU666" s="19"/>
    </row>
    <row r="667" spans="3:47">
      <c r="C667" s="20"/>
      <c r="Z667" s="20"/>
      <c r="AG667" s="20"/>
      <c r="AQ667" s="19"/>
      <c r="AR667" s="19"/>
      <c r="AS667" s="19"/>
      <c r="AT667" s="19"/>
      <c r="AU667" s="19"/>
    </row>
    <row r="668" spans="3:47">
      <c r="C668" s="20"/>
      <c r="Z668" s="20"/>
      <c r="AG668" s="20"/>
      <c r="AQ668" s="19"/>
      <c r="AR668" s="19"/>
      <c r="AS668" s="19"/>
      <c r="AT668" s="19"/>
      <c r="AU668" s="19"/>
    </row>
    <row r="669" spans="3:47">
      <c r="C669" s="20"/>
      <c r="Z669" s="20"/>
      <c r="AG669" s="20"/>
      <c r="AQ669" s="19"/>
      <c r="AR669" s="19"/>
      <c r="AS669" s="19"/>
      <c r="AT669" s="19"/>
      <c r="AU669" s="19"/>
    </row>
    <row r="670" spans="3:47">
      <c r="C670" s="20"/>
      <c r="Z670" s="20"/>
      <c r="AG670" s="20"/>
      <c r="AQ670" s="19"/>
      <c r="AR670" s="19"/>
      <c r="AS670" s="19"/>
      <c r="AT670" s="19"/>
      <c r="AU670" s="19"/>
    </row>
    <row r="671" spans="3:47">
      <c r="C671" s="20"/>
      <c r="Z671" s="20"/>
      <c r="AG671" s="20"/>
      <c r="AQ671" s="19"/>
      <c r="AR671" s="19"/>
      <c r="AS671" s="19"/>
      <c r="AT671" s="19"/>
      <c r="AU671" s="19"/>
    </row>
    <row r="672" spans="3:47">
      <c r="C672" s="20"/>
      <c r="Z672" s="20"/>
      <c r="AG672" s="20"/>
      <c r="AQ672" s="19"/>
      <c r="AR672" s="19"/>
      <c r="AS672" s="19"/>
      <c r="AT672" s="19"/>
      <c r="AU672" s="19"/>
    </row>
    <row r="673" spans="3:47">
      <c r="C673" s="20"/>
      <c r="Z673" s="20"/>
      <c r="AG673" s="20"/>
      <c r="AQ673" s="19"/>
      <c r="AR673" s="19"/>
      <c r="AS673" s="19"/>
      <c r="AT673" s="19"/>
      <c r="AU673" s="19"/>
    </row>
    <row r="674" spans="3:47">
      <c r="C674" s="20"/>
      <c r="Z674" s="20"/>
      <c r="AG674" s="20"/>
      <c r="AQ674" s="19"/>
      <c r="AR674" s="19"/>
      <c r="AS674" s="19"/>
      <c r="AT674" s="19"/>
      <c r="AU674" s="19"/>
    </row>
    <row r="675" spans="3:47">
      <c r="C675" s="20"/>
      <c r="Z675" s="20"/>
      <c r="AG675" s="20"/>
      <c r="AQ675" s="19"/>
      <c r="AR675" s="19"/>
      <c r="AS675" s="19"/>
      <c r="AT675" s="19"/>
      <c r="AU675" s="19"/>
    </row>
    <row r="676" spans="3:47">
      <c r="C676" s="20"/>
      <c r="Z676" s="20"/>
      <c r="AG676" s="20"/>
      <c r="AQ676" s="19"/>
      <c r="AR676" s="19"/>
      <c r="AS676" s="19"/>
      <c r="AT676" s="19"/>
      <c r="AU676" s="19"/>
    </row>
    <row r="677" spans="3:47">
      <c r="C677" s="20"/>
      <c r="Z677" s="20"/>
      <c r="AG677" s="20"/>
      <c r="AQ677" s="19"/>
      <c r="AR677" s="19"/>
      <c r="AS677" s="19"/>
      <c r="AT677" s="19"/>
      <c r="AU677" s="19"/>
    </row>
    <row r="678" spans="3:47">
      <c r="C678" s="20"/>
      <c r="Z678" s="20"/>
      <c r="AG678" s="20"/>
      <c r="AQ678" s="19"/>
      <c r="AR678" s="19"/>
      <c r="AS678" s="19"/>
      <c r="AT678" s="19"/>
      <c r="AU678" s="19"/>
    </row>
    <row r="679" spans="3:47">
      <c r="C679" s="20"/>
      <c r="Z679" s="20"/>
      <c r="AG679" s="20"/>
      <c r="AQ679" s="19"/>
      <c r="AR679" s="19"/>
      <c r="AS679" s="19"/>
      <c r="AT679" s="19"/>
      <c r="AU679" s="19"/>
    </row>
    <row r="680" spans="3:47">
      <c r="C680" s="20"/>
      <c r="Z680" s="20"/>
      <c r="AG680" s="20"/>
      <c r="AQ680" s="19"/>
      <c r="AR680" s="19"/>
      <c r="AS680" s="19"/>
      <c r="AT680" s="19"/>
      <c r="AU680" s="19"/>
    </row>
    <row r="681" spans="3:47">
      <c r="C681" s="20"/>
      <c r="Z681" s="20"/>
      <c r="AG681" s="20"/>
      <c r="AQ681" s="19"/>
      <c r="AR681" s="19"/>
      <c r="AS681" s="19"/>
      <c r="AT681" s="19"/>
      <c r="AU681" s="19"/>
    </row>
    <row r="682" spans="3:47">
      <c r="C682" s="20"/>
      <c r="Z682" s="20"/>
      <c r="AG682" s="20"/>
      <c r="AQ682" s="19"/>
      <c r="AR682" s="19"/>
      <c r="AS682" s="19"/>
      <c r="AT682" s="19"/>
      <c r="AU682" s="19"/>
    </row>
    <row r="683" spans="3:47">
      <c r="C683" s="20"/>
      <c r="Z683" s="20"/>
      <c r="AG683" s="20"/>
      <c r="AQ683" s="19"/>
      <c r="AR683" s="19"/>
      <c r="AS683" s="19"/>
      <c r="AT683" s="19"/>
      <c r="AU683" s="19"/>
    </row>
    <row r="684" spans="3:47">
      <c r="C684" s="20"/>
      <c r="Z684" s="20"/>
      <c r="AG684" s="20"/>
      <c r="AQ684" s="19"/>
      <c r="AR684" s="19"/>
      <c r="AS684" s="19"/>
      <c r="AT684" s="19"/>
      <c r="AU684" s="19"/>
    </row>
    <row r="685" spans="3:47">
      <c r="C685" s="20"/>
      <c r="Z685" s="20"/>
      <c r="AG685" s="20"/>
      <c r="AQ685" s="19"/>
      <c r="AR685" s="19"/>
      <c r="AS685" s="19"/>
      <c r="AT685" s="19"/>
      <c r="AU685" s="19"/>
    </row>
    <row r="686" spans="3:47">
      <c r="C686" s="20"/>
      <c r="Z686" s="20"/>
      <c r="AG686" s="20"/>
      <c r="AQ686" s="19"/>
      <c r="AR686" s="19"/>
      <c r="AS686" s="19"/>
      <c r="AT686" s="19"/>
      <c r="AU686" s="19"/>
    </row>
    <row r="687" spans="3:47">
      <c r="C687" s="20"/>
      <c r="Z687" s="20"/>
      <c r="AG687" s="20"/>
      <c r="AQ687" s="19"/>
      <c r="AR687" s="19"/>
      <c r="AS687" s="19"/>
      <c r="AT687" s="19"/>
      <c r="AU687" s="19"/>
    </row>
    <row r="688" spans="3:47">
      <c r="C688" s="20"/>
      <c r="Z688" s="20"/>
      <c r="AG688" s="20"/>
      <c r="AQ688" s="19"/>
      <c r="AR688" s="19"/>
      <c r="AS688" s="19"/>
      <c r="AT688" s="19"/>
      <c r="AU688" s="19"/>
    </row>
    <row r="689" spans="3:47">
      <c r="C689" s="20"/>
      <c r="Z689" s="20"/>
      <c r="AG689" s="20"/>
      <c r="AQ689" s="19"/>
      <c r="AR689" s="19"/>
      <c r="AS689" s="19"/>
      <c r="AT689" s="19"/>
      <c r="AU689" s="19"/>
    </row>
    <row r="690" spans="3:47">
      <c r="C690" s="20"/>
      <c r="Z690" s="20"/>
      <c r="AG690" s="20"/>
      <c r="AQ690" s="19"/>
      <c r="AR690" s="19"/>
      <c r="AS690" s="19"/>
      <c r="AT690" s="19"/>
      <c r="AU690" s="19"/>
    </row>
    <row r="691" spans="3:47">
      <c r="C691" s="20"/>
      <c r="Z691" s="20"/>
      <c r="AG691" s="20"/>
      <c r="AQ691" s="19"/>
      <c r="AR691" s="19"/>
      <c r="AS691" s="19"/>
      <c r="AT691" s="19"/>
      <c r="AU691" s="19"/>
    </row>
    <row r="692" spans="3:47">
      <c r="C692" s="20"/>
      <c r="Z692" s="20"/>
      <c r="AG692" s="20"/>
      <c r="AQ692" s="19"/>
      <c r="AR692" s="19"/>
      <c r="AS692" s="19"/>
      <c r="AT692" s="19"/>
      <c r="AU692" s="19"/>
    </row>
    <row r="693" spans="3:47">
      <c r="C693" s="20"/>
      <c r="Z693" s="20"/>
      <c r="AG693" s="20"/>
      <c r="AQ693" s="19"/>
      <c r="AR693" s="19"/>
      <c r="AS693" s="19"/>
      <c r="AT693" s="19"/>
      <c r="AU693" s="19"/>
    </row>
    <row r="694" spans="3:47">
      <c r="C694" s="20"/>
      <c r="Z694" s="20"/>
      <c r="AG694" s="20"/>
      <c r="AQ694" s="19"/>
      <c r="AR694" s="19"/>
      <c r="AS694" s="19"/>
      <c r="AT694" s="19"/>
      <c r="AU694" s="19"/>
    </row>
    <row r="695" spans="3:47">
      <c r="C695" s="20"/>
      <c r="Z695" s="20"/>
      <c r="AG695" s="20"/>
      <c r="AQ695" s="19"/>
      <c r="AR695" s="19"/>
      <c r="AS695" s="19"/>
      <c r="AT695" s="19"/>
      <c r="AU695" s="19"/>
    </row>
    <row r="696" spans="3:47">
      <c r="C696" s="20"/>
      <c r="Z696" s="20"/>
      <c r="AG696" s="20"/>
      <c r="AQ696" s="19"/>
      <c r="AR696" s="19"/>
      <c r="AS696" s="19"/>
      <c r="AT696" s="19"/>
      <c r="AU696" s="19"/>
    </row>
    <row r="697" spans="3:47">
      <c r="C697" s="20"/>
      <c r="Z697" s="20"/>
      <c r="AG697" s="20"/>
      <c r="AQ697" s="19"/>
      <c r="AR697" s="19"/>
      <c r="AS697" s="19"/>
      <c r="AT697" s="19"/>
      <c r="AU697" s="19"/>
    </row>
    <row r="698" spans="3:47">
      <c r="C698" s="20"/>
      <c r="Z698" s="20"/>
      <c r="AG698" s="20"/>
      <c r="AQ698" s="19"/>
      <c r="AR698" s="19"/>
      <c r="AS698" s="19"/>
      <c r="AT698" s="19"/>
      <c r="AU698" s="19"/>
    </row>
    <row r="699" spans="3:47">
      <c r="C699" s="20"/>
      <c r="Z699" s="20"/>
      <c r="AG699" s="20"/>
      <c r="AQ699" s="19"/>
      <c r="AR699" s="19"/>
      <c r="AS699" s="19"/>
      <c r="AT699" s="19"/>
      <c r="AU699" s="19"/>
    </row>
    <row r="700" spans="3:47">
      <c r="C700" s="20"/>
      <c r="Z700" s="20"/>
      <c r="AG700" s="20"/>
      <c r="AQ700" s="19"/>
      <c r="AR700" s="19"/>
      <c r="AS700" s="19"/>
      <c r="AT700" s="19"/>
      <c r="AU700" s="19"/>
    </row>
    <row r="701" spans="3:47">
      <c r="C701" s="20"/>
      <c r="Z701" s="20"/>
      <c r="AG701" s="20"/>
      <c r="AQ701" s="19"/>
      <c r="AR701" s="19"/>
      <c r="AS701" s="19"/>
      <c r="AT701" s="19"/>
      <c r="AU701" s="19"/>
    </row>
    <row r="702" spans="3:47">
      <c r="C702" s="20"/>
      <c r="Z702" s="20"/>
      <c r="AG702" s="20"/>
      <c r="AQ702" s="19"/>
      <c r="AR702" s="19"/>
      <c r="AS702" s="19"/>
      <c r="AT702" s="19"/>
      <c r="AU702" s="19"/>
    </row>
    <row r="703" spans="3:47">
      <c r="C703" s="20"/>
      <c r="Z703" s="20"/>
      <c r="AG703" s="20"/>
      <c r="AQ703" s="19"/>
      <c r="AR703" s="19"/>
      <c r="AS703" s="19"/>
      <c r="AT703" s="19"/>
      <c r="AU703" s="19"/>
    </row>
    <row r="704" spans="3:47">
      <c r="C704" s="20"/>
      <c r="Z704" s="20"/>
      <c r="AG704" s="20"/>
      <c r="AQ704" s="19"/>
      <c r="AR704" s="19"/>
      <c r="AS704" s="19"/>
      <c r="AT704" s="19"/>
      <c r="AU704" s="19"/>
    </row>
    <row r="705" spans="3:47">
      <c r="C705" s="20"/>
      <c r="Z705" s="20"/>
      <c r="AG705" s="20"/>
      <c r="AQ705" s="19"/>
      <c r="AR705" s="19"/>
      <c r="AS705" s="19"/>
      <c r="AT705" s="19"/>
      <c r="AU705" s="19"/>
    </row>
    <row r="706" spans="3:47">
      <c r="C706" s="20"/>
      <c r="Z706" s="20"/>
      <c r="AG706" s="20"/>
      <c r="AQ706" s="19"/>
      <c r="AR706" s="19"/>
      <c r="AS706" s="19"/>
      <c r="AT706" s="19"/>
      <c r="AU706" s="19"/>
    </row>
    <row r="707" spans="3:47">
      <c r="C707" s="20"/>
      <c r="Z707" s="20"/>
      <c r="AG707" s="20"/>
      <c r="AQ707" s="19"/>
      <c r="AR707" s="19"/>
      <c r="AS707" s="19"/>
      <c r="AT707" s="19"/>
      <c r="AU707" s="19"/>
    </row>
    <row r="708" spans="3:47">
      <c r="C708" s="20"/>
      <c r="Z708" s="20"/>
      <c r="AG708" s="20"/>
      <c r="AQ708" s="19"/>
      <c r="AR708" s="19"/>
      <c r="AS708" s="19"/>
      <c r="AT708" s="19"/>
      <c r="AU708" s="19"/>
    </row>
    <row r="709" spans="3:47">
      <c r="C709" s="20"/>
      <c r="Z709" s="20"/>
      <c r="AG709" s="20"/>
      <c r="AQ709" s="19"/>
      <c r="AR709" s="19"/>
      <c r="AS709" s="19"/>
      <c r="AT709" s="19"/>
      <c r="AU709" s="19"/>
    </row>
    <row r="710" spans="3:47">
      <c r="C710" s="20"/>
      <c r="Z710" s="20"/>
      <c r="AG710" s="20"/>
      <c r="AQ710" s="19"/>
      <c r="AR710" s="19"/>
      <c r="AS710" s="19"/>
      <c r="AT710" s="19"/>
      <c r="AU710" s="19"/>
    </row>
    <row r="711" spans="3:47">
      <c r="C711" s="20"/>
      <c r="Z711" s="20"/>
      <c r="AG711" s="20"/>
      <c r="AQ711" s="19"/>
      <c r="AR711" s="19"/>
      <c r="AS711" s="19"/>
      <c r="AT711" s="19"/>
      <c r="AU711" s="19"/>
    </row>
    <row r="712" spans="3:47">
      <c r="C712" s="20"/>
      <c r="Z712" s="20"/>
      <c r="AG712" s="20"/>
      <c r="AQ712" s="19"/>
      <c r="AR712" s="19"/>
      <c r="AS712" s="19"/>
      <c r="AT712" s="19"/>
      <c r="AU712" s="19"/>
    </row>
    <row r="713" spans="3:47">
      <c r="C713" s="20"/>
      <c r="Z713" s="20"/>
      <c r="AG713" s="20"/>
      <c r="AQ713" s="19"/>
      <c r="AR713" s="19"/>
      <c r="AS713" s="19"/>
      <c r="AT713" s="19"/>
      <c r="AU713" s="19"/>
    </row>
    <row r="714" spans="3:47">
      <c r="C714" s="20"/>
      <c r="Z714" s="20"/>
      <c r="AG714" s="20"/>
      <c r="AQ714" s="19"/>
      <c r="AR714" s="19"/>
      <c r="AS714" s="19"/>
      <c r="AT714" s="19"/>
      <c r="AU714" s="19"/>
    </row>
    <row r="715" spans="3:47">
      <c r="C715" s="20"/>
      <c r="Z715" s="20"/>
      <c r="AG715" s="20"/>
      <c r="AQ715" s="19"/>
      <c r="AR715" s="19"/>
      <c r="AS715" s="19"/>
      <c r="AT715" s="19"/>
      <c r="AU715" s="19"/>
    </row>
    <row r="716" spans="3:47">
      <c r="C716" s="20"/>
      <c r="Z716" s="20"/>
      <c r="AG716" s="20"/>
      <c r="AQ716" s="19"/>
      <c r="AR716" s="19"/>
      <c r="AS716" s="19"/>
      <c r="AT716" s="19"/>
      <c r="AU716" s="19"/>
    </row>
    <row r="717" spans="3:47">
      <c r="C717" s="20"/>
      <c r="Z717" s="20"/>
      <c r="AG717" s="20"/>
      <c r="AQ717" s="19"/>
      <c r="AR717" s="19"/>
      <c r="AS717" s="19"/>
      <c r="AT717" s="19"/>
      <c r="AU717" s="19"/>
    </row>
    <row r="718" spans="3:47">
      <c r="C718" s="20"/>
      <c r="Z718" s="20"/>
      <c r="AG718" s="20"/>
      <c r="AQ718" s="19"/>
      <c r="AR718" s="19"/>
      <c r="AS718" s="19"/>
      <c r="AT718" s="19"/>
      <c r="AU718" s="19"/>
    </row>
    <row r="719" spans="3:47">
      <c r="C719" s="20"/>
      <c r="Z719" s="20"/>
      <c r="AG719" s="20"/>
      <c r="AQ719" s="19"/>
      <c r="AR719" s="19"/>
      <c r="AS719" s="19"/>
      <c r="AT719" s="19"/>
      <c r="AU719" s="19"/>
    </row>
    <row r="720" spans="3:47">
      <c r="C720" s="20"/>
      <c r="Z720" s="20"/>
      <c r="AG720" s="20"/>
      <c r="AQ720" s="19"/>
      <c r="AR720" s="19"/>
      <c r="AS720" s="19"/>
      <c r="AT720" s="19"/>
      <c r="AU720" s="19"/>
    </row>
    <row r="721" spans="3:47">
      <c r="C721" s="20"/>
      <c r="Z721" s="20"/>
      <c r="AG721" s="20"/>
      <c r="AQ721" s="19"/>
      <c r="AR721" s="19"/>
      <c r="AS721" s="19"/>
      <c r="AT721" s="19"/>
      <c r="AU721" s="19"/>
    </row>
    <row r="722" spans="3:47">
      <c r="C722" s="20"/>
      <c r="Z722" s="20"/>
      <c r="AG722" s="20"/>
      <c r="AQ722" s="19"/>
      <c r="AR722" s="19"/>
      <c r="AS722" s="19"/>
      <c r="AT722" s="19"/>
      <c r="AU722" s="19"/>
    </row>
    <row r="723" spans="3:47">
      <c r="C723" s="20"/>
      <c r="Z723" s="20"/>
      <c r="AG723" s="20"/>
      <c r="AQ723" s="19"/>
      <c r="AR723" s="19"/>
      <c r="AS723" s="19"/>
      <c r="AT723" s="19"/>
      <c r="AU723" s="19"/>
    </row>
    <row r="724" spans="3:47">
      <c r="C724" s="20"/>
      <c r="Z724" s="20"/>
      <c r="AG724" s="20"/>
      <c r="AQ724" s="19"/>
      <c r="AR724" s="19"/>
      <c r="AS724" s="19"/>
      <c r="AT724" s="19"/>
      <c r="AU724" s="19"/>
    </row>
    <row r="725" spans="3:47">
      <c r="C725" s="20"/>
      <c r="Z725" s="20"/>
      <c r="AG725" s="20"/>
      <c r="AQ725" s="19"/>
      <c r="AR725" s="19"/>
      <c r="AS725" s="19"/>
      <c r="AT725" s="19"/>
      <c r="AU725" s="19"/>
    </row>
    <row r="726" spans="3:47">
      <c r="C726" s="20"/>
      <c r="Z726" s="20"/>
      <c r="AG726" s="20"/>
      <c r="AQ726" s="19"/>
      <c r="AR726" s="19"/>
      <c r="AS726" s="19"/>
      <c r="AT726" s="19"/>
      <c r="AU726" s="19"/>
    </row>
    <row r="727" spans="3:47">
      <c r="C727" s="20"/>
      <c r="Z727" s="20"/>
      <c r="AG727" s="20"/>
      <c r="AQ727" s="19"/>
      <c r="AR727" s="19"/>
      <c r="AS727" s="19"/>
      <c r="AT727" s="19"/>
      <c r="AU727" s="19"/>
    </row>
    <row r="728" spans="3:47">
      <c r="C728" s="20"/>
      <c r="Z728" s="20"/>
      <c r="AG728" s="20"/>
      <c r="AQ728" s="19"/>
      <c r="AR728" s="19"/>
      <c r="AS728" s="19"/>
      <c r="AT728" s="19"/>
      <c r="AU728" s="19"/>
    </row>
    <row r="729" spans="3:47">
      <c r="C729" s="20"/>
      <c r="Z729" s="20"/>
      <c r="AG729" s="20"/>
      <c r="AQ729" s="19"/>
      <c r="AR729" s="19"/>
      <c r="AS729" s="19"/>
      <c r="AT729" s="19"/>
      <c r="AU729" s="19"/>
    </row>
    <row r="730" spans="3:47">
      <c r="C730" s="20"/>
      <c r="Z730" s="20"/>
      <c r="AG730" s="20"/>
      <c r="AQ730" s="19"/>
      <c r="AR730" s="19"/>
      <c r="AS730" s="19"/>
      <c r="AT730" s="19"/>
      <c r="AU730" s="19"/>
    </row>
    <row r="731" spans="3:47">
      <c r="C731" s="20"/>
      <c r="Z731" s="20"/>
      <c r="AG731" s="20"/>
      <c r="AQ731" s="19"/>
      <c r="AR731" s="19"/>
      <c r="AS731" s="19"/>
      <c r="AT731" s="19"/>
      <c r="AU731" s="19"/>
    </row>
    <row r="732" spans="3:47">
      <c r="C732" s="20"/>
      <c r="Z732" s="20"/>
      <c r="AG732" s="20"/>
      <c r="AQ732" s="19"/>
      <c r="AR732" s="19"/>
      <c r="AS732" s="19"/>
      <c r="AT732" s="19"/>
      <c r="AU732" s="19"/>
    </row>
    <row r="733" spans="3:47">
      <c r="C733" s="20"/>
      <c r="Z733" s="20"/>
      <c r="AG733" s="20"/>
      <c r="AQ733" s="19"/>
      <c r="AR733" s="19"/>
      <c r="AS733" s="19"/>
      <c r="AT733" s="19"/>
      <c r="AU733" s="19"/>
    </row>
    <row r="734" spans="3:47">
      <c r="C734" s="20"/>
      <c r="Z734" s="20"/>
      <c r="AG734" s="20"/>
      <c r="AQ734" s="19"/>
      <c r="AR734" s="19"/>
      <c r="AS734" s="19"/>
      <c r="AT734" s="19"/>
      <c r="AU734" s="19"/>
    </row>
    <row r="735" spans="3:47">
      <c r="C735" s="20"/>
      <c r="Z735" s="20"/>
      <c r="AG735" s="20"/>
      <c r="AQ735" s="19"/>
      <c r="AR735" s="19"/>
      <c r="AS735" s="19"/>
      <c r="AT735" s="19"/>
      <c r="AU735" s="19"/>
    </row>
    <row r="736" spans="3:47">
      <c r="C736" s="20"/>
      <c r="Z736" s="20"/>
      <c r="AG736" s="20"/>
      <c r="AQ736" s="19"/>
      <c r="AR736" s="19"/>
      <c r="AS736" s="19"/>
      <c r="AT736" s="19"/>
      <c r="AU736" s="19"/>
    </row>
    <row r="737" spans="3:47">
      <c r="C737" s="20"/>
      <c r="Z737" s="20"/>
      <c r="AG737" s="20"/>
      <c r="AQ737" s="19"/>
      <c r="AR737" s="19"/>
      <c r="AS737" s="19"/>
      <c r="AT737" s="19"/>
      <c r="AU737" s="19"/>
    </row>
    <row r="738" spans="3:47">
      <c r="C738" s="20"/>
      <c r="Z738" s="20"/>
      <c r="AG738" s="20"/>
      <c r="AQ738" s="19"/>
      <c r="AR738" s="19"/>
      <c r="AS738" s="19"/>
      <c r="AT738" s="19"/>
      <c r="AU738" s="19"/>
    </row>
    <row r="739" spans="3:47">
      <c r="C739" s="20"/>
      <c r="Z739" s="20"/>
      <c r="AG739" s="20"/>
      <c r="AQ739" s="19"/>
      <c r="AR739" s="19"/>
      <c r="AS739" s="19"/>
      <c r="AT739" s="19"/>
      <c r="AU739" s="19"/>
    </row>
    <row r="740" spans="3:47">
      <c r="C740" s="20"/>
      <c r="Z740" s="20"/>
      <c r="AG740" s="20"/>
      <c r="AQ740" s="19"/>
      <c r="AR740" s="19"/>
      <c r="AS740" s="19"/>
      <c r="AT740" s="19"/>
      <c r="AU740" s="19"/>
    </row>
    <row r="741" spans="3:47">
      <c r="C741" s="20"/>
      <c r="Z741" s="20"/>
      <c r="AG741" s="20"/>
      <c r="AQ741" s="19"/>
      <c r="AR741" s="19"/>
      <c r="AS741" s="19"/>
      <c r="AT741" s="19"/>
      <c r="AU741" s="19"/>
    </row>
    <row r="742" spans="3:47">
      <c r="C742" s="20"/>
      <c r="Z742" s="20"/>
      <c r="AG742" s="20"/>
      <c r="AQ742" s="19"/>
      <c r="AR742" s="19"/>
      <c r="AS742" s="19"/>
      <c r="AT742" s="19"/>
      <c r="AU742" s="19"/>
    </row>
    <row r="743" spans="3:47">
      <c r="C743" s="20"/>
      <c r="Z743" s="20"/>
      <c r="AG743" s="20"/>
      <c r="AQ743" s="19"/>
      <c r="AR743" s="19"/>
      <c r="AS743" s="19"/>
      <c r="AT743" s="19"/>
      <c r="AU743" s="19"/>
    </row>
    <row r="744" spans="3:47">
      <c r="C744" s="20"/>
      <c r="Z744" s="20"/>
      <c r="AG744" s="20"/>
      <c r="AQ744" s="19"/>
      <c r="AR744" s="19"/>
      <c r="AS744" s="19"/>
      <c r="AT744" s="19"/>
      <c r="AU744" s="19"/>
    </row>
    <row r="745" spans="3:47">
      <c r="C745" s="20"/>
      <c r="Z745" s="20"/>
      <c r="AG745" s="20"/>
      <c r="AQ745" s="19"/>
      <c r="AR745" s="19"/>
      <c r="AS745" s="19"/>
      <c r="AT745" s="19"/>
      <c r="AU745" s="19"/>
    </row>
    <row r="746" spans="3:47">
      <c r="C746" s="20"/>
      <c r="Z746" s="20"/>
      <c r="AG746" s="20"/>
      <c r="AQ746" s="19"/>
      <c r="AR746" s="19"/>
      <c r="AS746" s="19"/>
      <c r="AT746" s="19"/>
      <c r="AU746" s="19"/>
    </row>
    <row r="747" spans="3:47">
      <c r="C747" s="20"/>
      <c r="Z747" s="20"/>
      <c r="AG747" s="20"/>
      <c r="AQ747" s="19"/>
      <c r="AR747" s="19"/>
      <c r="AS747" s="19"/>
      <c r="AT747" s="19"/>
      <c r="AU747" s="19"/>
    </row>
    <row r="748" spans="3:47">
      <c r="C748" s="20"/>
      <c r="Z748" s="20"/>
      <c r="AG748" s="20"/>
      <c r="AQ748" s="19"/>
      <c r="AR748" s="19"/>
      <c r="AS748" s="19"/>
      <c r="AT748" s="19"/>
      <c r="AU748" s="19"/>
    </row>
    <row r="749" spans="3:47">
      <c r="C749" s="20"/>
      <c r="Z749" s="20"/>
      <c r="AG749" s="20"/>
      <c r="AQ749" s="19"/>
      <c r="AR749" s="19"/>
      <c r="AS749" s="19"/>
      <c r="AT749" s="19"/>
      <c r="AU749" s="19"/>
    </row>
    <row r="750" spans="3:47">
      <c r="C750" s="20"/>
      <c r="Z750" s="20"/>
      <c r="AG750" s="20"/>
      <c r="AQ750" s="19"/>
      <c r="AR750" s="19"/>
      <c r="AS750" s="19"/>
      <c r="AT750" s="19"/>
      <c r="AU750" s="19"/>
    </row>
    <row r="751" spans="3:47">
      <c r="C751" s="20"/>
      <c r="Z751" s="20"/>
      <c r="AG751" s="20"/>
      <c r="AQ751" s="19"/>
      <c r="AR751" s="19"/>
      <c r="AS751" s="19"/>
      <c r="AT751" s="19"/>
      <c r="AU751" s="19"/>
    </row>
    <row r="752" spans="3:47">
      <c r="C752" s="20"/>
      <c r="Z752" s="20"/>
      <c r="AG752" s="20"/>
      <c r="AQ752" s="19"/>
      <c r="AR752" s="19"/>
      <c r="AS752" s="19"/>
      <c r="AT752" s="19"/>
      <c r="AU752" s="19"/>
    </row>
    <row r="753" spans="3:47">
      <c r="C753" s="20"/>
      <c r="Z753" s="20"/>
      <c r="AG753" s="20"/>
      <c r="AQ753" s="19"/>
      <c r="AR753" s="19"/>
      <c r="AS753" s="19"/>
      <c r="AT753" s="19"/>
      <c r="AU753" s="19"/>
    </row>
    <row r="754" spans="3:47">
      <c r="C754" s="20"/>
      <c r="Z754" s="20"/>
      <c r="AG754" s="20"/>
      <c r="AQ754" s="19"/>
      <c r="AR754" s="19"/>
      <c r="AS754" s="19"/>
      <c r="AT754" s="19"/>
      <c r="AU754" s="19"/>
    </row>
    <row r="755" spans="3:47">
      <c r="C755" s="20"/>
      <c r="Z755" s="20"/>
      <c r="AG755" s="20"/>
      <c r="AQ755" s="19"/>
      <c r="AR755" s="19"/>
      <c r="AS755" s="19"/>
      <c r="AT755" s="19"/>
      <c r="AU755" s="19"/>
    </row>
    <row r="756" spans="3:47">
      <c r="C756" s="20"/>
      <c r="Z756" s="20"/>
      <c r="AG756" s="20"/>
      <c r="AQ756" s="19"/>
      <c r="AR756" s="19"/>
      <c r="AS756" s="19"/>
      <c r="AT756" s="19"/>
      <c r="AU756" s="19"/>
    </row>
    <row r="757" spans="3:47">
      <c r="C757" s="20"/>
      <c r="Z757" s="20"/>
      <c r="AG757" s="20"/>
      <c r="AQ757" s="19"/>
      <c r="AR757" s="19"/>
      <c r="AS757" s="19"/>
      <c r="AT757" s="19"/>
      <c r="AU757" s="19"/>
    </row>
    <row r="758" spans="3:47">
      <c r="C758" s="20"/>
      <c r="Z758" s="20"/>
      <c r="AG758" s="20"/>
      <c r="AQ758" s="19"/>
      <c r="AR758" s="19"/>
      <c r="AS758" s="19"/>
      <c r="AT758" s="19"/>
      <c r="AU758" s="19"/>
    </row>
    <row r="759" spans="3:47">
      <c r="C759" s="20"/>
      <c r="Z759" s="20"/>
      <c r="AG759" s="20"/>
      <c r="AQ759" s="19"/>
      <c r="AR759" s="19"/>
      <c r="AS759" s="19"/>
      <c r="AT759" s="19"/>
      <c r="AU759" s="19"/>
    </row>
    <row r="760" spans="3:47">
      <c r="C760" s="20"/>
      <c r="Z760" s="20"/>
      <c r="AG760" s="20"/>
      <c r="AQ760" s="19"/>
      <c r="AR760" s="19"/>
      <c r="AS760" s="19"/>
      <c r="AT760" s="19"/>
      <c r="AU760" s="19"/>
    </row>
    <row r="761" spans="3:47">
      <c r="C761" s="20"/>
      <c r="Z761" s="20"/>
      <c r="AG761" s="20"/>
      <c r="AQ761" s="19"/>
      <c r="AR761" s="19"/>
      <c r="AS761" s="19"/>
      <c r="AT761" s="19"/>
      <c r="AU761" s="19"/>
    </row>
    <row r="762" spans="3:47">
      <c r="C762" s="20"/>
      <c r="Z762" s="20"/>
      <c r="AG762" s="20"/>
      <c r="AQ762" s="19"/>
      <c r="AR762" s="19"/>
      <c r="AS762" s="19"/>
      <c r="AT762" s="19"/>
      <c r="AU762" s="19"/>
    </row>
    <row r="763" spans="3:47">
      <c r="C763" s="20"/>
      <c r="Z763" s="20"/>
      <c r="AG763" s="20"/>
      <c r="AQ763" s="19"/>
      <c r="AR763" s="19"/>
      <c r="AS763" s="19"/>
      <c r="AT763" s="19"/>
      <c r="AU763" s="19"/>
    </row>
    <row r="764" spans="3:47">
      <c r="C764" s="20"/>
      <c r="Z764" s="20"/>
      <c r="AG764" s="20"/>
      <c r="AQ764" s="19"/>
      <c r="AR764" s="19"/>
      <c r="AS764" s="19"/>
      <c r="AT764" s="19"/>
      <c r="AU764" s="19"/>
    </row>
    <row r="765" spans="3:47">
      <c r="C765" s="20"/>
      <c r="Z765" s="20"/>
      <c r="AG765" s="20"/>
      <c r="AQ765" s="19"/>
      <c r="AR765" s="19"/>
      <c r="AS765" s="19"/>
      <c r="AT765" s="19"/>
      <c r="AU765" s="19"/>
    </row>
    <row r="766" spans="3:47">
      <c r="C766" s="20"/>
      <c r="Z766" s="20"/>
      <c r="AG766" s="20"/>
      <c r="AQ766" s="19"/>
      <c r="AR766" s="19"/>
      <c r="AS766" s="19"/>
      <c r="AT766" s="19"/>
      <c r="AU766" s="19"/>
    </row>
    <row r="767" spans="3:47">
      <c r="C767" s="20"/>
      <c r="Z767" s="20"/>
      <c r="AG767" s="20"/>
      <c r="AQ767" s="19"/>
      <c r="AR767" s="19"/>
      <c r="AS767" s="19"/>
      <c r="AT767" s="19"/>
      <c r="AU767" s="19"/>
    </row>
    <row r="768" spans="3:47">
      <c r="C768" s="20"/>
      <c r="Z768" s="20"/>
      <c r="AG768" s="20"/>
      <c r="AQ768" s="19"/>
      <c r="AR768" s="19"/>
      <c r="AS768" s="19"/>
      <c r="AT768" s="19"/>
      <c r="AU768" s="19"/>
    </row>
    <row r="769" spans="3:47">
      <c r="C769" s="20"/>
      <c r="Z769" s="20"/>
      <c r="AG769" s="20"/>
      <c r="AQ769" s="19"/>
      <c r="AR769" s="19"/>
      <c r="AS769" s="19"/>
      <c r="AT769" s="19"/>
      <c r="AU769" s="19"/>
    </row>
    <row r="770" spans="3:47">
      <c r="C770" s="20"/>
      <c r="Z770" s="20"/>
      <c r="AG770" s="20"/>
      <c r="AQ770" s="19"/>
      <c r="AR770" s="19"/>
      <c r="AS770" s="19"/>
      <c r="AT770" s="19"/>
      <c r="AU770" s="19"/>
    </row>
    <row r="771" spans="3:47">
      <c r="C771" s="20"/>
      <c r="Z771" s="20"/>
      <c r="AG771" s="20"/>
      <c r="AQ771" s="19"/>
      <c r="AR771" s="19"/>
      <c r="AS771" s="19"/>
      <c r="AT771" s="19"/>
      <c r="AU771" s="19"/>
    </row>
    <row r="772" spans="3:47">
      <c r="C772" s="20"/>
      <c r="Z772" s="20"/>
      <c r="AG772" s="20"/>
      <c r="AQ772" s="19"/>
      <c r="AR772" s="19"/>
      <c r="AS772" s="19"/>
      <c r="AT772" s="19"/>
      <c r="AU772" s="19"/>
    </row>
    <row r="773" spans="3:47">
      <c r="C773" s="20"/>
      <c r="Z773" s="20"/>
      <c r="AG773" s="20"/>
      <c r="AQ773" s="19"/>
      <c r="AR773" s="19"/>
      <c r="AS773" s="19"/>
      <c r="AT773" s="19"/>
      <c r="AU773" s="19"/>
    </row>
    <row r="774" spans="3:47">
      <c r="C774" s="20"/>
      <c r="Z774" s="20"/>
      <c r="AG774" s="20"/>
      <c r="AQ774" s="19"/>
      <c r="AR774" s="19"/>
      <c r="AS774" s="19"/>
      <c r="AT774" s="19"/>
      <c r="AU774" s="19"/>
    </row>
    <row r="775" spans="3:47">
      <c r="C775" s="20"/>
      <c r="Z775" s="20"/>
      <c r="AG775" s="20"/>
      <c r="AQ775" s="19"/>
      <c r="AR775" s="19"/>
      <c r="AS775" s="19"/>
      <c r="AT775" s="19"/>
      <c r="AU775" s="19"/>
    </row>
    <row r="776" spans="3:47">
      <c r="C776" s="20"/>
      <c r="Z776" s="20"/>
      <c r="AG776" s="20"/>
      <c r="AQ776" s="19"/>
      <c r="AR776" s="19"/>
      <c r="AS776" s="19"/>
      <c r="AT776" s="19"/>
      <c r="AU776" s="19"/>
    </row>
    <row r="777" spans="3:47">
      <c r="C777" s="20"/>
      <c r="Z777" s="20"/>
      <c r="AG777" s="20"/>
      <c r="AQ777" s="19"/>
      <c r="AR777" s="19"/>
      <c r="AS777" s="19"/>
      <c r="AT777" s="19"/>
      <c r="AU777" s="19"/>
    </row>
    <row r="778" spans="3:47">
      <c r="C778" s="20"/>
      <c r="Z778" s="20"/>
      <c r="AG778" s="20"/>
      <c r="AQ778" s="19"/>
      <c r="AR778" s="19"/>
      <c r="AS778" s="19"/>
      <c r="AT778" s="19"/>
      <c r="AU778" s="19"/>
    </row>
    <row r="779" spans="3:47">
      <c r="C779" s="20"/>
      <c r="Z779" s="20"/>
      <c r="AG779" s="20"/>
      <c r="AQ779" s="19"/>
      <c r="AR779" s="19"/>
      <c r="AS779" s="19"/>
      <c r="AT779" s="19"/>
      <c r="AU779" s="19"/>
    </row>
    <row r="780" spans="3:47">
      <c r="C780" s="20"/>
      <c r="Z780" s="20"/>
      <c r="AG780" s="20"/>
      <c r="AQ780" s="19"/>
      <c r="AR780" s="19"/>
      <c r="AS780" s="19"/>
      <c r="AT780" s="19"/>
      <c r="AU780" s="19"/>
    </row>
    <row r="781" spans="3:47">
      <c r="C781" s="20"/>
      <c r="Z781" s="20"/>
      <c r="AG781" s="20"/>
      <c r="AQ781" s="19"/>
      <c r="AR781" s="19"/>
      <c r="AS781" s="19"/>
      <c r="AT781" s="19"/>
      <c r="AU781" s="19"/>
    </row>
    <row r="782" spans="3:47">
      <c r="C782" s="20"/>
      <c r="Z782" s="20"/>
      <c r="AG782" s="20"/>
      <c r="AQ782" s="19"/>
      <c r="AR782" s="19"/>
      <c r="AS782" s="19"/>
      <c r="AT782" s="19"/>
      <c r="AU782" s="19"/>
    </row>
    <row r="783" spans="3:47">
      <c r="C783" s="20"/>
      <c r="Z783" s="20"/>
      <c r="AG783" s="20"/>
      <c r="AQ783" s="19"/>
      <c r="AR783" s="19"/>
      <c r="AS783" s="19"/>
      <c r="AT783" s="19"/>
      <c r="AU783" s="19"/>
    </row>
    <row r="784" spans="3:47">
      <c r="C784" s="20"/>
      <c r="Z784" s="20"/>
      <c r="AG784" s="20"/>
      <c r="AQ784" s="19"/>
      <c r="AR784" s="19"/>
      <c r="AS784" s="19"/>
      <c r="AT784" s="19"/>
      <c r="AU784" s="19"/>
    </row>
    <row r="785" spans="3:47">
      <c r="C785" s="20"/>
      <c r="Z785" s="20"/>
      <c r="AG785" s="20"/>
      <c r="AQ785" s="19"/>
      <c r="AR785" s="19"/>
      <c r="AS785" s="19"/>
      <c r="AT785" s="19"/>
      <c r="AU785" s="19"/>
    </row>
    <row r="786" spans="3:47">
      <c r="C786" s="20"/>
      <c r="Z786" s="20"/>
      <c r="AG786" s="20"/>
      <c r="AQ786" s="19"/>
      <c r="AR786" s="19"/>
      <c r="AS786" s="19"/>
      <c r="AT786" s="19"/>
      <c r="AU786" s="19"/>
    </row>
    <row r="787" spans="3:47">
      <c r="C787" s="20"/>
      <c r="Z787" s="20"/>
      <c r="AG787" s="20"/>
      <c r="AQ787" s="19"/>
      <c r="AR787" s="19"/>
      <c r="AS787" s="19"/>
      <c r="AT787" s="19"/>
      <c r="AU787" s="19"/>
    </row>
    <row r="788" spans="3:47">
      <c r="C788" s="20"/>
      <c r="Z788" s="20"/>
      <c r="AG788" s="20"/>
      <c r="AQ788" s="19"/>
      <c r="AR788" s="19"/>
      <c r="AS788" s="19"/>
      <c r="AT788" s="19"/>
      <c r="AU788" s="19"/>
    </row>
    <row r="789" spans="3:47">
      <c r="C789" s="20"/>
      <c r="Z789" s="20"/>
      <c r="AG789" s="20"/>
      <c r="AQ789" s="19"/>
      <c r="AR789" s="19"/>
      <c r="AS789" s="19"/>
      <c r="AT789" s="19"/>
      <c r="AU789" s="19"/>
    </row>
    <row r="790" spans="3:47">
      <c r="C790" s="20"/>
      <c r="Z790" s="20"/>
      <c r="AG790" s="20"/>
      <c r="AQ790" s="19"/>
      <c r="AR790" s="19"/>
      <c r="AS790" s="19"/>
      <c r="AT790" s="19"/>
      <c r="AU790" s="19"/>
    </row>
    <row r="791" spans="3:47">
      <c r="C791" s="20"/>
      <c r="Z791" s="20"/>
      <c r="AG791" s="20"/>
      <c r="AQ791" s="19"/>
      <c r="AR791" s="19"/>
      <c r="AS791" s="19"/>
      <c r="AT791" s="19"/>
      <c r="AU791" s="19"/>
    </row>
    <row r="792" spans="3:47">
      <c r="C792" s="20"/>
      <c r="Z792" s="20"/>
      <c r="AG792" s="20"/>
      <c r="AQ792" s="19"/>
      <c r="AR792" s="19"/>
      <c r="AS792" s="19"/>
      <c r="AT792" s="19"/>
      <c r="AU792" s="19"/>
    </row>
    <row r="793" spans="3:47">
      <c r="C793" s="20"/>
      <c r="Z793" s="20"/>
      <c r="AG793" s="20"/>
      <c r="AQ793" s="19"/>
      <c r="AR793" s="19"/>
      <c r="AS793" s="19"/>
      <c r="AT793" s="19"/>
      <c r="AU793" s="19"/>
    </row>
    <row r="794" spans="3:47">
      <c r="C794" s="20"/>
      <c r="Z794" s="20"/>
      <c r="AG794" s="20"/>
      <c r="AQ794" s="19"/>
      <c r="AR794" s="19"/>
      <c r="AS794" s="19"/>
      <c r="AT794" s="19"/>
      <c r="AU794" s="19"/>
    </row>
    <row r="795" spans="3:47">
      <c r="C795" s="20"/>
      <c r="Z795" s="20"/>
      <c r="AG795" s="20"/>
      <c r="AQ795" s="19"/>
      <c r="AR795" s="19"/>
      <c r="AS795" s="19"/>
      <c r="AT795" s="19"/>
      <c r="AU795" s="19"/>
    </row>
    <row r="796" spans="3:47">
      <c r="C796" s="20"/>
      <c r="Z796" s="20"/>
      <c r="AG796" s="20"/>
      <c r="AQ796" s="19"/>
      <c r="AR796" s="19"/>
      <c r="AS796" s="19"/>
      <c r="AT796" s="19"/>
      <c r="AU796" s="19"/>
    </row>
    <row r="797" spans="3:47">
      <c r="C797" s="20"/>
      <c r="Z797" s="20"/>
      <c r="AG797" s="20"/>
      <c r="AQ797" s="19"/>
      <c r="AR797" s="19"/>
      <c r="AS797" s="19"/>
      <c r="AT797" s="19"/>
      <c r="AU797" s="19"/>
    </row>
    <row r="798" spans="3:47">
      <c r="C798" s="20"/>
      <c r="Z798" s="20"/>
      <c r="AG798" s="20"/>
      <c r="AQ798" s="19"/>
      <c r="AR798" s="19"/>
      <c r="AS798" s="19"/>
      <c r="AT798" s="19"/>
      <c r="AU798" s="19"/>
    </row>
    <row r="799" spans="3:47">
      <c r="C799" s="20"/>
      <c r="Z799" s="20"/>
      <c r="AG799" s="20"/>
      <c r="AQ799" s="19"/>
      <c r="AR799" s="19"/>
      <c r="AS799" s="19"/>
      <c r="AT799" s="19"/>
      <c r="AU799" s="19"/>
    </row>
    <row r="800" spans="3:47">
      <c r="C800" s="20"/>
      <c r="Z800" s="20"/>
      <c r="AG800" s="20"/>
      <c r="AQ800" s="19"/>
      <c r="AR800" s="19"/>
      <c r="AS800" s="19"/>
      <c r="AT800" s="19"/>
      <c r="AU800" s="19"/>
    </row>
    <row r="801" spans="3:47">
      <c r="C801" s="20"/>
      <c r="Z801" s="20"/>
      <c r="AG801" s="20"/>
      <c r="AQ801" s="19"/>
      <c r="AR801" s="19"/>
      <c r="AS801" s="19"/>
      <c r="AT801" s="19"/>
      <c r="AU801" s="19"/>
    </row>
    <row r="802" spans="3:47">
      <c r="C802" s="20"/>
      <c r="Z802" s="20"/>
      <c r="AG802" s="20"/>
      <c r="AQ802" s="19"/>
      <c r="AR802" s="19"/>
      <c r="AS802" s="19"/>
      <c r="AT802" s="19"/>
      <c r="AU802" s="19"/>
    </row>
    <row r="803" spans="3:47">
      <c r="C803" s="20"/>
      <c r="Z803" s="20"/>
      <c r="AG803" s="20"/>
      <c r="AQ803" s="19"/>
      <c r="AR803" s="19"/>
      <c r="AS803" s="19"/>
      <c r="AT803" s="19"/>
      <c r="AU803" s="19"/>
    </row>
    <row r="804" spans="3:47">
      <c r="C804" s="20"/>
      <c r="Z804" s="20"/>
      <c r="AG804" s="20"/>
      <c r="AQ804" s="19"/>
      <c r="AR804" s="19"/>
      <c r="AS804" s="19"/>
      <c r="AT804" s="19"/>
      <c r="AU804" s="19"/>
    </row>
    <row r="805" spans="3:47">
      <c r="C805" s="20"/>
      <c r="Z805" s="20"/>
      <c r="AG805" s="20"/>
      <c r="AQ805" s="19"/>
      <c r="AR805" s="19"/>
      <c r="AS805" s="19"/>
      <c r="AT805" s="19"/>
      <c r="AU805" s="19"/>
    </row>
    <row r="806" spans="3:47">
      <c r="C806" s="20"/>
      <c r="Z806" s="20"/>
      <c r="AG806" s="20"/>
      <c r="AQ806" s="19"/>
      <c r="AR806" s="19"/>
      <c r="AS806" s="19"/>
      <c r="AT806" s="19"/>
      <c r="AU806" s="19"/>
    </row>
    <row r="807" spans="3:47">
      <c r="C807" s="20"/>
      <c r="Z807" s="20"/>
      <c r="AG807" s="20"/>
      <c r="AQ807" s="19"/>
      <c r="AR807" s="19"/>
      <c r="AS807" s="19"/>
      <c r="AT807" s="19"/>
      <c r="AU807" s="19"/>
    </row>
    <row r="808" spans="3:47">
      <c r="C808" s="20"/>
      <c r="Z808" s="20"/>
      <c r="AG808" s="20"/>
      <c r="AQ808" s="19"/>
      <c r="AR808" s="19"/>
      <c r="AS808" s="19"/>
      <c r="AT808" s="19"/>
      <c r="AU808" s="19"/>
    </row>
    <row r="809" spans="3:47">
      <c r="C809" s="20"/>
      <c r="Z809" s="20"/>
      <c r="AG809" s="20"/>
      <c r="AQ809" s="19"/>
      <c r="AR809" s="19"/>
      <c r="AS809" s="19"/>
      <c r="AT809" s="19"/>
      <c r="AU809" s="19"/>
    </row>
    <row r="810" spans="3:47">
      <c r="C810" s="20"/>
      <c r="Z810" s="20"/>
      <c r="AG810" s="20"/>
      <c r="AQ810" s="19"/>
      <c r="AR810" s="19"/>
      <c r="AS810" s="19"/>
      <c r="AT810" s="19"/>
      <c r="AU810" s="19"/>
    </row>
    <row r="811" spans="3:47">
      <c r="C811" s="20"/>
      <c r="Z811" s="20"/>
      <c r="AG811" s="20"/>
      <c r="AQ811" s="19"/>
      <c r="AR811" s="19"/>
      <c r="AS811" s="19"/>
      <c r="AT811" s="19"/>
      <c r="AU811" s="19"/>
    </row>
    <row r="812" spans="3:47">
      <c r="C812" s="20"/>
      <c r="Z812" s="20"/>
      <c r="AG812" s="20"/>
      <c r="AQ812" s="19"/>
      <c r="AR812" s="19"/>
      <c r="AS812" s="19"/>
      <c r="AT812" s="19"/>
      <c r="AU812" s="19"/>
    </row>
    <row r="813" spans="3:47">
      <c r="C813" s="20"/>
      <c r="Z813" s="20"/>
      <c r="AG813" s="20"/>
      <c r="AQ813" s="19"/>
      <c r="AR813" s="19"/>
      <c r="AS813" s="19"/>
      <c r="AT813" s="19"/>
      <c r="AU813" s="19"/>
    </row>
    <row r="814" spans="3:47">
      <c r="C814" s="20"/>
      <c r="Z814" s="20"/>
      <c r="AG814" s="20"/>
      <c r="AQ814" s="19"/>
      <c r="AR814" s="19"/>
      <c r="AS814" s="19"/>
      <c r="AT814" s="19"/>
      <c r="AU814" s="19"/>
    </row>
    <row r="815" spans="3:47">
      <c r="C815" s="20"/>
      <c r="Z815" s="20"/>
      <c r="AG815" s="20"/>
      <c r="AQ815" s="19"/>
      <c r="AR815" s="19"/>
      <c r="AS815" s="19"/>
      <c r="AT815" s="19"/>
      <c r="AU815" s="19"/>
    </row>
    <row r="816" spans="3:47">
      <c r="C816" s="20"/>
      <c r="Z816" s="20"/>
      <c r="AG816" s="20"/>
      <c r="AQ816" s="19"/>
      <c r="AR816" s="19"/>
      <c r="AS816" s="19"/>
      <c r="AT816" s="19"/>
      <c r="AU816" s="19"/>
    </row>
    <row r="817" spans="3:47">
      <c r="C817" s="20"/>
      <c r="Z817" s="20"/>
      <c r="AG817" s="20"/>
      <c r="AQ817" s="19"/>
      <c r="AR817" s="19"/>
      <c r="AS817" s="19"/>
      <c r="AT817" s="19"/>
      <c r="AU817" s="19"/>
    </row>
    <row r="818" spans="3:47">
      <c r="C818" s="20"/>
      <c r="Z818" s="20"/>
      <c r="AG818" s="20"/>
      <c r="AQ818" s="19"/>
      <c r="AR818" s="19"/>
      <c r="AS818" s="19"/>
      <c r="AT818" s="19"/>
      <c r="AU818" s="19"/>
    </row>
    <row r="819" spans="3:47">
      <c r="C819" s="20"/>
      <c r="Z819" s="20"/>
      <c r="AG819" s="20"/>
      <c r="AQ819" s="19"/>
      <c r="AR819" s="19"/>
      <c r="AS819" s="19"/>
      <c r="AT819" s="19"/>
      <c r="AU819" s="19"/>
    </row>
    <row r="820" spans="3:47">
      <c r="C820" s="20"/>
      <c r="Z820" s="20"/>
      <c r="AG820" s="20"/>
      <c r="AQ820" s="19"/>
      <c r="AR820" s="19"/>
      <c r="AS820" s="19"/>
      <c r="AT820" s="19"/>
      <c r="AU820" s="19"/>
    </row>
    <row r="821" spans="3:47">
      <c r="C821" s="20"/>
      <c r="Z821" s="20"/>
      <c r="AG821" s="20"/>
      <c r="AQ821" s="19"/>
      <c r="AR821" s="19"/>
      <c r="AS821" s="19"/>
      <c r="AT821" s="19"/>
      <c r="AU821" s="19"/>
    </row>
    <row r="822" spans="3:47">
      <c r="C822" s="20"/>
      <c r="Z822" s="20"/>
      <c r="AG822" s="20"/>
      <c r="AQ822" s="19"/>
      <c r="AR822" s="19"/>
      <c r="AS822" s="19"/>
      <c r="AT822" s="19"/>
      <c r="AU822" s="19"/>
    </row>
    <row r="823" spans="3:47">
      <c r="C823" s="20"/>
      <c r="Z823" s="20"/>
      <c r="AG823" s="20"/>
      <c r="AQ823" s="19"/>
      <c r="AR823" s="19"/>
      <c r="AS823" s="19"/>
      <c r="AT823" s="19"/>
      <c r="AU823" s="19"/>
    </row>
    <row r="824" spans="3:47">
      <c r="C824" s="20"/>
      <c r="Z824" s="20"/>
      <c r="AG824" s="20"/>
      <c r="AQ824" s="19"/>
      <c r="AR824" s="19"/>
      <c r="AS824" s="19"/>
      <c r="AT824" s="19"/>
      <c r="AU824" s="19"/>
    </row>
    <row r="825" spans="3:47">
      <c r="C825" s="20"/>
      <c r="Z825" s="20"/>
      <c r="AG825" s="20"/>
      <c r="AQ825" s="19"/>
      <c r="AR825" s="19"/>
      <c r="AS825" s="19"/>
      <c r="AT825" s="19"/>
      <c r="AU825" s="19"/>
    </row>
    <row r="826" spans="3:47">
      <c r="C826" s="20"/>
      <c r="Z826" s="20"/>
      <c r="AG826" s="20"/>
      <c r="AQ826" s="19"/>
      <c r="AR826" s="19"/>
      <c r="AS826" s="19"/>
      <c r="AT826" s="19"/>
      <c r="AU826" s="19"/>
    </row>
    <row r="827" spans="3:47">
      <c r="C827" s="20"/>
      <c r="Z827" s="20"/>
      <c r="AG827" s="20"/>
      <c r="AQ827" s="19"/>
      <c r="AR827" s="19"/>
      <c r="AS827" s="19"/>
      <c r="AT827" s="19"/>
      <c r="AU827" s="19"/>
    </row>
    <row r="828" spans="3:47">
      <c r="C828" s="20"/>
      <c r="Z828" s="20"/>
      <c r="AG828" s="20"/>
      <c r="AQ828" s="19"/>
      <c r="AR828" s="19"/>
      <c r="AS828" s="19"/>
      <c r="AT828" s="19"/>
      <c r="AU828" s="19"/>
    </row>
    <row r="829" spans="3:47">
      <c r="C829" s="20"/>
      <c r="Z829" s="20"/>
      <c r="AG829" s="20"/>
      <c r="AQ829" s="19"/>
      <c r="AR829" s="19"/>
      <c r="AS829" s="19"/>
      <c r="AT829" s="19"/>
      <c r="AU829" s="19"/>
    </row>
    <row r="830" spans="3:47">
      <c r="C830" s="20"/>
      <c r="Z830" s="20"/>
      <c r="AG830" s="20"/>
      <c r="AQ830" s="19"/>
      <c r="AR830" s="19"/>
      <c r="AS830" s="19"/>
      <c r="AT830" s="19"/>
      <c r="AU830" s="19"/>
    </row>
    <row r="831" spans="3:47">
      <c r="C831" s="20"/>
      <c r="Z831" s="20"/>
      <c r="AG831" s="20"/>
      <c r="AQ831" s="19"/>
      <c r="AR831" s="19"/>
      <c r="AS831" s="19"/>
      <c r="AT831" s="19"/>
      <c r="AU831" s="19"/>
    </row>
    <row r="832" spans="3:47">
      <c r="C832" s="20"/>
      <c r="Z832" s="20"/>
      <c r="AG832" s="20"/>
      <c r="AQ832" s="19"/>
      <c r="AR832" s="19"/>
      <c r="AS832" s="19"/>
      <c r="AT832" s="19"/>
      <c r="AU832" s="19"/>
    </row>
    <row r="833" spans="3:47">
      <c r="C833" s="20"/>
      <c r="Z833" s="20"/>
      <c r="AG833" s="20"/>
      <c r="AQ833" s="19"/>
      <c r="AR833" s="19"/>
      <c r="AS833" s="19"/>
      <c r="AT833" s="19"/>
      <c r="AU833" s="19"/>
    </row>
    <row r="834" spans="3:47">
      <c r="C834" s="20"/>
      <c r="Z834" s="20"/>
      <c r="AG834" s="20"/>
      <c r="AQ834" s="19"/>
      <c r="AR834" s="19"/>
      <c r="AS834" s="19"/>
      <c r="AT834" s="19"/>
      <c r="AU834" s="19"/>
    </row>
    <row r="835" spans="3:47">
      <c r="C835" s="20"/>
      <c r="Z835" s="20"/>
      <c r="AG835" s="20"/>
      <c r="AQ835" s="19"/>
      <c r="AR835" s="19"/>
      <c r="AS835" s="19"/>
      <c r="AT835" s="19"/>
      <c r="AU835" s="19"/>
    </row>
    <row r="836" spans="3:47">
      <c r="C836" s="20"/>
      <c r="Z836" s="20"/>
      <c r="AG836" s="20"/>
      <c r="AQ836" s="19"/>
      <c r="AR836" s="19"/>
      <c r="AS836" s="19"/>
      <c r="AT836" s="19"/>
      <c r="AU836" s="19"/>
    </row>
    <row r="837" spans="3:47">
      <c r="C837" s="20"/>
      <c r="Z837" s="20"/>
      <c r="AG837" s="20"/>
      <c r="AQ837" s="19"/>
      <c r="AR837" s="19"/>
      <c r="AS837" s="19"/>
      <c r="AT837" s="19"/>
      <c r="AU837" s="19"/>
    </row>
    <row r="838" spans="3:47">
      <c r="C838" s="20"/>
      <c r="Z838" s="20"/>
      <c r="AG838" s="20"/>
      <c r="AQ838" s="19"/>
      <c r="AR838" s="19"/>
      <c r="AS838" s="19"/>
      <c r="AT838" s="19"/>
      <c r="AU838" s="19"/>
    </row>
    <row r="839" spans="3:47">
      <c r="C839" s="20"/>
      <c r="Z839" s="20"/>
      <c r="AG839" s="20"/>
      <c r="AQ839" s="19"/>
      <c r="AR839" s="19"/>
      <c r="AS839" s="19"/>
      <c r="AT839" s="19"/>
      <c r="AU839" s="19"/>
    </row>
    <row r="840" spans="3:47">
      <c r="C840" s="20"/>
      <c r="Z840" s="20"/>
      <c r="AG840" s="20"/>
      <c r="AQ840" s="19"/>
      <c r="AR840" s="19"/>
      <c r="AS840" s="19"/>
      <c r="AT840" s="19"/>
      <c r="AU840" s="19"/>
    </row>
    <row r="841" spans="3:47">
      <c r="C841" s="20"/>
      <c r="Z841" s="20"/>
      <c r="AG841" s="20"/>
      <c r="AQ841" s="19"/>
      <c r="AR841" s="19"/>
      <c r="AS841" s="19"/>
      <c r="AT841" s="19"/>
      <c r="AU841" s="19"/>
    </row>
    <row r="842" spans="3:47">
      <c r="C842" s="20"/>
      <c r="Z842" s="20"/>
      <c r="AG842" s="20"/>
      <c r="AQ842" s="19"/>
      <c r="AR842" s="19"/>
      <c r="AS842" s="19"/>
      <c r="AT842" s="19"/>
      <c r="AU842" s="19"/>
    </row>
    <row r="843" spans="3:47">
      <c r="C843" s="20"/>
      <c r="Z843" s="20"/>
      <c r="AG843" s="20"/>
      <c r="AQ843" s="19"/>
      <c r="AR843" s="19"/>
      <c r="AS843" s="19"/>
      <c r="AT843" s="19"/>
      <c r="AU843" s="19"/>
    </row>
    <row r="844" spans="3:47">
      <c r="C844" s="20"/>
      <c r="Z844" s="20"/>
      <c r="AG844" s="20"/>
      <c r="AQ844" s="19"/>
      <c r="AR844" s="19"/>
      <c r="AS844" s="19"/>
      <c r="AT844" s="19"/>
      <c r="AU844" s="19"/>
    </row>
    <row r="845" spans="3:47">
      <c r="C845" s="20"/>
      <c r="Z845" s="20"/>
      <c r="AG845" s="20"/>
      <c r="AQ845" s="19"/>
      <c r="AR845" s="19"/>
      <c r="AS845" s="19"/>
      <c r="AT845" s="19"/>
      <c r="AU845" s="19"/>
    </row>
    <row r="846" spans="3:47">
      <c r="C846" s="20"/>
      <c r="Z846" s="20"/>
      <c r="AG846" s="20"/>
      <c r="AQ846" s="19"/>
      <c r="AR846" s="19"/>
      <c r="AS846" s="19"/>
      <c r="AT846" s="19"/>
      <c r="AU846" s="19"/>
    </row>
    <row r="847" spans="3:47">
      <c r="C847" s="20"/>
      <c r="Z847" s="20"/>
      <c r="AG847" s="20"/>
      <c r="AQ847" s="19"/>
      <c r="AR847" s="19"/>
      <c r="AS847" s="19"/>
      <c r="AT847" s="19"/>
      <c r="AU847" s="19"/>
    </row>
    <row r="848" spans="3:47">
      <c r="C848" s="20"/>
      <c r="Z848" s="20"/>
      <c r="AG848" s="20"/>
      <c r="AQ848" s="19"/>
      <c r="AR848" s="19"/>
      <c r="AS848" s="19"/>
      <c r="AT848" s="19"/>
      <c r="AU848" s="19"/>
    </row>
    <row r="849" spans="3:47">
      <c r="C849" s="20"/>
      <c r="Z849" s="20"/>
      <c r="AG849" s="20"/>
      <c r="AQ849" s="19"/>
      <c r="AR849" s="19"/>
      <c r="AS849" s="19"/>
      <c r="AT849" s="19"/>
      <c r="AU849" s="19"/>
    </row>
    <row r="850" spans="3:47">
      <c r="C850" s="20"/>
      <c r="Z850" s="20"/>
      <c r="AG850" s="20"/>
      <c r="AQ850" s="19"/>
      <c r="AR850" s="19"/>
      <c r="AS850" s="19"/>
      <c r="AT850" s="19"/>
      <c r="AU850" s="19"/>
    </row>
    <row r="851" spans="3:47">
      <c r="C851" s="20"/>
      <c r="Z851" s="20"/>
      <c r="AG851" s="20"/>
      <c r="AQ851" s="19"/>
      <c r="AR851" s="19"/>
      <c r="AS851" s="19"/>
      <c r="AT851" s="19"/>
      <c r="AU851" s="19"/>
    </row>
    <row r="852" spans="3:47">
      <c r="C852" s="20"/>
      <c r="Z852" s="20"/>
      <c r="AG852" s="20"/>
      <c r="AQ852" s="19"/>
      <c r="AR852" s="19"/>
      <c r="AS852" s="19"/>
      <c r="AT852" s="19"/>
      <c r="AU852" s="19"/>
    </row>
    <row r="853" spans="3:47">
      <c r="C853" s="20"/>
      <c r="Z853" s="20"/>
      <c r="AG853" s="20"/>
      <c r="AQ853" s="19"/>
      <c r="AR853" s="19"/>
      <c r="AS853" s="19"/>
      <c r="AT853" s="19"/>
      <c r="AU853" s="19"/>
    </row>
    <row r="854" spans="3:47">
      <c r="C854" s="20"/>
      <c r="Z854" s="20"/>
      <c r="AG854" s="20"/>
      <c r="AQ854" s="19"/>
      <c r="AR854" s="19"/>
      <c r="AS854" s="19"/>
      <c r="AT854" s="19"/>
      <c r="AU854" s="19"/>
    </row>
    <row r="855" spans="3:47">
      <c r="C855" s="20"/>
      <c r="Z855" s="20"/>
      <c r="AG855" s="20"/>
      <c r="AQ855" s="19"/>
      <c r="AR855" s="19"/>
      <c r="AS855" s="19"/>
      <c r="AT855" s="19"/>
      <c r="AU855" s="19"/>
    </row>
    <row r="856" spans="3:47">
      <c r="C856" s="20"/>
      <c r="Z856" s="20"/>
      <c r="AG856" s="20"/>
      <c r="AQ856" s="19"/>
      <c r="AR856" s="19"/>
      <c r="AS856" s="19"/>
      <c r="AT856" s="19"/>
      <c r="AU856" s="19"/>
    </row>
    <row r="857" spans="3:47">
      <c r="C857" s="20"/>
      <c r="Z857" s="20"/>
      <c r="AG857" s="20"/>
      <c r="AQ857" s="19"/>
      <c r="AR857" s="19"/>
      <c r="AS857" s="19"/>
      <c r="AT857" s="19"/>
      <c r="AU857" s="19"/>
    </row>
    <row r="858" spans="3:47">
      <c r="C858" s="20"/>
      <c r="Z858" s="20"/>
      <c r="AG858" s="20"/>
      <c r="AQ858" s="19"/>
      <c r="AR858" s="19"/>
      <c r="AS858" s="19"/>
      <c r="AT858" s="19"/>
      <c r="AU858" s="19"/>
    </row>
    <row r="859" spans="3:47">
      <c r="C859" s="20"/>
      <c r="Z859" s="20"/>
      <c r="AG859" s="20"/>
      <c r="AQ859" s="19"/>
      <c r="AR859" s="19"/>
      <c r="AS859" s="19"/>
      <c r="AT859" s="19"/>
      <c r="AU859" s="19"/>
    </row>
    <row r="860" spans="3:47">
      <c r="C860" s="20"/>
      <c r="Z860" s="20"/>
      <c r="AG860" s="20"/>
      <c r="AQ860" s="19"/>
      <c r="AR860" s="19"/>
      <c r="AS860" s="19"/>
      <c r="AT860" s="19"/>
      <c r="AU860" s="19"/>
    </row>
    <row r="861" spans="3:47">
      <c r="C861" s="20"/>
      <c r="Z861" s="20"/>
      <c r="AG861" s="20"/>
      <c r="AQ861" s="19"/>
      <c r="AR861" s="19"/>
      <c r="AS861" s="19"/>
      <c r="AT861" s="19"/>
      <c r="AU861" s="19"/>
    </row>
    <row r="862" spans="3:47">
      <c r="C862" s="20"/>
      <c r="Z862" s="20"/>
      <c r="AG862" s="20"/>
      <c r="AQ862" s="19"/>
      <c r="AR862" s="19"/>
      <c r="AS862" s="19"/>
      <c r="AT862" s="19"/>
      <c r="AU862" s="19"/>
    </row>
    <row r="863" spans="3:47">
      <c r="C863" s="20"/>
      <c r="Z863" s="20"/>
      <c r="AG863" s="20"/>
      <c r="AQ863" s="19"/>
      <c r="AR863" s="19"/>
      <c r="AS863" s="19"/>
      <c r="AT863" s="19"/>
      <c r="AU863" s="19"/>
    </row>
    <row r="864" spans="3:47">
      <c r="C864" s="20"/>
      <c r="Z864" s="20"/>
      <c r="AG864" s="20"/>
      <c r="AQ864" s="19"/>
      <c r="AR864" s="19"/>
      <c r="AS864" s="19"/>
      <c r="AT864" s="19"/>
      <c r="AU864" s="19"/>
    </row>
    <row r="865" spans="3:47">
      <c r="C865" s="20"/>
      <c r="Z865" s="20"/>
      <c r="AG865" s="20"/>
      <c r="AQ865" s="19"/>
      <c r="AR865" s="19"/>
      <c r="AS865" s="19"/>
      <c r="AT865" s="19"/>
      <c r="AU865" s="19"/>
    </row>
    <row r="866" spans="3:47">
      <c r="C866" s="20"/>
      <c r="Z866" s="20"/>
      <c r="AG866" s="20"/>
      <c r="AQ866" s="19"/>
      <c r="AR866" s="19"/>
      <c r="AS866" s="19"/>
      <c r="AT866" s="19"/>
      <c r="AU866" s="19"/>
    </row>
    <row r="867" spans="3:47">
      <c r="C867" s="20"/>
      <c r="Z867" s="20"/>
      <c r="AG867" s="20"/>
      <c r="AQ867" s="19"/>
      <c r="AR867" s="19"/>
      <c r="AS867" s="19"/>
      <c r="AT867" s="19"/>
      <c r="AU867" s="19"/>
    </row>
    <row r="868" spans="3:47">
      <c r="C868" s="20"/>
      <c r="Z868" s="20"/>
      <c r="AG868" s="20"/>
      <c r="AQ868" s="19"/>
      <c r="AR868" s="19"/>
      <c r="AS868" s="19"/>
      <c r="AT868" s="19"/>
      <c r="AU868" s="19"/>
    </row>
    <row r="869" spans="3:47">
      <c r="C869" s="20"/>
      <c r="Z869" s="20"/>
      <c r="AG869" s="20"/>
      <c r="AQ869" s="19"/>
      <c r="AR869" s="19"/>
      <c r="AS869" s="19"/>
      <c r="AT869" s="19"/>
      <c r="AU869" s="19"/>
    </row>
    <row r="870" spans="3:47">
      <c r="C870" s="20"/>
      <c r="Z870" s="20"/>
      <c r="AG870" s="20"/>
      <c r="AQ870" s="19"/>
      <c r="AR870" s="19"/>
      <c r="AS870" s="19"/>
      <c r="AT870" s="19"/>
      <c r="AU870" s="19"/>
    </row>
    <row r="871" spans="3:47">
      <c r="C871" s="20"/>
      <c r="Z871" s="20"/>
      <c r="AG871" s="20"/>
      <c r="AQ871" s="19"/>
      <c r="AR871" s="19"/>
      <c r="AS871" s="19"/>
      <c r="AT871" s="19"/>
      <c r="AU871" s="19"/>
    </row>
    <row r="872" spans="3:47">
      <c r="C872" s="20"/>
      <c r="Z872" s="20"/>
      <c r="AG872" s="20"/>
      <c r="AQ872" s="19"/>
      <c r="AR872" s="19"/>
      <c r="AS872" s="19"/>
      <c r="AT872" s="19"/>
      <c r="AU872" s="19"/>
    </row>
    <row r="873" spans="3:47">
      <c r="C873" s="20"/>
      <c r="Z873" s="20"/>
      <c r="AG873" s="20"/>
      <c r="AQ873" s="19"/>
      <c r="AR873" s="19"/>
      <c r="AS873" s="19"/>
      <c r="AT873" s="19"/>
      <c r="AU873" s="19"/>
    </row>
    <row r="874" spans="3:47">
      <c r="C874" s="20"/>
      <c r="Z874" s="20"/>
      <c r="AG874" s="20"/>
      <c r="AQ874" s="19"/>
      <c r="AR874" s="19"/>
      <c r="AS874" s="19"/>
      <c r="AT874" s="19"/>
      <c r="AU874" s="19"/>
    </row>
    <row r="875" spans="3:47">
      <c r="C875" s="20"/>
      <c r="Z875" s="20"/>
      <c r="AG875" s="20"/>
      <c r="AQ875" s="19"/>
      <c r="AR875" s="19"/>
      <c r="AS875" s="19"/>
      <c r="AT875" s="19"/>
      <c r="AU875" s="19"/>
    </row>
    <row r="876" spans="3:47">
      <c r="C876" s="20"/>
      <c r="Z876" s="20"/>
      <c r="AG876" s="20"/>
      <c r="AQ876" s="19"/>
      <c r="AR876" s="19"/>
      <c r="AS876" s="19"/>
      <c r="AT876" s="19"/>
      <c r="AU876" s="19"/>
    </row>
    <row r="877" spans="3:47">
      <c r="C877" s="20"/>
      <c r="Z877" s="20"/>
      <c r="AG877" s="20"/>
      <c r="AQ877" s="19"/>
      <c r="AR877" s="19"/>
      <c r="AS877" s="19"/>
      <c r="AT877" s="19"/>
      <c r="AU877" s="19"/>
    </row>
    <row r="878" spans="3:47">
      <c r="C878" s="20"/>
      <c r="Z878" s="20"/>
      <c r="AG878" s="20"/>
      <c r="AQ878" s="19"/>
      <c r="AR878" s="19"/>
      <c r="AS878" s="19"/>
      <c r="AT878" s="19"/>
      <c r="AU878" s="19"/>
    </row>
    <row r="879" spans="3:47">
      <c r="C879" s="20"/>
      <c r="Z879" s="20"/>
      <c r="AG879" s="20"/>
      <c r="AQ879" s="19"/>
      <c r="AR879" s="19"/>
      <c r="AS879" s="19"/>
      <c r="AT879" s="19"/>
      <c r="AU879" s="19"/>
    </row>
    <row r="880" spans="3:47">
      <c r="C880" s="20"/>
      <c r="Z880" s="20"/>
      <c r="AG880" s="20"/>
      <c r="AQ880" s="19"/>
      <c r="AR880" s="19"/>
      <c r="AS880" s="19"/>
      <c r="AT880" s="19"/>
      <c r="AU880" s="19"/>
    </row>
    <row r="881" spans="3:47">
      <c r="C881" s="20"/>
      <c r="Z881" s="20"/>
      <c r="AG881" s="20"/>
      <c r="AQ881" s="19"/>
      <c r="AR881" s="19"/>
      <c r="AS881" s="19"/>
      <c r="AT881" s="19"/>
      <c r="AU881" s="19"/>
    </row>
    <row r="882" spans="3:47">
      <c r="C882" s="20"/>
      <c r="Z882" s="20"/>
      <c r="AG882" s="20"/>
      <c r="AQ882" s="19"/>
      <c r="AR882" s="19"/>
      <c r="AS882" s="19"/>
      <c r="AT882" s="19"/>
      <c r="AU882" s="19"/>
    </row>
    <row r="883" spans="3:47">
      <c r="C883" s="20"/>
      <c r="Z883" s="20"/>
      <c r="AG883" s="20"/>
      <c r="AQ883" s="19"/>
      <c r="AR883" s="19"/>
      <c r="AS883" s="19"/>
      <c r="AT883" s="19"/>
      <c r="AU883" s="19"/>
    </row>
    <row r="884" spans="3:47">
      <c r="C884" s="20"/>
      <c r="Z884" s="20"/>
      <c r="AG884" s="20"/>
      <c r="AQ884" s="19"/>
      <c r="AR884" s="19"/>
      <c r="AS884" s="19"/>
      <c r="AT884" s="19"/>
      <c r="AU884" s="19"/>
    </row>
    <row r="885" spans="3:47">
      <c r="C885" s="20"/>
      <c r="Z885" s="20"/>
      <c r="AG885" s="20"/>
      <c r="AQ885" s="19"/>
      <c r="AR885" s="19"/>
      <c r="AS885" s="19"/>
      <c r="AT885" s="19"/>
      <c r="AU885" s="19"/>
    </row>
    <row r="886" spans="3:47">
      <c r="C886" s="20"/>
      <c r="Z886" s="20"/>
      <c r="AG886" s="20"/>
      <c r="AQ886" s="19"/>
      <c r="AR886" s="19"/>
      <c r="AS886" s="19"/>
      <c r="AT886" s="19"/>
      <c r="AU886" s="19"/>
    </row>
    <row r="887" spans="3:47">
      <c r="C887" s="20"/>
      <c r="Z887" s="20"/>
      <c r="AG887" s="20"/>
      <c r="AQ887" s="19"/>
      <c r="AR887" s="19"/>
      <c r="AS887" s="19"/>
      <c r="AT887" s="19"/>
      <c r="AU887" s="19"/>
    </row>
    <row r="888" spans="3:47">
      <c r="C888" s="20"/>
      <c r="Z888" s="20"/>
      <c r="AG888" s="20"/>
      <c r="AQ888" s="19"/>
      <c r="AR888" s="19"/>
      <c r="AS888" s="19"/>
      <c r="AT888" s="19"/>
      <c r="AU888" s="19"/>
    </row>
    <row r="889" spans="3:47">
      <c r="C889" s="20"/>
      <c r="Z889" s="20"/>
      <c r="AG889" s="20"/>
      <c r="AQ889" s="19"/>
      <c r="AR889" s="19"/>
      <c r="AS889" s="19"/>
      <c r="AT889" s="19"/>
      <c r="AU889" s="19"/>
    </row>
    <row r="890" spans="3:47">
      <c r="C890" s="20"/>
      <c r="Z890" s="20"/>
      <c r="AG890" s="20"/>
      <c r="AQ890" s="19"/>
      <c r="AR890" s="19"/>
      <c r="AS890" s="19"/>
      <c r="AT890" s="19"/>
      <c r="AU890" s="19"/>
    </row>
    <row r="891" spans="3:47">
      <c r="C891" s="20"/>
      <c r="Z891" s="20"/>
      <c r="AG891" s="20"/>
      <c r="AQ891" s="19"/>
      <c r="AR891" s="19"/>
      <c r="AS891" s="19"/>
      <c r="AT891" s="19"/>
      <c r="AU891" s="19"/>
    </row>
    <row r="892" spans="3:47">
      <c r="C892" s="20"/>
      <c r="Z892" s="20"/>
      <c r="AG892" s="20"/>
      <c r="AQ892" s="19"/>
      <c r="AR892" s="19"/>
      <c r="AS892" s="19"/>
      <c r="AT892" s="19"/>
      <c r="AU892" s="19"/>
    </row>
    <row r="893" spans="3:47">
      <c r="C893" s="20"/>
      <c r="Z893" s="20"/>
      <c r="AG893" s="20"/>
      <c r="AQ893" s="19"/>
      <c r="AR893" s="19"/>
      <c r="AS893" s="19"/>
      <c r="AT893" s="19"/>
      <c r="AU893" s="19"/>
    </row>
    <row r="894" spans="3:47">
      <c r="C894" s="20"/>
      <c r="Z894" s="20"/>
      <c r="AG894" s="20"/>
      <c r="AQ894" s="19"/>
      <c r="AR894" s="19"/>
      <c r="AS894" s="19"/>
      <c r="AT894" s="19"/>
      <c r="AU894" s="19"/>
    </row>
    <row r="895" spans="3:47">
      <c r="C895" s="20"/>
      <c r="Z895" s="20"/>
      <c r="AG895" s="20"/>
      <c r="AQ895" s="19"/>
      <c r="AR895" s="19"/>
      <c r="AS895" s="19"/>
      <c r="AT895" s="19"/>
      <c r="AU895" s="19"/>
    </row>
    <row r="896" spans="3:47">
      <c r="C896" s="20"/>
      <c r="Z896" s="20"/>
      <c r="AG896" s="20"/>
      <c r="AQ896" s="19"/>
      <c r="AR896" s="19"/>
      <c r="AS896" s="19"/>
      <c r="AT896" s="19"/>
      <c r="AU896" s="19"/>
    </row>
    <row r="897" spans="3:47">
      <c r="C897" s="20"/>
      <c r="Z897" s="20"/>
      <c r="AG897" s="20"/>
      <c r="AQ897" s="19"/>
      <c r="AR897" s="19"/>
      <c r="AS897" s="19"/>
      <c r="AT897" s="19"/>
      <c r="AU897" s="19"/>
    </row>
    <row r="898" spans="3:47">
      <c r="C898" s="20"/>
      <c r="Z898" s="20"/>
      <c r="AG898" s="20"/>
      <c r="AQ898" s="19"/>
      <c r="AR898" s="19"/>
      <c r="AS898" s="19"/>
      <c r="AT898" s="19"/>
      <c r="AU898" s="19"/>
    </row>
    <row r="899" spans="3:47">
      <c r="C899" s="20"/>
      <c r="Z899" s="20"/>
      <c r="AG899" s="20"/>
      <c r="AQ899" s="19"/>
      <c r="AR899" s="19"/>
      <c r="AS899" s="19"/>
      <c r="AT899" s="19"/>
      <c r="AU899" s="19"/>
    </row>
    <row r="900" spans="3:47">
      <c r="C900" s="20"/>
      <c r="Z900" s="20"/>
      <c r="AG900" s="20"/>
      <c r="AQ900" s="19"/>
      <c r="AR900" s="19"/>
      <c r="AS900" s="19"/>
      <c r="AT900" s="19"/>
      <c r="AU900" s="19"/>
    </row>
    <row r="901" spans="3:47">
      <c r="C901" s="20"/>
      <c r="Z901" s="20"/>
      <c r="AG901" s="20"/>
      <c r="AQ901" s="19"/>
      <c r="AR901" s="19"/>
      <c r="AS901" s="19"/>
      <c r="AT901" s="19"/>
      <c r="AU901" s="19"/>
    </row>
    <row r="902" spans="3:47">
      <c r="C902" s="20"/>
      <c r="Z902" s="20"/>
      <c r="AG902" s="20"/>
      <c r="AQ902" s="19"/>
      <c r="AR902" s="19"/>
      <c r="AS902" s="19"/>
      <c r="AT902" s="19"/>
      <c r="AU902" s="19"/>
    </row>
    <row r="903" spans="3:47">
      <c r="C903" s="20"/>
      <c r="Z903" s="20"/>
      <c r="AG903" s="20"/>
      <c r="AQ903" s="19"/>
      <c r="AR903" s="19"/>
      <c r="AS903" s="19"/>
      <c r="AT903" s="19"/>
      <c r="AU903" s="19"/>
    </row>
    <row r="904" spans="3:47">
      <c r="C904" s="20"/>
      <c r="Z904" s="20"/>
      <c r="AG904" s="20"/>
      <c r="AQ904" s="19"/>
      <c r="AR904" s="19"/>
      <c r="AS904" s="19"/>
      <c r="AT904" s="19"/>
      <c r="AU904" s="19"/>
    </row>
    <row r="905" spans="3:47">
      <c r="C905" s="20"/>
      <c r="Z905" s="20"/>
      <c r="AG905" s="20"/>
      <c r="AQ905" s="19"/>
      <c r="AR905" s="19"/>
      <c r="AS905" s="19"/>
      <c r="AT905" s="19"/>
      <c r="AU905" s="19"/>
    </row>
    <row r="906" spans="3:47">
      <c r="C906" s="20"/>
      <c r="Z906" s="20"/>
      <c r="AG906" s="20"/>
      <c r="AQ906" s="19"/>
      <c r="AR906" s="19"/>
      <c r="AS906" s="19"/>
      <c r="AT906" s="19"/>
      <c r="AU906" s="19"/>
    </row>
    <row r="907" spans="3:47">
      <c r="C907" s="20"/>
      <c r="Z907" s="20"/>
      <c r="AG907" s="20"/>
      <c r="AQ907" s="19"/>
      <c r="AR907" s="19"/>
      <c r="AS907" s="19"/>
      <c r="AT907" s="19"/>
      <c r="AU907" s="19"/>
    </row>
    <row r="908" spans="3:47">
      <c r="C908" s="20"/>
      <c r="Z908" s="20"/>
      <c r="AG908" s="20"/>
      <c r="AQ908" s="19"/>
      <c r="AR908" s="19"/>
      <c r="AS908" s="19"/>
      <c r="AT908" s="19"/>
      <c r="AU908" s="19"/>
    </row>
    <row r="909" spans="3:47">
      <c r="C909" s="20"/>
      <c r="Z909" s="20"/>
      <c r="AG909" s="20"/>
      <c r="AQ909" s="19"/>
      <c r="AR909" s="19"/>
      <c r="AS909" s="19"/>
      <c r="AT909" s="19"/>
      <c r="AU909" s="19"/>
    </row>
    <row r="910" spans="3:47">
      <c r="C910" s="20"/>
      <c r="Z910" s="20"/>
      <c r="AG910" s="20"/>
      <c r="AQ910" s="19"/>
      <c r="AR910" s="19"/>
      <c r="AS910" s="19"/>
      <c r="AT910" s="19"/>
      <c r="AU910" s="19"/>
    </row>
    <row r="911" spans="3:47">
      <c r="C911" s="20"/>
      <c r="Z911" s="20"/>
      <c r="AG911" s="20"/>
      <c r="AQ911" s="19"/>
      <c r="AR911" s="19"/>
      <c r="AS911" s="19"/>
      <c r="AT911" s="19"/>
      <c r="AU911" s="19"/>
    </row>
    <row r="912" spans="3:47">
      <c r="C912" s="20"/>
      <c r="Z912" s="20"/>
      <c r="AG912" s="20"/>
      <c r="AQ912" s="19"/>
      <c r="AR912" s="19"/>
      <c r="AS912" s="19"/>
      <c r="AT912" s="19"/>
      <c r="AU912" s="19"/>
    </row>
    <row r="913" spans="3:47">
      <c r="C913" s="20"/>
      <c r="Z913" s="20"/>
      <c r="AG913" s="20"/>
      <c r="AQ913" s="19"/>
      <c r="AR913" s="19"/>
      <c r="AS913" s="19"/>
      <c r="AT913" s="19"/>
      <c r="AU913" s="19"/>
    </row>
    <row r="914" spans="3:47">
      <c r="C914" s="20"/>
      <c r="Z914" s="20"/>
      <c r="AG914" s="20"/>
      <c r="AQ914" s="19"/>
      <c r="AR914" s="19"/>
      <c r="AS914" s="19"/>
      <c r="AT914" s="19"/>
      <c r="AU914" s="19"/>
    </row>
    <row r="915" spans="3:47">
      <c r="C915" s="20"/>
      <c r="Z915" s="20"/>
      <c r="AG915" s="20"/>
      <c r="AQ915" s="19"/>
      <c r="AR915" s="19"/>
      <c r="AS915" s="19"/>
      <c r="AT915" s="19"/>
      <c r="AU915" s="19"/>
    </row>
    <row r="916" spans="3:47">
      <c r="C916" s="20"/>
      <c r="Z916" s="20"/>
      <c r="AG916" s="20"/>
      <c r="AQ916" s="19"/>
      <c r="AR916" s="19"/>
      <c r="AS916" s="19"/>
      <c r="AT916" s="19"/>
      <c r="AU916" s="19"/>
    </row>
    <row r="917" spans="3:47">
      <c r="C917" s="20"/>
      <c r="Z917" s="20"/>
      <c r="AG917" s="20"/>
      <c r="AQ917" s="19"/>
      <c r="AR917" s="19"/>
      <c r="AS917" s="19"/>
      <c r="AT917" s="19"/>
      <c r="AU917" s="19"/>
    </row>
    <row r="918" spans="3:47">
      <c r="C918" s="20"/>
      <c r="Z918" s="20"/>
      <c r="AG918" s="20"/>
      <c r="AQ918" s="19"/>
      <c r="AR918" s="19"/>
      <c r="AS918" s="19"/>
      <c r="AT918" s="19"/>
      <c r="AU918" s="19"/>
    </row>
    <row r="919" spans="3:47">
      <c r="C919" s="20"/>
      <c r="Z919" s="20"/>
      <c r="AG919" s="20"/>
      <c r="AQ919" s="19"/>
      <c r="AR919" s="19"/>
      <c r="AS919" s="19"/>
      <c r="AT919" s="19"/>
      <c r="AU919" s="19"/>
    </row>
    <row r="920" spans="3:47">
      <c r="C920" s="20"/>
      <c r="Z920" s="20"/>
      <c r="AG920" s="20"/>
      <c r="AQ920" s="19"/>
      <c r="AR920" s="19"/>
      <c r="AS920" s="19"/>
      <c r="AT920" s="19"/>
      <c r="AU920" s="19"/>
    </row>
    <row r="921" spans="3:47">
      <c r="C921" s="20"/>
      <c r="Z921" s="20"/>
      <c r="AG921" s="20"/>
      <c r="AQ921" s="19"/>
      <c r="AR921" s="19"/>
      <c r="AS921" s="19"/>
      <c r="AT921" s="19"/>
      <c r="AU921" s="19"/>
    </row>
    <row r="922" spans="3:47">
      <c r="C922" s="20"/>
      <c r="Z922" s="20"/>
      <c r="AG922" s="20"/>
      <c r="AQ922" s="19"/>
      <c r="AR922" s="19"/>
      <c r="AS922" s="19"/>
      <c r="AT922" s="19"/>
      <c r="AU922" s="19"/>
    </row>
    <row r="923" spans="3:47">
      <c r="C923" s="20"/>
      <c r="Z923" s="20"/>
      <c r="AG923" s="20"/>
      <c r="AQ923" s="19"/>
      <c r="AR923" s="19"/>
      <c r="AS923" s="19"/>
      <c r="AT923" s="19"/>
      <c r="AU923" s="19"/>
    </row>
    <row r="924" spans="3:47">
      <c r="C924" s="20"/>
      <c r="Z924" s="20"/>
      <c r="AG924" s="20"/>
      <c r="AQ924" s="19"/>
      <c r="AR924" s="19"/>
      <c r="AS924" s="19"/>
      <c r="AT924" s="19"/>
      <c r="AU924" s="19"/>
    </row>
    <row r="925" spans="3:47">
      <c r="C925" s="20"/>
      <c r="Z925" s="20"/>
      <c r="AG925" s="20"/>
      <c r="AQ925" s="19"/>
      <c r="AR925" s="19"/>
      <c r="AS925" s="19"/>
      <c r="AT925" s="19"/>
      <c r="AU925" s="19"/>
    </row>
    <row r="926" spans="3:47">
      <c r="C926" s="20"/>
      <c r="Z926" s="20"/>
      <c r="AG926" s="20"/>
      <c r="AQ926" s="19"/>
      <c r="AR926" s="19"/>
      <c r="AS926" s="19"/>
      <c r="AT926" s="19"/>
      <c r="AU926" s="19"/>
    </row>
    <row r="927" spans="3:47">
      <c r="C927" s="20"/>
      <c r="Z927" s="20"/>
      <c r="AG927" s="20"/>
      <c r="AQ927" s="19"/>
      <c r="AR927" s="19"/>
      <c r="AS927" s="19"/>
      <c r="AT927" s="19"/>
      <c r="AU927" s="19"/>
    </row>
    <row r="928" spans="3:47">
      <c r="C928" s="20"/>
      <c r="Z928" s="20"/>
      <c r="AG928" s="20"/>
      <c r="AQ928" s="19"/>
      <c r="AR928" s="19"/>
      <c r="AS928" s="19"/>
      <c r="AT928" s="19"/>
      <c r="AU928" s="19"/>
    </row>
    <row r="929" spans="3:47">
      <c r="C929" s="20"/>
      <c r="Z929" s="20"/>
      <c r="AG929" s="20"/>
      <c r="AQ929" s="19"/>
      <c r="AR929" s="19"/>
      <c r="AS929" s="19"/>
      <c r="AT929" s="19"/>
      <c r="AU929" s="19"/>
    </row>
    <row r="930" spans="3:47">
      <c r="C930" s="20"/>
      <c r="Z930" s="20"/>
      <c r="AG930" s="20"/>
      <c r="AQ930" s="19"/>
      <c r="AR930" s="19"/>
      <c r="AS930" s="19"/>
      <c r="AT930" s="19"/>
      <c r="AU930" s="19"/>
    </row>
    <row r="931" spans="3:47">
      <c r="C931" s="20"/>
      <c r="Z931" s="20"/>
      <c r="AG931" s="20"/>
      <c r="AQ931" s="19"/>
      <c r="AR931" s="19"/>
      <c r="AS931" s="19"/>
      <c r="AT931" s="19"/>
      <c r="AU931" s="19"/>
    </row>
    <row r="932" spans="3:47">
      <c r="C932" s="20"/>
      <c r="Z932" s="20"/>
      <c r="AG932" s="20"/>
      <c r="AQ932" s="19"/>
      <c r="AR932" s="19"/>
      <c r="AS932" s="19"/>
      <c r="AT932" s="19"/>
      <c r="AU932" s="19"/>
    </row>
    <row r="933" spans="3:47">
      <c r="C933" s="20"/>
      <c r="Z933" s="20"/>
      <c r="AG933" s="20"/>
      <c r="AQ933" s="19"/>
      <c r="AR933" s="19"/>
      <c r="AS933" s="19"/>
      <c r="AT933" s="19"/>
      <c r="AU933" s="19"/>
    </row>
    <row r="934" spans="3:47">
      <c r="C934" s="20"/>
      <c r="Z934" s="20"/>
      <c r="AG934" s="20"/>
      <c r="AQ934" s="19"/>
      <c r="AR934" s="19"/>
      <c r="AS934" s="19"/>
      <c r="AT934" s="19"/>
      <c r="AU934" s="19"/>
    </row>
    <row r="935" spans="3:47">
      <c r="C935" s="20"/>
      <c r="Z935" s="20"/>
      <c r="AG935" s="20"/>
      <c r="AQ935" s="19"/>
      <c r="AR935" s="19"/>
      <c r="AS935" s="19"/>
      <c r="AT935" s="19"/>
      <c r="AU935" s="19"/>
    </row>
    <row r="936" spans="3:47">
      <c r="C936" s="20"/>
      <c r="Z936" s="20"/>
      <c r="AG936" s="20"/>
      <c r="AQ936" s="19"/>
      <c r="AR936" s="19"/>
      <c r="AS936" s="19"/>
      <c r="AT936" s="19"/>
      <c r="AU936" s="19"/>
    </row>
    <row r="937" spans="3:47">
      <c r="C937" s="20"/>
      <c r="Z937" s="20"/>
      <c r="AG937" s="20"/>
      <c r="AQ937" s="19"/>
      <c r="AR937" s="19"/>
      <c r="AS937" s="19"/>
      <c r="AT937" s="19"/>
      <c r="AU937" s="19"/>
    </row>
    <row r="938" spans="3:47">
      <c r="C938" s="20"/>
      <c r="Z938" s="20"/>
      <c r="AG938" s="20"/>
      <c r="AQ938" s="19"/>
      <c r="AR938" s="19"/>
      <c r="AS938" s="19"/>
      <c r="AT938" s="19"/>
      <c r="AU938" s="19"/>
    </row>
    <row r="939" spans="3:47">
      <c r="C939" s="20"/>
      <c r="Z939" s="20"/>
      <c r="AG939" s="20"/>
      <c r="AQ939" s="19"/>
      <c r="AR939" s="19"/>
      <c r="AS939" s="19"/>
      <c r="AT939" s="19"/>
      <c r="AU939" s="19"/>
    </row>
    <row r="940" spans="3:47">
      <c r="C940" s="20"/>
      <c r="Z940" s="20"/>
      <c r="AG940" s="20"/>
      <c r="AQ940" s="19"/>
      <c r="AR940" s="19"/>
      <c r="AS940" s="19"/>
      <c r="AT940" s="19"/>
      <c r="AU940" s="19"/>
    </row>
    <row r="941" spans="3:47">
      <c r="C941" s="20"/>
      <c r="Z941" s="20"/>
      <c r="AG941" s="20"/>
      <c r="AQ941" s="19"/>
      <c r="AR941" s="19"/>
      <c r="AS941" s="19"/>
      <c r="AT941" s="19"/>
      <c r="AU941" s="19"/>
    </row>
    <row r="942" spans="3:47">
      <c r="C942" s="20"/>
      <c r="Z942" s="20"/>
      <c r="AG942" s="20"/>
      <c r="AQ942" s="19"/>
      <c r="AR942" s="19"/>
      <c r="AS942" s="19"/>
      <c r="AT942" s="19"/>
      <c r="AU942" s="19"/>
    </row>
    <row r="943" spans="3:47">
      <c r="C943" s="20"/>
      <c r="Z943" s="20"/>
      <c r="AG943" s="20"/>
      <c r="AQ943" s="19"/>
      <c r="AR943" s="19"/>
      <c r="AS943" s="19"/>
      <c r="AT943" s="19"/>
      <c r="AU943" s="19"/>
    </row>
    <row r="944" spans="3:47">
      <c r="C944" s="20"/>
      <c r="Z944" s="20"/>
      <c r="AG944" s="20"/>
      <c r="AQ944" s="19"/>
      <c r="AR944" s="19"/>
      <c r="AS944" s="19"/>
      <c r="AT944" s="19"/>
      <c r="AU944" s="19"/>
    </row>
    <row r="945" spans="3:47">
      <c r="C945" s="20"/>
      <c r="Z945" s="20"/>
      <c r="AG945" s="20"/>
      <c r="AQ945" s="19"/>
      <c r="AR945" s="19"/>
      <c r="AS945" s="19"/>
      <c r="AT945" s="19"/>
      <c r="AU945" s="19"/>
    </row>
    <row r="946" spans="3:47">
      <c r="C946" s="20"/>
      <c r="Z946" s="20"/>
      <c r="AG946" s="20"/>
      <c r="AQ946" s="19"/>
      <c r="AR946" s="19"/>
      <c r="AS946" s="19"/>
      <c r="AT946" s="19"/>
      <c r="AU946" s="19"/>
    </row>
    <row r="947" spans="3:47">
      <c r="C947" s="20"/>
      <c r="Z947" s="20"/>
      <c r="AG947" s="20"/>
      <c r="AQ947" s="19"/>
      <c r="AR947" s="19"/>
      <c r="AS947" s="19"/>
      <c r="AT947" s="19"/>
      <c r="AU947" s="19"/>
    </row>
    <row r="948" spans="3:47">
      <c r="C948" s="20"/>
      <c r="Z948" s="20"/>
      <c r="AG948" s="20"/>
      <c r="AQ948" s="19"/>
      <c r="AR948" s="19"/>
      <c r="AS948" s="19"/>
      <c r="AT948" s="19"/>
      <c r="AU948" s="19"/>
    </row>
    <row r="949" spans="3:47">
      <c r="C949" s="20"/>
      <c r="Z949" s="20"/>
      <c r="AG949" s="20"/>
      <c r="AQ949" s="19"/>
      <c r="AR949" s="19"/>
      <c r="AS949" s="19"/>
      <c r="AT949" s="19"/>
      <c r="AU949" s="19"/>
    </row>
    <row r="950" spans="3:47">
      <c r="C950" s="20"/>
      <c r="Z950" s="20"/>
      <c r="AG950" s="20"/>
      <c r="AQ950" s="19"/>
      <c r="AR950" s="19"/>
      <c r="AS950" s="19"/>
      <c r="AT950" s="19"/>
      <c r="AU950" s="19"/>
    </row>
    <row r="951" spans="3:47">
      <c r="C951" s="20"/>
      <c r="Z951" s="20"/>
      <c r="AG951" s="20"/>
      <c r="AQ951" s="19"/>
      <c r="AR951" s="19"/>
      <c r="AS951" s="19"/>
      <c r="AT951" s="19"/>
      <c r="AU951" s="19"/>
    </row>
    <row r="952" spans="3:47">
      <c r="C952" s="20"/>
      <c r="Z952" s="20"/>
      <c r="AG952" s="20"/>
      <c r="AQ952" s="19"/>
      <c r="AR952" s="19"/>
      <c r="AS952" s="19"/>
      <c r="AT952" s="19"/>
      <c r="AU952" s="19"/>
    </row>
    <row r="953" spans="3:47">
      <c r="C953" s="20"/>
      <c r="Z953" s="20"/>
      <c r="AG953" s="20"/>
      <c r="AQ953" s="19"/>
      <c r="AR953" s="19"/>
      <c r="AS953" s="19"/>
      <c r="AT953" s="19"/>
      <c r="AU953" s="19"/>
    </row>
    <row r="954" spans="3:47">
      <c r="C954" s="20"/>
      <c r="Z954" s="20"/>
      <c r="AG954" s="20"/>
      <c r="AQ954" s="19"/>
      <c r="AR954" s="19"/>
      <c r="AS954" s="19"/>
      <c r="AT954" s="19"/>
      <c r="AU954" s="19"/>
    </row>
    <row r="955" spans="3:47">
      <c r="C955" s="20"/>
      <c r="Z955" s="20"/>
      <c r="AG955" s="20"/>
      <c r="AQ955" s="19"/>
      <c r="AR955" s="19"/>
      <c r="AS955" s="19"/>
      <c r="AT955" s="19"/>
      <c r="AU955" s="19"/>
    </row>
    <row r="956" spans="3:47">
      <c r="C956" s="20"/>
      <c r="Z956" s="20"/>
      <c r="AG956" s="20"/>
      <c r="AQ956" s="19"/>
      <c r="AR956" s="19"/>
      <c r="AS956" s="19"/>
      <c r="AT956" s="19"/>
      <c r="AU956" s="19"/>
    </row>
    <row r="957" spans="3:47">
      <c r="C957" s="20"/>
      <c r="Z957" s="20"/>
      <c r="AG957" s="20"/>
      <c r="AQ957" s="19"/>
      <c r="AR957" s="19"/>
      <c r="AS957" s="19"/>
      <c r="AT957" s="19"/>
      <c r="AU957" s="19"/>
    </row>
    <row r="958" spans="3:47">
      <c r="C958" s="20"/>
      <c r="Z958" s="20"/>
      <c r="AG958" s="20"/>
      <c r="AQ958" s="19"/>
      <c r="AR958" s="19"/>
      <c r="AS958" s="19"/>
      <c r="AT958" s="19"/>
      <c r="AU958" s="19"/>
    </row>
    <row r="959" spans="3:47">
      <c r="C959" s="20"/>
      <c r="Z959" s="20"/>
      <c r="AG959" s="20"/>
      <c r="AQ959" s="19"/>
      <c r="AR959" s="19"/>
      <c r="AS959" s="19"/>
      <c r="AT959" s="19"/>
      <c r="AU959" s="19"/>
    </row>
    <row r="960" spans="3:47">
      <c r="C960" s="20"/>
      <c r="Z960" s="20"/>
      <c r="AG960" s="20"/>
      <c r="AQ960" s="19"/>
      <c r="AR960" s="19"/>
      <c r="AS960" s="19"/>
      <c r="AT960" s="19"/>
      <c r="AU960" s="19"/>
    </row>
    <row r="961" spans="3:47">
      <c r="C961" s="20"/>
      <c r="Z961" s="20"/>
      <c r="AG961" s="20"/>
      <c r="AQ961" s="19"/>
      <c r="AR961" s="19"/>
      <c r="AS961" s="19"/>
      <c r="AT961" s="19"/>
      <c r="AU961" s="19"/>
    </row>
    <row r="962" spans="3:47">
      <c r="C962" s="20"/>
      <c r="Z962" s="20"/>
      <c r="AG962" s="20"/>
      <c r="AQ962" s="19"/>
      <c r="AR962" s="19"/>
      <c r="AS962" s="19"/>
      <c r="AT962" s="19"/>
      <c r="AU962" s="19"/>
    </row>
    <row r="963" spans="3:47">
      <c r="C963" s="20"/>
      <c r="Z963" s="20"/>
      <c r="AG963" s="20"/>
      <c r="AQ963" s="19"/>
      <c r="AR963" s="19"/>
      <c r="AS963" s="19"/>
      <c r="AT963" s="19"/>
      <c r="AU963" s="19"/>
    </row>
    <row r="964" spans="3:47">
      <c r="C964" s="20"/>
      <c r="Z964" s="20"/>
      <c r="AG964" s="20"/>
      <c r="AQ964" s="19"/>
      <c r="AR964" s="19"/>
      <c r="AS964" s="19"/>
      <c r="AT964" s="19"/>
      <c r="AU964" s="19"/>
    </row>
    <row r="965" spans="3:47">
      <c r="C965" s="20"/>
      <c r="Z965" s="20"/>
      <c r="AG965" s="20"/>
      <c r="AQ965" s="19"/>
      <c r="AR965" s="19"/>
      <c r="AS965" s="19"/>
      <c r="AT965" s="19"/>
      <c r="AU965" s="19"/>
    </row>
    <row r="966" spans="3:47">
      <c r="C966" s="20"/>
      <c r="Z966" s="20"/>
      <c r="AG966" s="20"/>
      <c r="AQ966" s="19"/>
      <c r="AR966" s="19"/>
      <c r="AS966" s="19"/>
      <c r="AT966" s="19"/>
      <c r="AU966" s="19"/>
    </row>
    <row r="967" spans="3:47">
      <c r="C967" s="20"/>
      <c r="Z967" s="20"/>
      <c r="AG967" s="20"/>
      <c r="AQ967" s="19"/>
      <c r="AR967" s="19"/>
      <c r="AS967" s="19"/>
      <c r="AT967" s="19"/>
      <c r="AU967" s="19"/>
    </row>
    <row r="968" spans="3:47">
      <c r="C968" s="20"/>
      <c r="Z968" s="20"/>
      <c r="AG968" s="20"/>
      <c r="AQ968" s="19"/>
      <c r="AR968" s="19"/>
      <c r="AS968" s="19"/>
      <c r="AT968" s="19"/>
      <c r="AU968" s="19"/>
    </row>
    <row r="969" spans="3:47">
      <c r="C969" s="20"/>
      <c r="Z969" s="20"/>
      <c r="AG969" s="20"/>
      <c r="AQ969" s="19"/>
      <c r="AR969" s="19"/>
      <c r="AS969" s="19"/>
      <c r="AT969" s="19"/>
      <c r="AU969" s="19"/>
    </row>
    <row r="970" spans="3:47">
      <c r="C970" s="20"/>
      <c r="Z970" s="20"/>
      <c r="AG970" s="20"/>
      <c r="AQ970" s="19"/>
      <c r="AR970" s="19"/>
      <c r="AS970" s="19"/>
      <c r="AT970" s="19"/>
      <c r="AU970" s="19"/>
    </row>
    <row r="971" spans="3:47">
      <c r="C971" s="20"/>
      <c r="Z971" s="20"/>
      <c r="AG971" s="20"/>
      <c r="AQ971" s="19"/>
      <c r="AR971" s="19"/>
      <c r="AS971" s="19"/>
      <c r="AT971" s="19"/>
      <c r="AU971" s="19"/>
    </row>
    <row r="972" spans="3:47">
      <c r="C972" s="20"/>
      <c r="Z972" s="20"/>
      <c r="AG972" s="20"/>
      <c r="AQ972" s="19"/>
      <c r="AR972" s="19"/>
      <c r="AS972" s="19"/>
      <c r="AT972" s="19"/>
      <c r="AU972" s="19"/>
    </row>
    <row r="973" spans="3:47">
      <c r="C973" s="20"/>
      <c r="Z973" s="20"/>
      <c r="AG973" s="20"/>
      <c r="AQ973" s="19"/>
      <c r="AR973" s="19"/>
      <c r="AS973" s="19"/>
      <c r="AT973" s="19"/>
      <c r="AU973" s="19"/>
    </row>
    <row r="974" spans="3:47">
      <c r="C974" s="20"/>
      <c r="Z974" s="20"/>
      <c r="AG974" s="20"/>
      <c r="AQ974" s="19"/>
      <c r="AR974" s="19"/>
      <c r="AS974" s="19"/>
      <c r="AT974" s="19"/>
      <c r="AU974" s="19"/>
    </row>
    <row r="975" spans="3:47">
      <c r="C975" s="20"/>
      <c r="Z975" s="20"/>
      <c r="AG975" s="20"/>
      <c r="AQ975" s="19"/>
      <c r="AR975" s="19"/>
      <c r="AS975" s="19"/>
      <c r="AT975" s="19"/>
      <c r="AU975" s="19"/>
    </row>
    <row r="976" spans="3:47">
      <c r="C976" s="20"/>
      <c r="Z976" s="20"/>
      <c r="AG976" s="20"/>
      <c r="AQ976" s="19"/>
      <c r="AR976" s="19"/>
      <c r="AS976" s="19"/>
      <c r="AT976" s="19"/>
      <c r="AU976" s="19"/>
    </row>
    <row r="977" spans="3:47">
      <c r="C977" s="20"/>
      <c r="Z977" s="20"/>
      <c r="AG977" s="20"/>
      <c r="AQ977" s="19"/>
      <c r="AR977" s="19"/>
      <c r="AS977" s="19"/>
      <c r="AT977" s="19"/>
      <c r="AU977" s="19"/>
    </row>
    <row r="978" spans="3:47">
      <c r="C978" s="20"/>
      <c r="Z978" s="20"/>
      <c r="AG978" s="20"/>
      <c r="AQ978" s="19"/>
      <c r="AR978" s="19"/>
      <c r="AS978" s="19"/>
      <c r="AT978" s="19"/>
      <c r="AU978" s="19"/>
    </row>
    <row r="979" spans="3:47">
      <c r="C979" s="20"/>
      <c r="Z979" s="20"/>
      <c r="AG979" s="20"/>
      <c r="AQ979" s="19"/>
      <c r="AR979" s="19"/>
      <c r="AS979" s="19"/>
      <c r="AT979" s="19"/>
      <c r="AU979" s="19"/>
    </row>
    <row r="980" spans="3:47">
      <c r="C980" s="20"/>
      <c r="Z980" s="20"/>
      <c r="AG980" s="20"/>
      <c r="AQ980" s="19"/>
      <c r="AR980" s="19"/>
      <c r="AS980" s="19"/>
      <c r="AT980" s="19"/>
      <c r="AU980" s="19"/>
    </row>
    <row r="981" spans="3:47">
      <c r="C981" s="20"/>
      <c r="Z981" s="20"/>
      <c r="AG981" s="20"/>
      <c r="AQ981" s="19"/>
      <c r="AR981" s="19"/>
      <c r="AS981" s="19"/>
      <c r="AT981" s="19"/>
      <c r="AU981" s="19"/>
    </row>
    <row r="982" spans="3:47">
      <c r="C982" s="20"/>
      <c r="Z982" s="20"/>
      <c r="AG982" s="20"/>
      <c r="AQ982" s="19"/>
      <c r="AR982" s="19"/>
      <c r="AS982" s="19"/>
      <c r="AT982" s="19"/>
      <c r="AU982" s="19"/>
    </row>
    <row r="983" spans="3:47">
      <c r="C983" s="20"/>
      <c r="Z983" s="20"/>
      <c r="AG983" s="20"/>
      <c r="AQ983" s="19"/>
      <c r="AR983" s="19"/>
      <c r="AS983" s="19"/>
      <c r="AT983" s="19"/>
      <c r="AU983" s="19"/>
    </row>
    <row r="984" spans="3:47">
      <c r="C984" s="20"/>
      <c r="Z984" s="20"/>
      <c r="AG984" s="20"/>
      <c r="AQ984" s="19"/>
      <c r="AR984" s="19"/>
      <c r="AS984" s="19"/>
      <c r="AT984" s="19"/>
      <c r="AU984" s="19"/>
    </row>
    <row r="985" spans="3:47">
      <c r="C985" s="20"/>
      <c r="Z985" s="20"/>
      <c r="AG985" s="20"/>
      <c r="AQ985" s="19"/>
      <c r="AR985" s="19"/>
      <c r="AS985" s="19"/>
      <c r="AT985" s="19"/>
      <c r="AU985" s="19"/>
    </row>
    <row r="986" spans="3:47">
      <c r="C986" s="20"/>
      <c r="Z986" s="20"/>
      <c r="AG986" s="20"/>
      <c r="AQ986" s="19"/>
      <c r="AR986" s="19"/>
      <c r="AS986" s="19"/>
      <c r="AT986" s="19"/>
      <c r="AU986" s="19"/>
    </row>
    <row r="987" spans="3:47">
      <c r="C987" s="20"/>
      <c r="Z987" s="20"/>
      <c r="AG987" s="20"/>
      <c r="AQ987" s="19"/>
      <c r="AR987" s="19"/>
      <c r="AS987" s="19"/>
      <c r="AT987" s="19"/>
      <c r="AU987" s="19"/>
    </row>
    <row r="988" spans="3:47">
      <c r="C988" s="20"/>
      <c r="Z988" s="20"/>
      <c r="AG988" s="20"/>
      <c r="AQ988" s="19"/>
      <c r="AR988" s="19"/>
      <c r="AS988" s="19"/>
      <c r="AT988" s="19"/>
      <c r="AU988" s="19"/>
    </row>
    <row r="989" spans="3:47">
      <c r="C989" s="20"/>
      <c r="Z989" s="20"/>
      <c r="AG989" s="20"/>
      <c r="AQ989" s="19"/>
      <c r="AR989" s="19"/>
      <c r="AS989" s="19"/>
      <c r="AT989" s="19"/>
      <c r="AU989" s="19"/>
    </row>
    <row r="990" spans="3:47">
      <c r="C990" s="20"/>
      <c r="Z990" s="20"/>
      <c r="AG990" s="20"/>
      <c r="AQ990" s="19"/>
      <c r="AR990" s="19"/>
      <c r="AS990" s="19"/>
      <c r="AT990" s="19"/>
      <c r="AU990" s="19"/>
    </row>
    <row r="991" spans="3:47">
      <c r="C991" s="20"/>
      <c r="Z991" s="20"/>
      <c r="AG991" s="20"/>
      <c r="AQ991" s="19"/>
      <c r="AR991" s="19"/>
      <c r="AS991" s="19"/>
      <c r="AT991" s="19"/>
      <c r="AU991" s="19"/>
    </row>
    <row r="992" spans="3:47">
      <c r="C992" s="20"/>
      <c r="Z992" s="20"/>
      <c r="AG992" s="20"/>
      <c r="AQ992" s="19"/>
      <c r="AR992" s="19"/>
      <c r="AS992" s="19"/>
      <c r="AT992" s="19"/>
      <c r="AU992" s="19"/>
    </row>
    <row r="993" spans="3:47">
      <c r="C993" s="20"/>
      <c r="Z993" s="20"/>
      <c r="AG993" s="20"/>
      <c r="AQ993" s="19"/>
      <c r="AR993" s="19"/>
      <c r="AS993" s="19"/>
      <c r="AT993" s="19"/>
      <c r="AU993" s="19"/>
    </row>
    <row r="994" spans="3:47">
      <c r="C994" s="20"/>
      <c r="Z994" s="20"/>
      <c r="AG994" s="20"/>
      <c r="AQ994" s="19"/>
      <c r="AR994" s="19"/>
      <c r="AS994" s="19"/>
      <c r="AT994" s="19"/>
      <c r="AU994" s="19"/>
    </row>
    <row r="995" spans="3:47">
      <c r="C995" s="20"/>
      <c r="Z995" s="20"/>
      <c r="AG995" s="20"/>
      <c r="AQ995" s="19"/>
      <c r="AR995" s="19"/>
      <c r="AS995" s="19"/>
      <c r="AT995" s="19"/>
      <c r="AU995" s="19"/>
    </row>
    <row r="996" spans="3:47">
      <c r="C996" s="20"/>
      <c r="Z996" s="20"/>
      <c r="AG996" s="20"/>
      <c r="AQ996" s="19"/>
      <c r="AR996" s="19"/>
      <c r="AS996" s="19"/>
      <c r="AT996" s="19"/>
      <c r="AU996" s="19"/>
    </row>
    <row r="997" spans="3:47">
      <c r="C997" s="20"/>
      <c r="Z997" s="20"/>
      <c r="AG997" s="20"/>
      <c r="AQ997" s="19"/>
      <c r="AR997" s="19"/>
      <c r="AS997" s="19"/>
      <c r="AT997" s="19"/>
      <c r="AU997" s="19"/>
    </row>
    <row r="998" spans="3:47">
      <c r="C998" s="20"/>
      <c r="Z998" s="20"/>
      <c r="AG998" s="20"/>
      <c r="AQ998" s="19"/>
      <c r="AR998" s="19"/>
      <c r="AS998" s="19"/>
      <c r="AT998" s="19"/>
      <c r="AU998" s="19"/>
    </row>
    <row r="999" spans="3:47">
      <c r="C999" s="20"/>
      <c r="Z999" s="20"/>
      <c r="AG999" s="20"/>
      <c r="AQ999" s="19"/>
      <c r="AR999" s="19"/>
      <c r="AS999" s="19"/>
      <c r="AT999" s="19"/>
      <c r="AU999" s="19"/>
    </row>
    <row r="1000" spans="3:47">
      <c r="C1000" s="20"/>
      <c r="Z1000" s="20"/>
      <c r="AG1000" s="20"/>
      <c r="AQ1000" s="19"/>
      <c r="AR1000" s="19"/>
      <c r="AS1000" s="19"/>
      <c r="AT1000" s="19"/>
      <c r="AU1000" s="19"/>
    </row>
    <row r="1001" spans="3:47">
      <c r="C1001" s="20"/>
      <c r="Z1001" s="20"/>
      <c r="AG1001" s="20"/>
      <c r="AQ1001" s="19"/>
      <c r="AR1001" s="19"/>
      <c r="AS1001" s="19"/>
      <c r="AT1001" s="19"/>
      <c r="AU1001" s="19"/>
    </row>
    <row r="1002" spans="3:47">
      <c r="C1002" s="20"/>
      <c r="Z1002" s="20"/>
      <c r="AG1002" s="20"/>
      <c r="AQ1002" s="19"/>
      <c r="AR1002" s="19"/>
      <c r="AS1002" s="19"/>
      <c r="AT1002" s="19"/>
      <c r="AU1002" s="19"/>
    </row>
    <row r="1003" spans="3:47">
      <c r="C1003" s="20"/>
      <c r="Z1003" s="20"/>
      <c r="AG1003" s="20"/>
      <c r="AQ1003" s="19"/>
      <c r="AR1003" s="19"/>
      <c r="AS1003" s="19"/>
      <c r="AT1003" s="19"/>
      <c r="AU1003" s="19"/>
    </row>
    <row r="1004" spans="3:47">
      <c r="C1004" s="20"/>
      <c r="Z1004" s="20"/>
      <c r="AG1004" s="20"/>
      <c r="AQ1004" s="19"/>
      <c r="AR1004" s="19"/>
      <c r="AS1004" s="19"/>
      <c r="AT1004" s="19"/>
      <c r="AU1004" s="19"/>
    </row>
    <row r="1005" spans="3:47">
      <c r="C1005" s="20"/>
      <c r="Z1005" s="20"/>
      <c r="AG1005" s="20"/>
      <c r="AQ1005" s="19"/>
      <c r="AR1005" s="19"/>
      <c r="AS1005" s="19"/>
      <c r="AT1005" s="19"/>
      <c r="AU1005" s="19"/>
    </row>
    <row r="1006" spans="3:47">
      <c r="C1006" s="20"/>
      <c r="Z1006" s="20"/>
      <c r="AG1006" s="20"/>
      <c r="AQ1006" s="19"/>
      <c r="AR1006" s="19"/>
      <c r="AS1006" s="19"/>
      <c r="AT1006" s="19"/>
      <c r="AU1006" s="19"/>
    </row>
    <row r="1007" spans="3:47">
      <c r="C1007" s="20"/>
      <c r="Z1007" s="20"/>
      <c r="AG1007" s="20"/>
      <c r="AQ1007" s="19"/>
      <c r="AR1007" s="19"/>
      <c r="AS1007" s="19"/>
      <c r="AT1007" s="19"/>
      <c r="AU1007" s="19"/>
    </row>
    <row r="1008" spans="3:47">
      <c r="C1008" s="20"/>
      <c r="Z1008" s="20"/>
      <c r="AG1008" s="20"/>
      <c r="AQ1008" s="19"/>
      <c r="AR1008" s="19"/>
      <c r="AS1008" s="19"/>
      <c r="AT1008" s="19"/>
      <c r="AU1008" s="19"/>
    </row>
    <row r="1009" spans="3:47">
      <c r="C1009" s="20"/>
      <c r="Z1009" s="20"/>
      <c r="AG1009" s="20"/>
      <c r="AQ1009" s="19"/>
      <c r="AR1009" s="19"/>
      <c r="AS1009" s="19"/>
      <c r="AT1009" s="19"/>
      <c r="AU1009" s="19"/>
    </row>
    <row r="1010" spans="3:47">
      <c r="C1010" s="20"/>
      <c r="Z1010" s="20"/>
      <c r="AG1010" s="20"/>
      <c r="AQ1010" s="19"/>
      <c r="AR1010" s="19"/>
      <c r="AS1010" s="19"/>
      <c r="AT1010" s="19"/>
      <c r="AU1010" s="19"/>
    </row>
    <row r="1011" spans="3:47">
      <c r="C1011" s="20"/>
      <c r="Z1011" s="20"/>
      <c r="AG1011" s="20"/>
      <c r="AQ1011" s="19"/>
      <c r="AR1011" s="19"/>
      <c r="AS1011" s="19"/>
      <c r="AT1011" s="19"/>
      <c r="AU1011" s="19"/>
    </row>
    <row r="1012" spans="3:47">
      <c r="C1012" s="20"/>
      <c r="Z1012" s="20"/>
      <c r="AG1012" s="20"/>
      <c r="AQ1012" s="19"/>
      <c r="AR1012" s="19"/>
      <c r="AS1012" s="19"/>
      <c r="AT1012" s="19"/>
      <c r="AU1012" s="19"/>
    </row>
    <row r="1013" spans="3:47">
      <c r="C1013" s="20"/>
      <c r="Z1013" s="20"/>
      <c r="AG1013" s="20"/>
      <c r="AQ1013" s="19"/>
      <c r="AR1013" s="19"/>
      <c r="AS1013" s="19"/>
      <c r="AT1013" s="19"/>
      <c r="AU1013" s="19"/>
    </row>
    <row r="1014" spans="3:47">
      <c r="C1014" s="20"/>
      <c r="Z1014" s="20"/>
      <c r="AG1014" s="20"/>
      <c r="AQ1014" s="19"/>
      <c r="AR1014" s="19"/>
      <c r="AS1014" s="19"/>
      <c r="AT1014" s="19"/>
      <c r="AU1014" s="19"/>
    </row>
    <row r="1015" spans="3:47">
      <c r="C1015" s="20"/>
      <c r="Z1015" s="20"/>
      <c r="AG1015" s="20"/>
      <c r="AQ1015" s="19"/>
      <c r="AR1015" s="19"/>
      <c r="AS1015" s="19"/>
      <c r="AT1015" s="19"/>
      <c r="AU1015" s="19"/>
    </row>
    <row r="1016" spans="3:47">
      <c r="C1016" s="20"/>
      <c r="Z1016" s="20"/>
      <c r="AG1016" s="20"/>
      <c r="AQ1016" s="19"/>
      <c r="AR1016" s="19"/>
      <c r="AS1016" s="19"/>
      <c r="AT1016" s="19"/>
      <c r="AU1016" s="19"/>
    </row>
    <row r="1017" spans="3:47">
      <c r="C1017" s="20"/>
      <c r="Z1017" s="20"/>
      <c r="AG1017" s="20"/>
      <c r="AQ1017" s="19"/>
      <c r="AR1017" s="19"/>
      <c r="AS1017" s="19"/>
      <c r="AT1017" s="19"/>
      <c r="AU1017" s="19"/>
    </row>
    <row r="1018" spans="3:47">
      <c r="C1018" s="20"/>
      <c r="Z1018" s="20"/>
      <c r="AG1018" s="20"/>
      <c r="AQ1018" s="19"/>
      <c r="AR1018" s="19"/>
      <c r="AS1018" s="19"/>
      <c r="AT1018" s="19"/>
      <c r="AU1018" s="19"/>
    </row>
    <row r="1019" spans="3:47">
      <c r="C1019" s="20"/>
      <c r="Z1019" s="20"/>
      <c r="AG1019" s="20"/>
      <c r="AQ1019" s="19"/>
      <c r="AR1019" s="19"/>
      <c r="AS1019" s="19"/>
      <c r="AT1019" s="19"/>
      <c r="AU1019" s="19"/>
    </row>
    <row r="1020" spans="3:47">
      <c r="C1020" s="20"/>
      <c r="Z1020" s="20"/>
      <c r="AG1020" s="20"/>
      <c r="AQ1020" s="19"/>
      <c r="AR1020" s="19"/>
      <c r="AS1020" s="19"/>
      <c r="AT1020" s="19"/>
      <c r="AU1020" s="19"/>
    </row>
    <row r="1021" spans="3:47">
      <c r="C1021" s="20"/>
      <c r="Z1021" s="20"/>
      <c r="AG1021" s="20"/>
      <c r="AQ1021" s="19"/>
      <c r="AR1021" s="19"/>
      <c r="AS1021" s="19"/>
      <c r="AT1021" s="19"/>
      <c r="AU1021" s="19"/>
    </row>
    <row r="1022" spans="3:47">
      <c r="C1022" s="20"/>
      <c r="Z1022" s="20"/>
      <c r="AG1022" s="20"/>
      <c r="AQ1022" s="19"/>
      <c r="AR1022" s="19"/>
      <c r="AS1022" s="19"/>
      <c r="AT1022" s="19"/>
      <c r="AU1022" s="19"/>
    </row>
    <row r="1023" spans="3:47">
      <c r="C1023" s="20"/>
      <c r="Z1023" s="20"/>
      <c r="AG1023" s="20"/>
      <c r="AQ1023" s="19"/>
      <c r="AR1023" s="19"/>
      <c r="AS1023" s="19"/>
      <c r="AT1023" s="19"/>
      <c r="AU1023" s="19"/>
    </row>
    <row r="1024" spans="3:47">
      <c r="C1024" s="20"/>
      <c r="Z1024" s="20"/>
      <c r="AG1024" s="20"/>
      <c r="AQ1024" s="19"/>
      <c r="AR1024" s="19"/>
      <c r="AS1024" s="19"/>
      <c r="AT1024" s="19"/>
      <c r="AU1024" s="19"/>
    </row>
    <row r="1025" spans="3:47">
      <c r="C1025" s="20"/>
      <c r="Z1025" s="20"/>
      <c r="AG1025" s="20"/>
      <c r="AQ1025" s="19"/>
      <c r="AR1025" s="19"/>
      <c r="AS1025" s="19"/>
      <c r="AT1025" s="19"/>
      <c r="AU1025" s="19"/>
    </row>
    <row r="1026" spans="3:47">
      <c r="C1026" s="20"/>
      <c r="Z1026" s="20"/>
      <c r="AG1026" s="20"/>
      <c r="AQ1026" s="19"/>
      <c r="AR1026" s="19"/>
      <c r="AS1026" s="19"/>
      <c r="AT1026" s="19"/>
      <c r="AU1026" s="19"/>
    </row>
    <row r="1027" spans="3:47">
      <c r="C1027" s="20"/>
      <c r="Z1027" s="20"/>
      <c r="AG1027" s="20"/>
      <c r="AQ1027" s="19"/>
      <c r="AR1027" s="19"/>
      <c r="AS1027" s="19"/>
      <c r="AT1027" s="19"/>
      <c r="AU1027" s="19"/>
    </row>
    <row r="1028" spans="3:47">
      <c r="C1028" s="20"/>
      <c r="Z1028" s="20"/>
      <c r="AG1028" s="20"/>
      <c r="AQ1028" s="19"/>
      <c r="AR1028" s="19"/>
      <c r="AS1028" s="19"/>
      <c r="AT1028" s="19"/>
      <c r="AU1028" s="19"/>
    </row>
    <row r="1029" spans="3:47">
      <c r="C1029" s="20"/>
      <c r="Z1029" s="20"/>
      <c r="AG1029" s="20"/>
      <c r="AQ1029" s="19"/>
      <c r="AR1029" s="19"/>
      <c r="AS1029" s="19"/>
      <c r="AT1029" s="19"/>
      <c r="AU1029" s="19"/>
    </row>
    <row r="1030" spans="3:47">
      <c r="C1030" s="20"/>
      <c r="Z1030" s="20"/>
      <c r="AG1030" s="20"/>
      <c r="AQ1030" s="19"/>
      <c r="AR1030" s="19"/>
      <c r="AS1030" s="19"/>
      <c r="AT1030" s="19"/>
      <c r="AU1030" s="19"/>
    </row>
    <row r="1031" spans="3:47">
      <c r="C1031" s="20"/>
      <c r="Z1031" s="20"/>
      <c r="AG1031" s="20"/>
      <c r="AQ1031" s="19"/>
      <c r="AR1031" s="19"/>
      <c r="AS1031" s="19"/>
      <c r="AT1031" s="19"/>
      <c r="AU1031" s="19"/>
    </row>
    <row r="1032" spans="3:47">
      <c r="C1032" s="20"/>
      <c r="Z1032" s="20"/>
      <c r="AG1032" s="20"/>
      <c r="AQ1032" s="19"/>
      <c r="AR1032" s="19"/>
      <c r="AS1032" s="19"/>
      <c r="AT1032" s="19"/>
      <c r="AU1032" s="19"/>
    </row>
    <row r="1033" spans="3:47">
      <c r="C1033" s="20"/>
      <c r="Z1033" s="20"/>
      <c r="AG1033" s="20"/>
      <c r="AQ1033" s="19"/>
      <c r="AR1033" s="19"/>
      <c r="AS1033" s="19"/>
      <c r="AT1033" s="19"/>
      <c r="AU1033" s="19"/>
    </row>
    <row r="1034" spans="3:47">
      <c r="C1034" s="20"/>
      <c r="Z1034" s="20"/>
      <c r="AG1034" s="20"/>
      <c r="AQ1034" s="19"/>
      <c r="AR1034" s="19"/>
      <c r="AS1034" s="19"/>
      <c r="AT1034" s="19"/>
      <c r="AU1034" s="19"/>
    </row>
    <row r="1035" spans="3:47">
      <c r="C1035" s="20"/>
      <c r="Z1035" s="20"/>
      <c r="AG1035" s="20"/>
      <c r="AQ1035" s="19"/>
      <c r="AR1035" s="19"/>
      <c r="AS1035" s="19"/>
      <c r="AT1035" s="19"/>
      <c r="AU1035" s="19"/>
    </row>
    <row r="1036" spans="3:47">
      <c r="C1036" s="20"/>
      <c r="Z1036" s="20"/>
      <c r="AG1036" s="20"/>
      <c r="AQ1036" s="19"/>
      <c r="AR1036" s="19"/>
      <c r="AS1036" s="19"/>
      <c r="AT1036" s="19"/>
      <c r="AU1036" s="19"/>
    </row>
    <row r="1037" spans="3:47">
      <c r="C1037" s="20"/>
      <c r="Z1037" s="20"/>
      <c r="AG1037" s="20"/>
      <c r="AQ1037" s="19"/>
      <c r="AR1037" s="19"/>
      <c r="AS1037" s="19"/>
      <c r="AT1037" s="19"/>
      <c r="AU1037" s="19"/>
    </row>
    <row r="1038" spans="3:47">
      <c r="C1038" s="20"/>
      <c r="Z1038" s="20"/>
      <c r="AG1038" s="20"/>
      <c r="AQ1038" s="19"/>
      <c r="AR1038" s="19"/>
      <c r="AS1038" s="19"/>
      <c r="AT1038" s="19"/>
      <c r="AU1038" s="19"/>
    </row>
    <row r="1039" spans="3:47">
      <c r="C1039" s="20"/>
      <c r="Z1039" s="20"/>
      <c r="AG1039" s="20"/>
      <c r="AQ1039" s="19"/>
      <c r="AR1039" s="19"/>
      <c r="AS1039" s="19"/>
      <c r="AT1039" s="19"/>
      <c r="AU1039" s="19"/>
    </row>
    <row r="1040" spans="3:47">
      <c r="C1040" s="20"/>
      <c r="Z1040" s="20"/>
      <c r="AG1040" s="20"/>
      <c r="AQ1040" s="19"/>
      <c r="AR1040" s="19"/>
      <c r="AS1040" s="19"/>
      <c r="AT1040" s="19"/>
      <c r="AU1040" s="19"/>
    </row>
    <row r="1041" spans="3:47">
      <c r="C1041" s="20"/>
      <c r="Z1041" s="20"/>
      <c r="AG1041" s="20"/>
      <c r="AQ1041" s="19"/>
      <c r="AR1041" s="19"/>
      <c r="AS1041" s="19"/>
      <c r="AT1041" s="19"/>
      <c r="AU1041" s="19"/>
    </row>
    <row r="1042" spans="3:47">
      <c r="C1042" s="20"/>
      <c r="Z1042" s="20"/>
      <c r="AG1042" s="20"/>
      <c r="AQ1042" s="19"/>
      <c r="AR1042" s="19"/>
      <c r="AS1042" s="19"/>
      <c r="AT1042" s="19"/>
      <c r="AU1042" s="19"/>
    </row>
    <row r="1043" spans="3:47">
      <c r="C1043" s="20"/>
      <c r="Z1043" s="20"/>
      <c r="AG1043" s="20"/>
      <c r="AQ1043" s="19"/>
      <c r="AR1043" s="19"/>
      <c r="AS1043" s="19"/>
      <c r="AT1043" s="19"/>
      <c r="AU1043" s="19"/>
    </row>
    <row r="1044" spans="3:47">
      <c r="C1044" s="20"/>
      <c r="Z1044" s="20"/>
      <c r="AG1044" s="20"/>
      <c r="AQ1044" s="19"/>
      <c r="AR1044" s="19"/>
      <c r="AS1044" s="19"/>
      <c r="AT1044" s="19"/>
      <c r="AU1044" s="19"/>
    </row>
    <row r="1045" spans="3:47">
      <c r="C1045" s="20"/>
      <c r="Z1045" s="20"/>
      <c r="AG1045" s="20"/>
      <c r="AQ1045" s="19"/>
      <c r="AR1045" s="19"/>
      <c r="AS1045" s="19"/>
      <c r="AT1045" s="19"/>
      <c r="AU1045" s="19"/>
    </row>
    <row r="1046" spans="3:47">
      <c r="C1046" s="20"/>
      <c r="Z1046" s="20"/>
      <c r="AG1046" s="20"/>
      <c r="AQ1046" s="19"/>
      <c r="AR1046" s="19"/>
      <c r="AS1046" s="19"/>
      <c r="AT1046" s="19"/>
      <c r="AU1046" s="19"/>
    </row>
    <row r="1047" spans="3:47">
      <c r="C1047" s="20"/>
      <c r="Z1047" s="20"/>
      <c r="AG1047" s="20"/>
      <c r="AQ1047" s="19"/>
      <c r="AR1047" s="19"/>
      <c r="AS1047" s="19"/>
      <c r="AT1047" s="19"/>
      <c r="AU1047" s="19"/>
    </row>
    <row r="1048" spans="3:47">
      <c r="C1048" s="20"/>
      <c r="Z1048" s="20"/>
      <c r="AG1048" s="20"/>
      <c r="AQ1048" s="19"/>
      <c r="AR1048" s="19"/>
      <c r="AS1048" s="19"/>
      <c r="AT1048" s="19"/>
      <c r="AU1048" s="19"/>
    </row>
    <row r="1049" spans="3:47">
      <c r="C1049" s="20"/>
      <c r="Z1049" s="20"/>
      <c r="AG1049" s="20"/>
      <c r="AQ1049" s="19"/>
      <c r="AR1049" s="19"/>
      <c r="AS1049" s="19"/>
      <c r="AT1049" s="19"/>
      <c r="AU1049" s="19"/>
    </row>
    <row r="1050" spans="3:47">
      <c r="C1050" s="20"/>
      <c r="Z1050" s="20"/>
      <c r="AG1050" s="20"/>
      <c r="AQ1050" s="19"/>
      <c r="AR1050" s="19"/>
      <c r="AS1050" s="19"/>
      <c r="AT1050" s="19"/>
      <c r="AU1050" s="19"/>
    </row>
    <row r="1051" spans="3:47">
      <c r="C1051" s="20"/>
      <c r="Z1051" s="20"/>
      <c r="AG1051" s="20"/>
      <c r="AQ1051" s="19"/>
      <c r="AR1051" s="19"/>
      <c r="AS1051" s="19"/>
      <c r="AT1051" s="19"/>
      <c r="AU1051" s="19"/>
    </row>
    <row r="1052" spans="3:47">
      <c r="C1052" s="20"/>
      <c r="Z1052" s="20"/>
      <c r="AG1052" s="20"/>
      <c r="AQ1052" s="19"/>
      <c r="AR1052" s="19"/>
      <c r="AS1052" s="19"/>
      <c r="AT1052" s="19"/>
      <c r="AU1052" s="19"/>
    </row>
    <row r="1053" spans="3:47">
      <c r="C1053" s="20"/>
      <c r="Z1053" s="20"/>
      <c r="AG1053" s="20"/>
      <c r="AQ1053" s="19"/>
      <c r="AR1053" s="19"/>
      <c r="AS1053" s="19"/>
      <c r="AT1053" s="19"/>
      <c r="AU1053" s="19"/>
    </row>
    <row r="1054" spans="3:47">
      <c r="C1054" s="20"/>
      <c r="Z1054" s="20"/>
      <c r="AG1054" s="20"/>
      <c r="AQ1054" s="19"/>
      <c r="AR1054" s="19"/>
      <c r="AS1054" s="19"/>
      <c r="AT1054" s="19"/>
      <c r="AU1054" s="19"/>
    </row>
    <row r="1055" spans="3:47">
      <c r="C1055" s="20"/>
      <c r="Z1055" s="20"/>
      <c r="AG1055" s="20"/>
      <c r="AQ1055" s="19"/>
      <c r="AR1055" s="19"/>
      <c r="AS1055" s="19"/>
      <c r="AT1055" s="19"/>
      <c r="AU1055" s="19"/>
    </row>
    <row r="1056" spans="3:47">
      <c r="C1056" s="20"/>
      <c r="Z1056" s="20"/>
      <c r="AG1056" s="20"/>
      <c r="AQ1056" s="19"/>
      <c r="AR1056" s="19"/>
      <c r="AS1056" s="19"/>
      <c r="AT1056" s="19"/>
      <c r="AU1056" s="19"/>
    </row>
    <row r="1057" spans="3:47">
      <c r="C1057" s="20"/>
      <c r="Z1057" s="20"/>
      <c r="AG1057" s="20"/>
      <c r="AQ1057" s="19"/>
      <c r="AR1057" s="19"/>
      <c r="AS1057" s="19"/>
      <c r="AT1057" s="19"/>
      <c r="AU1057" s="19"/>
    </row>
    <row r="1058" spans="3:47">
      <c r="C1058" s="20"/>
      <c r="Z1058" s="20"/>
      <c r="AG1058" s="20"/>
      <c r="AQ1058" s="19"/>
      <c r="AR1058" s="19"/>
      <c r="AS1058" s="19"/>
      <c r="AT1058" s="19"/>
      <c r="AU1058" s="19"/>
    </row>
    <row r="1059" spans="3:47">
      <c r="C1059" s="20"/>
      <c r="Z1059" s="20"/>
      <c r="AG1059" s="20"/>
      <c r="AQ1059" s="19"/>
      <c r="AR1059" s="19"/>
      <c r="AS1059" s="19"/>
      <c r="AT1059" s="19"/>
      <c r="AU1059" s="19"/>
    </row>
    <row r="1060" spans="3:47">
      <c r="C1060" s="20"/>
      <c r="Z1060" s="20"/>
      <c r="AG1060" s="20"/>
      <c r="AQ1060" s="19"/>
      <c r="AR1060" s="19"/>
      <c r="AS1060" s="19"/>
      <c r="AT1060" s="19"/>
      <c r="AU1060" s="19"/>
    </row>
    <row r="1061" spans="3:47">
      <c r="C1061" s="20"/>
      <c r="Z1061" s="20"/>
      <c r="AG1061" s="20"/>
      <c r="AQ1061" s="19"/>
      <c r="AR1061" s="19"/>
      <c r="AS1061" s="19"/>
      <c r="AT1061" s="19"/>
      <c r="AU1061" s="19"/>
    </row>
    <row r="1062" spans="3:47">
      <c r="C1062" s="20"/>
      <c r="Z1062" s="20"/>
      <c r="AG1062" s="20"/>
      <c r="AQ1062" s="19"/>
      <c r="AR1062" s="19"/>
      <c r="AS1062" s="19"/>
      <c r="AT1062" s="19"/>
      <c r="AU1062" s="19"/>
    </row>
    <row r="1063" spans="3:47">
      <c r="C1063" s="20"/>
      <c r="Z1063" s="20"/>
      <c r="AG1063" s="20"/>
      <c r="AQ1063" s="19"/>
      <c r="AR1063" s="19"/>
      <c r="AS1063" s="19"/>
      <c r="AT1063" s="19"/>
      <c r="AU1063" s="19"/>
    </row>
    <row r="1064" spans="3:47">
      <c r="C1064" s="20"/>
      <c r="Z1064" s="20"/>
      <c r="AG1064" s="20"/>
      <c r="AQ1064" s="19"/>
      <c r="AR1064" s="19"/>
      <c r="AS1064" s="19"/>
      <c r="AT1064" s="19"/>
      <c r="AU1064" s="19"/>
    </row>
    <row r="1065" spans="3:47">
      <c r="C1065" s="20"/>
      <c r="Z1065" s="20"/>
      <c r="AG1065" s="20"/>
      <c r="AQ1065" s="19"/>
      <c r="AR1065" s="19"/>
      <c r="AS1065" s="19"/>
      <c r="AT1065" s="19"/>
      <c r="AU1065" s="19"/>
    </row>
    <row r="1066" spans="3:47">
      <c r="C1066" s="20"/>
      <c r="Z1066" s="20"/>
      <c r="AG1066" s="20"/>
      <c r="AQ1066" s="19"/>
      <c r="AR1066" s="19"/>
      <c r="AS1066" s="19"/>
      <c r="AT1066" s="19"/>
      <c r="AU1066" s="19"/>
    </row>
    <row r="1067" spans="3:47">
      <c r="C1067" s="20"/>
      <c r="Z1067" s="20"/>
      <c r="AG1067" s="20"/>
      <c r="AQ1067" s="19"/>
      <c r="AR1067" s="19"/>
      <c r="AS1067" s="19"/>
      <c r="AT1067" s="19"/>
      <c r="AU1067" s="19"/>
    </row>
    <row r="1068" spans="3:47">
      <c r="C1068" s="20"/>
      <c r="Z1068" s="20"/>
      <c r="AG1068" s="20"/>
      <c r="AQ1068" s="19"/>
      <c r="AR1068" s="19"/>
      <c r="AS1068" s="19"/>
      <c r="AT1068" s="19"/>
      <c r="AU1068" s="19"/>
    </row>
    <row r="1069" spans="3:47">
      <c r="C1069" s="20"/>
      <c r="Z1069" s="20"/>
      <c r="AG1069" s="20"/>
      <c r="AQ1069" s="19"/>
      <c r="AR1069" s="19"/>
      <c r="AS1069" s="19"/>
      <c r="AT1069" s="19"/>
      <c r="AU1069" s="19"/>
    </row>
    <row r="1070" spans="3:47">
      <c r="C1070" s="20"/>
      <c r="Z1070" s="20"/>
      <c r="AG1070" s="20"/>
      <c r="AQ1070" s="19"/>
      <c r="AR1070" s="19"/>
      <c r="AS1070" s="19"/>
      <c r="AT1070" s="19"/>
      <c r="AU1070" s="19"/>
    </row>
    <row r="1071" spans="3:47">
      <c r="C1071" s="20"/>
      <c r="Z1071" s="20"/>
      <c r="AG1071" s="20"/>
      <c r="AQ1071" s="19"/>
      <c r="AR1071" s="19"/>
      <c r="AS1071" s="19"/>
      <c r="AT1071" s="19"/>
      <c r="AU1071" s="19"/>
    </row>
    <row r="1072" spans="3:47">
      <c r="C1072" s="20"/>
      <c r="Z1072" s="20"/>
      <c r="AG1072" s="20"/>
      <c r="AQ1072" s="19"/>
      <c r="AR1072" s="19"/>
      <c r="AS1072" s="19"/>
      <c r="AT1072" s="19"/>
      <c r="AU1072" s="19"/>
    </row>
    <row r="1073" spans="3:47">
      <c r="C1073" s="20"/>
      <c r="Z1073" s="20"/>
      <c r="AG1073" s="20"/>
      <c r="AQ1073" s="19"/>
      <c r="AR1073" s="19"/>
      <c r="AS1073" s="19"/>
      <c r="AT1073" s="19"/>
      <c r="AU1073" s="19"/>
    </row>
    <row r="1074" spans="3:47">
      <c r="C1074" s="20"/>
      <c r="Z1074" s="20"/>
      <c r="AG1074" s="20"/>
      <c r="AQ1074" s="19"/>
      <c r="AR1074" s="19"/>
      <c r="AS1074" s="19"/>
      <c r="AT1074" s="19"/>
      <c r="AU1074" s="19"/>
    </row>
    <row r="1075" spans="3:47">
      <c r="C1075" s="20"/>
      <c r="Z1075" s="20"/>
      <c r="AG1075" s="20"/>
      <c r="AQ1075" s="19"/>
      <c r="AR1075" s="19"/>
      <c r="AS1075" s="19"/>
      <c r="AT1075" s="19"/>
      <c r="AU1075" s="19"/>
    </row>
    <row r="1076" spans="3:47">
      <c r="C1076" s="20"/>
      <c r="Z1076" s="20"/>
      <c r="AG1076" s="20"/>
      <c r="AQ1076" s="19"/>
      <c r="AR1076" s="19"/>
      <c r="AS1076" s="19"/>
      <c r="AT1076" s="19"/>
      <c r="AU1076" s="19"/>
    </row>
    <row r="1077" spans="3:47">
      <c r="C1077" s="20"/>
      <c r="Z1077" s="20"/>
      <c r="AG1077" s="20"/>
      <c r="AQ1077" s="19"/>
      <c r="AR1077" s="19"/>
      <c r="AS1077" s="19"/>
      <c r="AT1077" s="19"/>
      <c r="AU1077" s="19"/>
    </row>
    <row r="1078" spans="3:47">
      <c r="C1078" s="20"/>
      <c r="Z1078" s="20"/>
      <c r="AG1078" s="20"/>
      <c r="AQ1078" s="19"/>
      <c r="AR1078" s="19"/>
      <c r="AS1078" s="19"/>
      <c r="AT1078" s="19"/>
      <c r="AU1078" s="19"/>
    </row>
    <row r="1079" spans="3:47">
      <c r="C1079" s="20"/>
      <c r="Z1079" s="20"/>
      <c r="AG1079" s="20"/>
      <c r="AQ1079" s="19"/>
      <c r="AR1079" s="19"/>
      <c r="AS1079" s="19"/>
      <c r="AT1079" s="19"/>
      <c r="AU1079" s="19"/>
    </row>
    <row r="1080" spans="3:47">
      <c r="C1080" s="20"/>
      <c r="Z1080" s="20"/>
      <c r="AG1080" s="20"/>
      <c r="AQ1080" s="19"/>
      <c r="AR1080" s="19"/>
      <c r="AS1080" s="19"/>
      <c r="AT1080" s="19"/>
      <c r="AU1080" s="19"/>
    </row>
    <row r="1081" spans="3:47">
      <c r="C1081" s="20"/>
      <c r="Z1081" s="20"/>
      <c r="AG1081" s="20"/>
      <c r="AQ1081" s="19"/>
      <c r="AR1081" s="19"/>
      <c r="AS1081" s="19"/>
      <c r="AT1081" s="19"/>
      <c r="AU1081" s="19"/>
    </row>
    <row r="1082" spans="3:47">
      <c r="C1082" s="20"/>
      <c r="Z1082" s="20"/>
      <c r="AG1082" s="20"/>
      <c r="AQ1082" s="19"/>
      <c r="AR1082" s="19"/>
      <c r="AS1082" s="19"/>
      <c r="AT1082" s="19"/>
      <c r="AU1082" s="19"/>
    </row>
    <row r="1083" spans="3:47">
      <c r="C1083" s="20"/>
      <c r="Z1083" s="20"/>
      <c r="AG1083" s="20"/>
      <c r="AQ1083" s="19"/>
      <c r="AR1083" s="19"/>
      <c r="AS1083" s="19"/>
      <c r="AT1083" s="19"/>
      <c r="AU1083" s="19"/>
    </row>
    <row r="1084" spans="3:47">
      <c r="C1084" s="20"/>
      <c r="Z1084" s="20"/>
      <c r="AG1084" s="20"/>
      <c r="AQ1084" s="19"/>
      <c r="AR1084" s="19"/>
      <c r="AS1084" s="19"/>
      <c r="AT1084" s="19"/>
      <c r="AU1084" s="19"/>
    </row>
    <row r="1085" spans="3:47">
      <c r="C1085" s="20"/>
      <c r="Z1085" s="20"/>
      <c r="AG1085" s="20"/>
      <c r="AQ1085" s="19"/>
      <c r="AR1085" s="19"/>
      <c r="AS1085" s="19"/>
      <c r="AT1085" s="19"/>
      <c r="AU1085" s="19"/>
    </row>
    <row r="1086" spans="3:47">
      <c r="C1086" s="20"/>
      <c r="Z1086" s="20"/>
      <c r="AG1086" s="20"/>
      <c r="AQ1086" s="19"/>
      <c r="AR1086" s="19"/>
      <c r="AS1086" s="19"/>
      <c r="AT1086" s="19"/>
      <c r="AU1086" s="19"/>
    </row>
    <row r="1087" spans="3:47">
      <c r="C1087" s="20"/>
      <c r="Z1087" s="20"/>
      <c r="AG1087" s="20"/>
      <c r="AQ1087" s="19"/>
      <c r="AR1087" s="19"/>
      <c r="AS1087" s="19"/>
      <c r="AT1087" s="19"/>
      <c r="AU1087" s="19"/>
    </row>
    <row r="1088" spans="3:47">
      <c r="C1088" s="20"/>
      <c r="Z1088" s="20"/>
      <c r="AG1088" s="20"/>
      <c r="AQ1088" s="19"/>
      <c r="AR1088" s="19"/>
      <c r="AS1088" s="19"/>
      <c r="AT1088" s="19"/>
      <c r="AU1088" s="19"/>
    </row>
    <row r="1089" spans="3:47">
      <c r="C1089" s="20"/>
      <c r="Z1089" s="20"/>
      <c r="AG1089" s="20"/>
      <c r="AQ1089" s="19"/>
      <c r="AR1089" s="19"/>
      <c r="AS1089" s="19"/>
      <c r="AT1089" s="19"/>
      <c r="AU1089" s="19"/>
    </row>
    <row r="1090" spans="3:47">
      <c r="C1090" s="20"/>
      <c r="Z1090" s="20"/>
      <c r="AG1090" s="20"/>
      <c r="AQ1090" s="19"/>
      <c r="AR1090" s="19"/>
      <c r="AS1090" s="19"/>
      <c r="AT1090" s="19"/>
      <c r="AU1090" s="19"/>
    </row>
    <row r="1091" spans="3:47">
      <c r="C1091" s="20"/>
      <c r="Z1091" s="20"/>
      <c r="AG1091" s="20"/>
      <c r="AQ1091" s="19"/>
      <c r="AR1091" s="19"/>
      <c r="AS1091" s="19"/>
      <c r="AT1091" s="19"/>
      <c r="AU1091" s="19"/>
    </row>
    <row r="1092" spans="3:47">
      <c r="C1092" s="20"/>
      <c r="Z1092" s="20"/>
      <c r="AG1092" s="20"/>
      <c r="AQ1092" s="19"/>
      <c r="AR1092" s="19"/>
      <c r="AS1092" s="19"/>
      <c r="AT1092" s="19"/>
      <c r="AU1092" s="19"/>
    </row>
    <row r="1093" spans="3:47">
      <c r="C1093" s="20"/>
      <c r="Z1093" s="20"/>
      <c r="AG1093" s="20"/>
      <c r="AQ1093" s="19"/>
      <c r="AR1093" s="19"/>
      <c r="AS1093" s="19"/>
      <c r="AT1093" s="19"/>
      <c r="AU1093" s="19"/>
    </row>
    <row r="1094" spans="3:47">
      <c r="C1094" s="20"/>
      <c r="Z1094" s="20"/>
      <c r="AG1094" s="20"/>
      <c r="AQ1094" s="19"/>
      <c r="AR1094" s="19"/>
      <c r="AS1094" s="19"/>
      <c r="AT1094" s="19"/>
      <c r="AU1094" s="19"/>
    </row>
    <row r="1095" spans="3:47">
      <c r="C1095" s="20"/>
      <c r="Z1095" s="20"/>
      <c r="AG1095" s="20"/>
      <c r="AQ1095" s="19"/>
      <c r="AR1095" s="19"/>
      <c r="AS1095" s="19"/>
      <c r="AT1095" s="19"/>
      <c r="AU1095" s="19"/>
    </row>
    <row r="1096" spans="3:47">
      <c r="C1096" s="20"/>
      <c r="Z1096" s="20"/>
      <c r="AG1096" s="20"/>
      <c r="AQ1096" s="19"/>
      <c r="AR1096" s="19"/>
      <c r="AS1096" s="19"/>
      <c r="AT1096" s="19"/>
      <c r="AU1096" s="19"/>
    </row>
    <row r="1097" spans="3:47">
      <c r="C1097" s="20"/>
      <c r="Z1097" s="20"/>
      <c r="AG1097" s="20"/>
      <c r="AQ1097" s="19"/>
      <c r="AR1097" s="19"/>
      <c r="AS1097" s="19"/>
      <c r="AT1097" s="19"/>
      <c r="AU1097" s="19"/>
    </row>
    <row r="1098" spans="3:47">
      <c r="C1098" s="20"/>
      <c r="Z1098" s="20"/>
      <c r="AG1098" s="20"/>
      <c r="AQ1098" s="19"/>
      <c r="AR1098" s="19"/>
      <c r="AS1098" s="19"/>
      <c r="AT1098" s="19"/>
      <c r="AU1098" s="19"/>
    </row>
    <row r="1099" spans="3:47">
      <c r="C1099" s="20"/>
      <c r="Z1099" s="20"/>
      <c r="AG1099" s="20"/>
      <c r="AQ1099" s="19"/>
      <c r="AR1099" s="19"/>
      <c r="AS1099" s="19"/>
      <c r="AT1099" s="19"/>
      <c r="AU1099" s="19"/>
    </row>
    <row r="1100" spans="3:47">
      <c r="C1100" s="20"/>
      <c r="Z1100" s="20"/>
      <c r="AG1100" s="20"/>
      <c r="AQ1100" s="19"/>
      <c r="AR1100" s="19"/>
      <c r="AS1100" s="19"/>
      <c r="AT1100" s="19"/>
      <c r="AU1100" s="19"/>
    </row>
    <row r="1101" spans="3:47">
      <c r="C1101" s="20"/>
      <c r="Z1101" s="20"/>
      <c r="AG1101" s="20"/>
      <c r="AQ1101" s="19"/>
      <c r="AR1101" s="19"/>
      <c r="AS1101" s="19"/>
      <c r="AT1101" s="19"/>
      <c r="AU1101" s="19"/>
    </row>
    <row r="1102" spans="3:47">
      <c r="C1102" s="20"/>
      <c r="Z1102" s="20"/>
      <c r="AG1102" s="20"/>
      <c r="AQ1102" s="19"/>
      <c r="AR1102" s="19"/>
      <c r="AS1102" s="19"/>
      <c r="AT1102" s="19"/>
      <c r="AU1102" s="19"/>
    </row>
    <row r="1103" spans="3:47">
      <c r="C1103" s="20"/>
      <c r="Z1103" s="20"/>
      <c r="AG1103" s="20"/>
      <c r="AQ1103" s="19"/>
      <c r="AR1103" s="19"/>
      <c r="AS1103" s="19"/>
      <c r="AT1103" s="19"/>
      <c r="AU1103" s="19"/>
    </row>
    <row r="1104" spans="3:47">
      <c r="C1104" s="20"/>
      <c r="Z1104" s="20"/>
      <c r="AG1104" s="20"/>
      <c r="AQ1104" s="19"/>
      <c r="AR1104" s="19"/>
      <c r="AS1104" s="19"/>
      <c r="AT1104" s="19"/>
      <c r="AU1104" s="19"/>
    </row>
    <row r="1105" spans="3:47">
      <c r="C1105" s="20"/>
      <c r="Z1105" s="20"/>
      <c r="AG1105" s="20"/>
      <c r="AQ1105" s="19"/>
      <c r="AR1105" s="19"/>
      <c r="AS1105" s="19"/>
      <c r="AT1105" s="19"/>
      <c r="AU1105" s="19"/>
    </row>
    <row r="1106" spans="3:47">
      <c r="C1106" s="20"/>
      <c r="Z1106" s="20"/>
      <c r="AG1106" s="20"/>
      <c r="AQ1106" s="19"/>
      <c r="AR1106" s="19"/>
      <c r="AS1106" s="19"/>
      <c r="AT1106" s="19"/>
      <c r="AU1106" s="19"/>
    </row>
    <row r="1107" spans="3:47">
      <c r="C1107" s="20"/>
      <c r="Z1107" s="20"/>
      <c r="AG1107" s="20"/>
      <c r="AQ1107" s="19"/>
      <c r="AR1107" s="19"/>
      <c r="AS1107" s="19"/>
      <c r="AT1107" s="19"/>
      <c r="AU1107" s="19"/>
    </row>
    <row r="1108" spans="3:47">
      <c r="C1108" s="20"/>
      <c r="Z1108" s="20"/>
      <c r="AG1108" s="20"/>
      <c r="AQ1108" s="19"/>
      <c r="AR1108" s="19"/>
      <c r="AS1108" s="19"/>
      <c r="AT1108" s="19"/>
      <c r="AU1108" s="19"/>
    </row>
    <row r="1109" spans="3:47">
      <c r="C1109" s="20"/>
      <c r="Z1109" s="20"/>
      <c r="AG1109" s="20"/>
      <c r="AQ1109" s="19"/>
      <c r="AR1109" s="19"/>
      <c r="AS1109" s="19"/>
      <c r="AT1109" s="19"/>
      <c r="AU1109" s="19"/>
    </row>
    <row r="1110" spans="3:47">
      <c r="C1110" s="20"/>
      <c r="Z1110" s="20"/>
      <c r="AG1110" s="20"/>
      <c r="AQ1110" s="19"/>
      <c r="AR1110" s="19"/>
      <c r="AS1110" s="19"/>
      <c r="AT1110" s="19"/>
      <c r="AU1110" s="19"/>
    </row>
    <row r="1111" spans="3:47">
      <c r="C1111" s="20"/>
      <c r="Z1111" s="20"/>
      <c r="AG1111" s="20"/>
      <c r="AQ1111" s="19"/>
      <c r="AR1111" s="19"/>
      <c r="AS1111" s="19"/>
      <c r="AT1111" s="19"/>
      <c r="AU1111" s="19"/>
    </row>
    <row r="1112" spans="3:47">
      <c r="C1112" s="20"/>
      <c r="Z1112" s="20"/>
      <c r="AG1112" s="20"/>
      <c r="AQ1112" s="19"/>
      <c r="AR1112" s="19"/>
      <c r="AS1112" s="19"/>
      <c r="AT1112" s="19"/>
      <c r="AU1112" s="19"/>
    </row>
    <row r="1113" spans="3:47">
      <c r="C1113" s="20"/>
      <c r="Z1113" s="20"/>
      <c r="AG1113" s="20"/>
      <c r="AQ1113" s="19"/>
      <c r="AR1113" s="19"/>
      <c r="AS1113" s="19"/>
      <c r="AT1113" s="19"/>
      <c r="AU1113" s="19"/>
    </row>
    <row r="1114" spans="3:47">
      <c r="C1114" s="20"/>
      <c r="Z1114" s="20"/>
      <c r="AG1114" s="20"/>
      <c r="AQ1114" s="19"/>
      <c r="AR1114" s="19"/>
      <c r="AS1114" s="19"/>
      <c r="AT1114" s="19"/>
      <c r="AU1114" s="19"/>
    </row>
    <row r="1115" spans="3:47">
      <c r="C1115" s="20"/>
      <c r="Z1115" s="20"/>
      <c r="AG1115" s="20"/>
      <c r="AQ1115" s="19"/>
      <c r="AR1115" s="19"/>
      <c r="AS1115" s="19"/>
      <c r="AT1115" s="19"/>
      <c r="AU1115" s="19"/>
    </row>
    <row r="1116" spans="3:47">
      <c r="C1116" s="20"/>
      <c r="Z1116" s="20"/>
      <c r="AG1116" s="20"/>
      <c r="AQ1116" s="19"/>
      <c r="AR1116" s="19"/>
      <c r="AS1116" s="19"/>
      <c r="AT1116" s="19"/>
      <c r="AU1116" s="19"/>
    </row>
    <row r="1117" spans="3:47">
      <c r="C1117" s="20"/>
      <c r="Z1117" s="20"/>
      <c r="AG1117" s="20"/>
      <c r="AQ1117" s="19"/>
      <c r="AR1117" s="19"/>
      <c r="AS1117" s="19"/>
      <c r="AT1117" s="19"/>
      <c r="AU1117" s="19"/>
    </row>
    <row r="1118" spans="3:47">
      <c r="C1118" s="20"/>
      <c r="Z1118" s="20"/>
      <c r="AG1118" s="20"/>
      <c r="AQ1118" s="19"/>
      <c r="AR1118" s="19"/>
      <c r="AS1118" s="19"/>
      <c r="AT1118" s="19"/>
      <c r="AU1118" s="19"/>
    </row>
    <row r="1119" spans="3:47">
      <c r="C1119" s="20"/>
      <c r="Z1119" s="20"/>
      <c r="AG1119" s="20"/>
      <c r="AQ1119" s="19"/>
      <c r="AR1119" s="19"/>
      <c r="AS1119" s="19"/>
      <c r="AT1119" s="19"/>
      <c r="AU1119" s="19"/>
    </row>
    <row r="1120" spans="3:47">
      <c r="C1120" s="20"/>
      <c r="Z1120" s="20"/>
      <c r="AG1120" s="20"/>
      <c r="AQ1120" s="19"/>
      <c r="AR1120" s="19"/>
      <c r="AS1120" s="19"/>
      <c r="AT1120" s="19"/>
      <c r="AU1120" s="19"/>
    </row>
    <row r="1121" spans="3:47">
      <c r="C1121" s="20"/>
      <c r="Z1121" s="20"/>
      <c r="AG1121" s="20"/>
      <c r="AQ1121" s="19"/>
      <c r="AR1121" s="19"/>
      <c r="AS1121" s="19"/>
      <c r="AT1121" s="19"/>
      <c r="AU1121" s="19"/>
    </row>
    <row r="1122" spans="3:47">
      <c r="C1122" s="20"/>
      <c r="Z1122" s="20"/>
      <c r="AG1122" s="20"/>
      <c r="AQ1122" s="19"/>
      <c r="AR1122" s="19"/>
      <c r="AS1122" s="19"/>
      <c r="AT1122" s="19"/>
      <c r="AU1122" s="19"/>
    </row>
    <row r="1123" spans="3:47">
      <c r="C1123" s="20"/>
      <c r="Z1123" s="20"/>
      <c r="AG1123" s="20"/>
      <c r="AQ1123" s="19"/>
      <c r="AR1123" s="19"/>
      <c r="AS1123" s="19"/>
      <c r="AT1123" s="19"/>
      <c r="AU1123" s="19"/>
    </row>
    <row r="1124" spans="3:47">
      <c r="C1124" s="20"/>
      <c r="Z1124" s="20"/>
      <c r="AG1124" s="20"/>
      <c r="AQ1124" s="19"/>
      <c r="AR1124" s="19"/>
      <c r="AS1124" s="19"/>
      <c r="AT1124" s="19"/>
      <c r="AU1124" s="19"/>
    </row>
    <row r="1125" spans="3:47">
      <c r="C1125" s="20"/>
      <c r="Z1125" s="20"/>
      <c r="AG1125" s="20"/>
      <c r="AQ1125" s="19"/>
      <c r="AR1125" s="19"/>
      <c r="AS1125" s="19"/>
      <c r="AT1125" s="19"/>
      <c r="AU1125" s="19"/>
    </row>
    <row r="1126" spans="3:47">
      <c r="C1126" s="20"/>
      <c r="Z1126" s="20"/>
      <c r="AG1126" s="20"/>
      <c r="AQ1126" s="19"/>
      <c r="AR1126" s="19"/>
      <c r="AS1126" s="19"/>
      <c r="AT1126" s="19"/>
      <c r="AU1126" s="19"/>
    </row>
    <row r="1127" spans="3:47">
      <c r="C1127" s="20"/>
      <c r="Z1127" s="20"/>
      <c r="AG1127" s="20"/>
      <c r="AQ1127" s="19"/>
      <c r="AR1127" s="19"/>
      <c r="AS1127" s="19"/>
      <c r="AT1127" s="19"/>
      <c r="AU1127" s="19"/>
    </row>
    <row r="1128" spans="3:47">
      <c r="C1128" s="20"/>
      <c r="Z1128" s="20"/>
      <c r="AG1128" s="20"/>
      <c r="AQ1128" s="19"/>
      <c r="AR1128" s="19"/>
      <c r="AS1128" s="19"/>
      <c r="AT1128" s="19"/>
      <c r="AU1128" s="19"/>
    </row>
    <row r="1129" spans="3:47">
      <c r="C1129" s="20"/>
      <c r="Z1129" s="20"/>
      <c r="AG1129" s="20"/>
      <c r="AQ1129" s="19"/>
      <c r="AR1129" s="19"/>
      <c r="AS1129" s="19"/>
      <c r="AT1129" s="19"/>
      <c r="AU1129" s="19"/>
    </row>
    <row r="1130" spans="3:47">
      <c r="C1130" s="20"/>
      <c r="Z1130" s="20"/>
      <c r="AG1130" s="20"/>
      <c r="AQ1130" s="19"/>
      <c r="AR1130" s="19"/>
      <c r="AS1130" s="19"/>
      <c r="AT1130" s="19"/>
      <c r="AU1130" s="19"/>
    </row>
    <row r="1131" spans="3:47">
      <c r="C1131" s="20"/>
      <c r="Z1131" s="20"/>
      <c r="AG1131" s="20"/>
      <c r="AQ1131" s="19"/>
      <c r="AR1131" s="19"/>
      <c r="AS1131" s="19"/>
      <c r="AT1131" s="19"/>
      <c r="AU1131" s="19"/>
    </row>
    <row r="1132" spans="3:47">
      <c r="C1132" s="20"/>
      <c r="Z1132" s="20"/>
      <c r="AG1132" s="20"/>
      <c r="AQ1132" s="19"/>
      <c r="AR1132" s="19"/>
      <c r="AS1132" s="19"/>
      <c r="AT1132" s="19"/>
      <c r="AU1132" s="19"/>
    </row>
    <row r="1133" spans="3:47">
      <c r="C1133" s="20"/>
      <c r="Z1133" s="20"/>
      <c r="AG1133" s="20"/>
      <c r="AQ1133" s="19"/>
      <c r="AR1133" s="19"/>
      <c r="AS1133" s="19"/>
      <c r="AT1133" s="19"/>
      <c r="AU1133" s="19"/>
    </row>
    <row r="1134" spans="3:47">
      <c r="C1134" s="20"/>
      <c r="Z1134" s="20"/>
      <c r="AG1134" s="20"/>
      <c r="AQ1134" s="19"/>
      <c r="AR1134" s="19"/>
      <c r="AS1134" s="19"/>
      <c r="AT1134" s="19"/>
      <c r="AU1134" s="19"/>
    </row>
    <row r="1135" spans="3:47">
      <c r="C1135" s="20"/>
      <c r="Z1135" s="20"/>
      <c r="AG1135" s="20"/>
      <c r="AQ1135" s="19"/>
      <c r="AR1135" s="19"/>
      <c r="AS1135" s="19"/>
      <c r="AT1135" s="19"/>
      <c r="AU1135" s="19"/>
    </row>
    <row r="1136" spans="3:47">
      <c r="C1136" s="20"/>
      <c r="Z1136" s="20"/>
      <c r="AG1136" s="20"/>
      <c r="AQ1136" s="19"/>
      <c r="AR1136" s="19"/>
      <c r="AS1136" s="19"/>
      <c r="AT1136" s="19"/>
      <c r="AU1136" s="19"/>
    </row>
    <row r="1137" spans="3:47">
      <c r="C1137" s="20"/>
      <c r="Z1137" s="20"/>
      <c r="AG1137" s="20"/>
      <c r="AQ1137" s="19"/>
      <c r="AR1137" s="19"/>
      <c r="AS1137" s="19"/>
      <c r="AT1137" s="19"/>
      <c r="AU1137" s="19"/>
    </row>
    <row r="1138" spans="3:47">
      <c r="C1138" s="20"/>
      <c r="Z1138" s="20"/>
      <c r="AG1138" s="20"/>
      <c r="AQ1138" s="19"/>
      <c r="AR1138" s="19"/>
      <c r="AS1138" s="19"/>
      <c r="AT1138" s="19"/>
      <c r="AU1138" s="19"/>
    </row>
    <row r="1139" spans="3:47">
      <c r="C1139" s="20"/>
      <c r="Z1139" s="20"/>
      <c r="AG1139" s="20"/>
      <c r="AQ1139" s="19"/>
      <c r="AR1139" s="19"/>
      <c r="AS1139" s="19"/>
      <c r="AT1139" s="19"/>
      <c r="AU1139" s="19"/>
    </row>
    <row r="1140" spans="3:47">
      <c r="C1140" s="20"/>
      <c r="Z1140" s="20"/>
      <c r="AG1140" s="20"/>
      <c r="AQ1140" s="19"/>
      <c r="AR1140" s="19"/>
      <c r="AS1140" s="19"/>
      <c r="AT1140" s="19"/>
      <c r="AU1140" s="19"/>
    </row>
    <row r="1141" spans="3:47">
      <c r="C1141" s="20"/>
      <c r="Z1141" s="20"/>
      <c r="AG1141" s="20"/>
      <c r="AQ1141" s="19"/>
      <c r="AR1141" s="19"/>
      <c r="AS1141" s="19"/>
      <c r="AT1141" s="19"/>
      <c r="AU1141" s="19"/>
    </row>
    <row r="1142" spans="3:47">
      <c r="C1142" s="20"/>
      <c r="Z1142" s="20"/>
      <c r="AG1142" s="20"/>
      <c r="AQ1142" s="19"/>
      <c r="AR1142" s="19"/>
      <c r="AS1142" s="19"/>
      <c r="AT1142" s="19"/>
      <c r="AU1142" s="19"/>
    </row>
    <row r="1143" spans="3:47">
      <c r="C1143" s="20"/>
      <c r="Z1143" s="20"/>
      <c r="AG1143" s="20"/>
      <c r="AQ1143" s="19"/>
      <c r="AR1143" s="19"/>
      <c r="AS1143" s="19"/>
      <c r="AT1143" s="19"/>
      <c r="AU1143" s="19"/>
    </row>
    <row r="1144" spans="3:47">
      <c r="C1144" s="20"/>
      <c r="Z1144" s="20"/>
      <c r="AG1144" s="20"/>
      <c r="AQ1144" s="19"/>
      <c r="AR1144" s="19"/>
      <c r="AS1144" s="19"/>
      <c r="AT1144" s="19"/>
      <c r="AU1144" s="19"/>
    </row>
    <row r="1145" spans="3:47">
      <c r="C1145" s="20"/>
      <c r="Z1145" s="20"/>
      <c r="AG1145" s="20"/>
      <c r="AQ1145" s="19"/>
      <c r="AR1145" s="19"/>
      <c r="AS1145" s="19"/>
      <c r="AT1145" s="19"/>
      <c r="AU1145" s="19"/>
    </row>
    <row r="1146" spans="3:47">
      <c r="C1146" s="20"/>
      <c r="Z1146" s="20"/>
      <c r="AG1146" s="20"/>
      <c r="AQ1146" s="19"/>
      <c r="AR1146" s="19"/>
      <c r="AS1146" s="19"/>
      <c r="AT1146" s="19"/>
      <c r="AU1146" s="19"/>
    </row>
    <row r="1147" spans="3:47">
      <c r="C1147" s="20"/>
      <c r="Z1147" s="20"/>
      <c r="AG1147" s="20"/>
      <c r="AQ1147" s="19"/>
      <c r="AR1147" s="19"/>
      <c r="AS1147" s="19"/>
      <c r="AT1147" s="19"/>
      <c r="AU1147" s="19"/>
    </row>
    <row r="1148" spans="3:47">
      <c r="C1148" s="20"/>
      <c r="Z1148" s="20"/>
      <c r="AG1148" s="20"/>
      <c r="AQ1148" s="19"/>
      <c r="AR1148" s="19"/>
      <c r="AS1148" s="19"/>
      <c r="AT1148" s="19"/>
      <c r="AU1148" s="19"/>
    </row>
    <row r="1149" spans="3:47">
      <c r="C1149" s="20"/>
      <c r="Z1149" s="20"/>
      <c r="AG1149" s="20"/>
      <c r="AQ1149" s="19"/>
      <c r="AR1149" s="19"/>
      <c r="AS1149" s="19"/>
      <c r="AT1149" s="19"/>
      <c r="AU1149" s="19"/>
    </row>
    <row r="1150" spans="3:47">
      <c r="C1150" s="20"/>
      <c r="Z1150" s="20"/>
      <c r="AG1150" s="20"/>
      <c r="AQ1150" s="19"/>
      <c r="AR1150" s="19"/>
      <c r="AS1150" s="19"/>
      <c r="AT1150" s="19"/>
      <c r="AU1150" s="19"/>
    </row>
    <row r="1151" spans="3:47">
      <c r="C1151" s="20"/>
      <c r="Z1151" s="20"/>
      <c r="AG1151" s="20"/>
      <c r="AQ1151" s="19"/>
      <c r="AR1151" s="19"/>
      <c r="AS1151" s="19"/>
      <c r="AT1151" s="19"/>
      <c r="AU1151" s="19"/>
    </row>
    <row r="1152" spans="3:47">
      <c r="C1152" s="20"/>
      <c r="Z1152" s="20"/>
      <c r="AG1152" s="20"/>
      <c r="AQ1152" s="19"/>
      <c r="AR1152" s="19"/>
      <c r="AS1152" s="19"/>
      <c r="AT1152" s="19"/>
      <c r="AU1152" s="19"/>
    </row>
    <row r="1153" spans="3:47">
      <c r="C1153" s="20"/>
      <c r="Z1153" s="20"/>
      <c r="AG1153" s="20"/>
      <c r="AQ1153" s="19"/>
      <c r="AR1153" s="19"/>
      <c r="AS1153" s="19"/>
      <c r="AT1153" s="19"/>
      <c r="AU1153" s="19"/>
    </row>
    <row r="1154" spans="3:47">
      <c r="C1154" s="20"/>
      <c r="Z1154" s="20"/>
      <c r="AG1154" s="20"/>
      <c r="AQ1154" s="19"/>
      <c r="AR1154" s="19"/>
      <c r="AS1154" s="19"/>
      <c r="AT1154" s="19"/>
      <c r="AU1154" s="19"/>
    </row>
    <row r="1155" spans="3:47">
      <c r="C1155" s="20"/>
      <c r="Z1155" s="20"/>
      <c r="AG1155" s="20"/>
      <c r="AQ1155" s="19"/>
      <c r="AR1155" s="19"/>
      <c r="AS1155" s="19"/>
      <c r="AT1155" s="19"/>
      <c r="AU1155" s="19"/>
    </row>
    <row r="1156" spans="3:47">
      <c r="C1156" s="20"/>
      <c r="Z1156" s="20"/>
      <c r="AG1156" s="20"/>
      <c r="AQ1156" s="19"/>
      <c r="AR1156" s="19"/>
      <c r="AS1156" s="19"/>
      <c r="AT1156" s="19"/>
      <c r="AU1156" s="19"/>
    </row>
    <row r="1157" spans="3:47">
      <c r="C1157" s="20"/>
      <c r="Z1157" s="20"/>
      <c r="AG1157" s="20"/>
      <c r="AQ1157" s="19"/>
      <c r="AR1157" s="19"/>
      <c r="AS1157" s="19"/>
      <c r="AT1157" s="19"/>
      <c r="AU1157" s="19"/>
    </row>
    <row r="1158" spans="3:47">
      <c r="C1158" s="20"/>
      <c r="Z1158" s="20"/>
      <c r="AG1158" s="20"/>
      <c r="AQ1158" s="19"/>
      <c r="AR1158" s="19"/>
      <c r="AS1158" s="19"/>
      <c r="AT1158" s="19"/>
      <c r="AU1158" s="19"/>
    </row>
    <row r="1159" spans="3:47">
      <c r="C1159" s="20"/>
      <c r="Z1159" s="20"/>
      <c r="AG1159" s="20"/>
      <c r="AQ1159" s="19"/>
      <c r="AR1159" s="19"/>
      <c r="AS1159" s="19"/>
      <c r="AT1159" s="19"/>
      <c r="AU1159" s="19"/>
    </row>
    <row r="1160" spans="3:47">
      <c r="C1160" s="20"/>
      <c r="Z1160" s="20"/>
      <c r="AG1160" s="20"/>
      <c r="AQ1160" s="19"/>
      <c r="AR1160" s="19"/>
      <c r="AS1160" s="19"/>
      <c r="AT1160" s="19"/>
      <c r="AU1160" s="19"/>
    </row>
    <row r="1161" spans="3:47">
      <c r="C1161" s="20"/>
      <c r="Z1161" s="20"/>
      <c r="AG1161" s="20"/>
      <c r="AQ1161" s="19"/>
      <c r="AR1161" s="19"/>
      <c r="AS1161" s="19"/>
      <c r="AT1161" s="19"/>
      <c r="AU1161" s="19"/>
    </row>
    <row r="1162" spans="3:47">
      <c r="C1162" s="20"/>
      <c r="Z1162" s="20"/>
      <c r="AG1162" s="20"/>
      <c r="AQ1162" s="19"/>
      <c r="AR1162" s="19"/>
      <c r="AS1162" s="19"/>
      <c r="AT1162" s="19"/>
      <c r="AU1162" s="19"/>
    </row>
    <row r="1163" spans="3:47">
      <c r="C1163" s="20"/>
      <c r="Z1163" s="20"/>
      <c r="AG1163" s="20"/>
      <c r="AQ1163" s="19"/>
      <c r="AR1163" s="19"/>
      <c r="AS1163" s="19"/>
      <c r="AT1163" s="19"/>
      <c r="AU1163" s="19"/>
    </row>
    <row r="1164" spans="3:47">
      <c r="C1164" s="20"/>
      <c r="Z1164" s="20"/>
      <c r="AG1164" s="20"/>
      <c r="AQ1164" s="19"/>
      <c r="AR1164" s="19"/>
      <c r="AS1164" s="19"/>
      <c r="AT1164" s="19"/>
      <c r="AU1164" s="19"/>
    </row>
    <row r="1165" spans="3:47">
      <c r="C1165" s="20"/>
      <c r="Z1165" s="20"/>
      <c r="AG1165" s="20"/>
      <c r="AQ1165" s="19"/>
      <c r="AR1165" s="19"/>
      <c r="AS1165" s="19"/>
      <c r="AT1165" s="19"/>
      <c r="AU1165" s="19"/>
    </row>
    <row r="1166" spans="3:47">
      <c r="C1166" s="20"/>
      <c r="Z1166" s="20"/>
      <c r="AG1166" s="20"/>
      <c r="AQ1166" s="19"/>
      <c r="AR1166" s="19"/>
      <c r="AS1166" s="19"/>
      <c r="AT1166" s="19"/>
      <c r="AU1166" s="19"/>
    </row>
    <row r="1167" spans="3:47">
      <c r="C1167" s="20"/>
      <c r="Z1167" s="20"/>
      <c r="AG1167" s="20"/>
      <c r="AQ1167" s="19"/>
      <c r="AR1167" s="19"/>
      <c r="AS1167" s="19"/>
      <c r="AT1167" s="19"/>
      <c r="AU1167" s="19"/>
    </row>
    <row r="1168" spans="3:47">
      <c r="C1168" s="20"/>
      <c r="Z1168" s="20"/>
      <c r="AG1168" s="20"/>
      <c r="AQ1168" s="19"/>
      <c r="AR1168" s="19"/>
      <c r="AS1168" s="19"/>
      <c r="AT1168" s="19"/>
      <c r="AU1168" s="19"/>
    </row>
    <row r="1169" spans="3:47">
      <c r="C1169" s="20"/>
      <c r="Z1169" s="20"/>
      <c r="AG1169" s="20"/>
      <c r="AQ1169" s="19"/>
      <c r="AR1169" s="19"/>
      <c r="AS1169" s="19"/>
      <c r="AT1169" s="19"/>
      <c r="AU1169" s="19"/>
    </row>
    <row r="1170" spans="3:47">
      <c r="C1170" s="20"/>
      <c r="Z1170" s="20"/>
      <c r="AG1170" s="20"/>
      <c r="AQ1170" s="19"/>
      <c r="AR1170" s="19"/>
      <c r="AS1170" s="19"/>
      <c r="AT1170" s="19"/>
      <c r="AU1170" s="19"/>
    </row>
    <row r="1171" spans="3:47">
      <c r="C1171" s="20"/>
      <c r="Z1171" s="20"/>
      <c r="AG1171" s="20"/>
      <c r="AQ1171" s="19"/>
      <c r="AR1171" s="19"/>
      <c r="AS1171" s="19"/>
      <c r="AT1171" s="19"/>
      <c r="AU1171" s="19"/>
    </row>
    <row r="1172" spans="3:47">
      <c r="C1172" s="20"/>
      <c r="Z1172" s="20"/>
      <c r="AG1172" s="20"/>
      <c r="AQ1172" s="19"/>
      <c r="AR1172" s="19"/>
      <c r="AS1172" s="19"/>
      <c r="AT1172" s="19"/>
      <c r="AU1172" s="19"/>
    </row>
    <row r="1173" spans="3:47">
      <c r="C1173" s="20"/>
      <c r="Z1173" s="20"/>
      <c r="AG1173" s="20"/>
      <c r="AQ1173" s="19"/>
      <c r="AR1173" s="19"/>
      <c r="AS1173" s="19"/>
      <c r="AT1173" s="19"/>
      <c r="AU1173" s="19"/>
    </row>
    <row r="1174" spans="3:47">
      <c r="C1174" s="20"/>
      <c r="Z1174" s="20"/>
      <c r="AG1174" s="20"/>
      <c r="AQ1174" s="19"/>
      <c r="AR1174" s="19"/>
      <c r="AS1174" s="19"/>
      <c r="AT1174" s="19"/>
      <c r="AU1174" s="19"/>
    </row>
    <row r="1175" spans="3:47">
      <c r="C1175" s="20"/>
      <c r="Z1175" s="20"/>
      <c r="AG1175" s="20"/>
      <c r="AQ1175" s="19"/>
      <c r="AR1175" s="19"/>
      <c r="AS1175" s="19"/>
      <c r="AT1175" s="19"/>
      <c r="AU1175" s="19"/>
    </row>
    <row r="1176" spans="3:47">
      <c r="C1176" s="20"/>
      <c r="Z1176" s="20"/>
      <c r="AG1176" s="20"/>
      <c r="AQ1176" s="19"/>
      <c r="AR1176" s="19"/>
      <c r="AS1176" s="19"/>
      <c r="AT1176" s="19"/>
      <c r="AU1176" s="19"/>
    </row>
    <row r="1177" spans="3:47">
      <c r="C1177" s="20"/>
      <c r="Z1177" s="20"/>
      <c r="AG1177" s="20"/>
      <c r="AQ1177" s="19"/>
      <c r="AR1177" s="19"/>
      <c r="AS1177" s="19"/>
      <c r="AT1177" s="19"/>
      <c r="AU1177" s="19"/>
    </row>
    <row r="1178" spans="3:47">
      <c r="C1178" s="20"/>
      <c r="Z1178" s="20"/>
      <c r="AG1178" s="20"/>
      <c r="AQ1178" s="19"/>
      <c r="AR1178" s="19"/>
      <c r="AS1178" s="19"/>
      <c r="AT1178" s="19"/>
      <c r="AU1178" s="19"/>
    </row>
    <row r="1179" spans="3:47">
      <c r="C1179" s="20"/>
      <c r="Z1179" s="20"/>
      <c r="AG1179" s="20"/>
      <c r="AQ1179" s="19"/>
      <c r="AR1179" s="19"/>
      <c r="AS1179" s="19"/>
      <c r="AT1179" s="19"/>
      <c r="AU1179" s="19"/>
    </row>
    <row r="1180" spans="3:47">
      <c r="C1180" s="20"/>
      <c r="Z1180" s="20"/>
      <c r="AG1180" s="20"/>
      <c r="AQ1180" s="19"/>
      <c r="AR1180" s="19"/>
      <c r="AS1180" s="19"/>
      <c r="AT1180" s="19"/>
      <c r="AU1180" s="19"/>
    </row>
    <row r="1181" spans="3:47">
      <c r="C1181" s="20"/>
      <c r="Z1181" s="20"/>
      <c r="AG1181" s="20"/>
      <c r="AQ1181" s="19"/>
      <c r="AR1181" s="19"/>
      <c r="AS1181" s="19"/>
      <c r="AT1181" s="19"/>
      <c r="AU1181" s="19"/>
    </row>
    <row r="1182" spans="3:47">
      <c r="C1182" s="20"/>
      <c r="Z1182" s="20"/>
      <c r="AG1182" s="20"/>
      <c r="AQ1182" s="19"/>
      <c r="AR1182" s="19"/>
      <c r="AS1182" s="19"/>
      <c r="AT1182" s="19"/>
      <c r="AU1182" s="19"/>
    </row>
    <row r="1183" spans="3:47">
      <c r="C1183" s="20"/>
      <c r="Z1183" s="20"/>
      <c r="AG1183" s="20"/>
      <c r="AQ1183" s="19"/>
      <c r="AR1183" s="19"/>
      <c r="AS1183" s="19"/>
      <c r="AT1183" s="19"/>
      <c r="AU1183" s="19"/>
    </row>
    <row r="1184" spans="3:47">
      <c r="C1184" s="20"/>
      <c r="Z1184" s="20"/>
      <c r="AG1184" s="20"/>
      <c r="AQ1184" s="19"/>
      <c r="AR1184" s="19"/>
      <c r="AS1184" s="19"/>
      <c r="AT1184" s="19"/>
      <c r="AU1184" s="19"/>
    </row>
    <row r="1185" spans="3:47">
      <c r="C1185" s="20"/>
      <c r="Z1185" s="20"/>
      <c r="AG1185" s="20"/>
      <c r="AQ1185" s="19"/>
      <c r="AR1185" s="19"/>
      <c r="AS1185" s="19"/>
      <c r="AT1185" s="19"/>
      <c r="AU1185" s="19"/>
    </row>
    <row r="1186" spans="3:47">
      <c r="C1186" s="20"/>
      <c r="Z1186" s="20"/>
      <c r="AG1186" s="20"/>
      <c r="AQ1186" s="19"/>
      <c r="AR1186" s="19"/>
      <c r="AS1186" s="19"/>
      <c r="AT1186" s="19"/>
      <c r="AU1186" s="19"/>
    </row>
    <row r="1187" spans="3:47">
      <c r="C1187" s="20"/>
      <c r="Z1187" s="20"/>
      <c r="AG1187" s="20"/>
      <c r="AQ1187" s="19"/>
      <c r="AR1187" s="19"/>
      <c r="AS1187" s="19"/>
      <c r="AT1187" s="19"/>
      <c r="AU1187" s="19"/>
    </row>
    <row r="1188" spans="3:47">
      <c r="C1188" s="20"/>
      <c r="Z1188" s="20"/>
      <c r="AG1188" s="20"/>
      <c r="AQ1188" s="19"/>
      <c r="AR1188" s="19"/>
      <c r="AS1188" s="19"/>
      <c r="AT1188" s="19"/>
      <c r="AU1188" s="19"/>
    </row>
    <row r="1189" spans="3:47">
      <c r="C1189" s="20"/>
      <c r="Z1189" s="20"/>
      <c r="AG1189" s="20"/>
      <c r="AQ1189" s="19"/>
      <c r="AR1189" s="19"/>
      <c r="AS1189" s="19"/>
      <c r="AT1189" s="19"/>
      <c r="AU1189" s="19"/>
    </row>
    <row r="1190" spans="3:47">
      <c r="C1190" s="20"/>
      <c r="Z1190" s="20"/>
      <c r="AG1190" s="20"/>
      <c r="AQ1190" s="19"/>
      <c r="AR1190" s="19"/>
      <c r="AS1190" s="19"/>
      <c r="AT1190" s="19"/>
      <c r="AU1190" s="19"/>
    </row>
    <row r="1191" spans="3:47">
      <c r="C1191" s="20"/>
      <c r="Z1191" s="20"/>
      <c r="AG1191" s="20"/>
      <c r="AQ1191" s="19"/>
      <c r="AR1191" s="19"/>
      <c r="AS1191" s="19"/>
      <c r="AT1191" s="19"/>
      <c r="AU1191" s="19"/>
    </row>
    <row r="1192" spans="3:47">
      <c r="C1192" s="20"/>
      <c r="Z1192" s="20"/>
      <c r="AG1192" s="20"/>
      <c r="AQ1192" s="19"/>
      <c r="AR1192" s="19"/>
      <c r="AS1192" s="19"/>
      <c r="AT1192" s="19"/>
      <c r="AU1192" s="19"/>
    </row>
    <row r="1193" spans="3:47">
      <c r="C1193" s="20"/>
      <c r="Z1193" s="20"/>
      <c r="AG1193" s="20"/>
      <c r="AQ1193" s="19"/>
      <c r="AR1193" s="19"/>
      <c r="AS1193" s="19"/>
      <c r="AT1193" s="19"/>
      <c r="AU1193" s="19"/>
    </row>
    <row r="1194" spans="3:47">
      <c r="C1194" s="20"/>
      <c r="Z1194" s="20"/>
      <c r="AG1194" s="20"/>
      <c r="AQ1194" s="19"/>
      <c r="AR1194" s="19"/>
      <c r="AS1194" s="19"/>
      <c r="AT1194" s="19"/>
      <c r="AU1194" s="19"/>
    </row>
    <row r="1195" spans="3:47">
      <c r="C1195" s="20"/>
      <c r="Z1195" s="20"/>
      <c r="AG1195" s="20"/>
      <c r="AQ1195" s="19"/>
      <c r="AR1195" s="19"/>
      <c r="AS1195" s="19"/>
      <c r="AT1195" s="19"/>
      <c r="AU1195" s="19"/>
    </row>
    <row r="1196" spans="3:47">
      <c r="C1196" s="20"/>
      <c r="Z1196" s="20"/>
      <c r="AG1196" s="20"/>
      <c r="AQ1196" s="19"/>
      <c r="AR1196" s="19"/>
      <c r="AS1196" s="19"/>
      <c r="AT1196" s="19"/>
      <c r="AU1196" s="19"/>
    </row>
    <row r="1197" spans="3:47">
      <c r="C1197" s="20"/>
      <c r="Z1197" s="20"/>
      <c r="AG1197" s="20"/>
      <c r="AQ1197" s="19"/>
      <c r="AR1197" s="19"/>
      <c r="AS1197" s="19"/>
      <c r="AT1197" s="19"/>
      <c r="AU1197" s="19"/>
    </row>
    <row r="1198" spans="3:47">
      <c r="C1198" s="20"/>
      <c r="Z1198" s="20"/>
      <c r="AG1198" s="20"/>
      <c r="AQ1198" s="19"/>
      <c r="AR1198" s="19"/>
      <c r="AS1198" s="19"/>
      <c r="AT1198" s="19"/>
      <c r="AU1198" s="19"/>
    </row>
    <row r="1199" spans="3:47">
      <c r="C1199" s="20"/>
      <c r="Z1199" s="20"/>
      <c r="AG1199" s="20"/>
      <c r="AQ1199" s="19"/>
      <c r="AR1199" s="19"/>
      <c r="AS1199" s="19"/>
      <c r="AT1199" s="19"/>
      <c r="AU1199" s="19"/>
    </row>
    <row r="1200" spans="3:47">
      <c r="C1200" s="20"/>
      <c r="Z1200" s="20"/>
      <c r="AG1200" s="20"/>
      <c r="AQ1200" s="19"/>
      <c r="AR1200" s="19"/>
      <c r="AS1200" s="19"/>
      <c r="AT1200" s="19"/>
      <c r="AU1200" s="19"/>
    </row>
    <row r="1201" spans="3:47">
      <c r="C1201" s="20"/>
      <c r="Z1201" s="20"/>
      <c r="AG1201" s="20"/>
      <c r="AQ1201" s="19"/>
      <c r="AR1201" s="19"/>
      <c r="AS1201" s="19"/>
      <c r="AT1201" s="19"/>
      <c r="AU1201" s="19"/>
    </row>
    <row r="1202" spans="3:47">
      <c r="C1202" s="20"/>
      <c r="Z1202" s="20"/>
      <c r="AG1202" s="20"/>
      <c r="AQ1202" s="19"/>
      <c r="AR1202" s="19"/>
      <c r="AS1202" s="19"/>
      <c r="AT1202" s="19"/>
      <c r="AU1202" s="19"/>
    </row>
    <row r="1203" spans="3:47">
      <c r="C1203" s="20"/>
      <c r="Z1203" s="20"/>
      <c r="AG1203" s="20"/>
      <c r="AQ1203" s="19"/>
      <c r="AR1203" s="19"/>
      <c r="AS1203" s="19"/>
      <c r="AT1203" s="19"/>
      <c r="AU1203" s="19"/>
    </row>
    <row r="1204" spans="3:47">
      <c r="C1204" s="20"/>
      <c r="Z1204" s="20"/>
      <c r="AG1204" s="20"/>
      <c r="AQ1204" s="19"/>
      <c r="AR1204" s="19"/>
      <c r="AS1204" s="19"/>
      <c r="AT1204" s="19"/>
      <c r="AU1204" s="19"/>
    </row>
    <row r="1205" spans="3:47">
      <c r="C1205" s="20"/>
      <c r="Z1205" s="20"/>
      <c r="AG1205" s="20"/>
      <c r="AQ1205" s="19"/>
      <c r="AR1205" s="19"/>
      <c r="AS1205" s="19"/>
      <c r="AT1205" s="19"/>
      <c r="AU1205" s="19"/>
    </row>
    <row r="1206" spans="3:47">
      <c r="C1206" s="20"/>
      <c r="Z1206" s="20"/>
      <c r="AG1206" s="20"/>
      <c r="AQ1206" s="19"/>
      <c r="AR1206" s="19"/>
      <c r="AS1206" s="19"/>
      <c r="AT1206" s="19"/>
      <c r="AU1206" s="19"/>
    </row>
    <row r="1207" spans="3:47">
      <c r="C1207" s="20"/>
      <c r="Z1207" s="20"/>
      <c r="AG1207" s="20"/>
      <c r="AQ1207" s="19"/>
      <c r="AR1207" s="19"/>
      <c r="AS1207" s="19"/>
      <c r="AT1207" s="19"/>
      <c r="AU1207" s="19"/>
    </row>
    <row r="1208" spans="3:47">
      <c r="C1208" s="20"/>
      <c r="Z1208" s="20"/>
      <c r="AG1208" s="20"/>
      <c r="AQ1208" s="19"/>
      <c r="AR1208" s="19"/>
      <c r="AS1208" s="19"/>
      <c r="AT1208" s="19"/>
      <c r="AU1208" s="19"/>
    </row>
    <row r="1209" spans="3:47">
      <c r="C1209" s="20"/>
      <c r="Z1209" s="20"/>
      <c r="AG1209" s="20"/>
      <c r="AQ1209" s="19"/>
      <c r="AR1209" s="19"/>
      <c r="AS1209" s="19"/>
      <c r="AT1209" s="19"/>
      <c r="AU1209" s="19"/>
    </row>
    <row r="1210" spans="3:47">
      <c r="C1210" s="20"/>
      <c r="Z1210" s="20"/>
      <c r="AG1210" s="20"/>
      <c r="AQ1210" s="19"/>
      <c r="AR1210" s="19"/>
      <c r="AS1210" s="19"/>
      <c r="AT1210" s="19"/>
      <c r="AU1210" s="19"/>
    </row>
    <row r="1211" spans="3:47">
      <c r="C1211" s="20"/>
      <c r="Z1211" s="20"/>
      <c r="AG1211" s="20"/>
      <c r="AQ1211" s="19"/>
      <c r="AR1211" s="19"/>
      <c r="AS1211" s="19"/>
      <c r="AT1211" s="19"/>
      <c r="AU1211" s="19"/>
    </row>
    <row r="1212" spans="3:47">
      <c r="C1212" s="20"/>
      <c r="Z1212" s="20"/>
      <c r="AG1212" s="20"/>
      <c r="AQ1212" s="19"/>
      <c r="AR1212" s="19"/>
      <c r="AS1212" s="19"/>
      <c r="AT1212" s="19"/>
      <c r="AU1212" s="19"/>
    </row>
    <row r="1213" spans="3:47">
      <c r="C1213" s="20"/>
      <c r="Z1213" s="20"/>
      <c r="AG1213" s="20"/>
      <c r="AQ1213" s="19"/>
      <c r="AR1213" s="19"/>
      <c r="AS1213" s="19"/>
      <c r="AT1213" s="19"/>
      <c r="AU1213" s="19"/>
    </row>
    <row r="1214" spans="3:47">
      <c r="C1214" s="20"/>
      <c r="Z1214" s="20"/>
      <c r="AG1214" s="20"/>
      <c r="AQ1214" s="19"/>
      <c r="AR1214" s="19"/>
      <c r="AS1214" s="19"/>
      <c r="AT1214" s="19"/>
      <c r="AU1214" s="19"/>
    </row>
    <row r="1215" spans="3:47">
      <c r="C1215" s="20"/>
      <c r="Z1215" s="20"/>
      <c r="AG1215" s="20"/>
      <c r="AQ1215" s="19"/>
      <c r="AR1215" s="19"/>
      <c r="AS1215" s="19"/>
      <c r="AT1215" s="19"/>
      <c r="AU1215" s="19"/>
    </row>
    <row r="1216" spans="3:47">
      <c r="C1216" s="20"/>
      <c r="Z1216" s="20"/>
      <c r="AG1216" s="20"/>
      <c r="AQ1216" s="19"/>
      <c r="AR1216" s="19"/>
      <c r="AS1216" s="19"/>
      <c r="AT1216" s="19"/>
      <c r="AU1216" s="19"/>
    </row>
    <row r="1217" spans="3:47">
      <c r="C1217" s="20"/>
      <c r="Z1217" s="20"/>
      <c r="AG1217" s="20"/>
      <c r="AQ1217" s="19"/>
      <c r="AR1217" s="19"/>
      <c r="AS1217" s="19"/>
      <c r="AT1217" s="19"/>
      <c r="AU1217" s="19"/>
    </row>
    <row r="1218" spans="3:47">
      <c r="C1218" s="20"/>
      <c r="Z1218" s="20"/>
      <c r="AG1218" s="20"/>
      <c r="AQ1218" s="19"/>
      <c r="AR1218" s="19"/>
      <c r="AS1218" s="19"/>
      <c r="AT1218" s="19"/>
      <c r="AU1218" s="19"/>
    </row>
    <row r="1219" spans="3:47">
      <c r="C1219" s="20"/>
      <c r="Z1219" s="20"/>
      <c r="AG1219" s="20"/>
      <c r="AQ1219" s="19"/>
      <c r="AR1219" s="19"/>
      <c r="AS1219" s="19"/>
      <c r="AT1219" s="19"/>
      <c r="AU1219" s="19"/>
    </row>
    <row r="1220" spans="3:47">
      <c r="C1220" s="20"/>
      <c r="Z1220" s="20"/>
      <c r="AG1220" s="20"/>
      <c r="AQ1220" s="19"/>
      <c r="AR1220" s="19"/>
      <c r="AS1220" s="19"/>
      <c r="AT1220" s="19"/>
      <c r="AU1220" s="19"/>
    </row>
    <row r="1221" spans="3:47">
      <c r="C1221" s="20"/>
      <c r="Z1221" s="20"/>
      <c r="AG1221" s="20"/>
      <c r="AQ1221" s="19"/>
      <c r="AR1221" s="19"/>
      <c r="AS1221" s="19"/>
      <c r="AT1221" s="19"/>
      <c r="AU1221" s="19"/>
    </row>
    <row r="1222" spans="3:47">
      <c r="C1222" s="20"/>
      <c r="Z1222" s="20"/>
      <c r="AG1222" s="20"/>
      <c r="AQ1222" s="19"/>
      <c r="AR1222" s="19"/>
      <c r="AS1222" s="19"/>
      <c r="AT1222" s="19"/>
      <c r="AU1222" s="19"/>
    </row>
    <row r="1223" spans="3:47">
      <c r="C1223" s="20"/>
      <c r="Z1223" s="20"/>
      <c r="AG1223" s="20"/>
      <c r="AQ1223" s="19"/>
      <c r="AR1223" s="19"/>
      <c r="AS1223" s="19"/>
      <c r="AT1223" s="19"/>
      <c r="AU1223" s="19"/>
    </row>
    <row r="1224" spans="3:47">
      <c r="C1224" s="20"/>
      <c r="Z1224" s="20"/>
      <c r="AG1224" s="20"/>
      <c r="AQ1224" s="19"/>
      <c r="AR1224" s="19"/>
      <c r="AS1224" s="19"/>
      <c r="AT1224" s="19"/>
      <c r="AU1224" s="19"/>
    </row>
    <row r="1225" spans="3:47">
      <c r="C1225" s="20"/>
      <c r="Z1225" s="20"/>
      <c r="AG1225" s="20"/>
      <c r="AQ1225" s="19"/>
      <c r="AR1225" s="19"/>
      <c r="AS1225" s="19"/>
      <c r="AT1225" s="19"/>
      <c r="AU1225" s="19"/>
    </row>
    <row r="1226" spans="3:47">
      <c r="C1226" s="20"/>
      <c r="Z1226" s="20"/>
      <c r="AG1226" s="20"/>
      <c r="AQ1226" s="19"/>
      <c r="AR1226" s="19"/>
      <c r="AS1226" s="19"/>
      <c r="AT1226" s="19"/>
      <c r="AU1226" s="19"/>
    </row>
    <row r="1227" spans="3:47">
      <c r="C1227" s="20"/>
      <c r="Z1227" s="20"/>
      <c r="AG1227" s="20"/>
      <c r="AQ1227" s="19"/>
      <c r="AR1227" s="19"/>
      <c r="AS1227" s="19"/>
      <c r="AT1227" s="19"/>
      <c r="AU1227" s="19"/>
    </row>
    <row r="1228" spans="3:47">
      <c r="C1228" s="20"/>
      <c r="Z1228" s="20"/>
      <c r="AG1228" s="20"/>
      <c r="AQ1228" s="19"/>
      <c r="AR1228" s="19"/>
      <c r="AS1228" s="19"/>
      <c r="AT1228" s="19"/>
      <c r="AU1228" s="19"/>
    </row>
    <row r="1229" spans="3:47">
      <c r="C1229" s="20"/>
      <c r="Z1229" s="20"/>
      <c r="AG1229" s="20"/>
      <c r="AQ1229" s="19"/>
      <c r="AR1229" s="19"/>
      <c r="AS1229" s="19"/>
      <c r="AT1229" s="19"/>
      <c r="AU1229" s="19"/>
    </row>
    <row r="1230" spans="3:47">
      <c r="C1230" s="20"/>
      <c r="Z1230" s="20"/>
      <c r="AG1230" s="20"/>
      <c r="AQ1230" s="19"/>
      <c r="AR1230" s="19"/>
      <c r="AS1230" s="19"/>
      <c r="AT1230" s="19"/>
      <c r="AU1230" s="19"/>
    </row>
    <row r="1231" spans="3:47">
      <c r="C1231" s="20"/>
      <c r="Z1231" s="20"/>
      <c r="AG1231" s="20"/>
      <c r="AQ1231" s="19"/>
      <c r="AR1231" s="19"/>
      <c r="AS1231" s="19"/>
      <c r="AT1231" s="19"/>
      <c r="AU1231" s="19"/>
    </row>
    <row r="1232" spans="3:47">
      <c r="C1232" s="20"/>
      <c r="Z1232" s="20"/>
      <c r="AG1232" s="20"/>
      <c r="AQ1232" s="19"/>
      <c r="AR1232" s="19"/>
      <c r="AS1232" s="19"/>
      <c r="AT1232" s="19"/>
      <c r="AU1232" s="19"/>
    </row>
    <row r="1233" spans="3:47">
      <c r="C1233" s="20"/>
      <c r="Z1233" s="20"/>
      <c r="AG1233" s="20"/>
      <c r="AQ1233" s="19"/>
      <c r="AR1233" s="19"/>
      <c r="AS1233" s="19"/>
      <c r="AT1233" s="19"/>
      <c r="AU1233" s="19"/>
    </row>
    <row r="1234" spans="3:47">
      <c r="C1234" s="20"/>
      <c r="Z1234" s="20"/>
      <c r="AG1234" s="20"/>
      <c r="AQ1234" s="19"/>
      <c r="AR1234" s="19"/>
      <c r="AS1234" s="19"/>
      <c r="AT1234" s="19"/>
      <c r="AU1234" s="19"/>
    </row>
    <row r="1235" spans="3:47">
      <c r="C1235" s="20"/>
      <c r="Z1235" s="20"/>
      <c r="AG1235" s="20"/>
      <c r="AQ1235" s="19"/>
      <c r="AR1235" s="19"/>
      <c r="AS1235" s="19"/>
      <c r="AT1235" s="19"/>
      <c r="AU1235" s="19"/>
    </row>
    <row r="1236" spans="3:47">
      <c r="C1236" s="20"/>
      <c r="Z1236" s="20"/>
      <c r="AG1236" s="20"/>
      <c r="AQ1236" s="19"/>
      <c r="AR1236" s="19"/>
      <c r="AS1236" s="19"/>
      <c r="AT1236" s="19"/>
      <c r="AU1236" s="19"/>
    </row>
    <row r="1237" spans="3:47">
      <c r="C1237" s="20"/>
      <c r="Z1237" s="20"/>
      <c r="AG1237" s="20"/>
      <c r="AQ1237" s="19"/>
      <c r="AR1237" s="19"/>
      <c r="AS1237" s="19"/>
      <c r="AT1237" s="19"/>
      <c r="AU1237" s="19"/>
    </row>
    <row r="1238" spans="3:47">
      <c r="C1238" s="20"/>
      <c r="Z1238" s="20"/>
      <c r="AG1238" s="20"/>
      <c r="AQ1238" s="19"/>
      <c r="AR1238" s="19"/>
      <c r="AS1238" s="19"/>
      <c r="AT1238" s="19"/>
      <c r="AU1238" s="19"/>
    </row>
    <row r="1239" spans="3:47">
      <c r="C1239" s="20"/>
      <c r="Z1239" s="20"/>
      <c r="AG1239" s="20"/>
      <c r="AQ1239" s="19"/>
      <c r="AR1239" s="19"/>
      <c r="AS1239" s="19"/>
      <c r="AT1239" s="19"/>
      <c r="AU1239" s="19"/>
    </row>
    <row r="1240" spans="3:47">
      <c r="C1240" s="20"/>
      <c r="Z1240" s="20"/>
      <c r="AG1240" s="20"/>
      <c r="AQ1240" s="19"/>
      <c r="AR1240" s="19"/>
      <c r="AS1240" s="19"/>
      <c r="AT1240" s="19"/>
      <c r="AU1240" s="19"/>
    </row>
    <row r="1241" spans="3:47">
      <c r="C1241" s="20"/>
      <c r="Z1241" s="20"/>
      <c r="AG1241" s="20"/>
      <c r="AQ1241" s="19"/>
      <c r="AR1241" s="19"/>
      <c r="AS1241" s="19"/>
      <c r="AT1241" s="19"/>
      <c r="AU1241" s="19"/>
    </row>
    <row r="1242" spans="3:47">
      <c r="C1242" s="20"/>
      <c r="Z1242" s="20"/>
      <c r="AG1242" s="20"/>
      <c r="AQ1242" s="19"/>
      <c r="AR1242" s="19"/>
      <c r="AS1242" s="19"/>
      <c r="AT1242" s="19"/>
      <c r="AU1242" s="19"/>
    </row>
    <row r="1243" spans="3:47">
      <c r="C1243" s="20"/>
      <c r="Z1243" s="20"/>
      <c r="AG1243" s="20"/>
      <c r="AQ1243" s="19"/>
      <c r="AR1243" s="19"/>
      <c r="AS1243" s="19"/>
      <c r="AT1243" s="19"/>
      <c r="AU1243" s="19"/>
    </row>
    <row r="1244" spans="3:47">
      <c r="C1244" s="20"/>
      <c r="Z1244" s="20"/>
      <c r="AG1244" s="20"/>
      <c r="AQ1244" s="19"/>
      <c r="AR1244" s="19"/>
      <c r="AS1244" s="19"/>
      <c r="AT1244" s="19"/>
      <c r="AU1244" s="19"/>
    </row>
    <row r="1245" spans="3:47">
      <c r="C1245" s="20"/>
      <c r="Z1245" s="20"/>
      <c r="AG1245" s="20"/>
      <c r="AQ1245" s="19"/>
      <c r="AR1245" s="19"/>
      <c r="AS1245" s="19"/>
      <c r="AT1245" s="19"/>
      <c r="AU1245" s="19"/>
    </row>
    <row r="1246" spans="3:47">
      <c r="C1246" s="20"/>
      <c r="Z1246" s="20"/>
      <c r="AG1246" s="20"/>
      <c r="AQ1246" s="19"/>
      <c r="AR1246" s="19"/>
      <c r="AS1246" s="19"/>
      <c r="AT1246" s="19"/>
      <c r="AU1246" s="19"/>
    </row>
    <row r="1247" spans="3:47">
      <c r="C1247" s="20"/>
      <c r="Z1247" s="20"/>
      <c r="AG1247" s="20"/>
      <c r="AQ1247" s="19"/>
      <c r="AR1247" s="19"/>
      <c r="AS1247" s="19"/>
      <c r="AT1247" s="19"/>
      <c r="AU1247" s="19"/>
    </row>
    <row r="1248" spans="3:47">
      <c r="C1248" s="20"/>
      <c r="Z1248" s="20"/>
      <c r="AG1248" s="20"/>
      <c r="AQ1248" s="19"/>
      <c r="AR1248" s="19"/>
      <c r="AS1248" s="19"/>
      <c r="AT1248" s="19"/>
      <c r="AU1248" s="19"/>
    </row>
    <row r="1249" spans="3:47">
      <c r="C1249" s="20"/>
      <c r="Z1249" s="20"/>
      <c r="AG1249" s="20"/>
      <c r="AQ1249" s="19"/>
      <c r="AR1249" s="19"/>
      <c r="AS1249" s="19"/>
      <c r="AT1249" s="19"/>
      <c r="AU1249" s="19"/>
    </row>
    <row r="1250" spans="3:47">
      <c r="C1250" s="20"/>
      <c r="Z1250" s="20"/>
      <c r="AG1250" s="20"/>
      <c r="AQ1250" s="19"/>
      <c r="AR1250" s="19"/>
      <c r="AS1250" s="19"/>
      <c r="AT1250" s="19"/>
      <c r="AU1250" s="19"/>
    </row>
    <row r="1251" spans="3:47">
      <c r="C1251" s="20"/>
      <c r="Z1251" s="20"/>
      <c r="AG1251" s="20"/>
      <c r="AQ1251" s="19"/>
      <c r="AR1251" s="19"/>
      <c r="AS1251" s="19"/>
      <c r="AT1251" s="19"/>
      <c r="AU1251" s="19"/>
    </row>
    <row r="1252" spans="3:47">
      <c r="C1252" s="20"/>
      <c r="Z1252" s="20"/>
      <c r="AG1252" s="20"/>
      <c r="AQ1252" s="19"/>
      <c r="AR1252" s="19"/>
      <c r="AS1252" s="19"/>
      <c r="AT1252" s="19"/>
      <c r="AU1252" s="19"/>
    </row>
    <row r="1253" spans="3:47">
      <c r="C1253" s="20"/>
      <c r="Z1253" s="20"/>
      <c r="AG1253" s="20"/>
      <c r="AQ1253" s="19"/>
      <c r="AR1253" s="19"/>
      <c r="AS1253" s="19"/>
      <c r="AT1253" s="19"/>
      <c r="AU1253" s="19"/>
    </row>
    <row r="1254" spans="3:47">
      <c r="C1254" s="20"/>
      <c r="Z1254" s="20"/>
      <c r="AG1254" s="20"/>
      <c r="AQ1254" s="19"/>
      <c r="AR1254" s="19"/>
      <c r="AS1254" s="19"/>
      <c r="AT1254" s="19"/>
      <c r="AU1254" s="19"/>
    </row>
    <row r="1255" spans="3:47">
      <c r="C1255" s="20"/>
      <c r="Z1255" s="20"/>
      <c r="AG1255" s="20"/>
      <c r="AQ1255" s="19"/>
      <c r="AR1255" s="19"/>
      <c r="AS1255" s="19"/>
      <c r="AT1255" s="19"/>
      <c r="AU1255" s="19"/>
    </row>
    <row r="1256" spans="3:47">
      <c r="C1256" s="20"/>
      <c r="Z1256" s="20"/>
      <c r="AG1256" s="20"/>
      <c r="AQ1256" s="19"/>
      <c r="AR1256" s="19"/>
      <c r="AS1256" s="19"/>
      <c r="AT1256" s="19"/>
      <c r="AU1256" s="19"/>
    </row>
    <row r="1257" spans="3:47">
      <c r="C1257" s="20"/>
      <c r="Z1257" s="20"/>
      <c r="AG1257" s="20"/>
      <c r="AQ1257" s="19"/>
      <c r="AR1257" s="19"/>
      <c r="AS1257" s="19"/>
      <c r="AT1257" s="19"/>
      <c r="AU1257" s="19"/>
    </row>
    <row r="1258" spans="3:47">
      <c r="C1258" s="20"/>
      <c r="Z1258" s="20"/>
      <c r="AG1258" s="20"/>
      <c r="AQ1258" s="19"/>
      <c r="AR1258" s="19"/>
      <c r="AS1258" s="19"/>
      <c r="AT1258" s="19"/>
      <c r="AU1258" s="19"/>
    </row>
    <row r="1259" spans="3:47">
      <c r="C1259" s="20"/>
      <c r="Z1259" s="20"/>
      <c r="AG1259" s="20"/>
      <c r="AQ1259" s="19"/>
      <c r="AR1259" s="19"/>
      <c r="AS1259" s="19"/>
      <c r="AT1259" s="19"/>
      <c r="AU1259" s="19"/>
    </row>
    <row r="1260" spans="3:47">
      <c r="C1260" s="20"/>
      <c r="Z1260" s="20"/>
      <c r="AG1260" s="20"/>
      <c r="AQ1260" s="19"/>
      <c r="AR1260" s="19"/>
      <c r="AS1260" s="19"/>
      <c r="AT1260" s="19"/>
      <c r="AU1260" s="19"/>
    </row>
    <row r="1261" spans="3:47">
      <c r="C1261" s="20"/>
      <c r="Z1261" s="20"/>
      <c r="AG1261" s="20"/>
      <c r="AQ1261" s="19"/>
      <c r="AR1261" s="19"/>
      <c r="AS1261" s="19"/>
      <c r="AT1261" s="19"/>
      <c r="AU1261" s="19"/>
    </row>
    <row r="1262" spans="3:47">
      <c r="C1262" s="20"/>
      <c r="Z1262" s="20"/>
      <c r="AG1262" s="20"/>
      <c r="AQ1262" s="19"/>
      <c r="AR1262" s="19"/>
      <c r="AS1262" s="19"/>
      <c r="AT1262" s="19"/>
      <c r="AU1262" s="19"/>
    </row>
    <row r="1263" spans="3:47">
      <c r="C1263" s="20"/>
      <c r="Z1263" s="20"/>
      <c r="AG1263" s="20"/>
      <c r="AQ1263" s="19"/>
      <c r="AR1263" s="19"/>
      <c r="AS1263" s="19"/>
      <c r="AT1263" s="19"/>
      <c r="AU1263" s="19"/>
    </row>
    <row r="1264" spans="3:47">
      <c r="C1264" s="20"/>
      <c r="Z1264" s="20"/>
      <c r="AG1264" s="20"/>
      <c r="AQ1264" s="19"/>
      <c r="AR1264" s="19"/>
      <c r="AS1264" s="19"/>
      <c r="AT1264" s="19"/>
      <c r="AU1264" s="19"/>
    </row>
    <row r="1265" spans="3:47">
      <c r="C1265" s="20"/>
      <c r="Z1265" s="20"/>
      <c r="AG1265" s="20"/>
      <c r="AQ1265" s="19"/>
      <c r="AR1265" s="19"/>
      <c r="AS1265" s="19"/>
      <c r="AT1265" s="19"/>
      <c r="AU1265" s="19"/>
    </row>
    <row r="1266" spans="3:47">
      <c r="C1266" s="20"/>
      <c r="Z1266" s="20"/>
      <c r="AG1266" s="20"/>
      <c r="AQ1266" s="19"/>
      <c r="AR1266" s="19"/>
      <c r="AS1266" s="19"/>
      <c r="AT1266" s="19"/>
      <c r="AU1266" s="19"/>
    </row>
    <row r="1267" spans="3:47">
      <c r="C1267" s="20"/>
      <c r="Z1267" s="20"/>
      <c r="AG1267" s="20"/>
      <c r="AQ1267" s="19"/>
      <c r="AR1267" s="19"/>
      <c r="AS1267" s="19"/>
      <c r="AT1267" s="19"/>
      <c r="AU1267" s="19"/>
    </row>
    <row r="1268" spans="3:47">
      <c r="C1268" s="20"/>
      <c r="Z1268" s="20"/>
      <c r="AG1268" s="20"/>
      <c r="AQ1268" s="19"/>
      <c r="AR1268" s="19"/>
      <c r="AS1268" s="19"/>
      <c r="AT1268" s="19"/>
      <c r="AU1268" s="19"/>
    </row>
    <row r="1269" spans="3:47">
      <c r="C1269" s="20"/>
      <c r="Z1269" s="20"/>
      <c r="AG1269" s="20"/>
      <c r="AQ1269" s="19"/>
      <c r="AR1269" s="19"/>
      <c r="AS1269" s="19"/>
      <c r="AT1269" s="19"/>
      <c r="AU1269" s="19"/>
    </row>
    <row r="1270" spans="3:47">
      <c r="C1270" s="20"/>
      <c r="Z1270" s="20"/>
      <c r="AG1270" s="20"/>
      <c r="AQ1270" s="19"/>
      <c r="AR1270" s="19"/>
      <c r="AS1270" s="19"/>
      <c r="AT1270" s="19"/>
      <c r="AU1270" s="19"/>
    </row>
    <row r="1271" spans="3:47">
      <c r="C1271" s="20"/>
      <c r="Z1271" s="20"/>
      <c r="AG1271" s="20"/>
      <c r="AQ1271" s="19"/>
      <c r="AR1271" s="19"/>
      <c r="AS1271" s="19"/>
      <c r="AT1271" s="19"/>
      <c r="AU1271" s="19"/>
    </row>
    <row r="1272" spans="3:47">
      <c r="C1272" s="20"/>
      <c r="Z1272" s="20"/>
      <c r="AG1272" s="20"/>
      <c r="AQ1272" s="19"/>
      <c r="AR1272" s="19"/>
      <c r="AS1272" s="19"/>
      <c r="AT1272" s="19"/>
      <c r="AU1272" s="19"/>
    </row>
    <row r="1273" spans="3:47">
      <c r="C1273" s="20"/>
      <c r="Z1273" s="20"/>
      <c r="AG1273" s="20"/>
      <c r="AQ1273" s="19"/>
      <c r="AR1273" s="19"/>
      <c r="AS1273" s="19"/>
      <c r="AT1273" s="19"/>
      <c r="AU1273" s="19"/>
    </row>
    <row r="1274" spans="3:47">
      <c r="C1274" s="20"/>
      <c r="Z1274" s="20"/>
      <c r="AG1274" s="20"/>
      <c r="AQ1274" s="19"/>
      <c r="AR1274" s="19"/>
      <c r="AS1274" s="19"/>
      <c r="AT1274" s="19"/>
      <c r="AU1274" s="19"/>
    </row>
    <row r="1275" spans="3:47">
      <c r="C1275" s="20"/>
      <c r="Z1275" s="20"/>
      <c r="AG1275" s="20"/>
      <c r="AQ1275" s="19"/>
      <c r="AR1275" s="19"/>
      <c r="AS1275" s="19"/>
      <c r="AT1275" s="19"/>
      <c r="AU1275" s="19"/>
    </row>
    <row r="1276" spans="3:47">
      <c r="C1276" s="20"/>
      <c r="Z1276" s="20"/>
      <c r="AG1276" s="20"/>
      <c r="AQ1276" s="19"/>
      <c r="AR1276" s="19"/>
      <c r="AS1276" s="19"/>
      <c r="AT1276" s="19"/>
      <c r="AU1276" s="19"/>
    </row>
    <row r="1277" spans="3:47">
      <c r="C1277" s="20"/>
      <c r="Z1277" s="20"/>
      <c r="AG1277" s="20"/>
      <c r="AQ1277" s="19"/>
      <c r="AR1277" s="19"/>
      <c r="AS1277" s="19"/>
      <c r="AT1277" s="19"/>
      <c r="AU1277" s="19"/>
    </row>
    <row r="1278" spans="3:47">
      <c r="C1278" s="20"/>
      <c r="Z1278" s="20"/>
      <c r="AG1278" s="20"/>
      <c r="AQ1278" s="19"/>
      <c r="AR1278" s="19"/>
      <c r="AS1278" s="19"/>
      <c r="AT1278" s="19"/>
      <c r="AU1278" s="19"/>
    </row>
    <row r="1279" spans="3:47">
      <c r="C1279" s="20"/>
      <c r="Z1279" s="20"/>
      <c r="AG1279" s="20"/>
      <c r="AQ1279" s="19"/>
      <c r="AR1279" s="19"/>
      <c r="AS1279" s="19"/>
      <c r="AT1279" s="19"/>
      <c r="AU1279" s="19"/>
    </row>
    <row r="1280" spans="3:47">
      <c r="C1280" s="20"/>
      <c r="Z1280" s="20"/>
      <c r="AG1280" s="20"/>
      <c r="AQ1280" s="19"/>
      <c r="AR1280" s="19"/>
      <c r="AS1280" s="19"/>
      <c r="AT1280" s="19"/>
      <c r="AU1280" s="19"/>
    </row>
    <row r="1281" spans="3:47">
      <c r="C1281" s="20"/>
      <c r="Z1281" s="20"/>
      <c r="AG1281" s="20"/>
      <c r="AQ1281" s="19"/>
      <c r="AR1281" s="19"/>
      <c r="AS1281" s="19"/>
      <c r="AT1281" s="19"/>
      <c r="AU1281" s="19"/>
    </row>
    <row r="1282" spans="3:47">
      <c r="C1282" s="20"/>
      <c r="Z1282" s="20"/>
      <c r="AG1282" s="20"/>
      <c r="AQ1282" s="19"/>
      <c r="AR1282" s="19"/>
      <c r="AS1282" s="19"/>
      <c r="AT1282" s="19"/>
      <c r="AU1282" s="19"/>
    </row>
    <row r="1283" spans="3:47">
      <c r="C1283" s="20"/>
      <c r="Z1283" s="20"/>
      <c r="AG1283" s="20"/>
      <c r="AQ1283" s="19"/>
      <c r="AR1283" s="19"/>
      <c r="AS1283" s="19"/>
      <c r="AT1283" s="19"/>
      <c r="AU1283" s="19"/>
    </row>
    <row r="1284" spans="3:47">
      <c r="C1284" s="20"/>
      <c r="Z1284" s="20"/>
      <c r="AG1284" s="20"/>
      <c r="AQ1284" s="19"/>
      <c r="AR1284" s="19"/>
      <c r="AS1284" s="19"/>
      <c r="AT1284" s="19"/>
      <c r="AU1284" s="19"/>
    </row>
    <row r="1285" spans="3:47">
      <c r="C1285" s="20"/>
      <c r="Z1285" s="20"/>
      <c r="AG1285" s="20"/>
      <c r="AQ1285" s="19"/>
      <c r="AR1285" s="19"/>
      <c r="AS1285" s="19"/>
      <c r="AT1285" s="19"/>
      <c r="AU1285" s="19"/>
    </row>
    <row r="1286" spans="3:47">
      <c r="C1286" s="20"/>
      <c r="Z1286" s="20"/>
      <c r="AG1286" s="20"/>
      <c r="AQ1286" s="19"/>
      <c r="AR1286" s="19"/>
      <c r="AS1286" s="19"/>
      <c r="AT1286" s="19"/>
      <c r="AU1286" s="19"/>
    </row>
    <row r="1287" spans="3:47">
      <c r="C1287" s="20"/>
      <c r="Z1287" s="20"/>
      <c r="AG1287" s="20"/>
      <c r="AQ1287" s="19"/>
      <c r="AR1287" s="19"/>
      <c r="AS1287" s="19"/>
      <c r="AT1287" s="19"/>
      <c r="AU1287" s="19"/>
    </row>
    <row r="1288" spans="3:47">
      <c r="C1288" s="20"/>
      <c r="Z1288" s="20"/>
      <c r="AG1288" s="20"/>
      <c r="AQ1288" s="19"/>
      <c r="AR1288" s="19"/>
      <c r="AS1288" s="19"/>
      <c r="AT1288" s="19"/>
      <c r="AU1288" s="19"/>
    </row>
    <row r="1289" spans="3:47">
      <c r="C1289" s="20"/>
      <c r="Z1289" s="20"/>
      <c r="AG1289" s="20"/>
      <c r="AQ1289" s="19"/>
      <c r="AR1289" s="19"/>
      <c r="AS1289" s="19"/>
      <c r="AT1289" s="19"/>
      <c r="AU1289" s="19"/>
    </row>
    <row r="1290" spans="3:47">
      <c r="C1290" s="20"/>
      <c r="Z1290" s="20"/>
      <c r="AG1290" s="20"/>
      <c r="AQ1290" s="19"/>
      <c r="AR1290" s="19"/>
      <c r="AS1290" s="19"/>
      <c r="AT1290" s="19"/>
      <c r="AU1290" s="19"/>
    </row>
    <row r="1291" spans="3:47">
      <c r="C1291" s="20"/>
      <c r="Z1291" s="20"/>
      <c r="AG1291" s="20"/>
      <c r="AQ1291" s="19"/>
      <c r="AR1291" s="19"/>
      <c r="AS1291" s="19"/>
      <c r="AT1291" s="19"/>
      <c r="AU1291" s="19"/>
    </row>
    <row r="1292" spans="3:47">
      <c r="C1292" s="20"/>
      <c r="Z1292" s="20"/>
      <c r="AG1292" s="20"/>
      <c r="AQ1292" s="19"/>
      <c r="AR1292" s="19"/>
      <c r="AS1292" s="19"/>
      <c r="AT1292" s="19"/>
      <c r="AU1292" s="19"/>
    </row>
    <row r="1293" spans="3:47">
      <c r="C1293" s="20"/>
      <c r="Z1293" s="20"/>
      <c r="AG1293" s="20"/>
      <c r="AQ1293" s="19"/>
      <c r="AR1293" s="19"/>
      <c r="AS1293" s="19"/>
      <c r="AT1293" s="19"/>
      <c r="AU1293" s="19"/>
    </row>
    <row r="1294" spans="3:47">
      <c r="C1294" s="20"/>
      <c r="Z1294" s="20"/>
      <c r="AG1294" s="20"/>
      <c r="AQ1294" s="19"/>
      <c r="AR1294" s="19"/>
      <c r="AS1294" s="19"/>
      <c r="AT1294" s="19"/>
      <c r="AU1294" s="19"/>
    </row>
    <row r="1295" spans="3:47">
      <c r="C1295" s="20"/>
      <c r="Z1295" s="20"/>
      <c r="AG1295" s="20"/>
      <c r="AQ1295" s="19"/>
      <c r="AR1295" s="19"/>
      <c r="AS1295" s="19"/>
      <c r="AT1295" s="19"/>
      <c r="AU1295" s="19"/>
    </row>
    <row r="1296" spans="3:47">
      <c r="C1296" s="20"/>
      <c r="Z1296" s="20"/>
      <c r="AG1296" s="20"/>
      <c r="AQ1296" s="19"/>
      <c r="AR1296" s="19"/>
      <c r="AS1296" s="19"/>
      <c r="AT1296" s="19"/>
      <c r="AU1296" s="19"/>
    </row>
    <row r="1297" spans="3:47">
      <c r="C1297" s="20"/>
      <c r="Z1297" s="20"/>
      <c r="AG1297" s="20"/>
      <c r="AQ1297" s="19"/>
      <c r="AR1297" s="19"/>
      <c r="AS1297" s="19"/>
      <c r="AT1297" s="19"/>
      <c r="AU1297" s="19"/>
    </row>
    <row r="1298" spans="3:47">
      <c r="C1298" s="20"/>
      <c r="Z1298" s="20"/>
      <c r="AG1298" s="20"/>
      <c r="AQ1298" s="19"/>
      <c r="AR1298" s="19"/>
      <c r="AS1298" s="19"/>
      <c r="AT1298" s="19"/>
      <c r="AU1298" s="19"/>
    </row>
    <row r="1299" spans="3:47">
      <c r="C1299" s="20"/>
      <c r="Z1299" s="20"/>
      <c r="AG1299" s="20"/>
      <c r="AQ1299" s="19"/>
      <c r="AR1299" s="19"/>
      <c r="AS1299" s="19"/>
      <c r="AT1299" s="19"/>
      <c r="AU1299" s="19"/>
    </row>
    <row r="1300" spans="3:47">
      <c r="C1300" s="20"/>
      <c r="Z1300" s="20"/>
      <c r="AG1300" s="20"/>
      <c r="AQ1300" s="19"/>
      <c r="AR1300" s="19"/>
      <c r="AS1300" s="19"/>
      <c r="AT1300" s="19"/>
      <c r="AU1300" s="19"/>
    </row>
    <row r="1301" spans="3:47">
      <c r="C1301" s="20"/>
      <c r="Z1301" s="20"/>
      <c r="AG1301" s="20"/>
      <c r="AQ1301" s="19"/>
      <c r="AR1301" s="19"/>
      <c r="AS1301" s="19"/>
      <c r="AT1301" s="19"/>
      <c r="AU1301" s="19"/>
    </row>
    <row r="1302" spans="3:47">
      <c r="C1302" s="20"/>
      <c r="Z1302" s="20"/>
      <c r="AG1302" s="20"/>
      <c r="AQ1302" s="19"/>
      <c r="AR1302" s="19"/>
      <c r="AS1302" s="19"/>
      <c r="AT1302" s="19"/>
      <c r="AU1302" s="19"/>
    </row>
    <row r="1303" spans="3:47">
      <c r="C1303" s="20"/>
      <c r="Z1303" s="20"/>
      <c r="AG1303" s="20"/>
      <c r="AQ1303" s="19"/>
      <c r="AR1303" s="19"/>
      <c r="AS1303" s="19"/>
      <c r="AT1303" s="19"/>
      <c r="AU1303" s="19"/>
    </row>
    <row r="1304" spans="3:47">
      <c r="C1304" s="20"/>
      <c r="Z1304" s="20"/>
      <c r="AG1304" s="20"/>
      <c r="AQ1304" s="19"/>
      <c r="AR1304" s="19"/>
      <c r="AS1304" s="19"/>
      <c r="AT1304" s="19"/>
      <c r="AU1304" s="19"/>
    </row>
    <row r="1305" spans="3:47">
      <c r="C1305" s="20"/>
      <c r="Z1305" s="20"/>
      <c r="AG1305" s="20"/>
      <c r="AQ1305" s="19"/>
      <c r="AR1305" s="19"/>
      <c r="AS1305" s="19"/>
      <c r="AT1305" s="19"/>
      <c r="AU1305" s="19"/>
    </row>
    <row r="1306" spans="3:47">
      <c r="C1306" s="20"/>
      <c r="Z1306" s="20"/>
      <c r="AG1306" s="20"/>
      <c r="AQ1306" s="19"/>
      <c r="AR1306" s="19"/>
      <c r="AS1306" s="19"/>
      <c r="AT1306" s="19"/>
      <c r="AU1306" s="19"/>
    </row>
    <row r="1307" spans="3:47">
      <c r="C1307" s="20"/>
      <c r="Z1307" s="20"/>
      <c r="AG1307" s="20"/>
      <c r="AQ1307" s="19"/>
      <c r="AR1307" s="19"/>
      <c r="AS1307" s="19"/>
      <c r="AT1307" s="19"/>
      <c r="AU1307" s="19"/>
    </row>
    <row r="1308" spans="3:47">
      <c r="C1308" s="20"/>
      <c r="Z1308" s="20"/>
      <c r="AG1308" s="20"/>
      <c r="AQ1308" s="19"/>
      <c r="AR1308" s="19"/>
      <c r="AS1308" s="19"/>
      <c r="AT1308" s="19"/>
      <c r="AU1308" s="19"/>
    </row>
    <row r="1309" spans="3:47">
      <c r="C1309" s="20"/>
      <c r="Z1309" s="20"/>
      <c r="AG1309" s="20"/>
      <c r="AQ1309" s="19"/>
      <c r="AR1309" s="19"/>
      <c r="AS1309" s="19"/>
      <c r="AT1309" s="19"/>
      <c r="AU1309" s="19"/>
    </row>
    <row r="1310" spans="3:47">
      <c r="C1310" s="20"/>
      <c r="Z1310" s="20"/>
      <c r="AG1310" s="20"/>
      <c r="AQ1310" s="19"/>
      <c r="AR1310" s="19"/>
      <c r="AS1310" s="19"/>
      <c r="AT1310" s="19"/>
      <c r="AU1310" s="19"/>
    </row>
    <row r="1311" spans="3:47">
      <c r="C1311" s="20"/>
      <c r="Z1311" s="20"/>
      <c r="AG1311" s="20"/>
      <c r="AQ1311" s="19"/>
      <c r="AR1311" s="19"/>
      <c r="AS1311" s="19"/>
      <c r="AT1311" s="19"/>
      <c r="AU1311" s="19"/>
    </row>
    <row r="1312" spans="3:47">
      <c r="C1312" s="20"/>
      <c r="Z1312" s="20"/>
      <c r="AG1312" s="20"/>
      <c r="AQ1312" s="19"/>
      <c r="AR1312" s="19"/>
      <c r="AS1312" s="19"/>
      <c r="AT1312" s="19"/>
      <c r="AU1312" s="19"/>
    </row>
    <row r="1313" spans="3:47">
      <c r="C1313" s="20"/>
      <c r="Z1313" s="20"/>
      <c r="AG1313" s="20"/>
      <c r="AQ1313" s="19"/>
      <c r="AR1313" s="19"/>
      <c r="AS1313" s="19"/>
      <c r="AT1313" s="19"/>
      <c r="AU1313" s="19"/>
    </row>
    <row r="1314" spans="3:47">
      <c r="C1314" s="20"/>
      <c r="Z1314" s="20"/>
      <c r="AG1314" s="20"/>
      <c r="AQ1314" s="19"/>
      <c r="AR1314" s="19"/>
      <c r="AS1314" s="19"/>
      <c r="AT1314" s="19"/>
      <c r="AU1314" s="19"/>
    </row>
    <row r="1315" spans="3:47">
      <c r="C1315" s="20"/>
      <c r="Z1315" s="20"/>
      <c r="AG1315" s="20"/>
      <c r="AQ1315" s="19"/>
      <c r="AR1315" s="19"/>
      <c r="AS1315" s="19"/>
      <c r="AT1315" s="19"/>
      <c r="AU1315" s="19"/>
    </row>
    <row r="1316" spans="3:47">
      <c r="C1316" s="20"/>
      <c r="Z1316" s="20"/>
      <c r="AG1316" s="20"/>
      <c r="AQ1316" s="19"/>
      <c r="AR1316" s="19"/>
      <c r="AS1316" s="19"/>
      <c r="AT1316" s="19"/>
      <c r="AU1316" s="19"/>
    </row>
    <row r="1317" spans="3:47">
      <c r="C1317" s="20"/>
      <c r="Z1317" s="20"/>
      <c r="AG1317" s="20"/>
      <c r="AQ1317" s="19"/>
      <c r="AR1317" s="19"/>
      <c r="AS1317" s="19"/>
      <c r="AT1317" s="19"/>
      <c r="AU1317" s="19"/>
    </row>
    <row r="1318" spans="3:47">
      <c r="C1318" s="20"/>
      <c r="Z1318" s="20"/>
      <c r="AG1318" s="20"/>
      <c r="AQ1318" s="19"/>
      <c r="AR1318" s="19"/>
      <c r="AS1318" s="19"/>
      <c r="AT1318" s="19"/>
      <c r="AU1318" s="19"/>
    </row>
    <row r="1319" spans="3:47">
      <c r="C1319" s="20"/>
      <c r="Z1319" s="20"/>
      <c r="AG1319" s="20"/>
      <c r="AQ1319" s="19"/>
      <c r="AR1319" s="19"/>
      <c r="AS1319" s="19"/>
      <c r="AT1319" s="19"/>
      <c r="AU1319" s="19"/>
    </row>
    <row r="1320" spans="3:47">
      <c r="C1320" s="20"/>
      <c r="Z1320" s="20"/>
      <c r="AG1320" s="20"/>
      <c r="AQ1320" s="19"/>
      <c r="AR1320" s="19"/>
      <c r="AS1320" s="19"/>
      <c r="AT1320" s="19"/>
      <c r="AU1320" s="19"/>
    </row>
    <row r="1321" spans="3:47">
      <c r="C1321" s="20"/>
      <c r="Z1321" s="20"/>
      <c r="AG1321" s="20"/>
      <c r="AQ1321" s="19"/>
      <c r="AR1321" s="19"/>
      <c r="AS1321" s="19"/>
      <c r="AT1321" s="19"/>
      <c r="AU1321" s="19"/>
    </row>
    <row r="1322" spans="3:47">
      <c r="C1322" s="20"/>
      <c r="Z1322" s="20"/>
      <c r="AG1322" s="20"/>
      <c r="AQ1322" s="19"/>
      <c r="AR1322" s="19"/>
      <c r="AS1322" s="19"/>
      <c r="AT1322" s="19"/>
      <c r="AU1322" s="19"/>
    </row>
    <row r="1323" spans="3:47">
      <c r="C1323" s="20"/>
      <c r="Z1323" s="20"/>
      <c r="AG1323" s="20"/>
      <c r="AQ1323" s="19"/>
      <c r="AR1323" s="19"/>
      <c r="AS1323" s="19"/>
      <c r="AT1323" s="19"/>
      <c r="AU1323" s="19"/>
    </row>
    <row r="1324" spans="3:47">
      <c r="C1324" s="20"/>
      <c r="Z1324" s="20"/>
      <c r="AG1324" s="20"/>
      <c r="AQ1324" s="19"/>
      <c r="AR1324" s="19"/>
      <c r="AS1324" s="19"/>
      <c r="AT1324" s="19"/>
      <c r="AU1324" s="19"/>
    </row>
    <row r="1325" spans="3:47">
      <c r="C1325" s="20"/>
      <c r="Z1325" s="20"/>
      <c r="AG1325" s="20"/>
      <c r="AQ1325" s="19"/>
      <c r="AR1325" s="19"/>
      <c r="AS1325" s="19"/>
      <c r="AT1325" s="19"/>
      <c r="AU1325" s="19"/>
    </row>
    <row r="1326" spans="3:47">
      <c r="C1326" s="20"/>
      <c r="Z1326" s="20"/>
      <c r="AG1326" s="20"/>
      <c r="AQ1326" s="19"/>
      <c r="AR1326" s="19"/>
      <c r="AS1326" s="19"/>
      <c r="AT1326" s="19"/>
      <c r="AU1326" s="19"/>
    </row>
    <row r="1327" spans="3:47">
      <c r="C1327" s="20"/>
      <c r="Z1327" s="20"/>
      <c r="AG1327" s="20"/>
      <c r="AQ1327" s="19"/>
      <c r="AR1327" s="19"/>
      <c r="AS1327" s="19"/>
      <c r="AT1327" s="19"/>
      <c r="AU1327" s="19"/>
    </row>
    <row r="1328" spans="3:47">
      <c r="C1328" s="20"/>
      <c r="Z1328" s="20"/>
      <c r="AG1328" s="20"/>
      <c r="AQ1328" s="19"/>
      <c r="AR1328" s="19"/>
      <c r="AS1328" s="19"/>
      <c r="AT1328" s="19"/>
      <c r="AU1328" s="19"/>
    </row>
    <row r="1329" spans="3:47">
      <c r="C1329" s="20"/>
      <c r="Z1329" s="20"/>
      <c r="AG1329" s="20"/>
      <c r="AQ1329" s="19"/>
      <c r="AR1329" s="19"/>
      <c r="AS1329" s="19"/>
      <c r="AT1329" s="19"/>
      <c r="AU1329" s="19"/>
    </row>
    <row r="1330" spans="3:47">
      <c r="C1330" s="20"/>
      <c r="Z1330" s="20"/>
      <c r="AG1330" s="20"/>
      <c r="AQ1330" s="19"/>
      <c r="AR1330" s="19"/>
      <c r="AS1330" s="19"/>
      <c r="AT1330" s="19"/>
      <c r="AU1330" s="19"/>
    </row>
    <row r="1331" spans="3:47">
      <c r="C1331" s="20"/>
      <c r="Z1331" s="20"/>
      <c r="AG1331" s="20"/>
      <c r="AQ1331" s="19"/>
      <c r="AR1331" s="19"/>
      <c r="AS1331" s="19"/>
      <c r="AT1331" s="19"/>
      <c r="AU1331" s="19"/>
    </row>
    <row r="1332" spans="3:47">
      <c r="C1332" s="20"/>
      <c r="Z1332" s="20"/>
      <c r="AG1332" s="20"/>
      <c r="AQ1332" s="19"/>
      <c r="AR1332" s="19"/>
      <c r="AS1332" s="19"/>
      <c r="AT1332" s="19"/>
      <c r="AU1332" s="19"/>
    </row>
    <row r="1333" spans="3:47">
      <c r="C1333" s="20"/>
      <c r="Z1333" s="20"/>
      <c r="AG1333" s="20"/>
      <c r="AQ1333" s="19"/>
      <c r="AR1333" s="19"/>
      <c r="AS1333" s="19"/>
      <c r="AT1333" s="19"/>
      <c r="AU1333" s="19"/>
    </row>
    <row r="1334" spans="3:47">
      <c r="C1334" s="20"/>
      <c r="Z1334" s="20"/>
      <c r="AG1334" s="20"/>
      <c r="AQ1334" s="19"/>
      <c r="AR1334" s="19"/>
      <c r="AS1334" s="19"/>
      <c r="AT1334" s="19"/>
      <c r="AU1334" s="19"/>
    </row>
    <row r="1335" spans="3:47">
      <c r="C1335" s="20"/>
      <c r="Z1335" s="20"/>
      <c r="AG1335" s="20"/>
      <c r="AQ1335" s="19"/>
      <c r="AR1335" s="19"/>
      <c r="AS1335" s="19"/>
      <c r="AT1335" s="19"/>
      <c r="AU1335" s="19"/>
    </row>
    <row r="1336" spans="3:47">
      <c r="C1336" s="20"/>
      <c r="Z1336" s="20"/>
      <c r="AG1336" s="20"/>
      <c r="AQ1336" s="19"/>
      <c r="AR1336" s="19"/>
      <c r="AS1336" s="19"/>
      <c r="AT1336" s="19"/>
      <c r="AU1336" s="19"/>
    </row>
    <row r="1337" spans="3:47">
      <c r="C1337" s="20"/>
      <c r="Z1337" s="20"/>
      <c r="AG1337" s="20"/>
      <c r="AQ1337" s="19"/>
      <c r="AR1337" s="19"/>
      <c r="AS1337" s="19"/>
      <c r="AT1337" s="19"/>
      <c r="AU1337" s="19"/>
    </row>
    <row r="1338" spans="3:47">
      <c r="C1338" s="20"/>
      <c r="Z1338" s="20"/>
      <c r="AG1338" s="20"/>
      <c r="AQ1338" s="19"/>
      <c r="AR1338" s="19"/>
      <c r="AS1338" s="19"/>
      <c r="AT1338" s="19"/>
      <c r="AU1338" s="19"/>
    </row>
    <row r="1339" spans="3:47">
      <c r="C1339" s="20"/>
      <c r="Z1339" s="20"/>
      <c r="AG1339" s="20"/>
      <c r="AQ1339" s="19"/>
      <c r="AR1339" s="19"/>
      <c r="AS1339" s="19"/>
      <c r="AT1339" s="19"/>
      <c r="AU1339" s="19"/>
    </row>
    <row r="1340" spans="3:47">
      <c r="C1340" s="20"/>
      <c r="Z1340" s="20"/>
      <c r="AG1340" s="20"/>
      <c r="AQ1340" s="19"/>
      <c r="AR1340" s="19"/>
      <c r="AS1340" s="19"/>
      <c r="AT1340" s="19"/>
      <c r="AU1340" s="19"/>
    </row>
    <row r="1341" spans="3:47">
      <c r="C1341" s="20"/>
      <c r="Z1341" s="20"/>
      <c r="AG1341" s="20"/>
      <c r="AQ1341" s="19"/>
      <c r="AR1341" s="19"/>
      <c r="AS1341" s="19"/>
      <c r="AT1341" s="19"/>
      <c r="AU1341" s="19"/>
    </row>
    <row r="1342" spans="3:47">
      <c r="C1342" s="20"/>
      <c r="Z1342" s="20"/>
      <c r="AG1342" s="20"/>
      <c r="AQ1342" s="19"/>
      <c r="AR1342" s="19"/>
      <c r="AS1342" s="19"/>
      <c r="AT1342" s="19"/>
      <c r="AU1342" s="19"/>
    </row>
    <row r="1343" spans="3:47">
      <c r="C1343" s="20"/>
      <c r="Z1343" s="20"/>
      <c r="AG1343" s="20"/>
      <c r="AQ1343" s="19"/>
      <c r="AR1343" s="19"/>
      <c r="AS1343" s="19"/>
      <c r="AT1343" s="19"/>
      <c r="AU1343" s="19"/>
    </row>
    <row r="1344" spans="3:47">
      <c r="C1344" s="20"/>
      <c r="Z1344" s="20"/>
      <c r="AG1344" s="20"/>
      <c r="AQ1344" s="19"/>
      <c r="AR1344" s="19"/>
      <c r="AS1344" s="19"/>
      <c r="AT1344" s="19"/>
      <c r="AU1344" s="19"/>
    </row>
    <row r="1345" spans="3:47">
      <c r="C1345" s="20"/>
      <c r="Z1345" s="20"/>
      <c r="AG1345" s="20"/>
      <c r="AQ1345" s="19"/>
      <c r="AR1345" s="19"/>
      <c r="AS1345" s="19"/>
      <c r="AT1345" s="19"/>
      <c r="AU1345" s="19"/>
    </row>
    <row r="1346" spans="3:47">
      <c r="C1346" s="20"/>
      <c r="Z1346" s="20"/>
      <c r="AG1346" s="20"/>
      <c r="AQ1346" s="19"/>
      <c r="AR1346" s="19"/>
      <c r="AS1346" s="19"/>
      <c r="AT1346" s="19"/>
      <c r="AU1346" s="19"/>
    </row>
    <row r="1347" spans="3:47">
      <c r="C1347" s="20"/>
      <c r="Z1347" s="20"/>
      <c r="AG1347" s="20"/>
      <c r="AQ1347" s="19"/>
      <c r="AR1347" s="19"/>
      <c r="AS1347" s="19"/>
      <c r="AT1347" s="19"/>
      <c r="AU1347" s="19"/>
    </row>
    <row r="1348" spans="3:47">
      <c r="C1348" s="20"/>
      <c r="Z1348" s="20"/>
      <c r="AG1348" s="20"/>
      <c r="AQ1348" s="19"/>
      <c r="AR1348" s="19"/>
      <c r="AS1348" s="19"/>
      <c r="AT1348" s="19"/>
      <c r="AU1348" s="19"/>
    </row>
    <row r="1349" spans="3:47">
      <c r="C1349" s="20"/>
      <c r="Z1349" s="20"/>
      <c r="AG1349" s="20"/>
      <c r="AQ1349" s="19"/>
      <c r="AR1349" s="19"/>
      <c r="AS1349" s="19"/>
      <c r="AT1349" s="19"/>
      <c r="AU1349" s="19"/>
    </row>
    <row r="1350" spans="3:47">
      <c r="C1350" s="20"/>
      <c r="Z1350" s="20"/>
      <c r="AG1350" s="20"/>
      <c r="AQ1350" s="19"/>
      <c r="AR1350" s="19"/>
      <c r="AS1350" s="19"/>
      <c r="AT1350" s="19"/>
      <c r="AU1350" s="19"/>
    </row>
    <row r="1351" spans="3:47">
      <c r="C1351" s="20"/>
      <c r="Z1351" s="20"/>
      <c r="AG1351" s="20"/>
      <c r="AQ1351" s="19"/>
      <c r="AR1351" s="19"/>
      <c r="AS1351" s="19"/>
      <c r="AT1351" s="19"/>
      <c r="AU1351" s="19"/>
    </row>
    <row r="1352" spans="3:47">
      <c r="C1352" s="20"/>
      <c r="Z1352" s="20"/>
      <c r="AG1352" s="20"/>
      <c r="AQ1352" s="19"/>
      <c r="AR1352" s="19"/>
      <c r="AS1352" s="19"/>
      <c r="AT1352" s="19"/>
      <c r="AU1352" s="19"/>
    </row>
    <row r="1353" spans="3:47">
      <c r="C1353" s="20"/>
      <c r="Z1353" s="20"/>
      <c r="AG1353" s="20"/>
      <c r="AQ1353" s="19"/>
      <c r="AR1353" s="19"/>
      <c r="AS1353" s="19"/>
      <c r="AT1353" s="19"/>
      <c r="AU1353" s="19"/>
    </row>
    <row r="1354" spans="3:47">
      <c r="C1354" s="20"/>
      <c r="Z1354" s="20"/>
      <c r="AG1354" s="20"/>
      <c r="AQ1354" s="19"/>
      <c r="AR1354" s="19"/>
      <c r="AS1354" s="19"/>
      <c r="AT1354" s="19"/>
      <c r="AU1354" s="19"/>
    </row>
    <row r="1355" spans="3:47">
      <c r="C1355" s="20"/>
      <c r="Z1355" s="20"/>
      <c r="AG1355" s="20"/>
      <c r="AQ1355" s="19"/>
      <c r="AR1355" s="19"/>
      <c r="AS1355" s="19"/>
      <c r="AT1355" s="19"/>
      <c r="AU1355" s="19"/>
    </row>
    <row r="1356" spans="3:47">
      <c r="C1356" s="20"/>
      <c r="Z1356" s="20"/>
      <c r="AG1356" s="20"/>
      <c r="AQ1356" s="19"/>
      <c r="AR1356" s="19"/>
      <c r="AS1356" s="19"/>
      <c r="AT1356" s="19"/>
      <c r="AU1356" s="19"/>
    </row>
    <row r="1357" spans="3:47">
      <c r="C1357" s="20"/>
      <c r="Z1357" s="20"/>
      <c r="AG1357" s="20"/>
      <c r="AQ1357" s="19"/>
      <c r="AR1357" s="19"/>
      <c r="AS1357" s="19"/>
      <c r="AT1357" s="19"/>
      <c r="AU1357" s="19"/>
    </row>
    <row r="1358" spans="3:47">
      <c r="C1358" s="20"/>
      <c r="Z1358" s="20"/>
      <c r="AG1358" s="20"/>
      <c r="AQ1358" s="19"/>
      <c r="AR1358" s="19"/>
      <c r="AS1358" s="19"/>
      <c r="AT1358" s="19"/>
      <c r="AU1358" s="19"/>
    </row>
    <row r="1359" spans="3:47">
      <c r="C1359" s="20"/>
      <c r="Z1359" s="20"/>
      <c r="AG1359" s="20"/>
      <c r="AQ1359" s="19"/>
      <c r="AR1359" s="19"/>
      <c r="AS1359" s="19"/>
      <c r="AT1359" s="19"/>
      <c r="AU1359" s="19"/>
    </row>
    <row r="1360" spans="3:47">
      <c r="C1360" s="20"/>
      <c r="Z1360" s="20"/>
      <c r="AG1360" s="20"/>
      <c r="AQ1360" s="19"/>
      <c r="AR1360" s="19"/>
      <c r="AS1360" s="19"/>
      <c r="AT1360" s="19"/>
      <c r="AU1360" s="19"/>
    </row>
    <row r="1361" spans="3:47">
      <c r="C1361" s="20"/>
      <c r="Z1361" s="20"/>
      <c r="AG1361" s="20"/>
      <c r="AQ1361" s="19"/>
      <c r="AR1361" s="19"/>
      <c r="AS1361" s="19"/>
      <c r="AT1361" s="19"/>
      <c r="AU1361" s="19"/>
    </row>
    <row r="1362" spans="3:47">
      <c r="C1362" s="20"/>
      <c r="Z1362" s="20"/>
      <c r="AG1362" s="20"/>
      <c r="AQ1362" s="19"/>
      <c r="AR1362" s="19"/>
      <c r="AS1362" s="19"/>
      <c r="AT1362" s="19"/>
      <c r="AU1362" s="19"/>
    </row>
    <row r="1363" spans="3:47">
      <c r="C1363" s="20"/>
      <c r="Z1363" s="20"/>
      <c r="AG1363" s="20"/>
      <c r="AQ1363" s="19"/>
      <c r="AR1363" s="19"/>
      <c r="AS1363" s="19"/>
      <c r="AT1363" s="19"/>
      <c r="AU1363" s="19"/>
    </row>
    <row r="1364" spans="3:47">
      <c r="C1364" s="20"/>
      <c r="Z1364" s="20"/>
      <c r="AG1364" s="20"/>
      <c r="AQ1364" s="19"/>
      <c r="AR1364" s="19"/>
      <c r="AS1364" s="19"/>
      <c r="AT1364" s="19"/>
      <c r="AU1364" s="19"/>
    </row>
    <row r="1365" spans="3:47">
      <c r="C1365" s="20"/>
      <c r="Z1365" s="20"/>
      <c r="AG1365" s="20"/>
      <c r="AQ1365" s="19"/>
      <c r="AR1365" s="19"/>
      <c r="AS1365" s="19"/>
      <c r="AT1365" s="19"/>
      <c r="AU1365" s="19"/>
    </row>
    <row r="1366" spans="3:47">
      <c r="C1366" s="20"/>
      <c r="Z1366" s="20"/>
      <c r="AG1366" s="20"/>
      <c r="AQ1366" s="19"/>
      <c r="AR1366" s="19"/>
      <c r="AS1366" s="19"/>
      <c r="AT1366" s="19"/>
      <c r="AU1366" s="19"/>
    </row>
    <row r="1367" spans="3:47">
      <c r="C1367" s="20"/>
      <c r="Z1367" s="20"/>
      <c r="AG1367" s="20"/>
      <c r="AQ1367" s="19"/>
      <c r="AR1367" s="19"/>
      <c r="AS1367" s="19"/>
      <c r="AT1367" s="19"/>
      <c r="AU1367" s="19"/>
    </row>
    <row r="1368" spans="3:47">
      <c r="C1368" s="20"/>
      <c r="Z1368" s="20"/>
      <c r="AG1368" s="20"/>
      <c r="AQ1368" s="19"/>
      <c r="AR1368" s="19"/>
      <c r="AS1368" s="19"/>
      <c r="AT1368" s="19"/>
      <c r="AU1368" s="19"/>
    </row>
    <row r="1369" spans="3:47">
      <c r="C1369" s="20"/>
      <c r="Z1369" s="20"/>
      <c r="AG1369" s="20"/>
      <c r="AQ1369" s="19"/>
      <c r="AR1369" s="19"/>
      <c r="AS1369" s="19"/>
      <c r="AT1369" s="19"/>
      <c r="AU1369" s="19"/>
    </row>
    <row r="1370" spans="3:47">
      <c r="C1370" s="20"/>
      <c r="Z1370" s="20"/>
      <c r="AG1370" s="20"/>
      <c r="AQ1370" s="19"/>
      <c r="AR1370" s="19"/>
      <c r="AS1370" s="19"/>
      <c r="AT1370" s="19"/>
      <c r="AU1370" s="19"/>
    </row>
    <row r="1371" spans="3:47">
      <c r="C1371" s="20"/>
      <c r="Z1371" s="20"/>
      <c r="AG1371" s="20"/>
      <c r="AQ1371" s="19"/>
      <c r="AR1371" s="19"/>
      <c r="AS1371" s="19"/>
      <c r="AT1371" s="19"/>
      <c r="AU1371" s="19"/>
    </row>
    <row r="1372" spans="3:47">
      <c r="C1372" s="20"/>
      <c r="Z1372" s="20"/>
      <c r="AG1372" s="20"/>
      <c r="AQ1372" s="19"/>
      <c r="AR1372" s="19"/>
      <c r="AS1372" s="19"/>
      <c r="AT1372" s="19"/>
      <c r="AU1372" s="19"/>
    </row>
    <row r="1373" spans="3:47">
      <c r="C1373" s="20"/>
      <c r="Z1373" s="20"/>
      <c r="AG1373" s="20"/>
      <c r="AQ1373" s="19"/>
      <c r="AR1373" s="19"/>
      <c r="AS1373" s="19"/>
      <c r="AT1373" s="19"/>
      <c r="AU1373" s="19"/>
    </row>
    <row r="1374" spans="3:47">
      <c r="C1374" s="20"/>
      <c r="Z1374" s="20"/>
      <c r="AG1374" s="20"/>
      <c r="AQ1374" s="19"/>
      <c r="AR1374" s="19"/>
      <c r="AS1374" s="19"/>
      <c r="AT1374" s="19"/>
      <c r="AU1374" s="19"/>
    </row>
    <row r="1375" spans="3:47">
      <c r="C1375" s="20"/>
      <c r="Z1375" s="20"/>
      <c r="AG1375" s="20"/>
      <c r="AQ1375" s="19"/>
      <c r="AR1375" s="19"/>
      <c r="AS1375" s="19"/>
      <c r="AT1375" s="19"/>
      <c r="AU1375" s="19"/>
    </row>
    <row r="1376" spans="3:47">
      <c r="C1376" s="20"/>
      <c r="Z1376" s="20"/>
      <c r="AG1376" s="20"/>
      <c r="AQ1376" s="19"/>
      <c r="AR1376" s="19"/>
      <c r="AS1376" s="19"/>
      <c r="AT1376" s="19"/>
      <c r="AU1376" s="19"/>
    </row>
    <row r="1377" spans="3:47">
      <c r="C1377" s="20"/>
      <c r="Z1377" s="20"/>
      <c r="AG1377" s="20"/>
      <c r="AQ1377" s="19"/>
      <c r="AR1377" s="19"/>
      <c r="AS1377" s="19"/>
      <c r="AT1377" s="19"/>
      <c r="AU1377" s="19"/>
    </row>
    <row r="1378" spans="3:47">
      <c r="C1378" s="20"/>
      <c r="Z1378" s="20"/>
      <c r="AG1378" s="20"/>
      <c r="AQ1378" s="19"/>
      <c r="AR1378" s="19"/>
      <c r="AS1378" s="19"/>
      <c r="AT1378" s="19"/>
      <c r="AU1378" s="19"/>
    </row>
    <row r="1379" spans="3:47">
      <c r="C1379" s="20"/>
      <c r="Z1379" s="20"/>
      <c r="AG1379" s="20"/>
      <c r="AQ1379" s="19"/>
      <c r="AR1379" s="19"/>
      <c r="AS1379" s="19"/>
      <c r="AT1379" s="19"/>
      <c r="AU1379" s="19"/>
    </row>
    <row r="1380" spans="3:47">
      <c r="C1380" s="20"/>
      <c r="Z1380" s="20"/>
      <c r="AG1380" s="20"/>
      <c r="AQ1380" s="19"/>
      <c r="AR1380" s="19"/>
      <c r="AS1380" s="19"/>
      <c r="AT1380" s="19"/>
      <c r="AU1380" s="19"/>
    </row>
    <row r="1381" spans="3:47">
      <c r="C1381" s="20"/>
      <c r="Z1381" s="20"/>
      <c r="AG1381" s="20"/>
      <c r="AQ1381" s="19"/>
      <c r="AR1381" s="19"/>
      <c r="AS1381" s="19"/>
      <c r="AT1381" s="19"/>
      <c r="AU1381" s="19"/>
    </row>
    <row r="1382" spans="3:47">
      <c r="C1382" s="20"/>
      <c r="Z1382" s="20"/>
      <c r="AG1382" s="20"/>
      <c r="AQ1382" s="19"/>
      <c r="AR1382" s="19"/>
      <c r="AS1382" s="19"/>
      <c r="AT1382" s="19"/>
      <c r="AU1382" s="19"/>
    </row>
    <row r="1383" spans="3:47">
      <c r="C1383" s="20"/>
      <c r="Z1383" s="20"/>
      <c r="AG1383" s="20"/>
      <c r="AQ1383" s="19"/>
      <c r="AR1383" s="19"/>
      <c r="AS1383" s="19"/>
      <c r="AT1383" s="19"/>
      <c r="AU1383" s="19"/>
    </row>
    <row r="1384" spans="3:47">
      <c r="C1384" s="20"/>
      <c r="Z1384" s="20"/>
      <c r="AG1384" s="20"/>
      <c r="AQ1384" s="19"/>
      <c r="AR1384" s="19"/>
      <c r="AS1384" s="19"/>
      <c r="AT1384" s="19"/>
      <c r="AU1384" s="19"/>
    </row>
    <row r="1385" spans="3:47">
      <c r="C1385" s="20"/>
      <c r="Z1385" s="20"/>
      <c r="AG1385" s="20"/>
      <c r="AQ1385" s="19"/>
      <c r="AR1385" s="19"/>
      <c r="AS1385" s="19"/>
      <c r="AT1385" s="19"/>
      <c r="AU1385" s="19"/>
    </row>
    <row r="1386" spans="3:47">
      <c r="C1386" s="20"/>
      <c r="Z1386" s="20"/>
      <c r="AG1386" s="20"/>
      <c r="AQ1386" s="19"/>
      <c r="AR1386" s="19"/>
      <c r="AS1386" s="19"/>
      <c r="AT1386" s="19"/>
      <c r="AU1386" s="19"/>
    </row>
    <row r="1387" spans="3:47">
      <c r="C1387" s="20"/>
      <c r="Z1387" s="20"/>
      <c r="AG1387" s="20"/>
      <c r="AQ1387" s="19"/>
      <c r="AR1387" s="19"/>
      <c r="AS1387" s="19"/>
      <c r="AT1387" s="19"/>
      <c r="AU1387" s="19"/>
    </row>
    <row r="1388" spans="3:47">
      <c r="C1388" s="20"/>
      <c r="Z1388" s="20"/>
      <c r="AG1388" s="20"/>
      <c r="AQ1388" s="19"/>
      <c r="AR1388" s="19"/>
      <c r="AS1388" s="19"/>
      <c r="AT1388" s="19"/>
      <c r="AU1388" s="19"/>
    </row>
    <row r="1389" spans="3:47">
      <c r="C1389" s="20"/>
      <c r="Z1389" s="20"/>
      <c r="AG1389" s="20"/>
      <c r="AQ1389" s="19"/>
      <c r="AR1389" s="19"/>
      <c r="AS1389" s="19"/>
      <c r="AT1389" s="19"/>
      <c r="AU1389" s="19"/>
    </row>
    <row r="1390" spans="3:47">
      <c r="C1390" s="20"/>
      <c r="Z1390" s="20"/>
      <c r="AG1390" s="20"/>
      <c r="AQ1390" s="19"/>
      <c r="AR1390" s="19"/>
      <c r="AS1390" s="19"/>
      <c r="AT1390" s="19"/>
      <c r="AU1390" s="19"/>
    </row>
    <row r="1391" spans="3:47">
      <c r="C1391" s="20"/>
      <c r="Z1391" s="20"/>
      <c r="AG1391" s="20"/>
      <c r="AQ1391" s="19"/>
      <c r="AR1391" s="19"/>
      <c r="AS1391" s="19"/>
      <c r="AT1391" s="19"/>
      <c r="AU1391" s="19"/>
    </row>
    <row r="1392" spans="3:47">
      <c r="C1392" s="20"/>
      <c r="Z1392" s="20"/>
      <c r="AG1392" s="20"/>
      <c r="AQ1392" s="19"/>
      <c r="AR1392" s="19"/>
      <c r="AS1392" s="19"/>
      <c r="AT1392" s="19"/>
      <c r="AU1392" s="19"/>
    </row>
    <row r="1393" spans="3:47">
      <c r="C1393" s="20"/>
      <c r="Z1393" s="20"/>
      <c r="AG1393" s="20"/>
      <c r="AQ1393" s="19"/>
      <c r="AR1393" s="19"/>
      <c r="AS1393" s="19"/>
      <c r="AT1393" s="19"/>
      <c r="AU1393" s="19"/>
    </row>
    <row r="1394" spans="3:47">
      <c r="C1394" s="20"/>
      <c r="Z1394" s="20"/>
      <c r="AG1394" s="20"/>
      <c r="AQ1394" s="19"/>
      <c r="AR1394" s="19"/>
      <c r="AS1394" s="19"/>
      <c r="AT1394" s="19"/>
      <c r="AU1394" s="19"/>
    </row>
    <row r="1395" spans="3:47">
      <c r="C1395" s="20"/>
      <c r="Z1395" s="20"/>
      <c r="AG1395" s="20"/>
      <c r="AQ1395" s="19"/>
      <c r="AR1395" s="19"/>
      <c r="AS1395" s="19"/>
      <c r="AT1395" s="19"/>
      <c r="AU1395" s="19"/>
    </row>
    <row r="1396" spans="3:47">
      <c r="C1396" s="20"/>
      <c r="Z1396" s="20"/>
      <c r="AG1396" s="20"/>
      <c r="AQ1396" s="19"/>
      <c r="AR1396" s="19"/>
      <c r="AS1396" s="19"/>
      <c r="AT1396" s="19"/>
      <c r="AU1396" s="19"/>
    </row>
    <row r="1397" spans="3:47">
      <c r="C1397" s="20"/>
      <c r="Z1397" s="20"/>
      <c r="AG1397" s="20"/>
      <c r="AQ1397" s="19"/>
      <c r="AR1397" s="19"/>
      <c r="AS1397" s="19"/>
      <c r="AT1397" s="19"/>
      <c r="AU1397" s="19"/>
    </row>
    <row r="1398" spans="3:47">
      <c r="C1398" s="20"/>
      <c r="Z1398" s="20"/>
      <c r="AG1398" s="20"/>
      <c r="AQ1398" s="19"/>
      <c r="AR1398" s="19"/>
      <c r="AS1398" s="19"/>
      <c r="AT1398" s="19"/>
      <c r="AU1398" s="19"/>
    </row>
    <row r="1399" spans="3:47">
      <c r="C1399" s="20"/>
      <c r="Z1399" s="20"/>
      <c r="AG1399" s="20"/>
      <c r="AQ1399" s="19"/>
      <c r="AR1399" s="19"/>
      <c r="AS1399" s="19"/>
      <c r="AT1399" s="19"/>
      <c r="AU1399" s="19"/>
    </row>
    <row r="1400" spans="3:47">
      <c r="C1400" s="20"/>
      <c r="Z1400" s="20"/>
      <c r="AG1400" s="20"/>
      <c r="AQ1400" s="19"/>
      <c r="AR1400" s="19"/>
      <c r="AS1400" s="19"/>
      <c r="AT1400" s="19"/>
      <c r="AU1400" s="19"/>
    </row>
    <row r="1401" spans="3:47">
      <c r="C1401" s="20"/>
      <c r="Z1401" s="20"/>
      <c r="AG1401" s="20"/>
      <c r="AQ1401" s="19"/>
      <c r="AR1401" s="19"/>
      <c r="AS1401" s="19"/>
      <c r="AT1401" s="19"/>
      <c r="AU1401" s="19"/>
    </row>
    <row r="1402" spans="3:47">
      <c r="C1402" s="20"/>
      <c r="Z1402" s="20"/>
      <c r="AG1402" s="20"/>
      <c r="AQ1402" s="19"/>
      <c r="AR1402" s="19"/>
      <c r="AS1402" s="19"/>
      <c r="AT1402" s="19"/>
      <c r="AU1402" s="19"/>
    </row>
    <row r="1403" spans="3:47">
      <c r="C1403" s="20"/>
      <c r="Z1403" s="20"/>
      <c r="AG1403" s="20"/>
      <c r="AQ1403" s="19"/>
      <c r="AR1403" s="19"/>
      <c r="AS1403" s="19"/>
      <c r="AT1403" s="19"/>
      <c r="AU1403" s="19"/>
    </row>
    <row r="1404" spans="3:47">
      <c r="C1404" s="20"/>
      <c r="Z1404" s="20"/>
      <c r="AG1404" s="20"/>
      <c r="AQ1404" s="19"/>
      <c r="AR1404" s="19"/>
      <c r="AS1404" s="19"/>
      <c r="AT1404" s="19"/>
      <c r="AU1404" s="19"/>
    </row>
    <row r="1405" spans="3:47">
      <c r="C1405" s="20"/>
      <c r="Z1405" s="20"/>
      <c r="AG1405" s="20"/>
      <c r="AQ1405" s="19"/>
      <c r="AR1405" s="19"/>
      <c r="AS1405" s="19"/>
      <c r="AT1405" s="19"/>
      <c r="AU1405" s="19"/>
    </row>
    <row r="1406" spans="3:47">
      <c r="C1406" s="20"/>
      <c r="Z1406" s="20"/>
      <c r="AG1406" s="20"/>
      <c r="AQ1406" s="19"/>
      <c r="AR1406" s="19"/>
      <c r="AS1406" s="19"/>
      <c r="AT1406" s="19"/>
      <c r="AU1406" s="19"/>
    </row>
    <row r="1407" spans="3:47">
      <c r="C1407" s="20"/>
      <c r="Z1407" s="20"/>
      <c r="AG1407" s="20"/>
      <c r="AQ1407" s="19"/>
      <c r="AR1407" s="19"/>
      <c r="AS1407" s="19"/>
      <c r="AT1407" s="19"/>
      <c r="AU1407" s="19"/>
    </row>
    <row r="1408" spans="3:47">
      <c r="C1408" s="20"/>
      <c r="Z1408" s="20"/>
      <c r="AG1408" s="20"/>
      <c r="AQ1408" s="19"/>
      <c r="AR1408" s="19"/>
      <c r="AS1408" s="19"/>
      <c r="AT1408" s="19"/>
      <c r="AU1408" s="19"/>
    </row>
    <row r="1409" spans="3:47">
      <c r="C1409" s="20"/>
      <c r="Z1409" s="20"/>
      <c r="AG1409" s="20"/>
      <c r="AQ1409" s="19"/>
      <c r="AR1409" s="19"/>
      <c r="AS1409" s="19"/>
      <c r="AT1409" s="19"/>
      <c r="AU1409" s="19"/>
    </row>
    <row r="1410" spans="3:47">
      <c r="C1410" s="20"/>
      <c r="Z1410" s="20"/>
      <c r="AG1410" s="20"/>
      <c r="AQ1410" s="19"/>
      <c r="AR1410" s="19"/>
      <c r="AS1410" s="19"/>
      <c r="AT1410" s="19"/>
      <c r="AU1410" s="19"/>
    </row>
    <row r="1411" spans="3:47">
      <c r="C1411" s="20"/>
      <c r="Z1411" s="35"/>
      <c r="AG1411" s="20"/>
      <c r="AQ1411" s="19"/>
      <c r="AR1411" s="19"/>
      <c r="AS1411" s="19"/>
      <c r="AT1411" s="19"/>
      <c r="AU1411" s="19"/>
    </row>
    <row r="1412" spans="3:47">
      <c r="C1412" s="20"/>
      <c r="Z1412" s="20"/>
      <c r="AG1412" s="20"/>
      <c r="AQ1412" s="19"/>
      <c r="AR1412" s="19"/>
      <c r="AS1412" s="19"/>
      <c r="AT1412" s="19"/>
      <c r="AU1412" s="19"/>
    </row>
    <row r="1413" spans="3:47">
      <c r="C1413" s="20"/>
      <c r="Z1413" s="20"/>
      <c r="AG1413" s="20"/>
      <c r="AQ1413" s="19"/>
      <c r="AR1413" s="19"/>
      <c r="AS1413" s="19"/>
      <c r="AT1413" s="19"/>
      <c r="AU1413" s="19"/>
    </row>
    <row r="1414" spans="3:47">
      <c r="C1414" s="20"/>
      <c r="Z1414" s="20"/>
      <c r="AG1414" s="20"/>
      <c r="AQ1414" s="19"/>
      <c r="AR1414" s="19"/>
      <c r="AS1414" s="19"/>
      <c r="AT1414" s="19"/>
      <c r="AU1414" s="19"/>
    </row>
    <row r="1415" spans="3:47">
      <c r="C1415" s="20"/>
      <c r="Z1415" s="20"/>
      <c r="AG1415" s="20"/>
      <c r="AQ1415" s="19"/>
      <c r="AR1415" s="19"/>
      <c r="AS1415" s="19"/>
      <c r="AT1415" s="19"/>
      <c r="AU1415" s="19"/>
    </row>
    <row r="1416" spans="3:47">
      <c r="C1416" s="20"/>
      <c r="Z1416" s="20"/>
      <c r="AG1416" s="20"/>
      <c r="AQ1416" s="19"/>
      <c r="AR1416" s="19"/>
      <c r="AS1416" s="19"/>
      <c r="AT1416" s="19"/>
      <c r="AU1416" s="19"/>
    </row>
    <row r="1417" spans="3:47">
      <c r="C1417" s="20"/>
      <c r="Z1417" s="20"/>
      <c r="AG1417" s="20"/>
      <c r="AQ1417" s="19"/>
      <c r="AR1417" s="19"/>
      <c r="AS1417" s="19"/>
      <c r="AT1417" s="19"/>
      <c r="AU1417" s="19"/>
    </row>
    <row r="1418" spans="3:47">
      <c r="C1418" s="20"/>
      <c r="Z1418" s="20"/>
      <c r="AG1418" s="20"/>
      <c r="AQ1418" s="19"/>
      <c r="AR1418" s="19"/>
      <c r="AS1418" s="19"/>
      <c r="AT1418" s="19"/>
      <c r="AU1418" s="19"/>
    </row>
    <row r="1419" spans="3:47">
      <c r="C1419" s="20"/>
      <c r="Z1419" s="20"/>
      <c r="AG1419" s="20"/>
      <c r="AQ1419" s="19"/>
      <c r="AR1419" s="19"/>
      <c r="AS1419" s="19"/>
      <c r="AT1419" s="19"/>
      <c r="AU1419" s="19"/>
    </row>
    <row r="1420" spans="3:47">
      <c r="C1420" s="20"/>
      <c r="Z1420" s="20"/>
      <c r="AG1420" s="20"/>
      <c r="AQ1420" s="19"/>
      <c r="AR1420" s="19"/>
      <c r="AS1420" s="19"/>
      <c r="AT1420" s="19"/>
      <c r="AU1420" s="19"/>
    </row>
    <row r="1421" spans="3:47">
      <c r="C1421" s="20"/>
      <c r="Z1421" s="20"/>
      <c r="AG1421" s="20"/>
      <c r="AQ1421" s="19"/>
      <c r="AR1421" s="19"/>
      <c r="AS1421" s="19"/>
      <c r="AT1421" s="19"/>
      <c r="AU1421" s="19"/>
    </row>
    <row r="1422" spans="3:47">
      <c r="C1422" s="20"/>
      <c r="Z1422" s="20"/>
      <c r="AG1422" s="20"/>
      <c r="AQ1422" s="19"/>
      <c r="AR1422" s="19"/>
      <c r="AS1422" s="19"/>
      <c r="AT1422" s="19"/>
      <c r="AU1422" s="19"/>
    </row>
    <row r="1423" spans="3:47">
      <c r="C1423" s="20"/>
      <c r="Z1423" s="20"/>
      <c r="AG1423" s="20"/>
      <c r="AQ1423" s="19"/>
      <c r="AR1423" s="19"/>
      <c r="AS1423" s="19"/>
      <c r="AT1423" s="19"/>
      <c r="AU1423" s="19"/>
    </row>
    <row r="1424" spans="3:47">
      <c r="C1424" s="20"/>
      <c r="Z1424" s="20"/>
      <c r="AG1424" s="20"/>
      <c r="AQ1424" s="19"/>
      <c r="AR1424" s="19"/>
      <c r="AS1424" s="19"/>
      <c r="AT1424" s="19"/>
      <c r="AU1424" s="19"/>
    </row>
    <row r="1425" spans="3:47">
      <c r="C1425" s="20"/>
      <c r="Z1425" s="20"/>
      <c r="AG1425" s="20"/>
      <c r="AQ1425" s="19"/>
      <c r="AR1425" s="19"/>
      <c r="AS1425" s="19"/>
      <c r="AT1425" s="19"/>
      <c r="AU1425" s="19"/>
    </row>
    <row r="1426" spans="3:47">
      <c r="C1426" s="20"/>
      <c r="Z1426" s="20"/>
      <c r="AG1426" s="20"/>
      <c r="AQ1426" s="19"/>
      <c r="AR1426" s="19"/>
      <c r="AS1426" s="19"/>
      <c r="AT1426" s="19"/>
      <c r="AU1426" s="19"/>
    </row>
    <row r="1427" spans="3:47">
      <c r="C1427" s="20"/>
      <c r="Z1427" s="20"/>
      <c r="AG1427" s="20"/>
      <c r="AQ1427" s="19"/>
      <c r="AR1427" s="19"/>
      <c r="AS1427" s="19"/>
      <c r="AT1427" s="19"/>
      <c r="AU1427" s="19"/>
    </row>
    <row r="1428" spans="3:47">
      <c r="C1428" s="20"/>
      <c r="Z1428" s="20"/>
      <c r="AG1428" s="20"/>
      <c r="AQ1428" s="19"/>
      <c r="AR1428" s="19"/>
      <c r="AS1428" s="19"/>
      <c r="AT1428" s="19"/>
      <c r="AU1428" s="19"/>
    </row>
    <row r="1429" spans="3:47">
      <c r="C1429" s="20"/>
      <c r="Z1429" s="20"/>
      <c r="AG1429" s="20"/>
      <c r="AQ1429" s="19"/>
      <c r="AR1429" s="19"/>
      <c r="AS1429" s="19"/>
      <c r="AT1429" s="19"/>
      <c r="AU1429" s="19"/>
    </row>
    <row r="1430" spans="3:47">
      <c r="C1430" s="20"/>
      <c r="Z1430" s="20"/>
      <c r="AG1430" s="20"/>
      <c r="AQ1430" s="19"/>
      <c r="AR1430" s="19"/>
      <c r="AS1430" s="19"/>
      <c r="AT1430" s="19"/>
      <c r="AU1430" s="19"/>
    </row>
    <row r="1431" spans="3:47">
      <c r="C1431" s="20"/>
      <c r="Z1431" s="20"/>
      <c r="AG1431" s="20"/>
      <c r="AQ1431" s="19"/>
      <c r="AR1431" s="19"/>
      <c r="AS1431" s="19"/>
      <c r="AT1431" s="19"/>
      <c r="AU1431" s="19"/>
    </row>
    <row r="1432" spans="3:47">
      <c r="C1432" s="20"/>
      <c r="Z1432" s="20"/>
      <c r="AG1432" s="20"/>
      <c r="AQ1432" s="19"/>
      <c r="AR1432" s="19"/>
      <c r="AS1432" s="19"/>
      <c r="AT1432" s="19"/>
      <c r="AU1432" s="19"/>
    </row>
    <row r="1433" spans="3:47">
      <c r="C1433" s="20"/>
      <c r="Z1433" s="20"/>
      <c r="AG1433" s="20"/>
      <c r="AQ1433" s="19"/>
      <c r="AR1433" s="19"/>
      <c r="AS1433" s="19"/>
      <c r="AT1433" s="19"/>
      <c r="AU1433" s="19"/>
    </row>
    <row r="1434" spans="3:47">
      <c r="C1434" s="20"/>
      <c r="Z1434" s="20"/>
      <c r="AG1434" s="20"/>
      <c r="AQ1434" s="19"/>
      <c r="AR1434" s="19"/>
      <c r="AS1434" s="19"/>
      <c r="AT1434" s="19"/>
      <c r="AU1434" s="19"/>
    </row>
    <row r="1435" spans="3:47">
      <c r="C1435" s="20"/>
      <c r="Z1435" s="20"/>
      <c r="AG1435" s="20"/>
      <c r="AQ1435" s="19"/>
      <c r="AR1435" s="19"/>
      <c r="AS1435" s="19"/>
      <c r="AT1435" s="19"/>
      <c r="AU1435" s="19"/>
    </row>
    <row r="1436" spans="3:47">
      <c r="C1436" s="20"/>
      <c r="Z1436" s="20"/>
      <c r="AG1436" s="20"/>
      <c r="AQ1436" s="19"/>
      <c r="AR1436" s="19"/>
      <c r="AS1436" s="19"/>
      <c r="AT1436" s="19"/>
      <c r="AU1436" s="19"/>
    </row>
    <row r="1437" spans="3:47">
      <c r="C1437" s="20"/>
      <c r="Z1437" s="20"/>
      <c r="AG1437" s="20"/>
      <c r="AQ1437" s="19"/>
      <c r="AR1437" s="19"/>
      <c r="AS1437" s="19"/>
      <c r="AT1437" s="19"/>
      <c r="AU1437" s="19"/>
    </row>
    <row r="1438" spans="3:47">
      <c r="C1438" s="20"/>
      <c r="Z1438" s="20"/>
      <c r="AG1438" s="20"/>
      <c r="AQ1438" s="19"/>
      <c r="AR1438" s="19"/>
      <c r="AS1438" s="19"/>
      <c r="AT1438" s="19"/>
      <c r="AU1438" s="19"/>
    </row>
    <row r="1439" spans="3:47">
      <c r="C1439" s="20"/>
      <c r="Z1439" s="20"/>
      <c r="AG1439" s="20"/>
      <c r="AQ1439" s="19"/>
      <c r="AR1439" s="19"/>
      <c r="AS1439" s="19"/>
      <c r="AT1439" s="19"/>
      <c r="AU1439" s="19"/>
    </row>
    <row r="1440" spans="3:47">
      <c r="C1440" s="20"/>
      <c r="Z1440" s="20"/>
      <c r="AG1440" s="20"/>
      <c r="AQ1440" s="19"/>
      <c r="AR1440" s="19"/>
      <c r="AS1440" s="19"/>
      <c r="AT1440" s="19"/>
      <c r="AU1440" s="19"/>
    </row>
    <row r="1441" spans="3:47">
      <c r="C1441" s="20"/>
      <c r="Z1441" s="20"/>
      <c r="AG1441" s="20"/>
      <c r="AQ1441" s="19"/>
      <c r="AR1441" s="19"/>
      <c r="AS1441" s="19"/>
      <c r="AT1441" s="19"/>
      <c r="AU1441" s="19"/>
    </row>
    <row r="1442" spans="3:47">
      <c r="C1442" s="20"/>
      <c r="Z1442" s="20"/>
      <c r="AG1442" s="20"/>
      <c r="AQ1442" s="19"/>
      <c r="AR1442" s="19"/>
      <c r="AS1442" s="19"/>
      <c r="AT1442" s="19"/>
      <c r="AU1442" s="19"/>
    </row>
    <row r="1443" spans="3:47">
      <c r="C1443" s="20"/>
      <c r="Z1443" s="20"/>
      <c r="AG1443" s="20"/>
      <c r="AQ1443" s="19"/>
      <c r="AR1443" s="19"/>
      <c r="AS1443" s="19"/>
      <c r="AT1443" s="19"/>
      <c r="AU1443" s="19"/>
    </row>
    <row r="1444" spans="3:47">
      <c r="C1444" s="20"/>
      <c r="Z1444" s="20"/>
      <c r="AG1444" s="20"/>
      <c r="AQ1444" s="19"/>
      <c r="AR1444" s="19"/>
      <c r="AS1444" s="19"/>
      <c r="AT1444" s="19"/>
      <c r="AU1444" s="19"/>
    </row>
    <row r="1445" spans="3:47">
      <c r="C1445" s="20"/>
      <c r="Z1445" s="20"/>
      <c r="AG1445" s="20"/>
      <c r="AQ1445" s="19"/>
      <c r="AR1445" s="19"/>
      <c r="AS1445" s="19"/>
      <c r="AT1445" s="19"/>
      <c r="AU1445" s="19"/>
    </row>
    <row r="1446" spans="3:47">
      <c r="C1446" s="20"/>
      <c r="Z1446" s="20"/>
      <c r="AG1446" s="20"/>
      <c r="AQ1446" s="19"/>
      <c r="AR1446" s="19"/>
      <c r="AS1446" s="19"/>
      <c r="AT1446" s="19"/>
      <c r="AU1446" s="19"/>
    </row>
    <row r="1447" spans="3:47">
      <c r="C1447" s="20"/>
      <c r="Z1447" s="20"/>
      <c r="AG1447" s="20"/>
      <c r="AQ1447" s="19"/>
      <c r="AR1447" s="19"/>
      <c r="AS1447" s="19"/>
      <c r="AT1447" s="19"/>
      <c r="AU1447" s="19"/>
    </row>
    <row r="1448" spans="3:47">
      <c r="C1448" s="20"/>
      <c r="Z1448" s="20"/>
      <c r="AG1448" s="20"/>
      <c r="AQ1448" s="19"/>
      <c r="AR1448" s="19"/>
      <c r="AS1448" s="19"/>
      <c r="AT1448" s="19"/>
      <c r="AU1448" s="19"/>
    </row>
    <row r="1449" spans="3:47">
      <c r="C1449" s="20"/>
      <c r="Z1449" s="20"/>
      <c r="AG1449" s="20"/>
      <c r="AQ1449" s="19"/>
      <c r="AR1449" s="19"/>
      <c r="AS1449" s="19"/>
      <c r="AT1449" s="19"/>
      <c r="AU1449" s="19"/>
    </row>
    <row r="1450" spans="3:47">
      <c r="C1450" s="20"/>
      <c r="Z1450" s="20"/>
      <c r="AG1450" s="20"/>
      <c r="AQ1450" s="19"/>
      <c r="AR1450" s="19"/>
      <c r="AS1450" s="19"/>
      <c r="AT1450" s="19"/>
      <c r="AU1450" s="19"/>
    </row>
    <row r="1451" spans="3:47">
      <c r="C1451" s="20"/>
      <c r="Z1451" s="20"/>
      <c r="AG1451" s="20"/>
      <c r="AQ1451" s="19"/>
      <c r="AR1451" s="19"/>
      <c r="AS1451" s="19"/>
      <c r="AT1451" s="19"/>
      <c r="AU1451" s="19"/>
    </row>
    <row r="1452" spans="3:47">
      <c r="C1452" s="20"/>
      <c r="Z1452" s="20"/>
      <c r="AG1452" s="20"/>
      <c r="AQ1452" s="19"/>
      <c r="AR1452" s="19"/>
      <c r="AS1452" s="19"/>
      <c r="AT1452" s="19"/>
      <c r="AU1452" s="19"/>
    </row>
    <row r="1453" spans="3:47">
      <c r="C1453" s="20"/>
      <c r="Z1453" s="20"/>
      <c r="AG1453" s="20"/>
      <c r="AQ1453" s="19"/>
      <c r="AR1453" s="19"/>
      <c r="AS1453" s="19"/>
      <c r="AT1453" s="19"/>
      <c r="AU1453" s="19"/>
    </row>
    <row r="1454" spans="3:47">
      <c r="C1454" s="20"/>
      <c r="Z1454" s="20"/>
      <c r="AG1454" s="20"/>
      <c r="AQ1454" s="19"/>
      <c r="AR1454" s="19"/>
      <c r="AS1454" s="19"/>
      <c r="AT1454" s="19"/>
      <c r="AU1454" s="19"/>
    </row>
    <row r="1455" spans="3:47">
      <c r="C1455" s="20"/>
      <c r="Z1455" s="20"/>
      <c r="AG1455" s="20"/>
      <c r="AQ1455" s="19"/>
      <c r="AR1455" s="19"/>
      <c r="AS1455" s="19"/>
      <c r="AT1455" s="19"/>
      <c r="AU1455" s="19"/>
    </row>
    <row r="1456" spans="3:47">
      <c r="C1456" s="20"/>
      <c r="Z1456" s="20"/>
      <c r="AG1456" s="20"/>
      <c r="AQ1456" s="19"/>
      <c r="AR1456" s="19"/>
      <c r="AS1456" s="19"/>
      <c r="AT1456" s="19"/>
      <c r="AU1456" s="19"/>
    </row>
    <row r="1457" spans="3:47">
      <c r="C1457" s="20"/>
      <c r="Z1457" s="20"/>
      <c r="AG1457" s="20"/>
      <c r="AQ1457" s="19"/>
      <c r="AR1457" s="19"/>
      <c r="AS1457" s="19"/>
      <c r="AT1457" s="19"/>
      <c r="AU1457" s="19"/>
    </row>
    <row r="1458" spans="3:47">
      <c r="C1458" s="20"/>
      <c r="Z1458" s="20"/>
      <c r="AG1458" s="20"/>
      <c r="AQ1458" s="19"/>
      <c r="AR1458" s="19"/>
      <c r="AS1458" s="19"/>
      <c r="AT1458" s="19"/>
      <c r="AU1458" s="19"/>
    </row>
    <row r="1459" spans="3:47">
      <c r="C1459" s="20"/>
      <c r="Z1459" s="20"/>
      <c r="AG1459" s="20"/>
      <c r="AQ1459" s="19"/>
      <c r="AR1459" s="19"/>
      <c r="AS1459" s="19"/>
      <c r="AT1459" s="19"/>
      <c r="AU1459" s="19"/>
    </row>
    <row r="1460" spans="3:47">
      <c r="C1460" s="20"/>
      <c r="Z1460" s="20"/>
      <c r="AG1460" s="20"/>
      <c r="AQ1460" s="19"/>
      <c r="AR1460" s="19"/>
      <c r="AS1460" s="19"/>
      <c r="AT1460" s="19"/>
      <c r="AU1460" s="19"/>
    </row>
    <row r="1461" spans="3:47">
      <c r="C1461" s="20"/>
      <c r="Z1461" s="20"/>
      <c r="AG1461" s="20"/>
      <c r="AQ1461" s="19"/>
      <c r="AR1461" s="19"/>
      <c r="AS1461" s="19"/>
      <c r="AT1461" s="19"/>
      <c r="AU1461" s="19"/>
    </row>
    <row r="1462" spans="3:47">
      <c r="C1462" s="20"/>
      <c r="Z1462" s="20"/>
      <c r="AG1462" s="20"/>
      <c r="AQ1462" s="19"/>
      <c r="AR1462" s="19"/>
      <c r="AS1462" s="19"/>
      <c r="AT1462" s="19"/>
      <c r="AU1462" s="19"/>
    </row>
    <row r="1463" spans="3:47">
      <c r="C1463" s="20"/>
      <c r="Z1463" s="20"/>
      <c r="AG1463" s="20"/>
      <c r="AQ1463" s="19"/>
      <c r="AR1463" s="19"/>
      <c r="AS1463" s="19"/>
      <c r="AT1463" s="19"/>
      <c r="AU1463" s="19"/>
    </row>
    <row r="1464" spans="3:47">
      <c r="C1464" s="20"/>
      <c r="Z1464" s="20"/>
      <c r="AG1464" s="20"/>
      <c r="AQ1464" s="19"/>
      <c r="AR1464" s="19"/>
      <c r="AS1464" s="19"/>
      <c r="AT1464" s="19"/>
      <c r="AU1464" s="19"/>
    </row>
    <row r="1465" spans="3:47">
      <c r="C1465" s="20"/>
      <c r="Z1465" s="20"/>
      <c r="AG1465" s="20"/>
      <c r="AQ1465" s="19"/>
      <c r="AR1465" s="19"/>
      <c r="AS1465" s="19"/>
      <c r="AT1465" s="19"/>
      <c r="AU1465" s="19"/>
    </row>
    <row r="1466" spans="3:47">
      <c r="C1466" s="20"/>
      <c r="Z1466" s="20"/>
      <c r="AG1466" s="20"/>
      <c r="AQ1466" s="19"/>
      <c r="AR1466" s="19"/>
      <c r="AS1466" s="19"/>
      <c r="AT1466" s="19"/>
      <c r="AU1466" s="19"/>
    </row>
    <row r="1467" spans="3:47">
      <c r="C1467" s="20"/>
      <c r="Z1467" s="20"/>
      <c r="AG1467" s="20"/>
      <c r="AQ1467" s="19"/>
      <c r="AR1467" s="19"/>
      <c r="AS1467" s="19"/>
      <c r="AT1467" s="19"/>
      <c r="AU1467" s="19"/>
    </row>
    <row r="1468" spans="3:47">
      <c r="C1468" s="20"/>
      <c r="Z1468" s="20"/>
      <c r="AG1468" s="20"/>
      <c r="AQ1468" s="19"/>
      <c r="AR1468" s="19"/>
      <c r="AS1468" s="19"/>
      <c r="AT1468" s="19"/>
      <c r="AU1468" s="19"/>
    </row>
    <row r="1469" spans="3:47">
      <c r="C1469" s="20"/>
      <c r="Z1469" s="20"/>
      <c r="AG1469" s="20"/>
      <c r="AQ1469" s="19"/>
      <c r="AR1469" s="19"/>
      <c r="AS1469" s="19"/>
      <c r="AT1469" s="19"/>
      <c r="AU1469" s="19"/>
    </row>
    <row r="1470" spans="3:47">
      <c r="C1470" s="20"/>
      <c r="Z1470" s="20"/>
      <c r="AG1470" s="20"/>
      <c r="AQ1470" s="19"/>
      <c r="AR1470" s="19"/>
      <c r="AS1470" s="19"/>
      <c r="AT1470" s="19"/>
      <c r="AU1470" s="19"/>
    </row>
    <row r="1471" spans="3:47">
      <c r="C1471" s="20"/>
      <c r="Z1471" s="20"/>
      <c r="AG1471" s="20"/>
      <c r="AQ1471" s="19"/>
      <c r="AR1471" s="19"/>
      <c r="AS1471" s="19"/>
      <c r="AT1471" s="19"/>
      <c r="AU1471" s="19"/>
    </row>
    <row r="1472" spans="3:47">
      <c r="C1472" s="20"/>
      <c r="Z1472" s="20"/>
      <c r="AG1472" s="20"/>
      <c r="AQ1472" s="19"/>
      <c r="AR1472" s="19"/>
      <c r="AS1472" s="19"/>
      <c r="AT1472" s="19"/>
      <c r="AU1472" s="19"/>
    </row>
    <row r="1473" spans="3:47">
      <c r="C1473" s="20"/>
      <c r="Z1473" s="20"/>
      <c r="AG1473" s="20"/>
      <c r="AQ1473" s="19"/>
      <c r="AR1473" s="19"/>
      <c r="AS1473" s="19"/>
      <c r="AT1473" s="19"/>
      <c r="AU1473" s="19"/>
    </row>
    <row r="1474" spans="3:47">
      <c r="C1474" s="20"/>
      <c r="Z1474" s="20"/>
      <c r="AG1474" s="20"/>
      <c r="AQ1474" s="19"/>
      <c r="AR1474" s="19"/>
      <c r="AS1474" s="19"/>
      <c r="AT1474" s="19"/>
      <c r="AU1474" s="19"/>
    </row>
    <row r="1475" spans="3:47">
      <c r="C1475" s="20"/>
      <c r="Z1475" s="20"/>
      <c r="AG1475" s="20"/>
      <c r="AQ1475" s="19"/>
      <c r="AR1475" s="19"/>
      <c r="AS1475" s="19"/>
      <c r="AT1475" s="19"/>
      <c r="AU1475" s="19"/>
    </row>
    <row r="1476" spans="3:47">
      <c r="C1476" s="20"/>
      <c r="Z1476" s="20"/>
      <c r="AG1476" s="20"/>
      <c r="AQ1476" s="19"/>
      <c r="AR1476" s="19"/>
      <c r="AS1476" s="19"/>
      <c r="AT1476" s="19"/>
      <c r="AU1476" s="19"/>
    </row>
    <row r="1477" spans="3:47">
      <c r="C1477" s="20"/>
      <c r="Z1477" s="20"/>
      <c r="AG1477" s="20"/>
      <c r="AQ1477" s="19"/>
      <c r="AR1477" s="19"/>
      <c r="AS1477" s="19"/>
      <c r="AT1477" s="19"/>
      <c r="AU1477" s="19"/>
    </row>
    <row r="1478" spans="3:47">
      <c r="C1478" s="20"/>
      <c r="Z1478" s="20"/>
      <c r="AG1478" s="20"/>
      <c r="AQ1478" s="19"/>
      <c r="AR1478" s="19"/>
      <c r="AS1478" s="19"/>
      <c r="AT1478" s="19"/>
      <c r="AU1478" s="19"/>
    </row>
    <row r="1479" spans="3:47">
      <c r="C1479" s="20"/>
      <c r="Z1479" s="20"/>
      <c r="AG1479" s="20"/>
      <c r="AQ1479" s="19"/>
      <c r="AR1479" s="19"/>
      <c r="AS1479" s="19"/>
      <c r="AT1479" s="19"/>
      <c r="AU1479" s="19"/>
    </row>
    <row r="1480" spans="3:47">
      <c r="C1480" s="20"/>
      <c r="Z1480" s="20"/>
      <c r="AG1480" s="20"/>
      <c r="AQ1480" s="19"/>
      <c r="AR1480" s="19"/>
      <c r="AS1480" s="19"/>
      <c r="AT1480" s="19"/>
      <c r="AU1480" s="19"/>
    </row>
    <row r="1481" spans="3:47">
      <c r="C1481" s="20"/>
      <c r="Z1481" s="20"/>
      <c r="AG1481" s="20"/>
      <c r="AQ1481" s="19"/>
      <c r="AR1481" s="19"/>
      <c r="AS1481" s="19"/>
      <c r="AT1481" s="19"/>
      <c r="AU1481" s="19"/>
    </row>
    <row r="1482" spans="3:47">
      <c r="C1482" s="20"/>
      <c r="Z1482" s="20"/>
      <c r="AG1482" s="20"/>
      <c r="AQ1482" s="19"/>
      <c r="AR1482" s="19"/>
      <c r="AS1482" s="19"/>
      <c r="AT1482" s="19"/>
      <c r="AU1482" s="19"/>
    </row>
    <row r="1483" spans="3:47">
      <c r="C1483" s="20"/>
      <c r="Z1483" s="20"/>
      <c r="AG1483" s="20"/>
      <c r="AQ1483" s="19"/>
      <c r="AR1483" s="19"/>
      <c r="AS1483" s="19"/>
      <c r="AT1483" s="19"/>
      <c r="AU1483" s="19"/>
    </row>
    <row r="1484" spans="3:47">
      <c r="C1484" s="20"/>
      <c r="Z1484" s="20"/>
      <c r="AG1484" s="20"/>
      <c r="AQ1484" s="19"/>
      <c r="AR1484" s="19"/>
      <c r="AS1484" s="19"/>
      <c r="AT1484" s="19"/>
      <c r="AU1484" s="19"/>
    </row>
    <row r="1485" spans="3:47">
      <c r="C1485" s="20"/>
      <c r="Z1485" s="20"/>
      <c r="AG1485" s="20"/>
      <c r="AQ1485" s="19"/>
      <c r="AR1485" s="19"/>
      <c r="AS1485" s="19"/>
      <c r="AT1485" s="19"/>
      <c r="AU1485" s="19"/>
    </row>
    <row r="1486" spans="3:47">
      <c r="C1486" s="20"/>
      <c r="Z1486" s="20"/>
      <c r="AG1486" s="20"/>
      <c r="AQ1486" s="19"/>
      <c r="AR1486" s="19"/>
      <c r="AS1486" s="19"/>
      <c r="AT1486" s="19"/>
      <c r="AU1486" s="19"/>
    </row>
    <row r="1487" spans="3:47">
      <c r="C1487" s="20"/>
      <c r="Z1487" s="20"/>
      <c r="AG1487" s="20"/>
      <c r="AQ1487" s="19"/>
      <c r="AR1487" s="19"/>
      <c r="AS1487" s="19"/>
      <c r="AT1487" s="19"/>
      <c r="AU1487" s="19"/>
    </row>
    <row r="1488" spans="3:47">
      <c r="C1488" s="20"/>
      <c r="Z1488" s="20"/>
      <c r="AG1488" s="20"/>
      <c r="AQ1488" s="19"/>
      <c r="AR1488" s="19"/>
      <c r="AS1488" s="19"/>
      <c r="AT1488" s="19"/>
      <c r="AU1488" s="19"/>
    </row>
    <row r="1489" spans="3:47">
      <c r="C1489" s="20"/>
      <c r="Z1489" s="20"/>
      <c r="AG1489" s="20"/>
      <c r="AQ1489" s="19"/>
      <c r="AR1489" s="19"/>
      <c r="AS1489" s="19"/>
      <c r="AT1489" s="19"/>
      <c r="AU1489" s="19"/>
    </row>
    <row r="1490" spans="3:47">
      <c r="C1490" s="20"/>
      <c r="Z1490" s="20"/>
      <c r="AG1490" s="20"/>
      <c r="AQ1490" s="19"/>
      <c r="AR1490" s="19"/>
      <c r="AS1490" s="19"/>
      <c r="AT1490" s="19"/>
      <c r="AU1490" s="19"/>
    </row>
    <row r="1491" spans="3:47">
      <c r="C1491" s="20"/>
      <c r="Z1491" s="20"/>
      <c r="AG1491" s="20"/>
      <c r="AQ1491" s="19"/>
      <c r="AR1491" s="19"/>
      <c r="AS1491" s="19"/>
      <c r="AT1491" s="19"/>
      <c r="AU1491" s="19"/>
    </row>
    <row r="1492" spans="3:47">
      <c r="C1492" s="20"/>
      <c r="Z1492" s="20"/>
      <c r="AG1492" s="20"/>
      <c r="AQ1492" s="19"/>
      <c r="AR1492" s="19"/>
      <c r="AS1492" s="19"/>
      <c r="AT1492" s="19"/>
      <c r="AU1492" s="19"/>
    </row>
    <row r="1493" spans="3:47">
      <c r="C1493" s="20"/>
      <c r="Z1493" s="20"/>
      <c r="AG1493" s="20"/>
      <c r="AQ1493" s="19"/>
      <c r="AR1493" s="19"/>
      <c r="AS1493" s="19"/>
      <c r="AT1493" s="19"/>
      <c r="AU1493" s="19"/>
    </row>
    <row r="1494" spans="3:47">
      <c r="C1494" s="20"/>
      <c r="Z1494" s="20"/>
      <c r="AG1494" s="20"/>
      <c r="AQ1494" s="19"/>
      <c r="AR1494" s="19"/>
      <c r="AS1494" s="19"/>
      <c r="AT1494" s="19"/>
      <c r="AU1494" s="19"/>
    </row>
    <row r="1495" spans="3:47">
      <c r="C1495" s="20"/>
      <c r="Z1495" s="20"/>
      <c r="AG1495" s="20"/>
      <c r="AQ1495" s="19"/>
      <c r="AR1495" s="19"/>
      <c r="AS1495" s="19"/>
      <c r="AT1495" s="19"/>
      <c r="AU1495" s="19"/>
    </row>
    <row r="1496" spans="3:47">
      <c r="C1496" s="20"/>
      <c r="Z1496" s="20"/>
      <c r="AG1496" s="20"/>
      <c r="AQ1496" s="19"/>
      <c r="AR1496" s="19"/>
      <c r="AS1496" s="19"/>
      <c r="AT1496" s="19"/>
      <c r="AU1496" s="19"/>
    </row>
    <row r="1497" spans="3:47">
      <c r="C1497" s="20"/>
      <c r="Z1497" s="20"/>
      <c r="AG1497" s="20"/>
      <c r="AQ1497" s="19"/>
      <c r="AR1497" s="19"/>
      <c r="AS1497" s="19"/>
      <c r="AT1497" s="19"/>
      <c r="AU1497" s="19"/>
    </row>
    <row r="1498" spans="3:47">
      <c r="C1498" s="20"/>
      <c r="Z1498" s="20"/>
      <c r="AG1498" s="20"/>
      <c r="AQ1498" s="19"/>
      <c r="AR1498" s="19"/>
      <c r="AS1498" s="19"/>
      <c r="AT1498" s="19"/>
      <c r="AU1498" s="19"/>
    </row>
    <row r="1499" spans="3:47">
      <c r="C1499" s="20"/>
      <c r="Z1499" s="20"/>
      <c r="AG1499" s="20"/>
      <c r="AQ1499" s="19"/>
      <c r="AR1499" s="19"/>
      <c r="AS1499" s="19"/>
      <c r="AT1499" s="19"/>
      <c r="AU1499" s="19"/>
    </row>
    <row r="1500" spans="3:47">
      <c r="C1500" s="20"/>
      <c r="Z1500" s="20"/>
      <c r="AG1500" s="20"/>
      <c r="AQ1500" s="19"/>
      <c r="AR1500" s="19"/>
      <c r="AS1500" s="19"/>
      <c r="AT1500" s="19"/>
      <c r="AU1500" s="19"/>
    </row>
    <row r="1501" spans="3:47">
      <c r="C1501" s="20"/>
      <c r="Z1501" s="20"/>
      <c r="AG1501" s="20"/>
      <c r="AQ1501" s="19"/>
      <c r="AR1501" s="19"/>
      <c r="AS1501" s="19"/>
      <c r="AT1501" s="19"/>
      <c r="AU1501" s="19"/>
    </row>
    <row r="1502" spans="3:47">
      <c r="C1502" s="20"/>
      <c r="Z1502" s="20"/>
      <c r="AG1502" s="20"/>
      <c r="AQ1502" s="19"/>
      <c r="AR1502" s="19"/>
      <c r="AS1502" s="19"/>
      <c r="AT1502" s="19"/>
      <c r="AU1502" s="19"/>
    </row>
    <row r="1503" spans="3:47">
      <c r="C1503" s="20"/>
      <c r="Z1503" s="20"/>
      <c r="AG1503" s="20"/>
      <c r="AQ1503" s="19"/>
      <c r="AR1503" s="19"/>
      <c r="AS1503" s="19"/>
      <c r="AT1503" s="19"/>
      <c r="AU1503" s="19"/>
    </row>
    <row r="1504" spans="3:47">
      <c r="C1504" s="20"/>
      <c r="Z1504" s="20"/>
      <c r="AG1504" s="20"/>
      <c r="AQ1504" s="19"/>
      <c r="AR1504" s="19"/>
      <c r="AS1504" s="19"/>
      <c r="AT1504" s="19"/>
      <c r="AU1504" s="19"/>
    </row>
    <row r="1505" spans="3:47">
      <c r="C1505" s="20"/>
      <c r="Z1505" s="20"/>
      <c r="AG1505" s="20"/>
      <c r="AQ1505" s="19"/>
      <c r="AR1505" s="19"/>
      <c r="AS1505" s="19"/>
      <c r="AT1505" s="19"/>
      <c r="AU1505" s="19"/>
    </row>
    <row r="1506" spans="3:47">
      <c r="C1506" s="20"/>
      <c r="Z1506" s="20"/>
      <c r="AG1506" s="20"/>
      <c r="AQ1506" s="19"/>
      <c r="AR1506" s="19"/>
      <c r="AS1506" s="19"/>
      <c r="AT1506" s="19"/>
      <c r="AU1506" s="19"/>
    </row>
    <row r="1507" spans="3:47">
      <c r="C1507" s="20"/>
      <c r="Z1507" s="20"/>
      <c r="AG1507" s="20"/>
      <c r="AQ1507" s="19"/>
      <c r="AR1507" s="19"/>
      <c r="AS1507" s="19"/>
      <c r="AT1507" s="19"/>
      <c r="AU1507" s="19"/>
    </row>
    <row r="1508" spans="3:47">
      <c r="C1508" s="20"/>
      <c r="Z1508" s="20"/>
      <c r="AG1508" s="20"/>
      <c r="AQ1508" s="19"/>
      <c r="AR1508" s="19"/>
      <c r="AS1508" s="19"/>
      <c r="AT1508" s="19"/>
      <c r="AU1508" s="19"/>
    </row>
    <row r="1509" spans="3:47">
      <c r="C1509" s="20"/>
      <c r="Z1509" s="20"/>
      <c r="AG1509" s="20"/>
      <c r="AQ1509" s="19"/>
      <c r="AR1509" s="19"/>
      <c r="AS1509" s="19"/>
      <c r="AT1509" s="19"/>
      <c r="AU1509" s="19"/>
    </row>
    <row r="1510" spans="3:47">
      <c r="C1510" s="20"/>
      <c r="Z1510" s="20"/>
      <c r="AG1510" s="20"/>
      <c r="AQ1510" s="19"/>
      <c r="AR1510" s="19"/>
      <c r="AS1510" s="19"/>
      <c r="AT1510" s="19"/>
      <c r="AU1510" s="19"/>
    </row>
    <row r="1511" spans="3:47">
      <c r="C1511" s="20"/>
      <c r="Z1511" s="20"/>
      <c r="AG1511" s="20"/>
      <c r="AQ1511" s="19"/>
      <c r="AR1511" s="19"/>
      <c r="AS1511" s="19"/>
      <c r="AT1511" s="19"/>
      <c r="AU1511" s="19"/>
    </row>
    <row r="1512" spans="3:47">
      <c r="C1512" s="20"/>
      <c r="Z1512" s="20"/>
      <c r="AG1512" s="20"/>
      <c r="AQ1512" s="19"/>
      <c r="AR1512" s="19"/>
      <c r="AS1512" s="19"/>
      <c r="AT1512" s="19"/>
      <c r="AU1512" s="19"/>
    </row>
    <row r="1513" spans="3:47">
      <c r="C1513" s="20"/>
      <c r="Z1513" s="20"/>
      <c r="AG1513" s="20"/>
      <c r="AQ1513" s="19"/>
      <c r="AR1513" s="19"/>
      <c r="AS1513" s="19"/>
      <c r="AT1513" s="19"/>
      <c r="AU1513" s="19"/>
    </row>
    <row r="1514" spans="3:47">
      <c r="C1514" s="20"/>
      <c r="Z1514" s="20"/>
      <c r="AG1514" s="20"/>
      <c r="AQ1514" s="19"/>
      <c r="AR1514" s="19"/>
      <c r="AS1514" s="19"/>
      <c r="AT1514" s="19"/>
      <c r="AU1514" s="19"/>
    </row>
    <row r="1515" spans="3:47">
      <c r="C1515" s="20"/>
      <c r="Z1515" s="20"/>
      <c r="AG1515" s="20"/>
      <c r="AQ1515" s="19"/>
      <c r="AR1515" s="19"/>
      <c r="AS1515" s="19"/>
      <c r="AT1515" s="19"/>
      <c r="AU1515" s="19"/>
    </row>
    <row r="1516" spans="3:47">
      <c r="C1516" s="20"/>
      <c r="Z1516" s="20"/>
      <c r="AG1516" s="20"/>
      <c r="AQ1516" s="19"/>
      <c r="AR1516" s="19"/>
      <c r="AS1516" s="19"/>
      <c r="AT1516" s="19"/>
      <c r="AU1516" s="19"/>
    </row>
    <row r="1517" spans="3:47">
      <c r="C1517" s="20"/>
      <c r="Z1517" s="20"/>
      <c r="AG1517" s="20"/>
      <c r="AQ1517" s="19"/>
      <c r="AR1517" s="19"/>
      <c r="AS1517" s="19"/>
      <c r="AT1517" s="19"/>
      <c r="AU1517" s="19"/>
    </row>
    <row r="1518" spans="3:47">
      <c r="C1518" s="20"/>
      <c r="Z1518" s="20"/>
      <c r="AG1518" s="20"/>
      <c r="AQ1518" s="19"/>
      <c r="AR1518" s="19"/>
      <c r="AS1518" s="19"/>
      <c r="AT1518" s="19"/>
      <c r="AU1518" s="19"/>
    </row>
    <row r="1519" spans="3:47">
      <c r="C1519" s="20"/>
      <c r="Z1519" s="20"/>
      <c r="AG1519" s="20"/>
      <c r="AQ1519" s="19"/>
      <c r="AR1519" s="19"/>
      <c r="AS1519" s="19"/>
      <c r="AT1519" s="19"/>
      <c r="AU1519" s="19"/>
    </row>
    <row r="1520" spans="3:47">
      <c r="C1520" s="20"/>
      <c r="Z1520" s="20"/>
      <c r="AG1520" s="20"/>
      <c r="AQ1520" s="19"/>
      <c r="AR1520" s="19"/>
      <c r="AS1520" s="19"/>
      <c r="AT1520" s="19"/>
      <c r="AU1520" s="19"/>
    </row>
    <row r="1521" spans="3:47">
      <c r="C1521" s="20"/>
      <c r="Z1521" s="20"/>
      <c r="AG1521" s="20"/>
      <c r="AQ1521" s="19"/>
      <c r="AR1521" s="19"/>
      <c r="AS1521" s="19"/>
      <c r="AT1521" s="19"/>
      <c r="AU1521" s="19"/>
    </row>
    <row r="1522" spans="3:47">
      <c r="C1522" s="20"/>
      <c r="Z1522" s="20"/>
      <c r="AG1522" s="20"/>
      <c r="AQ1522" s="19"/>
      <c r="AR1522" s="19"/>
      <c r="AS1522" s="19"/>
      <c r="AT1522" s="19"/>
      <c r="AU1522" s="19"/>
    </row>
    <row r="1523" spans="3:47">
      <c r="C1523" s="20"/>
      <c r="Z1523" s="20"/>
      <c r="AG1523" s="20"/>
      <c r="AQ1523" s="19"/>
      <c r="AR1523" s="19"/>
      <c r="AS1523" s="19"/>
      <c r="AT1523" s="19"/>
      <c r="AU1523" s="19"/>
    </row>
    <row r="1524" spans="3:47">
      <c r="C1524" s="20"/>
      <c r="Z1524" s="20"/>
      <c r="AG1524" s="20"/>
      <c r="AQ1524" s="19"/>
      <c r="AR1524" s="19"/>
      <c r="AS1524" s="19"/>
      <c r="AT1524" s="19"/>
      <c r="AU1524" s="19"/>
    </row>
    <row r="1525" spans="3:47">
      <c r="C1525" s="20"/>
      <c r="Z1525" s="20"/>
      <c r="AG1525" s="20"/>
      <c r="AQ1525" s="19"/>
      <c r="AR1525" s="19"/>
      <c r="AS1525" s="19"/>
      <c r="AT1525" s="19"/>
      <c r="AU1525" s="19"/>
    </row>
    <row r="1526" spans="3:47">
      <c r="C1526" s="20"/>
      <c r="Z1526" s="20"/>
      <c r="AG1526" s="20"/>
      <c r="AQ1526" s="19"/>
      <c r="AR1526" s="19"/>
      <c r="AS1526" s="19"/>
      <c r="AT1526" s="19"/>
      <c r="AU1526" s="19"/>
    </row>
    <row r="1527" spans="3:47">
      <c r="C1527" s="20"/>
      <c r="Z1527" s="20"/>
      <c r="AG1527" s="20"/>
      <c r="AQ1527" s="19"/>
      <c r="AR1527" s="19"/>
      <c r="AS1527" s="19"/>
      <c r="AT1527" s="19"/>
      <c r="AU1527" s="19"/>
    </row>
    <row r="1528" spans="3:47">
      <c r="C1528" s="20"/>
      <c r="Z1528" s="20"/>
      <c r="AG1528" s="20"/>
      <c r="AQ1528" s="19"/>
      <c r="AR1528" s="19"/>
      <c r="AS1528" s="19"/>
      <c r="AT1528" s="19"/>
      <c r="AU1528" s="19"/>
    </row>
    <row r="1529" spans="3:47">
      <c r="C1529" s="20"/>
      <c r="Z1529" s="20"/>
      <c r="AG1529" s="20"/>
      <c r="AQ1529" s="19"/>
      <c r="AR1529" s="19"/>
      <c r="AS1529" s="19"/>
      <c r="AT1529" s="19"/>
      <c r="AU1529" s="19"/>
    </row>
    <row r="1530" spans="3:47">
      <c r="C1530" s="20"/>
      <c r="Z1530" s="20"/>
      <c r="AG1530" s="20"/>
      <c r="AQ1530" s="19"/>
      <c r="AR1530" s="19"/>
      <c r="AS1530" s="19"/>
      <c r="AT1530" s="19"/>
      <c r="AU1530" s="19"/>
    </row>
    <row r="1531" spans="3:47">
      <c r="C1531" s="20"/>
      <c r="Z1531" s="20"/>
      <c r="AG1531" s="20"/>
      <c r="AQ1531" s="19"/>
      <c r="AR1531" s="19"/>
      <c r="AS1531" s="19"/>
      <c r="AT1531" s="19"/>
      <c r="AU1531" s="19"/>
    </row>
    <row r="1532" spans="3:47">
      <c r="C1532" s="20"/>
      <c r="Z1532" s="20"/>
      <c r="AG1532" s="20"/>
      <c r="AQ1532" s="19"/>
      <c r="AR1532" s="19"/>
      <c r="AS1532" s="19"/>
      <c r="AT1532" s="19"/>
      <c r="AU1532" s="19"/>
    </row>
    <row r="1533" spans="3:47">
      <c r="C1533" s="20"/>
      <c r="Z1533" s="20"/>
      <c r="AG1533" s="20"/>
      <c r="AQ1533" s="19"/>
      <c r="AR1533" s="19"/>
      <c r="AS1533" s="19"/>
      <c r="AT1533" s="19"/>
      <c r="AU1533" s="19"/>
    </row>
    <row r="1534" spans="3:47">
      <c r="C1534" s="20"/>
      <c r="Z1534" s="20"/>
      <c r="AG1534" s="20"/>
      <c r="AQ1534" s="19"/>
      <c r="AR1534" s="19"/>
      <c r="AS1534" s="19"/>
      <c r="AT1534" s="19"/>
      <c r="AU1534" s="19"/>
    </row>
    <row r="1535" spans="3:47">
      <c r="C1535" s="20"/>
      <c r="Z1535" s="20"/>
      <c r="AG1535" s="20"/>
      <c r="AQ1535" s="19"/>
      <c r="AR1535" s="19"/>
      <c r="AS1535" s="19"/>
      <c r="AT1535" s="19"/>
      <c r="AU1535" s="19"/>
    </row>
    <row r="1536" spans="3:47">
      <c r="C1536" s="20"/>
      <c r="Z1536" s="20"/>
      <c r="AG1536" s="20"/>
      <c r="AQ1536" s="19"/>
      <c r="AR1536" s="19"/>
      <c r="AS1536" s="19"/>
      <c r="AT1536" s="19"/>
      <c r="AU1536" s="19"/>
    </row>
    <row r="1537" spans="3:47">
      <c r="C1537" s="20"/>
      <c r="Z1537" s="20"/>
      <c r="AG1537" s="20"/>
      <c r="AQ1537" s="19"/>
      <c r="AR1537" s="19"/>
      <c r="AS1537" s="19"/>
      <c r="AT1537" s="19"/>
      <c r="AU1537" s="19"/>
    </row>
    <row r="1538" spans="3:47">
      <c r="C1538" s="20"/>
      <c r="Z1538" s="20"/>
      <c r="AG1538" s="20"/>
      <c r="AQ1538" s="19"/>
      <c r="AR1538" s="19"/>
      <c r="AS1538" s="19"/>
      <c r="AT1538" s="19"/>
      <c r="AU1538" s="19"/>
    </row>
    <row r="1539" spans="3:47">
      <c r="C1539" s="20"/>
      <c r="Z1539" s="20"/>
      <c r="AG1539" s="20"/>
      <c r="AQ1539" s="19"/>
      <c r="AR1539" s="19"/>
      <c r="AS1539" s="19"/>
      <c r="AT1539" s="19"/>
      <c r="AU1539" s="19"/>
    </row>
    <row r="1540" spans="3:47">
      <c r="C1540" s="20"/>
      <c r="Z1540" s="20"/>
      <c r="AG1540" s="20"/>
      <c r="AQ1540" s="19"/>
      <c r="AR1540" s="19"/>
      <c r="AS1540" s="19"/>
      <c r="AT1540" s="19"/>
      <c r="AU1540" s="19"/>
    </row>
    <row r="1541" spans="3:47">
      <c r="C1541" s="20"/>
      <c r="Z1541" s="20"/>
      <c r="AG1541" s="20"/>
      <c r="AQ1541" s="19"/>
      <c r="AR1541" s="19"/>
      <c r="AS1541" s="19"/>
      <c r="AT1541" s="19"/>
      <c r="AU1541" s="19"/>
    </row>
    <row r="1542" spans="3:47">
      <c r="C1542" s="20"/>
      <c r="Z1542" s="20"/>
      <c r="AG1542" s="20"/>
      <c r="AQ1542" s="19"/>
      <c r="AR1542" s="19"/>
      <c r="AS1542" s="19"/>
      <c r="AT1542" s="19"/>
      <c r="AU1542" s="19"/>
    </row>
    <row r="1543" spans="3:47">
      <c r="C1543" s="20"/>
      <c r="Z1543" s="20"/>
      <c r="AG1543" s="20"/>
      <c r="AQ1543" s="19"/>
      <c r="AR1543" s="19"/>
      <c r="AS1543" s="19"/>
      <c r="AT1543" s="19"/>
      <c r="AU1543" s="19"/>
    </row>
    <row r="1544" spans="3:47">
      <c r="C1544" s="20"/>
      <c r="Z1544" s="20"/>
      <c r="AG1544" s="20"/>
      <c r="AQ1544" s="19"/>
      <c r="AR1544" s="19"/>
      <c r="AS1544" s="19"/>
      <c r="AT1544" s="19"/>
      <c r="AU1544" s="19"/>
    </row>
    <row r="1545" spans="3:47">
      <c r="C1545" s="20"/>
      <c r="Z1545" s="20"/>
      <c r="AG1545" s="20"/>
      <c r="AQ1545" s="19"/>
      <c r="AR1545" s="19"/>
      <c r="AS1545" s="19"/>
      <c r="AT1545" s="19"/>
      <c r="AU1545" s="19"/>
    </row>
    <row r="1546" spans="3:47">
      <c r="C1546" s="20"/>
      <c r="Z1546" s="20"/>
      <c r="AG1546" s="20"/>
      <c r="AQ1546" s="19"/>
      <c r="AR1546" s="19"/>
      <c r="AS1546" s="19"/>
      <c r="AT1546" s="19"/>
      <c r="AU1546" s="19"/>
    </row>
    <row r="1547" spans="3:47">
      <c r="C1547" s="20"/>
      <c r="Z1547" s="20"/>
      <c r="AG1547" s="20"/>
      <c r="AQ1547" s="19"/>
      <c r="AR1547" s="19"/>
      <c r="AS1547" s="19"/>
      <c r="AT1547" s="19"/>
      <c r="AU1547" s="19"/>
    </row>
    <row r="1548" spans="3:47">
      <c r="C1548" s="20"/>
      <c r="Z1548" s="20"/>
      <c r="AG1548" s="20"/>
      <c r="AQ1548" s="19"/>
      <c r="AR1548" s="19"/>
      <c r="AS1548" s="19"/>
      <c r="AT1548" s="19"/>
      <c r="AU1548" s="19"/>
    </row>
    <row r="1549" spans="3:47">
      <c r="C1549" s="20"/>
      <c r="Z1549" s="20"/>
      <c r="AG1549" s="20"/>
      <c r="AQ1549" s="19"/>
      <c r="AR1549" s="19"/>
      <c r="AS1549" s="19"/>
      <c r="AT1549" s="19"/>
      <c r="AU1549" s="19"/>
    </row>
    <row r="1550" spans="3:47">
      <c r="C1550" s="20"/>
      <c r="Z1550" s="20"/>
      <c r="AG1550" s="20"/>
      <c r="AQ1550" s="19"/>
      <c r="AR1550" s="19"/>
      <c r="AS1550" s="19"/>
      <c r="AT1550" s="19"/>
      <c r="AU1550" s="19"/>
    </row>
    <row r="1551" spans="3:47">
      <c r="C1551" s="20"/>
      <c r="Z1551" s="20"/>
      <c r="AG1551" s="20"/>
      <c r="AQ1551" s="19"/>
      <c r="AR1551" s="19"/>
      <c r="AS1551" s="19"/>
      <c r="AT1551" s="19"/>
      <c r="AU1551" s="19"/>
    </row>
    <row r="1552" spans="3:47">
      <c r="C1552" s="20"/>
      <c r="Z1552" s="20"/>
      <c r="AG1552" s="20"/>
      <c r="AQ1552" s="19"/>
      <c r="AR1552" s="19"/>
      <c r="AS1552" s="19"/>
      <c r="AT1552" s="19"/>
      <c r="AU1552" s="19"/>
    </row>
    <row r="1553" spans="3:47">
      <c r="C1553" s="20"/>
      <c r="Z1553" s="20"/>
      <c r="AG1553" s="20"/>
      <c r="AQ1553" s="19"/>
      <c r="AR1553" s="19"/>
      <c r="AS1553" s="19"/>
      <c r="AT1553" s="19"/>
      <c r="AU1553" s="19"/>
    </row>
    <row r="1554" spans="3:47">
      <c r="C1554" s="20"/>
      <c r="Z1554" s="20"/>
      <c r="AG1554" s="20"/>
      <c r="AQ1554" s="19"/>
      <c r="AR1554" s="19"/>
      <c r="AS1554" s="19"/>
      <c r="AT1554" s="19"/>
      <c r="AU1554" s="19"/>
    </row>
    <row r="1555" spans="3:47">
      <c r="C1555" s="20"/>
      <c r="Z1555" s="20"/>
      <c r="AG1555" s="20"/>
      <c r="AQ1555" s="19"/>
      <c r="AR1555" s="19"/>
      <c r="AS1555" s="19"/>
      <c r="AT1555" s="19"/>
      <c r="AU1555" s="19"/>
    </row>
    <row r="1556" spans="3:47">
      <c r="C1556" s="20"/>
      <c r="Z1556" s="20"/>
      <c r="AG1556" s="20"/>
      <c r="AQ1556" s="19"/>
      <c r="AR1556" s="19"/>
      <c r="AS1556" s="19"/>
      <c r="AT1556" s="19"/>
      <c r="AU1556" s="19"/>
    </row>
    <row r="1557" spans="3:47">
      <c r="C1557" s="20"/>
      <c r="Z1557" s="20"/>
      <c r="AG1557" s="20"/>
      <c r="AQ1557" s="19"/>
      <c r="AR1557" s="19"/>
      <c r="AS1557" s="19"/>
      <c r="AT1557" s="19"/>
      <c r="AU1557" s="19"/>
    </row>
    <row r="1558" spans="3:47">
      <c r="C1558" s="20"/>
      <c r="Z1558" s="20"/>
      <c r="AG1558" s="20"/>
      <c r="AQ1558" s="19"/>
      <c r="AR1558" s="19"/>
      <c r="AS1558" s="19"/>
      <c r="AT1558" s="19"/>
      <c r="AU1558" s="19"/>
    </row>
    <row r="1559" spans="3:47">
      <c r="C1559" s="20"/>
      <c r="Z1559" s="20"/>
      <c r="AG1559" s="20"/>
      <c r="AQ1559" s="19"/>
      <c r="AR1559" s="19"/>
      <c r="AS1559" s="19"/>
      <c r="AT1559" s="19"/>
      <c r="AU1559" s="19"/>
    </row>
    <row r="1560" spans="3:47">
      <c r="C1560" s="20"/>
      <c r="Z1560" s="20"/>
      <c r="AG1560" s="20"/>
      <c r="AQ1560" s="19"/>
      <c r="AR1560" s="19"/>
      <c r="AS1560" s="19"/>
      <c r="AT1560" s="19"/>
      <c r="AU1560" s="19"/>
    </row>
    <row r="1561" spans="3:47">
      <c r="C1561" s="20"/>
      <c r="Z1561" s="20"/>
      <c r="AG1561" s="20"/>
      <c r="AQ1561" s="19"/>
      <c r="AR1561" s="19"/>
      <c r="AS1561" s="19"/>
      <c r="AT1561" s="19"/>
      <c r="AU1561" s="19"/>
    </row>
    <row r="1562" spans="3:47">
      <c r="C1562" s="20"/>
      <c r="Z1562" s="20"/>
      <c r="AG1562" s="20"/>
      <c r="AQ1562" s="19"/>
      <c r="AR1562" s="19"/>
      <c r="AS1562" s="19"/>
      <c r="AT1562" s="19"/>
      <c r="AU1562" s="19"/>
    </row>
    <row r="1563" spans="3:47">
      <c r="C1563" s="20"/>
      <c r="Z1563" s="20"/>
      <c r="AG1563" s="20"/>
      <c r="AQ1563" s="19"/>
      <c r="AR1563" s="19"/>
      <c r="AS1563" s="19"/>
      <c r="AT1563" s="19"/>
      <c r="AU1563" s="19"/>
    </row>
    <row r="1564" spans="3:47">
      <c r="C1564" s="20"/>
      <c r="Z1564" s="20"/>
      <c r="AG1564" s="20"/>
      <c r="AQ1564" s="19"/>
      <c r="AR1564" s="19"/>
      <c r="AS1564" s="19"/>
      <c r="AT1564" s="19"/>
      <c r="AU1564" s="19"/>
    </row>
    <row r="1565" spans="3:47">
      <c r="C1565" s="20"/>
      <c r="Z1565" s="20"/>
      <c r="AG1565" s="20"/>
      <c r="AQ1565" s="19"/>
      <c r="AR1565" s="19"/>
      <c r="AS1565" s="19"/>
      <c r="AT1565" s="19"/>
      <c r="AU1565" s="19"/>
    </row>
    <row r="1566" spans="3:47">
      <c r="C1566" s="20"/>
      <c r="Z1566" s="20"/>
      <c r="AG1566" s="20"/>
      <c r="AQ1566" s="19"/>
      <c r="AR1566" s="19"/>
      <c r="AS1566" s="19"/>
      <c r="AT1566" s="19"/>
      <c r="AU1566" s="19"/>
    </row>
    <row r="1567" spans="3:47">
      <c r="C1567" s="20"/>
      <c r="Z1567" s="20"/>
      <c r="AG1567" s="20"/>
      <c r="AQ1567" s="19"/>
      <c r="AR1567" s="19"/>
      <c r="AS1567" s="19"/>
      <c r="AT1567" s="19"/>
      <c r="AU1567" s="19"/>
    </row>
    <row r="1568" spans="3:47">
      <c r="C1568" s="20"/>
      <c r="Z1568" s="20"/>
      <c r="AG1568" s="20"/>
      <c r="AQ1568" s="19"/>
      <c r="AR1568" s="19"/>
      <c r="AS1568" s="19"/>
      <c r="AT1568" s="19"/>
      <c r="AU1568" s="19"/>
    </row>
    <row r="1569" spans="3:47">
      <c r="C1569" s="20"/>
      <c r="Z1569" s="20"/>
      <c r="AG1569" s="20"/>
      <c r="AQ1569" s="19"/>
      <c r="AR1569" s="19"/>
      <c r="AS1569" s="19"/>
      <c r="AT1569" s="19"/>
      <c r="AU1569" s="19"/>
    </row>
    <row r="1570" spans="3:47">
      <c r="C1570" s="20"/>
      <c r="Z1570" s="20"/>
      <c r="AG1570" s="20"/>
      <c r="AQ1570" s="19"/>
      <c r="AR1570" s="19"/>
      <c r="AS1570" s="19"/>
      <c r="AT1570" s="19"/>
      <c r="AU1570" s="19"/>
    </row>
    <row r="1571" spans="3:47">
      <c r="C1571" s="20"/>
      <c r="Z1571" s="20"/>
      <c r="AG1571" s="20"/>
      <c r="AQ1571" s="19"/>
      <c r="AR1571" s="19"/>
      <c r="AS1571" s="19"/>
      <c r="AT1571" s="19"/>
      <c r="AU1571" s="19"/>
    </row>
    <row r="1572" spans="3:47">
      <c r="C1572" s="20"/>
      <c r="Z1572" s="20"/>
      <c r="AG1572" s="20"/>
      <c r="AQ1572" s="19"/>
      <c r="AR1572" s="19"/>
      <c r="AS1572" s="19"/>
      <c r="AT1572" s="19"/>
      <c r="AU1572" s="19"/>
    </row>
    <row r="1573" spans="3:47">
      <c r="C1573" s="20"/>
      <c r="Z1573" s="20"/>
      <c r="AG1573" s="20"/>
      <c r="AQ1573" s="19"/>
      <c r="AR1573" s="19"/>
      <c r="AS1573" s="19"/>
      <c r="AT1573" s="19"/>
      <c r="AU1573" s="19"/>
    </row>
    <row r="1574" spans="3:47">
      <c r="C1574" s="20"/>
      <c r="Z1574" s="20"/>
      <c r="AG1574" s="20"/>
      <c r="AQ1574" s="19"/>
      <c r="AR1574" s="19"/>
      <c r="AS1574" s="19"/>
      <c r="AT1574" s="19"/>
      <c r="AU1574" s="19"/>
    </row>
    <row r="1575" spans="3:47">
      <c r="C1575" s="20"/>
      <c r="Z1575" s="20"/>
      <c r="AG1575" s="20"/>
      <c r="AQ1575" s="19"/>
      <c r="AR1575" s="19"/>
      <c r="AS1575" s="19"/>
      <c r="AT1575" s="19"/>
      <c r="AU1575" s="19"/>
    </row>
    <row r="1576" spans="3:47">
      <c r="C1576" s="20"/>
      <c r="Z1576" s="20"/>
      <c r="AG1576" s="20"/>
      <c r="AQ1576" s="19"/>
      <c r="AR1576" s="19"/>
      <c r="AS1576" s="19"/>
      <c r="AT1576" s="19"/>
      <c r="AU1576" s="19"/>
    </row>
    <row r="1577" spans="3:47">
      <c r="C1577" s="20"/>
      <c r="Z1577" s="20"/>
      <c r="AG1577" s="20"/>
      <c r="AQ1577" s="19"/>
      <c r="AR1577" s="19"/>
      <c r="AS1577" s="19"/>
      <c r="AT1577" s="19"/>
      <c r="AU1577" s="19"/>
    </row>
    <row r="1578" spans="3:47">
      <c r="C1578" s="20"/>
      <c r="Z1578" s="20"/>
      <c r="AG1578" s="20"/>
      <c r="AQ1578" s="19"/>
      <c r="AR1578" s="19"/>
      <c r="AS1578" s="19"/>
      <c r="AT1578" s="19"/>
      <c r="AU1578" s="19"/>
    </row>
    <row r="1579" spans="3:47">
      <c r="C1579" s="20"/>
      <c r="Z1579" s="20"/>
      <c r="AG1579" s="20"/>
      <c r="AQ1579" s="19"/>
      <c r="AR1579" s="19"/>
      <c r="AS1579" s="19"/>
      <c r="AT1579" s="19"/>
      <c r="AU1579" s="19"/>
    </row>
    <row r="1580" spans="3:47">
      <c r="C1580" s="20"/>
      <c r="Z1580" s="20"/>
      <c r="AG1580" s="20"/>
      <c r="AQ1580" s="19"/>
      <c r="AR1580" s="19"/>
      <c r="AS1580" s="19"/>
      <c r="AT1580" s="19"/>
      <c r="AU1580" s="19"/>
    </row>
    <row r="1581" spans="3:47">
      <c r="C1581" s="20"/>
      <c r="Z1581" s="20"/>
      <c r="AG1581" s="20"/>
      <c r="AQ1581" s="19"/>
      <c r="AR1581" s="19"/>
      <c r="AS1581" s="19"/>
      <c r="AT1581" s="19"/>
      <c r="AU1581" s="19"/>
    </row>
    <row r="1582" spans="3:47">
      <c r="C1582" s="20"/>
      <c r="Z1582" s="20"/>
      <c r="AG1582" s="20"/>
      <c r="AQ1582" s="19"/>
      <c r="AR1582" s="19"/>
      <c r="AS1582" s="19"/>
      <c r="AT1582" s="19"/>
      <c r="AU1582" s="19"/>
    </row>
    <row r="1583" spans="3:47">
      <c r="C1583" s="20"/>
      <c r="Z1583" s="20"/>
      <c r="AG1583" s="20"/>
      <c r="AQ1583" s="19"/>
      <c r="AR1583" s="19"/>
      <c r="AS1583" s="19"/>
      <c r="AT1583" s="19"/>
      <c r="AU1583" s="19"/>
    </row>
    <row r="1584" spans="3:47">
      <c r="C1584" s="20"/>
      <c r="Z1584" s="20"/>
      <c r="AG1584" s="20"/>
      <c r="AQ1584" s="19"/>
      <c r="AR1584" s="19"/>
      <c r="AS1584" s="19"/>
      <c r="AT1584" s="19"/>
      <c r="AU1584" s="19"/>
    </row>
    <row r="1585" spans="3:47">
      <c r="C1585" s="20"/>
      <c r="Z1585" s="20"/>
      <c r="AG1585" s="20"/>
      <c r="AQ1585" s="19"/>
      <c r="AR1585" s="19"/>
      <c r="AS1585" s="19"/>
      <c r="AT1585" s="19"/>
      <c r="AU1585" s="19"/>
    </row>
    <row r="1586" spans="3:47">
      <c r="C1586" s="20"/>
      <c r="Z1586" s="20"/>
      <c r="AG1586" s="20"/>
      <c r="AQ1586" s="19"/>
      <c r="AR1586" s="19"/>
      <c r="AS1586" s="19"/>
      <c r="AT1586" s="19"/>
      <c r="AU1586" s="19"/>
    </row>
    <row r="1587" spans="3:47">
      <c r="C1587" s="20"/>
      <c r="Z1587" s="20"/>
      <c r="AG1587" s="20"/>
      <c r="AQ1587" s="19"/>
      <c r="AR1587" s="19"/>
      <c r="AS1587" s="19"/>
      <c r="AT1587" s="19"/>
      <c r="AU1587" s="19"/>
    </row>
    <row r="1588" spans="3:47">
      <c r="C1588" s="20"/>
      <c r="Z1588" s="20"/>
      <c r="AG1588" s="20"/>
      <c r="AQ1588" s="19"/>
      <c r="AR1588" s="19"/>
      <c r="AS1588" s="19"/>
      <c r="AT1588" s="19"/>
      <c r="AU1588" s="19"/>
    </row>
    <row r="1589" spans="3:47">
      <c r="C1589" s="20"/>
      <c r="Z1589" s="20"/>
      <c r="AG1589" s="20"/>
      <c r="AQ1589" s="19"/>
      <c r="AR1589" s="19"/>
      <c r="AS1589" s="19"/>
      <c r="AT1589" s="19"/>
      <c r="AU1589" s="19"/>
    </row>
    <row r="1590" spans="3:47">
      <c r="C1590" s="20"/>
      <c r="Z1590" s="20"/>
      <c r="AG1590" s="20"/>
      <c r="AQ1590" s="19"/>
      <c r="AR1590" s="19"/>
      <c r="AS1590" s="19"/>
      <c r="AT1590" s="19"/>
      <c r="AU1590" s="19"/>
    </row>
    <row r="1591" spans="3:47">
      <c r="C1591" s="20"/>
      <c r="Z1591" s="20"/>
      <c r="AG1591" s="20"/>
      <c r="AQ1591" s="19"/>
      <c r="AR1591" s="19"/>
      <c r="AS1591" s="19"/>
      <c r="AT1591" s="19"/>
      <c r="AU1591" s="19"/>
    </row>
    <row r="1592" spans="3:47">
      <c r="C1592" s="20"/>
      <c r="Z1592" s="20"/>
      <c r="AG1592" s="20"/>
      <c r="AQ1592" s="19"/>
      <c r="AR1592" s="19"/>
      <c r="AS1592" s="19"/>
      <c r="AT1592" s="19"/>
      <c r="AU1592" s="19"/>
    </row>
    <row r="1593" spans="3:47">
      <c r="C1593" s="20"/>
      <c r="Z1593" s="20"/>
      <c r="AG1593" s="20"/>
      <c r="AQ1593" s="19"/>
      <c r="AR1593" s="19"/>
      <c r="AS1593" s="19"/>
      <c r="AT1593" s="19"/>
      <c r="AU1593" s="19"/>
    </row>
    <row r="1594" spans="3:47">
      <c r="C1594" s="20"/>
      <c r="Z1594" s="20"/>
      <c r="AG1594" s="20"/>
      <c r="AQ1594" s="19"/>
      <c r="AR1594" s="19"/>
      <c r="AS1594" s="19"/>
      <c r="AT1594" s="19"/>
      <c r="AU1594" s="19"/>
    </row>
    <row r="1595" spans="3:47">
      <c r="C1595" s="20"/>
      <c r="Z1595" s="20"/>
      <c r="AG1595" s="20"/>
      <c r="AQ1595" s="19"/>
      <c r="AR1595" s="19"/>
      <c r="AS1595" s="19"/>
      <c r="AT1595" s="19"/>
      <c r="AU1595" s="19"/>
    </row>
    <row r="1596" spans="3:47">
      <c r="C1596" s="20"/>
      <c r="Z1596" s="20"/>
      <c r="AG1596" s="20"/>
      <c r="AQ1596" s="19"/>
      <c r="AR1596" s="19"/>
      <c r="AS1596" s="19"/>
      <c r="AT1596" s="19"/>
      <c r="AU1596" s="19"/>
    </row>
    <row r="1597" spans="3:47">
      <c r="C1597" s="20"/>
      <c r="Z1597" s="20"/>
      <c r="AG1597" s="20"/>
      <c r="AQ1597" s="19"/>
      <c r="AR1597" s="19"/>
      <c r="AS1597" s="19"/>
      <c r="AT1597" s="19"/>
      <c r="AU1597" s="19"/>
    </row>
    <row r="1598" spans="3:47">
      <c r="C1598" s="20"/>
      <c r="Z1598" s="20"/>
      <c r="AG1598" s="20"/>
      <c r="AQ1598" s="19"/>
      <c r="AR1598" s="19"/>
      <c r="AS1598" s="19"/>
      <c r="AT1598" s="19"/>
      <c r="AU1598" s="19"/>
    </row>
    <row r="1599" spans="3:47">
      <c r="C1599" s="20"/>
      <c r="Z1599" s="20"/>
      <c r="AG1599" s="20"/>
      <c r="AQ1599" s="19"/>
      <c r="AR1599" s="19"/>
      <c r="AS1599" s="19"/>
      <c r="AT1599" s="19"/>
      <c r="AU1599" s="19"/>
    </row>
    <row r="1600" spans="3:47">
      <c r="C1600" s="20"/>
      <c r="Z1600" s="20"/>
      <c r="AG1600" s="20"/>
      <c r="AQ1600" s="19"/>
      <c r="AR1600" s="19"/>
      <c r="AS1600" s="19"/>
      <c r="AT1600" s="19"/>
      <c r="AU1600" s="19"/>
    </row>
    <row r="1601" spans="3:47">
      <c r="C1601" s="20"/>
      <c r="Z1601" s="20"/>
      <c r="AG1601" s="20"/>
      <c r="AQ1601" s="19"/>
      <c r="AR1601" s="19"/>
      <c r="AS1601" s="19"/>
      <c r="AT1601" s="19"/>
      <c r="AU1601" s="19"/>
    </row>
    <row r="1602" spans="3:47">
      <c r="C1602" s="20"/>
      <c r="Z1602" s="20"/>
      <c r="AG1602" s="20"/>
      <c r="AQ1602" s="19"/>
      <c r="AR1602" s="19"/>
      <c r="AS1602" s="19"/>
      <c r="AT1602" s="19"/>
      <c r="AU1602" s="19"/>
    </row>
    <row r="1603" spans="3:47">
      <c r="C1603" s="20"/>
      <c r="Z1603" s="20"/>
      <c r="AG1603" s="20"/>
      <c r="AQ1603" s="19"/>
      <c r="AR1603" s="19"/>
      <c r="AS1603" s="19"/>
      <c r="AT1603" s="19"/>
      <c r="AU1603" s="19"/>
    </row>
    <row r="1604" spans="3:47">
      <c r="C1604" s="20"/>
      <c r="Z1604" s="20"/>
      <c r="AG1604" s="20"/>
      <c r="AQ1604" s="19"/>
      <c r="AR1604" s="19"/>
      <c r="AS1604" s="19"/>
      <c r="AT1604" s="19"/>
      <c r="AU1604" s="19"/>
    </row>
    <row r="1605" spans="3:47">
      <c r="C1605" s="20"/>
      <c r="Z1605" s="20"/>
      <c r="AG1605" s="20"/>
      <c r="AQ1605" s="19"/>
      <c r="AR1605" s="19"/>
      <c r="AS1605" s="19"/>
      <c r="AT1605" s="19"/>
      <c r="AU1605" s="19"/>
    </row>
    <row r="1606" spans="3:47">
      <c r="C1606" s="20"/>
      <c r="Z1606" s="20"/>
      <c r="AG1606" s="20"/>
      <c r="AQ1606" s="19"/>
      <c r="AR1606" s="19"/>
      <c r="AS1606" s="19"/>
      <c r="AT1606" s="19"/>
      <c r="AU1606" s="19"/>
    </row>
    <row r="1607" spans="3:47">
      <c r="C1607" s="20"/>
      <c r="Z1607" s="20"/>
      <c r="AG1607" s="20"/>
      <c r="AQ1607" s="19"/>
      <c r="AR1607" s="19"/>
      <c r="AS1607" s="19"/>
      <c r="AT1607" s="19"/>
      <c r="AU1607" s="19"/>
    </row>
    <row r="1608" spans="3:47">
      <c r="C1608" s="20"/>
      <c r="Z1608" s="20"/>
      <c r="AG1608" s="20"/>
      <c r="AQ1608" s="19"/>
      <c r="AR1608" s="19"/>
      <c r="AS1608" s="19"/>
      <c r="AT1608" s="19"/>
      <c r="AU1608" s="19"/>
    </row>
    <row r="1609" spans="3:47">
      <c r="C1609" s="20"/>
      <c r="Z1609" s="20"/>
      <c r="AG1609" s="20"/>
      <c r="AQ1609" s="19"/>
      <c r="AR1609" s="19"/>
      <c r="AS1609" s="19"/>
      <c r="AT1609" s="19"/>
      <c r="AU1609" s="19"/>
    </row>
    <row r="1610" spans="3:47">
      <c r="C1610" s="20"/>
      <c r="Z1610" s="20"/>
      <c r="AG1610" s="20"/>
      <c r="AQ1610" s="19"/>
      <c r="AR1610" s="19"/>
      <c r="AS1610" s="19"/>
      <c r="AT1610" s="19"/>
      <c r="AU1610" s="19"/>
    </row>
    <row r="1611" spans="3:47">
      <c r="C1611" s="20"/>
      <c r="Z1611" s="20"/>
      <c r="AG1611" s="20"/>
      <c r="AQ1611" s="19"/>
      <c r="AR1611" s="19"/>
      <c r="AS1611" s="19"/>
      <c r="AT1611" s="19"/>
      <c r="AU1611" s="19"/>
    </row>
    <row r="1612" spans="3:47">
      <c r="C1612" s="20"/>
      <c r="Z1612" s="20"/>
      <c r="AG1612" s="20"/>
      <c r="AQ1612" s="19"/>
      <c r="AR1612" s="19"/>
      <c r="AS1612" s="19"/>
      <c r="AT1612" s="19"/>
      <c r="AU1612" s="19"/>
    </row>
    <row r="1613" spans="3:47">
      <c r="C1613" s="20"/>
      <c r="Z1613" s="20"/>
      <c r="AG1613" s="20"/>
      <c r="AQ1613" s="19"/>
      <c r="AR1613" s="19"/>
      <c r="AS1613" s="19"/>
      <c r="AT1613" s="19"/>
      <c r="AU1613" s="19"/>
    </row>
    <row r="1614" spans="3:47">
      <c r="C1614" s="20"/>
      <c r="Z1614" s="20"/>
      <c r="AG1614" s="20"/>
      <c r="AQ1614" s="19"/>
      <c r="AR1614" s="19"/>
      <c r="AS1614" s="19"/>
      <c r="AT1614" s="19"/>
      <c r="AU1614" s="19"/>
    </row>
    <row r="1615" spans="3:47">
      <c r="C1615" s="20"/>
      <c r="Z1615" s="20"/>
      <c r="AG1615" s="20"/>
      <c r="AQ1615" s="19"/>
      <c r="AR1615" s="19"/>
      <c r="AS1615" s="19"/>
      <c r="AT1615" s="19"/>
      <c r="AU1615" s="19"/>
    </row>
    <row r="1616" spans="3:47">
      <c r="C1616" s="20"/>
      <c r="Z1616" s="20"/>
      <c r="AG1616" s="20"/>
      <c r="AQ1616" s="19"/>
      <c r="AR1616" s="19"/>
      <c r="AS1616" s="19"/>
      <c r="AT1616" s="19"/>
      <c r="AU1616" s="19"/>
    </row>
    <row r="1617" spans="3:47">
      <c r="C1617" s="20"/>
      <c r="Z1617" s="20"/>
      <c r="AG1617" s="20"/>
      <c r="AQ1617" s="19"/>
      <c r="AR1617" s="19"/>
      <c r="AS1617" s="19"/>
      <c r="AT1617" s="19"/>
      <c r="AU1617" s="19"/>
    </row>
    <row r="1618" spans="3:47">
      <c r="C1618" s="20"/>
      <c r="Z1618" s="20"/>
      <c r="AG1618" s="20"/>
      <c r="AQ1618" s="19"/>
      <c r="AR1618" s="19"/>
      <c r="AS1618" s="19"/>
      <c r="AT1618" s="19"/>
      <c r="AU1618" s="19"/>
    </row>
    <row r="1619" spans="3:47">
      <c r="C1619" s="20"/>
      <c r="Z1619" s="20"/>
      <c r="AG1619" s="20"/>
      <c r="AQ1619" s="19"/>
      <c r="AR1619" s="19"/>
      <c r="AS1619" s="19"/>
      <c r="AT1619" s="19"/>
      <c r="AU1619" s="19"/>
    </row>
    <row r="1620" spans="3:47">
      <c r="C1620" s="20"/>
      <c r="Z1620" s="20"/>
      <c r="AG1620" s="20"/>
      <c r="AQ1620" s="19"/>
      <c r="AR1620" s="19"/>
      <c r="AS1620" s="19"/>
      <c r="AT1620" s="19"/>
      <c r="AU1620" s="19"/>
    </row>
    <row r="1621" spans="3:47">
      <c r="C1621" s="20"/>
      <c r="Z1621" s="20"/>
      <c r="AG1621" s="20"/>
      <c r="AQ1621" s="19"/>
      <c r="AR1621" s="19"/>
      <c r="AS1621" s="19"/>
      <c r="AT1621" s="19"/>
      <c r="AU1621" s="19"/>
    </row>
    <row r="1622" spans="3:47">
      <c r="C1622" s="20"/>
      <c r="Z1622" s="20"/>
      <c r="AG1622" s="20"/>
      <c r="AQ1622" s="19"/>
      <c r="AR1622" s="19"/>
      <c r="AS1622" s="19"/>
      <c r="AT1622" s="19"/>
      <c r="AU1622" s="19"/>
    </row>
    <row r="1623" spans="3:47">
      <c r="C1623" s="20"/>
      <c r="Z1623" s="20"/>
      <c r="AG1623" s="20"/>
      <c r="AQ1623" s="19"/>
      <c r="AR1623" s="19"/>
      <c r="AS1623" s="19"/>
      <c r="AT1623" s="19"/>
      <c r="AU1623" s="19"/>
    </row>
    <row r="1624" spans="3:47">
      <c r="C1624" s="20"/>
      <c r="Z1624" s="20"/>
      <c r="AG1624" s="20"/>
      <c r="AQ1624" s="19"/>
      <c r="AR1624" s="19"/>
      <c r="AS1624" s="19"/>
      <c r="AT1624" s="19"/>
      <c r="AU1624" s="19"/>
    </row>
    <row r="1625" spans="3:47">
      <c r="C1625" s="20"/>
      <c r="Z1625" s="20"/>
      <c r="AG1625" s="20"/>
      <c r="AQ1625" s="19"/>
      <c r="AR1625" s="19"/>
      <c r="AS1625" s="19"/>
      <c r="AT1625" s="19"/>
      <c r="AU1625" s="19"/>
    </row>
    <row r="1626" spans="3:47">
      <c r="C1626" s="20"/>
      <c r="Z1626" s="20"/>
      <c r="AG1626" s="20"/>
      <c r="AQ1626" s="19"/>
      <c r="AR1626" s="19"/>
      <c r="AS1626" s="19"/>
      <c r="AT1626" s="19"/>
      <c r="AU1626" s="19"/>
    </row>
    <row r="1627" spans="3:47">
      <c r="C1627" s="20"/>
      <c r="Z1627" s="20"/>
      <c r="AG1627" s="20"/>
      <c r="AQ1627" s="19"/>
      <c r="AR1627" s="19"/>
      <c r="AS1627" s="19"/>
      <c r="AT1627" s="19"/>
      <c r="AU1627" s="19"/>
    </row>
    <row r="1628" spans="3:47">
      <c r="C1628" s="20"/>
      <c r="Z1628" s="20"/>
      <c r="AG1628" s="20"/>
      <c r="AQ1628" s="19"/>
      <c r="AR1628" s="19"/>
      <c r="AS1628" s="19"/>
      <c r="AT1628" s="19"/>
      <c r="AU1628" s="19"/>
    </row>
    <row r="1629" spans="3:47">
      <c r="C1629" s="20"/>
      <c r="Z1629" s="20"/>
      <c r="AG1629" s="20"/>
      <c r="AQ1629" s="19"/>
      <c r="AR1629" s="19"/>
      <c r="AS1629" s="19"/>
      <c r="AT1629" s="19"/>
      <c r="AU1629" s="19"/>
    </row>
    <row r="1630" spans="3:47">
      <c r="C1630" s="20"/>
      <c r="Z1630" s="20"/>
      <c r="AG1630" s="20"/>
      <c r="AQ1630" s="19"/>
      <c r="AR1630" s="19"/>
      <c r="AS1630" s="19"/>
      <c r="AT1630" s="19"/>
      <c r="AU1630" s="19"/>
    </row>
    <row r="1631" spans="3:47">
      <c r="C1631" s="20"/>
      <c r="Z1631" s="20"/>
      <c r="AG1631" s="20"/>
      <c r="AQ1631" s="19"/>
      <c r="AR1631" s="19"/>
      <c r="AS1631" s="19"/>
      <c r="AT1631" s="19"/>
      <c r="AU1631" s="19"/>
    </row>
    <row r="1632" spans="3:47">
      <c r="C1632" s="20"/>
      <c r="Z1632" s="20"/>
      <c r="AG1632" s="20"/>
      <c r="AQ1632" s="19"/>
      <c r="AR1632" s="19"/>
      <c r="AS1632" s="19"/>
      <c r="AT1632" s="19"/>
      <c r="AU1632" s="19"/>
    </row>
    <row r="1633" spans="3:47">
      <c r="C1633" s="20"/>
      <c r="Z1633" s="20"/>
      <c r="AG1633" s="20"/>
      <c r="AQ1633" s="19"/>
      <c r="AR1633" s="19"/>
      <c r="AS1633" s="19"/>
      <c r="AT1633" s="19"/>
      <c r="AU1633" s="19"/>
    </row>
    <row r="1634" spans="3:47">
      <c r="C1634" s="20"/>
      <c r="Z1634" s="20"/>
      <c r="AG1634" s="20"/>
      <c r="AQ1634" s="19"/>
      <c r="AR1634" s="19"/>
      <c r="AS1634" s="19"/>
      <c r="AT1634" s="19"/>
      <c r="AU1634" s="19"/>
    </row>
    <row r="1635" spans="3:47">
      <c r="C1635" s="20"/>
      <c r="Z1635" s="20"/>
      <c r="AG1635" s="20"/>
      <c r="AQ1635" s="19"/>
      <c r="AR1635" s="19"/>
      <c r="AS1635" s="19"/>
      <c r="AT1635" s="19"/>
      <c r="AU1635" s="19"/>
    </row>
    <row r="1636" spans="3:47">
      <c r="C1636" s="20"/>
      <c r="Z1636" s="20"/>
      <c r="AG1636" s="20"/>
      <c r="AQ1636" s="19"/>
      <c r="AR1636" s="19"/>
      <c r="AS1636" s="19"/>
      <c r="AT1636" s="19"/>
      <c r="AU1636" s="19"/>
    </row>
    <row r="1637" spans="3:47">
      <c r="C1637" s="20"/>
      <c r="Z1637" s="20"/>
      <c r="AG1637" s="20"/>
      <c r="AQ1637" s="19"/>
      <c r="AR1637" s="19"/>
      <c r="AS1637" s="19"/>
      <c r="AT1637" s="19"/>
      <c r="AU1637" s="19"/>
    </row>
    <row r="1638" spans="3:47">
      <c r="C1638" s="20"/>
      <c r="Z1638" s="20"/>
      <c r="AG1638" s="20"/>
      <c r="AQ1638" s="19"/>
      <c r="AR1638" s="19"/>
      <c r="AS1638" s="19"/>
      <c r="AT1638" s="19"/>
      <c r="AU1638" s="19"/>
    </row>
    <row r="1639" spans="3:47">
      <c r="C1639" s="20"/>
      <c r="Z1639" s="20"/>
      <c r="AG1639" s="20"/>
      <c r="AQ1639" s="19"/>
      <c r="AR1639" s="19"/>
      <c r="AS1639" s="19"/>
      <c r="AT1639" s="19"/>
      <c r="AU1639" s="19"/>
    </row>
    <row r="1640" spans="3:47">
      <c r="C1640" s="20"/>
      <c r="Z1640" s="20"/>
      <c r="AG1640" s="20"/>
      <c r="AQ1640" s="19"/>
      <c r="AR1640" s="19"/>
      <c r="AS1640" s="19"/>
      <c r="AT1640" s="19"/>
      <c r="AU1640" s="19"/>
    </row>
    <row r="1641" spans="3:47">
      <c r="C1641" s="20"/>
      <c r="Z1641" s="20"/>
      <c r="AG1641" s="20"/>
      <c r="AQ1641" s="19"/>
      <c r="AR1641" s="19"/>
      <c r="AS1641" s="19"/>
      <c r="AT1641" s="19"/>
      <c r="AU1641" s="19"/>
    </row>
    <row r="1642" spans="3:47">
      <c r="C1642" s="20"/>
      <c r="Z1642" s="20"/>
      <c r="AG1642" s="20"/>
      <c r="AQ1642" s="19"/>
      <c r="AR1642" s="19"/>
      <c r="AS1642" s="19"/>
      <c r="AT1642" s="19"/>
      <c r="AU1642" s="19"/>
    </row>
    <row r="1643" spans="3:47">
      <c r="C1643" s="20"/>
      <c r="Z1643" s="20"/>
      <c r="AG1643" s="20"/>
      <c r="AQ1643" s="19"/>
      <c r="AR1643" s="19"/>
      <c r="AS1643" s="19"/>
      <c r="AT1643" s="19"/>
      <c r="AU1643" s="19"/>
    </row>
    <row r="1644" spans="3:47">
      <c r="C1644" s="20"/>
      <c r="Z1644" s="20"/>
      <c r="AG1644" s="20"/>
      <c r="AQ1644" s="19"/>
      <c r="AR1644" s="19"/>
      <c r="AS1644" s="19"/>
      <c r="AT1644" s="19"/>
      <c r="AU1644" s="19"/>
    </row>
    <row r="1645" spans="3:47">
      <c r="C1645" s="20"/>
      <c r="Z1645" s="20"/>
      <c r="AG1645" s="20"/>
      <c r="AQ1645" s="19"/>
      <c r="AR1645" s="19"/>
      <c r="AS1645" s="19"/>
      <c r="AT1645" s="19"/>
      <c r="AU1645" s="19"/>
    </row>
    <row r="1646" spans="3:47">
      <c r="C1646" s="20"/>
      <c r="Z1646" s="20"/>
      <c r="AG1646" s="20"/>
      <c r="AQ1646" s="19"/>
      <c r="AR1646" s="19"/>
      <c r="AS1646" s="19"/>
      <c r="AT1646" s="19"/>
      <c r="AU1646" s="19"/>
    </row>
    <row r="1647" spans="3:47">
      <c r="C1647" s="20"/>
      <c r="Z1647" s="20"/>
      <c r="AG1647" s="20"/>
      <c r="AQ1647" s="19"/>
      <c r="AR1647" s="19"/>
      <c r="AS1647" s="19"/>
      <c r="AT1647" s="19"/>
      <c r="AU1647" s="19"/>
    </row>
    <row r="1648" spans="3:47">
      <c r="C1648" s="20"/>
      <c r="Z1648" s="20"/>
      <c r="AG1648" s="20"/>
      <c r="AQ1648" s="19"/>
      <c r="AR1648" s="19"/>
      <c r="AS1648" s="19"/>
      <c r="AT1648" s="19"/>
      <c r="AU1648" s="19"/>
    </row>
    <row r="1649" spans="3:47">
      <c r="C1649" s="20"/>
      <c r="Z1649" s="20"/>
      <c r="AG1649" s="20"/>
      <c r="AQ1649" s="19"/>
      <c r="AR1649" s="19"/>
      <c r="AS1649" s="19"/>
      <c r="AT1649" s="19"/>
      <c r="AU1649" s="19"/>
    </row>
    <row r="1650" spans="3:47">
      <c r="C1650" s="20"/>
      <c r="Z1650" s="20"/>
      <c r="AG1650" s="20"/>
      <c r="AQ1650" s="19"/>
      <c r="AR1650" s="19"/>
      <c r="AS1650" s="19"/>
      <c r="AT1650" s="19"/>
      <c r="AU1650" s="19"/>
    </row>
    <row r="1651" spans="3:47">
      <c r="C1651" s="20"/>
      <c r="Z1651" s="20"/>
      <c r="AG1651" s="20"/>
      <c r="AQ1651" s="19"/>
      <c r="AR1651" s="19"/>
      <c r="AS1651" s="19"/>
      <c r="AT1651" s="19"/>
      <c r="AU1651" s="19"/>
    </row>
    <row r="1652" spans="3:47">
      <c r="C1652" s="20"/>
      <c r="Z1652" s="20"/>
      <c r="AG1652" s="20"/>
      <c r="AQ1652" s="19"/>
      <c r="AR1652" s="19"/>
      <c r="AS1652" s="19"/>
      <c r="AT1652" s="19"/>
      <c r="AU1652" s="19"/>
    </row>
    <row r="1653" spans="3:47">
      <c r="C1653" s="20"/>
      <c r="Z1653" s="20"/>
      <c r="AG1653" s="20"/>
      <c r="AQ1653" s="19"/>
      <c r="AR1653" s="19"/>
      <c r="AS1653" s="19"/>
      <c r="AT1653" s="19"/>
      <c r="AU1653" s="19"/>
    </row>
    <row r="1654" spans="3:47">
      <c r="C1654" s="20"/>
      <c r="Z1654" s="20"/>
      <c r="AG1654" s="20"/>
      <c r="AQ1654" s="19"/>
      <c r="AR1654" s="19"/>
      <c r="AS1654" s="19"/>
      <c r="AT1654" s="19"/>
      <c r="AU1654" s="19"/>
    </row>
    <row r="1655" spans="3:47">
      <c r="C1655" s="20"/>
      <c r="Z1655" s="20"/>
      <c r="AG1655" s="20"/>
      <c r="AQ1655" s="19"/>
      <c r="AR1655" s="19"/>
      <c r="AS1655" s="19"/>
      <c r="AT1655" s="19"/>
      <c r="AU1655" s="19"/>
    </row>
    <row r="1656" spans="3:47">
      <c r="C1656" s="20"/>
      <c r="Z1656" s="20"/>
      <c r="AG1656" s="20"/>
      <c r="AQ1656" s="19"/>
      <c r="AR1656" s="19"/>
      <c r="AS1656" s="19"/>
      <c r="AT1656" s="19"/>
      <c r="AU1656" s="19"/>
    </row>
    <row r="1657" spans="3:47">
      <c r="C1657" s="20"/>
      <c r="Z1657" s="20"/>
      <c r="AG1657" s="20"/>
      <c r="AQ1657" s="19"/>
      <c r="AR1657" s="19"/>
      <c r="AS1657" s="19"/>
      <c r="AT1657" s="19"/>
      <c r="AU1657" s="19"/>
    </row>
    <row r="1658" spans="3:47">
      <c r="C1658" s="20"/>
      <c r="Z1658" s="20"/>
      <c r="AG1658" s="20"/>
      <c r="AQ1658" s="19"/>
      <c r="AR1658" s="19"/>
      <c r="AS1658" s="19"/>
      <c r="AT1658" s="19"/>
      <c r="AU1658" s="19"/>
    </row>
    <row r="1659" spans="3:47">
      <c r="C1659" s="20"/>
      <c r="Z1659" s="20"/>
      <c r="AG1659" s="20"/>
      <c r="AQ1659" s="19"/>
      <c r="AR1659" s="19"/>
      <c r="AS1659" s="19"/>
      <c r="AT1659" s="19"/>
      <c r="AU1659" s="19"/>
    </row>
    <row r="1660" spans="3:47">
      <c r="C1660" s="20"/>
      <c r="Z1660" s="20"/>
      <c r="AG1660" s="20"/>
      <c r="AQ1660" s="19"/>
      <c r="AR1660" s="19"/>
      <c r="AS1660" s="19"/>
      <c r="AT1660" s="19"/>
      <c r="AU1660" s="19"/>
    </row>
    <row r="1661" spans="3:47">
      <c r="C1661" s="20"/>
      <c r="Z1661" s="20"/>
      <c r="AG1661" s="20"/>
      <c r="AQ1661" s="19"/>
      <c r="AR1661" s="19"/>
      <c r="AS1661" s="19"/>
      <c r="AT1661" s="19"/>
      <c r="AU1661" s="19"/>
    </row>
    <row r="1662" spans="3:47">
      <c r="C1662" s="20"/>
      <c r="Z1662" s="20"/>
      <c r="AG1662" s="20"/>
      <c r="AQ1662" s="19"/>
      <c r="AR1662" s="19"/>
      <c r="AS1662" s="19"/>
      <c r="AT1662" s="19"/>
      <c r="AU1662" s="19"/>
    </row>
    <row r="1663" spans="3:47">
      <c r="C1663" s="20"/>
      <c r="Z1663" s="20"/>
      <c r="AG1663" s="20"/>
      <c r="AQ1663" s="19"/>
      <c r="AR1663" s="19"/>
      <c r="AS1663" s="19"/>
      <c r="AT1663" s="19"/>
      <c r="AU1663" s="19"/>
    </row>
    <row r="1664" spans="3:47">
      <c r="C1664" s="20"/>
      <c r="Z1664" s="20"/>
      <c r="AG1664" s="20"/>
      <c r="AQ1664" s="19"/>
      <c r="AR1664" s="19"/>
      <c r="AS1664" s="19"/>
      <c r="AT1664" s="19"/>
      <c r="AU1664" s="19"/>
    </row>
    <row r="1665" spans="3:47">
      <c r="C1665" s="20"/>
      <c r="Z1665" s="20"/>
      <c r="AG1665" s="20"/>
      <c r="AQ1665" s="19"/>
      <c r="AR1665" s="19"/>
      <c r="AS1665" s="19"/>
      <c r="AT1665" s="19"/>
      <c r="AU1665" s="19"/>
    </row>
    <row r="1666" spans="3:47">
      <c r="C1666" s="20"/>
      <c r="Z1666" s="20"/>
      <c r="AG1666" s="20"/>
      <c r="AQ1666" s="19"/>
      <c r="AR1666" s="19"/>
      <c r="AS1666" s="19"/>
      <c r="AT1666" s="19"/>
      <c r="AU1666" s="19"/>
    </row>
    <row r="1667" spans="3:47">
      <c r="C1667" s="20"/>
      <c r="Z1667" s="20"/>
      <c r="AG1667" s="20"/>
      <c r="AQ1667" s="19"/>
      <c r="AR1667" s="19"/>
      <c r="AS1667" s="19"/>
      <c r="AT1667" s="19"/>
      <c r="AU1667" s="19"/>
    </row>
    <row r="1668" spans="3:47">
      <c r="C1668" s="20"/>
      <c r="Z1668" s="20"/>
      <c r="AG1668" s="20"/>
      <c r="AQ1668" s="19"/>
      <c r="AR1668" s="19"/>
      <c r="AS1668" s="19"/>
      <c r="AT1668" s="19"/>
      <c r="AU1668" s="19"/>
    </row>
    <row r="1669" spans="3:47">
      <c r="C1669" s="20"/>
      <c r="Z1669" s="20"/>
      <c r="AG1669" s="20"/>
      <c r="AQ1669" s="19"/>
      <c r="AR1669" s="19"/>
      <c r="AS1669" s="19"/>
      <c r="AT1669" s="19"/>
      <c r="AU1669" s="19"/>
    </row>
    <row r="1670" spans="3:47">
      <c r="C1670" s="20"/>
      <c r="Z1670" s="20"/>
      <c r="AG1670" s="20"/>
      <c r="AQ1670" s="19"/>
      <c r="AR1670" s="19"/>
      <c r="AS1670" s="19"/>
      <c r="AT1670" s="19"/>
      <c r="AU1670" s="19"/>
    </row>
    <row r="1671" spans="3:47">
      <c r="C1671" s="20"/>
      <c r="Z1671" s="20"/>
      <c r="AG1671" s="20"/>
      <c r="AQ1671" s="19"/>
      <c r="AR1671" s="19"/>
      <c r="AS1671" s="19"/>
      <c r="AT1671" s="19"/>
      <c r="AU1671" s="19"/>
    </row>
    <row r="1672" spans="3:47">
      <c r="C1672" s="20"/>
      <c r="Z1672" s="20"/>
      <c r="AG1672" s="20"/>
      <c r="AQ1672" s="19"/>
      <c r="AR1672" s="19"/>
      <c r="AS1672" s="19"/>
      <c r="AT1672" s="19"/>
      <c r="AU1672" s="19"/>
    </row>
    <row r="1673" spans="3:47">
      <c r="C1673" s="20"/>
      <c r="Z1673" s="20"/>
      <c r="AG1673" s="20"/>
      <c r="AQ1673" s="19"/>
      <c r="AR1673" s="19"/>
      <c r="AS1673" s="19"/>
      <c r="AT1673" s="19"/>
      <c r="AU1673" s="19"/>
    </row>
    <row r="1674" spans="3:47">
      <c r="C1674" s="20"/>
      <c r="Z1674" s="20"/>
      <c r="AG1674" s="20"/>
      <c r="AQ1674" s="19"/>
      <c r="AR1674" s="19"/>
      <c r="AS1674" s="19"/>
      <c r="AT1674" s="19"/>
      <c r="AU1674" s="19"/>
    </row>
    <row r="1675" spans="3:47">
      <c r="C1675" s="20"/>
      <c r="Z1675" s="20"/>
      <c r="AG1675" s="20"/>
      <c r="AQ1675" s="19"/>
      <c r="AR1675" s="19"/>
      <c r="AS1675" s="19"/>
      <c r="AT1675" s="19"/>
      <c r="AU1675" s="19"/>
    </row>
    <row r="1676" spans="3:47">
      <c r="C1676" s="20"/>
      <c r="Z1676" s="20"/>
      <c r="AG1676" s="20"/>
      <c r="AQ1676" s="19"/>
      <c r="AR1676" s="19"/>
      <c r="AS1676" s="19"/>
      <c r="AT1676" s="19"/>
      <c r="AU1676" s="19"/>
    </row>
    <row r="1677" spans="3:47">
      <c r="C1677" s="20"/>
      <c r="Z1677" s="20"/>
      <c r="AG1677" s="20"/>
      <c r="AQ1677" s="19"/>
      <c r="AR1677" s="19"/>
      <c r="AS1677" s="19"/>
      <c r="AT1677" s="19"/>
      <c r="AU1677" s="19"/>
    </row>
    <row r="1678" spans="3:47">
      <c r="C1678" s="20"/>
      <c r="Z1678" s="20"/>
      <c r="AG1678" s="20"/>
      <c r="AQ1678" s="19"/>
      <c r="AR1678" s="19"/>
      <c r="AS1678" s="19"/>
      <c r="AT1678" s="19"/>
      <c r="AU1678" s="19"/>
    </row>
    <row r="1679" spans="3:47">
      <c r="C1679" s="20"/>
      <c r="Z1679" s="20"/>
      <c r="AG1679" s="20"/>
      <c r="AQ1679" s="19"/>
      <c r="AR1679" s="19"/>
      <c r="AS1679" s="19"/>
      <c r="AT1679" s="19"/>
      <c r="AU1679" s="19"/>
    </row>
    <row r="1680" spans="3:47">
      <c r="C1680" s="20"/>
      <c r="Z1680" s="20"/>
      <c r="AG1680" s="20"/>
      <c r="AQ1680" s="19"/>
      <c r="AR1680" s="19"/>
      <c r="AS1680" s="19"/>
      <c r="AT1680" s="19"/>
      <c r="AU1680" s="19"/>
    </row>
    <row r="1681" spans="3:47">
      <c r="C1681" s="20"/>
      <c r="Z1681" s="20"/>
      <c r="AG1681" s="20"/>
      <c r="AQ1681" s="19"/>
      <c r="AR1681" s="19"/>
      <c r="AS1681" s="19"/>
      <c r="AT1681" s="19"/>
      <c r="AU1681" s="19"/>
    </row>
    <row r="1682" spans="3:47">
      <c r="C1682" s="20"/>
      <c r="Z1682" s="20"/>
      <c r="AG1682" s="20"/>
      <c r="AQ1682" s="19"/>
      <c r="AR1682" s="19"/>
      <c r="AS1682" s="19"/>
      <c r="AT1682" s="19"/>
      <c r="AU1682" s="19"/>
    </row>
    <row r="1683" spans="3:47">
      <c r="C1683" s="20"/>
      <c r="Z1683" s="20"/>
      <c r="AG1683" s="20"/>
      <c r="AQ1683" s="19"/>
      <c r="AR1683" s="19"/>
      <c r="AS1683" s="19"/>
      <c r="AT1683" s="19"/>
      <c r="AU1683" s="19"/>
    </row>
    <row r="1684" spans="3:47">
      <c r="C1684" s="20"/>
      <c r="Z1684" s="20"/>
      <c r="AG1684" s="20"/>
      <c r="AQ1684" s="19"/>
      <c r="AR1684" s="19"/>
      <c r="AS1684" s="19"/>
      <c r="AT1684" s="19"/>
      <c r="AU1684" s="19"/>
    </row>
    <row r="1685" spans="3:47">
      <c r="C1685" s="20"/>
      <c r="Z1685" s="20"/>
      <c r="AG1685" s="20"/>
      <c r="AQ1685" s="19"/>
      <c r="AR1685" s="19"/>
      <c r="AS1685" s="19"/>
      <c r="AT1685" s="19"/>
      <c r="AU1685" s="19"/>
    </row>
    <row r="1686" spans="3:47">
      <c r="C1686" s="20"/>
      <c r="Z1686" s="20"/>
      <c r="AG1686" s="20"/>
      <c r="AQ1686" s="19"/>
      <c r="AR1686" s="19"/>
      <c r="AS1686" s="19"/>
      <c r="AT1686" s="19"/>
      <c r="AU1686" s="19"/>
    </row>
    <row r="1687" spans="3:47">
      <c r="C1687" s="20"/>
      <c r="Z1687" s="20"/>
      <c r="AG1687" s="20"/>
      <c r="AQ1687" s="19"/>
      <c r="AR1687" s="19"/>
      <c r="AS1687" s="19"/>
      <c r="AT1687" s="19"/>
      <c r="AU1687" s="19"/>
    </row>
    <row r="1688" spans="3:47">
      <c r="C1688" s="20"/>
      <c r="Z1688" s="20"/>
      <c r="AG1688" s="20"/>
      <c r="AQ1688" s="19"/>
      <c r="AR1688" s="19"/>
      <c r="AS1688" s="19"/>
      <c r="AT1688" s="19"/>
      <c r="AU1688" s="19"/>
    </row>
    <row r="1689" spans="3:47">
      <c r="C1689" s="20"/>
      <c r="Z1689" s="20"/>
      <c r="AG1689" s="20"/>
      <c r="AQ1689" s="19"/>
      <c r="AR1689" s="19"/>
      <c r="AS1689" s="19"/>
      <c r="AT1689" s="19"/>
      <c r="AU1689" s="19"/>
    </row>
    <row r="1690" spans="3:47">
      <c r="C1690" s="20"/>
      <c r="Z1690" s="20"/>
      <c r="AG1690" s="20"/>
      <c r="AQ1690" s="19"/>
      <c r="AR1690" s="19"/>
      <c r="AS1690" s="19"/>
      <c r="AT1690" s="19"/>
      <c r="AU1690" s="19"/>
    </row>
    <row r="1691" spans="3:47">
      <c r="C1691" s="20"/>
      <c r="Z1691" s="20"/>
      <c r="AG1691" s="20"/>
      <c r="AQ1691" s="19"/>
      <c r="AR1691" s="19"/>
      <c r="AS1691" s="19"/>
      <c r="AT1691" s="19"/>
      <c r="AU1691" s="19"/>
    </row>
    <row r="1692" spans="3:47">
      <c r="C1692" s="20"/>
      <c r="Z1692" s="20"/>
      <c r="AG1692" s="20"/>
      <c r="AQ1692" s="19"/>
      <c r="AR1692" s="19"/>
      <c r="AS1692" s="19"/>
      <c r="AT1692" s="19"/>
      <c r="AU1692" s="19"/>
    </row>
    <row r="1693" spans="3:47">
      <c r="C1693" s="20"/>
      <c r="Z1693" s="20"/>
      <c r="AG1693" s="20"/>
      <c r="AQ1693" s="19"/>
      <c r="AR1693" s="19"/>
      <c r="AS1693" s="19"/>
      <c r="AT1693" s="19"/>
      <c r="AU1693" s="19"/>
    </row>
    <row r="1694" spans="3:47">
      <c r="C1694" s="20"/>
      <c r="Z1694" s="20"/>
      <c r="AG1694" s="20"/>
      <c r="AQ1694" s="19"/>
      <c r="AR1694" s="19"/>
      <c r="AS1694" s="19"/>
      <c r="AT1694" s="19"/>
      <c r="AU1694" s="19"/>
    </row>
    <row r="1695" spans="3:47">
      <c r="C1695" s="20"/>
      <c r="Z1695" s="20"/>
      <c r="AG1695" s="20"/>
      <c r="AQ1695" s="19"/>
      <c r="AR1695" s="19"/>
      <c r="AS1695" s="19"/>
      <c r="AT1695" s="19"/>
      <c r="AU1695" s="19"/>
    </row>
    <row r="1696" spans="3:47">
      <c r="C1696" s="20"/>
      <c r="Z1696" s="20"/>
      <c r="AG1696" s="20"/>
      <c r="AQ1696" s="19"/>
      <c r="AR1696" s="19"/>
      <c r="AS1696" s="19"/>
      <c r="AT1696" s="19"/>
      <c r="AU1696" s="19"/>
    </row>
    <row r="1697" spans="3:47">
      <c r="C1697" s="20"/>
      <c r="Z1697" s="20"/>
      <c r="AG1697" s="20"/>
      <c r="AQ1697" s="19"/>
      <c r="AR1697" s="19"/>
      <c r="AS1697" s="19"/>
      <c r="AT1697" s="19"/>
      <c r="AU1697" s="19"/>
    </row>
    <row r="1698" spans="3:47">
      <c r="C1698" s="20"/>
      <c r="Z1698" s="20"/>
      <c r="AG1698" s="20"/>
      <c r="AQ1698" s="19"/>
      <c r="AR1698" s="19"/>
      <c r="AS1698" s="19"/>
      <c r="AT1698" s="19"/>
      <c r="AU1698" s="19"/>
    </row>
    <row r="1699" spans="3:47">
      <c r="C1699" s="20"/>
      <c r="Z1699" s="20"/>
      <c r="AG1699" s="20"/>
      <c r="AQ1699" s="19"/>
      <c r="AR1699" s="19"/>
      <c r="AS1699" s="19"/>
      <c r="AT1699" s="19"/>
      <c r="AU1699" s="19"/>
    </row>
    <row r="1700" spans="3:47">
      <c r="C1700" s="20"/>
      <c r="Z1700" s="20"/>
      <c r="AG1700" s="20"/>
      <c r="AQ1700" s="19"/>
      <c r="AR1700" s="19"/>
      <c r="AS1700" s="19"/>
      <c r="AT1700" s="19"/>
      <c r="AU1700" s="19"/>
    </row>
    <row r="1701" spans="3:47">
      <c r="C1701" s="20"/>
      <c r="Z1701" s="20"/>
      <c r="AG1701" s="20"/>
      <c r="AQ1701" s="19"/>
      <c r="AR1701" s="19"/>
      <c r="AS1701" s="19"/>
      <c r="AT1701" s="19"/>
      <c r="AU1701" s="19"/>
    </row>
    <row r="1702" spans="3:47">
      <c r="C1702" s="20"/>
      <c r="Z1702" s="20"/>
      <c r="AG1702" s="20"/>
      <c r="AQ1702" s="19"/>
      <c r="AR1702" s="19"/>
      <c r="AS1702" s="19"/>
      <c r="AT1702" s="19"/>
      <c r="AU1702" s="19"/>
    </row>
    <row r="1703" spans="3:47">
      <c r="C1703" s="20"/>
      <c r="Z1703" s="20"/>
      <c r="AG1703" s="20"/>
      <c r="AQ1703" s="19"/>
      <c r="AR1703" s="19"/>
      <c r="AS1703" s="19"/>
      <c r="AT1703" s="19"/>
      <c r="AU1703" s="19"/>
    </row>
    <row r="1704" spans="3:47">
      <c r="C1704" s="20"/>
      <c r="Z1704" s="20"/>
      <c r="AG1704" s="20"/>
      <c r="AQ1704" s="19"/>
      <c r="AR1704" s="19"/>
      <c r="AS1704" s="19"/>
      <c r="AT1704" s="19"/>
      <c r="AU1704" s="19"/>
    </row>
    <row r="1705" spans="3:47">
      <c r="C1705" s="20"/>
      <c r="Z1705" s="20"/>
      <c r="AG1705" s="20"/>
      <c r="AQ1705" s="19"/>
      <c r="AR1705" s="19"/>
      <c r="AS1705" s="19"/>
      <c r="AT1705" s="19"/>
      <c r="AU1705" s="19"/>
    </row>
    <row r="1706" spans="3:47">
      <c r="C1706" s="20"/>
      <c r="Z1706" s="20"/>
      <c r="AG1706" s="20"/>
      <c r="AQ1706" s="19"/>
      <c r="AR1706" s="19"/>
      <c r="AS1706" s="19"/>
      <c r="AT1706" s="19"/>
      <c r="AU1706" s="19"/>
    </row>
    <row r="1707" spans="3:47">
      <c r="C1707" s="20"/>
      <c r="Z1707" s="20"/>
      <c r="AG1707" s="20"/>
      <c r="AQ1707" s="19"/>
      <c r="AR1707" s="19"/>
      <c r="AS1707" s="19"/>
      <c r="AT1707" s="19"/>
      <c r="AU1707" s="19"/>
    </row>
    <row r="1708" spans="3:47">
      <c r="C1708" s="20"/>
      <c r="Z1708" s="20"/>
      <c r="AG1708" s="20"/>
      <c r="AQ1708" s="19"/>
      <c r="AR1708" s="19"/>
      <c r="AS1708" s="19"/>
      <c r="AT1708" s="19"/>
      <c r="AU1708" s="19"/>
    </row>
    <row r="1709" spans="3:47">
      <c r="C1709" s="20"/>
      <c r="Z1709" s="20"/>
      <c r="AG1709" s="20"/>
      <c r="AQ1709" s="19"/>
      <c r="AR1709" s="19"/>
      <c r="AS1709" s="19"/>
      <c r="AT1709" s="19"/>
      <c r="AU1709" s="19"/>
    </row>
    <row r="1710" spans="3:47">
      <c r="C1710" s="20"/>
      <c r="Z1710" s="20"/>
      <c r="AG1710" s="20"/>
      <c r="AQ1710" s="19"/>
      <c r="AR1710" s="19"/>
      <c r="AS1710" s="19"/>
      <c r="AT1710" s="19"/>
      <c r="AU1710" s="19"/>
    </row>
    <row r="1711" spans="3:47">
      <c r="C1711" s="20"/>
      <c r="Z1711" s="20"/>
      <c r="AG1711" s="20"/>
      <c r="AQ1711" s="19"/>
      <c r="AR1711" s="19"/>
      <c r="AS1711" s="19"/>
      <c r="AT1711" s="19"/>
      <c r="AU1711" s="19"/>
    </row>
    <row r="1712" spans="3:47">
      <c r="C1712" s="20"/>
      <c r="Z1712" s="20"/>
      <c r="AG1712" s="20"/>
      <c r="AQ1712" s="19"/>
      <c r="AR1712" s="19"/>
      <c r="AS1712" s="19"/>
      <c r="AT1712" s="19"/>
      <c r="AU1712" s="19"/>
    </row>
    <row r="1713" spans="3:47">
      <c r="C1713" s="20"/>
      <c r="Z1713" s="20"/>
      <c r="AG1713" s="20"/>
      <c r="AQ1713" s="19"/>
      <c r="AR1713" s="19"/>
      <c r="AS1713" s="19"/>
      <c r="AT1713" s="19"/>
      <c r="AU1713" s="19"/>
    </row>
    <row r="1714" spans="3:47">
      <c r="C1714" s="20"/>
      <c r="Z1714" s="20"/>
      <c r="AG1714" s="20"/>
      <c r="AQ1714" s="19"/>
      <c r="AR1714" s="19"/>
      <c r="AS1714" s="19"/>
      <c r="AT1714" s="19"/>
      <c r="AU1714" s="19"/>
    </row>
    <row r="1715" spans="3:47">
      <c r="C1715" s="20"/>
      <c r="Z1715" s="20"/>
      <c r="AG1715" s="20"/>
      <c r="AQ1715" s="19"/>
      <c r="AR1715" s="19"/>
      <c r="AS1715" s="19"/>
      <c r="AT1715" s="19"/>
      <c r="AU1715" s="19"/>
    </row>
    <row r="1716" spans="3:47">
      <c r="C1716" s="20"/>
      <c r="Z1716" s="20"/>
      <c r="AG1716" s="20"/>
      <c r="AQ1716" s="19"/>
      <c r="AR1716" s="19"/>
      <c r="AS1716" s="19"/>
      <c r="AT1716" s="19"/>
      <c r="AU1716" s="19"/>
    </row>
    <row r="1717" spans="3:47">
      <c r="C1717" s="20"/>
      <c r="Z1717" s="20"/>
      <c r="AG1717" s="20"/>
      <c r="AQ1717" s="19"/>
      <c r="AR1717" s="19"/>
      <c r="AS1717" s="19"/>
      <c r="AT1717" s="19"/>
      <c r="AU1717" s="19"/>
    </row>
    <row r="1718" spans="3:47">
      <c r="C1718" s="20"/>
      <c r="Z1718" s="20"/>
      <c r="AG1718" s="20"/>
      <c r="AQ1718" s="19"/>
      <c r="AR1718" s="19"/>
      <c r="AS1718" s="19"/>
      <c r="AT1718" s="19"/>
      <c r="AU1718" s="19"/>
    </row>
    <row r="1719" spans="3:47">
      <c r="C1719" s="20"/>
      <c r="Z1719" s="20"/>
      <c r="AG1719" s="20"/>
      <c r="AQ1719" s="19"/>
      <c r="AR1719" s="19"/>
      <c r="AS1719" s="19"/>
      <c r="AT1719" s="19"/>
      <c r="AU1719" s="19"/>
    </row>
    <row r="1720" spans="3:47">
      <c r="C1720" s="20"/>
      <c r="Z1720" s="20"/>
      <c r="AG1720" s="20"/>
      <c r="AQ1720" s="19"/>
      <c r="AR1720" s="19"/>
      <c r="AS1720" s="19"/>
      <c r="AT1720" s="19"/>
      <c r="AU1720" s="19"/>
    </row>
    <row r="1721" spans="3:47">
      <c r="C1721" s="20"/>
      <c r="Z1721" s="20"/>
      <c r="AG1721" s="20"/>
      <c r="AQ1721" s="19"/>
      <c r="AR1721" s="19"/>
      <c r="AS1721" s="19"/>
      <c r="AT1721" s="19"/>
      <c r="AU1721" s="19"/>
    </row>
    <row r="1722" spans="3:47">
      <c r="C1722" s="20"/>
      <c r="Z1722" s="20"/>
      <c r="AG1722" s="20"/>
      <c r="AQ1722" s="19"/>
      <c r="AR1722" s="19"/>
      <c r="AS1722" s="19"/>
      <c r="AT1722" s="19"/>
      <c r="AU1722" s="19"/>
    </row>
    <row r="1723" spans="3:47">
      <c r="C1723" s="20"/>
      <c r="Z1723" s="20"/>
      <c r="AG1723" s="20"/>
      <c r="AQ1723" s="19"/>
      <c r="AR1723" s="19"/>
      <c r="AS1723" s="19"/>
      <c r="AT1723" s="19"/>
      <c r="AU1723" s="19"/>
    </row>
    <row r="1724" spans="3:47">
      <c r="C1724" s="20"/>
      <c r="Z1724" s="20"/>
      <c r="AG1724" s="20"/>
      <c r="AQ1724" s="19"/>
      <c r="AR1724" s="19"/>
      <c r="AS1724" s="19"/>
      <c r="AT1724" s="19"/>
      <c r="AU1724" s="19"/>
    </row>
    <row r="1725" spans="3:47">
      <c r="C1725" s="20"/>
      <c r="Z1725" s="20"/>
      <c r="AG1725" s="20"/>
      <c r="AQ1725" s="19"/>
      <c r="AR1725" s="19"/>
      <c r="AS1725" s="19"/>
      <c r="AT1725" s="19"/>
      <c r="AU1725" s="19"/>
    </row>
    <row r="1726" spans="3:47">
      <c r="C1726" s="20"/>
      <c r="Z1726" s="20"/>
      <c r="AG1726" s="20"/>
      <c r="AQ1726" s="19"/>
      <c r="AR1726" s="19"/>
      <c r="AS1726" s="19"/>
      <c r="AT1726" s="19"/>
      <c r="AU1726" s="19"/>
    </row>
    <row r="1727" spans="3:47">
      <c r="C1727" s="20"/>
      <c r="Z1727" s="20"/>
      <c r="AG1727" s="20"/>
      <c r="AQ1727" s="19"/>
      <c r="AR1727" s="19"/>
      <c r="AS1727" s="19"/>
      <c r="AT1727" s="19"/>
      <c r="AU1727" s="19"/>
    </row>
    <row r="1728" spans="3:47">
      <c r="C1728" s="20"/>
      <c r="Z1728" s="20"/>
      <c r="AG1728" s="20"/>
      <c r="AQ1728" s="19"/>
      <c r="AR1728" s="19"/>
      <c r="AS1728" s="19"/>
      <c r="AT1728" s="19"/>
      <c r="AU1728" s="19"/>
    </row>
    <row r="1729" spans="3:47">
      <c r="C1729" s="20"/>
      <c r="Z1729" s="20"/>
      <c r="AG1729" s="20"/>
      <c r="AQ1729" s="19"/>
      <c r="AR1729" s="19"/>
      <c r="AS1729" s="19"/>
      <c r="AT1729" s="19"/>
      <c r="AU1729" s="19"/>
    </row>
    <row r="1730" spans="3:47">
      <c r="C1730" s="20"/>
      <c r="Z1730" s="20"/>
      <c r="AG1730" s="20"/>
      <c r="AQ1730" s="19"/>
      <c r="AR1730" s="19"/>
      <c r="AS1730" s="19"/>
      <c r="AT1730" s="19"/>
      <c r="AU1730" s="19"/>
    </row>
    <row r="1731" spans="3:47">
      <c r="C1731" s="20"/>
      <c r="Z1731" s="20"/>
      <c r="AG1731" s="20"/>
      <c r="AQ1731" s="19"/>
      <c r="AR1731" s="19"/>
      <c r="AS1731" s="19"/>
      <c r="AT1731" s="19"/>
      <c r="AU1731" s="19"/>
    </row>
    <row r="1732" spans="3:47">
      <c r="C1732" s="20"/>
      <c r="Z1732" s="20"/>
      <c r="AG1732" s="20"/>
      <c r="AQ1732" s="19"/>
      <c r="AR1732" s="19"/>
      <c r="AS1732" s="19"/>
      <c r="AT1732" s="19"/>
      <c r="AU1732" s="19"/>
    </row>
    <row r="1733" spans="3:47">
      <c r="C1733" s="20"/>
      <c r="Z1733" s="20"/>
      <c r="AG1733" s="20"/>
      <c r="AQ1733" s="19"/>
      <c r="AR1733" s="19"/>
      <c r="AS1733" s="19"/>
      <c r="AT1733" s="19"/>
      <c r="AU1733" s="19"/>
    </row>
    <row r="1734" spans="3:47">
      <c r="C1734" s="20"/>
      <c r="Z1734" s="20"/>
      <c r="AG1734" s="20"/>
      <c r="AQ1734" s="19"/>
      <c r="AR1734" s="19"/>
      <c r="AS1734" s="19"/>
      <c r="AT1734" s="19"/>
      <c r="AU1734" s="19"/>
    </row>
    <row r="1735" spans="3:47">
      <c r="C1735" s="20"/>
      <c r="Z1735" s="20"/>
      <c r="AG1735" s="20"/>
      <c r="AQ1735" s="19"/>
      <c r="AR1735" s="19"/>
      <c r="AS1735" s="19"/>
      <c r="AT1735" s="19"/>
      <c r="AU1735" s="19"/>
    </row>
    <row r="1736" spans="3:47">
      <c r="C1736" s="20"/>
      <c r="Z1736" s="20"/>
      <c r="AG1736" s="20"/>
      <c r="AQ1736" s="19"/>
      <c r="AR1736" s="19"/>
      <c r="AS1736" s="19"/>
      <c r="AT1736" s="19"/>
      <c r="AU1736" s="19"/>
    </row>
    <row r="1737" spans="3:47">
      <c r="C1737" s="20"/>
      <c r="Z1737" s="20"/>
      <c r="AG1737" s="20"/>
      <c r="AQ1737" s="19"/>
      <c r="AR1737" s="19"/>
      <c r="AS1737" s="19"/>
      <c r="AT1737" s="19"/>
      <c r="AU1737" s="19"/>
    </row>
    <row r="1738" spans="3:47">
      <c r="C1738" s="20"/>
      <c r="Z1738" s="20"/>
      <c r="AG1738" s="20"/>
      <c r="AQ1738" s="19"/>
      <c r="AR1738" s="19"/>
      <c r="AS1738" s="19"/>
      <c r="AT1738" s="19"/>
      <c r="AU1738" s="19"/>
    </row>
    <row r="1739" spans="3:47">
      <c r="C1739" s="20"/>
      <c r="Z1739" s="20"/>
      <c r="AG1739" s="20"/>
      <c r="AQ1739" s="19"/>
      <c r="AR1739" s="19"/>
      <c r="AS1739" s="19"/>
      <c r="AT1739" s="19"/>
      <c r="AU1739" s="19"/>
    </row>
    <row r="1740" spans="3:47">
      <c r="C1740" s="20"/>
      <c r="Z1740" s="20"/>
      <c r="AG1740" s="20"/>
      <c r="AQ1740" s="19"/>
      <c r="AR1740" s="19"/>
      <c r="AS1740" s="19"/>
      <c r="AT1740" s="19"/>
      <c r="AU1740" s="19"/>
    </row>
    <row r="1741" spans="3:47">
      <c r="C1741" s="20"/>
      <c r="Z1741" s="20"/>
      <c r="AG1741" s="20"/>
      <c r="AQ1741" s="19"/>
      <c r="AR1741" s="19"/>
      <c r="AS1741" s="19"/>
      <c r="AT1741" s="19"/>
      <c r="AU1741" s="19"/>
    </row>
    <row r="1742" spans="3:47">
      <c r="C1742" s="20"/>
      <c r="Z1742" s="20"/>
      <c r="AG1742" s="20"/>
      <c r="AQ1742" s="19"/>
      <c r="AR1742" s="19"/>
      <c r="AS1742" s="19"/>
      <c r="AT1742" s="19"/>
      <c r="AU1742" s="19"/>
    </row>
    <row r="1743" spans="3:47">
      <c r="C1743" s="20"/>
      <c r="Z1743" s="20"/>
      <c r="AG1743" s="20"/>
      <c r="AQ1743" s="19"/>
      <c r="AR1743" s="19"/>
      <c r="AS1743" s="19"/>
      <c r="AT1743" s="19"/>
      <c r="AU1743" s="19"/>
    </row>
    <row r="1744" spans="3:47">
      <c r="C1744" s="20"/>
      <c r="Z1744" s="20"/>
      <c r="AG1744" s="20"/>
      <c r="AQ1744" s="19"/>
      <c r="AR1744" s="19"/>
      <c r="AS1744" s="19"/>
      <c r="AT1744" s="19"/>
      <c r="AU1744" s="19"/>
    </row>
    <row r="1745" spans="3:47">
      <c r="C1745" s="20"/>
      <c r="Z1745" s="20"/>
      <c r="AG1745" s="20"/>
      <c r="AQ1745" s="19"/>
      <c r="AR1745" s="19"/>
      <c r="AS1745" s="19"/>
      <c r="AT1745" s="19"/>
      <c r="AU1745" s="19"/>
    </row>
    <row r="1746" spans="3:47">
      <c r="C1746" s="20"/>
      <c r="Z1746" s="20"/>
      <c r="AG1746" s="20"/>
      <c r="AQ1746" s="19"/>
      <c r="AR1746" s="19"/>
      <c r="AS1746" s="19"/>
      <c r="AT1746" s="19"/>
      <c r="AU1746" s="19"/>
    </row>
    <row r="1747" spans="3:47">
      <c r="C1747" s="20"/>
      <c r="Z1747" s="20"/>
      <c r="AG1747" s="20"/>
      <c r="AQ1747" s="19"/>
      <c r="AR1747" s="19"/>
      <c r="AS1747" s="19"/>
      <c r="AT1747" s="19"/>
      <c r="AU1747" s="19"/>
    </row>
    <row r="1748" spans="3:47">
      <c r="C1748" s="20"/>
      <c r="Z1748" s="20"/>
      <c r="AG1748" s="20"/>
      <c r="AQ1748" s="19"/>
      <c r="AR1748" s="19"/>
      <c r="AS1748" s="19"/>
      <c r="AT1748" s="19"/>
      <c r="AU1748" s="19"/>
    </row>
    <row r="1749" spans="3:47">
      <c r="C1749" s="20"/>
      <c r="Z1749" s="20"/>
      <c r="AG1749" s="20"/>
      <c r="AQ1749" s="19"/>
      <c r="AR1749" s="19"/>
      <c r="AS1749" s="19"/>
      <c r="AT1749" s="19"/>
      <c r="AU1749" s="19"/>
    </row>
    <row r="1750" spans="3:47">
      <c r="C1750" s="20"/>
      <c r="Z1750" s="20"/>
      <c r="AG1750" s="20"/>
      <c r="AQ1750" s="19"/>
      <c r="AR1750" s="19"/>
      <c r="AS1750" s="19"/>
      <c r="AT1750" s="19"/>
      <c r="AU1750" s="19"/>
    </row>
    <row r="1751" spans="3:47">
      <c r="C1751" s="20"/>
      <c r="Z1751" s="20"/>
      <c r="AG1751" s="20"/>
      <c r="AQ1751" s="19"/>
      <c r="AR1751" s="19"/>
      <c r="AS1751" s="19"/>
      <c r="AT1751" s="19"/>
      <c r="AU1751" s="19"/>
    </row>
    <row r="1752" spans="3:47">
      <c r="C1752" s="20"/>
      <c r="Z1752" s="20"/>
      <c r="AG1752" s="20"/>
      <c r="AQ1752" s="19"/>
      <c r="AR1752" s="19"/>
      <c r="AS1752" s="19"/>
      <c r="AT1752" s="19"/>
      <c r="AU1752" s="19"/>
    </row>
    <row r="1753" spans="3:47">
      <c r="C1753" s="20"/>
      <c r="Z1753" s="20"/>
      <c r="AG1753" s="20"/>
      <c r="AQ1753" s="19"/>
      <c r="AR1753" s="19"/>
      <c r="AS1753" s="19"/>
      <c r="AT1753" s="19"/>
      <c r="AU1753" s="19"/>
    </row>
    <row r="1754" spans="3:47">
      <c r="C1754" s="20"/>
      <c r="Z1754" s="20"/>
      <c r="AG1754" s="20"/>
      <c r="AQ1754" s="19"/>
      <c r="AR1754" s="19"/>
      <c r="AS1754" s="19"/>
      <c r="AT1754" s="19"/>
      <c r="AU1754" s="19"/>
    </row>
    <row r="1755" spans="3:47">
      <c r="C1755" s="20"/>
      <c r="Z1755" s="20"/>
      <c r="AG1755" s="20"/>
      <c r="AQ1755" s="19"/>
      <c r="AR1755" s="19"/>
      <c r="AS1755" s="19"/>
      <c r="AT1755" s="19"/>
      <c r="AU1755" s="19"/>
    </row>
    <row r="1756" spans="3:47">
      <c r="C1756" s="20"/>
      <c r="Z1756" s="20"/>
      <c r="AG1756" s="20"/>
      <c r="AQ1756" s="19"/>
      <c r="AR1756" s="19"/>
      <c r="AS1756" s="19"/>
      <c r="AT1756" s="19"/>
      <c r="AU1756" s="19"/>
    </row>
    <row r="1757" spans="3:47">
      <c r="C1757" s="20"/>
      <c r="Z1757" s="20"/>
      <c r="AG1757" s="20"/>
      <c r="AQ1757" s="19"/>
      <c r="AR1757" s="19"/>
      <c r="AS1757" s="19"/>
      <c r="AT1757" s="19"/>
      <c r="AU1757" s="19"/>
    </row>
    <row r="1758" spans="3:47">
      <c r="C1758" s="20"/>
      <c r="Z1758" s="20"/>
      <c r="AG1758" s="20"/>
      <c r="AQ1758" s="19"/>
      <c r="AR1758" s="19"/>
      <c r="AS1758" s="19"/>
      <c r="AT1758" s="19"/>
      <c r="AU1758" s="19"/>
    </row>
    <row r="1759" spans="3:47">
      <c r="C1759" s="20"/>
      <c r="Z1759" s="20"/>
      <c r="AG1759" s="20"/>
      <c r="AQ1759" s="19"/>
      <c r="AR1759" s="19"/>
      <c r="AS1759" s="19"/>
      <c r="AT1759" s="19"/>
      <c r="AU1759" s="19"/>
    </row>
    <row r="1760" spans="3:47">
      <c r="C1760" s="20"/>
      <c r="Z1760" s="20"/>
      <c r="AG1760" s="20"/>
      <c r="AQ1760" s="19"/>
      <c r="AR1760" s="19"/>
      <c r="AS1760" s="19"/>
      <c r="AT1760" s="19"/>
      <c r="AU1760" s="19"/>
    </row>
    <row r="1761" spans="3:47">
      <c r="C1761" s="20"/>
      <c r="Z1761" s="20"/>
      <c r="AG1761" s="20"/>
      <c r="AQ1761" s="19"/>
      <c r="AR1761" s="19"/>
      <c r="AS1761" s="19"/>
      <c r="AT1761" s="19"/>
      <c r="AU1761" s="19"/>
    </row>
    <row r="1762" spans="3:47">
      <c r="C1762" s="20"/>
      <c r="Z1762" s="20"/>
      <c r="AG1762" s="20"/>
      <c r="AQ1762" s="19"/>
      <c r="AR1762" s="19"/>
      <c r="AS1762" s="19"/>
      <c r="AT1762" s="19"/>
      <c r="AU1762" s="19"/>
    </row>
    <row r="1763" spans="3:47">
      <c r="C1763" s="20"/>
      <c r="Z1763" s="20"/>
      <c r="AG1763" s="20"/>
      <c r="AQ1763" s="19"/>
      <c r="AR1763" s="19"/>
      <c r="AS1763" s="19"/>
      <c r="AT1763" s="19"/>
      <c r="AU1763" s="19"/>
    </row>
    <row r="1764" spans="3:47">
      <c r="C1764" s="20"/>
      <c r="Z1764" s="20"/>
      <c r="AG1764" s="20"/>
      <c r="AQ1764" s="19"/>
      <c r="AR1764" s="19"/>
      <c r="AS1764" s="19"/>
      <c r="AT1764" s="19"/>
      <c r="AU1764" s="19"/>
    </row>
    <row r="1765" spans="3:47">
      <c r="C1765" s="20"/>
      <c r="Z1765" s="20"/>
      <c r="AG1765" s="20"/>
      <c r="AQ1765" s="19"/>
      <c r="AR1765" s="19"/>
      <c r="AS1765" s="19"/>
      <c r="AT1765" s="19"/>
      <c r="AU1765" s="19"/>
    </row>
    <row r="1766" spans="3:47">
      <c r="C1766" s="20"/>
      <c r="Z1766" s="20"/>
      <c r="AG1766" s="20"/>
      <c r="AQ1766" s="19"/>
      <c r="AR1766" s="19"/>
      <c r="AS1766" s="19"/>
      <c r="AT1766" s="19"/>
      <c r="AU1766" s="19"/>
    </row>
    <row r="1767" spans="3:47">
      <c r="C1767" s="20"/>
      <c r="Z1767" s="20"/>
      <c r="AG1767" s="20"/>
      <c r="AQ1767" s="19"/>
      <c r="AR1767" s="19"/>
      <c r="AS1767" s="19"/>
      <c r="AT1767" s="19"/>
      <c r="AU1767" s="19"/>
    </row>
    <row r="1768" spans="3:47">
      <c r="C1768" s="20"/>
      <c r="Z1768" s="20"/>
      <c r="AG1768" s="20"/>
      <c r="AQ1768" s="19"/>
      <c r="AR1768" s="19"/>
      <c r="AS1768" s="19"/>
      <c r="AT1768" s="19"/>
      <c r="AU1768" s="19"/>
    </row>
    <row r="1769" spans="3:47">
      <c r="C1769" s="20"/>
      <c r="Z1769" s="20"/>
      <c r="AG1769" s="20"/>
      <c r="AQ1769" s="19"/>
      <c r="AR1769" s="19"/>
      <c r="AS1769" s="19"/>
      <c r="AT1769" s="19"/>
      <c r="AU1769" s="19"/>
    </row>
    <row r="1770" spans="3:47">
      <c r="C1770" s="20"/>
      <c r="Z1770" s="20"/>
      <c r="AG1770" s="20"/>
      <c r="AQ1770" s="19"/>
      <c r="AR1770" s="19"/>
      <c r="AS1770" s="19"/>
      <c r="AT1770" s="19"/>
      <c r="AU1770" s="19"/>
    </row>
    <row r="1771" spans="3:47">
      <c r="C1771" s="20"/>
      <c r="Z1771" s="20"/>
      <c r="AG1771" s="20"/>
      <c r="AQ1771" s="19"/>
      <c r="AR1771" s="19"/>
      <c r="AS1771" s="19"/>
      <c r="AT1771" s="19"/>
      <c r="AU1771" s="19"/>
    </row>
    <row r="1772" spans="3:47">
      <c r="C1772" s="20"/>
      <c r="Z1772" s="20"/>
      <c r="AG1772" s="20"/>
      <c r="AQ1772" s="19"/>
      <c r="AR1772" s="19"/>
      <c r="AS1772" s="19"/>
      <c r="AT1772" s="19"/>
      <c r="AU1772" s="19"/>
    </row>
    <row r="1773" spans="3:47">
      <c r="C1773" s="20"/>
      <c r="Z1773" s="20"/>
      <c r="AG1773" s="20"/>
      <c r="AQ1773" s="19"/>
      <c r="AR1773" s="19"/>
      <c r="AS1773" s="19"/>
      <c r="AT1773" s="19"/>
      <c r="AU1773" s="19"/>
    </row>
    <row r="1774" spans="3:47">
      <c r="C1774" s="20"/>
      <c r="Z1774" s="20"/>
      <c r="AG1774" s="20"/>
      <c r="AQ1774" s="19"/>
      <c r="AR1774" s="19"/>
      <c r="AS1774" s="19"/>
      <c r="AT1774" s="19"/>
      <c r="AU1774" s="19"/>
    </row>
    <row r="1775" spans="3:47">
      <c r="C1775" s="20"/>
      <c r="Z1775" s="20"/>
      <c r="AG1775" s="20"/>
      <c r="AQ1775" s="19"/>
      <c r="AR1775" s="19"/>
      <c r="AS1775" s="19"/>
      <c r="AT1775" s="19"/>
      <c r="AU1775" s="19"/>
    </row>
    <row r="1776" spans="3:47">
      <c r="C1776" s="20"/>
      <c r="Z1776" s="20"/>
      <c r="AG1776" s="20"/>
      <c r="AQ1776" s="19"/>
      <c r="AR1776" s="19"/>
      <c r="AS1776" s="19"/>
      <c r="AT1776" s="19"/>
      <c r="AU1776" s="19"/>
    </row>
    <row r="1777" spans="3:47">
      <c r="C1777" s="20"/>
      <c r="Z1777" s="20"/>
      <c r="AG1777" s="20"/>
      <c r="AQ1777" s="19"/>
      <c r="AR1777" s="19"/>
      <c r="AS1777" s="19"/>
      <c r="AT1777" s="19"/>
      <c r="AU1777" s="19"/>
    </row>
    <row r="1778" spans="3:47">
      <c r="C1778" s="20"/>
      <c r="Z1778" s="20"/>
      <c r="AG1778" s="20"/>
      <c r="AQ1778" s="19"/>
      <c r="AR1778" s="19"/>
      <c r="AS1778" s="19"/>
      <c r="AT1778" s="19"/>
      <c r="AU1778" s="19"/>
    </row>
    <row r="1779" spans="3:47">
      <c r="C1779" s="20"/>
      <c r="Z1779" s="20"/>
      <c r="AG1779" s="20"/>
      <c r="AQ1779" s="19"/>
      <c r="AR1779" s="19"/>
      <c r="AS1779" s="19"/>
      <c r="AT1779" s="19"/>
      <c r="AU1779" s="19"/>
    </row>
    <row r="1780" spans="3:47">
      <c r="C1780" s="20"/>
      <c r="Z1780" s="20"/>
      <c r="AG1780" s="20"/>
      <c r="AQ1780" s="19"/>
      <c r="AR1780" s="19"/>
      <c r="AS1780" s="19"/>
      <c r="AT1780" s="19"/>
      <c r="AU1780" s="19"/>
    </row>
    <row r="1781" spans="3:47">
      <c r="C1781" s="20"/>
      <c r="Z1781" s="20"/>
      <c r="AG1781" s="20"/>
      <c r="AQ1781" s="19"/>
      <c r="AR1781" s="19"/>
      <c r="AS1781" s="19"/>
      <c r="AT1781" s="19"/>
      <c r="AU1781" s="19"/>
    </row>
    <row r="1782" spans="3:47">
      <c r="C1782" s="20"/>
      <c r="Z1782" s="20"/>
      <c r="AG1782" s="20"/>
      <c r="AQ1782" s="19"/>
      <c r="AR1782" s="19"/>
      <c r="AS1782" s="19"/>
      <c r="AT1782" s="19"/>
      <c r="AU1782" s="19"/>
    </row>
    <row r="1783" spans="3:47">
      <c r="C1783" s="20"/>
      <c r="Z1783" s="20"/>
      <c r="AG1783" s="20"/>
      <c r="AQ1783" s="19"/>
      <c r="AR1783" s="19"/>
      <c r="AS1783" s="19"/>
      <c r="AT1783" s="19"/>
      <c r="AU1783" s="19"/>
    </row>
    <row r="1784" spans="3:47">
      <c r="C1784" s="20"/>
      <c r="Z1784" s="20"/>
      <c r="AG1784" s="20"/>
      <c r="AQ1784" s="19"/>
      <c r="AR1784" s="19"/>
      <c r="AS1784" s="19"/>
      <c r="AT1784" s="19"/>
      <c r="AU1784" s="19"/>
    </row>
    <row r="1785" spans="3:47">
      <c r="C1785" s="20"/>
      <c r="Z1785" s="20"/>
      <c r="AG1785" s="20"/>
      <c r="AQ1785" s="19"/>
      <c r="AR1785" s="19"/>
      <c r="AS1785" s="19"/>
      <c r="AT1785" s="19"/>
      <c r="AU1785" s="19"/>
    </row>
    <row r="1786" spans="3:47">
      <c r="C1786" s="20"/>
      <c r="Z1786" s="20"/>
      <c r="AG1786" s="20"/>
      <c r="AQ1786" s="19"/>
      <c r="AR1786" s="19"/>
      <c r="AS1786" s="19"/>
      <c r="AT1786" s="19"/>
      <c r="AU1786" s="19"/>
    </row>
    <row r="1787" spans="3:47">
      <c r="C1787" s="20"/>
      <c r="Z1787" s="20"/>
      <c r="AG1787" s="20"/>
      <c r="AQ1787" s="19"/>
      <c r="AR1787" s="19"/>
      <c r="AS1787" s="19"/>
      <c r="AT1787" s="19"/>
      <c r="AU1787" s="19"/>
    </row>
    <row r="1788" spans="3:47">
      <c r="C1788" s="20"/>
      <c r="Z1788" s="20"/>
      <c r="AG1788" s="20"/>
      <c r="AQ1788" s="19"/>
      <c r="AR1788" s="19"/>
      <c r="AS1788" s="19"/>
      <c r="AT1788" s="19"/>
      <c r="AU1788" s="19"/>
    </row>
    <row r="1789" spans="3:47">
      <c r="C1789" s="20"/>
      <c r="Z1789" s="20"/>
      <c r="AG1789" s="20"/>
      <c r="AQ1789" s="19"/>
      <c r="AR1789" s="19"/>
      <c r="AS1789" s="19"/>
      <c r="AT1789" s="19"/>
      <c r="AU1789" s="19"/>
    </row>
    <row r="1790" spans="3:47">
      <c r="C1790" s="20"/>
      <c r="Z1790" s="20"/>
      <c r="AG1790" s="20"/>
      <c r="AQ1790" s="19"/>
      <c r="AR1790" s="19"/>
      <c r="AS1790" s="19"/>
      <c r="AT1790" s="19"/>
      <c r="AU1790" s="19"/>
    </row>
    <row r="1791" spans="3:47">
      <c r="C1791" s="20"/>
      <c r="Z1791" s="20"/>
      <c r="AG1791" s="20"/>
      <c r="AQ1791" s="19"/>
      <c r="AR1791" s="19"/>
      <c r="AS1791" s="19"/>
      <c r="AT1791" s="19"/>
      <c r="AU1791" s="19"/>
    </row>
    <row r="1792" spans="3:47">
      <c r="C1792" s="20"/>
      <c r="Z1792" s="20"/>
      <c r="AG1792" s="20"/>
      <c r="AQ1792" s="19"/>
      <c r="AR1792" s="19"/>
      <c r="AS1792" s="19"/>
      <c r="AT1792" s="19"/>
      <c r="AU1792" s="19"/>
    </row>
    <row r="1793" spans="3:47">
      <c r="C1793" s="20"/>
      <c r="Z1793" s="20"/>
      <c r="AG1793" s="20"/>
      <c r="AQ1793" s="19"/>
      <c r="AR1793" s="19"/>
      <c r="AS1793" s="19"/>
      <c r="AT1793" s="19"/>
      <c r="AU1793" s="19"/>
    </row>
    <row r="1794" spans="3:47">
      <c r="C1794" s="20"/>
      <c r="Z1794" s="20"/>
      <c r="AG1794" s="20"/>
      <c r="AQ1794" s="19"/>
      <c r="AR1794" s="19"/>
      <c r="AS1794" s="19"/>
      <c r="AT1794" s="19"/>
      <c r="AU1794" s="19"/>
    </row>
    <row r="1795" spans="3:47">
      <c r="C1795" s="20"/>
      <c r="Z1795" s="20"/>
      <c r="AG1795" s="20"/>
      <c r="AQ1795" s="19"/>
      <c r="AR1795" s="19"/>
      <c r="AS1795" s="19"/>
      <c r="AT1795" s="19"/>
      <c r="AU1795" s="19"/>
    </row>
    <row r="1796" spans="3:47">
      <c r="C1796" s="20"/>
      <c r="Z1796" s="20"/>
      <c r="AG1796" s="20"/>
      <c r="AQ1796" s="19"/>
      <c r="AR1796" s="19"/>
      <c r="AS1796" s="19"/>
      <c r="AT1796" s="19"/>
      <c r="AU1796" s="19"/>
    </row>
    <row r="1797" spans="3:47">
      <c r="C1797" s="20"/>
      <c r="Z1797" s="20"/>
      <c r="AG1797" s="20"/>
      <c r="AQ1797" s="19"/>
      <c r="AR1797" s="19"/>
      <c r="AS1797" s="19"/>
      <c r="AT1797" s="19"/>
      <c r="AU1797" s="19"/>
    </row>
    <row r="1798" spans="3:47">
      <c r="C1798" s="20"/>
      <c r="Z1798" s="20"/>
      <c r="AG1798" s="20"/>
      <c r="AQ1798" s="19"/>
      <c r="AR1798" s="19"/>
      <c r="AS1798" s="19"/>
      <c r="AT1798" s="19"/>
      <c r="AU1798" s="19"/>
    </row>
    <row r="1799" spans="3:47">
      <c r="C1799" s="20"/>
      <c r="Z1799" s="20"/>
      <c r="AG1799" s="20"/>
      <c r="AQ1799" s="19"/>
      <c r="AR1799" s="19"/>
      <c r="AS1799" s="19"/>
      <c r="AT1799" s="19"/>
      <c r="AU1799" s="19"/>
    </row>
    <row r="1800" spans="3:47">
      <c r="C1800" s="20"/>
      <c r="Z1800" s="20"/>
      <c r="AG1800" s="20"/>
      <c r="AQ1800" s="19"/>
      <c r="AR1800" s="19"/>
      <c r="AS1800" s="19"/>
      <c r="AT1800" s="19"/>
      <c r="AU1800" s="19"/>
    </row>
    <row r="1801" spans="3:47">
      <c r="C1801" s="20"/>
      <c r="Z1801" s="20"/>
      <c r="AG1801" s="20"/>
      <c r="AQ1801" s="19"/>
      <c r="AR1801" s="19"/>
      <c r="AS1801" s="19"/>
      <c r="AT1801" s="19"/>
      <c r="AU1801" s="19"/>
    </row>
    <row r="1802" spans="3:47">
      <c r="C1802" s="20"/>
      <c r="Z1802" s="20"/>
      <c r="AG1802" s="20"/>
      <c r="AQ1802" s="19"/>
      <c r="AR1802" s="19"/>
      <c r="AS1802" s="19"/>
      <c r="AT1802" s="19"/>
      <c r="AU1802" s="19"/>
    </row>
    <row r="1803" spans="3:47">
      <c r="C1803" s="20"/>
      <c r="Z1803" s="20"/>
      <c r="AG1803" s="20"/>
      <c r="AQ1803" s="19"/>
      <c r="AR1803" s="19"/>
      <c r="AS1803" s="19"/>
      <c r="AT1803" s="19"/>
      <c r="AU1803" s="19"/>
    </row>
    <row r="1804" spans="3:47">
      <c r="C1804" s="20"/>
      <c r="Z1804" s="20"/>
      <c r="AG1804" s="20"/>
      <c r="AQ1804" s="19"/>
      <c r="AR1804" s="19"/>
      <c r="AS1804" s="19"/>
      <c r="AT1804" s="19"/>
      <c r="AU1804" s="19"/>
    </row>
    <row r="1805" spans="3:47">
      <c r="C1805" s="20"/>
      <c r="Z1805" s="20"/>
      <c r="AG1805" s="20"/>
      <c r="AQ1805" s="19"/>
      <c r="AR1805" s="19"/>
      <c r="AS1805" s="19"/>
      <c r="AT1805" s="19"/>
      <c r="AU1805" s="19"/>
    </row>
    <row r="1806" spans="3:47">
      <c r="C1806" s="20"/>
      <c r="Z1806" s="20"/>
      <c r="AG1806" s="20"/>
      <c r="AQ1806" s="19"/>
      <c r="AR1806" s="19"/>
      <c r="AS1806" s="19"/>
      <c r="AT1806" s="19"/>
      <c r="AU1806" s="19"/>
    </row>
    <row r="1807" spans="3:47">
      <c r="C1807" s="20"/>
      <c r="Z1807" s="20"/>
      <c r="AG1807" s="20"/>
      <c r="AQ1807" s="19"/>
      <c r="AR1807" s="19"/>
      <c r="AS1807" s="19"/>
      <c r="AT1807" s="19"/>
      <c r="AU1807" s="19"/>
    </row>
    <row r="1808" spans="3:47">
      <c r="C1808" s="20"/>
      <c r="Z1808" s="20"/>
      <c r="AG1808" s="20"/>
      <c r="AQ1808" s="19"/>
      <c r="AR1808" s="19"/>
      <c r="AS1808" s="19"/>
      <c r="AT1808" s="19"/>
      <c r="AU1808" s="19"/>
    </row>
    <row r="1809" spans="3:47">
      <c r="C1809" s="20"/>
      <c r="Z1809" s="20"/>
      <c r="AG1809" s="20"/>
      <c r="AQ1809" s="19"/>
      <c r="AR1809" s="19"/>
      <c r="AS1809" s="19"/>
      <c r="AT1809" s="19"/>
      <c r="AU1809" s="19"/>
    </row>
    <row r="1810" spans="3:47">
      <c r="C1810" s="20"/>
      <c r="Z1810" s="20"/>
      <c r="AG1810" s="20"/>
      <c r="AQ1810" s="19"/>
      <c r="AR1810" s="19"/>
      <c r="AS1810" s="19"/>
      <c r="AT1810" s="19"/>
      <c r="AU1810" s="19"/>
    </row>
    <row r="1811" spans="3:47">
      <c r="C1811" s="20"/>
      <c r="Z1811" s="20"/>
      <c r="AG1811" s="20"/>
      <c r="AQ1811" s="19"/>
      <c r="AR1811" s="19"/>
      <c r="AS1811" s="19"/>
      <c r="AT1811" s="19"/>
      <c r="AU1811" s="19"/>
    </row>
    <row r="1812" spans="3:47">
      <c r="C1812" s="20"/>
      <c r="Z1812" s="20"/>
      <c r="AG1812" s="20"/>
      <c r="AQ1812" s="19"/>
      <c r="AR1812" s="19"/>
      <c r="AS1812" s="19"/>
      <c r="AT1812" s="19"/>
      <c r="AU1812" s="19"/>
    </row>
    <row r="1813" spans="3:47">
      <c r="C1813" s="20"/>
      <c r="Z1813" s="20"/>
      <c r="AG1813" s="20"/>
      <c r="AQ1813" s="19"/>
      <c r="AR1813" s="19"/>
      <c r="AS1813" s="19"/>
      <c r="AT1813" s="19"/>
      <c r="AU1813" s="19"/>
    </row>
    <row r="1814" spans="3:47">
      <c r="C1814" s="20"/>
      <c r="Z1814" s="20"/>
      <c r="AG1814" s="20"/>
      <c r="AQ1814" s="19"/>
      <c r="AR1814" s="19"/>
      <c r="AS1814" s="19"/>
      <c r="AT1814" s="19"/>
      <c r="AU1814" s="19"/>
    </row>
    <row r="1815" spans="3:47">
      <c r="C1815" s="20"/>
      <c r="Z1815" s="20"/>
      <c r="AG1815" s="20"/>
      <c r="AQ1815" s="19"/>
      <c r="AR1815" s="19"/>
      <c r="AS1815" s="19"/>
      <c r="AT1815" s="19"/>
      <c r="AU1815" s="19"/>
    </row>
    <row r="1816" spans="3:47">
      <c r="C1816" s="20"/>
      <c r="Z1816" s="20"/>
      <c r="AG1816" s="20"/>
      <c r="AQ1816" s="19"/>
      <c r="AR1816" s="19"/>
      <c r="AS1816" s="19"/>
      <c r="AT1816" s="19"/>
      <c r="AU1816" s="19"/>
    </row>
    <row r="1817" spans="3:47">
      <c r="C1817" s="20"/>
      <c r="Z1817" s="20"/>
      <c r="AG1817" s="20"/>
      <c r="AQ1817" s="19"/>
      <c r="AR1817" s="19"/>
      <c r="AS1817" s="19"/>
      <c r="AT1817" s="19"/>
      <c r="AU1817" s="19"/>
    </row>
    <row r="1818" spans="3:47">
      <c r="C1818" s="20"/>
      <c r="Z1818" s="20"/>
      <c r="AG1818" s="20"/>
      <c r="AQ1818" s="19"/>
      <c r="AR1818" s="19"/>
      <c r="AS1818" s="19"/>
      <c r="AT1818" s="19"/>
      <c r="AU1818" s="19"/>
    </row>
    <row r="1819" spans="3:47">
      <c r="C1819" s="20"/>
      <c r="Z1819" s="20"/>
      <c r="AG1819" s="20"/>
      <c r="AQ1819" s="19"/>
      <c r="AR1819" s="19"/>
      <c r="AS1819" s="19"/>
      <c r="AT1819" s="19"/>
      <c r="AU1819" s="19"/>
    </row>
    <row r="1820" spans="3:47">
      <c r="C1820" s="20"/>
      <c r="Z1820" s="20"/>
      <c r="AG1820" s="20"/>
      <c r="AQ1820" s="19"/>
      <c r="AR1820" s="19"/>
      <c r="AS1820" s="19"/>
      <c r="AT1820" s="19"/>
      <c r="AU1820" s="19"/>
    </row>
    <row r="1821" spans="3:47">
      <c r="C1821" s="20"/>
      <c r="Z1821" s="20"/>
      <c r="AG1821" s="20"/>
      <c r="AQ1821" s="19"/>
      <c r="AR1821" s="19"/>
      <c r="AS1821" s="19"/>
      <c r="AT1821" s="19"/>
      <c r="AU1821" s="19"/>
    </row>
    <row r="1822" spans="3:47">
      <c r="C1822" s="20"/>
      <c r="Z1822" s="20"/>
      <c r="AG1822" s="20"/>
      <c r="AQ1822" s="19"/>
      <c r="AR1822" s="19"/>
      <c r="AS1822" s="19"/>
      <c r="AT1822" s="19"/>
      <c r="AU1822" s="19"/>
    </row>
    <row r="1823" spans="3:47">
      <c r="C1823" s="20"/>
      <c r="Z1823" s="20"/>
      <c r="AG1823" s="20"/>
      <c r="AQ1823" s="19"/>
      <c r="AR1823" s="19"/>
      <c r="AS1823" s="19"/>
      <c r="AT1823" s="19"/>
      <c r="AU1823" s="19"/>
    </row>
    <row r="1824" spans="3:47">
      <c r="C1824" s="20"/>
      <c r="Z1824" s="20"/>
      <c r="AG1824" s="20"/>
      <c r="AQ1824" s="19"/>
      <c r="AR1824" s="19"/>
      <c r="AS1824" s="19"/>
      <c r="AT1824" s="19"/>
      <c r="AU1824" s="19"/>
    </row>
    <row r="1825" spans="3:47">
      <c r="C1825" s="20"/>
      <c r="Z1825" s="20"/>
      <c r="AG1825" s="20"/>
      <c r="AQ1825" s="19"/>
      <c r="AR1825" s="19"/>
      <c r="AS1825" s="19"/>
      <c r="AT1825" s="19"/>
      <c r="AU1825" s="19"/>
    </row>
    <row r="1826" spans="3:47">
      <c r="C1826" s="20"/>
      <c r="Z1826" s="20"/>
      <c r="AG1826" s="20"/>
      <c r="AQ1826" s="19"/>
      <c r="AR1826" s="19"/>
      <c r="AS1826" s="19"/>
      <c r="AT1826" s="19"/>
      <c r="AU1826" s="19"/>
    </row>
    <row r="1827" spans="3:47">
      <c r="C1827" s="20"/>
      <c r="Z1827" s="20"/>
      <c r="AG1827" s="20"/>
      <c r="AQ1827" s="19"/>
      <c r="AR1827" s="19"/>
      <c r="AS1827" s="19"/>
      <c r="AT1827" s="19"/>
      <c r="AU1827" s="19"/>
    </row>
    <row r="1828" spans="3:47">
      <c r="C1828" s="20"/>
      <c r="Z1828" s="20"/>
      <c r="AG1828" s="20"/>
      <c r="AQ1828" s="19"/>
      <c r="AR1828" s="19"/>
      <c r="AS1828" s="19"/>
      <c r="AT1828" s="19"/>
      <c r="AU1828" s="19"/>
    </row>
    <row r="1829" spans="3:47">
      <c r="C1829" s="20"/>
      <c r="Z1829" s="20"/>
      <c r="AG1829" s="20"/>
      <c r="AQ1829" s="19"/>
      <c r="AR1829" s="19"/>
      <c r="AS1829" s="19"/>
      <c r="AT1829" s="19"/>
      <c r="AU1829" s="19"/>
    </row>
    <row r="1830" spans="3:47">
      <c r="C1830" s="20"/>
      <c r="Z1830" s="20"/>
      <c r="AG1830" s="20"/>
      <c r="AQ1830" s="19"/>
      <c r="AR1830" s="19"/>
      <c r="AS1830" s="19"/>
      <c r="AT1830" s="19"/>
      <c r="AU1830" s="19"/>
    </row>
    <row r="1831" spans="3:47">
      <c r="C1831" s="20"/>
      <c r="Z1831" s="20"/>
      <c r="AG1831" s="20"/>
      <c r="AQ1831" s="19"/>
      <c r="AR1831" s="19"/>
      <c r="AS1831" s="19"/>
      <c r="AT1831" s="19"/>
      <c r="AU1831" s="19"/>
    </row>
    <row r="1832" spans="3:47">
      <c r="C1832" s="20"/>
      <c r="Z1832" s="20"/>
      <c r="AG1832" s="20"/>
      <c r="AQ1832" s="19"/>
      <c r="AR1832" s="19"/>
      <c r="AS1832" s="19"/>
      <c r="AT1832" s="19"/>
      <c r="AU1832" s="19"/>
    </row>
    <row r="1833" spans="3:47">
      <c r="C1833" s="20"/>
      <c r="Z1833" s="20"/>
      <c r="AG1833" s="20"/>
      <c r="AQ1833" s="19"/>
      <c r="AR1833" s="19"/>
      <c r="AS1833" s="19"/>
      <c r="AT1833" s="19"/>
      <c r="AU1833" s="19"/>
    </row>
    <row r="1834" spans="3:47">
      <c r="C1834" s="20"/>
      <c r="Z1834" s="20"/>
      <c r="AG1834" s="20"/>
      <c r="AQ1834" s="19"/>
      <c r="AR1834" s="19"/>
      <c r="AS1834" s="19"/>
      <c r="AT1834" s="19"/>
      <c r="AU1834" s="19"/>
    </row>
    <row r="1835" spans="3:47">
      <c r="C1835" s="20"/>
      <c r="Z1835" s="20"/>
      <c r="AG1835" s="20"/>
      <c r="AQ1835" s="19"/>
      <c r="AR1835" s="19"/>
      <c r="AS1835" s="19"/>
      <c r="AT1835" s="19"/>
      <c r="AU1835" s="19"/>
    </row>
    <row r="1836" spans="3:47">
      <c r="C1836" s="20"/>
      <c r="Z1836" s="20"/>
      <c r="AG1836" s="20"/>
      <c r="AQ1836" s="19"/>
      <c r="AR1836" s="19"/>
      <c r="AS1836" s="19"/>
      <c r="AT1836" s="19"/>
      <c r="AU1836" s="19"/>
    </row>
    <row r="1837" spans="3:47">
      <c r="C1837" s="20"/>
      <c r="Z1837" s="20"/>
      <c r="AG1837" s="20"/>
      <c r="AQ1837" s="19"/>
      <c r="AR1837" s="19"/>
      <c r="AS1837" s="19"/>
      <c r="AT1837" s="19"/>
      <c r="AU1837" s="19"/>
    </row>
    <row r="1838" spans="3:47">
      <c r="C1838" s="20"/>
      <c r="Z1838" s="20"/>
      <c r="AG1838" s="20"/>
      <c r="AQ1838" s="19"/>
      <c r="AR1838" s="19"/>
      <c r="AS1838" s="19"/>
      <c r="AT1838" s="19"/>
      <c r="AU1838" s="19"/>
    </row>
    <row r="1839" spans="3:47">
      <c r="C1839" s="20"/>
      <c r="Z1839" s="20"/>
      <c r="AG1839" s="20"/>
      <c r="AQ1839" s="19"/>
      <c r="AR1839" s="19"/>
      <c r="AS1839" s="19"/>
      <c r="AT1839" s="19"/>
      <c r="AU1839" s="19"/>
    </row>
    <row r="1840" spans="3:47">
      <c r="C1840" s="20"/>
      <c r="Z1840" s="20"/>
      <c r="AG1840" s="20"/>
      <c r="AQ1840" s="19"/>
      <c r="AR1840" s="19"/>
      <c r="AS1840" s="19"/>
      <c r="AT1840" s="19"/>
      <c r="AU1840" s="19"/>
    </row>
    <row r="1841" spans="3:47">
      <c r="C1841" s="20"/>
      <c r="Z1841" s="20"/>
      <c r="AG1841" s="20"/>
      <c r="AQ1841" s="19"/>
      <c r="AR1841" s="19"/>
      <c r="AS1841" s="19"/>
      <c r="AT1841" s="19"/>
      <c r="AU1841" s="19"/>
    </row>
    <row r="1842" spans="3:47">
      <c r="C1842" s="20"/>
      <c r="Z1842" s="20"/>
      <c r="AG1842" s="20"/>
      <c r="AQ1842" s="19"/>
      <c r="AR1842" s="19"/>
      <c r="AS1842" s="19"/>
      <c r="AT1842" s="19"/>
      <c r="AU1842" s="19"/>
    </row>
    <row r="1843" spans="3:47">
      <c r="C1843" s="20"/>
      <c r="Z1843" s="20"/>
      <c r="AG1843" s="20"/>
      <c r="AQ1843" s="19"/>
      <c r="AR1843" s="19"/>
      <c r="AS1843" s="19"/>
      <c r="AT1843" s="19"/>
      <c r="AU1843" s="19"/>
    </row>
    <row r="1844" spans="3:47">
      <c r="C1844" s="20"/>
      <c r="Z1844" s="20"/>
      <c r="AG1844" s="20"/>
      <c r="AQ1844" s="19"/>
      <c r="AR1844" s="19"/>
      <c r="AS1844" s="19"/>
      <c r="AT1844" s="19"/>
      <c r="AU1844" s="19"/>
    </row>
    <row r="1845" spans="3:47">
      <c r="C1845" s="20"/>
      <c r="Z1845" s="20"/>
      <c r="AG1845" s="20"/>
      <c r="AQ1845" s="19"/>
      <c r="AR1845" s="19"/>
      <c r="AS1845" s="19"/>
      <c r="AT1845" s="19"/>
      <c r="AU1845" s="19"/>
    </row>
    <row r="1846" spans="3:47">
      <c r="C1846" s="20"/>
      <c r="Z1846" s="20"/>
      <c r="AG1846" s="20"/>
      <c r="AQ1846" s="19"/>
      <c r="AR1846" s="19"/>
      <c r="AS1846" s="19"/>
      <c r="AT1846" s="19"/>
      <c r="AU1846" s="19"/>
    </row>
    <row r="1847" spans="3:47">
      <c r="C1847" s="20"/>
      <c r="Z1847" s="20"/>
      <c r="AG1847" s="20"/>
      <c r="AQ1847" s="19"/>
      <c r="AR1847" s="19"/>
      <c r="AS1847" s="19"/>
      <c r="AT1847" s="19"/>
      <c r="AU1847" s="19"/>
    </row>
    <row r="1848" spans="3:47">
      <c r="C1848" s="20"/>
      <c r="Z1848" s="20"/>
      <c r="AG1848" s="20"/>
      <c r="AQ1848" s="19"/>
      <c r="AR1848" s="19"/>
      <c r="AS1848" s="19"/>
      <c r="AT1848" s="19"/>
      <c r="AU1848" s="19"/>
    </row>
    <row r="1849" spans="3:47">
      <c r="C1849" s="20"/>
      <c r="Z1849" s="20"/>
      <c r="AG1849" s="20"/>
      <c r="AQ1849" s="19"/>
      <c r="AR1849" s="19"/>
      <c r="AS1849" s="19"/>
      <c r="AT1849" s="19"/>
      <c r="AU1849" s="19"/>
    </row>
    <row r="1850" spans="3:47">
      <c r="C1850" s="20"/>
      <c r="Z1850" s="20"/>
      <c r="AG1850" s="20"/>
      <c r="AQ1850" s="19"/>
      <c r="AR1850" s="19"/>
      <c r="AS1850" s="19"/>
      <c r="AT1850" s="19"/>
      <c r="AU1850" s="19"/>
    </row>
    <row r="1851" spans="3:47">
      <c r="C1851" s="20"/>
      <c r="Z1851" s="20"/>
      <c r="AG1851" s="20"/>
      <c r="AQ1851" s="19"/>
      <c r="AR1851" s="19"/>
      <c r="AS1851" s="19"/>
      <c r="AT1851" s="19"/>
      <c r="AU1851" s="19"/>
    </row>
    <row r="1852" spans="3:47">
      <c r="C1852" s="20"/>
      <c r="Z1852" s="20"/>
      <c r="AG1852" s="20"/>
      <c r="AQ1852" s="19"/>
      <c r="AR1852" s="19"/>
      <c r="AS1852" s="19"/>
      <c r="AT1852" s="19"/>
      <c r="AU1852" s="19"/>
    </row>
    <row r="1853" spans="3:47">
      <c r="C1853" s="20"/>
      <c r="Z1853" s="20"/>
      <c r="AG1853" s="20"/>
      <c r="AQ1853" s="19"/>
      <c r="AR1853" s="19"/>
      <c r="AS1853" s="19"/>
      <c r="AT1853" s="19"/>
      <c r="AU1853" s="19"/>
    </row>
    <row r="1854" spans="3:47">
      <c r="C1854" s="20"/>
      <c r="Z1854" s="20"/>
      <c r="AG1854" s="20"/>
      <c r="AQ1854" s="19"/>
      <c r="AR1854" s="19"/>
      <c r="AS1854" s="19"/>
      <c r="AT1854" s="19"/>
      <c r="AU1854" s="19"/>
    </row>
    <row r="1855" spans="3:47">
      <c r="C1855" s="20"/>
      <c r="Z1855" s="20"/>
      <c r="AG1855" s="20"/>
      <c r="AQ1855" s="19"/>
      <c r="AR1855" s="19"/>
      <c r="AS1855" s="19"/>
      <c r="AT1855" s="19"/>
      <c r="AU1855" s="19"/>
    </row>
    <row r="1856" spans="3:47">
      <c r="C1856" s="20"/>
      <c r="Z1856" s="20"/>
      <c r="AG1856" s="20"/>
      <c r="AQ1856" s="19"/>
      <c r="AR1856" s="19"/>
      <c r="AS1856" s="19"/>
      <c r="AT1856" s="19"/>
      <c r="AU1856" s="19"/>
    </row>
    <row r="1857" spans="3:47">
      <c r="C1857" s="20"/>
      <c r="Z1857" s="20"/>
      <c r="AG1857" s="20"/>
      <c r="AQ1857" s="19"/>
      <c r="AR1857" s="19"/>
      <c r="AS1857" s="19"/>
      <c r="AT1857" s="19"/>
      <c r="AU1857" s="19"/>
    </row>
    <row r="1858" spans="3:47">
      <c r="C1858" s="20"/>
      <c r="Z1858" s="20"/>
      <c r="AG1858" s="20"/>
      <c r="AQ1858" s="19"/>
      <c r="AR1858" s="19"/>
      <c r="AS1858" s="19"/>
      <c r="AT1858" s="19"/>
      <c r="AU1858" s="19"/>
    </row>
    <row r="1859" spans="3:47">
      <c r="C1859" s="20"/>
      <c r="Z1859" s="20"/>
      <c r="AG1859" s="20"/>
      <c r="AQ1859" s="19"/>
      <c r="AR1859" s="19"/>
      <c r="AS1859" s="19"/>
      <c r="AT1859" s="19"/>
      <c r="AU1859" s="19"/>
    </row>
    <row r="1860" spans="3:47">
      <c r="C1860" s="20"/>
      <c r="Z1860" s="20"/>
      <c r="AG1860" s="20"/>
      <c r="AQ1860" s="19"/>
      <c r="AR1860" s="19"/>
      <c r="AS1860" s="19"/>
      <c r="AT1860" s="19"/>
      <c r="AU1860" s="19"/>
    </row>
    <row r="1861" spans="3:47">
      <c r="C1861" s="20"/>
      <c r="Z1861" s="20"/>
      <c r="AG1861" s="20"/>
      <c r="AQ1861" s="19"/>
      <c r="AR1861" s="19"/>
      <c r="AS1861" s="19"/>
      <c r="AT1861" s="19"/>
      <c r="AU1861" s="19"/>
    </row>
    <row r="1862" spans="3:47">
      <c r="C1862" s="20"/>
      <c r="Z1862" s="20"/>
      <c r="AG1862" s="20"/>
      <c r="AQ1862" s="19"/>
      <c r="AR1862" s="19"/>
      <c r="AS1862" s="19"/>
      <c r="AT1862" s="19"/>
      <c r="AU1862" s="19"/>
    </row>
    <row r="1863" spans="3:47">
      <c r="C1863" s="20"/>
      <c r="Z1863" s="20"/>
      <c r="AG1863" s="20"/>
      <c r="AQ1863" s="19"/>
      <c r="AR1863" s="19"/>
      <c r="AS1863" s="19"/>
      <c r="AT1863" s="19"/>
      <c r="AU1863" s="19"/>
    </row>
    <row r="1864" spans="3:47">
      <c r="C1864" s="20"/>
      <c r="Z1864" s="20"/>
      <c r="AG1864" s="20"/>
      <c r="AQ1864" s="19"/>
      <c r="AR1864" s="19"/>
      <c r="AS1864" s="19"/>
      <c r="AT1864" s="19"/>
      <c r="AU1864" s="19"/>
    </row>
    <row r="1865" spans="3:47">
      <c r="C1865" s="20"/>
      <c r="Z1865" s="20"/>
      <c r="AG1865" s="20"/>
      <c r="AQ1865" s="19"/>
      <c r="AR1865" s="19"/>
      <c r="AS1865" s="19"/>
      <c r="AT1865" s="19"/>
      <c r="AU1865" s="19"/>
    </row>
    <row r="1866" spans="3:47">
      <c r="C1866" s="20"/>
      <c r="Z1866" s="20"/>
      <c r="AG1866" s="20"/>
      <c r="AQ1866" s="19"/>
      <c r="AR1866" s="19"/>
      <c r="AS1866" s="19"/>
      <c r="AT1866" s="19"/>
      <c r="AU1866" s="19"/>
    </row>
    <row r="1867" spans="3:47">
      <c r="C1867" s="20"/>
      <c r="Z1867" s="20"/>
      <c r="AG1867" s="20"/>
      <c r="AQ1867" s="19"/>
      <c r="AR1867" s="19"/>
      <c r="AS1867" s="19"/>
      <c r="AT1867" s="19"/>
      <c r="AU1867" s="19"/>
    </row>
    <row r="1868" spans="3:47">
      <c r="C1868" s="20"/>
      <c r="Z1868" s="20"/>
      <c r="AG1868" s="20"/>
      <c r="AQ1868" s="19"/>
      <c r="AR1868" s="19"/>
      <c r="AS1868" s="19"/>
      <c r="AT1868" s="19"/>
      <c r="AU1868" s="19"/>
    </row>
    <row r="1869" spans="3:47">
      <c r="C1869" s="20"/>
      <c r="Z1869" s="20"/>
      <c r="AG1869" s="20"/>
      <c r="AQ1869" s="19"/>
      <c r="AR1869" s="19"/>
      <c r="AS1869" s="19"/>
      <c r="AT1869" s="19"/>
      <c r="AU1869" s="19"/>
    </row>
    <row r="1870" spans="3:47">
      <c r="C1870" s="20"/>
      <c r="Z1870" s="20"/>
      <c r="AG1870" s="20"/>
      <c r="AQ1870" s="19"/>
      <c r="AR1870" s="19"/>
      <c r="AS1870" s="19"/>
      <c r="AT1870" s="19"/>
      <c r="AU1870" s="19"/>
    </row>
    <row r="1871" spans="3:47">
      <c r="C1871" s="20"/>
      <c r="Z1871" s="20"/>
      <c r="AG1871" s="20"/>
      <c r="AQ1871" s="19"/>
      <c r="AR1871" s="19"/>
      <c r="AS1871" s="19"/>
      <c r="AT1871" s="19"/>
      <c r="AU1871" s="19"/>
    </row>
    <row r="1872" spans="3:47">
      <c r="C1872" s="20"/>
      <c r="Z1872" s="20"/>
      <c r="AG1872" s="20"/>
      <c r="AQ1872" s="19"/>
      <c r="AR1872" s="19"/>
      <c r="AS1872" s="19"/>
      <c r="AT1872" s="19"/>
      <c r="AU1872" s="19"/>
    </row>
    <row r="1873" spans="3:47">
      <c r="C1873" s="20"/>
      <c r="Z1873" s="20"/>
      <c r="AG1873" s="20"/>
      <c r="AQ1873" s="19"/>
      <c r="AR1873" s="19"/>
      <c r="AS1873" s="19"/>
      <c r="AT1873" s="19"/>
      <c r="AU1873" s="19"/>
    </row>
    <row r="1874" spans="3:47">
      <c r="C1874" s="20"/>
      <c r="Z1874" s="20"/>
      <c r="AG1874" s="20"/>
      <c r="AQ1874" s="19"/>
      <c r="AR1874" s="19"/>
      <c r="AS1874" s="19"/>
      <c r="AT1874" s="19"/>
      <c r="AU1874" s="19"/>
    </row>
    <row r="1875" spans="3:47">
      <c r="C1875" s="20"/>
      <c r="Z1875" s="20"/>
      <c r="AG1875" s="20"/>
      <c r="AQ1875" s="19"/>
      <c r="AR1875" s="19"/>
      <c r="AS1875" s="19"/>
      <c r="AT1875" s="19"/>
      <c r="AU1875" s="19"/>
    </row>
    <row r="1876" spans="3:47">
      <c r="C1876" s="20"/>
      <c r="Z1876" s="20"/>
      <c r="AG1876" s="20"/>
      <c r="AQ1876" s="19"/>
      <c r="AR1876" s="19"/>
      <c r="AS1876" s="19"/>
      <c r="AT1876" s="19"/>
      <c r="AU1876" s="19"/>
    </row>
    <row r="1877" spans="3:47">
      <c r="C1877" s="20"/>
      <c r="Z1877" s="20"/>
      <c r="AG1877" s="20"/>
      <c r="AQ1877" s="19"/>
      <c r="AR1877" s="19"/>
      <c r="AS1877" s="19"/>
      <c r="AT1877" s="19"/>
      <c r="AU1877" s="19"/>
    </row>
    <row r="1878" spans="3:47">
      <c r="C1878" s="20"/>
      <c r="Z1878" s="20"/>
      <c r="AG1878" s="20"/>
      <c r="AQ1878" s="19"/>
      <c r="AR1878" s="19"/>
      <c r="AS1878" s="19"/>
      <c r="AT1878" s="19"/>
      <c r="AU1878" s="19"/>
    </row>
    <row r="1879" spans="3:47">
      <c r="C1879" s="20"/>
      <c r="Z1879" s="20"/>
      <c r="AG1879" s="20"/>
      <c r="AQ1879" s="19"/>
      <c r="AR1879" s="19"/>
      <c r="AS1879" s="19"/>
      <c r="AT1879" s="19"/>
      <c r="AU1879" s="19"/>
    </row>
    <row r="1880" spans="3:47">
      <c r="C1880" s="20"/>
      <c r="Z1880" s="20"/>
      <c r="AG1880" s="20"/>
      <c r="AQ1880" s="19"/>
      <c r="AR1880" s="19"/>
      <c r="AS1880" s="19"/>
      <c r="AT1880" s="19"/>
      <c r="AU1880" s="19"/>
    </row>
    <row r="1881" spans="3:47">
      <c r="C1881" s="20"/>
      <c r="Z1881" s="20"/>
      <c r="AG1881" s="20"/>
      <c r="AQ1881" s="19"/>
      <c r="AR1881" s="19"/>
      <c r="AS1881" s="19"/>
      <c r="AT1881" s="19"/>
      <c r="AU1881" s="19"/>
    </row>
    <row r="1882" spans="3:47">
      <c r="C1882" s="20"/>
      <c r="Z1882" s="20"/>
      <c r="AG1882" s="20"/>
      <c r="AQ1882" s="19"/>
      <c r="AR1882" s="19"/>
      <c r="AS1882" s="19"/>
      <c r="AT1882" s="19"/>
      <c r="AU1882" s="19"/>
    </row>
    <row r="1883" spans="3:47">
      <c r="C1883" s="20"/>
      <c r="Z1883" s="20"/>
      <c r="AG1883" s="20"/>
      <c r="AQ1883" s="19"/>
      <c r="AR1883" s="19"/>
      <c r="AS1883" s="19"/>
      <c r="AT1883" s="19"/>
      <c r="AU1883" s="19"/>
    </row>
    <row r="1884" spans="3:47">
      <c r="C1884" s="20"/>
      <c r="Z1884" s="20"/>
      <c r="AG1884" s="20"/>
      <c r="AQ1884" s="19"/>
      <c r="AR1884" s="19"/>
      <c r="AS1884" s="19"/>
      <c r="AT1884" s="19"/>
      <c r="AU1884" s="19"/>
    </row>
    <row r="1885" spans="3:47">
      <c r="C1885" s="20"/>
      <c r="Z1885" s="20"/>
      <c r="AG1885" s="20"/>
      <c r="AQ1885" s="19"/>
      <c r="AR1885" s="19"/>
      <c r="AS1885" s="19"/>
      <c r="AT1885" s="19"/>
      <c r="AU1885" s="19"/>
    </row>
    <row r="1886" spans="3:47">
      <c r="C1886" s="20"/>
      <c r="Z1886" s="20"/>
      <c r="AG1886" s="20"/>
      <c r="AQ1886" s="19"/>
      <c r="AR1886" s="19"/>
      <c r="AS1886" s="19"/>
      <c r="AT1886" s="19"/>
      <c r="AU1886" s="19"/>
    </row>
    <row r="1887" spans="3:47">
      <c r="C1887" s="20"/>
      <c r="Z1887" s="20"/>
      <c r="AG1887" s="20"/>
      <c r="AQ1887" s="19"/>
      <c r="AR1887" s="19"/>
      <c r="AS1887" s="19"/>
      <c r="AT1887" s="19"/>
      <c r="AU1887" s="19"/>
    </row>
    <row r="1888" spans="3:47">
      <c r="C1888" s="20"/>
      <c r="Z1888" s="20"/>
      <c r="AG1888" s="20"/>
      <c r="AQ1888" s="19"/>
      <c r="AR1888" s="19"/>
      <c r="AS1888" s="19"/>
      <c r="AT1888" s="19"/>
      <c r="AU1888" s="19"/>
    </row>
    <row r="1889" spans="3:47">
      <c r="C1889" s="20"/>
      <c r="Z1889" s="20"/>
      <c r="AG1889" s="20"/>
      <c r="AQ1889" s="19"/>
      <c r="AR1889" s="19"/>
      <c r="AS1889" s="19"/>
      <c r="AT1889" s="19"/>
      <c r="AU1889" s="19"/>
    </row>
    <row r="1890" spans="3:47">
      <c r="C1890" s="20"/>
      <c r="Z1890" s="20"/>
      <c r="AG1890" s="20"/>
      <c r="AQ1890" s="19"/>
      <c r="AR1890" s="19"/>
      <c r="AS1890" s="19"/>
      <c r="AT1890" s="19"/>
      <c r="AU1890" s="19"/>
    </row>
    <row r="1891" spans="3:47">
      <c r="C1891" s="20"/>
      <c r="Z1891" s="20"/>
      <c r="AG1891" s="20"/>
      <c r="AQ1891" s="19"/>
      <c r="AR1891" s="19"/>
      <c r="AS1891" s="19"/>
      <c r="AT1891" s="19"/>
      <c r="AU1891" s="19"/>
    </row>
    <row r="1892" spans="3:47">
      <c r="C1892" s="20"/>
      <c r="Z1892" s="20"/>
      <c r="AG1892" s="20"/>
      <c r="AQ1892" s="19"/>
      <c r="AR1892" s="19"/>
      <c r="AS1892" s="19"/>
      <c r="AT1892" s="19"/>
      <c r="AU1892" s="19"/>
    </row>
    <row r="1893" spans="3:47">
      <c r="C1893" s="20"/>
      <c r="Z1893" s="20"/>
      <c r="AG1893" s="20"/>
      <c r="AQ1893" s="19"/>
      <c r="AR1893" s="19"/>
      <c r="AS1893" s="19"/>
      <c r="AT1893" s="19"/>
      <c r="AU1893" s="19"/>
    </row>
    <row r="1894" spans="3:47">
      <c r="C1894" s="20"/>
      <c r="Z1894" s="20"/>
      <c r="AG1894" s="20"/>
      <c r="AQ1894" s="19"/>
      <c r="AR1894" s="19"/>
      <c r="AS1894" s="19"/>
      <c r="AT1894" s="19"/>
      <c r="AU1894" s="19"/>
    </row>
    <row r="1895" spans="3:47">
      <c r="C1895" s="20"/>
      <c r="Z1895" s="20"/>
      <c r="AG1895" s="20"/>
      <c r="AQ1895" s="19"/>
      <c r="AR1895" s="19"/>
      <c r="AS1895" s="19"/>
      <c r="AT1895" s="19"/>
      <c r="AU1895" s="19"/>
    </row>
    <row r="1896" spans="3:47">
      <c r="C1896" s="20"/>
      <c r="Z1896" s="20"/>
      <c r="AG1896" s="20"/>
      <c r="AQ1896" s="19"/>
      <c r="AR1896" s="19"/>
      <c r="AS1896" s="19"/>
      <c r="AT1896" s="19"/>
      <c r="AU1896" s="19"/>
    </row>
    <row r="1897" spans="3:47">
      <c r="C1897" s="20"/>
      <c r="Z1897" s="20"/>
      <c r="AG1897" s="20"/>
      <c r="AQ1897" s="19"/>
      <c r="AR1897" s="19"/>
      <c r="AS1897" s="19"/>
      <c r="AT1897" s="19"/>
      <c r="AU1897" s="19"/>
    </row>
    <row r="1898" spans="3:47">
      <c r="C1898" s="20"/>
      <c r="Z1898" s="20"/>
      <c r="AG1898" s="20"/>
      <c r="AQ1898" s="19"/>
      <c r="AR1898" s="19"/>
      <c r="AS1898" s="19"/>
      <c r="AT1898" s="19"/>
      <c r="AU1898" s="19"/>
    </row>
    <row r="1899" spans="3:47">
      <c r="C1899" s="20"/>
      <c r="Z1899" s="20"/>
      <c r="AG1899" s="20"/>
      <c r="AQ1899" s="19"/>
      <c r="AR1899" s="19"/>
      <c r="AS1899" s="19"/>
      <c r="AT1899" s="19"/>
      <c r="AU1899" s="19"/>
    </row>
    <row r="1900" spans="3:47">
      <c r="C1900" s="20"/>
      <c r="Z1900" s="20"/>
      <c r="AG1900" s="20"/>
      <c r="AQ1900" s="19"/>
      <c r="AR1900" s="19"/>
      <c r="AS1900" s="19"/>
      <c r="AT1900" s="19"/>
      <c r="AU1900" s="19"/>
    </row>
    <row r="1901" spans="3:47">
      <c r="C1901" s="20"/>
      <c r="Z1901" s="20"/>
      <c r="AG1901" s="20"/>
      <c r="AQ1901" s="19"/>
      <c r="AR1901" s="19"/>
      <c r="AS1901" s="19"/>
      <c r="AT1901" s="19"/>
      <c r="AU1901" s="19"/>
    </row>
    <row r="1902" spans="3:47">
      <c r="C1902" s="20"/>
      <c r="Z1902" s="20"/>
      <c r="AG1902" s="20"/>
      <c r="AQ1902" s="19"/>
      <c r="AR1902" s="19"/>
      <c r="AS1902" s="19"/>
      <c r="AT1902" s="19"/>
      <c r="AU1902" s="19"/>
    </row>
    <row r="1903" spans="3:47">
      <c r="C1903" s="20"/>
      <c r="Z1903" s="20"/>
      <c r="AG1903" s="20"/>
      <c r="AQ1903" s="19"/>
      <c r="AR1903" s="19"/>
      <c r="AS1903" s="19"/>
      <c r="AT1903" s="19"/>
      <c r="AU1903" s="19"/>
    </row>
    <row r="1904" spans="3:47">
      <c r="C1904" s="20"/>
      <c r="Z1904" s="20"/>
      <c r="AG1904" s="20"/>
      <c r="AQ1904" s="19"/>
      <c r="AR1904" s="19"/>
      <c r="AS1904" s="19"/>
      <c r="AT1904" s="19"/>
      <c r="AU1904" s="19"/>
    </row>
    <row r="1905" spans="3:47">
      <c r="C1905" s="20"/>
      <c r="Z1905" s="20"/>
      <c r="AG1905" s="20"/>
      <c r="AQ1905" s="19"/>
      <c r="AR1905" s="19"/>
      <c r="AS1905" s="19"/>
      <c r="AT1905" s="19"/>
      <c r="AU1905" s="19"/>
    </row>
    <row r="1906" spans="3:47">
      <c r="C1906" s="20"/>
      <c r="Z1906" s="20"/>
      <c r="AG1906" s="20"/>
      <c r="AQ1906" s="19"/>
      <c r="AR1906" s="19"/>
      <c r="AS1906" s="19"/>
      <c r="AT1906" s="19"/>
      <c r="AU1906" s="19"/>
    </row>
    <row r="1907" spans="3:47">
      <c r="C1907" s="20"/>
      <c r="Z1907" s="20"/>
      <c r="AG1907" s="20"/>
      <c r="AQ1907" s="19"/>
      <c r="AR1907" s="19"/>
      <c r="AS1907" s="19"/>
      <c r="AT1907" s="19"/>
      <c r="AU1907" s="19"/>
    </row>
    <row r="1908" spans="3:47">
      <c r="C1908" s="20"/>
      <c r="Z1908" s="20"/>
      <c r="AG1908" s="20"/>
      <c r="AQ1908" s="19"/>
      <c r="AR1908" s="19"/>
      <c r="AS1908" s="19"/>
      <c r="AT1908" s="19"/>
      <c r="AU1908" s="19"/>
    </row>
    <row r="1909" spans="3:47">
      <c r="C1909" s="20"/>
      <c r="Z1909" s="20"/>
      <c r="AG1909" s="20"/>
      <c r="AQ1909" s="19"/>
      <c r="AR1909" s="19"/>
      <c r="AS1909" s="19"/>
      <c r="AT1909" s="19"/>
      <c r="AU1909" s="19"/>
    </row>
    <row r="1910" spans="3:47">
      <c r="C1910" s="20"/>
      <c r="Z1910" s="20"/>
      <c r="AG1910" s="20"/>
      <c r="AQ1910" s="19"/>
      <c r="AR1910" s="19"/>
      <c r="AS1910" s="19"/>
      <c r="AT1910" s="19"/>
      <c r="AU1910" s="19"/>
    </row>
    <row r="1911" spans="3:47">
      <c r="C1911" s="20"/>
      <c r="Z1911" s="20"/>
      <c r="AG1911" s="20"/>
      <c r="AQ1911" s="19"/>
      <c r="AR1911" s="19"/>
      <c r="AS1911" s="19"/>
      <c r="AT1911" s="19"/>
      <c r="AU1911" s="19"/>
    </row>
    <row r="1912" spans="3:47">
      <c r="C1912" s="20"/>
      <c r="Z1912" s="20"/>
      <c r="AG1912" s="20"/>
      <c r="AQ1912" s="19"/>
      <c r="AR1912" s="19"/>
      <c r="AS1912" s="19"/>
      <c r="AT1912" s="19"/>
      <c r="AU1912" s="19"/>
    </row>
    <row r="1913" spans="3:47">
      <c r="C1913" s="20"/>
      <c r="Z1913" s="20"/>
      <c r="AG1913" s="20"/>
      <c r="AQ1913" s="19"/>
      <c r="AR1913" s="19"/>
      <c r="AS1913" s="19"/>
      <c r="AT1913" s="19"/>
      <c r="AU1913" s="19"/>
    </row>
    <row r="1914" spans="3:47">
      <c r="C1914" s="20"/>
      <c r="Z1914" s="20"/>
      <c r="AG1914" s="20"/>
      <c r="AQ1914" s="19"/>
      <c r="AR1914" s="19"/>
      <c r="AS1914" s="19"/>
      <c r="AT1914" s="19"/>
      <c r="AU1914" s="19"/>
    </row>
    <row r="1915" spans="3:47">
      <c r="C1915" s="20"/>
      <c r="Z1915" s="20"/>
      <c r="AG1915" s="20"/>
      <c r="AQ1915" s="19"/>
      <c r="AR1915" s="19"/>
      <c r="AS1915" s="19"/>
      <c r="AT1915" s="19"/>
      <c r="AU1915" s="19"/>
    </row>
    <row r="1916" spans="3:47">
      <c r="C1916" s="20"/>
      <c r="Z1916" s="20"/>
      <c r="AG1916" s="20"/>
      <c r="AQ1916" s="19"/>
      <c r="AR1916" s="19"/>
      <c r="AS1916" s="19"/>
      <c r="AT1916" s="19"/>
      <c r="AU1916" s="19"/>
    </row>
    <row r="1917" spans="3:47">
      <c r="C1917" s="20"/>
      <c r="Z1917" s="20"/>
      <c r="AG1917" s="20"/>
      <c r="AQ1917" s="19"/>
      <c r="AR1917" s="19"/>
      <c r="AS1917" s="19"/>
      <c r="AT1917" s="19"/>
      <c r="AU1917" s="19"/>
    </row>
    <row r="1918" spans="3:47">
      <c r="C1918" s="20"/>
      <c r="Z1918" s="20"/>
      <c r="AG1918" s="20"/>
      <c r="AQ1918" s="19"/>
      <c r="AR1918" s="19"/>
      <c r="AS1918" s="19"/>
      <c r="AT1918" s="19"/>
      <c r="AU1918" s="19"/>
    </row>
    <row r="1919" spans="3:47">
      <c r="C1919" s="20"/>
      <c r="Z1919" s="20"/>
      <c r="AG1919" s="20"/>
      <c r="AQ1919" s="19"/>
      <c r="AR1919" s="19"/>
      <c r="AS1919" s="19"/>
      <c r="AT1919" s="19"/>
      <c r="AU1919" s="19"/>
    </row>
    <row r="1920" spans="3:47">
      <c r="C1920" s="20"/>
      <c r="Z1920" s="20"/>
      <c r="AG1920" s="20"/>
      <c r="AQ1920" s="19"/>
      <c r="AR1920" s="19"/>
      <c r="AS1920" s="19"/>
      <c r="AT1920" s="19"/>
      <c r="AU1920" s="19"/>
    </row>
    <row r="1921" spans="3:47">
      <c r="C1921" s="20"/>
      <c r="Z1921" s="20"/>
      <c r="AG1921" s="20"/>
      <c r="AQ1921" s="19"/>
      <c r="AR1921" s="19"/>
      <c r="AS1921" s="19"/>
      <c r="AT1921" s="19"/>
      <c r="AU1921" s="19"/>
    </row>
    <row r="1922" spans="3:47">
      <c r="C1922" s="20"/>
      <c r="Z1922" s="20"/>
      <c r="AG1922" s="20"/>
      <c r="AQ1922" s="19"/>
      <c r="AR1922" s="19"/>
      <c r="AS1922" s="19"/>
      <c r="AT1922" s="19"/>
      <c r="AU1922" s="19"/>
    </row>
    <row r="1923" spans="3:47">
      <c r="C1923" s="20"/>
      <c r="Z1923" s="20"/>
      <c r="AG1923" s="20"/>
      <c r="AQ1923" s="19"/>
      <c r="AR1923" s="19"/>
      <c r="AS1923" s="19"/>
      <c r="AT1923" s="19"/>
      <c r="AU1923" s="19"/>
    </row>
    <row r="1924" spans="3:47">
      <c r="C1924" s="20"/>
      <c r="Z1924" s="20"/>
      <c r="AG1924" s="20"/>
      <c r="AQ1924" s="19"/>
      <c r="AR1924" s="19"/>
      <c r="AS1924" s="19"/>
      <c r="AT1924" s="19"/>
      <c r="AU1924" s="19"/>
    </row>
    <row r="1925" spans="3:47">
      <c r="C1925" s="20"/>
      <c r="Z1925" s="20"/>
      <c r="AG1925" s="20"/>
      <c r="AQ1925" s="19"/>
      <c r="AR1925" s="19"/>
      <c r="AS1925" s="19"/>
      <c r="AT1925" s="19"/>
      <c r="AU1925" s="19"/>
    </row>
    <row r="1926" spans="3:47">
      <c r="C1926" s="20"/>
      <c r="Z1926" s="20"/>
      <c r="AG1926" s="20"/>
      <c r="AQ1926" s="19"/>
      <c r="AR1926" s="19"/>
      <c r="AS1926" s="19"/>
      <c r="AT1926" s="19"/>
      <c r="AU1926" s="19"/>
    </row>
    <row r="1927" spans="3:47">
      <c r="C1927" s="20"/>
      <c r="Z1927" s="20"/>
      <c r="AG1927" s="20"/>
      <c r="AQ1927" s="19"/>
      <c r="AR1927" s="19"/>
      <c r="AS1927" s="19"/>
      <c r="AT1927" s="19"/>
      <c r="AU1927" s="19"/>
    </row>
    <row r="1928" spans="3:47">
      <c r="C1928" s="20"/>
      <c r="Z1928" s="20"/>
      <c r="AG1928" s="20"/>
      <c r="AQ1928" s="19"/>
      <c r="AR1928" s="19"/>
      <c r="AS1928" s="19"/>
      <c r="AT1928" s="19"/>
      <c r="AU1928" s="19"/>
    </row>
    <row r="1929" spans="3:47">
      <c r="C1929" s="20"/>
      <c r="Z1929" s="20"/>
      <c r="AG1929" s="20"/>
      <c r="AQ1929" s="19"/>
      <c r="AR1929" s="19"/>
      <c r="AS1929" s="19"/>
      <c r="AT1929" s="19"/>
      <c r="AU1929" s="19"/>
    </row>
    <row r="1930" spans="3:47">
      <c r="C1930" s="20"/>
      <c r="Z1930" s="20"/>
      <c r="AG1930" s="20"/>
      <c r="AQ1930" s="19"/>
      <c r="AR1930" s="19"/>
      <c r="AS1930" s="19"/>
      <c r="AT1930" s="19"/>
      <c r="AU1930" s="19"/>
    </row>
    <row r="1931" spans="3:47">
      <c r="C1931" s="20"/>
      <c r="Z1931" s="20"/>
      <c r="AG1931" s="20"/>
      <c r="AQ1931" s="19"/>
      <c r="AR1931" s="19"/>
      <c r="AS1931" s="19"/>
      <c r="AT1931" s="19"/>
      <c r="AU1931" s="19"/>
    </row>
    <row r="1932" spans="3:47">
      <c r="C1932" s="20"/>
      <c r="Z1932" s="20"/>
      <c r="AG1932" s="20"/>
      <c r="AQ1932" s="19"/>
      <c r="AR1932" s="19"/>
      <c r="AS1932" s="19"/>
      <c r="AT1932" s="19"/>
      <c r="AU1932" s="19"/>
    </row>
    <row r="1933" spans="3:47">
      <c r="C1933" s="20"/>
      <c r="Z1933" s="20"/>
      <c r="AG1933" s="20"/>
      <c r="AQ1933" s="19"/>
      <c r="AR1933" s="19"/>
      <c r="AS1933" s="19"/>
      <c r="AT1933" s="19"/>
      <c r="AU1933" s="19"/>
    </row>
    <row r="1934" spans="3:47">
      <c r="C1934" s="20"/>
      <c r="Z1934" s="20"/>
      <c r="AG1934" s="20"/>
      <c r="AQ1934" s="19"/>
      <c r="AR1934" s="19"/>
      <c r="AS1934" s="19"/>
      <c r="AT1934" s="19"/>
      <c r="AU1934" s="19"/>
    </row>
    <row r="1935" spans="3:47">
      <c r="C1935" s="20"/>
      <c r="Z1935" s="20"/>
      <c r="AG1935" s="20"/>
      <c r="AQ1935" s="19"/>
      <c r="AR1935" s="19"/>
      <c r="AS1935" s="19"/>
      <c r="AT1935" s="19"/>
      <c r="AU1935" s="19"/>
    </row>
    <row r="1936" spans="3:47">
      <c r="C1936" s="20"/>
      <c r="Z1936" s="20"/>
      <c r="AG1936" s="20"/>
      <c r="AQ1936" s="19"/>
      <c r="AR1936" s="19"/>
      <c r="AS1936" s="19"/>
      <c r="AT1936" s="19"/>
      <c r="AU1936" s="19"/>
    </row>
    <row r="1937" spans="3:47">
      <c r="C1937" s="20"/>
      <c r="Z1937" s="20"/>
      <c r="AG1937" s="20"/>
      <c r="AQ1937" s="19"/>
      <c r="AR1937" s="19"/>
      <c r="AS1937" s="19"/>
      <c r="AT1937" s="19"/>
      <c r="AU1937" s="19"/>
    </row>
    <row r="1938" spans="3:47">
      <c r="C1938" s="20"/>
      <c r="Z1938" s="20"/>
      <c r="AG1938" s="20"/>
      <c r="AQ1938" s="19"/>
      <c r="AR1938" s="19"/>
      <c r="AS1938" s="19"/>
      <c r="AT1938" s="19"/>
      <c r="AU1938" s="19"/>
    </row>
    <row r="1939" spans="3:47">
      <c r="C1939" s="20"/>
      <c r="Z1939" s="20"/>
      <c r="AG1939" s="20"/>
      <c r="AQ1939" s="19"/>
      <c r="AR1939" s="19"/>
      <c r="AS1939" s="19"/>
      <c r="AT1939" s="19"/>
      <c r="AU1939" s="19"/>
    </row>
    <row r="1940" spans="3:47">
      <c r="C1940" s="20"/>
      <c r="Z1940" s="20"/>
      <c r="AG1940" s="20"/>
      <c r="AQ1940" s="19"/>
      <c r="AR1940" s="19"/>
      <c r="AS1940" s="19"/>
      <c r="AT1940" s="19"/>
      <c r="AU1940" s="19"/>
    </row>
    <row r="1941" spans="3:47">
      <c r="C1941" s="20"/>
      <c r="Z1941" s="20"/>
      <c r="AG1941" s="20"/>
      <c r="AQ1941" s="19"/>
      <c r="AR1941" s="19"/>
      <c r="AS1941" s="19"/>
      <c r="AT1941" s="19"/>
      <c r="AU1941" s="19"/>
    </row>
    <row r="1942" spans="3:47">
      <c r="C1942" s="20"/>
      <c r="Z1942" s="20"/>
      <c r="AG1942" s="20"/>
      <c r="AQ1942" s="19"/>
      <c r="AR1942" s="19"/>
      <c r="AS1942" s="19"/>
      <c r="AT1942" s="19"/>
      <c r="AU1942" s="19"/>
    </row>
    <row r="1943" spans="3:47">
      <c r="C1943" s="20"/>
      <c r="Z1943" s="20"/>
      <c r="AG1943" s="20"/>
      <c r="AQ1943" s="19"/>
      <c r="AR1943" s="19"/>
      <c r="AS1943" s="19"/>
      <c r="AT1943" s="19"/>
      <c r="AU1943" s="19"/>
    </row>
    <row r="1944" spans="3:47">
      <c r="C1944" s="20"/>
      <c r="Z1944" s="20"/>
      <c r="AG1944" s="20"/>
      <c r="AQ1944" s="19"/>
      <c r="AR1944" s="19"/>
      <c r="AS1944" s="19"/>
      <c r="AT1944" s="19"/>
      <c r="AU1944" s="19"/>
    </row>
    <row r="1945" spans="3:47">
      <c r="C1945" s="20"/>
      <c r="Z1945" s="20"/>
      <c r="AG1945" s="20"/>
      <c r="AQ1945" s="19"/>
      <c r="AR1945" s="19"/>
      <c r="AS1945" s="19"/>
      <c r="AT1945" s="19"/>
      <c r="AU1945" s="19"/>
    </row>
    <row r="1946" spans="3:47">
      <c r="C1946" s="20"/>
      <c r="Z1946" s="20"/>
      <c r="AG1946" s="20"/>
      <c r="AQ1946" s="19"/>
      <c r="AR1946" s="19"/>
      <c r="AS1946" s="19"/>
      <c r="AT1946" s="19"/>
      <c r="AU1946" s="19"/>
    </row>
    <row r="1947" spans="3:47">
      <c r="C1947" s="20"/>
      <c r="Z1947" s="20"/>
      <c r="AG1947" s="20"/>
      <c r="AQ1947" s="19"/>
      <c r="AR1947" s="19"/>
      <c r="AS1947" s="19"/>
      <c r="AT1947" s="19"/>
      <c r="AU1947" s="19"/>
    </row>
    <row r="1948" spans="3:47">
      <c r="C1948" s="20"/>
      <c r="Z1948" s="20"/>
      <c r="AG1948" s="20"/>
      <c r="AQ1948" s="19"/>
      <c r="AR1948" s="19"/>
      <c r="AS1948" s="19"/>
      <c r="AT1948" s="19"/>
      <c r="AU1948" s="19"/>
    </row>
    <row r="1949" spans="3:47">
      <c r="C1949" s="20"/>
      <c r="Z1949" s="20"/>
      <c r="AG1949" s="20"/>
      <c r="AQ1949" s="19"/>
      <c r="AR1949" s="19"/>
      <c r="AS1949" s="19"/>
      <c r="AT1949" s="19"/>
      <c r="AU1949" s="19"/>
    </row>
    <row r="1950" spans="3:47">
      <c r="C1950" s="20"/>
      <c r="Z1950" s="20"/>
      <c r="AG1950" s="20"/>
      <c r="AQ1950" s="19"/>
      <c r="AR1950" s="19"/>
      <c r="AS1950" s="19"/>
      <c r="AT1950" s="19"/>
      <c r="AU1950" s="19"/>
    </row>
    <row r="1951" spans="3:47">
      <c r="C1951" s="20"/>
      <c r="Z1951" s="20"/>
      <c r="AG1951" s="20"/>
      <c r="AQ1951" s="19"/>
      <c r="AR1951" s="19"/>
      <c r="AS1951" s="19"/>
      <c r="AT1951" s="19"/>
      <c r="AU1951" s="19"/>
    </row>
    <row r="1952" spans="3:47">
      <c r="C1952" s="20"/>
      <c r="Z1952" s="20"/>
      <c r="AG1952" s="20"/>
      <c r="AQ1952" s="19"/>
      <c r="AR1952" s="19"/>
      <c r="AS1952" s="19"/>
      <c r="AT1952" s="19"/>
      <c r="AU1952" s="19"/>
    </row>
    <row r="1953" spans="3:47">
      <c r="C1953" s="20"/>
      <c r="Z1953" s="20"/>
      <c r="AG1953" s="20"/>
      <c r="AQ1953" s="19"/>
      <c r="AR1953" s="19"/>
      <c r="AS1953" s="19"/>
      <c r="AT1953" s="19"/>
      <c r="AU1953" s="19"/>
    </row>
    <row r="1954" spans="3:47">
      <c r="C1954" s="20"/>
      <c r="Z1954" s="20"/>
      <c r="AG1954" s="20"/>
      <c r="AQ1954" s="19"/>
      <c r="AR1954" s="19"/>
      <c r="AS1954" s="19"/>
      <c r="AT1954" s="19"/>
      <c r="AU1954" s="19"/>
    </row>
    <row r="1955" spans="3:47">
      <c r="C1955" s="20"/>
      <c r="Z1955" s="20"/>
      <c r="AG1955" s="20"/>
      <c r="AQ1955" s="19"/>
      <c r="AR1955" s="19"/>
      <c r="AS1955" s="19"/>
      <c r="AT1955" s="19"/>
      <c r="AU1955" s="19"/>
    </row>
    <row r="1956" spans="3:47">
      <c r="C1956" s="20"/>
      <c r="Z1956" s="20"/>
      <c r="AG1956" s="20"/>
      <c r="AQ1956" s="19"/>
      <c r="AR1956" s="19"/>
      <c r="AS1956" s="19"/>
      <c r="AT1956" s="19"/>
      <c r="AU1956" s="19"/>
    </row>
    <row r="1957" spans="3:47">
      <c r="C1957" s="20"/>
      <c r="Z1957" s="20"/>
      <c r="AG1957" s="20"/>
      <c r="AQ1957" s="19"/>
      <c r="AR1957" s="19"/>
      <c r="AS1957" s="19"/>
      <c r="AT1957" s="19"/>
      <c r="AU1957" s="19"/>
    </row>
    <row r="1958" spans="3:47">
      <c r="C1958" s="20"/>
      <c r="Z1958" s="20"/>
      <c r="AG1958" s="20"/>
      <c r="AQ1958" s="19"/>
      <c r="AR1958" s="19"/>
      <c r="AS1958" s="19"/>
      <c r="AT1958" s="19"/>
      <c r="AU1958" s="19"/>
    </row>
    <row r="1959" spans="3:47">
      <c r="C1959" s="20"/>
      <c r="Z1959" s="20"/>
      <c r="AG1959" s="20"/>
      <c r="AQ1959" s="19"/>
      <c r="AR1959" s="19"/>
      <c r="AS1959" s="19"/>
      <c r="AT1959" s="19"/>
      <c r="AU1959" s="19"/>
    </row>
    <row r="1960" spans="3:47">
      <c r="C1960" s="20"/>
      <c r="Z1960" s="20"/>
      <c r="AG1960" s="20"/>
      <c r="AQ1960" s="19"/>
      <c r="AR1960" s="19"/>
      <c r="AS1960" s="19"/>
      <c r="AT1960" s="19"/>
      <c r="AU1960" s="19"/>
    </row>
    <row r="1961" spans="3:47">
      <c r="C1961" s="20"/>
      <c r="Z1961" s="20"/>
      <c r="AG1961" s="20"/>
      <c r="AQ1961" s="19"/>
      <c r="AR1961" s="19"/>
      <c r="AS1961" s="19"/>
      <c r="AT1961" s="19"/>
      <c r="AU1961" s="19"/>
    </row>
    <row r="1962" spans="3:47">
      <c r="C1962" s="20"/>
      <c r="Z1962" s="20"/>
      <c r="AG1962" s="20"/>
      <c r="AQ1962" s="19"/>
      <c r="AR1962" s="19"/>
      <c r="AS1962" s="19"/>
      <c r="AT1962" s="19"/>
      <c r="AU1962" s="19"/>
    </row>
    <row r="1963" spans="3:47">
      <c r="C1963" s="20"/>
      <c r="Z1963" s="20"/>
      <c r="AG1963" s="20"/>
      <c r="AQ1963" s="19"/>
      <c r="AR1963" s="19"/>
      <c r="AS1963" s="19"/>
      <c r="AT1963" s="19"/>
      <c r="AU1963" s="19"/>
    </row>
    <row r="1964" spans="3:47">
      <c r="C1964" s="20"/>
      <c r="Z1964" s="20"/>
      <c r="AG1964" s="20"/>
      <c r="AQ1964" s="19"/>
      <c r="AR1964" s="19"/>
      <c r="AS1964" s="19"/>
      <c r="AT1964" s="19"/>
      <c r="AU1964" s="19"/>
    </row>
    <row r="1965" spans="3:47">
      <c r="C1965" s="20"/>
      <c r="Z1965" s="20"/>
      <c r="AG1965" s="20"/>
      <c r="AQ1965" s="19"/>
      <c r="AR1965" s="19"/>
      <c r="AS1965" s="19"/>
      <c r="AT1965" s="19"/>
      <c r="AU1965" s="19"/>
    </row>
    <row r="1966" spans="3:47">
      <c r="C1966" s="20"/>
      <c r="Z1966" s="20"/>
      <c r="AG1966" s="20"/>
      <c r="AQ1966" s="19"/>
      <c r="AR1966" s="19"/>
      <c r="AS1966" s="19"/>
      <c r="AT1966" s="19"/>
      <c r="AU1966" s="19"/>
    </row>
    <row r="1967" spans="3:47">
      <c r="C1967" s="20"/>
      <c r="Z1967" s="20"/>
      <c r="AG1967" s="20"/>
      <c r="AQ1967" s="19"/>
      <c r="AR1967" s="19"/>
      <c r="AS1967" s="19"/>
      <c r="AT1967" s="19"/>
      <c r="AU1967" s="19"/>
    </row>
    <row r="1968" spans="3:47">
      <c r="C1968" s="20"/>
      <c r="Z1968" s="20"/>
      <c r="AG1968" s="20"/>
      <c r="AQ1968" s="19"/>
      <c r="AR1968" s="19"/>
      <c r="AS1968" s="19"/>
      <c r="AT1968" s="19"/>
      <c r="AU1968" s="19"/>
    </row>
    <row r="1969" spans="3:47">
      <c r="C1969" s="20"/>
      <c r="Z1969" s="20"/>
      <c r="AG1969" s="20"/>
      <c r="AQ1969" s="19"/>
      <c r="AR1969" s="19"/>
      <c r="AS1969" s="19"/>
      <c r="AT1969" s="19"/>
      <c r="AU1969" s="19"/>
    </row>
    <row r="1970" spans="3:47">
      <c r="C1970" s="20"/>
      <c r="Z1970" s="20"/>
      <c r="AG1970" s="20"/>
      <c r="AQ1970" s="19"/>
      <c r="AR1970" s="19"/>
      <c r="AS1970" s="19"/>
      <c r="AT1970" s="19"/>
      <c r="AU1970" s="19"/>
    </row>
    <row r="1971" spans="3:47">
      <c r="C1971" s="20"/>
      <c r="Z1971" s="20"/>
      <c r="AG1971" s="20"/>
      <c r="AQ1971" s="19"/>
      <c r="AR1971" s="19"/>
      <c r="AS1971" s="19"/>
      <c r="AT1971" s="19"/>
      <c r="AU1971" s="19"/>
    </row>
    <row r="1972" spans="3:47">
      <c r="C1972" s="20"/>
      <c r="Z1972" s="20"/>
      <c r="AG1972" s="20"/>
      <c r="AQ1972" s="19"/>
      <c r="AR1972" s="19"/>
      <c r="AS1972" s="19"/>
      <c r="AT1972" s="19"/>
      <c r="AU1972" s="19"/>
    </row>
    <row r="1973" spans="3:47">
      <c r="C1973" s="20"/>
      <c r="Z1973" s="20"/>
      <c r="AG1973" s="20"/>
      <c r="AQ1973" s="19"/>
      <c r="AR1973" s="19"/>
      <c r="AS1973" s="19"/>
      <c r="AT1973" s="19"/>
      <c r="AU1973" s="19"/>
    </row>
    <row r="1974" spans="3:47">
      <c r="C1974" s="20"/>
      <c r="Z1974" s="20"/>
      <c r="AG1974" s="20"/>
      <c r="AQ1974" s="19"/>
      <c r="AR1974" s="19"/>
      <c r="AS1974" s="19"/>
      <c r="AT1974" s="19"/>
      <c r="AU1974" s="19"/>
    </row>
    <row r="1975" spans="3:47">
      <c r="C1975" s="20"/>
      <c r="Z1975" s="20"/>
      <c r="AG1975" s="20"/>
      <c r="AQ1975" s="19"/>
      <c r="AR1975" s="19"/>
      <c r="AS1975" s="19"/>
      <c r="AT1975" s="19"/>
      <c r="AU1975" s="19"/>
    </row>
    <row r="1976" spans="3:47">
      <c r="C1976" s="20"/>
      <c r="Z1976" s="20"/>
      <c r="AG1976" s="20"/>
      <c r="AQ1976" s="19"/>
      <c r="AR1976" s="19"/>
      <c r="AS1976" s="19"/>
      <c r="AT1976" s="19"/>
      <c r="AU1976" s="19"/>
    </row>
    <row r="1977" spans="3:47">
      <c r="C1977" s="20"/>
      <c r="Z1977" s="20"/>
      <c r="AG1977" s="20"/>
      <c r="AQ1977" s="19"/>
      <c r="AR1977" s="19"/>
      <c r="AS1977" s="19"/>
      <c r="AT1977" s="19"/>
      <c r="AU1977" s="19"/>
    </row>
    <row r="1978" spans="3:47">
      <c r="C1978" s="20"/>
      <c r="Z1978" s="20"/>
      <c r="AG1978" s="20"/>
      <c r="AQ1978" s="19"/>
      <c r="AR1978" s="19"/>
      <c r="AS1978" s="19"/>
      <c r="AT1978" s="19"/>
      <c r="AU1978" s="19"/>
    </row>
    <row r="1979" spans="3:47">
      <c r="C1979" s="20"/>
      <c r="Z1979" s="20"/>
      <c r="AG1979" s="20"/>
      <c r="AQ1979" s="19"/>
      <c r="AR1979" s="19"/>
      <c r="AS1979" s="19"/>
      <c r="AT1979" s="19"/>
      <c r="AU1979" s="19"/>
    </row>
    <row r="1980" spans="3:47">
      <c r="C1980" s="20"/>
      <c r="Z1980" s="20"/>
      <c r="AG1980" s="20"/>
      <c r="AQ1980" s="19"/>
      <c r="AR1980" s="19"/>
      <c r="AS1980" s="19"/>
      <c r="AT1980" s="19"/>
      <c r="AU1980" s="19"/>
    </row>
    <row r="1981" spans="3:47">
      <c r="C1981" s="20"/>
      <c r="Z1981" s="20"/>
      <c r="AG1981" s="20"/>
      <c r="AQ1981" s="19"/>
      <c r="AR1981" s="19"/>
      <c r="AS1981" s="19"/>
      <c r="AT1981" s="19"/>
      <c r="AU1981" s="19"/>
    </row>
    <row r="1982" spans="3:47">
      <c r="C1982" s="20"/>
      <c r="Z1982" s="20"/>
      <c r="AG1982" s="20"/>
      <c r="AQ1982" s="19"/>
      <c r="AR1982" s="19"/>
      <c r="AS1982" s="19"/>
      <c r="AT1982" s="19"/>
      <c r="AU1982" s="19"/>
    </row>
    <row r="1983" spans="3:47">
      <c r="C1983" s="20"/>
      <c r="Z1983" s="20"/>
      <c r="AG1983" s="20"/>
      <c r="AQ1983" s="19"/>
      <c r="AR1983" s="19"/>
      <c r="AS1983" s="19"/>
      <c r="AT1983" s="19"/>
      <c r="AU1983" s="19"/>
    </row>
    <row r="1984" spans="3:47">
      <c r="C1984" s="20"/>
      <c r="Z1984" s="20"/>
      <c r="AG1984" s="20"/>
      <c r="AQ1984" s="19"/>
      <c r="AR1984" s="19"/>
      <c r="AS1984" s="19"/>
      <c r="AT1984" s="19"/>
      <c r="AU1984" s="19"/>
    </row>
    <row r="1985" spans="3:47">
      <c r="C1985" s="20"/>
      <c r="Z1985" s="20"/>
      <c r="AG1985" s="20"/>
      <c r="AQ1985" s="19"/>
      <c r="AR1985" s="19"/>
      <c r="AS1985" s="19"/>
      <c r="AT1985" s="19"/>
      <c r="AU1985" s="19"/>
    </row>
    <row r="1986" spans="3:47">
      <c r="C1986" s="20"/>
      <c r="Z1986" s="20"/>
      <c r="AG1986" s="20"/>
      <c r="AQ1986" s="19"/>
      <c r="AR1986" s="19"/>
      <c r="AS1986" s="19"/>
      <c r="AT1986" s="19"/>
      <c r="AU1986" s="19"/>
    </row>
    <row r="1987" spans="3:47">
      <c r="C1987" s="20"/>
      <c r="Z1987" s="20"/>
      <c r="AG1987" s="20"/>
      <c r="AQ1987" s="19"/>
      <c r="AR1987" s="19"/>
      <c r="AS1987" s="19"/>
      <c r="AT1987" s="19"/>
      <c r="AU1987" s="19"/>
    </row>
    <row r="1988" spans="3:47">
      <c r="C1988" s="20"/>
      <c r="Z1988" s="20"/>
      <c r="AG1988" s="20"/>
      <c r="AQ1988" s="19"/>
      <c r="AR1988" s="19"/>
      <c r="AS1988" s="19"/>
      <c r="AT1988" s="19"/>
      <c r="AU1988" s="19"/>
    </row>
    <row r="1989" spans="3:47">
      <c r="C1989" s="20"/>
      <c r="Z1989" s="20"/>
      <c r="AG1989" s="20"/>
      <c r="AQ1989" s="19"/>
      <c r="AR1989" s="19"/>
      <c r="AS1989" s="19"/>
      <c r="AT1989" s="19"/>
      <c r="AU1989" s="19"/>
    </row>
    <row r="1990" spans="3:47">
      <c r="C1990" s="20"/>
      <c r="Z1990" s="20"/>
      <c r="AG1990" s="20"/>
      <c r="AQ1990" s="19"/>
      <c r="AR1990" s="19"/>
      <c r="AS1990" s="19"/>
      <c r="AT1990" s="19"/>
      <c r="AU1990" s="19"/>
    </row>
    <row r="1991" spans="3:47">
      <c r="C1991" s="20"/>
      <c r="Z1991" s="20"/>
      <c r="AG1991" s="20"/>
      <c r="AQ1991" s="19"/>
      <c r="AR1991" s="19"/>
      <c r="AS1991" s="19"/>
      <c r="AT1991" s="19"/>
      <c r="AU1991" s="19"/>
    </row>
    <row r="1992" spans="3:47">
      <c r="C1992" s="20"/>
      <c r="Z1992" s="20"/>
      <c r="AG1992" s="20"/>
      <c r="AQ1992" s="19"/>
      <c r="AR1992" s="19"/>
      <c r="AS1992" s="19"/>
      <c r="AT1992" s="19"/>
      <c r="AU1992" s="19"/>
    </row>
    <row r="1993" spans="3:47">
      <c r="C1993" s="20"/>
      <c r="Z1993" s="20"/>
      <c r="AG1993" s="20"/>
      <c r="AQ1993" s="19"/>
      <c r="AR1993" s="19"/>
      <c r="AS1993" s="19"/>
      <c r="AT1993" s="19"/>
      <c r="AU1993" s="19"/>
    </row>
    <row r="1994" spans="3:47">
      <c r="C1994" s="20"/>
      <c r="Z1994" s="20"/>
      <c r="AG1994" s="20"/>
      <c r="AQ1994" s="19"/>
      <c r="AR1994" s="19"/>
      <c r="AS1994" s="19"/>
      <c r="AT1994" s="19"/>
      <c r="AU1994" s="19"/>
    </row>
    <row r="1995" spans="3:47">
      <c r="C1995" s="20"/>
      <c r="Z1995" s="20"/>
      <c r="AG1995" s="20"/>
      <c r="AQ1995" s="19"/>
      <c r="AR1995" s="19"/>
      <c r="AS1995" s="19"/>
      <c r="AT1995" s="19"/>
      <c r="AU1995" s="19"/>
    </row>
    <row r="1996" spans="3:47">
      <c r="C1996" s="20"/>
      <c r="Z1996" s="20"/>
      <c r="AG1996" s="20"/>
      <c r="AQ1996" s="19"/>
      <c r="AR1996" s="19"/>
      <c r="AS1996" s="19"/>
      <c r="AT1996" s="19"/>
      <c r="AU1996" s="19"/>
    </row>
    <row r="1997" spans="3:47">
      <c r="C1997" s="20"/>
      <c r="Z1997" s="20"/>
      <c r="AG1997" s="20"/>
      <c r="AQ1997" s="19"/>
      <c r="AR1997" s="19"/>
      <c r="AS1997" s="19"/>
      <c r="AT1997" s="19"/>
      <c r="AU1997" s="19"/>
    </row>
    <row r="1998" spans="3:47">
      <c r="C1998" s="20"/>
      <c r="Z1998" s="20"/>
      <c r="AG1998" s="20"/>
      <c r="AQ1998" s="19"/>
      <c r="AR1998" s="19"/>
      <c r="AS1998" s="19"/>
      <c r="AT1998" s="19"/>
      <c r="AU1998" s="19"/>
    </row>
    <row r="1999" spans="3:47">
      <c r="C1999" s="20"/>
      <c r="Z1999" s="20"/>
      <c r="AG1999" s="20"/>
      <c r="AQ1999" s="19"/>
      <c r="AR1999" s="19"/>
      <c r="AS1999" s="19"/>
      <c r="AT1999" s="19"/>
      <c r="AU1999" s="19"/>
    </row>
    <row r="2000" spans="3:47">
      <c r="C2000" s="20"/>
      <c r="Z2000" s="20"/>
      <c r="AG2000" s="20"/>
      <c r="AQ2000" s="19"/>
      <c r="AR2000" s="19"/>
      <c r="AS2000" s="19"/>
      <c r="AT2000" s="19"/>
      <c r="AU2000" s="19"/>
    </row>
    <row r="2001" spans="3:47">
      <c r="C2001" s="20"/>
      <c r="Z2001" s="20"/>
      <c r="AG2001" s="20"/>
      <c r="AQ2001" s="19"/>
      <c r="AR2001" s="19"/>
      <c r="AS2001" s="19"/>
      <c r="AT2001" s="19"/>
      <c r="AU2001" s="19"/>
    </row>
    <row r="2002" spans="3:47">
      <c r="C2002" s="20"/>
      <c r="Z2002" s="20"/>
      <c r="AG2002" s="20"/>
      <c r="AQ2002" s="19"/>
      <c r="AR2002" s="19"/>
      <c r="AS2002" s="19"/>
      <c r="AT2002" s="19"/>
      <c r="AU2002" s="19"/>
    </row>
    <row r="2003" spans="3:47">
      <c r="C2003" s="20"/>
      <c r="Z2003" s="20"/>
      <c r="AG2003" s="20"/>
      <c r="AQ2003" s="19"/>
      <c r="AR2003" s="19"/>
      <c r="AS2003" s="19"/>
      <c r="AT2003" s="19"/>
      <c r="AU2003" s="19"/>
    </row>
    <row r="2004" spans="3:47">
      <c r="C2004" s="20"/>
      <c r="Z2004" s="20"/>
      <c r="AG2004" s="20"/>
      <c r="AQ2004" s="19"/>
      <c r="AR2004" s="19"/>
      <c r="AS2004" s="19"/>
      <c r="AT2004" s="19"/>
      <c r="AU2004" s="19"/>
    </row>
    <row r="2005" spans="3:47">
      <c r="C2005" s="20"/>
      <c r="Z2005" s="35"/>
      <c r="AG2005" s="20"/>
      <c r="AQ2005" s="19"/>
      <c r="AR2005" s="19"/>
      <c r="AS2005" s="19"/>
      <c r="AT2005" s="19"/>
      <c r="AU2005" s="19"/>
    </row>
    <row r="2006" spans="3:47">
      <c r="C2006" s="20"/>
      <c r="Z2006" s="20"/>
      <c r="AG2006" s="20"/>
      <c r="AQ2006" s="19"/>
      <c r="AR2006" s="19"/>
      <c r="AS2006" s="19"/>
      <c r="AT2006" s="19"/>
      <c r="AU2006" s="19"/>
    </row>
    <row r="2007" spans="3:47">
      <c r="C2007" s="20"/>
      <c r="Z2007" s="20"/>
      <c r="AG2007" s="20"/>
      <c r="AQ2007" s="19"/>
      <c r="AR2007" s="19"/>
      <c r="AS2007" s="19"/>
      <c r="AT2007" s="19"/>
      <c r="AU2007" s="19"/>
    </row>
    <row r="2008" spans="3:47">
      <c r="C2008" s="20"/>
      <c r="Z2008" s="20"/>
      <c r="AG2008" s="20"/>
      <c r="AQ2008" s="19"/>
      <c r="AR2008" s="19"/>
      <c r="AS2008" s="19"/>
      <c r="AT2008" s="19"/>
      <c r="AU2008" s="19"/>
    </row>
    <row r="2009" spans="3:47">
      <c r="C2009" s="20"/>
      <c r="Z2009" s="20"/>
      <c r="AG2009" s="20"/>
      <c r="AQ2009" s="19"/>
      <c r="AR2009" s="19"/>
      <c r="AS2009" s="19"/>
      <c r="AT2009" s="19"/>
      <c r="AU2009" s="19"/>
    </row>
    <row r="2010" spans="3:47">
      <c r="C2010" s="20"/>
      <c r="Z2010" s="20"/>
      <c r="AG2010" s="20"/>
      <c r="AQ2010" s="19"/>
      <c r="AR2010" s="19"/>
      <c r="AS2010" s="19"/>
      <c r="AT2010" s="19"/>
      <c r="AU2010" s="19"/>
    </row>
    <row r="2011" spans="3:47">
      <c r="C2011" s="20"/>
      <c r="Z2011" s="20"/>
      <c r="AG2011" s="20"/>
      <c r="AQ2011" s="19"/>
      <c r="AR2011" s="19"/>
      <c r="AS2011" s="19"/>
      <c r="AT2011" s="19"/>
      <c r="AU2011" s="19"/>
    </row>
    <row r="2012" spans="3:47">
      <c r="C2012" s="20"/>
      <c r="Z2012" s="20"/>
      <c r="AG2012" s="20"/>
      <c r="AQ2012" s="19"/>
      <c r="AR2012" s="19"/>
      <c r="AS2012" s="19"/>
      <c r="AT2012" s="19"/>
      <c r="AU2012" s="19"/>
    </row>
    <row r="2013" spans="3:47">
      <c r="C2013" s="20"/>
      <c r="Z2013" s="20"/>
      <c r="AG2013" s="20"/>
      <c r="AQ2013" s="19"/>
      <c r="AR2013" s="19"/>
      <c r="AS2013" s="19"/>
      <c r="AT2013" s="19"/>
      <c r="AU2013" s="19"/>
    </row>
    <row r="2014" spans="3:47">
      <c r="C2014" s="20"/>
      <c r="Z2014" s="20"/>
      <c r="AG2014" s="20"/>
      <c r="AQ2014" s="19"/>
      <c r="AR2014" s="19"/>
      <c r="AS2014" s="19"/>
      <c r="AT2014" s="19"/>
      <c r="AU2014" s="19"/>
    </row>
    <row r="2015" spans="3:47">
      <c r="C2015" s="20"/>
      <c r="Z2015" s="20"/>
      <c r="AG2015" s="20"/>
      <c r="AQ2015" s="19"/>
      <c r="AR2015" s="19"/>
      <c r="AS2015" s="19"/>
      <c r="AT2015" s="19"/>
      <c r="AU2015" s="19"/>
    </row>
    <row r="2016" spans="3:47">
      <c r="C2016" s="20"/>
      <c r="Z2016" s="20"/>
      <c r="AG2016" s="20"/>
      <c r="AQ2016" s="19"/>
      <c r="AR2016" s="19"/>
      <c r="AS2016" s="19"/>
      <c r="AT2016" s="19"/>
      <c r="AU2016" s="19"/>
    </row>
    <row r="2017" spans="3:47">
      <c r="C2017" s="20"/>
      <c r="Z2017" s="20"/>
      <c r="AG2017" s="20"/>
      <c r="AQ2017" s="19"/>
      <c r="AR2017" s="19"/>
      <c r="AS2017" s="19"/>
      <c r="AT2017" s="19"/>
      <c r="AU2017" s="19"/>
    </row>
    <row r="2018" spans="3:47">
      <c r="C2018" s="20"/>
      <c r="Z2018" s="20"/>
      <c r="AG2018" s="20"/>
      <c r="AQ2018" s="19"/>
      <c r="AR2018" s="19"/>
      <c r="AS2018" s="19"/>
      <c r="AT2018" s="19"/>
      <c r="AU2018" s="19"/>
    </row>
    <row r="2019" spans="3:47">
      <c r="C2019" s="20"/>
      <c r="Z2019" s="20"/>
      <c r="AG2019" s="20"/>
      <c r="AQ2019" s="19"/>
      <c r="AR2019" s="19"/>
      <c r="AS2019" s="19"/>
      <c r="AT2019" s="19"/>
      <c r="AU2019" s="19"/>
    </row>
    <row r="2020" spans="3:47">
      <c r="C2020" s="20"/>
      <c r="Z2020" s="20"/>
      <c r="AG2020" s="20"/>
      <c r="AQ2020" s="19"/>
      <c r="AR2020" s="19"/>
      <c r="AS2020" s="19"/>
      <c r="AT2020" s="19"/>
      <c r="AU2020" s="19"/>
    </row>
    <row r="2021" spans="3:47">
      <c r="C2021" s="20"/>
      <c r="Z2021" s="20"/>
      <c r="AG2021" s="20"/>
      <c r="AQ2021" s="19"/>
      <c r="AR2021" s="19"/>
      <c r="AS2021" s="19"/>
      <c r="AT2021" s="19"/>
      <c r="AU2021" s="19"/>
    </row>
    <row r="2022" spans="3:47">
      <c r="C2022" s="20"/>
      <c r="Z2022" s="20"/>
      <c r="AG2022" s="20"/>
      <c r="AQ2022" s="19"/>
      <c r="AR2022" s="19"/>
      <c r="AS2022" s="19"/>
      <c r="AT2022" s="19"/>
      <c r="AU2022" s="19"/>
    </row>
    <row r="2023" spans="3:47">
      <c r="C2023" s="20"/>
      <c r="Z2023" s="20"/>
      <c r="AG2023" s="20"/>
      <c r="AQ2023" s="19"/>
      <c r="AR2023" s="19"/>
      <c r="AS2023" s="19"/>
      <c r="AT2023" s="19"/>
      <c r="AU2023" s="19"/>
    </row>
    <row r="2024" spans="3:47">
      <c r="C2024" s="20"/>
      <c r="Z2024" s="20"/>
      <c r="AG2024" s="20"/>
      <c r="AQ2024" s="19"/>
      <c r="AR2024" s="19"/>
      <c r="AS2024" s="19"/>
      <c r="AT2024" s="19"/>
      <c r="AU2024" s="19"/>
    </row>
    <row r="2025" spans="3:47">
      <c r="C2025" s="20"/>
      <c r="Z2025" s="20"/>
      <c r="AG2025" s="20"/>
      <c r="AQ2025" s="19"/>
      <c r="AR2025" s="19"/>
      <c r="AS2025" s="19"/>
      <c r="AT2025" s="19"/>
      <c r="AU2025" s="19"/>
    </row>
    <row r="2026" spans="3:47">
      <c r="C2026" s="20"/>
      <c r="Z2026" s="20"/>
      <c r="AG2026" s="20"/>
      <c r="AQ2026" s="19"/>
      <c r="AR2026" s="19"/>
      <c r="AS2026" s="19"/>
      <c r="AT2026" s="19"/>
      <c r="AU2026" s="19"/>
    </row>
    <row r="2027" spans="3:47">
      <c r="C2027" s="20"/>
      <c r="Z2027" s="20"/>
      <c r="AG2027" s="20"/>
      <c r="AQ2027" s="19"/>
      <c r="AR2027" s="19"/>
      <c r="AS2027" s="19"/>
      <c r="AT2027" s="19"/>
      <c r="AU2027" s="19"/>
    </row>
    <row r="2028" spans="3:47">
      <c r="C2028" s="20"/>
      <c r="Z2028" s="20"/>
      <c r="AG2028" s="20"/>
      <c r="AQ2028" s="19"/>
      <c r="AR2028" s="19"/>
      <c r="AS2028" s="19"/>
      <c r="AT2028" s="19"/>
      <c r="AU2028" s="19"/>
    </row>
    <row r="2029" spans="3:47">
      <c r="C2029" s="20"/>
      <c r="Z2029" s="20"/>
      <c r="AG2029" s="20"/>
      <c r="AQ2029" s="19"/>
      <c r="AR2029" s="19"/>
      <c r="AS2029" s="19"/>
      <c r="AT2029" s="19"/>
      <c r="AU2029" s="19"/>
    </row>
    <row r="2030" spans="3:47">
      <c r="C2030" s="20"/>
      <c r="Z2030" s="20"/>
      <c r="AG2030" s="20"/>
      <c r="AQ2030" s="19"/>
      <c r="AR2030" s="19"/>
      <c r="AS2030" s="19"/>
      <c r="AT2030" s="19"/>
      <c r="AU2030" s="19"/>
    </row>
    <row r="2031" spans="3:47">
      <c r="C2031" s="20"/>
      <c r="Z2031" s="20"/>
      <c r="AG2031" s="20"/>
      <c r="AQ2031" s="19"/>
      <c r="AR2031" s="19"/>
      <c r="AS2031" s="19"/>
      <c r="AT2031" s="19"/>
      <c r="AU2031" s="19"/>
    </row>
    <row r="2032" spans="3:47">
      <c r="C2032" s="20"/>
      <c r="Z2032" s="20"/>
      <c r="AG2032" s="20"/>
      <c r="AQ2032" s="19"/>
      <c r="AR2032" s="19"/>
      <c r="AS2032" s="19"/>
      <c r="AT2032" s="19"/>
      <c r="AU2032" s="19"/>
    </row>
    <row r="2033" spans="3:47">
      <c r="C2033" s="20"/>
      <c r="Z2033" s="20"/>
      <c r="AG2033" s="20"/>
      <c r="AQ2033" s="19"/>
      <c r="AR2033" s="19"/>
      <c r="AS2033" s="19"/>
      <c r="AT2033" s="19"/>
      <c r="AU2033" s="19"/>
    </row>
    <row r="2034" spans="3:47">
      <c r="C2034" s="20"/>
      <c r="Z2034" s="20"/>
      <c r="AG2034" s="20"/>
      <c r="AQ2034" s="19"/>
      <c r="AR2034" s="19"/>
      <c r="AS2034" s="19"/>
      <c r="AT2034" s="19"/>
      <c r="AU2034" s="19"/>
    </row>
    <row r="2035" spans="3:47">
      <c r="C2035" s="20"/>
      <c r="Z2035" s="20"/>
      <c r="AG2035" s="20"/>
      <c r="AQ2035" s="19"/>
      <c r="AR2035" s="19"/>
      <c r="AS2035" s="19"/>
      <c r="AT2035" s="19"/>
      <c r="AU2035" s="19"/>
    </row>
    <row r="2036" spans="3:47">
      <c r="C2036" s="20"/>
      <c r="Z2036" s="20"/>
      <c r="AG2036" s="20"/>
      <c r="AQ2036" s="19"/>
      <c r="AR2036" s="19"/>
      <c r="AS2036" s="19"/>
      <c r="AT2036" s="19"/>
      <c r="AU2036" s="19"/>
    </row>
    <row r="2037" spans="3:47">
      <c r="C2037" s="20"/>
      <c r="Z2037" s="20"/>
      <c r="AG2037" s="20"/>
      <c r="AQ2037" s="19"/>
      <c r="AR2037" s="19"/>
      <c r="AS2037" s="19"/>
      <c r="AT2037" s="19"/>
      <c r="AU2037" s="19"/>
    </row>
    <row r="2038" spans="3:47">
      <c r="C2038" s="20"/>
      <c r="Z2038" s="20"/>
      <c r="AG2038" s="20"/>
      <c r="AQ2038" s="19"/>
      <c r="AR2038" s="19"/>
      <c r="AS2038" s="19"/>
      <c r="AT2038" s="19"/>
      <c r="AU2038" s="19"/>
    </row>
    <row r="2039" spans="3:47">
      <c r="C2039" s="20"/>
      <c r="Z2039" s="20"/>
      <c r="AG2039" s="20"/>
      <c r="AQ2039" s="19"/>
      <c r="AR2039" s="19"/>
      <c r="AS2039" s="19"/>
      <c r="AT2039" s="19"/>
      <c r="AU2039" s="19"/>
    </row>
    <row r="2040" spans="3:47">
      <c r="C2040" s="20"/>
      <c r="Z2040" s="20"/>
      <c r="AG2040" s="20"/>
      <c r="AQ2040" s="19"/>
      <c r="AR2040" s="19"/>
      <c r="AS2040" s="19"/>
      <c r="AT2040" s="19"/>
      <c r="AU2040" s="19"/>
    </row>
    <row r="2041" spans="3:47">
      <c r="C2041" s="20"/>
      <c r="Z2041" s="20"/>
      <c r="AG2041" s="20"/>
      <c r="AQ2041" s="19"/>
      <c r="AR2041" s="19"/>
      <c r="AS2041" s="19"/>
      <c r="AT2041" s="19"/>
      <c r="AU2041" s="19"/>
    </row>
    <row r="2042" spans="3:47">
      <c r="C2042" s="20"/>
      <c r="Z2042" s="20"/>
      <c r="AG2042" s="20"/>
      <c r="AQ2042" s="19"/>
      <c r="AR2042" s="19"/>
      <c r="AS2042" s="19"/>
      <c r="AT2042" s="19"/>
      <c r="AU2042" s="19"/>
    </row>
    <row r="2043" spans="3:47">
      <c r="C2043" s="20"/>
      <c r="Z2043" s="20"/>
      <c r="AG2043" s="20"/>
      <c r="AQ2043" s="19"/>
      <c r="AR2043" s="19"/>
      <c r="AS2043" s="19"/>
      <c r="AT2043" s="19"/>
      <c r="AU2043" s="19"/>
    </row>
    <row r="2044" spans="3:47">
      <c r="C2044" s="20"/>
      <c r="Z2044" s="20"/>
      <c r="AG2044" s="20"/>
      <c r="AQ2044" s="19"/>
      <c r="AR2044" s="19"/>
      <c r="AS2044" s="19"/>
      <c r="AT2044" s="19"/>
      <c r="AU2044" s="19"/>
    </row>
    <row r="2045" spans="3:47">
      <c r="C2045" s="20"/>
      <c r="Z2045" s="20"/>
      <c r="AG2045" s="20"/>
      <c r="AQ2045" s="19"/>
      <c r="AR2045" s="19"/>
      <c r="AS2045" s="19"/>
      <c r="AT2045" s="19"/>
      <c r="AU2045" s="19"/>
    </row>
    <row r="2046" spans="3:47">
      <c r="C2046" s="20"/>
      <c r="Z2046" s="20"/>
      <c r="AG2046" s="20"/>
      <c r="AQ2046" s="19"/>
      <c r="AR2046" s="19"/>
      <c r="AS2046" s="19"/>
      <c r="AT2046" s="19"/>
      <c r="AU2046" s="19"/>
    </row>
    <row r="2047" spans="3:47">
      <c r="C2047" s="20"/>
      <c r="Z2047" s="20"/>
      <c r="AG2047" s="20"/>
      <c r="AQ2047" s="19"/>
      <c r="AR2047" s="19"/>
      <c r="AS2047" s="19"/>
      <c r="AT2047" s="19"/>
      <c r="AU2047" s="19"/>
    </row>
    <row r="2048" spans="3:47">
      <c r="C2048" s="20"/>
      <c r="Z2048" s="20"/>
      <c r="AG2048" s="20"/>
      <c r="AQ2048" s="19"/>
      <c r="AR2048" s="19"/>
      <c r="AS2048" s="19"/>
      <c r="AT2048" s="19"/>
      <c r="AU2048" s="19"/>
    </row>
    <row r="2049" spans="3:47">
      <c r="C2049" s="20"/>
      <c r="Z2049" s="20"/>
      <c r="AG2049" s="20"/>
      <c r="AQ2049" s="19"/>
      <c r="AR2049" s="19"/>
      <c r="AS2049" s="19"/>
      <c r="AT2049" s="19"/>
      <c r="AU2049" s="19"/>
    </row>
    <row r="2050" spans="3:47">
      <c r="C2050" s="20"/>
      <c r="Z2050" s="20"/>
      <c r="AG2050" s="20"/>
      <c r="AQ2050" s="19"/>
      <c r="AR2050" s="19"/>
      <c r="AS2050" s="19"/>
      <c r="AT2050" s="19"/>
      <c r="AU2050" s="19"/>
    </row>
    <row r="2051" spans="3:47">
      <c r="C2051" s="20"/>
      <c r="Z2051" s="20"/>
      <c r="AG2051" s="20"/>
      <c r="AQ2051" s="19"/>
      <c r="AR2051" s="19"/>
      <c r="AS2051" s="19"/>
      <c r="AT2051" s="19"/>
      <c r="AU2051" s="19"/>
    </row>
    <row r="2052" spans="3:47">
      <c r="C2052" s="20"/>
      <c r="Z2052" s="20"/>
      <c r="AG2052" s="20"/>
      <c r="AQ2052" s="19"/>
      <c r="AR2052" s="19"/>
      <c r="AS2052" s="19"/>
      <c r="AT2052" s="19"/>
      <c r="AU2052" s="19"/>
    </row>
    <row r="2053" spans="3:47">
      <c r="C2053" s="20"/>
      <c r="Z2053" s="20"/>
      <c r="AG2053" s="20"/>
      <c r="AQ2053" s="19"/>
      <c r="AR2053" s="19"/>
      <c r="AS2053" s="19"/>
      <c r="AT2053" s="19"/>
      <c r="AU2053" s="19"/>
    </row>
    <row r="2054" spans="3:47">
      <c r="C2054" s="20"/>
      <c r="Z2054" s="20"/>
      <c r="AG2054" s="20"/>
      <c r="AQ2054" s="19"/>
      <c r="AR2054" s="19"/>
      <c r="AS2054" s="19"/>
      <c r="AT2054" s="19"/>
      <c r="AU2054" s="19"/>
    </row>
    <row r="2055" spans="3:47">
      <c r="C2055" s="20"/>
      <c r="Z2055" s="20"/>
      <c r="AG2055" s="20"/>
      <c r="AQ2055" s="19"/>
      <c r="AR2055" s="19"/>
      <c r="AS2055" s="19"/>
      <c r="AT2055" s="19"/>
      <c r="AU2055" s="19"/>
    </row>
    <row r="2056" spans="3:47">
      <c r="C2056" s="20"/>
      <c r="Z2056" s="20"/>
      <c r="AG2056" s="20"/>
      <c r="AQ2056" s="19"/>
      <c r="AR2056" s="19"/>
      <c r="AS2056" s="19"/>
      <c r="AT2056" s="19"/>
      <c r="AU2056" s="19"/>
    </row>
    <row r="2057" spans="3:47">
      <c r="C2057" s="20"/>
      <c r="Z2057" s="20"/>
      <c r="AG2057" s="20"/>
      <c r="AQ2057" s="19"/>
      <c r="AR2057" s="19"/>
      <c r="AS2057" s="19"/>
      <c r="AT2057" s="19"/>
      <c r="AU2057" s="19"/>
    </row>
    <row r="2058" spans="3:47">
      <c r="C2058" s="20"/>
      <c r="Z2058" s="20"/>
      <c r="AG2058" s="20"/>
      <c r="AQ2058" s="19"/>
      <c r="AR2058" s="19"/>
      <c r="AS2058" s="19"/>
      <c r="AT2058" s="19"/>
      <c r="AU2058" s="19"/>
    </row>
    <row r="2059" spans="3:47">
      <c r="C2059" s="20"/>
      <c r="Z2059" s="20"/>
      <c r="AG2059" s="20"/>
      <c r="AQ2059" s="19"/>
      <c r="AR2059" s="19"/>
      <c r="AS2059" s="19"/>
      <c r="AT2059" s="19"/>
      <c r="AU2059" s="19"/>
    </row>
    <row r="2060" spans="3:47">
      <c r="C2060" s="20"/>
      <c r="Z2060" s="20"/>
      <c r="AG2060" s="20"/>
      <c r="AQ2060" s="19"/>
      <c r="AR2060" s="19"/>
      <c r="AS2060" s="19"/>
      <c r="AT2060" s="19"/>
      <c r="AU2060" s="19"/>
    </row>
    <row r="2061" spans="3:47">
      <c r="C2061" s="20"/>
      <c r="Z2061" s="20"/>
      <c r="AG2061" s="20"/>
      <c r="AQ2061" s="19"/>
      <c r="AR2061" s="19"/>
      <c r="AS2061" s="19"/>
      <c r="AT2061" s="19"/>
      <c r="AU2061" s="19"/>
    </row>
    <row r="2062" spans="3:47">
      <c r="C2062" s="20"/>
      <c r="Z2062" s="20"/>
      <c r="AG2062" s="20"/>
      <c r="AQ2062" s="19"/>
      <c r="AR2062" s="19"/>
      <c r="AS2062" s="19"/>
      <c r="AT2062" s="19"/>
      <c r="AU2062" s="19"/>
    </row>
    <row r="2063" spans="3:47">
      <c r="C2063" s="20"/>
      <c r="Z2063" s="20"/>
      <c r="AG2063" s="20"/>
      <c r="AQ2063" s="19"/>
      <c r="AR2063" s="19"/>
      <c r="AS2063" s="19"/>
      <c r="AT2063" s="19"/>
      <c r="AU2063" s="19"/>
    </row>
    <row r="2064" spans="3:47">
      <c r="C2064" s="20"/>
      <c r="Z2064" s="20"/>
      <c r="AG2064" s="20"/>
      <c r="AQ2064" s="19"/>
      <c r="AR2064" s="19"/>
      <c r="AS2064" s="19"/>
      <c r="AT2064" s="19"/>
      <c r="AU2064" s="19"/>
    </row>
    <row r="2065" spans="3:47">
      <c r="C2065" s="20"/>
      <c r="Z2065" s="20"/>
      <c r="AG2065" s="20"/>
      <c r="AQ2065" s="19"/>
      <c r="AR2065" s="19"/>
      <c r="AS2065" s="19"/>
      <c r="AT2065" s="19"/>
      <c r="AU2065" s="19"/>
    </row>
    <row r="2066" spans="3:47">
      <c r="C2066" s="20"/>
      <c r="Z2066" s="20"/>
      <c r="AG2066" s="20"/>
      <c r="AQ2066" s="19"/>
      <c r="AR2066" s="19"/>
      <c r="AS2066" s="19"/>
      <c r="AT2066" s="19"/>
      <c r="AU2066" s="19"/>
    </row>
    <row r="2067" spans="3:47">
      <c r="C2067" s="20"/>
      <c r="Z2067" s="20"/>
      <c r="AG2067" s="20"/>
      <c r="AQ2067" s="19"/>
      <c r="AR2067" s="19"/>
      <c r="AS2067" s="19"/>
      <c r="AT2067" s="19"/>
      <c r="AU2067" s="19"/>
    </row>
    <row r="2068" spans="3:47">
      <c r="C2068" s="20"/>
      <c r="Z2068" s="20"/>
      <c r="AG2068" s="20"/>
      <c r="AQ2068" s="19"/>
      <c r="AR2068" s="19"/>
      <c r="AS2068" s="19"/>
      <c r="AT2068" s="19"/>
      <c r="AU2068" s="19"/>
    </row>
    <row r="2069" spans="3:47">
      <c r="C2069" s="20"/>
      <c r="Z2069" s="20"/>
      <c r="AG2069" s="20"/>
      <c r="AQ2069" s="19"/>
      <c r="AR2069" s="19"/>
      <c r="AS2069" s="19"/>
      <c r="AT2069" s="19"/>
      <c r="AU2069" s="19"/>
    </row>
    <row r="2070" spans="3:47">
      <c r="C2070" s="20"/>
      <c r="Z2070" s="20"/>
      <c r="AG2070" s="20"/>
      <c r="AQ2070" s="19"/>
      <c r="AR2070" s="19"/>
      <c r="AS2070" s="19"/>
      <c r="AT2070" s="19"/>
      <c r="AU2070" s="19"/>
    </row>
    <row r="2071" spans="3:47">
      <c r="C2071" s="20"/>
      <c r="Z2071" s="20"/>
      <c r="AG2071" s="20"/>
      <c r="AQ2071" s="19"/>
      <c r="AR2071" s="19"/>
      <c r="AS2071" s="19"/>
      <c r="AT2071" s="19"/>
      <c r="AU2071" s="19"/>
    </row>
    <row r="2072" spans="3:47">
      <c r="C2072" s="20"/>
      <c r="Z2072" s="20"/>
      <c r="AG2072" s="20"/>
      <c r="AQ2072" s="19"/>
      <c r="AR2072" s="19"/>
      <c r="AS2072" s="19"/>
      <c r="AT2072" s="19"/>
      <c r="AU2072" s="19"/>
    </row>
    <row r="2073" spans="3:47">
      <c r="C2073" s="20"/>
      <c r="Z2073" s="20"/>
      <c r="AG2073" s="20"/>
      <c r="AQ2073" s="19"/>
      <c r="AR2073" s="19"/>
      <c r="AS2073" s="19"/>
      <c r="AT2073" s="19"/>
      <c r="AU2073" s="19"/>
    </row>
    <row r="2074" spans="3:47">
      <c r="C2074" s="20"/>
      <c r="Z2074" s="20"/>
      <c r="AG2074" s="20"/>
      <c r="AQ2074" s="19"/>
      <c r="AR2074" s="19"/>
      <c r="AS2074" s="19"/>
      <c r="AT2074" s="19"/>
      <c r="AU2074" s="19"/>
    </row>
    <row r="2075" spans="3:47">
      <c r="C2075" s="20"/>
      <c r="Z2075" s="20"/>
      <c r="AG2075" s="20"/>
      <c r="AQ2075" s="19"/>
      <c r="AR2075" s="19"/>
      <c r="AS2075" s="19"/>
      <c r="AT2075" s="19"/>
      <c r="AU2075" s="19"/>
    </row>
    <row r="2076" spans="3:47">
      <c r="C2076" s="20"/>
      <c r="Z2076" s="20"/>
      <c r="AG2076" s="20"/>
      <c r="AQ2076" s="19"/>
      <c r="AR2076" s="19"/>
      <c r="AS2076" s="19"/>
      <c r="AT2076" s="19"/>
      <c r="AU2076" s="19"/>
    </row>
    <row r="2077" spans="3:47">
      <c r="C2077" s="20"/>
      <c r="Z2077" s="20"/>
      <c r="AG2077" s="20"/>
      <c r="AQ2077" s="19"/>
      <c r="AR2077" s="19"/>
      <c r="AS2077" s="19"/>
      <c r="AT2077" s="19"/>
      <c r="AU2077" s="19"/>
    </row>
    <row r="2078" spans="3:47">
      <c r="C2078" s="20"/>
      <c r="Z2078" s="20"/>
      <c r="AG2078" s="20"/>
      <c r="AQ2078" s="19"/>
      <c r="AR2078" s="19"/>
      <c r="AS2078" s="19"/>
      <c r="AT2078" s="19"/>
      <c r="AU2078" s="19"/>
    </row>
    <row r="2079" spans="3:47">
      <c r="C2079" s="20"/>
      <c r="Z2079" s="20"/>
      <c r="AG2079" s="20"/>
      <c r="AQ2079" s="19"/>
      <c r="AR2079" s="19"/>
      <c r="AS2079" s="19"/>
      <c r="AT2079" s="19"/>
      <c r="AU2079" s="19"/>
    </row>
    <row r="2080" spans="3:47">
      <c r="C2080" s="20"/>
      <c r="Z2080" s="20"/>
      <c r="AG2080" s="20"/>
      <c r="AQ2080" s="19"/>
      <c r="AR2080" s="19"/>
      <c r="AS2080" s="19"/>
      <c r="AT2080" s="19"/>
      <c r="AU2080" s="19"/>
    </row>
    <row r="2081" spans="3:47">
      <c r="C2081" s="20"/>
      <c r="Z2081" s="20"/>
      <c r="AG2081" s="20"/>
      <c r="AQ2081" s="19"/>
      <c r="AR2081" s="19"/>
      <c r="AS2081" s="19"/>
      <c r="AT2081" s="19"/>
      <c r="AU2081" s="19"/>
    </row>
    <row r="2082" spans="3:47">
      <c r="C2082" s="20"/>
      <c r="Z2082" s="20"/>
      <c r="AG2082" s="20"/>
      <c r="AQ2082" s="19"/>
      <c r="AR2082" s="19"/>
      <c r="AS2082" s="19"/>
      <c r="AT2082" s="19"/>
      <c r="AU2082" s="19"/>
    </row>
    <row r="2083" spans="3:47">
      <c r="C2083" s="20"/>
      <c r="Z2083" s="20"/>
      <c r="AG2083" s="20"/>
      <c r="AQ2083" s="19"/>
      <c r="AR2083" s="19"/>
      <c r="AS2083" s="19"/>
      <c r="AT2083" s="19"/>
      <c r="AU2083" s="19"/>
    </row>
    <row r="2084" spans="3:47">
      <c r="C2084" s="20"/>
      <c r="Z2084" s="20"/>
      <c r="AG2084" s="20"/>
      <c r="AQ2084" s="19"/>
      <c r="AR2084" s="19"/>
      <c r="AS2084" s="19"/>
      <c r="AT2084" s="19"/>
      <c r="AU2084" s="19"/>
    </row>
    <row r="2085" spans="3:47">
      <c r="C2085" s="20"/>
      <c r="Z2085" s="20"/>
      <c r="AG2085" s="20"/>
      <c r="AQ2085" s="19"/>
      <c r="AR2085" s="19"/>
      <c r="AS2085" s="19"/>
      <c r="AT2085" s="19"/>
      <c r="AU2085" s="19"/>
    </row>
    <row r="2086" spans="3:47">
      <c r="C2086" s="20"/>
      <c r="Z2086" s="20"/>
      <c r="AG2086" s="20"/>
      <c r="AQ2086" s="19"/>
      <c r="AR2086" s="19"/>
      <c r="AS2086" s="19"/>
      <c r="AT2086" s="19"/>
      <c r="AU2086" s="19"/>
    </row>
    <row r="2087" spans="3:47">
      <c r="C2087" s="20"/>
      <c r="Z2087" s="20"/>
      <c r="AG2087" s="20"/>
      <c r="AQ2087" s="19"/>
      <c r="AR2087" s="19"/>
      <c r="AS2087" s="19"/>
      <c r="AT2087" s="19"/>
      <c r="AU2087" s="19"/>
    </row>
    <row r="2088" spans="3:47">
      <c r="C2088" s="20"/>
      <c r="Z2088" s="20"/>
      <c r="AG2088" s="20"/>
      <c r="AQ2088" s="19"/>
      <c r="AR2088" s="19"/>
      <c r="AS2088" s="19"/>
      <c r="AT2088" s="19"/>
      <c r="AU2088" s="19"/>
    </row>
    <row r="2089" spans="3:47">
      <c r="C2089" s="20"/>
      <c r="Z2089" s="20"/>
      <c r="AG2089" s="20"/>
      <c r="AQ2089" s="19"/>
      <c r="AR2089" s="19"/>
      <c r="AS2089" s="19"/>
      <c r="AT2089" s="19"/>
      <c r="AU2089" s="19"/>
    </row>
    <row r="2090" spans="3:47">
      <c r="C2090" s="20"/>
      <c r="Z2090" s="20"/>
      <c r="AG2090" s="20"/>
      <c r="AQ2090" s="19"/>
      <c r="AR2090" s="19"/>
      <c r="AS2090" s="19"/>
      <c r="AT2090" s="19"/>
      <c r="AU2090" s="19"/>
    </row>
    <row r="2091" spans="3:47">
      <c r="C2091" s="20"/>
      <c r="Z2091" s="20"/>
      <c r="AG2091" s="20"/>
      <c r="AQ2091" s="19"/>
      <c r="AR2091" s="19"/>
      <c r="AS2091" s="19"/>
      <c r="AT2091" s="19"/>
      <c r="AU2091" s="19"/>
    </row>
    <row r="2092" spans="3:47">
      <c r="C2092" s="20"/>
      <c r="Z2092" s="20"/>
      <c r="AG2092" s="20"/>
      <c r="AQ2092" s="19"/>
      <c r="AR2092" s="19"/>
      <c r="AS2092" s="19"/>
      <c r="AT2092" s="19"/>
      <c r="AU2092" s="19"/>
    </row>
    <row r="2093" spans="3:47">
      <c r="C2093" s="20"/>
      <c r="Z2093" s="20"/>
      <c r="AG2093" s="20"/>
      <c r="AQ2093" s="19"/>
      <c r="AR2093" s="19"/>
      <c r="AS2093" s="19"/>
      <c r="AT2093" s="19"/>
      <c r="AU2093" s="19"/>
    </row>
    <row r="2094" spans="3:47">
      <c r="C2094" s="20"/>
      <c r="Z2094" s="20"/>
      <c r="AG2094" s="20"/>
      <c r="AQ2094" s="19"/>
      <c r="AR2094" s="19"/>
      <c r="AS2094" s="19"/>
      <c r="AT2094" s="19"/>
      <c r="AU2094" s="19"/>
    </row>
    <row r="2095" spans="3:47">
      <c r="C2095" s="20"/>
      <c r="Z2095" s="20"/>
      <c r="AG2095" s="20"/>
      <c r="AQ2095" s="19"/>
      <c r="AR2095" s="19"/>
      <c r="AS2095" s="19"/>
      <c r="AT2095" s="19"/>
      <c r="AU2095" s="19"/>
    </row>
    <row r="2096" spans="3:47">
      <c r="C2096" s="20"/>
      <c r="Z2096" s="20"/>
      <c r="AG2096" s="20"/>
      <c r="AQ2096" s="19"/>
      <c r="AR2096" s="19"/>
      <c r="AS2096" s="19"/>
      <c r="AT2096" s="19"/>
      <c r="AU2096" s="19"/>
    </row>
    <row r="2097" spans="3:47">
      <c r="C2097" s="20"/>
      <c r="Z2097" s="20"/>
      <c r="AG2097" s="20"/>
      <c r="AQ2097" s="19"/>
      <c r="AR2097" s="19"/>
      <c r="AS2097" s="19"/>
      <c r="AT2097" s="19"/>
      <c r="AU2097" s="19"/>
    </row>
    <row r="2098" spans="3:47">
      <c r="C2098" s="20"/>
      <c r="Z2098" s="20"/>
      <c r="AG2098" s="20"/>
      <c r="AQ2098" s="19"/>
      <c r="AR2098" s="19"/>
      <c r="AS2098" s="19"/>
      <c r="AT2098" s="19"/>
      <c r="AU2098" s="19"/>
    </row>
    <row r="2099" spans="3:47">
      <c r="C2099" s="20"/>
      <c r="Z2099" s="20"/>
      <c r="AG2099" s="20"/>
      <c r="AQ2099" s="19"/>
      <c r="AR2099" s="19"/>
      <c r="AS2099" s="19"/>
      <c r="AT2099" s="19"/>
      <c r="AU2099" s="19"/>
    </row>
    <row r="2100" spans="3:47">
      <c r="C2100" s="20"/>
      <c r="Z2100" s="20"/>
      <c r="AG2100" s="20"/>
      <c r="AQ2100" s="19"/>
      <c r="AR2100" s="19"/>
      <c r="AS2100" s="19"/>
      <c r="AT2100" s="19"/>
      <c r="AU2100" s="19"/>
    </row>
    <row r="2101" spans="3:47">
      <c r="C2101" s="20"/>
      <c r="Z2101" s="20"/>
      <c r="AG2101" s="20"/>
      <c r="AQ2101" s="19"/>
      <c r="AR2101" s="19"/>
      <c r="AS2101" s="19"/>
      <c r="AT2101" s="19"/>
      <c r="AU2101" s="19"/>
    </row>
    <row r="2102" spans="3:47">
      <c r="C2102" s="20"/>
      <c r="Z2102" s="20"/>
      <c r="AG2102" s="20"/>
      <c r="AQ2102" s="19"/>
      <c r="AR2102" s="19"/>
      <c r="AS2102" s="19"/>
      <c r="AT2102" s="19"/>
      <c r="AU2102" s="19"/>
    </row>
    <row r="2103" spans="3:47">
      <c r="C2103" s="20"/>
      <c r="Z2103" s="20"/>
      <c r="AG2103" s="20"/>
      <c r="AQ2103" s="19"/>
      <c r="AR2103" s="19"/>
      <c r="AS2103" s="19"/>
      <c r="AT2103" s="19"/>
      <c r="AU2103" s="19"/>
    </row>
    <row r="2104" spans="3:47">
      <c r="C2104" s="20"/>
      <c r="Z2104" s="20"/>
      <c r="AG2104" s="20"/>
      <c r="AQ2104" s="19"/>
      <c r="AR2104" s="19"/>
      <c r="AS2104" s="19"/>
      <c r="AT2104" s="19"/>
      <c r="AU2104" s="19"/>
    </row>
    <row r="2105" spans="3:47">
      <c r="C2105" s="20"/>
      <c r="Z2105" s="20"/>
      <c r="AG2105" s="20"/>
      <c r="AQ2105" s="19"/>
      <c r="AR2105" s="19"/>
      <c r="AS2105" s="19"/>
      <c r="AT2105" s="19"/>
      <c r="AU2105" s="19"/>
    </row>
    <row r="2106" spans="3:47">
      <c r="C2106" s="20"/>
      <c r="Z2106" s="20"/>
      <c r="AG2106" s="20"/>
      <c r="AQ2106" s="19"/>
      <c r="AR2106" s="19"/>
      <c r="AS2106" s="19"/>
      <c r="AT2106" s="19"/>
      <c r="AU2106" s="19"/>
    </row>
    <row r="2107" spans="3:47">
      <c r="C2107" s="20"/>
      <c r="Z2107" s="20"/>
      <c r="AG2107" s="20"/>
      <c r="AQ2107" s="19"/>
      <c r="AR2107" s="19"/>
      <c r="AS2107" s="19"/>
      <c r="AT2107" s="19"/>
      <c r="AU2107" s="19"/>
    </row>
    <row r="2108" spans="3:47">
      <c r="C2108" s="20"/>
      <c r="Z2108" s="20"/>
      <c r="AG2108" s="20"/>
      <c r="AQ2108" s="19"/>
      <c r="AR2108" s="19"/>
      <c r="AS2108" s="19"/>
      <c r="AT2108" s="19"/>
      <c r="AU2108" s="19"/>
    </row>
    <row r="2109" spans="3:47">
      <c r="C2109" s="20"/>
      <c r="Z2109" s="20"/>
      <c r="AG2109" s="20"/>
      <c r="AQ2109" s="19"/>
      <c r="AR2109" s="19"/>
      <c r="AS2109" s="19"/>
      <c r="AT2109" s="19"/>
      <c r="AU2109" s="19"/>
    </row>
    <row r="2110" spans="3:47">
      <c r="C2110" s="20"/>
      <c r="Z2110" s="20"/>
      <c r="AG2110" s="20"/>
      <c r="AQ2110" s="19"/>
      <c r="AR2110" s="19"/>
      <c r="AS2110" s="19"/>
      <c r="AT2110" s="19"/>
      <c r="AU2110" s="19"/>
    </row>
    <row r="2111" spans="3:47">
      <c r="C2111" s="20"/>
      <c r="Z2111" s="20"/>
      <c r="AG2111" s="20"/>
      <c r="AQ2111" s="19"/>
      <c r="AR2111" s="19"/>
      <c r="AS2111" s="19"/>
      <c r="AT2111" s="19"/>
      <c r="AU2111" s="19"/>
    </row>
    <row r="2112" spans="3:47">
      <c r="C2112" s="20"/>
      <c r="Z2112" s="20"/>
      <c r="AG2112" s="20"/>
      <c r="AQ2112" s="19"/>
      <c r="AR2112" s="19"/>
      <c r="AS2112" s="19"/>
      <c r="AT2112" s="19"/>
      <c r="AU2112" s="19"/>
    </row>
    <row r="2113" spans="3:47">
      <c r="C2113" s="20"/>
      <c r="Z2113" s="20"/>
      <c r="AG2113" s="20"/>
      <c r="AQ2113" s="19"/>
      <c r="AR2113" s="19"/>
      <c r="AS2113" s="19"/>
      <c r="AT2113" s="19"/>
      <c r="AU2113" s="19"/>
    </row>
    <row r="2114" spans="3:47">
      <c r="C2114" s="20"/>
      <c r="Z2114" s="20"/>
      <c r="AG2114" s="20"/>
      <c r="AQ2114" s="19"/>
      <c r="AR2114" s="19"/>
      <c r="AS2114" s="19"/>
      <c r="AT2114" s="19"/>
      <c r="AU2114" s="19"/>
    </row>
    <row r="2115" spans="3:47">
      <c r="C2115" s="20"/>
      <c r="Z2115" s="20"/>
      <c r="AG2115" s="20"/>
      <c r="AQ2115" s="19"/>
      <c r="AR2115" s="19"/>
      <c r="AS2115" s="19"/>
      <c r="AT2115" s="19"/>
      <c r="AU2115" s="19"/>
    </row>
    <row r="2116" spans="3:47">
      <c r="C2116" s="20"/>
      <c r="Z2116" s="20"/>
      <c r="AG2116" s="20"/>
      <c r="AQ2116" s="19"/>
      <c r="AR2116" s="19"/>
      <c r="AS2116" s="19"/>
      <c r="AT2116" s="19"/>
      <c r="AU2116" s="19"/>
    </row>
    <row r="2117" spans="3:47">
      <c r="C2117" s="20"/>
      <c r="Z2117" s="20"/>
      <c r="AG2117" s="20"/>
      <c r="AQ2117" s="19"/>
      <c r="AR2117" s="19"/>
      <c r="AS2117" s="19"/>
      <c r="AT2117" s="19"/>
      <c r="AU2117" s="19"/>
    </row>
    <row r="2118" spans="3:47">
      <c r="C2118" s="20"/>
      <c r="Z2118" s="20"/>
      <c r="AG2118" s="20"/>
      <c r="AQ2118" s="19"/>
      <c r="AR2118" s="19"/>
      <c r="AS2118" s="19"/>
      <c r="AT2118" s="19"/>
      <c r="AU2118" s="19"/>
    </row>
    <row r="2119" spans="3:47">
      <c r="C2119" s="20"/>
      <c r="Z2119" s="20"/>
      <c r="AG2119" s="20"/>
      <c r="AQ2119" s="19"/>
      <c r="AR2119" s="19"/>
      <c r="AS2119" s="19"/>
      <c r="AT2119" s="19"/>
      <c r="AU2119" s="19"/>
    </row>
    <row r="2120" spans="3:47">
      <c r="C2120" s="20"/>
      <c r="Z2120" s="20"/>
      <c r="AG2120" s="20"/>
      <c r="AQ2120" s="19"/>
      <c r="AR2120" s="19"/>
      <c r="AS2120" s="19"/>
      <c r="AT2120" s="19"/>
      <c r="AU2120" s="19"/>
    </row>
    <row r="2121" spans="3:47">
      <c r="C2121" s="20"/>
      <c r="Z2121" s="20"/>
      <c r="AG2121" s="20"/>
      <c r="AQ2121" s="19"/>
      <c r="AR2121" s="19"/>
      <c r="AS2121" s="19"/>
      <c r="AT2121" s="19"/>
      <c r="AU2121" s="19"/>
    </row>
    <row r="2122" spans="3:47">
      <c r="C2122" s="20"/>
      <c r="Z2122" s="20"/>
      <c r="AG2122" s="20"/>
      <c r="AQ2122" s="19"/>
      <c r="AR2122" s="19"/>
      <c r="AS2122" s="19"/>
      <c r="AT2122" s="19"/>
      <c r="AU2122" s="19"/>
    </row>
    <row r="2123" spans="3:47">
      <c r="C2123" s="20"/>
      <c r="Z2123" s="20"/>
      <c r="AG2123" s="20"/>
      <c r="AQ2123" s="19"/>
      <c r="AR2123" s="19"/>
      <c r="AS2123" s="19"/>
      <c r="AT2123" s="19"/>
      <c r="AU2123" s="19"/>
    </row>
    <row r="2124" spans="3:47">
      <c r="C2124" s="20"/>
      <c r="Z2124" s="20"/>
      <c r="AG2124" s="20"/>
      <c r="AQ2124" s="19"/>
      <c r="AR2124" s="19"/>
      <c r="AS2124" s="19"/>
      <c r="AT2124" s="19"/>
      <c r="AU2124" s="19"/>
    </row>
    <row r="2125" spans="3:47">
      <c r="C2125" s="20"/>
      <c r="Z2125" s="20"/>
      <c r="AG2125" s="20"/>
      <c r="AQ2125" s="19"/>
      <c r="AR2125" s="19"/>
      <c r="AS2125" s="19"/>
      <c r="AT2125" s="19"/>
      <c r="AU2125" s="19"/>
    </row>
    <row r="2126" spans="3:47">
      <c r="C2126" s="20"/>
      <c r="Z2126" s="20"/>
      <c r="AG2126" s="20"/>
      <c r="AQ2126" s="19"/>
      <c r="AR2126" s="19"/>
      <c r="AS2126" s="19"/>
      <c r="AT2126" s="19"/>
      <c r="AU2126" s="19"/>
    </row>
    <row r="2127" spans="3:47">
      <c r="C2127" s="20"/>
      <c r="Z2127" s="20"/>
      <c r="AG2127" s="20"/>
      <c r="AQ2127" s="19"/>
      <c r="AR2127" s="19"/>
      <c r="AS2127" s="19"/>
      <c r="AT2127" s="19"/>
      <c r="AU2127" s="19"/>
    </row>
    <row r="2128" spans="3:47">
      <c r="C2128" s="20"/>
      <c r="Z2128" s="20"/>
      <c r="AG2128" s="20"/>
      <c r="AQ2128" s="19"/>
      <c r="AR2128" s="19"/>
      <c r="AS2128" s="19"/>
      <c r="AT2128" s="19"/>
      <c r="AU2128" s="19"/>
    </row>
    <row r="2129" spans="3:47">
      <c r="C2129" s="20"/>
      <c r="Z2129" s="20"/>
      <c r="AG2129" s="20"/>
      <c r="AQ2129" s="19"/>
      <c r="AR2129" s="19"/>
      <c r="AS2129" s="19"/>
      <c r="AT2129" s="19"/>
      <c r="AU2129" s="19"/>
    </row>
    <row r="2130" spans="3:47">
      <c r="C2130" s="20"/>
      <c r="Z2130" s="20"/>
      <c r="AG2130" s="20"/>
      <c r="AQ2130" s="19"/>
      <c r="AR2130" s="19"/>
      <c r="AS2130" s="19"/>
      <c r="AT2130" s="19"/>
      <c r="AU2130" s="19"/>
    </row>
    <row r="2131" spans="3:47">
      <c r="C2131" s="20"/>
      <c r="Z2131" s="20"/>
      <c r="AG2131" s="20"/>
      <c r="AQ2131" s="19"/>
      <c r="AR2131" s="19"/>
      <c r="AS2131" s="19"/>
      <c r="AT2131" s="19"/>
      <c r="AU2131" s="19"/>
    </row>
    <row r="2132" spans="3:47">
      <c r="C2132" s="20"/>
      <c r="Z2132" s="20"/>
      <c r="AG2132" s="20"/>
      <c r="AQ2132" s="19"/>
      <c r="AR2132" s="19"/>
      <c r="AS2132" s="19"/>
      <c r="AT2132" s="19"/>
      <c r="AU2132" s="19"/>
    </row>
    <row r="2133" spans="3:47">
      <c r="C2133" s="20"/>
      <c r="Z2133" s="20"/>
      <c r="AG2133" s="20"/>
      <c r="AQ2133" s="19"/>
      <c r="AR2133" s="19"/>
      <c r="AS2133" s="19"/>
      <c r="AT2133" s="19"/>
      <c r="AU2133" s="19"/>
    </row>
    <row r="2134" spans="3:47">
      <c r="C2134" s="20"/>
      <c r="Z2134" s="20"/>
      <c r="AG2134" s="20"/>
      <c r="AQ2134" s="19"/>
      <c r="AR2134" s="19"/>
      <c r="AS2134" s="19"/>
      <c r="AT2134" s="19"/>
      <c r="AU2134" s="19"/>
    </row>
    <row r="2135" spans="3:47">
      <c r="C2135" s="20"/>
      <c r="Z2135" s="20"/>
      <c r="AG2135" s="20"/>
      <c r="AQ2135" s="19"/>
      <c r="AR2135" s="19"/>
      <c r="AS2135" s="19"/>
      <c r="AT2135" s="19"/>
      <c r="AU2135" s="19"/>
    </row>
    <row r="2136" spans="3:47">
      <c r="C2136" s="20"/>
      <c r="Z2136" s="20"/>
      <c r="AG2136" s="20"/>
      <c r="AQ2136" s="19"/>
      <c r="AR2136" s="19"/>
      <c r="AS2136" s="19"/>
      <c r="AT2136" s="19"/>
      <c r="AU2136" s="19"/>
    </row>
    <row r="2137" spans="3:47">
      <c r="C2137" s="20"/>
      <c r="Z2137" s="20"/>
      <c r="AG2137" s="20"/>
      <c r="AQ2137" s="19"/>
      <c r="AR2137" s="19"/>
      <c r="AS2137" s="19"/>
      <c r="AT2137" s="19"/>
      <c r="AU2137" s="19"/>
    </row>
    <row r="2138" spans="3:47">
      <c r="C2138" s="20"/>
      <c r="Z2138" s="20"/>
      <c r="AG2138" s="20"/>
      <c r="AQ2138" s="19"/>
      <c r="AR2138" s="19"/>
      <c r="AS2138" s="19"/>
      <c r="AT2138" s="19"/>
      <c r="AU2138" s="19"/>
    </row>
    <row r="2139" spans="3:47">
      <c r="C2139" s="20"/>
      <c r="Z2139" s="20"/>
      <c r="AG2139" s="20"/>
      <c r="AQ2139" s="19"/>
      <c r="AR2139" s="19"/>
      <c r="AS2139" s="19"/>
      <c r="AT2139" s="19"/>
      <c r="AU2139" s="19"/>
    </row>
    <row r="2140" spans="3:47">
      <c r="C2140" s="20"/>
      <c r="Z2140" s="20"/>
      <c r="AG2140" s="20"/>
      <c r="AQ2140" s="19"/>
      <c r="AR2140" s="19"/>
      <c r="AS2140" s="19"/>
      <c r="AT2140" s="19"/>
      <c r="AU2140" s="19"/>
    </row>
    <row r="2141" spans="3:47">
      <c r="C2141" s="20"/>
      <c r="Z2141" s="20"/>
      <c r="AG2141" s="20"/>
      <c r="AQ2141" s="19"/>
      <c r="AR2141" s="19"/>
      <c r="AS2141" s="19"/>
      <c r="AT2141" s="19"/>
      <c r="AU2141" s="19"/>
    </row>
    <row r="2142" spans="3:47">
      <c r="C2142" s="20"/>
      <c r="Z2142" s="20"/>
      <c r="AG2142" s="20"/>
      <c r="AQ2142" s="19"/>
      <c r="AR2142" s="19"/>
      <c r="AS2142" s="19"/>
      <c r="AT2142" s="19"/>
      <c r="AU2142" s="19"/>
    </row>
    <row r="2143" spans="3:47">
      <c r="C2143" s="20"/>
      <c r="Z2143" s="20"/>
      <c r="AG2143" s="20"/>
      <c r="AQ2143" s="19"/>
      <c r="AR2143" s="19"/>
      <c r="AS2143" s="19"/>
      <c r="AT2143" s="19"/>
      <c r="AU2143" s="19"/>
    </row>
    <row r="2144" spans="3:47">
      <c r="C2144" s="20"/>
      <c r="Z2144" s="20"/>
      <c r="AG2144" s="20"/>
      <c r="AQ2144" s="19"/>
      <c r="AR2144" s="19"/>
      <c r="AS2144" s="19"/>
      <c r="AT2144" s="19"/>
      <c r="AU2144" s="19"/>
    </row>
    <row r="2145" spans="3:47">
      <c r="C2145" s="20"/>
      <c r="Z2145" s="20"/>
      <c r="AG2145" s="20"/>
      <c r="AQ2145" s="19"/>
      <c r="AR2145" s="19"/>
      <c r="AS2145" s="19"/>
      <c r="AT2145" s="19"/>
      <c r="AU2145" s="19"/>
    </row>
    <row r="2146" spans="3:47">
      <c r="C2146" s="20"/>
      <c r="Z2146" s="20"/>
      <c r="AG2146" s="20"/>
      <c r="AQ2146" s="19"/>
      <c r="AR2146" s="19"/>
      <c r="AS2146" s="19"/>
      <c r="AT2146" s="19"/>
      <c r="AU2146" s="19"/>
    </row>
    <row r="2147" spans="3:47">
      <c r="C2147" s="20"/>
      <c r="Z2147" s="20"/>
      <c r="AG2147" s="20"/>
      <c r="AQ2147" s="19"/>
      <c r="AR2147" s="19"/>
      <c r="AS2147" s="19"/>
      <c r="AT2147" s="19"/>
      <c r="AU2147" s="19"/>
    </row>
    <row r="2148" spans="3:47">
      <c r="C2148" s="20"/>
      <c r="Z2148" s="20"/>
      <c r="AG2148" s="20"/>
      <c r="AQ2148" s="19"/>
      <c r="AR2148" s="19"/>
      <c r="AS2148" s="19"/>
      <c r="AT2148" s="19"/>
      <c r="AU2148" s="19"/>
    </row>
    <row r="2149" spans="3:47">
      <c r="C2149" s="20"/>
      <c r="Z2149" s="20"/>
      <c r="AG2149" s="20"/>
      <c r="AQ2149" s="19"/>
      <c r="AR2149" s="19"/>
      <c r="AS2149" s="19"/>
      <c r="AT2149" s="19"/>
      <c r="AU2149" s="19"/>
    </row>
    <row r="2150" spans="3:47">
      <c r="C2150" s="20"/>
      <c r="Z2150" s="20"/>
      <c r="AG2150" s="20"/>
      <c r="AQ2150" s="19"/>
      <c r="AR2150" s="19"/>
      <c r="AS2150" s="19"/>
      <c r="AT2150" s="19"/>
      <c r="AU2150" s="19"/>
    </row>
    <row r="2151" spans="3:47">
      <c r="C2151" s="20"/>
      <c r="Z2151" s="20"/>
      <c r="AG2151" s="20"/>
      <c r="AQ2151" s="19"/>
      <c r="AR2151" s="19"/>
      <c r="AS2151" s="19"/>
      <c r="AT2151" s="19"/>
      <c r="AU2151" s="19"/>
    </row>
    <row r="2152" spans="3:47">
      <c r="C2152" s="20"/>
      <c r="Z2152" s="20"/>
      <c r="AG2152" s="20"/>
      <c r="AQ2152" s="19"/>
      <c r="AR2152" s="19"/>
      <c r="AS2152" s="19"/>
      <c r="AT2152" s="19"/>
      <c r="AU2152" s="19"/>
    </row>
    <row r="2153" spans="3:47">
      <c r="C2153" s="20"/>
      <c r="Z2153" s="20"/>
      <c r="AG2153" s="20"/>
      <c r="AQ2153" s="19"/>
      <c r="AR2153" s="19"/>
      <c r="AS2153" s="19"/>
      <c r="AT2153" s="19"/>
      <c r="AU2153" s="19"/>
    </row>
    <row r="2154" spans="3:47">
      <c r="C2154" s="20"/>
      <c r="Z2154" s="20"/>
      <c r="AG2154" s="20"/>
      <c r="AQ2154" s="19"/>
      <c r="AR2154" s="19"/>
      <c r="AS2154" s="19"/>
      <c r="AT2154" s="19"/>
      <c r="AU2154" s="19"/>
    </row>
    <row r="2155" spans="3:47">
      <c r="C2155" s="20"/>
      <c r="Z2155" s="20"/>
      <c r="AG2155" s="20"/>
      <c r="AQ2155" s="19"/>
      <c r="AR2155" s="19"/>
      <c r="AS2155" s="19"/>
      <c r="AT2155" s="19"/>
      <c r="AU2155" s="19"/>
    </row>
    <row r="2156" spans="3:47">
      <c r="C2156" s="20"/>
      <c r="Z2156" s="20"/>
      <c r="AG2156" s="20"/>
      <c r="AQ2156" s="19"/>
      <c r="AR2156" s="19"/>
      <c r="AS2156" s="19"/>
      <c r="AT2156" s="19"/>
      <c r="AU2156" s="19"/>
    </row>
    <row r="2157" spans="3:47">
      <c r="C2157" s="20"/>
      <c r="Z2157" s="20"/>
      <c r="AG2157" s="20"/>
      <c r="AQ2157" s="19"/>
      <c r="AR2157" s="19"/>
      <c r="AS2157" s="19"/>
      <c r="AT2157" s="19"/>
      <c r="AU2157" s="19"/>
    </row>
    <row r="2158" spans="3:47">
      <c r="C2158" s="20"/>
      <c r="Z2158" s="20"/>
      <c r="AG2158" s="20"/>
      <c r="AQ2158" s="19"/>
      <c r="AR2158" s="19"/>
      <c r="AS2158" s="19"/>
      <c r="AT2158" s="19"/>
      <c r="AU2158" s="19"/>
    </row>
    <row r="2159" spans="3:47">
      <c r="C2159" s="20"/>
      <c r="Z2159" s="20"/>
      <c r="AG2159" s="20"/>
      <c r="AQ2159" s="19"/>
      <c r="AR2159" s="19"/>
      <c r="AS2159" s="19"/>
      <c r="AT2159" s="19"/>
      <c r="AU2159" s="19"/>
    </row>
    <row r="2160" spans="3:47">
      <c r="C2160" s="20"/>
      <c r="Z2160" s="20"/>
      <c r="AG2160" s="20"/>
      <c r="AQ2160" s="19"/>
      <c r="AR2160" s="19"/>
      <c r="AS2160" s="19"/>
      <c r="AT2160" s="19"/>
      <c r="AU2160" s="19"/>
    </row>
    <row r="2161" spans="3:47">
      <c r="C2161" s="20"/>
      <c r="Z2161" s="20"/>
      <c r="AG2161" s="20"/>
      <c r="AQ2161" s="19"/>
      <c r="AR2161" s="19"/>
      <c r="AS2161" s="19"/>
      <c r="AT2161" s="19"/>
      <c r="AU2161" s="19"/>
    </row>
    <row r="2162" spans="3:47">
      <c r="C2162" s="20"/>
      <c r="Z2162" s="20"/>
      <c r="AG2162" s="20"/>
      <c r="AQ2162" s="19"/>
      <c r="AR2162" s="19"/>
      <c r="AS2162" s="19"/>
      <c r="AT2162" s="19"/>
      <c r="AU2162" s="19"/>
    </row>
    <row r="2163" spans="3:47">
      <c r="C2163" s="20"/>
      <c r="Z2163" s="20"/>
      <c r="AG2163" s="20"/>
      <c r="AQ2163" s="19"/>
      <c r="AR2163" s="19"/>
      <c r="AS2163" s="19"/>
      <c r="AT2163" s="19"/>
      <c r="AU2163" s="19"/>
    </row>
    <row r="2164" spans="3:47">
      <c r="C2164" s="20"/>
      <c r="Z2164" s="20"/>
      <c r="AG2164" s="20"/>
      <c r="AQ2164" s="19"/>
      <c r="AR2164" s="19"/>
      <c r="AS2164" s="19"/>
      <c r="AT2164" s="19"/>
      <c r="AU2164" s="19"/>
    </row>
    <row r="2165" spans="3:47">
      <c r="C2165" s="20"/>
      <c r="Z2165" s="20"/>
      <c r="AG2165" s="20"/>
      <c r="AQ2165" s="19"/>
      <c r="AR2165" s="19"/>
      <c r="AS2165" s="19"/>
      <c r="AT2165" s="19"/>
      <c r="AU2165" s="19"/>
    </row>
    <row r="2166" spans="3:47">
      <c r="C2166" s="20"/>
      <c r="Z2166" s="20"/>
      <c r="AG2166" s="20"/>
      <c r="AQ2166" s="19"/>
      <c r="AR2166" s="19"/>
      <c r="AS2166" s="19"/>
      <c r="AT2166" s="19"/>
      <c r="AU2166" s="19"/>
    </row>
    <row r="2167" spans="3:47">
      <c r="C2167" s="20"/>
      <c r="Z2167" s="20"/>
      <c r="AG2167" s="20"/>
      <c r="AQ2167" s="19"/>
      <c r="AR2167" s="19"/>
      <c r="AS2167" s="19"/>
      <c r="AT2167" s="19"/>
      <c r="AU2167" s="19"/>
    </row>
    <row r="2168" spans="3:47">
      <c r="C2168" s="20"/>
      <c r="Z2168" s="20"/>
      <c r="AG2168" s="20"/>
      <c r="AQ2168" s="19"/>
      <c r="AR2168" s="19"/>
      <c r="AS2168" s="19"/>
      <c r="AT2168" s="19"/>
      <c r="AU2168" s="19"/>
    </row>
    <row r="2169" spans="3:47">
      <c r="C2169" s="20"/>
      <c r="Z2169" s="20"/>
      <c r="AG2169" s="20"/>
      <c r="AQ2169" s="19"/>
      <c r="AR2169" s="19"/>
      <c r="AS2169" s="19"/>
      <c r="AT2169" s="19"/>
      <c r="AU2169" s="19"/>
    </row>
    <row r="2170" spans="3:47">
      <c r="C2170" s="20"/>
      <c r="Z2170" s="20"/>
      <c r="AG2170" s="20"/>
      <c r="AQ2170" s="19"/>
      <c r="AR2170" s="19"/>
      <c r="AS2170" s="19"/>
      <c r="AT2170" s="19"/>
      <c r="AU2170" s="19"/>
    </row>
    <row r="2171" spans="3:47">
      <c r="C2171" s="20"/>
      <c r="Z2171" s="20"/>
      <c r="AG2171" s="20"/>
      <c r="AQ2171" s="19"/>
      <c r="AR2171" s="19"/>
      <c r="AS2171" s="19"/>
      <c r="AT2171" s="19"/>
      <c r="AU2171" s="19"/>
    </row>
    <row r="2172" spans="3:47">
      <c r="C2172" s="20"/>
      <c r="Z2172" s="20"/>
      <c r="AG2172" s="20"/>
      <c r="AQ2172" s="19"/>
      <c r="AR2172" s="19"/>
      <c r="AS2172" s="19"/>
      <c r="AT2172" s="19"/>
      <c r="AU2172" s="19"/>
    </row>
    <row r="2173" spans="3:47">
      <c r="C2173" s="20"/>
      <c r="Z2173" s="20"/>
      <c r="AG2173" s="20"/>
      <c r="AQ2173" s="19"/>
      <c r="AR2173" s="19"/>
      <c r="AS2173" s="19"/>
      <c r="AT2173" s="19"/>
      <c r="AU2173" s="19"/>
    </row>
    <row r="2174" spans="3:47">
      <c r="C2174" s="20"/>
      <c r="Z2174" s="20"/>
      <c r="AG2174" s="20"/>
      <c r="AQ2174" s="19"/>
      <c r="AR2174" s="19"/>
      <c r="AS2174" s="19"/>
      <c r="AT2174" s="19"/>
      <c r="AU2174" s="19"/>
    </row>
    <row r="2175" spans="3:47">
      <c r="C2175" s="20"/>
      <c r="Z2175" s="20"/>
      <c r="AG2175" s="20"/>
      <c r="AQ2175" s="19"/>
      <c r="AR2175" s="19"/>
      <c r="AS2175" s="19"/>
      <c r="AT2175" s="19"/>
      <c r="AU2175" s="19"/>
    </row>
    <row r="2176" spans="3:47">
      <c r="C2176" s="20"/>
      <c r="Z2176" s="20"/>
      <c r="AG2176" s="20"/>
      <c r="AQ2176" s="19"/>
      <c r="AR2176" s="19"/>
      <c r="AS2176" s="19"/>
      <c r="AT2176" s="19"/>
      <c r="AU2176" s="19"/>
    </row>
    <row r="2177" spans="3:47">
      <c r="C2177" s="20"/>
      <c r="Z2177" s="20"/>
      <c r="AG2177" s="20"/>
      <c r="AQ2177" s="19"/>
      <c r="AR2177" s="19"/>
      <c r="AS2177" s="19"/>
      <c r="AT2177" s="19"/>
      <c r="AU2177" s="19"/>
    </row>
    <row r="2178" spans="3:47">
      <c r="C2178" s="20"/>
      <c r="Z2178" s="20"/>
      <c r="AG2178" s="20"/>
      <c r="AQ2178" s="19"/>
      <c r="AR2178" s="19"/>
      <c r="AS2178" s="19"/>
      <c r="AT2178" s="19"/>
      <c r="AU2178" s="19"/>
    </row>
    <row r="2179" spans="3:47">
      <c r="C2179" s="20"/>
      <c r="Z2179" s="20"/>
      <c r="AG2179" s="20"/>
      <c r="AQ2179" s="19"/>
      <c r="AR2179" s="19"/>
      <c r="AS2179" s="19"/>
      <c r="AT2179" s="19"/>
      <c r="AU2179" s="19"/>
    </row>
    <row r="2180" spans="3:47">
      <c r="C2180" s="20"/>
      <c r="Z2180" s="20"/>
      <c r="AG2180" s="20"/>
      <c r="AQ2180" s="19"/>
      <c r="AR2180" s="19"/>
      <c r="AS2180" s="19"/>
      <c r="AT2180" s="19"/>
      <c r="AU2180" s="19"/>
    </row>
    <row r="2181" spans="3:47">
      <c r="C2181" s="20"/>
      <c r="Z2181" s="20"/>
      <c r="AG2181" s="20"/>
      <c r="AQ2181" s="19"/>
      <c r="AR2181" s="19"/>
      <c r="AS2181" s="19"/>
      <c r="AT2181" s="19"/>
      <c r="AU2181" s="19"/>
    </row>
    <row r="2182" spans="3:47">
      <c r="C2182" s="20"/>
      <c r="Z2182" s="20"/>
      <c r="AG2182" s="20"/>
      <c r="AQ2182" s="19"/>
      <c r="AR2182" s="19"/>
      <c r="AS2182" s="19"/>
      <c r="AT2182" s="19"/>
      <c r="AU2182" s="19"/>
    </row>
    <row r="2183" spans="3:47">
      <c r="C2183" s="20"/>
      <c r="Z2183" s="20"/>
      <c r="AG2183" s="20"/>
      <c r="AQ2183" s="19"/>
      <c r="AR2183" s="19"/>
      <c r="AS2183" s="19"/>
      <c r="AT2183" s="19"/>
      <c r="AU2183" s="19"/>
    </row>
    <row r="2184" spans="3:47">
      <c r="C2184" s="20"/>
      <c r="Z2184" s="20"/>
      <c r="AG2184" s="20"/>
      <c r="AQ2184" s="19"/>
      <c r="AR2184" s="19"/>
      <c r="AS2184" s="19"/>
      <c r="AT2184" s="19"/>
      <c r="AU2184" s="19"/>
    </row>
    <row r="2185" spans="3:47">
      <c r="C2185" s="20"/>
      <c r="Z2185" s="20"/>
      <c r="AG2185" s="20"/>
      <c r="AQ2185" s="19"/>
      <c r="AR2185" s="19"/>
      <c r="AS2185" s="19"/>
      <c r="AT2185" s="19"/>
      <c r="AU2185" s="19"/>
    </row>
    <row r="2186" spans="3:47">
      <c r="C2186" s="20"/>
      <c r="Z2186" s="20"/>
      <c r="AG2186" s="20"/>
      <c r="AQ2186" s="19"/>
      <c r="AR2186" s="19"/>
      <c r="AS2186" s="19"/>
      <c r="AT2186" s="19"/>
      <c r="AU2186" s="19"/>
    </row>
    <row r="2187" spans="3:47">
      <c r="C2187" s="20"/>
      <c r="Z2187" s="20"/>
      <c r="AG2187" s="20"/>
      <c r="AQ2187" s="19"/>
      <c r="AR2187" s="19"/>
      <c r="AS2187" s="19"/>
      <c r="AT2187" s="19"/>
      <c r="AU2187" s="19"/>
    </row>
    <row r="2188" spans="3:47">
      <c r="C2188" s="20"/>
      <c r="Z2188" s="20"/>
      <c r="AG2188" s="20"/>
      <c r="AQ2188" s="19"/>
      <c r="AR2188" s="19"/>
      <c r="AS2188" s="19"/>
      <c r="AT2188" s="19"/>
      <c r="AU2188" s="19"/>
    </row>
    <row r="2189" spans="3:47">
      <c r="C2189" s="20"/>
      <c r="Z2189" s="20"/>
      <c r="AG2189" s="20"/>
      <c r="AQ2189" s="19"/>
      <c r="AR2189" s="19"/>
      <c r="AS2189" s="19"/>
      <c r="AT2189" s="19"/>
      <c r="AU2189" s="19"/>
    </row>
    <row r="2190" spans="3:47">
      <c r="C2190" s="20"/>
      <c r="Z2190" s="20"/>
      <c r="AG2190" s="20"/>
      <c r="AQ2190" s="19"/>
      <c r="AR2190" s="19"/>
      <c r="AS2190" s="19"/>
      <c r="AT2190" s="19"/>
      <c r="AU2190" s="19"/>
    </row>
    <row r="2191" spans="3:47">
      <c r="C2191" s="20"/>
      <c r="Z2191" s="20"/>
      <c r="AG2191" s="20"/>
      <c r="AQ2191" s="19"/>
      <c r="AR2191" s="19"/>
      <c r="AS2191" s="19"/>
      <c r="AT2191" s="19"/>
      <c r="AU2191" s="19"/>
    </row>
    <row r="2192" spans="3:47">
      <c r="C2192" s="20"/>
      <c r="Z2192" s="20"/>
      <c r="AG2192" s="20"/>
      <c r="AQ2192" s="19"/>
      <c r="AR2192" s="19"/>
      <c r="AS2192" s="19"/>
      <c r="AT2192" s="19"/>
      <c r="AU2192" s="19"/>
    </row>
    <row r="2193" spans="3:47">
      <c r="C2193" s="20"/>
      <c r="Z2193" s="20"/>
      <c r="AG2193" s="20"/>
      <c r="AQ2193" s="19"/>
      <c r="AR2193" s="19"/>
      <c r="AS2193" s="19"/>
      <c r="AT2193" s="19"/>
      <c r="AU2193" s="19"/>
    </row>
    <row r="2194" spans="3:47">
      <c r="C2194" s="20"/>
      <c r="Z2194" s="20"/>
      <c r="AG2194" s="20"/>
      <c r="AQ2194" s="19"/>
      <c r="AR2194" s="19"/>
      <c r="AS2194" s="19"/>
      <c r="AT2194" s="19"/>
      <c r="AU2194" s="19"/>
    </row>
    <row r="2195" spans="3:47">
      <c r="C2195" s="20"/>
      <c r="Z2195" s="20"/>
      <c r="AG2195" s="20"/>
      <c r="AQ2195" s="19"/>
      <c r="AR2195" s="19"/>
      <c r="AS2195" s="19"/>
      <c r="AT2195" s="19"/>
      <c r="AU2195" s="19"/>
    </row>
    <row r="2196" spans="3:47">
      <c r="C2196" s="20"/>
      <c r="Z2196" s="20"/>
      <c r="AG2196" s="20"/>
      <c r="AQ2196" s="19"/>
      <c r="AR2196" s="19"/>
      <c r="AS2196" s="19"/>
      <c r="AT2196" s="19"/>
      <c r="AU2196" s="19"/>
    </row>
    <row r="2197" spans="3:47">
      <c r="C2197" s="20"/>
      <c r="Z2197" s="20"/>
      <c r="AG2197" s="20"/>
      <c r="AQ2197" s="19"/>
      <c r="AR2197" s="19"/>
      <c r="AS2197" s="19"/>
      <c r="AT2197" s="19"/>
      <c r="AU2197" s="19"/>
    </row>
    <row r="2198" spans="3:47">
      <c r="C2198" s="20"/>
      <c r="Z2198" s="20"/>
      <c r="AG2198" s="20"/>
      <c r="AQ2198" s="19"/>
      <c r="AR2198" s="19"/>
      <c r="AS2198" s="19"/>
      <c r="AT2198" s="19"/>
      <c r="AU2198" s="19"/>
    </row>
    <row r="2199" spans="3:47">
      <c r="C2199" s="20"/>
      <c r="Z2199" s="20"/>
      <c r="AG2199" s="20"/>
      <c r="AQ2199" s="19"/>
      <c r="AR2199" s="19"/>
      <c r="AS2199" s="19"/>
      <c r="AT2199" s="19"/>
      <c r="AU2199" s="19"/>
    </row>
    <row r="2200" spans="3:47">
      <c r="C2200" s="20"/>
      <c r="Z2200" s="20"/>
      <c r="AG2200" s="20"/>
      <c r="AQ2200" s="19"/>
      <c r="AR2200" s="19"/>
      <c r="AS2200" s="19"/>
      <c r="AT2200" s="19"/>
      <c r="AU2200" s="19"/>
    </row>
    <row r="2201" spans="3:47">
      <c r="C2201" s="20"/>
      <c r="Z2201" s="20"/>
      <c r="AG2201" s="20"/>
      <c r="AQ2201" s="19"/>
      <c r="AR2201" s="19"/>
      <c r="AS2201" s="19"/>
      <c r="AT2201" s="19"/>
      <c r="AU2201" s="19"/>
    </row>
    <row r="2202" spans="3:47">
      <c r="C2202" s="20"/>
      <c r="Z2202" s="20"/>
      <c r="AG2202" s="20"/>
      <c r="AQ2202" s="19"/>
      <c r="AR2202" s="19"/>
      <c r="AS2202" s="19"/>
      <c r="AT2202" s="19"/>
      <c r="AU2202" s="19"/>
    </row>
    <row r="2203" spans="3:47">
      <c r="C2203" s="20"/>
      <c r="Z2203" s="20"/>
      <c r="AG2203" s="20"/>
      <c r="AQ2203" s="19"/>
      <c r="AR2203" s="19"/>
      <c r="AS2203" s="19"/>
      <c r="AT2203" s="19"/>
      <c r="AU2203" s="19"/>
    </row>
    <row r="2204" spans="3:47">
      <c r="C2204" s="20"/>
      <c r="Z2204" s="20"/>
      <c r="AG2204" s="20"/>
      <c r="AQ2204" s="19"/>
      <c r="AR2204" s="19"/>
      <c r="AS2204" s="19"/>
      <c r="AT2204" s="19"/>
      <c r="AU2204" s="19"/>
    </row>
    <row r="2205" spans="3:47">
      <c r="C2205" s="20"/>
      <c r="Z2205" s="20"/>
      <c r="AG2205" s="20"/>
      <c r="AQ2205" s="19"/>
      <c r="AR2205" s="19"/>
      <c r="AS2205" s="19"/>
      <c r="AT2205" s="19"/>
      <c r="AU2205" s="19"/>
    </row>
    <row r="2206" spans="3:47">
      <c r="C2206" s="20"/>
      <c r="Z2206" s="20"/>
      <c r="AG2206" s="20"/>
      <c r="AQ2206" s="19"/>
      <c r="AR2206" s="19"/>
      <c r="AS2206" s="19"/>
      <c r="AT2206" s="19"/>
      <c r="AU2206" s="19"/>
    </row>
    <row r="2207" spans="3:47">
      <c r="C2207" s="20"/>
      <c r="Z2207" s="20"/>
      <c r="AG2207" s="20"/>
      <c r="AQ2207" s="19"/>
      <c r="AR2207" s="19"/>
      <c r="AS2207" s="19"/>
      <c r="AT2207" s="19"/>
      <c r="AU2207" s="19"/>
    </row>
    <row r="2208" spans="3:47">
      <c r="C2208" s="20"/>
      <c r="Z2208" s="20"/>
      <c r="AG2208" s="20"/>
      <c r="AQ2208" s="19"/>
      <c r="AR2208" s="19"/>
      <c r="AS2208" s="19"/>
      <c r="AT2208" s="19"/>
      <c r="AU2208" s="19"/>
    </row>
    <row r="2209" spans="3:47">
      <c r="C2209" s="20"/>
      <c r="Z2209" s="20"/>
      <c r="AG2209" s="20"/>
      <c r="AQ2209" s="19"/>
      <c r="AR2209" s="19"/>
      <c r="AS2209" s="19"/>
      <c r="AT2209" s="19"/>
      <c r="AU2209" s="19"/>
    </row>
    <row r="2210" spans="3:47">
      <c r="C2210" s="20"/>
      <c r="Z2210" s="20"/>
      <c r="AG2210" s="20"/>
      <c r="AQ2210" s="19"/>
      <c r="AR2210" s="19"/>
      <c r="AS2210" s="19"/>
      <c r="AT2210" s="19"/>
      <c r="AU2210" s="19"/>
    </row>
    <row r="2211" spans="3:47">
      <c r="C2211" s="20"/>
      <c r="Z2211" s="20"/>
      <c r="AG2211" s="20"/>
      <c r="AQ2211" s="19"/>
      <c r="AR2211" s="19"/>
      <c r="AS2211" s="19"/>
      <c r="AT2211" s="19"/>
      <c r="AU2211" s="19"/>
    </row>
    <row r="2212" spans="3:47">
      <c r="C2212" s="20"/>
      <c r="Z2212" s="20"/>
      <c r="AG2212" s="20"/>
      <c r="AQ2212" s="19"/>
      <c r="AR2212" s="19"/>
      <c r="AS2212" s="19"/>
      <c r="AT2212" s="19"/>
      <c r="AU2212" s="19"/>
    </row>
    <row r="2213" spans="3:47">
      <c r="C2213" s="20"/>
      <c r="Z2213" s="20"/>
      <c r="AG2213" s="20"/>
      <c r="AQ2213" s="19"/>
      <c r="AR2213" s="19"/>
      <c r="AS2213" s="19"/>
      <c r="AT2213" s="19"/>
      <c r="AU2213" s="19"/>
    </row>
    <row r="2214" spans="3:47">
      <c r="C2214" s="20"/>
      <c r="Z2214" s="20"/>
      <c r="AG2214" s="20"/>
      <c r="AQ2214" s="19"/>
      <c r="AR2214" s="19"/>
      <c r="AS2214" s="19"/>
      <c r="AT2214" s="19"/>
      <c r="AU2214" s="19"/>
    </row>
    <row r="2215" spans="3:47">
      <c r="C2215" s="20"/>
      <c r="Z2215" s="20"/>
      <c r="AG2215" s="20"/>
      <c r="AQ2215" s="19"/>
      <c r="AR2215" s="19"/>
      <c r="AS2215" s="19"/>
      <c r="AT2215" s="19"/>
      <c r="AU2215" s="19"/>
    </row>
    <row r="2216" spans="3:47">
      <c r="C2216" s="20"/>
      <c r="Z2216" s="20"/>
      <c r="AG2216" s="20"/>
      <c r="AQ2216" s="19"/>
      <c r="AR2216" s="19"/>
      <c r="AS2216" s="19"/>
      <c r="AT2216" s="19"/>
      <c r="AU2216" s="19"/>
    </row>
    <row r="2217" spans="3:47">
      <c r="C2217" s="20"/>
      <c r="Z2217" s="20"/>
      <c r="AG2217" s="20"/>
      <c r="AQ2217" s="19"/>
      <c r="AR2217" s="19"/>
      <c r="AS2217" s="19"/>
      <c r="AT2217" s="19"/>
      <c r="AU2217" s="19"/>
    </row>
    <row r="2218" spans="3:47">
      <c r="C2218" s="20"/>
      <c r="Z2218" s="20"/>
      <c r="AG2218" s="20"/>
      <c r="AQ2218" s="19"/>
      <c r="AR2218" s="19"/>
      <c r="AS2218" s="19"/>
      <c r="AT2218" s="19"/>
      <c r="AU2218" s="19"/>
    </row>
    <row r="2219" spans="3:47">
      <c r="C2219" s="20"/>
      <c r="Z2219" s="20"/>
      <c r="AG2219" s="20"/>
      <c r="AQ2219" s="19"/>
      <c r="AR2219" s="19"/>
      <c r="AS2219" s="19"/>
      <c r="AT2219" s="19"/>
      <c r="AU2219" s="19"/>
    </row>
    <row r="2220" spans="3:47">
      <c r="C2220" s="20"/>
      <c r="Z2220" s="20"/>
      <c r="AG2220" s="20"/>
      <c r="AQ2220" s="19"/>
      <c r="AR2220" s="19"/>
      <c r="AS2220" s="19"/>
      <c r="AT2220" s="19"/>
      <c r="AU2220" s="19"/>
    </row>
    <row r="2221" spans="3:47">
      <c r="C2221" s="20"/>
      <c r="Z2221" s="20"/>
      <c r="AG2221" s="20"/>
      <c r="AQ2221" s="19"/>
      <c r="AR2221" s="19"/>
      <c r="AS2221" s="19"/>
      <c r="AT2221" s="19"/>
      <c r="AU2221" s="19"/>
    </row>
    <row r="2222" spans="3:47">
      <c r="C2222" s="20"/>
      <c r="Z2222" s="20"/>
      <c r="AG2222" s="20"/>
      <c r="AQ2222" s="19"/>
      <c r="AR2222" s="19"/>
      <c r="AS2222" s="19"/>
      <c r="AT2222" s="19"/>
      <c r="AU2222" s="19"/>
    </row>
    <row r="2223" spans="3:47">
      <c r="C2223" s="20"/>
      <c r="Z2223" s="20"/>
      <c r="AG2223" s="20"/>
      <c r="AQ2223" s="19"/>
      <c r="AR2223" s="19"/>
      <c r="AS2223" s="19"/>
      <c r="AT2223" s="19"/>
      <c r="AU2223" s="19"/>
    </row>
    <row r="2224" spans="3:47">
      <c r="C2224" s="20"/>
      <c r="Z2224" s="20"/>
      <c r="AG2224" s="20"/>
      <c r="AQ2224" s="19"/>
      <c r="AR2224" s="19"/>
      <c r="AS2224" s="19"/>
      <c r="AT2224" s="19"/>
      <c r="AU2224" s="19"/>
    </row>
    <row r="2225" spans="3:47">
      <c r="C2225" s="20"/>
      <c r="Z2225" s="20"/>
      <c r="AG2225" s="20"/>
      <c r="AQ2225" s="19"/>
      <c r="AR2225" s="19"/>
      <c r="AS2225" s="19"/>
      <c r="AT2225" s="19"/>
      <c r="AU2225" s="19"/>
    </row>
    <row r="2226" spans="3:47">
      <c r="C2226" s="20"/>
      <c r="Z2226" s="20"/>
      <c r="AG2226" s="20"/>
      <c r="AQ2226" s="19"/>
      <c r="AR2226" s="19"/>
      <c r="AS2226" s="19"/>
      <c r="AT2226" s="19"/>
      <c r="AU2226" s="19"/>
    </row>
    <row r="2227" spans="3:47">
      <c r="C2227" s="20"/>
      <c r="Z2227" s="20"/>
      <c r="AG2227" s="20"/>
      <c r="AQ2227" s="19"/>
      <c r="AR2227" s="19"/>
      <c r="AS2227" s="19"/>
      <c r="AT2227" s="19"/>
      <c r="AU2227" s="19"/>
    </row>
    <row r="2228" spans="3:47">
      <c r="C2228" s="20"/>
      <c r="Z2228" s="20"/>
      <c r="AG2228" s="20"/>
      <c r="AQ2228" s="19"/>
      <c r="AR2228" s="19"/>
      <c r="AS2228" s="19"/>
      <c r="AT2228" s="19"/>
      <c r="AU2228" s="19"/>
    </row>
    <row r="2229" spans="3:47">
      <c r="C2229" s="20"/>
      <c r="Z2229" s="20"/>
      <c r="AG2229" s="20"/>
      <c r="AQ2229" s="19"/>
      <c r="AR2229" s="19"/>
      <c r="AS2229" s="19"/>
      <c r="AT2229" s="19"/>
      <c r="AU2229" s="19"/>
    </row>
    <row r="2230" spans="3:47">
      <c r="C2230" s="20"/>
      <c r="Z2230" s="20"/>
      <c r="AG2230" s="20"/>
      <c r="AQ2230" s="19"/>
      <c r="AR2230" s="19"/>
      <c r="AS2230" s="19"/>
      <c r="AT2230" s="19"/>
      <c r="AU2230" s="19"/>
    </row>
    <row r="2231" spans="3:47">
      <c r="C2231" s="20"/>
      <c r="Z2231" s="20"/>
      <c r="AG2231" s="20"/>
      <c r="AQ2231" s="19"/>
      <c r="AR2231" s="19"/>
      <c r="AS2231" s="19"/>
      <c r="AT2231" s="19"/>
      <c r="AU2231" s="19"/>
    </row>
    <row r="2232" spans="3:47">
      <c r="C2232" s="20"/>
      <c r="Z2232" s="20"/>
      <c r="AG2232" s="20"/>
      <c r="AQ2232" s="19"/>
      <c r="AR2232" s="19"/>
      <c r="AS2232" s="19"/>
      <c r="AT2232" s="19"/>
      <c r="AU2232" s="19"/>
    </row>
    <row r="2233" spans="3:47">
      <c r="C2233" s="20"/>
      <c r="Z2233" s="20"/>
      <c r="AG2233" s="20"/>
      <c r="AQ2233" s="19"/>
      <c r="AR2233" s="19"/>
      <c r="AS2233" s="19"/>
      <c r="AT2233" s="19"/>
      <c r="AU2233" s="19"/>
    </row>
    <row r="2234" spans="3:47">
      <c r="C2234" s="20"/>
      <c r="Z2234" s="20"/>
      <c r="AG2234" s="20"/>
      <c r="AQ2234" s="19"/>
      <c r="AR2234" s="19"/>
      <c r="AS2234" s="19"/>
      <c r="AT2234" s="19"/>
      <c r="AU2234" s="19"/>
    </row>
    <row r="2235" spans="3:47">
      <c r="C2235" s="20"/>
      <c r="Z2235" s="20"/>
      <c r="AG2235" s="20"/>
      <c r="AQ2235" s="19"/>
      <c r="AR2235" s="19"/>
      <c r="AS2235" s="19"/>
      <c r="AT2235" s="19"/>
      <c r="AU2235" s="19"/>
    </row>
    <row r="2236" spans="3:47">
      <c r="C2236" s="20"/>
      <c r="Z2236" s="20"/>
      <c r="AG2236" s="20"/>
      <c r="AQ2236" s="19"/>
      <c r="AR2236" s="19"/>
      <c r="AS2236" s="19"/>
      <c r="AT2236" s="19"/>
      <c r="AU2236" s="19"/>
    </row>
    <row r="2237" spans="3:47">
      <c r="C2237" s="20"/>
      <c r="Z2237" s="20"/>
      <c r="AG2237" s="20"/>
      <c r="AQ2237" s="19"/>
      <c r="AR2237" s="19"/>
      <c r="AS2237" s="19"/>
      <c r="AT2237" s="19"/>
      <c r="AU2237" s="19"/>
    </row>
    <row r="2238" spans="3:47">
      <c r="C2238" s="20"/>
      <c r="Z2238" s="20"/>
      <c r="AG2238" s="20"/>
      <c r="AQ2238" s="19"/>
      <c r="AR2238" s="19"/>
      <c r="AS2238" s="19"/>
      <c r="AT2238" s="19"/>
      <c r="AU2238" s="19"/>
    </row>
    <row r="2239" spans="3:47">
      <c r="C2239" s="20"/>
      <c r="Z2239" s="20"/>
      <c r="AG2239" s="20"/>
      <c r="AQ2239" s="19"/>
      <c r="AR2239" s="19"/>
      <c r="AS2239" s="19"/>
      <c r="AT2239" s="19"/>
      <c r="AU2239" s="19"/>
    </row>
    <row r="2240" spans="3:47">
      <c r="C2240" s="20"/>
      <c r="Z2240" s="20"/>
      <c r="AG2240" s="20"/>
      <c r="AQ2240" s="19"/>
      <c r="AR2240" s="19"/>
      <c r="AS2240" s="19"/>
      <c r="AT2240" s="19"/>
      <c r="AU2240" s="19"/>
    </row>
    <row r="2241" spans="3:47">
      <c r="C2241" s="20"/>
      <c r="Z2241" s="20"/>
      <c r="AG2241" s="20"/>
      <c r="AQ2241" s="19"/>
      <c r="AR2241" s="19"/>
      <c r="AS2241" s="19"/>
      <c r="AT2241" s="19"/>
      <c r="AU2241" s="19"/>
    </row>
    <row r="2242" spans="3:47">
      <c r="C2242" s="20"/>
      <c r="Z2242" s="20"/>
      <c r="AG2242" s="20"/>
      <c r="AQ2242" s="19"/>
      <c r="AR2242" s="19"/>
      <c r="AS2242" s="19"/>
      <c r="AT2242" s="19"/>
      <c r="AU2242" s="19"/>
    </row>
    <row r="2243" spans="3:47">
      <c r="C2243" s="20"/>
      <c r="Z2243" s="20"/>
      <c r="AG2243" s="20"/>
      <c r="AQ2243" s="19"/>
      <c r="AR2243" s="19"/>
      <c r="AS2243" s="19"/>
      <c r="AT2243" s="19"/>
      <c r="AU2243" s="19"/>
    </row>
    <row r="2244" spans="3:47">
      <c r="C2244" s="20"/>
      <c r="Z2244" s="20"/>
      <c r="AG2244" s="20"/>
      <c r="AQ2244" s="19"/>
      <c r="AR2244" s="19"/>
      <c r="AS2244" s="19"/>
      <c r="AT2244" s="19"/>
      <c r="AU2244" s="19"/>
    </row>
    <row r="2245" spans="3:47">
      <c r="C2245" s="20"/>
      <c r="Z2245" s="20"/>
      <c r="AG2245" s="20"/>
      <c r="AQ2245" s="19"/>
      <c r="AR2245" s="19"/>
      <c r="AS2245" s="19"/>
      <c r="AT2245" s="19"/>
      <c r="AU2245" s="19"/>
    </row>
    <row r="2246" spans="3:47">
      <c r="C2246" s="20"/>
      <c r="Z2246" s="20"/>
      <c r="AG2246" s="20"/>
      <c r="AQ2246" s="19"/>
      <c r="AR2246" s="19"/>
      <c r="AS2246" s="19"/>
      <c r="AT2246" s="19"/>
      <c r="AU2246" s="19"/>
    </row>
    <row r="2247" spans="3:47">
      <c r="C2247" s="20"/>
      <c r="Z2247" s="20"/>
      <c r="AG2247" s="20"/>
      <c r="AQ2247" s="19"/>
      <c r="AR2247" s="19"/>
      <c r="AS2247" s="19"/>
      <c r="AT2247" s="19"/>
      <c r="AU2247" s="19"/>
    </row>
    <row r="2248" spans="3:47">
      <c r="C2248" s="20"/>
      <c r="Z2248" s="20"/>
      <c r="AG2248" s="20"/>
      <c r="AQ2248" s="19"/>
      <c r="AR2248" s="19"/>
      <c r="AS2248" s="19"/>
      <c r="AT2248" s="19"/>
      <c r="AU2248" s="19"/>
    </row>
    <row r="2249" spans="3:47">
      <c r="C2249" s="20"/>
      <c r="Z2249" s="20"/>
      <c r="AG2249" s="20"/>
      <c r="AQ2249" s="19"/>
      <c r="AR2249" s="19"/>
      <c r="AS2249" s="19"/>
      <c r="AT2249" s="19"/>
      <c r="AU2249" s="19"/>
    </row>
    <row r="2250" spans="3:47">
      <c r="C2250" s="20"/>
      <c r="Z2250" s="20"/>
      <c r="AG2250" s="20"/>
      <c r="AQ2250" s="19"/>
      <c r="AR2250" s="19"/>
      <c r="AS2250" s="19"/>
      <c r="AT2250" s="19"/>
      <c r="AU2250" s="19"/>
    </row>
    <row r="2251" spans="3:47">
      <c r="C2251" s="20"/>
      <c r="Z2251" s="20"/>
      <c r="AG2251" s="20"/>
      <c r="AQ2251" s="19"/>
      <c r="AR2251" s="19"/>
      <c r="AS2251" s="19"/>
      <c r="AT2251" s="19"/>
      <c r="AU2251" s="19"/>
    </row>
    <row r="2252" spans="3:47">
      <c r="C2252" s="20"/>
      <c r="Z2252" s="20"/>
      <c r="AG2252" s="20"/>
      <c r="AQ2252" s="19"/>
      <c r="AR2252" s="19"/>
      <c r="AS2252" s="19"/>
      <c r="AT2252" s="19"/>
      <c r="AU2252" s="19"/>
    </row>
    <row r="2253" spans="3:47">
      <c r="C2253" s="20"/>
      <c r="Z2253" s="20"/>
      <c r="AG2253" s="20"/>
      <c r="AQ2253" s="19"/>
      <c r="AR2253" s="19"/>
      <c r="AS2253" s="19"/>
      <c r="AT2253" s="19"/>
      <c r="AU2253" s="19"/>
    </row>
    <row r="2254" spans="3:47">
      <c r="C2254" s="20"/>
      <c r="Z2254" s="20"/>
      <c r="AG2254" s="20"/>
      <c r="AQ2254" s="19"/>
      <c r="AR2254" s="19"/>
      <c r="AS2254" s="19"/>
      <c r="AT2254" s="19"/>
      <c r="AU2254" s="19"/>
    </row>
    <row r="2255" spans="3:47">
      <c r="C2255" s="20"/>
      <c r="Z2255" s="20"/>
      <c r="AG2255" s="20"/>
      <c r="AQ2255" s="19"/>
      <c r="AR2255" s="19"/>
      <c r="AS2255" s="19"/>
      <c r="AT2255" s="19"/>
      <c r="AU2255" s="19"/>
    </row>
    <row r="2256" spans="3:47">
      <c r="C2256" s="20"/>
      <c r="Z2256" s="20"/>
      <c r="AG2256" s="20"/>
      <c r="AQ2256" s="19"/>
      <c r="AR2256" s="19"/>
      <c r="AS2256" s="19"/>
      <c r="AT2256" s="19"/>
      <c r="AU2256" s="19"/>
    </row>
    <row r="2257" spans="3:47">
      <c r="C2257" s="20"/>
      <c r="Z2257" s="20"/>
      <c r="AG2257" s="20"/>
      <c r="AQ2257" s="19"/>
      <c r="AR2257" s="19"/>
      <c r="AS2257" s="19"/>
      <c r="AT2257" s="19"/>
      <c r="AU2257" s="19"/>
    </row>
    <row r="2258" spans="3:47">
      <c r="C2258" s="20"/>
      <c r="Z2258" s="20"/>
      <c r="AG2258" s="20"/>
      <c r="AQ2258" s="19"/>
      <c r="AR2258" s="19"/>
      <c r="AS2258" s="19"/>
      <c r="AT2258" s="19"/>
      <c r="AU2258" s="19"/>
    </row>
    <row r="2259" spans="3:47">
      <c r="C2259" s="20"/>
      <c r="Z2259" s="20"/>
      <c r="AG2259" s="20"/>
      <c r="AQ2259" s="19"/>
      <c r="AR2259" s="19"/>
      <c r="AS2259" s="19"/>
      <c r="AT2259" s="19"/>
      <c r="AU2259" s="19"/>
    </row>
    <row r="2260" spans="3:47">
      <c r="C2260" s="20"/>
      <c r="Z2260" s="20"/>
      <c r="AG2260" s="20"/>
      <c r="AQ2260" s="19"/>
      <c r="AR2260" s="19"/>
      <c r="AS2260" s="19"/>
      <c r="AT2260" s="19"/>
      <c r="AU2260" s="19"/>
    </row>
    <row r="2261" spans="3:47">
      <c r="C2261" s="20"/>
      <c r="Z2261" s="20"/>
      <c r="AG2261" s="20"/>
      <c r="AQ2261" s="19"/>
      <c r="AR2261" s="19"/>
      <c r="AS2261" s="19"/>
      <c r="AT2261" s="19"/>
      <c r="AU2261" s="19"/>
    </row>
    <row r="2262" spans="3:47">
      <c r="C2262" s="20"/>
      <c r="Z2262" s="20"/>
      <c r="AG2262" s="20"/>
      <c r="AQ2262" s="19"/>
      <c r="AR2262" s="19"/>
      <c r="AS2262" s="19"/>
      <c r="AT2262" s="19"/>
      <c r="AU2262" s="19"/>
    </row>
    <row r="2263" spans="3:47">
      <c r="C2263" s="20"/>
      <c r="Z2263" s="20"/>
      <c r="AG2263" s="20"/>
      <c r="AQ2263" s="19"/>
      <c r="AR2263" s="19"/>
      <c r="AS2263" s="19"/>
      <c r="AT2263" s="19"/>
      <c r="AU2263" s="19"/>
    </row>
    <row r="2264" spans="3:47">
      <c r="C2264" s="20"/>
      <c r="Z2264" s="20"/>
      <c r="AG2264" s="20"/>
      <c r="AQ2264" s="19"/>
      <c r="AR2264" s="19"/>
      <c r="AS2264" s="19"/>
      <c r="AT2264" s="19"/>
      <c r="AU2264" s="19"/>
    </row>
    <row r="2265" spans="3:47">
      <c r="C2265" s="20"/>
      <c r="Z2265" s="20"/>
      <c r="AG2265" s="20"/>
      <c r="AQ2265" s="19"/>
      <c r="AR2265" s="19"/>
      <c r="AS2265" s="19"/>
      <c r="AT2265" s="19"/>
      <c r="AU2265" s="19"/>
    </row>
    <row r="2266" spans="3:47">
      <c r="C2266" s="20"/>
      <c r="Z2266" s="20"/>
      <c r="AG2266" s="20"/>
      <c r="AQ2266" s="19"/>
      <c r="AR2266" s="19"/>
      <c r="AS2266" s="19"/>
      <c r="AT2266" s="19"/>
      <c r="AU2266" s="19"/>
    </row>
    <row r="2267" spans="3:47">
      <c r="C2267" s="20"/>
      <c r="Z2267" s="20"/>
      <c r="AG2267" s="20"/>
      <c r="AQ2267" s="19"/>
      <c r="AR2267" s="19"/>
      <c r="AS2267" s="19"/>
      <c r="AT2267" s="19"/>
      <c r="AU2267" s="19"/>
    </row>
    <row r="2268" spans="3:47">
      <c r="C2268" s="20"/>
      <c r="Z2268" s="20"/>
      <c r="AG2268" s="20"/>
      <c r="AQ2268" s="19"/>
      <c r="AR2268" s="19"/>
      <c r="AS2268" s="19"/>
      <c r="AT2268" s="19"/>
      <c r="AU2268" s="19"/>
    </row>
    <row r="2269" spans="3:47">
      <c r="C2269" s="20"/>
      <c r="Z2269" s="20"/>
      <c r="AG2269" s="20"/>
      <c r="AQ2269" s="19"/>
      <c r="AR2269" s="19"/>
      <c r="AS2269" s="19"/>
      <c r="AT2269" s="19"/>
      <c r="AU2269" s="19"/>
    </row>
    <row r="2270" spans="3:47">
      <c r="C2270" s="20"/>
      <c r="Z2270" s="20"/>
      <c r="AG2270" s="20"/>
      <c r="AQ2270" s="19"/>
      <c r="AR2270" s="19"/>
      <c r="AS2270" s="19"/>
      <c r="AT2270" s="19"/>
      <c r="AU2270" s="19"/>
    </row>
    <row r="2271" spans="3:47">
      <c r="C2271" s="20"/>
      <c r="Z2271" s="20"/>
      <c r="AG2271" s="20"/>
      <c r="AQ2271" s="19"/>
      <c r="AR2271" s="19"/>
      <c r="AS2271" s="19"/>
      <c r="AT2271" s="19"/>
      <c r="AU2271" s="19"/>
    </row>
    <row r="2272" spans="3:47">
      <c r="C2272" s="20"/>
      <c r="Z2272" s="20"/>
      <c r="AG2272" s="20"/>
      <c r="AQ2272" s="19"/>
      <c r="AR2272" s="19"/>
      <c r="AS2272" s="19"/>
      <c r="AT2272" s="19"/>
      <c r="AU2272" s="19"/>
    </row>
    <row r="2273" spans="3:47">
      <c r="C2273" s="20"/>
      <c r="Z2273" s="20"/>
      <c r="AG2273" s="20"/>
      <c r="AQ2273" s="19"/>
      <c r="AR2273" s="19"/>
      <c r="AS2273" s="19"/>
      <c r="AT2273" s="19"/>
      <c r="AU2273" s="19"/>
    </row>
    <row r="2274" spans="3:47">
      <c r="C2274" s="20"/>
      <c r="Z2274" s="20"/>
      <c r="AG2274" s="20"/>
      <c r="AQ2274" s="19"/>
      <c r="AR2274" s="19"/>
      <c r="AS2274" s="19"/>
      <c r="AT2274" s="19"/>
      <c r="AU2274" s="19"/>
    </row>
    <row r="2275" spans="3:47">
      <c r="C2275" s="20"/>
      <c r="Z2275" s="20"/>
      <c r="AG2275" s="20"/>
      <c r="AQ2275" s="19"/>
      <c r="AR2275" s="19"/>
      <c r="AS2275" s="19"/>
      <c r="AT2275" s="19"/>
      <c r="AU2275" s="19"/>
    </row>
    <row r="2276" spans="3:47">
      <c r="C2276" s="20"/>
      <c r="Z2276" s="20"/>
      <c r="AG2276" s="20"/>
      <c r="AQ2276" s="19"/>
      <c r="AR2276" s="19"/>
      <c r="AS2276" s="19"/>
      <c r="AT2276" s="19"/>
      <c r="AU2276" s="19"/>
    </row>
    <row r="2277" spans="3:47">
      <c r="C2277" s="20"/>
      <c r="Z2277" s="20"/>
      <c r="AG2277" s="20"/>
      <c r="AQ2277" s="19"/>
      <c r="AR2277" s="19"/>
      <c r="AS2277" s="19"/>
      <c r="AT2277" s="19"/>
      <c r="AU2277" s="19"/>
    </row>
    <row r="2278" spans="3:47">
      <c r="C2278" s="20"/>
      <c r="Z2278" s="20"/>
      <c r="AG2278" s="20"/>
      <c r="AQ2278" s="19"/>
      <c r="AR2278" s="19"/>
      <c r="AS2278" s="19"/>
      <c r="AT2278" s="19"/>
      <c r="AU2278" s="19"/>
    </row>
    <row r="2279" spans="3:47">
      <c r="C2279" s="20"/>
      <c r="Z2279" s="20"/>
      <c r="AG2279" s="20"/>
      <c r="AQ2279" s="19"/>
      <c r="AR2279" s="19"/>
      <c r="AS2279" s="19"/>
      <c r="AT2279" s="19"/>
      <c r="AU2279" s="19"/>
    </row>
    <row r="2280" spans="3:47">
      <c r="C2280" s="20"/>
      <c r="Z2280" s="20"/>
      <c r="AG2280" s="20"/>
      <c r="AQ2280" s="19"/>
      <c r="AR2280" s="19"/>
      <c r="AS2280" s="19"/>
      <c r="AT2280" s="19"/>
      <c r="AU2280" s="19"/>
    </row>
    <row r="2281" spans="3:47">
      <c r="C2281" s="20"/>
      <c r="Z2281" s="20"/>
      <c r="AG2281" s="20"/>
      <c r="AQ2281" s="19"/>
      <c r="AR2281" s="19"/>
      <c r="AS2281" s="19"/>
      <c r="AT2281" s="19"/>
      <c r="AU2281" s="19"/>
    </row>
    <row r="2282" spans="3:47">
      <c r="C2282" s="20"/>
      <c r="Z2282" s="20"/>
      <c r="AG2282" s="20"/>
      <c r="AQ2282" s="19"/>
      <c r="AR2282" s="19"/>
      <c r="AS2282" s="19"/>
      <c r="AT2282" s="19"/>
      <c r="AU2282" s="19"/>
    </row>
    <row r="2283" spans="3:47">
      <c r="C2283" s="20"/>
      <c r="Z2283" s="20"/>
      <c r="AG2283" s="20"/>
      <c r="AQ2283" s="19"/>
      <c r="AR2283" s="19"/>
      <c r="AS2283" s="19"/>
      <c r="AT2283" s="19"/>
      <c r="AU2283" s="19"/>
    </row>
    <row r="2284" spans="3:47">
      <c r="C2284" s="20"/>
      <c r="Z2284" s="20"/>
      <c r="AG2284" s="20"/>
      <c r="AQ2284" s="19"/>
      <c r="AR2284" s="19"/>
      <c r="AS2284" s="19"/>
      <c r="AT2284" s="19"/>
      <c r="AU2284" s="19"/>
    </row>
    <row r="2285" spans="3:47">
      <c r="C2285" s="20"/>
      <c r="Z2285" s="20"/>
      <c r="AG2285" s="20"/>
      <c r="AQ2285" s="19"/>
      <c r="AR2285" s="19"/>
      <c r="AS2285" s="19"/>
      <c r="AT2285" s="19"/>
      <c r="AU2285" s="19"/>
    </row>
    <row r="2286" spans="3:47">
      <c r="C2286" s="20"/>
      <c r="Z2286" s="20"/>
      <c r="AG2286" s="20"/>
      <c r="AQ2286" s="19"/>
      <c r="AR2286" s="19"/>
      <c r="AS2286" s="19"/>
      <c r="AT2286" s="19"/>
      <c r="AU2286" s="19"/>
    </row>
    <row r="2287" spans="3:47">
      <c r="C2287" s="20"/>
      <c r="Z2287" s="20"/>
      <c r="AG2287" s="20"/>
      <c r="AQ2287" s="19"/>
      <c r="AR2287" s="19"/>
      <c r="AS2287" s="19"/>
      <c r="AT2287" s="19"/>
      <c r="AU2287" s="19"/>
    </row>
    <row r="2288" spans="3:47">
      <c r="C2288" s="20"/>
      <c r="Z2288" s="20"/>
      <c r="AG2288" s="20"/>
      <c r="AQ2288" s="19"/>
      <c r="AR2288" s="19"/>
      <c r="AS2288" s="19"/>
      <c r="AT2288" s="19"/>
      <c r="AU2288" s="19"/>
    </row>
    <row r="2289" spans="3:47">
      <c r="C2289" s="20"/>
      <c r="Z2289" s="20"/>
      <c r="AG2289" s="20"/>
      <c r="AQ2289" s="19"/>
      <c r="AR2289" s="19"/>
      <c r="AS2289" s="19"/>
      <c r="AT2289" s="19"/>
      <c r="AU2289" s="19"/>
    </row>
    <row r="2290" spans="3:47">
      <c r="C2290" s="20"/>
      <c r="Z2290" s="20"/>
      <c r="AG2290" s="20"/>
      <c r="AQ2290" s="19"/>
      <c r="AR2290" s="19"/>
      <c r="AS2290" s="19"/>
      <c r="AT2290" s="19"/>
      <c r="AU2290" s="19"/>
    </row>
    <row r="2291" spans="3:47">
      <c r="C2291" s="20"/>
      <c r="Z2291" s="20"/>
      <c r="AG2291" s="20"/>
      <c r="AQ2291" s="19"/>
      <c r="AR2291" s="19"/>
      <c r="AS2291" s="19"/>
      <c r="AT2291" s="19"/>
      <c r="AU2291" s="19"/>
    </row>
    <row r="2292" spans="3:47">
      <c r="C2292" s="20"/>
      <c r="Z2292" s="20"/>
      <c r="AG2292" s="20"/>
      <c r="AQ2292" s="19"/>
      <c r="AR2292" s="19"/>
      <c r="AS2292" s="19"/>
      <c r="AT2292" s="19"/>
      <c r="AU2292" s="19"/>
    </row>
    <row r="2293" spans="3:47">
      <c r="C2293" s="20"/>
      <c r="Z2293" s="20"/>
      <c r="AG2293" s="20"/>
      <c r="AQ2293" s="19"/>
      <c r="AR2293" s="19"/>
      <c r="AS2293" s="19"/>
      <c r="AT2293" s="19"/>
      <c r="AU2293" s="19"/>
    </row>
    <row r="2294" spans="3:47">
      <c r="C2294" s="20"/>
      <c r="Z2294" s="20"/>
      <c r="AG2294" s="20"/>
      <c r="AQ2294" s="19"/>
      <c r="AR2294" s="19"/>
      <c r="AS2294" s="19"/>
      <c r="AT2294" s="19"/>
      <c r="AU2294" s="19"/>
    </row>
    <row r="2295" spans="3:47">
      <c r="C2295" s="20"/>
      <c r="Z2295" s="20"/>
      <c r="AG2295" s="20"/>
      <c r="AQ2295" s="19"/>
      <c r="AR2295" s="19"/>
      <c r="AS2295" s="19"/>
      <c r="AT2295" s="19"/>
      <c r="AU2295" s="19"/>
    </row>
    <row r="2296" spans="3:47">
      <c r="C2296" s="20"/>
      <c r="Z2296" s="20"/>
      <c r="AG2296" s="20"/>
      <c r="AQ2296" s="19"/>
      <c r="AR2296" s="19"/>
      <c r="AS2296" s="19"/>
      <c r="AT2296" s="19"/>
      <c r="AU2296" s="19"/>
    </row>
    <row r="2297" spans="3:47">
      <c r="C2297" s="20"/>
      <c r="Z2297" s="20"/>
      <c r="AG2297" s="20"/>
      <c r="AQ2297" s="19"/>
      <c r="AR2297" s="19"/>
      <c r="AS2297" s="19"/>
      <c r="AT2297" s="19"/>
      <c r="AU2297" s="19"/>
    </row>
    <row r="2298" spans="3:47">
      <c r="C2298" s="20"/>
      <c r="Z2298" s="20"/>
      <c r="AG2298" s="20"/>
      <c r="AQ2298" s="19"/>
      <c r="AR2298" s="19"/>
      <c r="AS2298" s="19"/>
      <c r="AT2298" s="19"/>
      <c r="AU2298" s="19"/>
    </row>
    <row r="2299" spans="3:47">
      <c r="C2299" s="20"/>
      <c r="Z2299" s="20"/>
      <c r="AG2299" s="20"/>
      <c r="AQ2299" s="19"/>
      <c r="AR2299" s="19"/>
      <c r="AS2299" s="19"/>
      <c r="AT2299" s="19"/>
      <c r="AU2299" s="19"/>
    </row>
    <row r="2300" spans="3:47">
      <c r="C2300" s="20"/>
      <c r="Z2300" s="20"/>
      <c r="AG2300" s="20"/>
      <c r="AQ2300" s="19"/>
      <c r="AR2300" s="19"/>
      <c r="AS2300" s="19"/>
      <c r="AT2300" s="19"/>
      <c r="AU2300" s="19"/>
    </row>
    <row r="2301" spans="3:47">
      <c r="C2301" s="20"/>
      <c r="Z2301" s="20"/>
      <c r="AG2301" s="20"/>
      <c r="AQ2301" s="19"/>
      <c r="AR2301" s="19"/>
      <c r="AS2301" s="19"/>
      <c r="AT2301" s="19"/>
      <c r="AU2301" s="19"/>
    </row>
    <row r="2302" spans="3:47">
      <c r="C2302" s="20"/>
      <c r="Z2302" s="20"/>
      <c r="AG2302" s="20"/>
      <c r="AQ2302" s="19"/>
      <c r="AR2302" s="19"/>
      <c r="AS2302" s="19"/>
      <c r="AT2302" s="19"/>
      <c r="AU2302" s="19"/>
    </row>
    <row r="2303" spans="3:47">
      <c r="C2303" s="20"/>
      <c r="Z2303" s="20"/>
      <c r="AG2303" s="20"/>
      <c r="AQ2303" s="19"/>
      <c r="AR2303" s="19"/>
      <c r="AS2303" s="19"/>
      <c r="AT2303" s="19"/>
      <c r="AU2303" s="19"/>
    </row>
    <row r="2304" spans="3:47">
      <c r="C2304" s="20"/>
      <c r="Z2304" s="20"/>
      <c r="AG2304" s="20"/>
      <c r="AQ2304" s="19"/>
      <c r="AR2304" s="19"/>
      <c r="AS2304" s="19"/>
      <c r="AT2304" s="19"/>
      <c r="AU2304" s="19"/>
    </row>
    <row r="2305" spans="3:47">
      <c r="C2305" s="20"/>
      <c r="Z2305" s="20"/>
      <c r="AG2305" s="20"/>
      <c r="AQ2305" s="19"/>
      <c r="AR2305" s="19"/>
      <c r="AS2305" s="19"/>
      <c r="AT2305" s="19"/>
      <c r="AU2305" s="19"/>
    </row>
    <row r="2306" spans="3:47">
      <c r="C2306" s="20"/>
      <c r="Z2306" s="20"/>
      <c r="AG2306" s="20"/>
      <c r="AQ2306" s="19"/>
      <c r="AR2306" s="19"/>
      <c r="AS2306" s="19"/>
      <c r="AT2306" s="19"/>
      <c r="AU2306" s="19"/>
    </row>
    <row r="2307" spans="3:47">
      <c r="C2307" s="20"/>
      <c r="Z2307" s="20"/>
      <c r="AG2307" s="20"/>
      <c r="AQ2307" s="19"/>
      <c r="AR2307" s="19"/>
      <c r="AS2307" s="19"/>
      <c r="AT2307" s="19"/>
      <c r="AU2307" s="19"/>
    </row>
    <row r="2308" spans="3:47">
      <c r="C2308" s="20"/>
      <c r="Z2308" s="20"/>
      <c r="AG2308" s="20"/>
      <c r="AQ2308" s="19"/>
      <c r="AR2308" s="19"/>
      <c r="AS2308" s="19"/>
      <c r="AT2308" s="19"/>
      <c r="AU2308" s="19"/>
    </row>
    <row r="2309" spans="3:47">
      <c r="C2309" s="20"/>
      <c r="Z2309" s="20"/>
      <c r="AG2309" s="20"/>
      <c r="AQ2309" s="19"/>
      <c r="AR2309" s="19"/>
      <c r="AS2309" s="19"/>
      <c r="AT2309" s="19"/>
      <c r="AU2309" s="19"/>
    </row>
    <row r="2310" spans="3:47">
      <c r="C2310" s="20"/>
      <c r="Z2310" s="20"/>
      <c r="AG2310" s="20"/>
      <c r="AQ2310" s="19"/>
      <c r="AR2310" s="19"/>
      <c r="AS2310" s="19"/>
      <c r="AT2310" s="19"/>
      <c r="AU2310" s="19"/>
    </row>
    <row r="2311" spans="3:47">
      <c r="C2311" s="20"/>
      <c r="Z2311" s="20"/>
      <c r="AG2311" s="20"/>
      <c r="AQ2311" s="19"/>
      <c r="AR2311" s="19"/>
      <c r="AS2311" s="19"/>
      <c r="AT2311" s="19"/>
      <c r="AU2311" s="19"/>
    </row>
    <row r="2312" spans="3:47">
      <c r="C2312" s="20"/>
      <c r="Z2312" s="20"/>
      <c r="AG2312" s="20"/>
      <c r="AQ2312" s="19"/>
      <c r="AR2312" s="19"/>
      <c r="AS2312" s="19"/>
      <c r="AT2312" s="19"/>
      <c r="AU2312" s="19"/>
    </row>
    <row r="2313" spans="3:47">
      <c r="C2313" s="20"/>
      <c r="Z2313" s="20"/>
      <c r="AG2313" s="20"/>
      <c r="AQ2313" s="19"/>
      <c r="AR2313" s="19"/>
      <c r="AS2313" s="19"/>
      <c r="AT2313" s="19"/>
      <c r="AU2313" s="19"/>
    </row>
    <row r="2314" spans="3:47">
      <c r="C2314" s="20"/>
      <c r="Z2314" s="20"/>
      <c r="AG2314" s="20"/>
      <c r="AQ2314" s="19"/>
      <c r="AR2314" s="19"/>
      <c r="AS2314" s="19"/>
      <c r="AT2314" s="19"/>
      <c r="AU2314" s="19"/>
    </row>
    <row r="2315" spans="3:47">
      <c r="C2315" s="20"/>
      <c r="Z2315" s="20"/>
      <c r="AG2315" s="20"/>
      <c r="AQ2315" s="19"/>
      <c r="AR2315" s="19"/>
      <c r="AS2315" s="19"/>
      <c r="AT2315" s="19"/>
      <c r="AU2315" s="19"/>
    </row>
    <row r="2316" spans="3:47">
      <c r="C2316" s="20"/>
      <c r="Z2316" s="20"/>
      <c r="AG2316" s="20"/>
      <c r="AQ2316" s="19"/>
      <c r="AR2316" s="19"/>
      <c r="AS2316" s="19"/>
      <c r="AT2316" s="19"/>
      <c r="AU2316" s="19"/>
    </row>
    <row r="2317" spans="3:47">
      <c r="C2317" s="20"/>
      <c r="Z2317" s="20"/>
      <c r="AG2317" s="20"/>
      <c r="AQ2317" s="19"/>
      <c r="AR2317" s="19"/>
      <c r="AS2317" s="19"/>
      <c r="AT2317" s="19"/>
      <c r="AU2317" s="19"/>
    </row>
    <row r="2318" spans="3:47">
      <c r="C2318" s="20"/>
      <c r="Z2318" s="20"/>
      <c r="AG2318" s="20"/>
      <c r="AQ2318" s="19"/>
      <c r="AR2318" s="19"/>
      <c r="AS2318" s="19"/>
      <c r="AT2318" s="19"/>
      <c r="AU2318" s="19"/>
    </row>
    <row r="2319" spans="3:47">
      <c r="C2319" s="20"/>
      <c r="Z2319" s="20"/>
      <c r="AG2319" s="20"/>
      <c r="AQ2319" s="19"/>
      <c r="AR2319" s="19"/>
      <c r="AS2319" s="19"/>
      <c r="AT2319" s="19"/>
      <c r="AU2319" s="19"/>
    </row>
    <row r="2320" spans="3:47">
      <c r="C2320" s="20"/>
      <c r="Z2320" s="20"/>
      <c r="AG2320" s="20"/>
      <c r="AQ2320" s="19"/>
      <c r="AR2320" s="19"/>
      <c r="AS2320" s="19"/>
      <c r="AT2320" s="19"/>
      <c r="AU2320" s="19"/>
    </row>
    <row r="2321" spans="3:47">
      <c r="C2321" s="20"/>
      <c r="Z2321" s="20"/>
      <c r="AG2321" s="20"/>
      <c r="AQ2321" s="19"/>
      <c r="AR2321" s="19"/>
      <c r="AS2321" s="19"/>
      <c r="AT2321" s="19"/>
      <c r="AU2321" s="19"/>
    </row>
    <row r="2322" spans="3:47">
      <c r="C2322" s="20"/>
      <c r="Z2322" s="20"/>
      <c r="AG2322" s="20"/>
      <c r="AQ2322" s="19"/>
      <c r="AR2322" s="19"/>
      <c r="AS2322" s="19"/>
      <c r="AT2322" s="19"/>
      <c r="AU2322" s="19"/>
    </row>
    <row r="2323" spans="3:47">
      <c r="C2323" s="20"/>
      <c r="Z2323" s="20"/>
      <c r="AG2323" s="20"/>
      <c r="AQ2323" s="19"/>
      <c r="AR2323" s="19"/>
      <c r="AS2323" s="19"/>
      <c r="AT2323" s="19"/>
      <c r="AU2323" s="19"/>
    </row>
    <row r="2324" spans="3:47">
      <c r="C2324" s="20"/>
      <c r="Z2324" s="20"/>
      <c r="AG2324" s="20"/>
      <c r="AQ2324" s="19"/>
      <c r="AR2324" s="19"/>
      <c r="AS2324" s="19"/>
      <c r="AT2324" s="19"/>
      <c r="AU2324" s="19"/>
    </row>
    <row r="2325" spans="3:47">
      <c r="C2325" s="20"/>
      <c r="Z2325" s="20"/>
      <c r="AG2325" s="20"/>
      <c r="AQ2325" s="19"/>
      <c r="AR2325" s="19"/>
      <c r="AS2325" s="19"/>
      <c r="AT2325" s="19"/>
      <c r="AU2325" s="19"/>
    </row>
    <row r="2326" spans="3:47">
      <c r="C2326" s="20"/>
      <c r="Z2326" s="20"/>
      <c r="AG2326" s="20"/>
      <c r="AQ2326" s="19"/>
      <c r="AR2326" s="19"/>
      <c r="AS2326" s="19"/>
      <c r="AT2326" s="19"/>
      <c r="AU2326" s="19"/>
    </row>
    <row r="2327" spans="3:47">
      <c r="C2327" s="20"/>
      <c r="Z2327" s="20"/>
      <c r="AG2327" s="20"/>
      <c r="AQ2327" s="19"/>
      <c r="AR2327" s="19"/>
      <c r="AS2327" s="19"/>
      <c r="AT2327" s="19"/>
      <c r="AU2327" s="19"/>
    </row>
    <row r="2328" spans="3:47">
      <c r="C2328" s="20"/>
      <c r="Z2328" s="20"/>
      <c r="AG2328" s="20"/>
      <c r="AQ2328" s="19"/>
      <c r="AR2328" s="19"/>
      <c r="AS2328" s="19"/>
      <c r="AT2328" s="19"/>
      <c r="AU2328" s="19"/>
    </row>
    <row r="2329" spans="3:47">
      <c r="C2329" s="20"/>
      <c r="Z2329" s="20"/>
      <c r="AG2329" s="20"/>
      <c r="AQ2329" s="19"/>
      <c r="AR2329" s="19"/>
      <c r="AS2329" s="19"/>
      <c r="AT2329" s="19"/>
      <c r="AU2329" s="19"/>
    </row>
    <row r="2330" spans="3:47">
      <c r="C2330" s="20"/>
      <c r="Z2330" s="20"/>
      <c r="AG2330" s="20"/>
      <c r="AQ2330" s="19"/>
      <c r="AR2330" s="19"/>
      <c r="AS2330" s="19"/>
      <c r="AT2330" s="19"/>
      <c r="AU2330" s="19"/>
    </row>
    <row r="2331" spans="3:47">
      <c r="C2331" s="20"/>
      <c r="Z2331" s="20"/>
      <c r="AG2331" s="20"/>
      <c r="AQ2331" s="19"/>
      <c r="AR2331" s="19"/>
      <c r="AS2331" s="19"/>
      <c r="AT2331" s="19"/>
      <c r="AU2331" s="19"/>
    </row>
    <row r="2332" spans="3:47">
      <c r="C2332" s="20"/>
      <c r="Z2332" s="20"/>
      <c r="AG2332" s="20"/>
      <c r="AQ2332" s="19"/>
      <c r="AR2332" s="19"/>
      <c r="AS2332" s="19"/>
      <c r="AT2332" s="19"/>
      <c r="AU2332" s="19"/>
    </row>
    <row r="2333" spans="3:47">
      <c r="C2333" s="20"/>
      <c r="Z2333" s="20"/>
      <c r="AG2333" s="20"/>
      <c r="AQ2333" s="19"/>
      <c r="AR2333" s="19"/>
      <c r="AS2333" s="19"/>
      <c r="AT2333" s="19"/>
      <c r="AU2333" s="19"/>
    </row>
    <row r="2334" spans="3:47">
      <c r="C2334" s="20"/>
      <c r="Z2334" s="20"/>
      <c r="AG2334" s="20"/>
      <c r="AQ2334" s="19"/>
      <c r="AR2334" s="19"/>
      <c r="AS2334" s="19"/>
      <c r="AT2334" s="19"/>
      <c r="AU2334" s="19"/>
    </row>
    <row r="2335" spans="3:47">
      <c r="C2335" s="20"/>
      <c r="Z2335" s="20"/>
      <c r="AG2335" s="20"/>
      <c r="AQ2335" s="19"/>
      <c r="AR2335" s="19"/>
      <c r="AS2335" s="19"/>
      <c r="AT2335" s="19"/>
      <c r="AU2335" s="19"/>
    </row>
    <row r="2336" spans="3:47">
      <c r="C2336" s="20"/>
      <c r="Z2336" s="20"/>
      <c r="AG2336" s="20"/>
      <c r="AQ2336" s="19"/>
      <c r="AR2336" s="19"/>
      <c r="AS2336" s="19"/>
      <c r="AT2336" s="19"/>
      <c r="AU2336" s="19"/>
    </row>
    <row r="2337" spans="3:47">
      <c r="C2337" s="20"/>
      <c r="Z2337" s="20"/>
      <c r="AG2337" s="20"/>
      <c r="AQ2337" s="19"/>
      <c r="AR2337" s="19"/>
      <c r="AS2337" s="19"/>
      <c r="AT2337" s="19"/>
      <c r="AU2337" s="19"/>
    </row>
    <row r="2338" spans="3:47">
      <c r="C2338" s="20"/>
      <c r="Z2338" s="20"/>
      <c r="AG2338" s="20"/>
      <c r="AQ2338" s="19"/>
      <c r="AR2338" s="19"/>
      <c r="AS2338" s="19"/>
      <c r="AT2338" s="19"/>
      <c r="AU2338" s="19"/>
    </row>
    <row r="2339" spans="3:47">
      <c r="C2339" s="20"/>
      <c r="Z2339" s="20"/>
      <c r="AG2339" s="20"/>
      <c r="AQ2339" s="19"/>
      <c r="AR2339" s="19"/>
      <c r="AS2339" s="19"/>
      <c r="AT2339" s="19"/>
      <c r="AU2339" s="19"/>
    </row>
    <row r="2340" spans="3:47">
      <c r="C2340" s="20"/>
      <c r="Z2340" s="20"/>
      <c r="AG2340" s="20"/>
      <c r="AQ2340" s="19"/>
      <c r="AR2340" s="19"/>
      <c r="AS2340" s="19"/>
      <c r="AT2340" s="19"/>
      <c r="AU2340" s="19"/>
    </row>
    <row r="2341" spans="3:47">
      <c r="C2341" s="20"/>
      <c r="Z2341" s="20"/>
      <c r="AG2341" s="20"/>
      <c r="AQ2341" s="19"/>
      <c r="AR2341" s="19"/>
      <c r="AS2341" s="19"/>
      <c r="AT2341" s="19"/>
      <c r="AU2341" s="19"/>
    </row>
    <row r="2342" spans="3:47">
      <c r="C2342" s="20"/>
      <c r="Z2342" s="20"/>
      <c r="AG2342" s="20"/>
      <c r="AQ2342" s="19"/>
      <c r="AR2342" s="19"/>
      <c r="AS2342" s="19"/>
      <c r="AT2342" s="19"/>
      <c r="AU2342" s="19"/>
    </row>
    <row r="2343" spans="3:47">
      <c r="C2343" s="20"/>
      <c r="Z2343" s="20"/>
      <c r="AG2343" s="20"/>
      <c r="AQ2343" s="19"/>
      <c r="AR2343" s="19"/>
      <c r="AS2343" s="19"/>
      <c r="AT2343" s="19"/>
      <c r="AU2343" s="19"/>
    </row>
    <row r="2344" spans="3:47">
      <c r="C2344" s="20"/>
      <c r="Z2344" s="20"/>
      <c r="AG2344" s="20"/>
      <c r="AQ2344" s="19"/>
      <c r="AR2344" s="19"/>
      <c r="AS2344" s="19"/>
      <c r="AT2344" s="19"/>
      <c r="AU2344" s="19"/>
    </row>
    <row r="2345" spans="3:47">
      <c r="C2345" s="20"/>
      <c r="Z2345" s="20"/>
      <c r="AG2345" s="20"/>
      <c r="AQ2345" s="19"/>
      <c r="AR2345" s="19"/>
      <c r="AS2345" s="19"/>
      <c r="AT2345" s="19"/>
      <c r="AU2345" s="19"/>
    </row>
    <row r="2346" spans="3:47">
      <c r="C2346" s="20"/>
      <c r="Z2346" s="20"/>
      <c r="AG2346" s="20"/>
      <c r="AQ2346" s="19"/>
      <c r="AR2346" s="19"/>
      <c r="AS2346" s="19"/>
      <c r="AT2346" s="19"/>
      <c r="AU2346" s="19"/>
    </row>
    <row r="2347" spans="3:47">
      <c r="C2347" s="20"/>
      <c r="Z2347" s="20"/>
      <c r="AG2347" s="20"/>
      <c r="AQ2347" s="19"/>
      <c r="AR2347" s="19"/>
      <c r="AS2347" s="19"/>
      <c r="AT2347" s="19"/>
      <c r="AU2347" s="19"/>
    </row>
    <row r="2348" spans="3:47">
      <c r="C2348" s="20"/>
      <c r="Z2348" s="20"/>
      <c r="AG2348" s="20"/>
      <c r="AQ2348" s="19"/>
      <c r="AR2348" s="19"/>
      <c r="AS2348" s="19"/>
      <c r="AT2348" s="19"/>
      <c r="AU2348" s="19"/>
    </row>
    <row r="2349" spans="3:47">
      <c r="C2349" s="20"/>
      <c r="Z2349" s="20"/>
      <c r="AG2349" s="20"/>
      <c r="AQ2349" s="19"/>
      <c r="AR2349" s="19"/>
      <c r="AS2349" s="19"/>
      <c r="AT2349" s="19"/>
      <c r="AU2349" s="19"/>
    </row>
    <row r="2350" spans="3:47">
      <c r="C2350" s="20"/>
      <c r="Z2350" s="20"/>
      <c r="AG2350" s="20"/>
      <c r="AQ2350" s="19"/>
      <c r="AR2350" s="19"/>
      <c r="AS2350" s="19"/>
      <c r="AT2350" s="19"/>
      <c r="AU2350" s="19"/>
    </row>
    <row r="2351" spans="3:47">
      <c r="C2351" s="20"/>
      <c r="Z2351" s="20"/>
      <c r="AG2351" s="20"/>
      <c r="AQ2351" s="19"/>
      <c r="AR2351" s="19"/>
      <c r="AS2351" s="19"/>
      <c r="AT2351" s="19"/>
      <c r="AU2351" s="19"/>
    </row>
    <row r="2352" spans="3:47">
      <c r="C2352" s="20"/>
      <c r="Z2352" s="20"/>
      <c r="AG2352" s="20"/>
      <c r="AQ2352" s="19"/>
      <c r="AR2352" s="19"/>
      <c r="AS2352" s="19"/>
      <c r="AT2352" s="19"/>
      <c r="AU2352" s="19"/>
    </row>
    <row r="2353" spans="3:47">
      <c r="C2353" s="20"/>
      <c r="Z2353" s="20"/>
      <c r="AG2353" s="20"/>
      <c r="AQ2353" s="19"/>
      <c r="AR2353" s="19"/>
      <c r="AS2353" s="19"/>
      <c r="AT2353" s="19"/>
      <c r="AU2353" s="19"/>
    </row>
    <row r="2354" spans="3:47">
      <c r="C2354" s="20"/>
      <c r="Z2354" s="20"/>
      <c r="AG2354" s="20"/>
      <c r="AQ2354" s="19"/>
      <c r="AR2354" s="19"/>
      <c r="AS2354" s="19"/>
      <c r="AT2354" s="19"/>
      <c r="AU2354" s="19"/>
    </row>
    <row r="2355" spans="3:47">
      <c r="C2355" s="20"/>
      <c r="Z2355" s="20"/>
      <c r="AG2355" s="20"/>
      <c r="AQ2355" s="19"/>
      <c r="AR2355" s="19"/>
      <c r="AS2355" s="19"/>
      <c r="AT2355" s="19"/>
      <c r="AU2355" s="19"/>
    </row>
    <row r="2356" spans="3:47">
      <c r="C2356" s="20"/>
      <c r="Z2356" s="20"/>
      <c r="AG2356" s="20"/>
      <c r="AQ2356" s="19"/>
      <c r="AR2356" s="19"/>
      <c r="AS2356" s="19"/>
      <c r="AT2356" s="19"/>
      <c r="AU2356" s="19"/>
    </row>
    <row r="2357" spans="3:47">
      <c r="C2357" s="20"/>
      <c r="Z2357" s="20"/>
      <c r="AG2357" s="20"/>
      <c r="AQ2357" s="19"/>
      <c r="AR2357" s="19"/>
      <c r="AS2357" s="19"/>
      <c r="AT2357" s="19"/>
      <c r="AU2357" s="19"/>
    </row>
    <row r="2358" spans="3:47">
      <c r="C2358" s="20"/>
      <c r="Z2358" s="20"/>
      <c r="AG2358" s="20"/>
      <c r="AQ2358" s="19"/>
      <c r="AR2358" s="19"/>
      <c r="AS2358" s="19"/>
      <c r="AT2358" s="19"/>
      <c r="AU2358" s="19"/>
    </row>
    <row r="2359" spans="3:47">
      <c r="C2359" s="20"/>
      <c r="Z2359" s="20"/>
      <c r="AG2359" s="20"/>
      <c r="AQ2359" s="19"/>
      <c r="AR2359" s="19"/>
      <c r="AS2359" s="19"/>
      <c r="AT2359" s="19"/>
      <c r="AU2359" s="19"/>
    </row>
    <row r="2360" spans="3:47">
      <c r="C2360" s="20"/>
      <c r="Z2360" s="20"/>
      <c r="AG2360" s="20"/>
      <c r="AQ2360" s="19"/>
      <c r="AR2360" s="19"/>
      <c r="AS2360" s="19"/>
      <c r="AT2360" s="19"/>
      <c r="AU2360" s="19"/>
    </row>
    <row r="2361" spans="3:47">
      <c r="C2361" s="20"/>
      <c r="Z2361" s="20"/>
      <c r="AG2361" s="20"/>
      <c r="AQ2361" s="19"/>
      <c r="AR2361" s="19"/>
      <c r="AS2361" s="19"/>
      <c r="AT2361" s="19"/>
      <c r="AU2361" s="19"/>
    </row>
    <row r="2362" spans="3:47">
      <c r="C2362" s="20"/>
      <c r="Z2362" s="20"/>
      <c r="AG2362" s="20"/>
      <c r="AQ2362" s="19"/>
      <c r="AR2362" s="19"/>
      <c r="AS2362" s="19"/>
      <c r="AT2362" s="19"/>
      <c r="AU2362" s="19"/>
    </row>
    <row r="2363" spans="3:47">
      <c r="C2363" s="20"/>
      <c r="Z2363" s="20"/>
      <c r="AG2363" s="20"/>
      <c r="AQ2363" s="19"/>
      <c r="AR2363" s="19"/>
      <c r="AS2363" s="19"/>
      <c r="AT2363" s="19"/>
      <c r="AU2363" s="19"/>
    </row>
    <row r="2364" spans="3:47">
      <c r="C2364" s="20"/>
      <c r="Z2364" s="20"/>
      <c r="AG2364" s="20"/>
      <c r="AQ2364" s="19"/>
      <c r="AR2364" s="19"/>
      <c r="AS2364" s="19"/>
      <c r="AT2364" s="19"/>
      <c r="AU2364" s="19"/>
    </row>
    <row r="2365" spans="3:47">
      <c r="C2365" s="20"/>
      <c r="Z2365" s="20"/>
      <c r="AG2365" s="20"/>
      <c r="AQ2365" s="19"/>
      <c r="AR2365" s="19"/>
      <c r="AS2365" s="19"/>
      <c r="AT2365" s="19"/>
      <c r="AU2365" s="19"/>
    </row>
    <row r="2366" spans="3:47">
      <c r="C2366" s="20"/>
      <c r="Z2366" s="20"/>
      <c r="AG2366" s="20"/>
      <c r="AQ2366" s="19"/>
      <c r="AR2366" s="19"/>
      <c r="AS2366" s="19"/>
      <c r="AT2366" s="19"/>
      <c r="AU2366" s="19"/>
    </row>
    <row r="2367" spans="3:47">
      <c r="C2367" s="20"/>
      <c r="Z2367" s="20"/>
      <c r="AG2367" s="20"/>
      <c r="AQ2367" s="19"/>
      <c r="AR2367" s="19"/>
      <c r="AS2367" s="19"/>
      <c r="AT2367" s="19"/>
      <c r="AU2367" s="19"/>
    </row>
    <row r="2368" spans="3:47">
      <c r="C2368" s="20"/>
      <c r="Z2368" s="20"/>
      <c r="AG2368" s="20"/>
      <c r="AQ2368" s="19"/>
      <c r="AR2368" s="19"/>
      <c r="AS2368" s="19"/>
      <c r="AT2368" s="19"/>
      <c r="AU2368" s="19"/>
    </row>
    <row r="2369" spans="3:47">
      <c r="C2369" s="20"/>
      <c r="Z2369" s="20"/>
      <c r="AG2369" s="20"/>
      <c r="AQ2369" s="19"/>
      <c r="AR2369" s="19"/>
      <c r="AS2369" s="19"/>
      <c r="AT2369" s="19"/>
      <c r="AU2369" s="19"/>
    </row>
    <row r="2370" spans="3:47">
      <c r="C2370" s="20"/>
      <c r="Z2370" s="20"/>
      <c r="AG2370" s="20"/>
      <c r="AQ2370" s="19"/>
      <c r="AR2370" s="19"/>
      <c r="AS2370" s="19"/>
      <c r="AT2370" s="19"/>
      <c r="AU2370" s="19"/>
    </row>
    <row r="2371" spans="3:47">
      <c r="C2371" s="20"/>
      <c r="Z2371" s="20"/>
      <c r="AG2371" s="20"/>
      <c r="AQ2371" s="19"/>
      <c r="AR2371" s="19"/>
      <c r="AS2371" s="19"/>
      <c r="AT2371" s="19"/>
      <c r="AU2371" s="19"/>
    </row>
    <row r="2372" spans="3:47">
      <c r="C2372" s="20"/>
      <c r="Z2372" s="20"/>
      <c r="AG2372" s="20"/>
      <c r="AQ2372" s="19"/>
      <c r="AR2372" s="19"/>
      <c r="AS2372" s="19"/>
      <c r="AT2372" s="19"/>
      <c r="AU2372" s="19"/>
    </row>
    <row r="2373" spans="3:47">
      <c r="C2373" s="20"/>
      <c r="Z2373" s="20"/>
      <c r="AG2373" s="20"/>
      <c r="AQ2373" s="19"/>
      <c r="AR2373" s="19"/>
      <c r="AS2373" s="19"/>
      <c r="AT2373" s="19"/>
      <c r="AU2373" s="19"/>
    </row>
    <row r="2374" spans="3:47">
      <c r="C2374" s="20"/>
      <c r="Z2374" s="20"/>
      <c r="AG2374" s="20"/>
      <c r="AQ2374" s="19"/>
      <c r="AR2374" s="19"/>
      <c r="AS2374" s="19"/>
      <c r="AT2374" s="19"/>
      <c r="AU2374" s="19"/>
    </row>
    <row r="2375" spans="3:47">
      <c r="C2375" s="20"/>
      <c r="Z2375" s="20"/>
      <c r="AG2375" s="20"/>
      <c r="AQ2375" s="19"/>
      <c r="AR2375" s="19"/>
      <c r="AS2375" s="19"/>
      <c r="AT2375" s="19"/>
      <c r="AU2375" s="19"/>
    </row>
    <row r="2376" spans="3:47">
      <c r="C2376" s="20"/>
      <c r="Z2376" s="20"/>
      <c r="AG2376" s="20"/>
      <c r="AQ2376" s="19"/>
      <c r="AR2376" s="19"/>
      <c r="AS2376" s="19"/>
      <c r="AT2376" s="19"/>
      <c r="AU2376" s="19"/>
    </row>
    <row r="2377" spans="3:47">
      <c r="C2377" s="20"/>
      <c r="Z2377" s="20"/>
      <c r="AG2377" s="20"/>
      <c r="AQ2377" s="19"/>
      <c r="AR2377" s="19"/>
      <c r="AS2377" s="19"/>
      <c r="AT2377" s="19"/>
      <c r="AU2377" s="19"/>
    </row>
    <row r="2378" spans="3:47">
      <c r="C2378" s="20"/>
      <c r="Z2378" s="20"/>
      <c r="AG2378" s="20"/>
      <c r="AQ2378" s="19"/>
      <c r="AR2378" s="19"/>
      <c r="AS2378" s="19"/>
      <c r="AT2378" s="19"/>
      <c r="AU2378" s="19"/>
    </row>
    <row r="2379" spans="3:47">
      <c r="C2379" s="20"/>
      <c r="Z2379" s="20"/>
      <c r="AG2379" s="20"/>
      <c r="AQ2379" s="19"/>
      <c r="AR2379" s="19"/>
      <c r="AS2379" s="19"/>
      <c r="AT2379" s="19"/>
      <c r="AU2379" s="19"/>
    </row>
    <row r="2380" spans="3:47">
      <c r="C2380" s="20"/>
      <c r="Z2380" s="20"/>
      <c r="AG2380" s="20"/>
      <c r="AQ2380" s="19"/>
      <c r="AR2380" s="19"/>
      <c r="AS2380" s="19"/>
      <c r="AT2380" s="19"/>
      <c r="AU2380" s="19"/>
    </row>
    <row r="2381" spans="3:47">
      <c r="C2381" s="20"/>
      <c r="Z2381" s="20"/>
      <c r="AG2381" s="20"/>
      <c r="AQ2381" s="19"/>
      <c r="AR2381" s="19"/>
      <c r="AS2381" s="19"/>
      <c r="AT2381" s="19"/>
      <c r="AU2381" s="19"/>
    </row>
    <row r="2382" spans="3:47">
      <c r="C2382" s="20"/>
      <c r="Z2382" s="20"/>
      <c r="AG2382" s="20"/>
      <c r="AQ2382" s="19"/>
      <c r="AR2382" s="19"/>
      <c r="AS2382" s="19"/>
      <c r="AT2382" s="19"/>
      <c r="AU2382" s="19"/>
    </row>
    <row r="2383" spans="3:47">
      <c r="C2383" s="20"/>
      <c r="Z2383" s="20"/>
      <c r="AG2383" s="20"/>
      <c r="AQ2383" s="19"/>
      <c r="AR2383" s="19"/>
      <c r="AS2383" s="19"/>
      <c r="AT2383" s="19"/>
      <c r="AU2383" s="19"/>
    </row>
    <row r="2384" spans="3:47">
      <c r="C2384" s="20"/>
      <c r="Z2384" s="20"/>
      <c r="AG2384" s="20"/>
      <c r="AQ2384" s="19"/>
      <c r="AR2384" s="19"/>
      <c r="AS2384" s="19"/>
      <c r="AT2384" s="19"/>
      <c r="AU2384" s="19"/>
    </row>
    <row r="2385" spans="3:47">
      <c r="C2385" s="20"/>
      <c r="Z2385" s="20"/>
      <c r="AG2385" s="20"/>
      <c r="AQ2385" s="19"/>
      <c r="AR2385" s="19"/>
      <c r="AS2385" s="19"/>
      <c r="AT2385" s="19"/>
      <c r="AU2385" s="19"/>
    </row>
    <row r="2386" spans="3:47">
      <c r="C2386" s="20"/>
      <c r="Z2386" s="20"/>
      <c r="AG2386" s="20"/>
      <c r="AQ2386" s="19"/>
      <c r="AR2386" s="19"/>
      <c r="AS2386" s="19"/>
      <c r="AT2386" s="19"/>
      <c r="AU2386" s="19"/>
    </row>
    <row r="2387" spans="3:47">
      <c r="C2387" s="20"/>
      <c r="Z2387" s="20"/>
      <c r="AG2387" s="20"/>
      <c r="AQ2387" s="19"/>
      <c r="AR2387" s="19"/>
      <c r="AS2387" s="19"/>
      <c r="AT2387" s="19"/>
      <c r="AU2387" s="19"/>
    </row>
    <row r="2388" spans="3:47">
      <c r="C2388" s="20"/>
      <c r="Z2388" s="20"/>
      <c r="AG2388" s="20"/>
      <c r="AQ2388" s="19"/>
      <c r="AR2388" s="19"/>
      <c r="AS2388" s="19"/>
      <c r="AT2388" s="19"/>
      <c r="AU2388" s="19"/>
    </row>
    <row r="2389" spans="3:47">
      <c r="C2389" s="20"/>
      <c r="Z2389" s="20"/>
      <c r="AG2389" s="20"/>
      <c r="AQ2389" s="19"/>
      <c r="AR2389" s="19"/>
      <c r="AS2389" s="19"/>
      <c r="AT2389" s="19"/>
      <c r="AU2389" s="19"/>
    </row>
    <row r="2390" spans="3:47">
      <c r="C2390" s="20"/>
      <c r="Z2390" s="20"/>
      <c r="AG2390" s="20"/>
      <c r="AQ2390" s="19"/>
      <c r="AR2390" s="19"/>
      <c r="AS2390" s="19"/>
      <c r="AT2390" s="19"/>
      <c r="AU2390" s="19"/>
    </row>
    <row r="2391" spans="3:47">
      <c r="C2391" s="20"/>
      <c r="Z2391" s="20"/>
      <c r="AG2391" s="20"/>
      <c r="AQ2391" s="19"/>
      <c r="AR2391" s="19"/>
      <c r="AS2391" s="19"/>
      <c r="AT2391" s="19"/>
      <c r="AU2391" s="19"/>
    </row>
    <row r="2392" spans="3:47">
      <c r="C2392" s="20"/>
      <c r="Z2392" s="20"/>
      <c r="AG2392" s="20"/>
      <c r="AQ2392" s="19"/>
      <c r="AR2392" s="19"/>
      <c r="AS2392" s="19"/>
      <c r="AT2392" s="19"/>
      <c r="AU2392" s="19"/>
    </row>
    <row r="2393" spans="3:47">
      <c r="C2393" s="20"/>
      <c r="Z2393" s="20"/>
      <c r="AG2393" s="20"/>
      <c r="AQ2393" s="19"/>
      <c r="AR2393" s="19"/>
      <c r="AS2393" s="19"/>
      <c r="AT2393" s="19"/>
      <c r="AU2393" s="19"/>
    </row>
    <row r="2394" spans="3:47">
      <c r="C2394" s="20"/>
      <c r="Z2394" s="20"/>
      <c r="AG2394" s="20"/>
      <c r="AQ2394" s="19"/>
      <c r="AR2394" s="19"/>
      <c r="AS2394" s="19"/>
      <c r="AT2394" s="19"/>
      <c r="AU2394" s="19"/>
    </row>
    <row r="2395" spans="3:47">
      <c r="C2395" s="20"/>
      <c r="Z2395" s="20"/>
      <c r="AG2395" s="20"/>
      <c r="AQ2395" s="19"/>
      <c r="AR2395" s="19"/>
      <c r="AS2395" s="19"/>
      <c r="AT2395" s="19"/>
      <c r="AU2395" s="19"/>
    </row>
    <row r="2396" spans="3:47">
      <c r="C2396" s="20"/>
      <c r="Z2396" s="20"/>
      <c r="AG2396" s="20"/>
      <c r="AQ2396" s="19"/>
      <c r="AR2396" s="19"/>
      <c r="AS2396" s="19"/>
      <c r="AT2396" s="19"/>
      <c r="AU2396" s="19"/>
    </row>
    <row r="2397" spans="3:47">
      <c r="C2397" s="20"/>
      <c r="Z2397" s="20"/>
      <c r="AG2397" s="20"/>
      <c r="AQ2397" s="19"/>
      <c r="AR2397" s="19"/>
      <c r="AS2397" s="19"/>
      <c r="AT2397" s="19"/>
      <c r="AU2397" s="19"/>
    </row>
    <row r="2398" spans="3:47">
      <c r="C2398" s="20"/>
      <c r="Z2398" s="20"/>
      <c r="AG2398" s="20"/>
      <c r="AQ2398" s="19"/>
      <c r="AR2398" s="19"/>
      <c r="AS2398" s="19"/>
      <c r="AT2398" s="19"/>
      <c r="AU2398" s="19"/>
    </row>
    <row r="2399" spans="3:47">
      <c r="C2399" s="20"/>
      <c r="Z2399" s="20"/>
      <c r="AG2399" s="20"/>
      <c r="AQ2399" s="19"/>
      <c r="AR2399" s="19"/>
      <c r="AS2399" s="19"/>
      <c r="AT2399" s="19"/>
      <c r="AU2399" s="19"/>
    </row>
    <row r="2400" spans="3:47">
      <c r="C2400" s="20"/>
      <c r="Z2400" s="20"/>
      <c r="AG2400" s="20"/>
      <c r="AQ2400" s="19"/>
      <c r="AR2400" s="19"/>
      <c r="AS2400" s="19"/>
      <c r="AT2400" s="19"/>
      <c r="AU2400" s="19"/>
    </row>
    <row r="2401" spans="3:47">
      <c r="C2401" s="20"/>
      <c r="Z2401" s="20"/>
      <c r="AG2401" s="20"/>
      <c r="AQ2401" s="19"/>
      <c r="AR2401" s="19"/>
      <c r="AS2401" s="19"/>
      <c r="AT2401" s="19"/>
      <c r="AU2401" s="19"/>
    </row>
    <row r="2402" spans="3:47">
      <c r="C2402" s="20"/>
      <c r="Z2402" s="20"/>
      <c r="AG2402" s="20"/>
      <c r="AQ2402" s="19"/>
      <c r="AR2402" s="19"/>
      <c r="AS2402" s="19"/>
      <c r="AT2402" s="19"/>
      <c r="AU2402" s="19"/>
    </row>
    <row r="2403" spans="3:47">
      <c r="C2403" s="20"/>
      <c r="Z2403" s="20"/>
      <c r="AG2403" s="20"/>
      <c r="AQ2403" s="19"/>
      <c r="AR2403" s="19"/>
      <c r="AS2403" s="19"/>
      <c r="AT2403" s="19"/>
      <c r="AU2403" s="19"/>
    </row>
    <row r="2404" spans="3:47">
      <c r="C2404" s="20"/>
      <c r="Z2404" s="20"/>
      <c r="AG2404" s="20"/>
      <c r="AQ2404" s="19"/>
      <c r="AR2404" s="19"/>
      <c r="AS2404" s="19"/>
      <c r="AT2404" s="19"/>
      <c r="AU2404" s="19"/>
    </row>
    <row r="2405" spans="3:47">
      <c r="C2405" s="20"/>
      <c r="Z2405" s="20"/>
      <c r="AG2405" s="20"/>
      <c r="AQ2405" s="19"/>
      <c r="AR2405" s="19"/>
      <c r="AS2405" s="19"/>
      <c r="AT2405" s="19"/>
      <c r="AU2405" s="19"/>
    </row>
    <row r="2406" spans="3:47">
      <c r="C2406" s="20"/>
      <c r="Z2406" s="20"/>
      <c r="AG2406" s="20"/>
      <c r="AQ2406" s="19"/>
      <c r="AR2406" s="19"/>
      <c r="AS2406" s="19"/>
      <c r="AT2406" s="19"/>
      <c r="AU2406" s="19"/>
    </row>
    <row r="2407" spans="3:47">
      <c r="C2407" s="20"/>
      <c r="Z2407" s="20"/>
      <c r="AG2407" s="20"/>
      <c r="AQ2407" s="19"/>
      <c r="AR2407" s="19"/>
      <c r="AS2407" s="19"/>
      <c r="AT2407" s="19"/>
      <c r="AU2407" s="19"/>
    </row>
    <row r="2408" spans="3:47">
      <c r="C2408" s="20"/>
      <c r="Z2408" s="20"/>
      <c r="AG2408" s="20"/>
      <c r="AQ2408" s="19"/>
      <c r="AR2408" s="19"/>
      <c r="AS2408" s="19"/>
      <c r="AT2408" s="19"/>
      <c r="AU2408" s="19"/>
    </row>
    <row r="2409" spans="3:47">
      <c r="C2409" s="20"/>
      <c r="Z2409" s="35"/>
      <c r="AG2409" s="20"/>
      <c r="AQ2409" s="19"/>
      <c r="AR2409" s="19"/>
      <c r="AS2409" s="19"/>
      <c r="AT2409" s="19"/>
      <c r="AU2409" s="19"/>
    </row>
    <row r="2410" spans="3:47">
      <c r="C2410" s="20"/>
      <c r="Z2410" s="20"/>
      <c r="AG2410" s="20"/>
      <c r="AQ2410" s="19"/>
      <c r="AR2410" s="19"/>
      <c r="AS2410" s="19"/>
      <c r="AT2410" s="19"/>
      <c r="AU2410" s="19"/>
    </row>
    <row r="2411" spans="3:47">
      <c r="C2411" s="20"/>
      <c r="Z2411" s="20"/>
      <c r="AG2411" s="20"/>
      <c r="AQ2411" s="19"/>
      <c r="AR2411" s="19"/>
      <c r="AS2411" s="19"/>
      <c r="AT2411" s="19"/>
      <c r="AU2411" s="19"/>
    </row>
    <row r="2412" spans="3:47">
      <c r="C2412" s="20"/>
      <c r="Z2412" s="20"/>
      <c r="AG2412" s="20"/>
      <c r="AQ2412" s="19"/>
      <c r="AR2412" s="19"/>
      <c r="AS2412" s="19"/>
      <c r="AT2412" s="19"/>
      <c r="AU2412" s="19"/>
    </row>
    <row r="2413" spans="3:47">
      <c r="C2413" s="20"/>
      <c r="Z2413" s="20"/>
      <c r="AG2413" s="20"/>
      <c r="AQ2413" s="19"/>
      <c r="AR2413" s="19"/>
      <c r="AS2413" s="19"/>
      <c r="AT2413" s="19"/>
      <c r="AU2413" s="19"/>
    </row>
    <row r="2414" spans="3:47">
      <c r="C2414" s="20"/>
      <c r="Z2414" s="20"/>
      <c r="AG2414" s="20"/>
      <c r="AQ2414" s="19"/>
      <c r="AR2414" s="19"/>
      <c r="AS2414" s="19"/>
      <c r="AT2414" s="19"/>
      <c r="AU2414" s="19"/>
    </row>
    <row r="2415" spans="3:47">
      <c r="C2415" s="20"/>
      <c r="Z2415" s="20"/>
      <c r="AG2415" s="20"/>
      <c r="AQ2415" s="19"/>
      <c r="AR2415" s="19"/>
      <c r="AS2415" s="19"/>
      <c r="AT2415" s="19"/>
      <c r="AU2415" s="19"/>
    </row>
    <row r="2416" spans="3:47">
      <c r="C2416" s="20"/>
      <c r="Z2416" s="20"/>
      <c r="AG2416" s="20"/>
      <c r="AQ2416" s="19"/>
      <c r="AR2416" s="19"/>
      <c r="AS2416" s="19"/>
      <c r="AT2416" s="19"/>
      <c r="AU2416" s="19"/>
    </row>
    <row r="2417" spans="3:47">
      <c r="C2417" s="20"/>
      <c r="Z2417" s="20"/>
      <c r="AG2417" s="20"/>
      <c r="AQ2417" s="19"/>
      <c r="AR2417" s="19"/>
      <c r="AS2417" s="19"/>
      <c r="AT2417" s="19"/>
      <c r="AU2417" s="19"/>
    </row>
    <row r="2418" spans="3:47">
      <c r="C2418" s="20"/>
      <c r="Z2418" s="20"/>
      <c r="AG2418" s="20"/>
      <c r="AQ2418" s="19"/>
      <c r="AR2418" s="19"/>
      <c r="AS2418" s="19"/>
      <c r="AT2418" s="19"/>
      <c r="AU2418" s="19"/>
    </row>
    <row r="2419" spans="3:47">
      <c r="C2419" s="20"/>
      <c r="Z2419" s="20"/>
      <c r="AG2419" s="20"/>
      <c r="AQ2419" s="19"/>
      <c r="AR2419" s="19"/>
      <c r="AS2419" s="19"/>
      <c r="AT2419" s="19"/>
      <c r="AU2419" s="19"/>
    </row>
    <row r="2420" spans="3:47">
      <c r="C2420" s="20"/>
      <c r="Z2420" s="20"/>
      <c r="AG2420" s="20"/>
      <c r="AQ2420" s="19"/>
      <c r="AR2420" s="19"/>
      <c r="AS2420" s="19"/>
      <c r="AT2420" s="19"/>
      <c r="AU2420" s="19"/>
    </row>
    <row r="2421" spans="3:47">
      <c r="C2421" s="20"/>
      <c r="Z2421" s="20"/>
      <c r="AG2421" s="20"/>
      <c r="AQ2421" s="19"/>
      <c r="AR2421" s="19"/>
      <c r="AS2421" s="19"/>
      <c r="AT2421" s="19"/>
      <c r="AU2421" s="19"/>
    </row>
    <row r="2422" spans="3:47">
      <c r="C2422" s="20"/>
      <c r="Z2422" s="20"/>
      <c r="AG2422" s="20"/>
      <c r="AQ2422" s="19"/>
      <c r="AR2422" s="19"/>
      <c r="AS2422" s="19"/>
      <c r="AT2422" s="19"/>
      <c r="AU2422" s="19"/>
    </row>
    <row r="2423" spans="3:47">
      <c r="C2423" s="20"/>
      <c r="Z2423" s="20"/>
      <c r="AG2423" s="20"/>
      <c r="AQ2423" s="19"/>
      <c r="AR2423" s="19"/>
      <c r="AS2423" s="19"/>
      <c r="AT2423" s="19"/>
      <c r="AU2423" s="19"/>
    </row>
    <row r="2424" spans="3:47">
      <c r="C2424" s="20"/>
      <c r="Z2424" s="20"/>
      <c r="AG2424" s="20"/>
      <c r="AQ2424" s="19"/>
      <c r="AR2424" s="19"/>
      <c r="AS2424" s="19"/>
      <c r="AT2424" s="19"/>
      <c r="AU2424" s="19"/>
    </row>
    <row r="2425" spans="3:47">
      <c r="C2425" s="20"/>
      <c r="Z2425" s="20"/>
      <c r="AG2425" s="20"/>
      <c r="AQ2425" s="19"/>
      <c r="AR2425" s="19"/>
      <c r="AS2425" s="19"/>
      <c r="AT2425" s="19"/>
      <c r="AU2425" s="19"/>
    </row>
    <row r="2426" spans="3:47">
      <c r="C2426" s="20"/>
      <c r="Z2426" s="20"/>
      <c r="AG2426" s="20"/>
      <c r="AQ2426" s="19"/>
      <c r="AR2426" s="19"/>
      <c r="AS2426" s="19"/>
      <c r="AT2426" s="19"/>
      <c r="AU2426" s="19"/>
    </row>
    <row r="2427" spans="3:47">
      <c r="C2427" s="20"/>
      <c r="Z2427" s="20"/>
      <c r="AG2427" s="20"/>
      <c r="AQ2427" s="19"/>
      <c r="AR2427" s="19"/>
      <c r="AS2427" s="19"/>
      <c r="AT2427" s="19"/>
      <c r="AU2427" s="19"/>
    </row>
    <row r="2428" spans="3:47">
      <c r="C2428" s="20"/>
      <c r="Z2428" s="20"/>
      <c r="AG2428" s="20"/>
      <c r="AQ2428" s="19"/>
      <c r="AR2428" s="19"/>
      <c r="AS2428" s="19"/>
      <c r="AT2428" s="19"/>
      <c r="AU2428" s="19"/>
    </row>
    <row r="2429" spans="3:47">
      <c r="C2429" s="20"/>
      <c r="Z2429" s="20"/>
      <c r="AG2429" s="20"/>
      <c r="AQ2429" s="19"/>
      <c r="AR2429" s="19"/>
      <c r="AS2429" s="19"/>
      <c r="AT2429" s="19"/>
      <c r="AU2429" s="19"/>
    </row>
    <row r="2430" spans="3:47">
      <c r="C2430" s="20"/>
      <c r="Z2430" s="20"/>
      <c r="AG2430" s="20"/>
      <c r="AQ2430" s="19"/>
      <c r="AR2430" s="19"/>
      <c r="AS2430" s="19"/>
      <c r="AT2430" s="19"/>
      <c r="AU2430" s="19"/>
    </row>
    <row r="2431" spans="3:47">
      <c r="C2431" s="20"/>
      <c r="Z2431" s="20"/>
      <c r="AG2431" s="20"/>
      <c r="AQ2431" s="19"/>
      <c r="AR2431" s="19"/>
      <c r="AS2431" s="19"/>
      <c r="AT2431" s="19"/>
      <c r="AU2431" s="19"/>
    </row>
    <row r="2432" spans="3:47">
      <c r="C2432" s="20"/>
      <c r="Z2432" s="20"/>
      <c r="AG2432" s="20"/>
      <c r="AQ2432" s="19"/>
      <c r="AR2432" s="19"/>
      <c r="AS2432" s="19"/>
      <c r="AT2432" s="19"/>
      <c r="AU2432" s="19"/>
    </row>
    <row r="2433" spans="3:47">
      <c r="C2433" s="20"/>
      <c r="Z2433" s="20"/>
      <c r="AG2433" s="20"/>
      <c r="AQ2433" s="19"/>
      <c r="AR2433" s="19"/>
      <c r="AS2433" s="19"/>
      <c r="AT2433" s="19"/>
      <c r="AU2433" s="19"/>
    </row>
    <row r="2434" spans="3:47">
      <c r="C2434" s="20"/>
      <c r="Z2434" s="20"/>
      <c r="AG2434" s="20"/>
      <c r="AQ2434" s="19"/>
      <c r="AR2434" s="19"/>
      <c r="AS2434" s="19"/>
      <c r="AT2434" s="19"/>
      <c r="AU2434" s="19"/>
    </row>
    <row r="2435" spans="3:47">
      <c r="C2435" s="20"/>
      <c r="Z2435" s="20"/>
      <c r="AG2435" s="20"/>
      <c r="AQ2435" s="19"/>
      <c r="AR2435" s="19"/>
      <c r="AS2435" s="19"/>
      <c r="AT2435" s="19"/>
      <c r="AU2435" s="19"/>
    </row>
    <row r="2436" spans="3:47">
      <c r="C2436" s="20"/>
      <c r="Z2436" s="20"/>
      <c r="AG2436" s="20"/>
      <c r="AQ2436" s="19"/>
      <c r="AR2436" s="19"/>
      <c r="AS2436" s="19"/>
      <c r="AT2436" s="19"/>
      <c r="AU2436" s="19"/>
    </row>
    <row r="2437" spans="3:47">
      <c r="C2437" s="20"/>
      <c r="Z2437" s="20"/>
      <c r="AG2437" s="20"/>
      <c r="AQ2437" s="19"/>
      <c r="AR2437" s="19"/>
      <c r="AS2437" s="19"/>
      <c r="AT2437" s="19"/>
      <c r="AU2437" s="19"/>
    </row>
    <row r="2438" spans="3:47">
      <c r="C2438" s="20"/>
      <c r="Z2438" s="20"/>
      <c r="AG2438" s="20"/>
      <c r="AQ2438" s="19"/>
      <c r="AR2438" s="19"/>
      <c r="AS2438" s="19"/>
      <c r="AT2438" s="19"/>
      <c r="AU2438" s="19"/>
    </row>
    <row r="2439" spans="3:47">
      <c r="C2439" s="20"/>
      <c r="Z2439" s="20"/>
      <c r="AG2439" s="20"/>
      <c r="AQ2439" s="19"/>
      <c r="AR2439" s="19"/>
      <c r="AS2439" s="19"/>
      <c r="AT2439" s="19"/>
      <c r="AU2439" s="19"/>
    </row>
    <row r="2440" spans="3:47">
      <c r="C2440" s="20"/>
      <c r="Z2440" s="20"/>
      <c r="AG2440" s="20"/>
      <c r="AQ2440" s="19"/>
      <c r="AR2440" s="19"/>
      <c r="AS2440" s="19"/>
      <c r="AT2440" s="19"/>
      <c r="AU2440" s="19"/>
    </row>
    <row r="2441" spans="3:47">
      <c r="C2441" s="20"/>
      <c r="Z2441" s="20"/>
      <c r="AG2441" s="20"/>
      <c r="AQ2441" s="19"/>
      <c r="AR2441" s="19"/>
      <c r="AS2441" s="19"/>
      <c r="AT2441" s="19"/>
      <c r="AU2441" s="19"/>
    </row>
    <row r="2442" spans="3:47">
      <c r="C2442" s="20"/>
      <c r="Z2442" s="20"/>
      <c r="AG2442" s="20"/>
      <c r="AQ2442" s="19"/>
      <c r="AR2442" s="19"/>
      <c r="AS2442" s="19"/>
      <c r="AT2442" s="19"/>
      <c r="AU2442" s="19"/>
    </row>
    <row r="2443" spans="3:47">
      <c r="C2443" s="20"/>
      <c r="Z2443" s="20"/>
      <c r="AG2443" s="20"/>
      <c r="AQ2443" s="19"/>
      <c r="AR2443" s="19"/>
      <c r="AS2443" s="19"/>
      <c r="AT2443" s="19"/>
      <c r="AU2443" s="19"/>
    </row>
    <row r="2444" spans="3:47">
      <c r="C2444" s="20"/>
      <c r="Z2444" s="20"/>
      <c r="AG2444" s="20"/>
      <c r="AQ2444" s="19"/>
      <c r="AR2444" s="19"/>
      <c r="AS2444" s="19"/>
      <c r="AT2444" s="19"/>
      <c r="AU2444" s="19"/>
    </row>
    <row r="2445" spans="3:47">
      <c r="C2445" s="20"/>
      <c r="Z2445" s="20"/>
      <c r="AG2445" s="20"/>
      <c r="AQ2445" s="19"/>
      <c r="AR2445" s="19"/>
      <c r="AS2445" s="19"/>
      <c r="AT2445" s="19"/>
      <c r="AU2445" s="19"/>
    </row>
    <row r="2446" spans="3:47">
      <c r="C2446" s="20"/>
      <c r="Z2446" s="20"/>
      <c r="AG2446" s="20"/>
      <c r="AQ2446" s="19"/>
      <c r="AR2446" s="19"/>
      <c r="AS2446" s="19"/>
      <c r="AT2446" s="19"/>
      <c r="AU2446" s="19"/>
    </row>
    <row r="2447" spans="3:47">
      <c r="C2447" s="20"/>
      <c r="Z2447" s="20"/>
      <c r="AG2447" s="20"/>
      <c r="AQ2447" s="19"/>
      <c r="AR2447" s="19"/>
      <c r="AS2447" s="19"/>
      <c r="AT2447" s="19"/>
      <c r="AU2447" s="19"/>
    </row>
    <row r="2448" spans="3:47">
      <c r="C2448" s="20"/>
      <c r="Z2448" s="20"/>
      <c r="AG2448" s="20"/>
      <c r="AQ2448" s="19"/>
      <c r="AR2448" s="19"/>
      <c r="AS2448" s="19"/>
      <c r="AT2448" s="19"/>
      <c r="AU2448" s="19"/>
    </row>
    <row r="2449" spans="3:47">
      <c r="C2449" s="20"/>
      <c r="Z2449" s="20"/>
      <c r="AG2449" s="20"/>
      <c r="AQ2449" s="19"/>
      <c r="AR2449" s="19"/>
      <c r="AS2449" s="19"/>
      <c r="AT2449" s="19"/>
      <c r="AU2449" s="19"/>
    </row>
    <row r="2450" spans="3:47">
      <c r="C2450" s="20"/>
      <c r="Z2450" s="20"/>
      <c r="AG2450" s="20"/>
      <c r="AQ2450" s="19"/>
      <c r="AR2450" s="19"/>
      <c r="AS2450" s="19"/>
      <c r="AT2450" s="19"/>
      <c r="AU2450" s="19"/>
    </row>
    <row r="2451" spans="3:47">
      <c r="C2451" s="20"/>
      <c r="Z2451" s="20"/>
      <c r="AG2451" s="20"/>
      <c r="AQ2451" s="19"/>
      <c r="AR2451" s="19"/>
      <c r="AS2451" s="19"/>
      <c r="AT2451" s="19"/>
      <c r="AU2451" s="19"/>
    </row>
    <row r="2452" spans="3:47">
      <c r="C2452" s="20"/>
      <c r="Z2452" s="20"/>
      <c r="AG2452" s="20"/>
      <c r="AQ2452" s="19"/>
      <c r="AR2452" s="19"/>
      <c r="AS2452" s="19"/>
      <c r="AT2452" s="19"/>
      <c r="AU2452" s="19"/>
    </row>
    <row r="2453" spans="3:47">
      <c r="C2453" s="20"/>
      <c r="Z2453" s="20"/>
      <c r="AG2453" s="20"/>
      <c r="AQ2453" s="19"/>
      <c r="AR2453" s="19"/>
      <c r="AS2453" s="19"/>
      <c r="AT2453" s="19"/>
      <c r="AU2453" s="19"/>
    </row>
    <row r="2454" spans="3:47">
      <c r="C2454" s="20"/>
      <c r="Z2454" s="20"/>
      <c r="AG2454" s="20"/>
      <c r="AQ2454" s="19"/>
      <c r="AR2454" s="19"/>
      <c r="AS2454" s="19"/>
      <c r="AT2454" s="19"/>
      <c r="AU2454" s="19"/>
    </row>
    <row r="2455" spans="3:47">
      <c r="C2455" s="20"/>
      <c r="Z2455" s="20"/>
      <c r="AG2455" s="20"/>
      <c r="AQ2455" s="19"/>
      <c r="AR2455" s="19"/>
      <c r="AS2455" s="19"/>
      <c r="AT2455" s="19"/>
      <c r="AU2455" s="19"/>
    </row>
    <row r="2456" spans="3:47">
      <c r="C2456" s="20"/>
      <c r="Z2456" s="20"/>
      <c r="AG2456" s="20"/>
      <c r="AQ2456" s="19"/>
      <c r="AR2456" s="19"/>
      <c r="AS2456" s="19"/>
      <c r="AT2456" s="19"/>
      <c r="AU2456" s="19"/>
    </row>
    <row r="2457" spans="3:47">
      <c r="C2457" s="20"/>
      <c r="Z2457" s="20"/>
      <c r="AG2457" s="20"/>
      <c r="AQ2457" s="19"/>
      <c r="AR2457" s="19"/>
      <c r="AS2457" s="19"/>
      <c r="AT2457" s="19"/>
      <c r="AU2457" s="19"/>
    </row>
    <row r="2458" spans="3:47">
      <c r="C2458" s="20"/>
      <c r="Z2458" s="20"/>
      <c r="AG2458" s="20"/>
      <c r="AQ2458" s="19"/>
      <c r="AR2458" s="19"/>
      <c r="AS2458" s="19"/>
      <c r="AT2458" s="19"/>
      <c r="AU2458" s="19"/>
    </row>
    <row r="2459" spans="3:47">
      <c r="C2459" s="20"/>
      <c r="Z2459" s="20"/>
      <c r="AG2459" s="20"/>
      <c r="AQ2459" s="19"/>
      <c r="AR2459" s="19"/>
      <c r="AS2459" s="19"/>
      <c r="AT2459" s="19"/>
      <c r="AU2459" s="19"/>
    </row>
    <row r="2460" spans="3:47">
      <c r="C2460" s="20"/>
      <c r="Z2460" s="20"/>
      <c r="AG2460" s="20"/>
      <c r="AQ2460" s="19"/>
      <c r="AR2460" s="19"/>
      <c r="AS2460" s="19"/>
      <c r="AT2460" s="19"/>
      <c r="AU2460" s="19"/>
    </row>
    <row r="2461" spans="3:47">
      <c r="C2461" s="20"/>
      <c r="Z2461" s="20"/>
      <c r="AG2461" s="20"/>
      <c r="AQ2461" s="19"/>
      <c r="AR2461" s="19"/>
      <c r="AS2461" s="19"/>
      <c r="AT2461" s="19"/>
      <c r="AU2461" s="19"/>
    </row>
    <row r="2462" spans="3:47">
      <c r="C2462" s="20"/>
      <c r="Z2462" s="20"/>
      <c r="AG2462" s="20"/>
      <c r="AQ2462" s="19"/>
      <c r="AR2462" s="19"/>
      <c r="AS2462" s="19"/>
      <c r="AT2462" s="19"/>
      <c r="AU2462" s="19"/>
    </row>
    <row r="2463" spans="3:47">
      <c r="C2463" s="20"/>
      <c r="Z2463" s="20"/>
      <c r="AG2463" s="20"/>
      <c r="AQ2463" s="19"/>
      <c r="AR2463" s="19"/>
      <c r="AS2463" s="19"/>
      <c r="AT2463" s="19"/>
      <c r="AU2463" s="19"/>
    </row>
    <row r="2464" spans="3:47">
      <c r="C2464" s="20"/>
      <c r="Z2464" s="20"/>
      <c r="AG2464" s="20"/>
      <c r="AQ2464" s="19"/>
      <c r="AR2464" s="19"/>
      <c r="AS2464" s="19"/>
      <c r="AT2464" s="19"/>
      <c r="AU2464" s="19"/>
    </row>
    <row r="2465" spans="3:47">
      <c r="C2465" s="20"/>
      <c r="Z2465" s="20"/>
      <c r="AG2465" s="20"/>
      <c r="AQ2465" s="19"/>
      <c r="AR2465" s="19"/>
      <c r="AS2465" s="19"/>
      <c r="AT2465" s="19"/>
      <c r="AU2465" s="19"/>
    </row>
    <row r="2466" spans="3:47">
      <c r="C2466" s="20"/>
      <c r="Z2466" s="20"/>
      <c r="AG2466" s="20"/>
      <c r="AQ2466" s="19"/>
      <c r="AR2466" s="19"/>
      <c r="AS2466" s="19"/>
      <c r="AT2466" s="19"/>
      <c r="AU2466" s="19"/>
    </row>
    <row r="2467" spans="3:47">
      <c r="C2467" s="20"/>
      <c r="Z2467" s="20"/>
      <c r="AG2467" s="20"/>
      <c r="AQ2467" s="19"/>
      <c r="AR2467" s="19"/>
      <c r="AS2467" s="19"/>
      <c r="AT2467" s="19"/>
      <c r="AU2467" s="19"/>
    </row>
    <row r="2468" spans="3:47">
      <c r="C2468" s="20"/>
      <c r="Z2468" s="20"/>
      <c r="AG2468" s="20"/>
      <c r="AQ2468" s="19"/>
      <c r="AR2468" s="19"/>
      <c r="AS2468" s="19"/>
      <c r="AT2468" s="19"/>
      <c r="AU2468" s="19"/>
    </row>
    <row r="2469" spans="3:47">
      <c r="C2469" s="20"/>
      <c r="Z2469" s="20"/>
      <c r="AG2469" s="20"/>
      <c r="AQ2469" s="19"/>
      <c r="AR2469" s="19"/>
      <c r="AS2469" s="19"/>
      <c r="AT2469" s="19"/>
      <c r="AU2469" s="19"/>
    </row>
    <row r="2470" spans="3:47">
      <c r="C2470" s="20"/>
      <c r="Z2470" s="20"/>
      <c r="AG2470" s="20"/>
      <c r="AQ2470" s="19"/>
      <c r="AR2470" s="19"/>
      <c r="AS2470" s="19"/>
      <c r="AT2470" s="19"/>
      <c r="AU2470" s="19"/>
    </row>
    <row r="2471" spans="3:47">
      <c r="C2471" s="20"/>
      <c r="Z2471" s="20"/>
      <c r="AG2471" s="20"/>
      <c r="AQ2471" s="19"/>
      <c r="AR2471" s="19"/>
      <c r="AS2471" s="19"/>
      <c r="AT2471" s="19"/>
      <c r="AU2471" s="19"/>
    </row>
    <row r="2472" spans="3:47">
      <c r="C2472" s="20"/>
      <c r="Z2472" s="20"/>
      <c r="AG2472" s="20"/>
      <c r="AQ2472" s="19"/>
      <c r="AR2472" s="19"/>
      <c r="AS2472" s="19"/>
      <c r="AT2472" s="19"/>
      <c r="AU2472" s="19"/>
    </row>
    <row r="2473" spans="3:47">
      <c r="C2473" s="20"/>
      <c r="Z2473" s="20"/>
      <c r="AG2473" s="20"/>
      <c r="AQ2473" s="19"/>
      <c r="AR2473" s="19"/>
      <c r="AS2473" s="19"/>
      <c r="AT2473" s="19"/>
      <c r="AU2473" s="19"/>
    </row>
    <row r="2474" spans="3:47">
      <c r="C2474" s="20"/>
      <c r="Z2474" s="20"/>
      <c r="AG2474" s="20"/>
      <c r="AQ2474" s="19"/>
      <c r="AR2474" s="19"/>
      <c r="AS2474" s="19"/>
      <c r="AT2474" s="19"/>
      <c r="AU2474" s="19"/>
    </row>
    <row r="2475" spans="3:47">
      <c r="C2475" s="20"/>
      <c r="Z2475" s="20"/>
      <c r="AG2475" s="20"/>
      <c r="AQ2475" s="19"/>
      <c r="AR2475" s="19"/>
      <c r="AS2475" s="19"/>
      <c r="AT2475" s="19"/>
      <c r="AU2475" s="19"/>
    </row>
    <row r="2476" spans="3:47">
      <c r="C2476" s="20"/>
      <c r="Z2476" s="20"/>
      <c r="AG2476" s="20"/>
      <c r="AQ2476" s="19"/>
      <c r="AR2476" s="19"/>
      <c r="AS2476" s="19"/>
      <c r="AT2476" s="19"/>
      <c r="AU2476" s="19"/>
    </row>
    <row r="2477" spans="3:47">
      <c r="C2477" s="20"/>
      <c r="Z2477" s="20"/>
      <c r="AG2477" s="20"/>
      <c r="AQ2477" s="19"/>
      <c r="AR2477" s="19"/>
      <c r="AS2477" s="19"/>
      <c r="AT2477" s="19"/>
      <c r="AU2477" s="19"/>
    </row>
    <row r="2478" spans="3:47">
      <c r="C2478" s="20"/>
      <c r="Z2478" s="20"/>
      <c r="AG2478" s="20"/>
      <c r="AQ2478" s="19"/>
      <c r="AR2478" s="19"/>
      <c r="AS2478" s="19"/>
      <c r="AT2478" s="19"/>
      <c r="AU2478" s="19"/>
    </row>
    <row r="2479" spans="3:47">
      <c r="C2479" s="20"/>
      <c r="Z2479" s="20"/>
      <c r="AG2479" s="20"/>
      <c r="AQ2479" s="19"/>
      <c r="AR2479" s="19"/>
      <c r="AS2479" s="19"/>
      <c r="AT2479" s="19"/>
      <c r="AU2479" s="19"/>
    </row>
    <row r="2480" spans="3:47">
      <c r="C2480" s="20"/>
      <c r="Z2480" s="20"/>
      <c r="AG2480" s="20"/>
      <c r="AQ2480" s="19"/>
      <c r="AR2480" s="19"/>
      <c r="AS2480" s="19"/>
      <c r="AT2480" s="19"/>
      <c r="AU2480" s="19"/>
    </row>
    <row r="2481" spans="3:47">
      <c r="C2481" s="20"/>
      <c r="Z2481" s="20"/>
      <c r="AG2481" s="20"/>
      <c r="AQ2481" s="19"/>
      <c r="AR2481" s="19"/>
      <c r="AS2481" s="19"/>
      <c r="AT2481" s="19"/>
      <c r="AU2481" s="19"/>
    </row>
    <row r="2482" spans="3:47">
      <c r="C2482" s="20"/>
      <c r="Z2482" s="20"/>
      <c r="AG2482" s="20"/>
      <c r="AQ2482" s="19"/>
      <c r="AR2482" s="19"/>
      <c r="AS2482" s="19"/>
      <c r="AT2482" s="19"/>
      <c r="AU2482" s="19"/>
    </row>
    <row r="2483" spans="3:47">
      <c r="C2483" s="20"/>
      <c r="Z2483" s="20"/>
      <c r="AG2483" s="20"/>
      <c r="AQ2483" s="19"/>
      <c r="AR2483" s="19"/>
      <c r="AS2483" s="19"/>
      <c r="AT2483" s="19"/>
      <c r="AU2483" s="19"/>
    </row>
    <row r="2484" spans="3:47">
      <c r="C2484" s="20"/>
      <c r="Z2484" s="20"/>
      <c r="AG2484" s="20"/>
      <c r="AQ2484" s="19"/>
      <c r="AR2484" s="19"/>
      <c r="AS2484" s="19"/>
      <c r="AT2484" s="19"/>
      <c r="AU2484" s="19"/>
    </row>
    <row r="2485" spans="3:47">
      <c r="C2485" s="20"/>
      <c r="Z2485" s="20"/>
      <c r="AG2485" s="20"/>
      <c r="AQ2485" s="19"/>
      <c r="AR2485" s="19"/>
      <c r="AS2485" s="19"/>
      <c r="AT2485" s="19"/>
      <c r="AU2485" s="19"/>
    </row>
    <row r="2486" spans="3:47">
      <c r="C2486" s="20"/>
      <c r="Z2486" s="20"/>
      <c r="AG2486" s="20"/>
      <c r="AQ2486" s="19"/>
      <c r="AR2486" s="19"/>
      <c r="AS2486" s="19"/>
      <c r="AT2486" s="19"/>
      <c r="AU2486" s="19"/>
    </row>
    <row r="2487" spans="3:47">
      <c r="C2487" s="20"/>
      <c r="Z2487" s="20"/>
      <c r="AG2487" s="20"/>
      <c r="AQ2487" s="19"/>
      <c r="AR2487" s="19"/>
      <c r="AS2487" s="19"/>
      <c r="AT2487" s="19"/>
      <c r="AU2487" s="19"/>
    </row>
    <row r="2488" spans="3:47">
      <c r="C2488" s="20"/>
      <c r="Z2488" s="20"/>
      <c r="AG2488" s="20"/>
      <c r="AQ2488" s="19"/>
      <c r="AR2488" s="19"/>
      <c r="AS2488" s="19"/>
      <c r="AT2488" s="19"/>
      <c r="AU2488" s="19"/>
    </row>
    <row r="2489" spans="3:47">
      <c r="C2489" s="20"/>
      <c r="Z2489" s="20"/>
      <c r="AG2489" s="20"/>
      <c r="AQ2489" s="19"/>
      <c r="AR2489" s="19"/>
      <c r="AS2489" s="19"/>
      <c r="AT2489" s="19"/>
      <c r="AU2489" s="19"/>
    </row>
    <row r="2490" spans="3:47">
      <c r="C2490" s="20"/>
      <c r="Z2490" s="20"/>
      <c r="AG2490" s="20"/>
      <c r="AQ2490" s="19"/>
      <c r="AR2490" s="19"/>
      <c r="AS2490" s="19"/>
      <c r="AT2490" s="19"/>
      <c r="AU2490" s="19"/>
    </row>
    <row r="2491" spans="3:47">
      <c r="C2491" s="20"/>
      <c r="Z2491" s="20"/>
      <c r="AG2491" s="20"/>
      <c r="AQ2491" s="19"/>
      <c r="AR2491" s="19"/>
      <c r="AS2491" s="19"/>
      <c r="AT2491" s="19"/>
      <c r="AU2491" s="19"/>
    </row>
    <row r="2492" spans="3:47">
      <c r="C2492" s="20"/>
      <c r="Z2492" s="20"/>
      <c r="AG2492" s="20"/>
      <c r="AQ2492" s="19"/>
      <c r="AR2492" s="19"/>
      <c r="AS2492" s="19"/>
      <c r="AT2492" s="19"/>
      <c r="AU2492" s="19"/>
    </row>
    <row r="2493" spans="3:47">
      <c r="C2493" s="20"/>
      <c r="Z2493" s="20"/>
      <c r="AG2493" s="20"/>
      <c r="AQ2493" s="19"/>
      <c r="AR2493" s="19"/>
      <c r="AS2493" s="19"/>
      <c r="AT2493" s="19"/>
      <c r="AU2493" s="19"/>
    </row>
    <row r="2494" spans="3:47">
      <c r="C2494" s="20"/>
      <c r="Z2494" s="20"/>
      <c r="AG2494" s="20"/>
      <c r="AQ2494" s="19"/>
      <c r="AR2494" s="19"/>
      <c r="AS2494" s="19"/>
      <c r="AT2494" s="19"/>
      <c r="AU2494" s="19"/>
    </row>
    <row r="2495" spans="3:47">
      <c r="C2495" s="20"/>
      <c r="Z2495" s="20"/>
      <c r="AG2495" s="20"/>
      <c r="AQ2495" s="19"/>
      <c r="AR2495" s="19"/>
      <c r="AS2495" s="19"/>
      <c r="AT2495" s="19"/>
      <c r="AU2495" s="19"/>
    </row>
    <row r="2496" spans="3:47">
      <c r="C2496" s="20"/>
      <c r="Z2496" s="20"/>
      <c r="AG2496" s="20"/>
      <c r="AQ2496" s="19"/>
      <c r="AR2496" s="19"/>
      <c r="AS2496" s="19"/>
      <c r="AT2496" s="19"/>
      <c r="AU2496" s="19"/>
    </row>
    <row r="2497" spans="3:47">
      <c r="C2497" s="20"/>
      <c r="Z2497" s="20"/>
      <c r="AG2497" s="20"/>
      <c r="AQ2497" s="19"/>
      <c r="AR2497" s="19"/>
      <c r="AS2497" s="19"/>
      <c r="AT2497" s="19"/>
      <c r="AU2497" s="19"/>
    </row>
    <row r="2498" spans="3:47">
      <c r="C2498" s="20"/>
      <c r="Z2498" s="20"/>
      <c r="AG2498" s="20"/>
      <c r="AQ2498" s="19"/>
      <c r="AR2498" s="19"/>
      <c r="AS2498" s="19"/>
      <c r="AT2498" s="19"/>
      <c r="AU2498" s="19"/>
    </row>
    <row r="2499" spans="3:47">
      <c r="C2499" s="20"/>
      <c r="Z2499" s="20"/>
      <c r="AG2499" s="20"/>
      <c r="AQ2499" s="19"/>
      <c r="AR2499" s="19"/>
      <c r="AS2499" s="19"/>
      <c r="AT2499" s="19"/>
      <c r="AU2499" s="19"/>
    </row>
    <row r="2500" spans="3:47">
      <c r="C2500" s="20"/>
      <c r="Z2500" s="20"/>
      <c r="AG2500" s="20"/>
      <c r="AQ2500" s="19"/>
      <c r="AR2500" s="19"/>
      <c r="AS2500" s="19"/>
      <c r="AT2500" s="19"/>
      <c r="AU2500" s="19"/>
    </row>
    <row r="2501" spans="3:47">
      <c r="C2501" s="20"/>
      <c r="Z2501" s="20"/>
      <c r="AG2501" s="20"/>
      <c r="AQ2501" s="19"/>
      <c r="AR2501" s="19"/>
      <c r="AS2501" s="19"/>
      <c r="AT2501" s="19"/>
      <c r="AU2501" s="19"/>
    </row>
    <row r="2502" spans="3:47">
      <c r="C2502" s="20"/>
      <c r="Z2502" s="20"/>
      <c r="AG2502" s="20"/>
      <c r="AQ2502" s="19"/>
      <c r="AR2502" s="19"/>
      <c r="AS2502" s="19"/>
      <c r="AT2502" s="19"/>
      <c r="AU2502" s="19"/>
    </row>
    <row r="2503" spans="3:47">
      <c r="C2503" s="20"/>
      <c r="Z2503" s="20"/>
      <c r="AG2503" s="20"/>
      <c r="AQ2503" s="19"/>
      <c r="AR2503" s="19"/>
      <c r="AS2503" s="19"/>
      <c r="AT2503" s="19"/>
      <c r="AU2503" s="19"/>
    </row>
    <row r="2504" spans="3:47">
      <c r="C2504" s="20"/>
      <c r="Z2504" s="20"/>
      <c r="AG2504" s="20"/>
      <c r="AQ2504" s="19"/>
      <c r="AR2504" s="19"/>
      <c r="AS2504" s="19"/>
      <c r="AT2504" s="19"/>
      <c r="AU2504" s="19"/>
    </row>
    <row r="2505" spans="3:47">
      <c r="C2505" s="20"/>
      <c r="Z2505" s="20"/>
      <c r="AG2505" s="20"/>
      <c r="AQ2505" s="19"/>
      <c r="AR2505" s="19"/>
      <c r="AS2505" s="19"/>
      <c r="AT2505" s="19"/>
      <c r="AU2505" s="19"/>
    </row>
    <row r="2506" spans="3:47">
      <c r="C2506" s="20"/>
      <c r="Z2506" s="20"/>
      <c r="AG2506" s="20"/>
      <c r="AQ2506" s="19"/>
      <c r="AR2506" s="19"/>
      <c r="AS2506" s="19"/>
      <c r="AT2506" s="19"/>
      <c r="AU2506" s="19"/>
    </row>
    <row r="2507" spans="3:47">
      <c r="C2507" s="20"/>
      <c r="Z2507" s="20"/>
      <c r="AG2507" s="20"/>
      <c r="AQ2507" s="19"/>
      <c r="AR2507" s="19"/>
      <c r="AS2507" s="19"/>
      <c r="AT2507" s="19"/>
      <c r="AU2507" s="19"/>
    </row>
    <row r="2508" spans="3:47">
      <c r="C2508" s="20"/>
      <c r="Z2508" s="20"/>
      <c r="AG2508" s="20"/>
      <c r="AQ2508" s="19"/>
      <c r="AR2508" s="19"/>
      <c r="AS2508" s="19"/>
      <c r="AT2508" s="19"/>
      <c r="AU2508" s="19"/>
    </row>
    <row r="2509" spans="3:47">
      <c r="C2509" s="20"/>
      <c r="Z2509" s="20"/>
      <c r="AG2509" s="20"/>
      <c r="AQ2509" s="19"/>
      <c r="AR2509" s="19"/>
      <c r="AS2509" s="19"/>
      <c r="AT2509" s="19"/>
      <c r="AU2509" s="19"/>
    </row>
    <row r="2510" spans="3:47">
      <c r="C2510" s="20"/>
      <c r="Z2510" s="20"/>
      <c r="AG2510" s="20"/>
      <c r="AQ2510" s="19"/>
      <c r="AR2510" s="19"/>
      <c r="AS2510" s="19"/>
      <c r="AT2510" s="19"/>
      <c r="AU2510" s="19"/>
    </row>
    <row r="2511" spans="3:47">
      <c r="C2511" s="20"/>
      <c r="Z2511" s="20"/>
      <c r="AG2511" s="20"/>
      <c r="AQ2511" s="19"/>
      <c r="AR2511" s="19"/>
      <c r="AS2511" s="19"/>
      <c r="AT2511" s="19"/>
      <c r="AU2511" s="19"/>
    </row>
    <row r="2512" spans="3:47">
      <c r="C2512" s="20"/>
      <c r="Z2512" s="20"/>
      <c r="AG2512" s="20"/>
      <c r="AQ2512" s="19"/>
      <c r="AR2512" s="19"/>
      <c r="AS2512" s="19"/>
      <c r="AT2512" s="19"/>
      <c r="AU2512" s="19"/>
    </row>
    <row r="2513" spans="3:47">
      <c r="C2513" s="20"/>
      <c r="Z2513" s="20"/>
      <c r="AG2513" s="20"/>
      <c r="AQ2513" s="19"/>
      <c r="AR2513" s="19"/>
      <c r="AS2513" s="19"/>
      <c r="AT2513" s="19"/>
      <c r="AU2513" s="19"/>
    </row>
    <row r="2514" spans="3:47">
      <c r="C2514" s="20"/>
      <c r="Z2514" s="20"/>
      <c r="AG2514" s="20"/>
      <c r="AQ2514" s="19"/>
      <c r="AR2514" s="19"/>
      <c r="AS2514" s="19"/>
      <c r="AT2514" s="19"/>
      <c r="AU2514" s="19"/>
    </row>
    <row r="2515" spans="3:47">
      <c r="C2515" s="20"/>
      <c r="Z2515" s="20"/>
      <c r="AG2515" s="20"/>
      <c r="AQ2515" s="19"/>
      <c r="AR2515" s="19"/>
      <c r="AS2515" s="19"/>
      <c r="AT2515" s="19"/>
      <c r="AU2515" s="19"/>
    </row>
    <row r="2516" spans="3:47">
      <c r="C2516" s="20"/>
      <c r="Z2516" s="20"/>
      <c r="AG2516" s="20"/>
      <c r="AQ2516" s="19"/>
      <c r="AR2516" s="19"/>
      <c r="AS2516" s="19"/>
      <c r="AT2516" s="19"/>
      <c r="AU2516" s="19"/>
    </row>
    <row r="2517" spans="3:47">
      <c r="C2517" s="20"/>
      <c r="Z2517" s="20"/>
      <c r="AG2517" s="20"/>
      <c r="AQ2517" s="19"/>
      <c r="AR2517" s="19"/>
      <c r="AS2517" s="19"/>
      <c r="AT2517" s="19"/>
      <c r="AU2517" s="19"/>
    </row>
    <row r="2518" spans="3:47">
      <c r="C2518" s="20"/>
      <c r="Z2518" s="20"/>
      <c r="AG2518" s="20"/>
      <c r="AQ2518" s="19"/>
      <c r="AR2518" s="19"/>
      <c r="AS2518" s="19"/>
      <c r="AT2518" s="19"/>
      <c r="AU2518" s="19"/>
    </row>
    <row r="2519" spans="3:47">
      <c r="C2519" s="20"/>
      <c r="Z2519" s="20"/>
      <c r="AG2519" s="20"/>
      <c r="AQ2519" s="19"/>
      <c r="AR2519" s="19"/>
      <c r="AS2519" s="19"/>
      <c r="AT2519" s="19"/>
      <c r="AU2519" s="19"/>
    </row>
    <row r="2520" spans="3:47">
      <c r="C2520" s="20"/>
      <c r="Z2520" s="20"/>
      <c r="AG2520" s="20"/>
      <c r="AQ2520" s="19"/>
      <c r="AR2520" s="19"/>
      <c r="AS2520" s="19"/>
      <c r="AT2520" s="19"/>
      <c r="AU2520" s="19"/>
    </row>
    <row r="2521" spans="3:47">
      <c r="C2521" s="20"/>
      <c r="Z2521" s="20"/>
      <c r="AG2521" s="20"/>
      <c r="AQ2521" s="19"/>
      <c r="AR2521" s="19"/>
      <c r="AS2521" s="19"/>
      <c r="AT2521" s="19"/>
      <c r="AU2521" s="19"/>
    </row>
    <row r="2522" spans="3:47">
      <c r="C2522" s="20"/>
      <c r="Z2522" s="20"/>
      <c r="AG2522" s="20"/>
      <c r="AQ2522" s="19"/>
      <c r="AR2522" s="19"/>
      <c r="AS2522" s="19"/>
      <c r="AT2522" s="19"/>
      <c r="AU2522" s="19"/>
    </row>
    <row r="2523" spans="3:47">
      <c r="C2523" s="20"/>
      <c r="Z2523" s="20"/>
      <c r="AG2523" s="20"/>
      <c r="AQ2523" s="19"/>
      <c r="AR2523" s="19"/>
      <c r="AS2523" s="19"/>
      <c r="AT2523" s="19"/>
      <c r="AU2523" s="19"/>
    </row>
    <row r="2524" spans="3:47">
      <c r="C2524" s="20"/>
      <c r="Z2524" s="20"/>
      <c r="AG2524" s="20"/>
      <c r="AQ2524" s="19"/>
      <c r="AR2524" s="19"/>
      <c r="AS2524" s="19"/>
      <c r="AT2524" s="19"/>
      <c r="AU2524" s="19"/>
    </row>
    <row r="2525" spans="3:47">
      <c r="C2525" s="20"/>
      <c r="Z2525" s="20"/>
      <c r="AG2525" s="20"/>
      <c r="AQ2525" s="19"/>
      <c r="AR2525" s="19"/>
      <c r="AS2525" s="19"/>
      <c r="AT2525" s="19"/>
      <c r="AU2525" s="19"/>
    </row>
    <row r="2526" spans="3:47">
      <c r="C2526" s="20"/>
      <c r="Z2526" s="20"/>
      <c r="AG2526" s="20"/>
      <c r="AQ2526" s="19"/>
      <c r="AR2526" s="19"/>
      <c r="AS2526" s="19"/>
      <c r="AT2526" s="19"/>
      <c r="AU2526" s="19"/>
    </row>
    <row r="2527" spans="3:47">
      <c r="C2527" s="20"/>
      <c r="Z2527" s="20"/>
      <c r="AG2527" s="20"/>
      <c r="AQ2527" s="19"/>
      <c r="AR2527" s="19"/>
      <c r="AS2527" s="19"/>
      <c r="AT2527" s="19"/>
      <c r="AU2527" s="19"/>
    </row>
    <row r="2528" spans="3:47">
      <c r="C2528" s="20"/>
      <c r="Z2528" s="20"/>
      <c r="AG2528" s="20"/>
      <c r="AQ2528" s="19"/>
      <c r="AR2528" s="19"/>
      <c r="AS2528" s="19"/>
      <c r="AT2528" s="19"/>
      <c r="AU2528" s="19"/>
    </row>
    <row r="2529" spans="3:47">
      <c r="C2529" s="20"/>
      <c r="Z2529" s="20"/>
      <c r="AG2529" s="20"/>
      <c r="AQ2529" s="19"/>
      <c r="AR2529" s="19"/>
      <c r="AS2529" s="19"/>
      <c r="AT2529" s="19"/>
      <c r="AU2529" s="19"/>
    </row>
    <row r="2530" spans="3:47">
      <c r="C2530" s="20"/>
      <c r="Z2530" s="20"/>
      <c r="AG2530" s="20"/>
      <c r="AQ2530" s="19"/>
      <c r="AR2530" s="19"/>
      <c r="AS2530" s="19"/>
      <c r="AT2530" s="19"/>
      <c r="AU2530" s="19"/>
    </row>
    <row r="2531" spans="3:47">
      <c r="C2531" s="20"/>
      <c r="Z2531" s="20"/>
      <c r="AG2531" s="20"/>
      <c r="AQ2531" s="19"/>
      <c r="AR2531" s="19"/>
      <c r="AS2531" s="19"/>
      <c r="AT2531" s="19"/>
      <c r="AU2531" s="19"/>
    </row>
    <row r="2532" spans="3:47">
      <c r="C2532" s="20"/>
      <c r="Z2532" s="20"/>
      <c r="AG2532" s="20"/>
      <c r="AQ2532" s="19"/>
      <c r="AR2532" s="19"/>
      <c r="AS2532" s="19"/>
      <c r="AT2532" s="19"/>
      <c r="AU2532" s="19"/>
    </row>
    <row r="2533" spans="3:47">
      <c r="C2533" s="20"/>
      <c r="Z2533" s="20"/>
      <c r="AG2533" s="20"/>
      <c r="AQ2533" s="19"/>
      <c r="AR2533" s="19"/>
      <c r="AS2533" s="19"/>
      <c r="AT2533" s="19"/>
      <c r="AU2533" s="19"/>
    </row>
    <row r="2534" spans="3:47">
      <c r="C2534" s="20"/>
      <c r="Z2534" s="20"/>
      <c r="AG2534" s="20"/>
      <c r="AQ2534" s="19"/>
      <c r="AR2534" s="19"/>
      <c r="AS2534" s="19"/>
      <c r="AT2534" s="19"/>
      <c r="AU2534" s="19"/>
    </row>
    <row r="2535" spans="3:47">
      <c r="C2535" s="20"/>
      <c r="Z2535" s="20"/>
      <c r="AG2535" s="20"/>
      <c r="AQ2535" s="19"/>
      <c r="AR2535" s="19"/>
      <c r="AS2535" s="19"/>
      <c r="AT2535" s="19"/>
      <c r="AU2535" s="19"/>
    </row>
    <row r="2536" spans="3:47">
      <c r="C2536" s="20"/>
      <c r="Z2536" s="20"/>
      <c r="AG2536" s="20"/>
      <c r="AQ2536" s="19"/>
      <c r="AR2536" s="19"/>
      <c r="AS2536" s="19"/>
      <c r="AT2536" s="19"/>
      <c r="AU2536" s="19"/>
    </row>
    <row r="2537" spans="3:47">
      <c r="C2537" s="20"/>
      <c r="Z2537" s="20"/>
      <c r="AG2537" s="20"/>
      <c r="AQ2537" s="19"/>
      <c r="AR2537" s="19"/>
      <c r="AS2537" s="19"/>
      <c r="AT2537" s="19"/>
      <c r="AU2537" s="19"/>
    </row>
    <row r="2538" spans="3:47">
      <c r="C2538" s="20"/>
      <c r="Z2538" s="20"/>
      <c r="AG2538" s="20"/>
      <c r="AQ2538" s="19"/>
      <c r="AR2538" s="19"/>
      <c r="AS2538" s="19"/>
      <c r="AT2538" s="19"/>
      <c r="AU2538" s="19"/>
    </row>
    <row r="2539" spans="3:47">
      <c r="C2539" s="20"/>
      <c r="Z2539" s="20"/>
      <c r="AG2539" s="20"/>
      <c r="AQ2539" s="19"/>
      <c r="AR2539" s="19"/>
      <c r="AS2539" s="19"/>
      <c r="AT2539" s="19"/>
      <c r="AU2539" s="19"/>
    </row>
    <row r="2540" spans="3:47">
      <c r="C2540" s="20"/>
      <c r="Z2540" s="20"/>
      <c r="AG2540" s="20"/>
      <c r="AQ2540" s="19"/>
      <c r="AR2540" s="19"/>
      <c r="AS2540" s="19"/>
      <c r="AT2540" s="19"/>
      <c r="AU2540" s="19"/>
    </row>
    <row r="2541" spans="3:47">
      <c r="C2541" s="20"/>
      <c r="Z2541" s="20"/>
      <c r="AG2541" s="20"/>
      <c r="AQ2541" s="19"/>
      <c r="AR2541" s="19"/>
      <c r="AS2541" s="19"/>
      <c r="AT2541" s="19"/>
      <c r="AU2541" s="19"/>
    </row>
    <row r="2542" spans="3:47">
      <c r="C2542" s="20"/>
      <c r="Z2542" s="20"/>
      <c r="AG2542" s="20"/>
      <c r="AQ2542" s="19"/>
      <c r="AR2542" s="19"/>
      <c r="AS2542" s="19"/>
      <c r="AT2542" s="19"/>
      <c r="AU2542" s="19"/>
    </row>
    <row r="2543" spans="3:47">
      <c r="C2543" s="20"/>
      <c r="Z2543" s="20"/>
      <c r="AG2543" s="20"/>
      <c r="AQ2543" s="19"/>
      <c r="AR2543" s="19"/>
      <c r="AS2543" s="19"/>
      <c r="AT2543" s="19"/>
      <c r="AU2543" s="19"/>
    </row>
    <row r="2544" spans="3:47">
      <c r="C2544" s="20"/>
      <c r="Z2544" s="20"/>
      <c r="AG2544" s="20"/>
      <c r="AQ2544" s="19"/>
      <c r="AR2544" s="19"/>
      <c r="AS2544" s="19"/>
      <c r="AT2544" s="19"/>
      <c r="AU2544" s="19"/>
    </row>
    <row r="2545" spans="3:47">
      <c r="C2545" s="20"/>
      <c r="Z2545" s="20"/>
      <c r="AG2545" s="20"/>
      <c r="AQ2545" s="19"/>
      <c r="AR2545" s="19"/>
      <c r="AS2545" s="19"/>
      <c r="AT2545" s="19"/>
      <c r="AU2545" s="19"/>
    </row>
    <row r="2546" spans="3:47">
      <c r="C2546" s="20"/>
      <c r="Z2546" s="20"/>
      <c r="AG2546" s="20"/>
      <c r="AQ2546" s="19"/>
      <c r="AR2546" s="19"/>
      <c r="AS2546" s="19"/>
      <c r="AT2546" s="19"/>
      <c r="AU2546" s="19"/>
    </row>
    <row r="2547" spans="3:47">
      <c r="C2547" s="20"/>
      <c r="Z2547" s="20"/>
      <c r="AG2547" s="20"/>
      <c r="AQ2547" s="19"/>
      <c r="AR2547" s="19"/>
      <c r="AS2547" s="19"/>
      <c r="AT2547" s="19"/>
      <c r="AU2547" s="19"/>
    </row>
    <row r="2548" spans="3:47">
      <c r="C2548" s="20"/>
      <c r="Z2548" s="20"/>
      <c r="AG2548" s="20"/>
      <c r="AQ2548" s="19"/>
      <c r="AR2548" s="19"/>
      <c r="AS2548" s="19"/>
      <c r="AT2548" s="19"/>
      <c r="AU2548" s="19"/>
    </row>
    <row r="2549" spans="3:47">
      <c r="C2549" s="20"/>
      <c r="Z2549" s="20"/>
      <c r="AG2549" s="20"/>
      <c r="AQ2549" s="19"/>
      <c r="AR2549" s="19"/>
      <c r="AS2549" s="19"/>
      <c r="AT2549" s="19"/>
      <c r="AU2549" s="19"/>
    </row>
    <row r="2550" spans="3:47">
      <c r="C2550" s="20"/>
      <c r="Z2550" s="20"/>
      <c r="AG2550" s="20"/>
      <c r="AQ2550" s="19"/>
      <c r="AR2550" s="19"/>
      <c r="AS2550" s="19"/>
      <c r="AT2550" s="19"/>
      <c r="AU2550" s="19"/>
    </row>
    <row r="2551" spans="3:47">
      <c r="C2551" s="20"/>
      <c r="Z2551" s="20"/>
      <c r="AG2551" s="20"/>
      <c r="AQ2551" s="19"/>
      <c r="AR2551" s="19"/>
      <c r="AS2551" s="19"/>
      <c r="AT2551" s="19"/>
      <c r="AU2551" s="19"/>
    </row>
    <row r="2552" spans="3:47">
      <c r="C2552" s="20"/>
      <c r="Z2552" s="20"/>
      <c r="AG2552" s="20"/>
      <c r="AQ2552" s="19"/>
      <c r="AR2552" s="19"/>
      <c r="AS2552" s="19"/>
      <c r="AT2552" s="19"/>
      <c r="AU2552" s="19"/>
    </row>
    <row r="2553" spans="3:47">
      <c r="C2553" s="20"/>
      <c r="Z2553" s="20"/>
      <c r="AG2553" s="20"/>
      <c r="AQ2553" s="19"/>
      <c r="AR2553" s="19"/>
      <c r="AS2553" s="19"/>
      <c r="AT2553" s="19"/>
      <c r="AU2553" s="19"/>
    </row>
    <row r="2554" spans="3:47">
      <c r="C2554" s="20"/>
      <c r="Z2554" s="20"/>
      <c r="AG2554" s="20"/>
      <c r="AQ2554" s="19"/>
      <c r="AR2554" s="19"/>
      <c r="AS2554" s="19"/>
      <c r="AT2554" s="19"/>
      <c r="AU2554" s="19"/>
    </row>
    <row r="2555" spans="3:47">
      <c r="C2555" s="20"/>
      <c r="Z2555" s="20"/>
      <c r="AG2555" s="20"/>
      <c r="AQ2555" s="19"/>
      <c r="AR2555" s="19"/>
      <c r="AS2555" s="19"/>
      <c r="AT2555" s="19"/>
      <c r="AU2555" s="19"/>
    </row>
    <row r="2556" spans="3:47">
      <c r="C2556" s="20"/>
      <c r="Z2556" s="20"/>
      <c r="AG2556" s="20"/>
      <c r="AQ2556" s="19"/>
      <c r="AR2556" s="19"/>
      <c r="AS2556" s="19"/>
      <c r="AT2556" s="19"/>
      <c r="AU2556" s="19"/>
    </row>
    <row r="2557" spans="3:47">
      <c r="C2557" s="20"/>
      <c r="Z2557" s="20"/>
      <c r="AG2557" s="20"/>
      <c r="AQ2557" s="19"/>
      <c r="AR2557" s="19"/>
      <c r="AS2557" s="19"/>
      <c r="AT2557" s="19"/>
      <c r="AU2557" s="19"/>
    </row>
    <row r="2558" spans="3:47">
      <c r="C2558" s="20"/>
      <c r="Z2558" s="20"/>
      <c r="AG2558" s="20"/>
      <c r="AQ2558" s="19"/>
      <c r="AR2558" s="19"/>
      <c r="AS2558" s="19"/>
      <c r="AT2558" s="19"/>
      <c r="AU2558" s="19"/>
    </row>
    <row r="2559" spans="3:47">
      <c r="C2559" s="20"/>
      <c r="Z2559" s="20"/>
      <c r="AG2559" s="20"/>
      <c r="AQ2559" s="19"/>
      <c r="AR2559" s="19"/>
      <c r="AS2559" s="19"/>
      <c r="AT2559" s="19"/>
      <c r="AU2559" s="19"/>
    </row>
    <row r="2560" spans="3:47">
      <c r="C2560" s="20"/>
      <c r="Z2560" s="20"/>
      <c r="AG2560" s="20"/>
      <c r="AQ2560" s="19"/>
      <c r="AR2560" s="19"/>
      <c r="AS2560" s="19"/>
      <c r="AT2560" s="19"/>
      <c r="AU2560" s="19"/>
    </row>
    <row r="2561" spans="3:47">
      <c r="C2561" s="20"/>
      <c r="Z2561" s="20"/>
      <c r="AG2561" s="20"/>
      <c r="AQ2561" s="19"/>
      <c r="AR2561" s="19"/>
      <c r="AS2561" s="19"/>
      <c r="AT2561" s="19"/>
      <c r="AU2561" s="19"/>
    </row>
    <row r="2562" spans="3:47">
      <c r="C2562" s="20"/>
      <c r="Z2562" s="20"/>
      <c r="AG2562" s="20"/>
      <c r="AQ2562" s="19"/>
      <c r="AR2562" s="19"/>
      <c r="AS2562" s="19"/>
      <c r="AT2562" s="19"/>
      <c r="AU2562" s="19"/>
    </row>
    <row r="2563" spans="3:47">
      <c r="C2563" s="20"/>
      <c r="Z2563" s="20"/>
      <c r="AG2563" s="20"/>
      <c r="AQ2563" s="19"/>
      <c r="AR2563" s="19"/>
      <c r="AS2563" s="19"/>
      <c r="AT2563" s="19"/>
      <c r="AU2563" s="19"/>
    </row>
    <row r="2564" spans="3:47">
      <c r="C2564" s="20"/>
      <c r="Z2564" s="20"/>
      <c r="AG2564" s="20"/>
      <c r="AQ2564" s="19"/>
      <c r="AR2564" s="19"/>
      <c r="AS2564" s="19"/>
      <c r="AT2564" s="19"/>
      <c r="AU2564" s="19"/>
    </row>
    <row r="2565" spans="3:47">
      <c r="C2565" s="20"/>
      <c r="Z2565" s="20"/>
      <c r="AG2565" s="20"/>
      <c r="AQ2565" s="19"/>
      <c r="AR2565" s="19"/>
      <c r="AS2565" s="19"/>
      <c r="AT2565" s="19"/>
      <c r="AU2565" s="19"/>
    </row>
    <row r="2566" spans="3:47">
      <c r="C2566" s="20"/>
      <c r="Z2566" s="20"/>
      <c r="AG2566" s="20"/>
      <c r="AQ2566" s="19"/>
      <c r="AR2566" s="19"/>
      <c r="AS2566" s="19"/>
      <c r="AT2566" s="19"/>
      <c r="AU2566" s="19"/>
    </row>
    <row r="2567" spans="3:47">
      <c r="C2567" s="20"/>
      <c r="Z2567" s="20"/>
      <c r="AG2567" s="20"/>
      <c r="AQ2567" s="19"/>
      <c r="AR2567" s="19"/>
      <c r="AS2567" s="19"/>
      <c r="AT2567" s="19"/>
      <c r="AU2567" s="19"/>
    </row>
    <row r="2568" spans="3:47">
      <c r="C2568" s="20"/>
      <c r="Z2568" s="20"/>
      <c r="AG2568" s="20"/>
      <c r="AQ2568" s="19"/>
      <c r="AR2568" s="19"/>
      <c r="AS2568" s="19"/>
      <c r="AT2568" s="19"/>
      <c r="AU2568" s="19"/>
    </row>
    <row r="2569" spans="3:47">
      <c r="C2569" s="20"/>
      <c r="Z2569" s="20"/>
      <c r="AG2569" s="20"/>
      <c r="AQ2569" s="19"/>
      <c r="AR2569" s="19"/>
      <c r="AS2569" s="19"/>
      <c r="AT2569" s="19"/>
      <c r="AU2569" s="19"/>
    </row>
    <row r="2570" spans="3:47">
      <c r="C2570" s="20"/>
      <c r="Z2570" s="20"/>
      <c r="AG2570" s="20"/>
      <c r="AQ2570" s="19"/>
      <c r="AR2570" s="19"/>
      <c r="AS2570" s="19"/>
      <c r="AT2570" s="19"/>
      <c r="AU2570" s="19"/>
    </row>
    <row r="2571" spans="3:47">
      <c r="C2571" s="20"/>
      <c r="Z2571" s="20"/>
      <c r="AG2571" s="20"/>
      <c r="AQ2571" s="19"/>
      <c r="AR2571" s="19"/>
      <c r="AS2571" s="19"/>
      <c r="AT2571" s="19"/>
      <c r="AU2571" s="19"/>
    </row>
    <row r="2572" spans="3:47">
      <c r="C2572" s="20"/>
      <c r="Z2572" s="20"/>
      <c r="AG2572" s="20"/>
      <c r="AQ2572" s="19"/>
      <c r="AR2572" s="19"/>
      <c r="AS2572" s="19"/>
      <c r="AT2572" s="19"/>
      <c r="AU2572" s="19"/>
    </row>
    <row r="2573" spans="3:47">
      <c r="C2573" s="20"/>
      <c r="Z2573" s="20"/>
      <c r="AG2573" s="20"/>
      <c r="AQ2573" s="19"/>
      <c r="AR2573" s="19"/>
      <c r="AS2573" s="19"/>
      <c r="AT2573" s="19"/>
      <c r="AU2573" s="19"/>
    </row>
    <row r="2574" spans="3:47">
      <c r="C2574" s="20"/>
      <c r="Z2574" s="20"/>
      <c r="AG2574" s="20"/>
      <c r="AQ2574" s="19"/>
      <c r="AR2574" s="19"/>
      <c r="AS2574" s="19"/>
      <c r="AT2574" s="19"/>
      <c r="AU2574" s="19"/>
    </row>
    <row r="2575" spans="3:47">
      <c r="C2575" s="20"/>
      <c r="Z2575" s="20"/>
      <c r="AG2575" s="20"/>
      <c r="AQ2575" s="19"/>
      <c r="AR2575" s="19"/>
      <c r="AS2575" s="19"/>
      <c r="AT2575" s="19"/>
      <c r="AU2575" s="19"/>
    </row>
    <row r="2576" spans="3:47">
      <c r="C2576" s="20"/>
      <c r="Z2576" s="20"/>
      <c r="AG2576" s="20"/>
      <c r="AQ2576" s="19"/>
      <c r="AR2576" s="19"/>
      <c r="AS2576" s="19"/>
      <c r="AT2576" s="19"/>
      <c r="AU2576" s="19"/>
    </row>
    <row r="2577" spans="3:47">
      <c r="C2577" s="20"/>
      <c r="Z2577" s="20"/>
      <c r="AG2577" s="20"/>
      <c r="AQ2577" s="19"/>
      <c r="AR2577" s="19"/>
      <c r="AS2577" s="19"/>
      <c r="AT2577" s="19"/>
      <c r="AU2577" s="19"/>
    </row>
    <row r="2578" spans="3:47">
      <c r="C2578" s="20"/>
      <c r="Z2578" s="20"/>
      <c r="AG2578" s="20"/>
      <c r="AQ2578" s="19"/>
      <c r="AR2578" s="19"/>
      <c r="AS2578" s="19"/>
      <c r="AT2578" s="19"/>
      <c r="AU2578" s="19"/>
    </row>
    <row r="2579" spans="3:47">
      <c r="C2579" s="20"/>
      <c r="Z2579" s="20"/>
      <c r="AG2579" s="20"/>
      <c r="AQ2579" s="19"/>
      <c r="AR2579" s="19"/>
      <c r="AS2579" s="19"/>
      <c r="AT2579" s="19"/>
      <c r="AU2579" s="19"/>
    </row>
    <row r="2580" spans="3:47">
      <c r="C2580" s="20"/>
      <c r="Z2580" s="20"/>
      <c r="AG2580" s="20"/>
      <c r="AQ2580" s="19"/>
      <c r="AR2580" s="19"/>
      <c r="AS2580" s="19"/>
      <c r="AT2580" s="19"/>
      <c r="AU2580" s="19"/>
    </row>
    <row r="2581" spans="3:47">
      <c r="C2581" s="20"/>
      <c r="Z2581" s="20"/>
      <c r="AG2581" s="20"/>
      <c r="AQ2581" s="19"/>
      <c r="AR2581" s="19"/>
      <c r="AS2581" s="19"/>
      <c r="AT2581" s="19"/>
      <c r="AU2581" s="19"/>
    </row>
    <row r="2582" spans="3:47">
      <c r="C2582" s="20"/>
      <c r="Z2582" s="20"/>
      <c r="AG2582" s="20"/>
      <c r="AQ2582" s="19"/>
      <c r="AR2582" s="19"/>
      <c r="AS2582" s="19"/>
      <c r="AT2582" s="19"/>
      <c r="AU2582" s="19"/>
    </row>
    <row r="2583" spans="3:47">
      <c r="C2583" s="20"/>
      <c r="Z2583" s="20"/>
      <c r="AG2583" s="20"/>
      <c r="AQ2583" s="19"/>
      <c r="AR2583" s="19"/>
      <c r="AS2583" s="19"/>
      <c r="AT2583" s="19"/>
      <c r="AU2583" s="19"/>
    </row>
    <row r="2584" spans="3:47">
      <c r="C2584" s="20"/>
      <c r="Z2584" s="20"/>
      <c r="AG2584" s="20"/>
      <c r="AQ2584" s="19"/>
      <c r="AR2584" s="19"/>
      <c r="AS2584" s="19"/>
      <c r="AT2584" s="19"/>
      <c r="AU2584" s="19"/>
    </row>
    <row r="2585" spans="3:47">
      <c r="C2585" s="20"/>
      <c r="Z2585" s="20"/>
      <c r="AG2585" s="20"/>
      <c r="AQ2585" s="19"/>
      <c r="AR2585" s="19"/>
      <c r="AS2585" s="19"/>
      <c r="AT2585" s="19"/>
      <c r="AU2585" s="19"/>
    </row>
    <row r="2586" spans="3:47">
      <c r="C2586" s="20"/>
      <c r="Z2586" s="20"/>
      <c r="AG2586" s="20"/>
      <c r="AQ2586" s="19"/>
      <c r="AR2586" s="19"/>
      <c r="AS2586" s="19"/>
      <c r="AT2586" s="19"/>
      <c r="AU2586" s="19"/>
    </row>
    <row r="2587" spans="3:47">
      <c r="C2587" s="20"/>
      <c r="Z2587" s="20"/>
      <c r="AG2587" s="20"/>
      <c r="AQ2587" s="19"/>
      <c r="AR2587" s="19"/>
      <c r="AS2587" s="19"/>
      <c r="AT2587" s="19"/>
      <c r="AU2587" s="19"/>
    </row>
    <row r="2588" spans="3:47">
      <c r="C2588" s="20"/>
      <c r="Z2588" s="20"/>
      <c r="AG2588" s="20"/>
      <c r="AQ2588" s="19"/>
      <c r="AR2588" s="19"/>
      <c r="AS2588" s="19"/>
      <c r="AT2588" s="19"/>
      <c r="AU2588" s="19"/>
    </row>
    <row r="2589" spans="3:47">
      <c r="C2589" s="20"/>
      <c r="Z2589" s="20"/>
      <c r="AG2589" s="20"/>
      <c r="AQ2589" s="19"/>
      <c r="AR2589" s="19"/>
      <c r="AS2589" s="19"/>
      <c r="AT2589" s="19"/>
      <c r="AU2589" s="19"/>
    </row>
    <row r="2590" spans="3:47">
      <c r="C2590" s="20"/>
      <c r="Z2590" s="20"/>
      <c r="AG2590" s="20"/>
      <c r="AQ2590" s="19"/>
      <c r="AR2590" s="19"/>
      <c r="AS2590" s="19"/>
      <c r="AT2590" s="19"/>
      <c r="AU2590" s="19"/>
    </row>
    <row r="2591" spans="3:47">
      <c r="C2591" s="20"/>
      <c r="Z2591" s="20"/>
      <c r="AG2591" s="20"/>
      <c r="AQ2591" s="19"/>
      <c r="AR2591" s="19"/>
      <c r="AS2591" s="19"/>
      <c r="AT2591" s="19"/>
      <c r="AU2591" s="19"/>
    </row>
    <row r="2592" spans="3:47">
      <c r="C2592" s="20"/>
      <c r="Z2592" s="20"/>
      <c r="AG2592" s="20"/>
      <c r="AQ2592" s="19"/>
      <c r="AR2592" s="19"/>
      <c r="AS2592" s="19"/>
      <c r="AT2592" s="19"/>
      <c r="AU2592" s="19"/>
    </row>
    <row r="2593" spans="3:47">
      <c r="C2593" s="20"/>
      <c r="Z2593" s="20"/>
      <c r="AG2593" s="20"/>
      <c r="AQ2593" s="19"/>
      <c r="AR2593" s="19"/>
      <c r="AS2593" s="19"/>
      <c r="AT2593" s="19"/>
      <c r="AU2593" s="19"/>
    </row>
    <row r="2594" spans="3:47">
      <c r="C2594" s="20"/>
      <c r="Z2594" s="20"/>
      <c r="AG2594" s="20"/>
      <c r="AQ2594" s="19"/>
      <c r="AR2594" s="19"/>
      <c r="AS2594" s="19"/>
      <c r="AT2594" s="19"/>
      <c r="AU2594" s="19"/>
    </row>
    <row r="2595" spans="3:47">
      <c r="C2595" s="20"/>
      <c r="Z2595" s="20"/>
      <c r="AG2595" s="20"/>
      <c r="AQ2595" s="19"/>
      <c r="AR2595" s="19"/>
      <c r="AS2595" s="19"/>
      <c r="AT2595" s="19"/>
      <c r="AU2595" s="19"/>
    </row>
    <row r="2596" spans="3:47">
      <c r="C2596" s="20"/>
      <c r="Z2596" s="20"/>
      <c r="AG2596" s="20"/>
      <c r="AQ2596" s="19"/>
      <c r="AR2596" s="19"/>
      <c r="AS2596" s="19"/>
      <c r="AT2596" s="19"/>
      <c r="AU2596" s="19"/>
    </row>
    <row r="2597" spans="3:47">
      <c r="C2597" s="20"/>
      <c r="Z2597" s="20"/>
      <c r="AG2597" s="20"/>
      <c r="AQ2597" s="19"/>
      <c r="AR2597" s="19"/>
      <c r="AS2597" s="19"/>
      <c r="AT2597" s="19"/>
      <c r="AU2597" s="19"/>
    </row>
    <row r="2598" spans="3:47">
      <c r="C2598" s="20"/>
      <c r="Z2598" s="20"/>
      <c r="AG2598" s="20"/>
      <c r="AQ2598" s="19"/>
      <c r="AR2598" s="19"/>
      <c r="AS2598" s="19"/>
      <c r="AT2598" s="19"/>
      <c r="AU2598" s="19"/>
    </row>
    <row r="2599" spans="3:47">
      <c r="C2599" s="20"/>
      <c r="Z2599" s="20"/>
      <c r="AG2599" s="20"/>
      <c r="AQ2599" s="19"/>
      <c r="AR2599" s="19"/>
      <c r="AS2599" s="19"/>
      <c r="AT2599" s="19"/>
      <c r="AU2599" s="19"/>
    </row>
    <row r="2600" spans="3:47">
      <c r="C2600" s="20"/>
      <c r="Z2600" s="20"/>
      <c r="AG2600" s="20"/>
      <c r="AQ2600" s="19"/>
      <c r="AR2600" s="19"/>
      <c r="AS2600" s="19"/>
      <c r="AT2600" s="19"/>
      <c r="AU2600" s="19"/>
    </row>
    <row r="2601" spans="3:47">
      <c r="C2601" s="20"/>
      <c r="Z2601" s="20"/>
      <c r="AG2601" s="20"/>
      <c r="AQ2601" s="19"/>
      <c r="AR2601" s="19"/>
      <c r="AS2601" s="19"/>
      <c r="AT2601" s="19"/>
      <c r="AU2601" s="19"/>
    </row>
    <row r="2602" spans="3:47">
      <c r="C2602" s="20"/>
      <c r="Z2602" s="20"/>
      <c r="AG2602" s="20"/>
      <c r="AQ2602" s="19"/>
      <c r="AR2602" s="19"/>
      <c r="AS2602" s="19"/>
      <c r="AT2602" s="19"/>
      <c r="AU2602" s="19"/>
    </row>
    <row r="2603" spans="3:47">
      <c r="C2603" s="20"/>
      <c r="Z2603" s="20"/>
      <c r="AG2603" s="20"/>
      <c r="AQ2603" s="19"/>
      <c r="AR2603" s="19"/>
      <c r="AS2603" s="19"/>
      <c r="AT2603" s="19"/>
      <c r="AU2603" s="19"/>
    </row>
    <row r="2604" spans="3:47">
      <c r="C2604" s="20"/>
      <c r="Z2604" s="20"/>
      <c r="AG2604" s="20"/>
      <c r="AQ2604" s="19"/>
      <c r="AR2604" s="19"/>
      <c r="AS2604" s="19"/>
      <c r="AT2604" s="19"/>
      <c r="AU2604" s="19"/>
    </row>
    <row r="2605" spans="3:47">
      <c r="C2605" s="20"/>
      <c r="Z2605" s="20"/>
      <c r="AG2605" s="20"/>
      <c r="AQ2605" s="19"/>
      <c r="AR2605" s="19"/>
      <c r="AS2605" s="19"/>
      <c r="AT2605" s="19"/>
      <c r="AU2605" s="19"/>
    </row>
    <row r="2606" spans="3:47">
      <c r="C2606" s="20"/>
      <c r="Z2606" s="20"/>
      <c r="AG2606" s="20"/>
      <c r="AQ2606" s="19"/>
      <c r="AR2606" s="19"/>
      <c r="AS2606" s="19"/>
      <c r="AT2606" s="19"/>
      <c r="AU2606" s="19"/>
    </row>
    <row r="2607" spans="3:47">
      <c r="C2607" s="20"/>
      <c r="Z2607" s="20"/>
      <c r="AG2607" s="20"/>
      <c r="AQ2607" s="19"/>
      <c r="AR2607" s="19"/>
      <c r="AS2607" s="19"/>
      <c r="AT2607" s="19"/>
      <c r="AU2607" s="19"/>
    </row>
    <row r="2608" spans="3:47">
      <c r="C2608" s="20"/>
      <c r="Z2608" s="20"/>
      <c r="AG2608" s="20"/>
      <c r="AQ2608" s="19"/>
      <c r="AR2608" s="19"/>
      <c r="AS2608" s="19"/>
      <c r="AT2608" s="19"/>
      <c r="AU2608" s="19"/>
    </row>
    <row r="2609" spans="3:47">
      <c r="C2609" s="20"/>
      <c r="Z2609" s="20"/>
      <c r="AG2609" s="20"/>
      <c r="AQ2609" s="19"/>
      <c r="AR2609" s="19"/>
      <c r="AS2609" s="19"/>
      <c r="AT2609" s="19"/>
      <c r="AU2609" s="19"/>
    </row>
    <row r="2610" spans="3:47">
      <c r="C2610" s="20"/>
      <c r="Z2610" s="20"/>
      <c r="AG2610" s="20"/>
      <c r="AQ2610" s="19"/>
      <c r="AR2610" s="19"/>
      <c r="AS2610" s="19"/>
      <c r="AT2610" s="19"/>
      <c r="AU2610" s="19"/>
    </row>
    <row r="2611" spans="3:47">
      <c r="C2611" s="20"/>
      <c r="Z2611" s="20"/>
      <c r="AG2611" s="20"/>
      <c r="AQ2611" s="19"/>
      <c r="AR2611" s="19"/>
      <c r="AS2611" s="19"/>
      <c r="AT2611" s="19"/>
      <c r="AU2611" s="19"/>
    </row>
    <row r="2612" spans="3:47">
      <c r="C2612" s="20"/>
      <c r="Z2612" s="20"/>
      <c r="AG2612" s="20"/>
      <c r="AQ2612" s="19"/>
      <c r="AR2612" s="19"/>
      <c r="AS2612" s="19"/>
      <c r="AT2612" s="19"/>
      <c r="AU2612" s="19"/>
    </row>
    <row r="2613" spans="3:47">
      <c r="C2613" s="20"/>
      <c r="Z2613" s="20"/>
      <c r="AG2613" s="20"/>
      <c r="AQ2613" s="19"/>
      <c r="AR2613" s="19"/>
      <c r="AS2613" s="19"/>
      <c r="AT2613" s="19"/>
      <c r="AU2613" s="19"/>
    </row>
    <row r="2614" spans="3:47">
      <c r="C2614" s="20"/>
      <c r="Z2614" s="20"/>
      <c r="AG2614" s="20"/>
      <c r="AQ2614" s="19"/>
      <c r="AR2614" s="19"/>
      <c r="AS2614" s="19"/>
      <c r="AT2614" s="19"/>
      <c r="AU2614" s="19"/>
    </row>
    <row r="2615" spans="3:47">
      <c r="C2615" s="20"/>
      <c r="Z2615" s="20"/>
      <c r="AG2615" s="20"/>
      <c r="AQ2615" s="19"/>
      <c r="AR2615" s="19"/>
      <c r="AS2615" s="19"/>
      <c r="AT2615" s="19"/>
      <c r="AU2615" s="19"/>
    </row>
    <row r="2616" spans="3:47">
      <c r="C2616" s="20"/>
      <c r="Z2616" s="20"/>
      <c r="AG2616" s="20"/>
      <c r="AQ2616" s="19"/>
      <c r="AR2616" s="19"/>
      <c r="AS2616" s="19"/>
      <c r="AT2616" s="19"/>
      <c r="AU2616" s="19"/>
    </row>
    <row r="2617" spans="3:47">
      <c r="C2617" s="20"/>
      <c r="Z2617" s="20"/>
      <c r="AG2617" s="20"/>
      <c r="AQ2617" s="19"/>
      <c r="AR2617" s="19"/>
      <c r="AS2617" s="19"/>
      <c r="AT2617" s="19"/>
      <c r="AU2617" s="19"/>
    </row>
    <row r="2618" spans="3:47">
      <c r="C2618" s="20"/>
      <c r="Z2618" s="20"/>
      <c r="AG2618" s="20"/>
      <c r="AQ2618" s="19"/>
      <c r="AR2618" s="19"/>
      <c r="AS2618" s="19"/>
      <c r="AT2618" s="19"/>
      <c r="AU2618" s="19"/>
    </row>
    <row r="2619" spans="3:47">
      <c r="C2619" s="20"/>
      <c r="Z2619" s="20"/>
      <c r="AG2619" s="20"/>
      <c r="AQ2619" s="19"/>
      <c r="AR2619" s="19"/>
      <c r="AS2619" s="19"/>
      <c r="AT2619" s="19"/>
      <c r="AU2619" s="19"/>
    </row>
    <row r="2620" spans="3:47">
      <c r="C2620" s="20"/>
      <c r="Z2620" s="20"/>
      <c r="AG2620" s="20"/>
      <c r="AQ2620" s="19"/>
      <c r="AR2620" s="19"/>
      <c r="AS2620" s="19"/>
      <c r="AT2620" s="19"/>
      <c r="AU2620" s="19"/>
    </row>
    <row r="2621" spans="3:47">
      <c r="C2621" s="20"/>
      <c r="Z2621" s="20"/>
      <c r="AG2621" s="20"/>
      <c r="AQ2621" s="19"/>
      <c r="AR2621" s="19"/>
      <c r="AS2621" s="19"/>
      <c r="AT2621" s="19"/>
      <c r="AU2621" s="19"/>
    </row>
    <row r="2622" spans="3:47">
      <c r="C2622" s="20"/>
      <c r="Z2622" s="20"/>
      <c r="AG2622" s="20"/>
      <c r="AQ2622" s="19"/>
      <c r="AR2622" s="19"/>
      <c r="AS2622" s="19"/>
      <c r="AT2622" s="19"/>
      <c r="AU2622" s="19"/>
    </row>
    <row r="2623" spans="3:47">
      <c r="C2623" s="20"/>
      <c r="Z2623" s="20"/>
      <c r="AG2623" s="20"/>
      <c r="AQ2623" s="19"/>
      <c r="AR2623" s="19"/>
      <c r="AS2623" s="19"/>
      <c r="AT2623" s="19"/>
      <c r="AU2623" s="19"/>
    </row>
    <row r="2624" spans="3:47">
      <c r="C2624" s="20"/>
      <c r="Z2624" s="20"/>
      <c r="AG2624" s="20"/>
      <c r="AQ2624" s="19"/>
      <c r="AR2624" s="19"/>
      <c r="AS2624" s="19"/>
      <c r="AT2624" s="19"/>
      <c r="AU2624" s="19"/>
    </row>
    <row r="2625" spans="3:47">
      <c r="C2625" s="20"/>
      <c r="Z2625" s="20"/>
      <c r="AG2625" s="20"/>
      <c r="AQ2625" s="19"/>
      <c r="AR2625" s="19"/>
      <c r="AS2625" s="19"/>
      <c r="AT2625" s="19"/>
      <c r="AU2625" s="19"/>
    </row>
    <row r="2626" spans="3:47">
      <c r="C2626" s="20"/>
      <c r="Z2626" s="20"/>
      <c r="AG2626" s="20"/>
      <c r="AQ2626" s="19"/>
      <c r="AR2626" s="19"/>
      <c r="AS2626" s="19"/>
      <c r="AT2626" s="19"/>
      <c r="AU2626" s="19"/>
    </row>
    <row r="2627" spans="3:47">
      <c r="C2627" s="20"/>
      <c r="Z2627" s="20"/>
      <c r="AG2627" s="20"/>
      <c r="AQ2627" s="19"/>
      <c r="AR2627" s="19"/>
      <c r="AS2627" s="19"/>
      <c r="AT2627" s="19"/>
      <c r="AU2627" s="19"/>
    </row>
    <row r="2628" spans="3:47">
      <c r="C2628" s="20"/>
      <c r="Z2628" s="20"/>
      <c r="AG2628" s="20"/>
      <c r="AQ2628" s="19"/>
      <c r="AR2628" s="19"/>
      <c r="AS2628" s="19"/>
      <c r="AT2628" s="19"/>
      <c r="AU2628" s="19"/>
    </row>
    <row r="2629" spans="3:47">
      <c r="C2629" s="20"/>
      <c r="Z2629" s="20"/>
      <c r="AG2629" s="20"/>
      <c r="AQ2629" s="19"/>
      <c r="AR2629" s="19"/>
      <c r="AS2629" s="19"/>
      <c r="AT2629" s="19"/>
      <c r="AU2629" s="19"/>
    </row>
    <row r="2630" spans="3:47">
      <c r="C2630" s="20"/>
      <c r="Z2630" s="20"/>
      <c r="AG2630" s="20"/>
      <c r="AQ2630" s="19"/>
      <c r="AR2630" s="19"/>
      <c r="AS2630" s="19"/>
      <c r="AT2630" s="19"/>
      <c r="AU2630" s="19"/>
    </row>
    <row r="2631" spans="3:47">
      <c r="C2631" s="20"/>
      <c r="Z2631" s="20"/>
      <c r="AG2631" s="20"/>
      <c r="AQ2631" s="19"/>
      <c r="AR2631" s="19"/>
      <c r="AS2631" s="19"/>
      <c r="AT2631" s="19"/>
      <c r="AU2631" s="19"/>
    </row>
    <row r="2632" spans="3:47">
      <c r="C2632" s="20"/>
      <c r="Z2632" s="20"/>
      <c r="AG2632" s="20"/>
      <c r="AQ2632" s="19"/>
      <c r="AR2632" s="19"/>
      <c r="AS2632" s="19"/>
      <c r="AT2632" s="19"/>
      <c r="AU2632" s="19"/>
    </row>
    <row r="2633" spans="3:47">
      <c r="C2633" s="20"/>
      <c r="Z2633" s="20"/>
      <c r="AG2633" s="20"/>
      <c r="AQ2633" s="19"/>
      <c r="AR2633" s="19"/>
      <c r="AS2633" s="19"/>
      <c r="AT2633" s="19"/>
      <c r="AU2633" s="19"/>
    </row>
    <row r="2634" spans="3:47">
      <c r="C2634" s="20"/>
      <c r="Z2634" s="20"/>
      <c r="AG2634" s="20"/>
      <c r="AQ2634" s="19"/>
      <c r="AR2634" s="19"/>
      <c r="AS2634" s="19"/>
      <c r="AT2634" s="19"/>
      <c r="AU2634" s="19"/>
    </row>
    <row r="2635" spans="3:47">
      <c r="C2635" s="20"/>
      <c r="Z2635" s="20"/>
      <c r="AG2635" s="20"/>
      <c r="AQ2635" s="19"/>
      <c r="AR2635" s="19"/>
      <c r="AS2635" s="19"/>
      <c r="AT2635" s="19"/>
      <c r="AU2635" s="19"/>
    </row>
    <row r="2636" spans="3:47">
      <c r="C2636" s="20"/>
      <c r="Z2636" s="20"/>
      <c r="AG2636" s="20"/>
      <c r="AQ2636" s="19"/>
      <c r="AR2636" s="19"/>
      <c r="AS2636" s="19"/>
      <c r="AT2636" s="19"/>
      <c r="AU2636" s="19"/>
    </row>
    <row r="2637" spans="3:47">
      <c r="C2637" s="20"/>
      <c r="Z2637" s="20"/>
      <c r="AG2637" s="20"/>
      <c r="AQ2637" s="19"/>
      <c r="AR2637" s="19"/>
      <c r="AS2637" s="19"/>
      <c r="AT2637" s="19"/>
      <c r="AU2637" s="19"/>
    </row>
    <row r="2638" spans="3:47">
      <c r="C2638" s="20"/>
      <c r="Z2638" s="20"/>
      <c r="AG2638" s="20"/>
      <c r="AQ2638" s="19"/>
      <c r="AR2638" s="19"/>
      <c r="AS2638" s="19"/>
      <c r="AT2638" s="19"/>
      <c r="AU2638" s="19"/>
    </row>
    <row r="2639" spans="3:47">
      <c r="C2639" s="20"/>
      <c r="Z2639" s="20"/>
      <c r="AG2639" s="20"/>
      <c r="AQ2639" s="19"/>
      <c r="AR2639" s="19"/>
      <c r="AS2639" s="19"/>
      <c r="AT2639" s="19"/>
      <c r="AU2639" s="19"/>
    </row>
    <row r="2640" spans="3:47">
      <c r="C2640" s="20"/>
      <c r="Z2640" s="20"/>
      <c r="AG2640" s="20"/>
      <c r="AQ2640" s="19"/>
      <c r="AR2640" s="19"/>
      <c r="AS2640" s="19"/>
      <c r="AT2640" s="19"/>
      <c r="AU2640" s="19"/>
    </row>
    <row r="2641" spans="3:47">
      <c r="C2641" s="20"/>
      <c r="Z2641" s="20"/>
      <c r="AG2641" s="20"/>
      <c r="AQ2641" s="19"/>
      <c r="AR2641" s="19"/>
      <c r="AS2641" s="19"/>
      <c r="AT2641" s="19"/>
      <c r="AU2641" s="19"/>
    </row>
    <row r="2642" spans="3:47">
      <c r="C2642" s="20"/>
      <c r="Z2642" s="20"/>
      <c r="AG2642" s="20"/>
      <c r="AQ2642" s="19"/>
      <c r="AR2642" s="19"/>
      <c r="AS2642" s="19"/>
      <c r="AT2642" s="19"/>
      <c r="AU2642" s="19"/>
    </row>
    <row r="2643" spans="3:47">
      <c r="C2643" s="20"/>
      <c r="Z2643" s="20"/>
      <c r="AG2643" s="20"/>
      <c r="AQ2643" s="19"/>
      <c r="AR2643" s="19"/>
      <c r="AS2643" s="19"/>
      <c r="AT2643" s="19"/>
      <c r="AU2643" s="19"/>
    </row>
    <row r="2644" spans="3:47">
      <c r="C2644" s="20"/>
      <c r="Z2644" s="20"/>
      <c r="AG2644" s="20"/>
      <c r="AQ2644" s="19"/>
      <c r="AR2644" s="19"/>
      <c r="AS2644" s="19"/>
      <c r="AT2644" s="19"/>
      <c r="AU2644" s="19"/>
    </row>
    <row r="2645" spans="3:47">
      <c r="C2645" s="20"/>
      <c r="Z2645" s="20"/>
      <c r="AG2645" s="20"/>
      <c r="AQ2645" s="19"/>
      <c r="AR2645" s="19"/>
      <c r="AS2645" s="19"/>
      <c r="AT2645" s="19"/>
      <c r="AU2645" s="19"/>
    </row>
    <row r="2646" spans="3:47">
      <c r="C2646" s="20"/>
      <c r="Z2646" s="20"/>
      <c r="AG2646" s="20"/>
      <c r="AQ2646" s="19"/>
      <c r="AR2646" s="19"/>
      <c r="AS2646" s="19"/>
      <c r="AT2646" s="19"/>
      <c r="AU2646" s="19"/>
    </row>
    <row r="2647" spans="3:47">
      <c r="C2647" s="20"/>
      <c r="Z2647" s="20"/>
      <c r="AG2647" s="20"/>
      <c r="AQ2647" s="19"/>
      <c r="AR2647" s="19"/>
      <c r="AS2647" s="19"/>
      <c r="AT2647" s="19"/>
      <c r="AU2647" s="19"/>
    </row>
    <row r="2648" spans="3:47">
      <c r="C2648" s="20"/>
      <c r="Z2648" s="20"/>
      <c r="AG2648" s="20"/>
      <c r="AQ2648" s="19"/>
      <c r="AR2648" s="19"/>
      <c r="AS2648" s="19"/>
      <c r="AT2648" s="19"/>
      <c r="AU2648" s="19"/>
    </row>
    <row r="2649" spans="3:47">
      <c r="C2649" s="20"/>
      <c r="Z2649" s="20"/>
      <c r="AG2649" s="20"/>
      <c r="AQ2649" s="19"/>
      <c r="AR2649" s="19"/>
      <c r="AS2649" s="19"/>
      <c r="AT2649" s="19"/>
      <c r="AU2649" s="19"/>
    </row>
    <row r="2650" spans="3:47">
      <c r="C2650" s="20"/>
      <c r="Z2650" s="20"/>
      <c r="AG2650" s="20"/>
      <c r="AQ2650" s="19"/>
      <c r="AR2650" s="19"/>
      <c r="AS2650" s="19"/>
      <c r="AT2650" s="19"/>
      <c r="AU2650" s="19"/>
    </row>
    <row r="2651" spans="3:47">
      <c r="C2651" s="20"/>
      <c r="Z2651" s="20"/>
      <c r="AG2651" s="20"/>
      <c r="AQ2651" s="19"/>
      <c r="AR2651" s="19"/>
      <c r="AS2651" s="19"/>
      <c r="AT2651" s="19"/>
      <c r="AU2651" s="19"/>
    </row>
    <row r="2652" spans="3:47">
      <c r="C2652" s="20"/>
      <c r="Z2652" s="20"/>
      <c r="AG2652" s="20"/>
      <c r="AQ2652" s="19"/>
      <c r="AR2652" s="19"/>
      <c r="AS2652" s="19"/>
      <c r="AT2652" s="19"/>
      <c r="AU2652" s="19"/>
    </row>
    <row r="2653" spans="3:47">
      <c r="C2653" s="20"/>
      <c r="Z2653" s="20"/>
      <c r="AG2653" s="20"/>
      <c r="AQ2653" s="19"/>
      <c r="AR2653" s="19"/>
      <c r="AS2653" s="19"/>
      <c r="AT2653" s="19"/>
      <c r="AU2653" s="19"/>
    </row>
    <row r="2654" spans="3:47">
      <c r="C2654" s="20"/>
      <c r="Z2654" s="20"/>
      <c r="AG2654" s="20"/>
      <c r="AQ2654" s="19"/>
      <c r="AR2654" s="19"/>
      <c r="AS2654" s="19"/>
      <c r="AT2654" s="19"/>
      <c r="AU2654" s="19"/>
    </row>
    <row r="2655" spans="3:47">
      <c r="C2655" s="20"/>
      <c r="Z2655" s="20"/>
      <c r="AG2655" s="20"/>
      <c r="AQ2655" s="19"/>
      <c r="AR2655" s="19"/>
      <c r="AS2655" s="19"/>
      <c r="AT2655" s="19"/>
      <c r="AU2655" s="19"/>
    </row>
    <row r="2656" spans="3:47">
      <c r="C2656" s="20"/>
      <c r="Z2656" s="20"/>
      <c r="AG2656" s="20"/>
      <c r="AQ2656" s="19"/>
      <c r="AR2656" s="19"/>
      <c r="AS2656" s="19"/>
      <c r="AT2656" s="19"/>
      <c r="AU2656" s="19"/>
    </row>
    <row r="2657" spans="3:47">
      <c r="C2657" s="20"/>
      <c r="Z2657" s="20"/>
      <c r="AG2657" s="20"/>
      <c r="AQ2657" s="19"/>
      <c r="AR2657" s="19"/>
      <c r="AS2657" s="19"/>
      <c r="AT2657" s="19"/>
      <c r="AU2657" s="19"/>
    </row>
    <row r="2658" spans="3:47">
      <c r="C2658" s="20"/>
      <c r="Z2658" s="20"/>
      <c r="AG2658" s="20"/>
      <c r="AQ2658" s="19"/>
      <c r="AR2658" s="19"/>
      <c r="AS2658" s="19"/>
      <c r="AT2658" s="19"/>
      <c r="AU2658" s="19"/>
    </row>
    <row r="2659" spans="3:47">
      <c r="C2659" s="20"/>
      <c r="Z2659" s="20"/>
      <c r="AG2659" s="20"/>
      <c r="AQ2659" s="19"/>
      <c r="AR2659" s="19"/>
      <c r="AS2659" s="19"/>
      <c r="AT2659" s="19"/>
      <c r="AU2659" s="19"/>
    </row>
    <row r="2660" spans="3:47">
      <c r="C2660" s="20"/>
      <c r="Z2660" s="20"/>
      <c r="AG2660" s="20"/>
      <c r="AQ2660" s="19"/>
      <c r="AR2660" s="19"/>
      <c r="AS2660" s="19"/>
      <c r="AT2660" s="19"/>
      <c r="AU2660" s="19"/>
    </row>
    <row r="2661" spans="3:47">
      <c r="C2661" s="20"/>
      <c r="Z2661" s="20"/>
      <c r="AG2661" s="20"/>
      <c r="AQ2661" s="19"/>
      <c r="AR2661" s="19"/>
      <c r="AS2661" s="19"/>
      <c r="AT2661" s="19"/>
      <c r="AU2661" s="19"/>
    </row>
    <row r="2662" spans="3:47">
      <c r="C2662" s="20"/>
      <c r="Z2662" s="20"/>
      <c r="AG2662" s="20"/>
      <c r="AQ2662" s="19"/>
      <c r="AR2662" s="19"/>
      <c r="AS2662" s="19"/>
      <c r="AT2662" s="19"/>
      <c r="AU2662" s="19"/>
    </row>
    <row r="2663" spans="3:47">
      <c r="C2663" s="20"/>
      <c r="Z2663" s="20"/>
      <c r="AG2663" s="20"/>
      <c r="AQ2663" s="19"/>
      <c r="AR2663" s="19"/>
      <c r="AS2663" s="19"/>
      <c r="AT2663" s="19"/>
      <c r="AU2663" s="19"/>
    </row>
    <row r="2664" spans="3:47">
      <c r="C2664" s="20"/>
      <c r="Z2664" s="20"/>
      <c r="AG2664" s="20"/>
      <c r="AQ2664" s="19"/>
      <c r="AR2664" s="19"/>
      <c r="AS2664" s="19"/>
      <c r="AT2664" s="19"/>
      <c r="AU2664" s="19"/>
    </row>
    <row r="2665" spans="3:47">
      <c r="C2665" s="20"/>
      <c r="Z2665" s="20"/>
      <c r="AG2665" s="20"/>
      <c r="AQ2665" s="19"/>
      <c r="AR2665" s="19"/>
      <c r="AS2665" s="19"/>
      <c r="AT2665" s="19"/>
      <c r="AU2665" s="19"/>
    </row>
    <row r="2666" spans="3:47">
      <c r="C2666" s="20"/>
      <c r="Z2666" s="20"/>
      <c r="AG2666" s="20"/>
      <c r="AQ2666" s="19"/>
      <c r="AR2666" s="19"/>
      <c r="AS2666" s="19"/>
      <c r="AT2666" s="19"/>
      <c r="AU2666" s="19"/>
    </row>
    <row r="2667" spans="3:47">
      <c r="C2667" s="20"/>
      <c r="Z2667" s="20"/>
      <c r="AG2667" s="20"/>
      <c r="AQ2667" s="19"/>
      <c r="AR2667" s="19"/>
      <c r="AS2667" s="19"/>
      <c r="AT2667" s="19"/>
      <c r="AU2667" s="19"/>
    </row>
    <row r="2668" spans="3:47">
      <c r="C2668" s="20"/>
      <c r="Z2668" s="20"/>
      <c r="AG2668" s="20"/>
      <c r="AQ2668" s="19"/>
      <c r="AR2668" s="19"/>
      <c r="AS2668" s="19"/>
      <c r="AT2668" s="19"/>
      <c r="AU2668" s="19"/>
    </row>
    <row r="2669" spans="3:47">
      <c r="C2669" s="20"/>
      <c r="Z2669" s="20"/>
      <c r="AG2669" s="20"/>
      <c r="AQ2669" s="19"/>
      <c r="AR2669" s="19"/>
      <c r="AS2669" s="19"/>
      <c r="AT2669" s="19"/>
      <c r="AU2669" s="19"/>
    </row>
    <row r="2670" spans="3:47">
      <c r="C2670" s="20"/>
      <c r="Z2670" s="20"/>
      <c r="AG2670" s="20"/>
      <c r="AQ2670" s="19"/>
      <c r="AR2670" s="19"/>
      <c r="AS2670" s="19"/>
      <c r="AT2670" s="19"/>
      <c r="AU2670" s="19"/>
    </row>
    <row r="2671" spans="3:47">
      <c r="C2671" s="20"/>
      <c r="Z2671" s="20"/>
      <c r="AG2671" s="20"/>
      <c r="AQ2671" s="19"/>
      <c r="AR2671" s="19"/>
      <c r="AS2671" s="19"/>
      <c r="AT2671" s="19"/>
      <c r="AU2671" s="19"/>
    </row>
    <row r="2672" spans="3:47">
      <c r="C2672" s="20"/>
      <c r="Z2672" s="20"/>
      <c r="AG2672" s="20"/>
      <c r="AQ2672" s="19"/>
      <c r="AR2672" s="19"/>
      <c r="AS2672" s="19"/>
      <c r="AT2672" s="19"/>
      <c r="AU2672" s="19"/>
    </row>
    <row r="2673" spans="3:47">
      <c r="C2673" s="20"/>
      <c r="Z2673" s="20"/>
      <c r="AG2673" s="20"/>
      <c r="AQ2673" s="19"/>
      <c r="AR2673" s="19"/>
      <c r="AS2673" s="19"/>
      <c r="AT2673" s="19"/>
      <c r="AU2673" s="19"/>
    </row>
    <row r="2674" spans="3:47">
      <c r="C2674" s="20"/>
      <c r="Z2674" s="20"/>
      <c r="AG2674" s="20"/>
      <c r="AQ2674" s="19"/>
      <c r="AR2674" s="19"/>
      <c r="AS2674" s="19"/>
      <c r="AT2674" s="19"/>
      <c r="AU2674" s="19"/>
    </row>
    <row r="2675" spans="3:47">
      <c r="C2675" s="20"/>
      <c r="Z2675" s="20"/>
      <c r="AG2675" s="20"/>
      <c r="AQ2675" s="19"/>
      <c r="AR2675" s="19"/>
      <c r="AS2675" s="19"/>
      <c r="AT2675" s="19"/>
      <c r="AU2675" s="19"/>
    </row>
    <row r="2676" spans="3:47">
      <c r="C2676" s="20"/>
      <c r="Z2676" s="20"/>
      <c r="AG2676" s="20"/>
      <c r="AQ2676" s="19"/>
      <c r="AR2676" s="19"/>
      <c r="AS2676" s="19"/>
      <c r="AT2676" s="19"/>
      <c r="AU2676" s="19"/>
    </row>
    <row r="2677" spans="3:47">
      <c r="C2677" s="20"/>
      <c r="Z2677" s="20"/>
      <c r="AG2677" s="20"/>
      <c r="AQ2677" s="19"/>
      <c r="AR2677" s="19"/>
      <c r="AS2677" s="19"/>
      <c r="AT2677" s="19"/>
      <c r="AU2677" s="19"/>
    </row>
    <row r="2678" spans="3:47">
      <c r="C2678" s="20"/>
      <c r="Z2678" s="20"/>
      <c r="AG2678" s="20"/>
      <c r="AQ2678" s="19"/>
      <c r="AR2678" s="19"/>
      <c r="AS2678" s="19"/>
      <c r="AT2678" s="19"/>
      <c r="AU2678" s="19"/>
    </row>
    <row r="2679" spans="3:47">
      <c r="C2679" s="20"/>
      <c r="Z2679" s="20"/>
      <c r="AG2679" s="20"/>
      <c r="AQ2679" s="19"/>
      <c r="AR2679" s="19"/>
      <c r="AS2679" s="19"/>
      <c r="AT2679" s="19"/>
      <c r="AU2679" s="19"/>
    </row>
    <row r="2680" spans="3:47">
      <c r="C2680" s="20"/>
      <c r="Z2680" s="20"/>
      <c r="AG2680" s="20"/>
      <c r="AQ2680" s="19"/>
      <c r="AR2680" s="19"/>
      <c r="AS2680" s="19"/>
      <c r="AT2680" s="19"/>
      <c r="AU2680" s="19"/>
    </row>
    <row r="2681" spans="3:47">
      <c r="C2681" s="20"/>
      <c r="Z2681" s="20"/>
      <c r="AG2681" s="20"/>
      <c r="AQ2681" s="19"/>
      <c r="AR2681" s="19"/>
      <c r="AS2681" s="19"/>
      <c r="AT2681" s="19"/>
      <c r="AU2681" s="19"/>
    </row>
    <row r="2682" spans="3:47">
      <c r="C2682" s="20"/>
      <c r="Z2682" s="20"/>
      <c r="AG2682" s="20"/>
      <c r="AQ2682" s="19"/>
      <c r="AR2682" s="19"/>
      <c r="AS2682" s="19"/>
      <c r="AT2682" s="19"/>
      <c r="AU2682" s="19"/>
    </row>
    <row r="2683" spans="3:47">
      <c r="C2683" s="20"/>
      <c r="Z2683" s="20"/>
      <c r="AG2683" s="20"/>
      <c r="AQ2683" s="19"/>
      <c r="AR2683" s="19"/>
      <c r="AS2683" s="19"/>
      <c r="AT2683" s="19"/>
      <c r="AU2683" s="19"/>
    </row>
    <row r="2684" spans="3:47">
      <c r="C2684" s="20"/>
      <c r="Z2684" s="20"/>
      <c r="AG2684" s="20"/>
      <c r="AQ2684" s="19"/>
      <c r="AR2684" s="19"/>
      <c r="AS2684" s="19"/>
      <c r="AT2684" s="19"/>
      <c r="AU2684" s="19"/>
    </row>
    <row r="2685" spans="3:47">
      <c r="C2685" s="20"/>
      <c r="Z2685" s="20"/>
      <c r="AG2685" s="20"/>
      <c r="AQ2685" s="19"/>
      <c r="AR2685" s="19"/>
      <c r="AS2685" s="19"/>
      <c r="AT2685" s="19"/>
      <c r="AU2685" s="19"/>
    </row>
    <row r="2686" spans="3:47">
      <c r="C2686" s="20"/>
      <c r="Z2686" s="20"/>
      <c r="AG2686" s="20"/>
      <c r="AQ2686" s="19"/>
      <c r="AR2686" s="19"/>
      <c r="AS2686" s="19"/>
      <c r="AT2686" s="19"/>
      <c r="AU2686" s="19"/>
    </row>
    <row r="2687" spans="3:47">
      <c r="C2687" s="20"/>
      <c r="Z2687" s="20"/>
      <c r="AG2687" s="20"/>
      <c r="AQ2687" s="19"/>
      <c r="AR2687" s="19"/>
      <c r="AS2687" s="19"/>
      <c r="AT2687" s="19"/>
      <c r="AU2687" s="19"/>
    </row>
    <row r="2688" spans="3:47">
      <c r="C2688" s="20"/>
      <c r="Z2688" s="20"/>
      <c r="AG2688" s="20"/>
      <c r="AQ2688" s="19"/>
      <c r="AR2688" s="19"/>
      <c r="AS2688" s="19"/>
      <c r="AT2688" s="19"/>
      <c r="AU2688" s="19"/>
    </row>
    <row r="2689" spans="3:47">
      <c r="C2689" s="20"/>
      <c r="Z2689" s="20"/>
      <c r="AG2689" s="20"/>
      <c r="AQ2689" s="19"/>
      <c r="AR2689" s="19"/>
      <c r="AS2689" s="19"/>
      <c r="AT2689" s="19"/>
      <c r="AU2689" s="19"/>
    </row>
    <row r="2690" spans="3:47">
      <c r="C2690" s="20"/>
      <c r="Z2690" s="20"/>
      <c r="AG2690" s="20"/>
      <c r="AQ2690" s="19"/>
      <c r="AR2690" s="19"/>
      <c r="AS2690" s="19"/>
      <c r="AT2690" s="19"/>
      <c r="AU2690" s="19"/>
    </row>
    <row r="2691" spans="3:47">
      <c r="C2691" s="20"/>
      <c r="Z2691" s="20"/>
      <c r="AG2691" s="20"/>
      <c r="AQ2691" s="19"/>
      <c r="AR2691" s="19"/>
      <c r="AS2691" s="19"/>
      <c r="AT2691" s="19"/>
      <c r="AU2691" s="19"/>
    </row>
    <row r="2692" spans="3:47">
      <c r="C2692" s="20"/>
      <c r="Z2692" s="20"/>
      <c r="AG2692" s="20"/>
      <c r="AQ2692" s="19"/>
      <c r="AR2692" s="19"/>
      <c r="AS2692" s="19"/>
      <c r="AT2692" s="19"/>
      <c r="AU2692" s="19"/>
    </row>
    <row r="2693" spans="3:47">
      <c r="C2693" s="20"/>
      <c r="Z2693" s="20"/>
      <c r="AG2693" s="20"/>
      <c r="AQ2693" s="19"/>
      <c r="AR2693" s="19"/>
      <c r="AS2693" s="19"/>
      <c r="AT2693" s="19"/>
      <c r="AU2693" s="19"/>
    </row>
    <row r="2694" spans="3:47">
      <c r="C2694" s="20"/>
      <c r="Z2694" s="20"/>
      <c r="AG2694" s="20"/>
      <c r="AQ2694" s="19"/>
      <c r="AR2694" s="19"/>
      <c r="AS2694" s="19"/>
      <c r="AT2694" s="19"/>
      <c r="AU2694" s="19"/>
    </row>
    <row r="2695" spans="3:47">
      <c r="C2695" s="20"/>
      <c r="Z2695" s="20"/>
      <c r="AG2695" s="20"/>
      <c r="AQ2695" s="19"/>
      <c r="AR2695" s="19"/>
      <c r="AS2695" s="19"/>
      <c r="AT2695" s="19"/>
      <c r="AU2695" s="19"/>
    </row>
    <row r="2696" spans="3:47">
      <c r="C2696" s="20"/>
      <c r="Z2696" s="20"/>
      <c r="AG2696" s="20"/>
      <c r="AQ2696" s="19"/>
      <c r="AR2696" s="19"/>
      <c r="AS2696" s="19"/>
      <c r="AT2696" s="19"/>
      <c r="AU2696" s="19"/>
    </row>
    <row r="2697" spans="3:47">
      <c r="C2697" s="20"/>
      <c r="Z2697" s="20"/>
      <c r="AG2697" s="20"/>
      <c r="AQ2697" s="19"/>
      <c r="AR2697" s="19"/>
      <c r="AS2697" s="19"/>
      <c r="AT2697" s="19"/>
      <c r="AU2697" s="19"/>
    </row>
    <row r="2698" spans="3:47">
      <c r="C2698" s="20"/>
      <c r="Z2698" s="20"/>
      <c r="AG2698" s="20"/>
      <c r="AQ2698" s="19"/>
      <c r="AR2698" s="19"/>
      <c r="AS2698" s="19"/>
      <c r="AT2698" s="19"/>
      <c r="AU2698" s="19"/>
    </row>
    <row r="2699" spans="3:47">
      <c r="C2699" s="20"/>
      <c r="Z2699" s="20"/>
      <c r="AG2699" s="20"/>
      <c r="AQ2699" s="19"/>
      <c r="AR2699" s="19"/>
      <c r="AS2699" s="19"/>
      <c r="AT2699" s="19"/>
      <c r="AU2699" s="19"/>
    </row>
    <row r="2700" spans="3:47">
      <c r="C2700" s="20"/>
      <c r="Z2700" s="20"/>
      <c r="AG2700" s="20"/>
      <c r="AQ2700" s="19"/>
      <c r="AR2700" s="19"/>
      <c r="AS2700" s="19"/>
      <c r="AT2700" s="19"/>
      <c r="AU2700" s="19"/>
    </row>
    <row r="2701" spans="3:47">
      <c r="C2701" s="20"/>
      <c r="Z2701" s="20"/>
      <c r="AG2701" s="20"/>
      <c r="AQ2701" s="19"/>
      <c r="AR2701" s="19"/>
      <c r="AS2701" s="19"/>
      <c r="AT2701" s="19"/>
      <c r="AU2701" s="19"/>
    </row>
    <row r="2702" spans="3:47">
      <c r="C2702" s="20"/>
      <c r="Z2702" s="20"/>
      <c r="AG2702" s="20"/>
      <c r="AQ2702" s="19"/>
      <c r="AR2702" s="19"/>
      <c r="AS2702" s="19"/>
      <c r="AT2702" s="19"/>
      <c r="AU2702" s="19"/>
    </row>
    <row r="2703" spans="3:47">
      <c r="C2703" s="20"/>
      <c r="Z2703" s="20"/>
      <c r="AG2703" s="20"/>
      <c r="AQ2703" s="19"/>
      <c r="AR2703" s="19"/>
      <c r="AS2703" s="19"/>
      <c r="AT2703" s="19"/>
      <c r="AU2703" s="19"/>
    </row>
    <row r="2704" spans="3:47">
      <c r="C2704" s="20"/>
      <c r="Z2704" s="20"/>
      <c r="AG2704" s="20"/>
      <c r="AQ2704" s="19"/>
      <c r="AR2704" s="19"/>
      <c r="AS2704" s="19"/>
      <c r="AT2704" s="19"/>
      <c r="AU2704" s="19"/>
    </row>
    <row r="2705" spans="3:47">
      <c r="C2705" s="20"/>
      <c r="Z2705" s="20"/>
      <c r="AG2705" s="20"/>
      <c r="AQ2705" s="19"/>
      <c r="AR2705" s="19"/>
      <c r="AS2705" s="19"/>
      <c r="AT2705" s="19"/>
      <c r="AU2705" s="19"/>
    </row>
    <row r="2706" spans="3:47">
      <c r="C2706" s="20"/>
      <c r="Z2706" s="20"/>
      <c r="AG2706" s="20"/>
      <c r="AQ2706" s="19"/>
      <c r="AR2706" s="19"/>
      <c r="AS2706" s="19"/>
      <c r="AT2706" s="19"/>
      <c r="AU2706" s="19"/>
    </row>
    <row r="2707" spans="3:47">
      <c r="C2707" s="20"/>
      <c r="Z2707" s="20"/>
      <c r="AG2707" s="20"/>
      <c r="AQ2707" s="19"/>
      <c r="AR2707" s="19"/>
      <c r="AS2707" s="19"/>
      <c r="AT2707" s="19"/>
      <c r="AU2707" s="19"/>
    </row>
    <row r="2708" spans="3:47">
      <c r="C2708" s="20"/>
      <c r="Z2708" s="20"/>
      <c r="AG2708" s="20"/>
      <c r="AQ2708" s="19"/>
      <c r="AR2708" s="19"/>
      <c r="AS2708" s="19"/>
      <c r="AT2708" s="19"/>
      <c r="AU2708" s="19"/>
    </row>
    <row r="2709" spans="3:47">
      <c r="C2709" s="20"/>
      <c r="Z2709" s="20"/>
      <c r="AG2709" s="20"/>
      <c r="AQ2709" s="19"/>
      <c r="AR2709" s="19"/>
      <c r="AS2709" s="19"/>
      <c r="AT2709" s="19"/>
      <c r="AU2709" s="19"/>
    </row>
    <row r="2710" spans="3:47">
      <c r="C2710" s="20"/>
      <c r="Z2710" s="20"/>
      <c r="AG2710" s="20"/>
      <c r="AQ2710" s="19"/>
      <c r="AR2710" s="19"/>
      <c r="AS2710" s="19"/>
      <c r="AT2710" s="19"/>
      <c r="AU2710" s="19"/>
    </row>
    <row r="2711" spans="3:47">
      <c r="C2711" s="20"/>
      <c r="Z2711" s="20"/>
      <c r="AG2711" s="20"/>
      <c r="AQ2711" s="19"/>
      <c r="AR2711" s="19"/>
      <c r="AS2711" s="19"/>
      <c r="AT2711" s="19"/>
      <c r="AU2711" s="19"/>
    </row>
    <row r="2712" spans="3:47">
      <c r="C2712" s="20"/>
      <c r="Z2712" s="20"/>
      <c r="AG2712" s="20"/>
      <c r="AQ2712" s="19"/>
      <c r="AR2712" s="19"/>
      <c r="AS2712" s="19"/>
      <c r="AT2712" s="19"/>
      <c r="AU2712" s="19"/>
    </row>
    <row r="2713" spans="3:47">
      <c r="C2713" s="20"/>
      <c r="Z2713" s="20"/>
      <c r="AG2713" s="20"/>
      <c r="AQ2713" s="19"/>
      <c r="AR2713" s="19"/>
      <c r="AS2713" s="19"/>
      <c r="AT2713" s="19"/>
      <c r="AU2713" s="19"/>
    </row>
    <row r="2714" spans="3:47">
      <c r="C2714" s="20"/>
      <c r="Z2714" s="20"/>
      <c r="AG2714" s="20"/>
      <c r="AQ2714" s="19"/>
      <c r="AR2714" s="19"/>
      <c r="AS2714" s="19"/>
      <c r="AT2714" s="19"/>
      <c r="AU2714" s="19"/>
    </row>
    <row r="2715" spans="3:47">
      <c r="C2715" s="20"/>
      <c r="Z2715" s="20"/>
      <c r="AG2715" s="20"/>
      <c r="AQ2715" s="19"/>
      <c r="AR2715" s="19"/>
      <c r="AS2715" s="19"/>
      <c r="AT2715" s="19"/>
      <c r="AU2715" s="19"/>
    </row>
    <row r="2716" spans="3:47">
      <c r="C2716" s="20"/>
      <c r="Z2716" s="20"/>
      <c r="AG2716" s="20"/>
      <c r="AQ2716" s="19"/>
      <c r="AR2716" s="19"/>
      <c r="AS2716" s="19"/>
      <c r="AT2716" s="19"/>
      <c r="AU2716" s="19"/>
    </row>
    <row r="2717" spans="3:47">
      <c r="C2717" s="20"/>
      <c r="Z2717" s="20"/>
      <c r="AG2717" s="20"/>
      <c r="AQ2717" s="19"/>
      <c r="AR2717" s="19"/>
      <c r="AS2717" s="19"/>
      <c r="AT2717" s="19"/>
      <c r="AU2717" s="19"/>
    </row>
    <row r="2718" spans="3:47">
      <c r="C2718" s="20"/>
      <c r="Z2718" s="20"/>
      <c r="AG2718" s="20"/>
      <c r="AQ2718" s="19"/>
      <c r="AR2718" s="19"/>
      <c r="AS2718" s="19"/>
      <c r="AT2718" s="19"/>
      <c r="AU2718" s="19"/>
    </row>
    <row r="2719" spans="3:47">
      <c r="C2719" s="20"/>
      <c r="Z2719" s="20"/>
      <c r="AG2719" s="20"/>
      <c r="AQ2719" s="19"/>
      <c r="AR2719" s="19"/>
      <c r="AS2719" s="19"/>
      <c r="AT2719" s="19"/>
      <c r="AU2719" s="19"/>
    </row>
    <row r="2720" spans="3:47">
      <c r="C2720" s="20"/>
      <c r="Z2720" s="20"/>
      <c r="AG2720" s="20"/>
      <c r="AQ2720" s="19"/>
      <c r="AR2720" s="19"/>
      <c r="AS2720" s="19"/>
      <c r="AT2720" s="19"/>
      <c r="AU2720" s="19"/>
    </row>
    <row r="2721" spans="3:47">
      <c r="C2721" s="20"/>
      <c r="Z2721" s="20"/>
      <c r="AG2721" s="20"/>
      <c r="AQ2721" s="19"/>
      <c r="AR2721" s="19"/>
      <c r="AS2721" s="19"/>
      <c r="AT2721" s="19"/>
      <c r="AU2721" s="19"/>
    </row>
    <row r="2722" spans="3:47">
      <c r="C2722" s="20"/>
      <c r="Z2722" s="20"/>
      <c r="AG2722" s="20"/>
      <c r="AQ2722" s="19"/>
      <c r="AR2722" s="19"/>
      <c r="AS2722" s="19"/>
      <c r="AT2722" s="19"/>
      <c r="AU2722" s="19"/>
    </row>
    <row r="2723" spans="3:47">
      <c r="C2723" s="20"/>
      <c r="Z2723" s="20"/>
      <c r="AG2723" s="20"/>
      <c r="AQ2723" s="19"/>
      <c r="AR2723" s="19"/>
      <c r="AS2723" s="19"/>
      <c r="AT2723" s="19"/>
      <c r="AU2723" s="19"/>
    </row>
    <row r="2724" spans="3:47">
      <c r="C2724" s="20"/>
      <c r="Z2724" s="20"/>
      <c r="AG2724" s="20"/>
      <c r="AQ2724" s="19"/>
      <c r="AR2724" s="19"/>
      <c r="AS2724" s="19"/>
      <c r="AT2724" s="19"/>
      <c r="AU2724" s="19"/>
    </row>
    <row r="2725" spans="3:47">
      <c r="C2725" s="20"/>
      <c r="Z2725" s="20"/>
      <c r="AG2725" s="20"/>
      <c r="AQ2725" s="19"/>
      <c r="AR2725" s="19"/>
      <c r="AS2725" s="19"/>
      <c r="AT2725" s="19"/>
      <c r="AU2725" s="19"/>
    </row>
    <row r="2726" spans="3:47">
      <c r="C2726" s="20"/>
      <c r="Z2726" s="20"/>
      <c r="AG2726" s="20"/>
      <c r="AQ2726" s="19"/>
      <c r="AR2726" s="19"/>
      <c r="AS2726" s="19"/>
      <c r="AT2726" s="19"/>
      <c r="AU2726" s="19"/>
    </row>
    <row r="2727" spans="3:47">
      <c r="C2727" s="20"/>
      <c r="Z2727" s="20"/>
      <c r="AG2727" s="20"/>
      <c r="AQ2727" s="19"/>
      <c r="AR2727" s="19"/>
      <c r="AS2727" s="19"/>
      <c r="AT2727" s="19"/>
      <c r="AU2727" s="19"/>
    </row>
    <row r="2728" spans="3:47">
      <c r="C2728" s="20"/>
      <c r="Z2728" s="20"/>
      <c r="AG2728" s="20"/>
      <c r="AQ2728" s="19"/>
      <c r="AR2728" s="19"/>
      <c r="AS2728" s="19"/>
      <c r="AT2728" s="19"/>
      <c r="AU2728" s="19"/>
    </row>
    <row r="2729" spans="3:47">
      <c r="C2729" s="20"/>
      <c r="Z2729" s="20"/>
      <c r="AG2729" s="20"/>
      <c r="AQ2729" s="19"/>
      <c r="AR2729" s="19"/>
      <c r="AS2729" s="19"/>
      <c r="AT2729" s="19"/>
      <c r="AU2729" s="19"/>
    </row>
    <row r="2730" spans="3:47">
      <c r="C2730" s="20"/>
      <c r="Z2730" s="20"/>
      <c r="AG2730" s="20"/>
      <c r="AQ2730" s="19"/>
      <c r="AR2730" s="19"/>
      <c r="AS2730" s="19"/>
      <c r="AT2730" s="19"/>
      <c r="AU2730" s="19"/>
    </row>
    <row r="2731" spans="3:47">
      <c r="C2731" s="20"/>
      <c r="Z2731" s="20"/>
      <c r="AG2731" s="20"/>
      <c r="AQ2731" s="19"/>
      <c r="AR2731" s="19"/>
      <c r="AS2731" s="19"/>
      <c r="AT2731" s="19"/>
      <c r="AU2731" s="19"/>
    </row>
    <row r="2732" spans="3:47">
      <c r="C2732" s="20"/>
      <c r="Z2732" s="20"/>
      <c r="AG2732" s="20"/>
      <c r="AQ2732" s="19"/>
      <c r="AR2732" s="19"/>
      <c r="AS2732" s="19"/>
      <c r="AT2732" s="19"/>
      <c r="AU2732" s="19"/>
    </row>
    <row r="2733" spans="3:47">
      <c r="C2733" s="20"/>
      <c r="Z2733" s="20"/>
      <c r="AG2733" s="20"/>
      <c r="AQ2733" s="19"/>
      <c r="AR2733" s="19"/>
      <c r="AS2733" s="19"/>
      <c r="AT2733" s="19"/>
      <c r="AU2733" s="19"/>
    </row>
    <row r="2734" spans="3:47">
      <c r="C2734" s="20"/>
      <c r="Z2734" s="20"/>
      <c r="AG2734" s="20"/>
      <c r="AQ2734" s="19"/>
      <c r="AR2734" s="19"/>
      <c r="AS2734" s="19"/>
      <c r="AT2734" s="19"/>
      <c r="AU2734" s="19"/>
    </row>
    <row r="2735" spans="3:47">
      <c r="C2735" s="20"/>
      <c r="Z2735" s="20"/>
      <c r="AG2735" s="20"/>
      <c r="AQ2735" s="19"/>
      <c r="AR2735" s="19"/>
      <c r="AS2735" s="19"/>
      <c r="AT2735" s="19"/>
      <c r="AU2735" s="19"/>
    </row>
    <row r="2736" spans="3:47">
      <c r="C2736" s="20"/>
      <c r="Z2736" s="20"/>
      <c r="AG2736" s="20"/>
      <c r="AQ2736" s="19"/>
      <c r="AR2736" s="19"/>
      <c r="AS2736" s="19"/>
      <c r="AT2736" s="19"/>
      <c r="AU2736" s="19"/>
    </row>
    <row r="2737" spans="3:47">
      <c r="C2737" s="20"/>
      <c r="Z2737" s="20"/>
      <c r="AG2737" s="20"/>
      <c r="AQ2737" s="19"/>
      <c r="AR2737" s="19"/>
      <c r="AS2737" s="19"/>
      <c r="AT2737" s="19"/>
      <c r="AU2737" s="19"/>
    </row>
    <row r="2738" spans="3:47">
      <c r="C2738" s="20"/>
      <c r="Z2738" s="20"/>
      <c r="AG2738" s="20"/>
      <c r="AQ2738" s="19"/>
      <c r="AR2738" s="19"/>
      <c r="AS2738" s="19"/>
      <c r="AT2738" s="19"/>
      <c r="AU2738" s="19"/>
    </row>
    <row r="2739" spans="3:47">
      <c r="C2739" s="20"/>
      <c r="Z2739" s="20"/>
      <c r="AG2739" s="20"/>
      <c r="AQ2739" s="19"/>
      <c r="AR2739" s="19"/>
      <c r="AS2739" s="19"/>
      <c r="AT2739" s="19"/>
      <c r="AU2739" s="19"/>
    </row>
    <row r="2740" spans="3:47">
      <c r="C2740" s="20"/>
      <c r="Z2740" s="20"/>
      <c r="AG2740" s="20"/>
      <c r="AQ2740" s="19"/>
      <c r="AR2740" s="19"/>
      <c r="AS2740" s="19"/>
      <c r="AT2740" s="19"/>
      <c r="AU2740" s="19"/>
    </row>
    <row r="2741" spans="3:47">
      <c r="C2741" s="20"/>
      <c r="Z2741" s="20"/>
      <c r="AG2741" s="20"/>
      <c r="AQ2741" s="19"/>
      <c r="AR2741" s="19"/>
      <c r="AS2741" s="19"/>
      <c r="AT2741" s="19"/>
      <c r="AU2741" s="19"/>
    </row>
    <row r="2742" spans="3:47">
      <c r="C2742" s="20"/>
      <c r="Z2742" s="20"/>
      <c r="AG2742" s="20"/>
      <c r="AQ2742" s="19"/>
      <c r="AR2742" s="19"/>
      <c r="AS2742" s="19"/>
      <c r="AT2742" s="19"/>
      <c r="AU2742" s="19"/>
    </row>
    <row r="2743" spans="3:47">
      <c r="C2743" s="20"/>
      <c r="Z2743" s="20"/>
      <c r="AG2743" s="20"/>
      <c r="AQ2743" s="19"/>
      <c r="AR2743" s="19"/>
      <c r="AS2743" s="19"/>
      <c r="AT2743" s="19"/>
      <c r="AU2743" s="19"/>
    </row>
    <row r="2744" spans="3:47">
      <c r="C2744" s="20"/>
      <c r="Z2744" s="20"/>
      <c r="AG2744" s="20"/>
      <c r="AQ2744" s="19"/>
      <c r="AR2744" s="19"/>
      <c r="AS2744" s="19"/>
      <c r="AT2744" s="19"/>
      <c r="AU2744" s="19"/>
    </row>
    <row r="2745" spans="3:47">
      <c r="C2745" s="20"/>
      <c r="Z2745" s="20"/>
      <c r="AG2745" s="20"/>
      <c r="AQ2745" s="19"/>
      <c r="AR2745" s="19"/>
      <c r="AS2745" s="19"/>
      <c r="AT2745" s="19"/>
      <c r="AU2745" s="19"/>
    </row>
    <row r="2746" spans="3:47">
      <c r="C2746" s="20"/>
      <c r="Z2746" s="20"/>
      <c r="AG2746" s="20"/>
      <c r="AQ2746" s="19"/>
      <c r="AR2746" s="19"/>
      <c r="AS2746" s="19"/>
      <c r="AT2746" s="19"/>
      <c r="AU2746" s="19"/>
    </row>
    <row r="2747" spans="3:47">
      <c r="C2747" s="20"/>
      <c r="Z2747" s="20"/>
      <c r="AG2747" s="20"/>
      <c r="AQ2747" s="19"/>
      <c r="AR2747" s="19"/>
      <c r="AS2747" s="19"/>
      <c r="AT2747" s="19"/>
      <c r="AU2747" s="19"/>
    </row>
    <row r="2748" spans="3:47">
      <c r="C2748" s="20"/>
      <c r="Z2748" s="20"/>
      <c r="AG2748" s="20"/>
      <c r="AQ2748" s="19"/>
      <c r="AR2748" s="19"/>
      <c r="AS2748" s="19"/>
      <c r="AT2748" s="19"/>
      <c r="AU2748" s="19"/>
    </row>
    <row r="2749" spans="3:47">
      <c r="C2749" s="20"/>
      <c r="Z2749" s="20"/>
      <c r="AG2749" s="20"/>
      <c r="AQ2749" s="19"/>
      <c r="AR2749" s="19"/>
      <c r="AS2749" s="19"/>
      <c r="AT2749" s="19"/>
      <c r="AU2749" s="19"/>
    </row>
    <row r="2750" spans="3:47">
      <c r="C2750" s="20"/>
      <c r="Z2750" s="20"/>
      <c r="AG2750" s="20"/>
      <c r="AQ2750" s="19"/>
      <c r="AR2750" s="19"/>
      <c r="AS2750" s="19"/>
      <c r="AT2750" s="19"/>
      <c r="AU2750" s="19"/>
    </row>
    <row r="2751" spans="3:47">
      <c r="C2751" s="20"/>
      <c r="Z2751" s="20"/>
      <c r="AG2751" s="20"/>
      <c r="AQ2751" s="19"/>
      <c r="AR2751" s="19"/>
      <c r="AS2751" s="19"/>
      <c r="AT2751" s="19"/>
      <c r="AU2751" s="19"/>
    </row>
    <row r="2752" spans="3:47">
      <c r="C2752" s="20"/>
      <c r="Z2752" s="20"/>
      <c r="AG2752" s="20"/>
      <c r="AQ2752" s="19"/>
      <c r="AR2752" s="19"/>
      <c r="AS2752" s="19"/>
      <c r="AT2752" s="19"/>
      <c r="AU2752" s="19"/>
    </row>
    <row r="2753" spans="3:47">
      <c r="C2753" s="20"/>
      <c r="Z2753" s="20"/>
      <c r="AG2753" s="20"/>
      <c r="AQ2753" s="19"/>
      <c r="AR2753" s="19"/>
      <c r="AS2753" s="19"/>
      <c r="AT2753" s="19"/>
      <c r="AU2753" s="19"/>
    </row>
    <row r="2754" spans="3:47">
      <c r="C2754" s="20"/>
      <c r="Z2754" s="20"/>
      <c r="AG2754" s="20"/>
      <c r="AQ2754" s="19"/>
      <c r="AR2754" s="19"/>
      <c r="AS2754" s="19"/>
      <c r="AT2754" s="19"/>
      <c r="AU2754" s="19"/>
    </row>
    <row r="2755" spans="3:47">
      <c r="C2755" s="20"/>
      <c r="Z2755" s="20"/>
      <c r="AG2755" s="20"/>
      <c r="AQ2755" s="19"/>
      <c r="AR2755" s="19"/>
      <c r="AS2755" s="19"/>
      <c r="AT2755" s="19"/>
      <c r="AU2755" s="19"/>
    </row>
    <row r="2756" spans="3:47">
      <c r="C2756" s="20"/>
      <c r="Z2756" s="20"/>
      <c r="AG2756" s="20"/>
      <c r="AQ2756" s="19"/>
      <c r="AR2756" s="19"/>
      <c r="AS2756" s="19"/>
      <c r="AT2756" s="19"/>
      <c r="AU2756" s="19"/>
    </row>
    <row r="2757" spans="3:47">
      <c r="C2757" s="20"/>
      <c r="Z2757" s="20"/>
      <c r="AG2757" s="20"/>
      <c r="AQ2757" s="19"/>
      <c r="AR2757" s="19"/>
      <c r="AS2757" s="19"/>
      <c r="AT2757" s="19"/>
      <c r="AU2757" s="19"/>
    </row>
    <row r="2758" spans="3:47">
      <c r="C2758" s="20"/>
      <c r="Z2758" s="20"/>
      <c r="AG2758" s="20"/>
      <c r="AQ2758" s="19"/>
      <c r="AR2758" s="19"/>
      <c r="AS2758" s="19"/>
      <c r="AT2758" s="19"/>
      <c r="AU2758" s="19"/>
    </row>
    <row r="2759" spans="3:47">
      <c r="C2759" s="20"/>
      <c r="Z2759" s="20"/>
      <c r="AG2759" s="20"/>
      <c r="AQ2759" s="19"/>
      <c r="AR2759" s="19"/>
      <c r="AS2759" s="19"/>
      <c r="AT2759" s="19"/>
      <c r="AU2759" s="19"/>
    </row>
    <row r="2760" spans="3:47">
      <c r="C2760" s="20"/>
      <c r="Z2760" s="20"/>
      <c r="AG2760" s="20"/>
      <c r="AQ2760" s="19"/>
      <c r="AR2760" s="19"/>
      <c r="AS2760" s="19"/>
      <c r="AT2760" s="19"/>
      <c r="AU2760" s="19"/>
    </row>
    <row r="2761" spans="3:47">
      <c r="C2761" s="20"/>
      <c r="Z2761" s="20"/>
      <c r="AG2761" s="20"/>
      <c r="AQ2761" s="19"/>
      <c r="AR2761" s="19"/>
      <c r="AS2761" s="19"/>
      <c r="AT2761" s="19"/>
      <c r="AU2761" s="19"/>
    </row>
    <row r="2762" spans="3:47">
      <c r="C2762" s="20"/>
      <c r="Z2762" s="20"/>
      <c r="AG2762" s="20"/>
      <c r="AQ2762" s="19"/>
      <c r="AR2762" s="19"/>
      <c r="AS2762" s="19"/>
      <c r="AT2762" s="19"/>
      <c r="AU2762" s="19"/>
    </row>
    <row r="2763" spans="3:47">
      <c r="C2763" s="20"/>
      <c r="Z2763" s="20"/>
      <c r="AG2763" s="20"/>
      <c r="AQ2763" s="19"/>
      <c r="AR2763" s="19"/>
      <c r="AS2763" s="19"/>
      <c r="AT2763" s="19"/>
      <c r="AU2763" s="19"/>
    </row>
    <row r="2764" spans="3:47">
      <c r="C2764" s="20"/>
      <c r="Z2764" s="20"/>
      <c r="AG2764" s="20"/>
      <c r="AQ2764" s="19"/>
      <c r="AR2764" s="19"/>
      <c r="AS2764" s="19"/>
      <c r="AT2764" s="19"/>
      <c r="AU2764" s="19"/>
    </row>
    <row r="2765" spans="3:47">
      <c r="C2765" s="20"/>
      <c r="Z2765" s="20"/>
      <c r="AG2765" s="20"/>
      <c r="AQ2765" s="19"/>
      <c r="AR2765" s="19"/>
      <c r="AS2765" s="19"/>
      <c r="AT2765" s="19"/>
      <c r="AU2765" s="19"/>
    </row>
    <row r="2766" spans="3:47">
      <c r="C2766" s="20"/>
      <c r="Z2766" s="20"/>
      <c r="AG2766" s="20"/>
      <c r="AQ2766" s="19"/>
      <c r="AR2766" s="19"/>
      <c r="AS2766" s="19"/>
      <c r="AT2766" s="19"/>
      <c r="AU2766" s="19"/>
    </row>
    <row r="2767" spans="3:47">
      <c r="C2767" s="20"/>
      <c r="Z2767" s="20"/>
      <c r="AG2767" s="20"/>
      <c r="AQ2767" s="19"/>
      <c r="AR2767" s="19"/>
      <c r="AS2767" s="19"/>
      <c r="AT2767" s="19"/>
      <c r="AU2767" s="19"/>
    </row>
    <row r="2768" spans="3:47">
      <c r="C2768" s="20"/>
      <c r="Z2768" s="20"/>
      <c r="AG2768" s="20"/>
      <c r="AQ2768" s="19"/>
      <c r="AR2768" s="19"/>
      <c r="AS2768" s="19"/>
      <c r="AT2768" s="19"/>
      <c r="AU2768" s="19"/>
    </row>
    <row r="2769" spans="3:47">
      <c r="C2769" s="20"/>
      <c r="Z2769" s="20"/>
      <c r="AG2769" s="20"/>
      <c r="AQ2769" s="19"/>
      <c r="AR2769" s="19"/>
      <c r="AS2769" s="19"/>
      <c r="AT2769" s="19"/>
      <c r="AU2769" s="19"/>
    </row>
    <row r="2770" spans="3:47">
      <c r="C2770" s="20"/>
      <c r="Z2770" s="20"/>
      <c r="AG2770" s="20"/>
      <c r="AQ2770" s="19"/>
      <c r="AR2770" s="19"/>
      <c r="AS2770" s="19"/>
      <c r="AT2770" s="19"/>
      <c r="AU2770" s="19"/>
    </row>
    <row r="2771" spans="3:47">
      <c r="C2771" s="20"/>
      <c r="Z2771" s="20"/>
      <c r="AG2771" s="20"/>
      <c r="AQ2771" s="19"/>
      <c r="AR2771" s="19"/>
      <c r="AS2771" s="19"/>
      <c r="AT2771" s="19"/>
      <c r="AU2771" s="19"/>
    </row>
    <row r="2772" spans="3:47">
      <c r="C2772" s="20"/>
      <c r="Z2772" s="20"/>
      <c r="AG2772" s="20"/>
      <c r="AQ2772" s="19"/>
      <c r="AR2772" s="19"/>
      <c r="AS2772" s="19"/>
      <c r="AT2772" s="19"/>
      <c r="AU2772" s="19"/>
    </row>
    <row r="2773" spans="3:47">
      <c r="C2773" s="20"/>
      <c r="Z2773" s="20"/>
      <c r="AG2773" s="20"/>
      <c r="AQ2773" s="19"/>
      <c r="AR2773" s="19"/>
      <c r="AS2773" s="19"/>
      <c r="AT2773" s="19"/>
      <c r="AU2773" s="19"/>
    </row>
    <row r="2774" spans="3:47">
      <c r="C2774" s="20"/>
      <c r="Z2774" s="20"/>
      <c r="AG2774" s="20"/>
      <c r="AQ2774" s="19"/>
      <c r="AR2774" s="19"/>
      <c r="AS2774" s="19"/>
      <c r="AT2774" s="19"/>
      <c r="AU2774" s="19"/>
    </row>
    <row r="2775" spans="3:47">
      <c r="C2775" s="20"/>
      <c r="Z2775" s="20"/>
      <c r="AG2775" s="20"/>
      <c r="AQ2775" s="19"/>
      <c r="AR2775" s="19"/>
      <c r="AS2775" s="19"/>
      <c r="AT2775" s="19"/>
      <c r="AU2775" s="19"/>
    </row>
    <row r="2776" spans="3:47">
      <c r="C2776" s="20"/>
      <c r="Z2776" s="20"/>
      <c r="AG2776" s="20"/>
      <c r="AQ2776" s="19"/>
      <c r="AR2776" s="19"/>
      <c r="AS2776" s="19"/>
      <c r="AT2776" s="19"/>
      <c r="AU2776" s="19"/>
    </row>
    <row r="2777" spans="3:47">
      <c r="C2777" s="20"/>
      <c r="Z2777" s="20"/>
      <c r="AG2777" s="20"/>
      <c r="AQ2777" s="19"/>
      <c r="AR2777" s="19"/>
      <c r="AS2777" s="19"/>
      <c r="AT2777" s="19"/>
      <c r="AU2777" s="19"/>
    </row>
    <row r="2778" spans="3:47">
      <c r="C2778" s="20"/>
      <c r="Z2778" s="20"/>
      <c r="AG2778" s="20"/>
      <c r="AQ2778" s="19"/>
      <c r="AR2778" s="19"/>
      <c r="AS2778" s="19"/>
      <c r="AT2778" s="19"/>
      <c r="AU2778" s="19"/>
    </row>
    <row r="2779" spans="3:47">
      <c r="C2779" s="20"/>
      <c r="Z2779" s="20"/>
      <c r="AG2779" s="20"/>
      <c r="AQ2779" s="19"/>
      <c r="AR2779" s="19"/>
      <c r="AS2779" s="19"/>
      <c r="AT2779" s="19"/>
      <c r="AU2779" s="19"/>
    </row>
    <row r="2780" spans="3:47">
      <c r="C2780" s="20"/>
      <c r="Z2780" s="20"/>
      <c r="AG2780" s="20"/>
      <c r="AQ2780" s="19"/>
      <c r="AR2780" s="19"/>
      <c r="AS2780" s="19"/>
      <c r="AT2780" s="19"/>
      <c r="AU2780" s="19"/>
    </row>
    <row r="2781" spans="3:47">
      <c r="C2781" s="20"/>
      <c r="Z2781" s="20"/>
      <c r="AG2781" s="20"/>
      <c r="AQ2781" s="19"/>
      <c r="AR2781" s="19"/>
      <c r="AS2781" s="19"/>
      <c r="AT2781" s="19"/>
      <c r="AU2781" s="19"/>
    </row>
    <row r="2782" spans="3:47">
      <c r="C2782" s="20"/>
      <c r="Z2782" s="20"/>
      <c r="AG2782" s="20"/>
      <c r="AQ2782" s="19"/>
      <c r="AR2782" s="19"/>
      <c r="AS2782" s="19"/>
      <c r="AT2782" s="19"/>
      <c r="AU2782" s="19"/>
    </row>
    <row r="2783" spans="3:47">
      <c r="C2783" s="20"/>
      <c r="Z2783" s="20"/>
      <c r="AG2783" s="20"/>
      <c r="AQ2783" s="19"/>
      <c r="AR2783" s="19"/>
      <c r="AS2783" s="19"/>
      <c r="AT2783" s="19"/>
      <c r="AU2783" s="19"/>
    </row>
    <row r="2784" spans="3:47">
      <c r="C2784" s="20"/>
      <c r="Z2784" s="20"/>
      <c r="AG2784" s="20"/>
      <c r="AQ2784" s="19"/>
      <c r="AR2784" s="19"/>
      <c r="AS2784" s="19"/>
      <c r="AT2784" s="19"/>
      <c r="AU2784" s="19"/>
    </row>
    <row r="2785" spans="3:47">
      <c r="C2785" s="20"/>
      <c r="Z2785" s="20"/>
      <c r="AG2785" s="20"/>
      <c r="AQ2785" s="19"/>
      <c r="AR2785" s="19"/>
      <c r="AS2785" s="19"/>
      <c r="AT2785" s="19"/>
      <c r="AU2785" s="19"/>
    </row>
    <row r="2786" spans="3:47">
      <c r="C2786" s="20"/>
      <c r="Z2786" s="20"/>
      <c r="AG2786" s="20"/>
      <c r="AQ2786" s="19"/>
      <c r="AR2786" s="19"/>
      <c r="AS2786" s="19"/>
      <c r="AT2786" s="19"/>
      <c r="AU2786" s="19"/>
    </row>
    <row r="2787" spans="3:47">
      <c r="C2787" s="20"/>
      <c r="Z2787" s="20"/>
      <c r="AG2787" s="20"/>
      <c r="AQ2787" s="19"/>
      <c r="AR2787" s="19"/>
      <c r="AS2787" s="19"/>
      <c r="AT2787" s="19"/>
      <c r="AU2787" s="19"/>
    </row>
    <row r="2788" spans="3:47">
      <c r="C2788" s="20"/>
      <c r="Z2788" s="20"/>
      <c r="AG2788" s="20"/>
      <c r="AQ2788" s="19"/>
      <c r="AR2788" s="19"/>
      <c r="AS2788" s="19"/>
      <c r="AT2788" s="19"/>
      <c r="AU2788" s="19"/>
    </row>
    <row r="2789" spans="3:47">
      <c r="C2789" s="20"/>
      <c r="Z2789" s="20"/>
      <c r="AG2789" s="20"/>
      <c r="AQ2789" s="19"/>
      <c r="AR2789" s="19"/>
      <c r="AS2789" s="19"/>
      <c r="AT2789" s="19"/>
      <c r="AU2789" s="19"/>
    </row>
    <row r="2790" spans="3:47">
      <c r="C2790" s="20"/>
      <c r="Z2790" s="20"/>
      <c r="AG2790" s="20"/>
      <c r="AQ2790" s="19"/>
      <c r="AR2790" s="19"/>
      <c r="AS2790" s="19"/>
      <c r="AT2790" s="19"/>
      <c r="AU2790" s="19"/>
    </row>
    <row r="2791" spans="3:47">
      <c r="C2791" s="20"/>
      <c r="Z2791" s="20"/>
      <c r="AG2791" s="20"/>
      <c r="AQ2791" s="19"/>
      <c r="AR2791" s="19"/>
      <c r="AS2791" s="19"/>
      <c r="AT2791" s="19"/>
      <c r="AU2791" s="19"/>
    </row>
    <row r="2792" spans="3:47">
      <c r="C2792" s="20"/>
      <c r="Z2792" s="20"/>
      <c r="AG2792" s="20"/>
      <c r="AQ2792" s="19"/>
      <c r="AR2792" s="19"/>
      <c r="AS2792" s="19"/>
      <c r="AT2792" s="19"/>
      <c r="AU2792" s="19"/>
    </row>
    <row r="2793" spans="3:47">
      <c r="C2793" s="20"/>
      <c r="Z2793" s="20"/>
      <c r="AG2793" s="20"/>
      <c r="AQ2793" s="19"/>
      <c r="AR2793" s="19"/>
      <c r="AS2793" s="19"/>
      <c r="AT2793" s="19"/>
      <c r="AU2793" s="19"/>
    </row>
    <row r="2794" spans="3:47">
      <c r="C2794" s="20"/>
      <c r="Z2794" s="20"/>
      <c r="AG2794" s="20"/>
      <c r="AQ2794" s="19"/>
      <c r="AR2794" s="19"/>
      <c r="AS2794" s="19"/>
      <c r="AT2794" s="19"/>
      <c r="AU2794" s="19"/>
    </row>
    <row r="2795" spans="3:47">
      <c r="C2795" s="20"/>
      <c r="Z2795" s="20"/>
      <c r="AG2795" s="20"/>
      <c r="AQ2795" s="19"/>
      <c r="AR2795" s="19"/>
      <c r="AS2795" s="19"/>
      <c r="AT2795" s="19"/>
      <c r="AU2795" s="19"/>
    </row>
    <row r="2796" spans="3:47">
      <c r="C2796" s="20"/>
      <c r="Z2796" s="20"/>
      <c r="AG2796" s="20"/>
      <c r="AQ2796" s="19"/>
      <c r="AR2796" s="19"/>
      <c r="AS2796" s="19"/>
      <c r="AT2796" s="19"/>
      <c r="AU2796" s="19"/>
    </row>
    <row r="2797" spans="3:47">
      <c r="C2797" s="20"/>
      <c r="Z2797" s="20"/>
      <c r="AG2797" s="20"/>
      <c r="AQ2797" s="19"/>
      <c r="AR2797" s="19"/>
      <c r="AS2797" s="19"/>
      <c r="AT2797" s="19"/>
      <c r="AU2797" s="19"/>
    </row>
    <row r="2798" spans="3:47">
      <c r="C2798" s="20"/>
      <c r="Z2798" s="20"/>
      <c r="AG2798" s="20"/>
      <c r="AQ2798" s="19"/>
      <c r="AR2798" s="19"/>
      <c r="AS2798" s="19"/>
      <c r="AT2798" s="19"/>
      <c r="AU2798" s="19"/>
    </row>
    <row r="2799" spans="3:47">
      <c r="C2799" s="20"/>
      <c r="Z2799" s="20"/>
      <c r="AG2799" s="20"/>
      <c r="AQ2799" s="19"/>
      <c r="AR2799" s="19"/>
      <c r="AS2799" s="19"/>
      <c r="AT2799" s="19"/>
      <c r="AU2799" s="19"/>
    </row>
    <row r="2800" spans="3:47">
      <c r="C2800" s="20"/>
      <c r="Z2800" s="20"/>
      <c r="AG2800" s="20"/>
      <c r="AQ2800" s="19"/>
      <c r="AR2800" s="19"/>
      <c r="AS2800" s="19"/>
      <c r="AT2800" s="19"/>
      <c r="AU2800" s="19"/>
    </row>
    <row r="2801" spans="3:47">
      <c r="C2801" s="20"/>
      <c r="Z2801" s="20"/>
      <c r="AG2801" s="20"/>
      <c r="AQ2801" s="19"/>
      <c r="AR2801" s="19"/>
      <c r="AS2801" s="19"/>
      <c r="AT2801" s="19"/>
      <c r="AU2801" s="19"/>
    </row>
    <row r="2802" spans="3:47">
      <c r="C2802" s="20"/>
      <c r="Z2802" s="20"/>
      <c r="AG2802" s="20"/>
      <c r="AQ2802" s="19"/>
      <c r="AR2802" s="19"/>
      <c r="AS2802" s="19"/>
      <c r="AT2802" s="19"/>
      <c r="AU2802" s="19"/>
    </row>
    <row r="2803" spans="3:47">
      <c r="C2803" s="20"/>
      <c r="Z2803" s="20"/>
      <c r="AG2803" s="20"/>
      <c r="AQ2803" s="19"/>
      <c r="AR2803" s="19"/>
      <c r="AS2803" s="19"/>
      <c r="AT2803" s="19"/>
      <c r="AU2803" s="19"/>
    </row>
    <row r="2804" spans="3:47">
      <c r="C2804" s="20"/>
      <c r="Z2804" s="20"/>
      <c r="AG2804" s="20"/>
      <c r="AQ2804" s="19"/>
      <c r="AR2804" s="19"/>
      <c r="AS2804" s="19"/>
      <c r="AT2804" s="19"/>
      <c r="AU2804" s="19"/>
    </row>
    <row r="2805" spans="3:47">
      <c r="C2805" s="20"/>
      <c r="Z2805" s="20"/>
      <c r="AG2805" s="20"/>
      <c r="AQ2805" s="19"/>
      <c r="AR2805" s="19"/>
      <c r="AS2805" s="19"/>
      <c r="AT2805" s="19"/>
      <c r="AU2805" s="19"/>
    </row>
    <row r="2806" spans="3:47">
      <c r="C2806" s="20"/>
      <c r="Z2806" s="20"/>
      <c r="AG2806" s="20"/>
      <c r="AQ2806" s="19"/>
      <c r="AR2806" s="19"/>
      <c r="AS2806" s="19"/>
      <c r="AT2806" s="19"/>
      <c r="AU2806" s="19"/>
    </row>
    <row r="2807" spans="3:47">
      <c r="C2807" s="20"/>
      <c r="Z2807" s="20"/>
      <c r="AG2807" s="20"/>
      <c r="AQ2807" s="19"/>
      <c r="AR2807" s="19"/>
      <c r="AS2807" s="19"/>
      <c r="AT2807" s="19"/>
      <c r="AU2807" s="19"/>
    </row>
    <row r="2808" spans="3:47">
      <c r="C2808" s="20"/>
      <c r="Z2808" s="20"/>
      <c r="AG2808" s="20"/>
      <c r="AQ2808" s="19"/>
      <c r="AR2808" s="19"/>
      <c r="AS2808" s="19"/>
      <c r="AT2808" s="19"/>
      <c r="AU2808" s="19"/>
    </row>
    <row r="2809" spans="3:47">
      <c r="C2809" s="20"/>
      <c r="Z2809" s="20"/>
      <c r="AG2809" s="20"/>
      <c r="AQ2809" s="19"/>
      <c r="AR2809" s="19"/>
      <c r="AS2809" s="19"/>
      <c r="AT2809" s="19"/>
      <c r="AU2809" s="19"/>
    </row>
    <row r="2810" spans="3:47">
      <c r="C2810" s="20"/>
      <c r="Z2810" s="20"/>
      <c r="AG2810" s="20"/>
      <c r="AQ2810" s="19"/>
      <c r="AR2810" s="19"/>
      <c r="AS2810" s="19"/>
      <c r="AT2810" s="19"/>
      <c r="AU2810" s="19"/>
    </row>
    <row r="2811" spans="3:47">
      <c r="C2811" s="20"/>
      <c r="Z2811" s="20"/>
      <c r="AG2811" s="20"/>
      <c r="AQ2811" s="19"/>
      <c r="AR2811" s="19"/>
      <c r="AS2811" s="19"/>
      <c r="AT2811" s="19"/>
      <c r="AU2811" s="19"/>
    </row>
    <row r="2812" spans="3:47">
      <c r="C2812" s="20"/>
      <c r="Z2812" s="20"/>
      <c r="AG2812" s="20"/>
      <c r="AQ2812" s="19"/>
      <c r="AR2812" s="19"/>
      <c r="AS2812" s="19"/>
      <c r="AT2812" s="19"/>
      <c r="AU2812" s="19"/>
    </row>
    <row r="2813" spans="3:47">
      <c r="C2813" s="20"/>
      <c r="Z2813" s="20"/>
      <c r="AG2813" s="20"/>
      <c r="AQ2813" s="19"/>
      <c r="AR2813" s="19"/>
      <c r="AS2813" s="19"/>
      <c r="AT2813" s="19"/>
      <c r="AU2813" s="19"/>
    </row>
    <row r="2814" spans="3:47">
      <c r="C2814" s="20"/>
      <c r="Z2814" s="20"/>
      <c r="AG2814" s="20"/>
      <c r="AQ2814" s="19"/>
      <c r="AR2814" s="19"/>
      <c r="AS2814" s="19"/>
      <c r="AT2814" s="19"/>
      <c r="AU2814" s="19"/>
    </row>
    <row r="2815" spans="3:47">
      <c r="C2815" s="20"/>
      <c r="Z2815" s="20"/>
      <c r="AG2815" s="20"/>
      <c r="AQ2815" s="19"/>
      <c r="AR2815" s="19"/>
      <c r="AS2815" s="19"/>
      <c r="AT2815" s="19"/>
      <c r="AU2815" s="19"/>
    </row>
    <row r="2816" spans="3:47">
      <c r="C2816" s="20"/>
      <c r="Z2816" s="20"/>
      <c r="AG2816" s="20"/>
      <c r="AQ2816" s="19"/>
      <c r="AR2816" s="19"/>
      <c r="AS2816" s="19"/>
      <c r="AT2816" s="19"/>
      <c r="AU2816" s="19"/>
    </row>
    <row r="2817" spans="3:47">
      <c r="C2817" s="20"/>
      <c r="Z2817" s="20"/>
      <c r="AG2817" s="20"/>
      <c r="AQ2817" s="19"/>
      <c r="AR2817" s="19"/>
      <c r="AS2817" s="19"/>
      <c r="AT2817" s="19"/>
      <c r="AU2817" s="19"/>
    </row>
    <row r="2818" spans="3:47">
      <c r="C2818" s="20"/>
      <c r="Z2818" s="20"/>
      <c r="AG2818" s="20"/>
      <c r="AQ2818" s="19"/>
      <c r="AR2818" s="19"/>
      <c r="AS2818" s="19"/>
      <c r="AT2818" s="19"/>
      <c r="AU2818" s="19"/>
    </row>
    <row r="2819" spans="3:47">
      <c r="C2819" s="20"/>
      <c r="Z2819" s="20"/>
      <c r="AG2819" s="20"/>
      <c r="AQ2819" s="19"/>
      <c r="AR2819" s="19"/>
      <c r="AS2819" s="19"/>
      <c r="AT2819" s="19"/>
      <c r="AU2819" s="19"/>
    </row>
    <row r="2820" spans="3:47">
      <c r="C2820" s="20"/>
      <c r="Z2820" s="20"/>
      <c r="AG2820" s="20"/>
      <c r="AQ2820" s="19"/>
      <c r="AR2820" s="19"/>
      <c r="AS2820" s="19"/>
      <c r="AT2820" s="19"/>
      <c r="AU2820" s="19"/>
    </row>
    <row r="2821" spans="3:47">
      <c r="C2821" s="20"/>
      <c r="Z2821" s="20"/>
      <c r="AG2821" s="20"/>
      <c r="AQ2821" s="19"/>
      <c r="AR2821" s="19"/>
      <c r="AS2821" s="19"/>
      <c r="AT2821" s="19"/>
      <c r="AU2821" s="19"/>
    </row>
    <row r="2822" spans="3:47">
      <c r="C2822" s="20"/>
      <c r="Z2822" s="20"/>
      <c r="AG2822" s="20"/>
      <c r="AQ2822" s="19"/>
      <c r="AR2822" s="19"/>
      <c r="AS2822" s="19"/>
      <c r="AT2822" s="19"/>
      <c r="AU2822" s="19"/>
    </row>
    <row r="2823" spans="3:47">
      <c r="C2823" s="20"/>
      <c r="Z2823" s="20"/>
      <c r="AG2823" s="20"/>
      <c r="AQ2823" s="19"/>
      <c r="AR2823" s="19"/>
      <c r="AS2823" s="19"/>
      <c r="AT2823" s="19"/>
      <c r="AU2823" s="19"/>
    </row>
    <row r="2824" spans="3:47">
      <c r="C2824" s="20"/>
      <c r="Z2824" s="20"/>
      <c r="AG2824" s="20"/>
      <c r="AQ2824" s="19"/>
      <c r="AR2824" s="19"/>
      <c r="AS2824" s="19"/>
      <c r="AT2824" s="19"/>
      <c r="AU2824" s="19"/>
    </row>
    <row r="2825" spans="3:47">
      <c r="C2825" s="20"/>
      <c r="Z2825" s="20"/>
      <c r="AG2825" s="20"/>
      <c r="AQ2825" s="19"/>
      <c r="AR2825" s="19"/>
      <c r="AS2825" s="19"/>
      <c r="AT2825" s="19"/>
      <c r="AU2825" s="19"/>
    </row>
    <row r="2826" spans="3:47">
      <c r="C2826" s="20"/>
      <c r="Z2826" s="20"/>
      <c r="AG2826" s="20"/>
      <c r="AQ2826" s="19"/>
      <c r="AR2826" s="19"/>
      <c r="AS2826" s="19"/>
      <c r="AT2826" s="19"/>
      <c r="AU2826" s="19"/>
    </row>
    <row r="2827" spans="3:47">
      <c r="C2827" s="20"/>
      <c r="Z2827" s="20"/>
      <c r="AG2827" s="20"/>
      <c r="AQ2827" s="19"/>
      <c r="AR2827" s="19"/>
      <c r="AS2827" s="19"/>
      <c r="AT2827" s="19"/>
      <c r="AU2827" s="19"/>
    </row>
    <row r="2828" spans="3:47">
      <c r="C2828" s="20"/>
      <c r="Z2828" s="20"/>
      <c r="AG2828" s="20"/>
      <c r="AQ2828" s="19"/>
      <c r="AR2828" s="19"/>
      <c r="AS2828" s="19"/>
      <c r="AT2828" s="19"/>
      <c r="AU2828" s="19"/>
    </row>
    <row r="2829" spans="3:47">
      <c r="C2829" s="20"/>
      <c r="Z2829" s="20"/>
      <c r="AG2829" s="20"/>
      <c r="AQ2829" s="19"/>
      <c r="AR2829" s="19"/>
      <c r="AS2829" s="19"/>
      <c r="AT2829" s="19"/>
      <c r="AU2829" s="19"/>
    </row>
    <row r="2830" spans="3:47">
      <c r="C2830" s="20"/>
      <c r="Z2830" s="20"/>
      <c r="AG2830" s="20"/>
      <c r="AQ2830" s="19"/>
      <c r="AR2830" s="19"/>
      <c r="AS2830" s="19"/>
      <c r="AT2830" s="19"/>
      <c r="AU2830" s="19"/>
    </row>
    <row r="2831" spans="3:47">
      <c r="C2831" s="20"/>
      <c r="Z2831" s="20"/>
      <c r="AG2831" s="20"/>
      <c r="AQ2831" s="19"/>
      <c r="AR2831" s="19"/>
      <c r="AS2831" s="19"/>
      <c r="AT2831" s="19"/>
      <c r="AU2831" s="19"/>
    </row>
    <row r="2832" spans="3:47">
      <c r="C2832" s="20"/>
      <c r="Z2832" s="20"/>
      <c r="AG2832" s="20"/>
      <c r="AQ2832" s="19"/>
      <c r="AR2832" s="19"/>
      <c r="AS2832" s="19"/>
      <c r="AT2832" s="19"/>
      <c r="AU2832" s="19"/>
    </row>
    <row r="2833" spans="3:47">
      <c r="C2833" s="20"/>
      <c r="Z2833" s="20"/>
      <c r="AG2833" s="20"/>
      <c r="AQ2833" s="19"/>
      <c r="AR2833" s="19"/>
      <c r="AS2833" s="19"/>
      <c r="AT2833" s="19"/>
      <c r="AU2833" s="19"/>
    </row>
    <row r="2834" spans="3:47">
      <c r="C2834" s="20"/>
      <c r="Z2834" s="20"/>
      <c r="AG2834" s="20"/>
      <c r="AQ2834" s="19"/>
      <c r="AR2834" s="19"/>
      <c r="AS2834" s="19"/>
      <c r="AT2834" s="19"/>
      <c r="AU2834" s="19"/>
    </row>
    <row r="2835" spans="3:47">
      <c r="C2835" s="20"/>
      <c r="Z2835" s="20"/>
      <c r="AG2835" s="20"/>
      <c r="AQ2835" s="19"/>
      <c r="AR2835" s="19"/>
      <c r="AS2835" s="19"/>
      <c r="AT2835" s="19"/>
      <c r="AU2835" s="19"/>
    </row>
    <row r="2836" spans="3:47">
      <c r="C2836" s="20"/>
      <c r="Z2836" s="20"/>
      <c r="AG2836" s="20"/>
      <c r="AQ2836" s="19"/>
      <c r="AR2836" s="19"/>
      <c r="AS2836" s="19"/>
      <c r="AT2836" s="19"/>
      <c r="AU2836" s="19"/>
    </row>
    <row r="2837" spans="3:47">
      <c r="C2837" s="20"/>
      <c r="Z2837" s="20"/>
      <c r="AG2837" s="20"/>
      <c r="AQ2837" s="19"/>
      <c r="AR2837" s="19"/>
      <c r="AS2837" s="19"/>
      <c r="AT2837" s="19"/>
      <c r="AU2837" s="19"/>
    </row>
    <row r="2838" spans="3:47">
      <c r="C2838" s="20"/>
      <c r="Z2838" s="20"/>
      <c r="AG2838" s="20"/>
      <c r="AQ2838" s="19"/>
      <c r="AR2838" s="19"/>
      <c r="AS2838" s="19"/>
      <c r="AT2838" s="19"/>
      <c r="AU2838" s="19"/>
    </row>
    <row r="2839" spans="3:47">
      <c r="C2839" s="20"/>
      <c r="Z2839" s="20"/>
      <c r="AG2839" s="20"/>
      <c r="AQ2839" s="19"/>
      <c r="AR2839" s="19"/>
      <c r="AS2839" s="19"/>
      <c r="AT2839" s="19"/>
      <c r="AU2839" s="19"/>
    </row>
    <row r="2840" spans="3:47">
      <c r="C2840" s="20"/>
      <c r="Z2840" s="20"/>
      <c r="AG2840" s="20"/>
      <c r="AQ2840" s="19"/>
      <c r="AR2840" s="19"/>
      <c r="AS2840" s="19"/>
      <c r="AT2840" s="19"/>
      <c r="AU2840" s="19"/>
    </row>
    <row r="2841" spans="3:47">
      <c r="C2841" s="20"/>
      <c r="Z2841" s="20"/>
      <c r="AG2841" s="20"/>
      <c r="AQ2841" s="19"/>
      <c r="AR2841" s="19"/>
      <c r="AS2841" s="19"/>
      <c r="AT2841" s="19"/>
      <c r="AU2841" s="19"/>
    </row>
    <row r="2842" spans="3:47">
      <c r="C2842" s="20"/>
      <c r="Z2842" s="20"/>
      <c r="AG2842" s="20"/>
      <c r="AQ2842" s="19"/>
      <c r="AR2842" s="19"/>
      <c r="AS2842" s="19"/>
      <c r="AT2842" s="19"/>
      <c r="AU2842" s="19"/>
    </row>
    <row r="2843" spans="3:47">
      <c r="C2843" s="20"/>
      <c r="Z2843" s="20"/>
      <c r="AG2843" s="20"/>
      <c r="AQ2843" s="19"/>
      <c r="AR2843" s="19"/>
      <c r="AS2843" s="19"/>
      <c r="AT2843" s="19"/>
      <c r="AU2843" s="19"/>
    </row>
    <row r="2844" spans="3:47">
      <c r="C2844" s="20"/>
      <c r="Z2844" s="20"/>
      <c r="AG2844" s="20"/>
      <c r="AQ2844" s="19"/>
      <c r="AR2844" s="19"/>
      <c r="AS2844" s="19"/>
      <c r="AT2844" s="19"/>
      <c r="AU2844" s="19"/>
    </row>
    <row r="2845" spans="3:47">
      <c r="C2845" s="20"/>
      <c r="Z2845" s="20"/>
      <c r="AG2845" s="20"/>
      <c r="AQ2845" s="19"/>
      <c r="AR2845" s="19"/>
      <c r="AS2845" s="19"/>
      <c r="AT2845" s="19"/>
      <c r="AU2845" s="19"/>
    </row>
    <row r="2846" spans="3:47">
      <c r="C2846" s="20"/>
      <c r="Z2846" s="20"/>
      <c r="AG2846" s="20"/>
      <c r="AQ2846" s="19"/>
      <c r="AR2846" s="19"/>
      <c r="AS2846" s="19"/>
      <c r="AT2846" s="19"/>
      <c r="AU2846" s="19"/>
    </row>
    <row r="2847" spans="3:47">
      <c r="C2847" s="20"/>
      <c r="Z2847" s="20"/>
      <c r="AG2847" s="20"/>
      <c r="AQ2847" s="19"/>
      <c r="AR2847" s="19"/>
      <c r="AS2847" s="19"/>
      <c r="AT2847" s="19"/>
      <c r="AU2847" s="19"/>
    </row>
    <row r="2848" spans="3:47">
      <c r="C2848" s="20"/>
      <c r="Z2848" s="20"/>
      <c r="AG2848" s="20"/>
      <c r="AQ2848" s="19"/>
      <c r="AR2848" s="19"/>
      <c r="AS2848" s="19"/>
      <c r="AT2848" s="19"/>
      <c r="AU2848" s="19"/>
    </row>
    <row r="2849" spans="3:47">
      <c r="C2849" s="20"/>
      <c r="Z2849" s="20"/>
      <c r="AG2849" s="20"/>
      <c r="AQ2849" s="19"/>
      <c r="AR2849" s="19"/>
      <c r="AS2849" s="19"/>
      <c r="AT2849" s="19"/>
      <c r="AU2849" s="19"/>
    </row>
    <row r="2850" spans="3:47">
      <c r="C2850" s="20"/>
      <c r="Z2850" s="20"/>
      <c r="AG2850" s="20"/>
      <c r="AQ2850" s="19"/>
      <c r="AR2850" s="19"/>
      <c r="AS2850" s="19"/>
      <c r="AT2850" s="19"/>
      <c r="AU2850" s="19"/>
    </row>
    <row r="2851" spans="3:47">
      <c r="C2851" s="20"/>
      <c r="Z2851" s="20"/>
      <c r="AG2851" s="20"/>
      <c r="AQ2851" s="19"/>
      <c r="AR2851" s="19"/>
      <c r="AS2851" s="19"/>
      <c r="AT2851" s="19"/>
      <c r="AU2851" s="19"/>
    </row>
    <row r="2852" spans="3:47">
      <c r="C2852" s="20"/>
      <c r="Z2852" s="20"/>
      <c r="AG2852" s="20"/>
      <c r="AQ2852" s="19"/>
      <c r="AR2852" s="19"/>
      <c r="AS2852" s="19"/>
      <c r="AT2852" s="19"/>
      <c r="AU2852" s="19"/>
    </row>
    <row r="2853" spans="3:47">
      <c r="C2853" s="20"/>
      <c r="Z2853" s="20"/>
      <c r="AG2853" s="20"/>
      <c r="AQ2853" s="19"/>
      <c r="AR2853" s="19"/>
      <c r="AS2853" s="19"/>
      <c r="AT2853" s="19"/>
      <c r="AU2853" s="19"/>
    </row>
    <row r="2854" spans="3:47">
      <c r="C2854" s="20"/>
      <c r="Z2854" s="20"/>
      <c r="AG2854" s="20"/>
      <c r="AQ2854" s="19"/>
      <c r="AR2854" s="19"/>
      <c r="AS2854" s="19"/>
      <c r="AT2854" s="19"/>
      <c r="AU2854" s="19"/>
    </row>
    <row r="2855" spans="3:47">
      <c r="C2855" s="20"/>
      <c r="Z2855" s="20"/>
      <c r="AG2855" s="20"/>
      <c r="AQ2855" s="19"/>
      <c r="AR2855" s="19"/>
      <c r="AS2855" s="19"/>
      <c r="AT2855" s="19"/>
      <c r="AU2855" s="19"/>
    </row>
    <row r="2856" spans="3:47">
      <c r="C2856" s="20"/>
      <c r="Z2856" s="20"/>
      <c r="AG2856" s="20"/>
      <c r="AQ2856" s="19"/>
      <c r="AR2856" s="19"/>
      <c r="AS2856" s="19"/>
      <c r="AT2856" s="19"/>
      <c r="AU2856" s="19"/>
    </row>
    <row r="2857" spans="3:47">
      <c r="C2857" s="20"/>
      <c r="Z2857" s="20"/>
      <c r="AG2857" s="20"/>
      <c r="AQ2857" s="19"/>
      <c r="AR2857" s="19"/>
      <c r="AS2857" s="19"/>
      <c r="AT2857" s="19"/>
      <c r="AU2857" s="19"/>
    </row>
    <row r="2858" spans="3:47">
      <c r="C2858" s="20"/>
      <c r="Z2858" s="20"/>
      <c r="AG2858" s="20"/>
      <c r="AQ2858" s="19"/>
      <c r="AR2858" s="19"/>
      <c r="AS2858" s="19"/>
      <c r="AT2858" s="19"/>
      <c r="AU2858" s="19"/>
    </row>
    <row r="2859" spans="3:47">
      <c r="C2859" s="20"/>
      <c r="Z2859" s="20"/>
      <c r="AG2859" s="20"/>
      <c r="AQ2859" s="19"/>
      <c r="AR2859" s="19"/>
      <c r="AS2859" s="19"/>
      <c r="AT2859" s="19"/>
      <c r="AU2859" s="19"/>
    </row>
    <row r="2860" spans="3:47">
      <c r="C2860" s="20"/>
      <c r="Z2860" s="20"/>
      <c r="AG2860" s="20"/>
      <c r="AQ2860" s="19"/>
      <c r="AR2860" s="19"/>
      <c r="AS2860" s="19"/>
      <c r="AT2860" s="19"/>
      <c r="AU2860" s="19"/>
    </row>
    <row r="2861" spans="3:47">
      <c r="C2861" s="20"/>
      <c r="Z2861" s="20"/>
      <c r="AG2861" s="20"/>
      <c r="AQ2861" s="19"/>
      <c r="AR2861" s="19"/>
      <c r="AS2861" s="19"/>
      <c r="AT2861" s="19"/>
      <c r="AU2861" s="19"/>
    </row>
    <row r="2862" spans="3:47">
      <c r="C2862" s="20"/>
      <c r="Z2862" s="20"/>
      <c r="AG2862" s="20"/>
      <c r="AQ2862" s="19"/>
      <c r="AR2862" s="19"/>
      <c r="AS2862" s="19"/>
      <c r="AT2862" s="19"/>
      <c r="AU2862" s="19"/>
    </row>
    <row r="2863" spans="3:47">
      <c r="C2863" s="20"/>
      <c r="Z2863" s="20"/>
      <c r="AG2863" s="20"/>
      <c r="AQ2863" s="19"/>
      <c r="AR2863" s="19"/>
      <c r="AS2863" s="19"/>
      <c r="AT2863" s="19"/>
      <c r="AU2863" s="19"/>
    </row>
    <row r="2864" spans="3:47">
      <c r="C2864" s="20"/>
      <c r="Z2864" s="20"/>
      <c r="AG2864" s="20"/>
      <c r="AQ2864" s="19"/>
      <c r="AR2864" s="19"/>
      <c r="AS2864" s="19"/>
      <c r="AT2864" s="19"/>
      <c r="AU2864" s="19"/>
    </row>
    <row r="2865" spans="3:47">
      <c r="C2865" s="20"/>
      <c r="Z2865" s="20"/>
      <c r="AG2865" s="20"/>
      <c r="AQ2865" s="19"/>
      <c r="AR2865" s="19"/>
      <c r="AS2865" s="19"/>
      <c r="AT2865" s="19"/>
      <c r="AU2865" s="19"/>
    </row>
    <row r="2866" spans="3:47">
      <c r="C2866" s="20"/>
      <c r="Z2866" s="20"/>
      <c r="AG2866" s="20"/>
      <c r="AQ2866" s="19"/>
      <c r="AR2866" s="19"/>
      <c r="AS2866" s="19"/>
      <c r="AT2866" s="19"/>
      <c r="AU2866" s="19"/>
    </row>
    <row r="2867" spans="3:47">
      <c r="C2867" s="20"/>
      <c r="Z2867" s="20"/>
      <c r="AG2867" s="20"/>
      <c r="AQ2867" s="19"/>
      <c r="AR2867" s="19"/>
      <c r="AS2867" s="19"/>
      <c r="AT2867" s="19"/>
      <c r="AU2867" s="19"/>
    </row>
    <row r="2868" spans="3:47">
      <c r="C2868" s="20"/>
      <c r="Z2868" s="20"/>
      <c r="AG2868" s="20"/>
      <c r="AQ2868" s="19"/>
      <c r="AR2868" s="19"/>
      <c r="AS2868" s="19"/>
      <c r="AT2868" s="19"/>
      <c r="AU2868" s="19"/>
    </row>
    <row r="2869" spans="3:47">
      <c r="C2869" s="20"/>
      <c r="Z2869" s="20"/>
      <c r="AG2869" s="20"/>
      <c r="AQ2869" s="19"/>
      <c r="AR2869" s="19"/>
      <c r="AS2869" s="19"/>
      <c r="AT2869" s="19"/>
      <c r="AU2869" s="19"/>
    </row>
    <row r="2870" spans="3:47">
      <c r="C2870" s="20"/>
      <c r="Z2870" s="20"/>
      <c r="AG2870" s="20"/>
      <c r="AQ2870" s="19"/>
      <c r="AR2870" s="19"/>
      <c r="AS2870" s="19"/>
      <c r="AT2870" s="19"/>
      <c r="AU2870" s="19"/>
    </row>
    <row r="2871" spans="3:47">
      <c r="C2871" s="20"/>
      <c r="Z2871" s="20"/>
      <c r="AG2871" s="20"/>
      <c r="AQ2871" s="19"/>
      <c r="AR2871" s="19"/>
      <c r="AS2871" s="19"/>
      <c r="AT2871" s="19"/>
      <c r="AU2871" s="19"/>
    </row>
    <row r="2872" spans="3:47">
      <c r="C2872" s="20"/>
      <c r="Z2872" s="20"/>
      <c r="AG2872" s="20"/>
      <c r="AQ2872" s="19"/>
      <c r="AR2872" s="19"/>
      <c r="AS2872" s="19"/>
      <c r="AT2872" s="19"/>
      <c r="AU2872" s="19"/>
    </row>
    <row r="2873" spans="3:47">
      <c r="C2873" s="20"/>
      <c r="Z2873" s="20"/>
      <c r="AG2873" s="20"/>
      <c r="AQ2873" s="19"/>
      <c r="AR2873" s="19"/>
      <c r="AS2873" s="19"/>
      <c r="AT2873" s="19"/>
      <c r="AU2873" s="19"/>
    </row>
    <row r="2874" spans="3:47">
      <c r="C2874" s="20"/>
      <c r="Z2874" s="20"/>
      <c r="AG2874" s="20"/>
      <c r="AQ2874" s="19"/>
      <c r="AR2874" s="19"/>
      <c r="AS2874" s="19"/>
      <c r="AT2874" s="19"/>
      <c r="AU2874" s="19"/>
    </row>
    <row r="2875" spans="3:47">
      <c r="C2875" s="20"/>
      <c r="Z2875" s="20"/>
      <c r="AG2875" s="20"/>
      <c r="AQ2875" s="19"/>
      <c r="AR2875" s="19"/>
      <c r="AS2875" s="19"/>
      <c r="AT2875" s="19"/>
      <c r="AU2875" s="19"/>
    </row>
    <row r="2876" spans="3:47">
      <c r="C2876" s="20"/>
      <c r="Z2876" s="20"/>
      <c r="AG2876" s="20"/>
      <c r="AQ2876" s="19"/>
      <c r="AR2876" s="19"/>
      <c r="AS2876" s="19"/>
      <c r="AT2876" s="19"/>
      <c r="AU2876" s="19"/>
    </row>
    <row r="2877" spans="3:47">
      <c r="C2877" s="20"/>
      <c r="Z2877" s="20"/>
      <c r="AG2877" s="20"/>
      <c r="AQ2877" s="19"/>
      <c r="AR2877" s="19"/>
      <c r="AS2877" s="19"/>
      <c r="AT2877" s="19"/>
      <c r="AU2877" s="19"/>
    </row>
    <row r="2878" spans="3:47">
      <c r="C2878" s="20"/>
      <c r="Z2878" s="20"/>
      <c r="AG2878" s="20"/>
      <c r="AQ2878" s="19"/>
      <c r="AR2878" s="19"/>
      <c r="AS2878" s="19"/>
      <c r="AT2878" s="19"/>
      <c r="AU2878" s="19"/>
    </row>
    <row r="2879" spans="3:47">
      <c r="C2879" s="20"/>
      <c r="Z2879" s="20"/>
      <c r="AG2879" s="20"/>
      <c r="AQ2879" s="19"/>
      <c r="AR2879" s="19"/>
      <c r="AS2879" s="19"/>
      <c r="AT2879" s="19"/>
      <c r="AU2879" s="19"/>
    </row>
    <row r="2880" spans="3:47">
      <c r="C2880" s="20"/>
      <c r="Z2880" s="20"/>
      <c r="AG2880" s="20"/>
      <c r="AQ2880" s="19"/>
      <c r="AR2880" s="19"/>
      <c r="AS2880" s="19"/>
      <c r="AT2880" s="19"/>
      <c r="AU2880" s="19"/>
    </row>
    <row r="2881" spans="3:47">
      <c r="C2881" s="20"/>
      <c r="Z2881" s="20"/>
      <c r="AG2881" s="20"/>
      <c r="AQ2881" s="19"/>
      <c r="AR2881" s="19"/>
      <c r="AS2881" s="19"/>
      <c r="AT2881" s="19"/>
      <c r="AU2881" s="19"/>
    </row>
    <row r="2882" spans="3:47">
      <c r="C2882" s="20"/>
      <c r="Z2882" s="20"/>
      <c r="AG2882" s="20"/>
      <c r="AQ2882" s="19"/>
      <c r="AR2882" s="19"/>
      <c r="AS2882" s="19"/>
      <c r="AT2882" s="19"/>
      <c r="AU2882" s="19"/>
    </row>
    <row r="2883" spans="3:47">
      <c r="C2883" s="20"/>
      <c r="Z2883" s="20"/>
      <c r="AG2883" s="20"/>
      <c r="AQ2883" s="19"/>
      <c r="AR2883" s="19"/>
      <c r="AS2883" s="19"/>
      <c r="AT2883" s="19"/>
      <c r="AU2883" s="19"/>
    </row>
    <row r="2884" spans="3:47">
      <c r="C2884" s="20"/>
      <c r="Z2884" s="20"/>
      <c r="AG2884" s="20"/>
      <c r="AQ2884" s="19"/>
      <c r="AR2884" s="19"/>
      <c r="AS2884" s="19"/>
      <c r="AT2884" s="19"/>
      <c r="AU2884" s="19"/>
    </row>
    <row r="2885" spans="3:47">
      <c r="C2885" s="20"/>
      <c r="Z2885" s="20"/>
      <c r="AG2885" s="20"/>
      <c r="AQ2885" s="19"/>
      <c r="AR2885" s="19"/>
      <c r="AS2885" s="19"/>
      <c r="AT2885" s="19"/>
      <c r="AU2885" s="19"/>
    </row>
    <row r="2886" spans="3:47">
      <c r="C2886" s="20"/>
      <c r="Z2886" s="20"/>
      <c r="AG2886" s="20"/>
      <c r="AQ2886" s="19"/>
      <c r="AR2886" s="19"/>
      <c r="AS2886" s="19"/>
      <c r="AT2886" s="19"/>
      <c r="AU2886" s="19"/>
    </row>
    <row r="2887" spans="3:47">
      <c r="C2887" s="20"/>
      <c r="Z2887" s="20"/>
      <c r="AG2887" s="20"/>
      <c r="AQ2887" s="19"/>
      <c r="AR2887" s="19"/>
      <c r="AS2887" s="19"/>
      <c r="AT2887" s="19"/>
      <c r="AU2887" s="19"/>
    </row>
    <row r="2888" spans="3:47">
      <c r="C2888" s="20"/>
      <c r="Z2888" s="20"/>
      <c r="AG2888" s="20"/>
      <c r="AQ2888" s="19"/>
      <c r="AR2888" s="19"/>
      <c r="AS2888" s="19"/>
      <c r="AT2888" s="19"/>
      <c r="AU2888" s="19"/>
    </row>
    <row r="2889" spans="3:47">
      <c r="C2889" s="20"/>
      <c r="Z2889" s="20"/>
      <c r="AG2889" s="20"/>
      <c r="AQ2889" s="19"/>
      <c r="AR2889" s="19"/>
      <c r="AS2889" s="19"/>
      <c r="AT2889" s="19"/>
      <c r="AU2889" s="19"/>
    </row>
    <row r="2890" spans="3:47">
      <c r="C2890" s="20"/>
      <c r="Z2890" s="20"/>
      <c r="AG2890" s="20"/>
      <c r="AQ2890" s="19"/>
      <c r="AR2890" s="19"/>
      <c r="AS2890" s="19"/>
      <c r="AT2890" s="19"/>
      <c r="AU2890" s="19"/>
    </row>
    <row r="2891" spans="3:47">
      <c r="C2891" s="20"/>
      <c r="Z2891" s="20"/>
      <c r="AG2891" s="20"/>
      <c r="AQ2891" s="19"/>
      <c r="AR2891" s="19"/>
      <c r="AS2891" s="19"/>
      <c r="AT2891" s="19"/>
      <c r="AU2891" s="19"/>
    </row>
    <row r="2892" spans="3:47">
      <c r="C2892" s="20"/>
      <c r="Z2892" s="20"/>
      <c r="AG2892" s="20"/>
      <c r="AQ2892" s="19"/>
      <c r="AR2892" s="19"/>
      <c r="AS2892" s="19"/>
      <c r="AT2892" s="19"/>
      <c r="AU2892" s="19"/>
    </row>
    <row r="2893" spans="3:47">
      <c r="C2893" s="20"/>
      <c r="Z2893" s="20"/>
      <c r="AG2893" s="20"/>
      <c r="AQ2893" s="19"/>
      <c r="AR2893" s="19"/>
      <c r="AS2893" s="19"/>
      <c r="AT2893" s="19"/>
      <c r="AU2893" s="19"/>
    </row>
    <row r="2894" spans="3:47">
      <c r="C2894" s="20"/>
      <c r="Z2894" s="20"/>
      <c r="AG2894" s="20"/>
      <c r="AQ2894" s="19"/>
      <c r="AR2894" s="19"/>
      <c r="AS2894" s="19"/>
      <c r="AT2894" s="19"/>
      <c r="AU2894" s="19"/>
    </row>
    <row r="2895" spans="3:47">
      <c r="C2895" s="20"/>
      <c r="Z2895" s="20"/>
      <c r="AG2895" s="20"/>
      <c r="AQ2895" s="19"/>
      <c r="AR2895" s="19"/>
      <c r="AS2895" s="19"/>
      <c r="AT2895" s="19"/>
      <c r="AU2895" s="19"/>
    </row>
    <row r="2896" spans="3:47">
      <c r="C2896" s="20"/>
      <c r="Z2896" s="35"/>
      <c r="AG2896" s="20"/>
      <c r="AQ2896" s="19"/>
      <c r="AR2896" s="19"/>
      <c r="AS2896" s="19"/>
      <c r="AT2896" s="19"/>
      <c r="AU2896" s="19"/>
    </row>
    <row r="2897" spans="3:47">
      <c r="C2897" s="20"/>
      <c r="Z2897" s="20"/>
      <c r="AG2897" s="20"/>
      <c r="AQ2897" s="19"/>
      <c r="AR2897" s="19"/>
      <c r="AS2897" s="19"/>
      <c r="AT2897" s="19"/>
      <c r="AU2897" s="19"/>
    </row>
    <row r="2898" spans="3:47">
      <c r="C2898" s="20"/>
      <c r="Z2898" s="20"/>
      <c r="AG2898" s="20"/>
      <c r="AQ2898" s="19"/>
      <c r="AR2898" s="19"/>
      <c r="AS2898" s="19"/>
      <c r="AT2898" s="19"/>
      <c r="AU2898" s="19"/>
    </row>
    <row r="2899" spans="3:47">
      <c r="C2899" s="20"/>
      <c r="Z2899" s="20"/>
      <c r="AG2899" s="20"/>
      <c r="AQ2899" s="19"/>
      <c r="AR2899" s="19"/>
      <c r="AS2899" s="19"/>
      <c r="AT2899" s="19"/>
      <c r="AU2899" s="19"/>
    </row>
    <row r="2900" spans="3:47">
      <c r="C2900" s="20"/>
      <c r="Z2900" s="20"/>
      <c r="AG2900" s="20"/>
      <c r="AQ2900" s="19"/>
      <c r="AR2900" s="19"/>
      <c r="AS2900" s="19"/>
      <c r="AT2900" s="19"/>
      <c r="AU2900" s="19"/>
    </row>
    <row r="2901" spans="3:47">
      <c r="C2901" s="20"/>
      <c r="Z2901" s="20"/>
      <c r="AG2901" s="20"/>
      <c r="AQ2901" s="19"/>
      <c r="AR2901" s="19"/>
      <c r="AS2901" s="19"/>
      <c r="AT2901" s="19"/>
      <c r="AU2901" s="19"/>
    </row>
    <row r="2902" spans="3:47">
      <c r="C2902" s="20"/>
      <c r="Z2902" s="20"/>
      <c r="AG2902" s="20"/>
      <c r="AQ2902" s="19"/>
      <c r="AR2902" s="19"/>
      <c r="AS2902" s="19"/>
      <c r="AT2902" s="19"/>
      <c r="AU2902" s="19"/>
    </row>
    <row r="2903" spans="3:47">
      <c r="C2903" s="20"/>
      <c r="Z2903" s="20"/>
      <c r="AG2903" s="20"/>
      <c r="AQ2903" s="19"/>
      <c r="AR2903" s="19"/>
      <c r="AS2903" s="19"/>
      <c r="AT2903" s="19"/>
      <c r="AU2903" s="19"/>
    </row>
    <row r="2904" spans="3:47">
      <c r="C2904" s="20"/>
      <c r="Z2904" s="20"/>
      <c r="AG2904" s="20"/>
      <c r="AQ2904" s="19"/>
      <c r="AR2904" s="19"/>
      <c r="AS2904" s="19"/>
      <c r="AT2904" s="19"/>
      <c r="AU2904" s="19"/>
    </row>
    <row r="2905" spans="3:47">
      <c r="C2905" s="20"/>
      <c r="Z2905" s="20"/>
      <c r="AG2905" s="20"/>
      <c r="AQ2905" s="19"/>
      <c r="AR2905" s="19"/>
      <c r="AS2905" s="19"/>
      <c r="AT2905" s="19"/>
      <c r="AU2905" s="19"/>
    </row>
    <row r="2906" spans="3:47">
      <c r="C2906" s="20"/>
      <c r="Z2906" s="20"/>
      <c r="AG2906" s="20"/>
      <c r="AQ2906" s="19"/>
      <c r="AR2906" s="19"/>
      <c r="AS2906" s="19"/>
      <c r="AT2906" s="19"/>
      <c r="AU2906" s="19"/>
    </row>
    <row r="2907" spans="3:47">
      <c r="C2907" s="20"/>
      <c r="Z2907" s="20"/>
      <c r="AG2907" s="20"/>
      <c r="AQ2907" s="19"/>
      <c r="AR2907" s="19"/>
      <c r="AS2907" s="19"/>
      <c r="AT2907" s="19"/>
      <c r="AU2907" s="19"/>
    </row>
    <row r="2908" spans="3:47">
      <c r="C2908" s="20"/>
      <c r="Z2908" s="20"/>
      <c r="AG2908" s="20"/>
      <c r="AQ2908" s="19"/>
      <c r="AR2908" s="19"/>
      <c r="AS2908" s="19"/>
      <c r="AT2908" s="19"/>
      <c r="AU2908" s="19"/>
    </row>
    <row r="2909" spans="3:47">
      <c r="C2909" s="20"/>
      <c r="Z2909" s="20"/>
      <c r="AG2909" s="20"/>
      <c r="AQ2909" s="19"/>
      <c r="AR2909" s="19"/>
      <c r="AS2909" s="19"/>
      <c r="AT2909" s="19"/>
      <c r="AU2909" s="19"/>
    </row>
    <row r="2910" spans="3:47">
      <c r="C2910" s="20"/>
      <c r="Z2910" s="20"/>
      <c r="AG2910" s="20"/>
      <c r="AQ2910" s="19"/>
      <c r="AR2910" s="19"/>
      <c r="AS2910" s="19"/>
      <c r="AT2910" s="19"/>
      <c r="AU2910" s="19"/>
    </row>
    <row r="2911" spans="3:47">
      <c r="C2911" s="20"/>
      <c r="Z2911" s="20"/>
      <c r="AG2911" s="20"/>
      <c r="AQ2911" s="19"/>
      <c r="AR2911" s="19"/>
      <c r="AS2911" s="19"/>
      <c r="AT2911" s="19"/>
      <c r="AU2911" s="19"/>
    </row>
    <row r="2912" spans="3:47">
      <c r="C2912" s="20"/>
      <c r="Z2912" s="20"/>
      <c r="AG2912" s="20"/>
      <c r="AQ2912" s="19"/>
      <c r="AR2912" s="19"/>
      <c r="AS2912" s="19"/>
      <c r="AT2912" s="19"/>
      <c r="AU2912" s="19"/>
    </row>
    <row r="2913" spans="3:47">
      <c r="C2913" s="20"/>
      <c r="Z2913" s="20"/>
      <c r="AG2913" s="20"/>
      <c r="AQ2913" s="19"/>
      <c r="AR2913" s="19"/>
      <c r="AS2913" s="19"/>
      <c r="AT2913" s="19"/>
      <c r="AU2913" s="19"/>
    </row>
    <row r="2914" spans="3:47">
      <c r="C2914" s="20"/>
      <c r="Z2914" s="20"/>
      <c r="AG2914" s="20"/>
      <c r="AQ2914" s="19"/>
      <c r="AR2914" s="19"/>
      <c r="AS2914" s="19"/>
      <c r="AT2914" s="19"/>
      <c r="AU2914" s="19"/>
    </row>
    <row r="2915" spans="3:47">
      <c r="C2915" s="20"/>
      <c r="Z2915" s="20"/>
      <c r="AG2915" s="20"/>
      <c r="AQ2915" s="19"/>
      <c r="AR2915" s="19"/>
      <c r="AS2915" s="19"/>
      <c r="AT2915" s="19"/>
      <c r="AU2915" s="19"/>
    </row>
    <row r="2916" spans="3:47">
      <c r="C2916" s="20"/>
      <c r="Z2916" s="20"/>
      <c r="AG2916" s="20"/>
      <c r="AQ2916" s="19"/>
      <c r="AR2916" s="19"/>
      <c r="AS2916" s="19"/>
      <c r="AT2916" s="19"/>
      <c r="AU2916" s="19"/>
    </row>
    <row r="2917" spans="3:47">
      <c r="C2917" s="20"/>
      <c r="Z2917" s="20"/>
      <c r="AG2917" s="20"/>
      <c r="AQ2917" s="19"/>
      <c r="AR2917" s="19"/>
      <c r="AS2917" s="19"/>
      <c r="AT2917" s="19"/>
      <c r="AU2917" s="19"/>
    </row>
    <row r="2918" spans="3:47">
      <c r="C2918" s="20"/>
      <c r="Z2918" s="20"/>
      <c r="AG2918" s="20"/>
      <c r="AQ2918" s="19"/>
      <c r="AR2918" s="19"/>
      <c r="AS2918" s="19"/>
      <c r="AT2918" s="19"/>
      <c r="AU2918" s="19"/>
    </row>
    <row r="2919" spans="3:47">
      <c r="C2919" s="20"/>
      <c r="Z2919" s="20"/>
      <c r="AG2919" s="20"/>
      <c r="AQ2919" s="19"/>
      <c r="AR2919" s="19"/>
      <c r="AS2919" s="19"/>
      <c r="AT2919" s="19"/>
      <c r="AU2919" s="19"/>
    </row>
    <row r="2920" spans="3:47">
      <c r="C2920" s="20"/>
      <c r="Z2920" s="20"/>
      <c r="AG2920" s="20"/>
      <c r="AQ2920" s="19"/>
      <c r="AR2920" s="19"/>
      <c r="AS2920" s="19"/>
      <c r="AT2920" s="19"/>
      <c r="AU2920" s="19"/>
    </row>
    <row r="2921" spans="3:47">
      <c r="C2921" s="20"/>
      <c r="Z2921" s="20"/>
      <c r="AG2921" s="20"/>
      <c r="AQ2921" s="19"/>
      <c r="AR2921" s="19"/>
      <c r="AS2921" s="19"/>
      <c r="AT2921" s="19"/>
      <c r="AU2921" s="19"/>
    </row>
    <row r="2922" spans="3:47">
      <c r="C2922" s="20"/>
      <c r="Z2922" s="20"/>
      <c r="AG2922" s="20"/>
      <c r="AQ2922" s="19"/>
      <c r="AR2922" s="19"/>
      <c r="AS2922" s="19"/>
      <c r="AT2922" s="19"/>
      <c r="AU2922" s="19"/>
    </row>
    <row r="2923" spans="3:47">
      <c r="C2923" s="20"/>
      <c r="Z2923" s="20"/>
      <c r="AG2923" s="20"/>
      <c r="AQ2923" s="19"/>
      <c r="AR2923" s="19"/>
      <c r="AS2923" s="19"/>
      <c r="AT2923" s="19"/>
      <c r="AU2923" s="19"/>
    </row>
    <row r="2924" spans="3:47">
      <c r="C2924" s="20"/>
      <c r="Z2924" s="20"/>
      <c r="AG2924" s="20"/>
      <c r="AQ2924" s="19"/>
      <c r="AR2924" s="19"/>
      <c r="AS2924" s="19"/>
      <c r="AT2924" s="19"/>
      <c r="AU2924" s="19"/>
    </row>
    <row r="2925" spans="3:47">
      <c r="C2925" s="20"/>
      <c r="Z2925" s="20"/>
      <c r="AG2925" s="20"/>
      <c r="AQ2925" s="19"/>
      <c r="AR2925" s="19"/>
      <c r="AS2925" s="19"/>
      <c r="AT2925" s="19"/>
      <c r="AU2925" s="19"/>
    </row>
    <row r="2926" spans="3:47">
      <c r="C2926" s="20"/>
      <c r="Z2926" s="20"/>
      <c r="AG2926" s="20"/>
      <c r="AQ2926" s="19"/>
      <c r="AR2926" s="19"/>
      <c r="AS2926" s="19"/>
      <c r="AT2926" s="19"/>
      <c r="AU2926" s="19"/>
    </row>
    <row r="2927" spans="3:47">
      <c r="C2927" s="20"/>
      <c r="Z2927" s="20"/>
      <c r="AG2927" s="20"/>
      <c r="AQ2927" s="19"/>
      <c r="AR2927" s="19"/>
      <c r="AS2927" s="19"/>
      <c r="AT2927" s="19"/>
      <c r="AU2927" s="19"/>
    </row>
    <row r="2928" spans="3:47">
      <c r="C2928" s="20"/>
      <c r="Z2928" s="20"/>
      <c r="AG2928" s="20"/>
      <c r="AQ2928" s="19"/>
      <c r="AR2928" s="19"/>
      <c r="AS2928" s="19"/>
      <c r="AT2928" s="19"/>
      <c r="AU2928" s="19"/>
    </row>
    <row r="2929" spans="3:47">
      <c r="C2929" s="20"/>
      <c r="Z2929" s="20"/>
      <c r="AG2929" s="20"/>
      <c r="AQ2929" s="19"/>
      <c r="AR2929" s="19"/>
      <c r="AS2929" s="19"/>
      <c r="AT2929" s="19"/>
      <c r="AU2929" s="19"/>
    </row>
    <row r="2930" spans="3:47">
      <c r="C2930" s="20"/>
      <c r="Z2930" s="20"/>
      <c r="AG2930" s="20"/>
      <c r="AQ2930" s="19"/>
      <c r="AR2930" s="19"/>
      <c r="AS2930" s="19"/>
      <c r="AT2930" s="19"/>
      <c r="AU2930" s="19"/>
    </row>
    <row r="2931" spans="3:47">
      <c r="C2931" s="20"/>
      <c r="Z2931" s="20"/>
      <c r="AG2931" s="20"/>
      <c r="AQ2931" s="19"/>
      <c r="AR2931" s="19"/>
      <c r="AS2931" s="19"/>
      <c r="AT2931" s="19"/>
      <c r="AU2931" s="19"/>
    </row>
    <row r="2932" spans="3:47">
      <c r="C2932" s="20"/>
      <c r="Z2932" s="20"/>
      <c r="AG2932" s="20"/>
      <c r="AQ2932" s="19"/>
      <c r="AR2932" s="19"/>
      <c r="AS2932" s="19"/>
      <c r="AT2932" s="19"/>
      <c r="AU2932" s="19"/>
    </row>
    <row r="2933" spans="3:47">
      <c r="C2933" s="20"/>
      <c r="Z2933" s="20"/>
      <c r="AG2933" s="20"/>
      <c r="AQ2933" s="19"/>
      <c r="AR2933" s="19"/>
      <c r="AS2933" s="19"/>
      <c r="AT2933" s="19"/>
      <c r="AU2933" s="19"/>
    </row>
    <row r="2934" spans="3:47">
      <c r="C2934" s="20"/>
      <c r="Z2934" s="20"/>
      <c r="AG2934" s="20"/>
      <c r="AQ2934" s="19"/>
      <c r="AR2934" s="19"/>
      <c r="AS2934" s="19"/>
      <c r="AT2934" s="19"/>
      <c r="AU2934" s="19"/>
    </row>
    <row r="2935" spans="3:47">
      <c r="C2935" s="20"/>
      <c r="Z2935" s="20"/>
      <c r="AG2935" s="20"/>
      <c r="AQ2935" s="19"/>
      <c r="AR2935" s="19"/>
      <c r="AS2935" s="19"/>
      <c r="AT2935" s="19"/>
      <c r="AU2935" s="19"/>
    </row>
    <row r="2936" spans="3:47">
      <c r="C2936" s="20"/>
      <c r="Z2936" s="20"/>
      <c r="AG2936" s="20"/>
      <c r="AQ2936" s="19"/>
      <c r="AR2936" s="19"/>
      <c r="AS2936" s="19"/>
      <c r="AT2936" s="19"/>
      <c r="AU2936" s="19"/>
    </row>
    <row r="2937" spans="3:47">
      <c r="C2937" s="20"/>
      <c r="Z2937" s="20"/>
      <c r="AG2937" s="20"/>
      <c r="AQ2937" s="19"/>
      <c r="AR2937" s="19"/>
      <c r="AS2937" s="19"/>
      <c r="AT2937" s="19"/>
      <c r="AU2937" s="19"/>
    </row>
    <row r="2938" spans="3:47">
      <c r="C2938" s="20"/>
      <c r="Z2938" s="20"/>
      <c r="AG2938" s="20"/>
      <c r="AQ2938" s="19"/>
      <c r="AR2938" s="19"/>
      <c r="AS2938" s="19"/>
      <c r="AT2938" s="19"/>
      <c r="AU2938" s="19"/>
    </row>
    <row r="2939" spans="3:47">
      <c r="C2939" s="20"/>
      <c r="Z2939" s="20"/>
      <c r="AG2939" s="20"/>
      <c r="AQ2939" s="19"/>
      <c r="AR2939" s="19"/>
      <c r="AS2939" s="19"/>
      <c r="AT2939" s="19"/>
      <c r="AU2939" s="19"/>
    </row>
    <row r="2940" spans="3:47">
      <c r="C2940" s="20"/>
      <c r="Z2940" s="20"/>
      <c r="AG2940" s="20"/>
      <c r="AQ2940" s="19"/>
      <c r="AR2940" s="19"/>
      <c r="AS2940" s="19"/>
      <c r="AT2940" s="19"/>
      <c r="AU2940" s="19"/>
    </row>
    <row r="2941" spans="3:47">
      <c r="C2941" s="20"/>
      <c r="Z2941" s="20"/>
      <c r="AG2941" s="20"/>
      <c r="AQ2941" s="19"/>
      <c r="AR2941" s="19"/>
      <c r="AS2941" s="19"/>
      <c r="AT2941" s="19"/>
      <c r="AU2941" s="19"/>
    </row>
    <row r="2942" spans="3:47">
      <c r="C2942" s="20"/>
      <c r="Z2942" s="20"/>
      <c r="AG2942" s="20"/>
      <c r="AQ2942" s="19"/>
      <c r="AR2942" s="19"/>
      <c r="AS2942" s="19"/>
      <c r="AT2942" s="19"/>
      <c r="AU2942" s="19"/>
    </row>
    <row r="2943" spans="3:47">
      <c r="C2943" s="20"/>
      <c r="Z2943" s="20"/>
      <c r="AG2943" s="20"/>
      <c r="AQ2943" s="19"/>
      <c r="AR2943" s="19"/>
      <c r="AS2943" s="19"/>
      <c r="AT2943" s="19"/>
      <c r="AU2943" s="19"/>
    </row>
    <row r="2944" spans="3:47">
      <c r="C2944" s="20"/>
      <c r="Z2944" s="20"/>
      <c r="AG2944" s="20"/>
      <c r="AQ2944" s="19"/>
      <c r="AR2944" s="19"/>
      <c r="AS2944" s="19"/>
      <c r="AT2944" s="19"/>
      <c r="AU2944" s="19"/>
    </row>
    <row r="2945" spans="3:47">
      <c r="C2945" s="20"/>
      <c r="Z2945" s="20"/>
      <c r="AG2945" s="20"/>
      <c r="AQ2945" s="19"/>
      <c r="AR2945" s="19"/>
      <c r="AS2945" s="19"/>
      <c r="AT2945" s="19"/>
      <c r="AU2945" s="19"/>
    </row>
    <row r="2946" spans="3:47">
      <c r="C2946" s="20"/>
      <c r="Z2946" s="20"/>
      <c r="AG2946" s="20"/>
      <c r="AQ2946" s="19"/>
      <c r="AR2946" s="19"/>
      <c r="AS2946" s="19"/>
      <c r="AT2946" s="19"/>
      <c r="AU2946" s="19"/>
    </row>
    <row r="2947" spans="3:47">
      <c r="C2947" s="20"/>
      <c r="Z2947" s="20"/>
      <c r="AG2947" s="20"/>
      <c r="AQ2947" s="19"/>
      <c r="AR2947" s="19"/>
      <c r="AS2947" s="19"/>
      <c r="AT2947" s="19"/>
      <c r="AU2947" s="19"/>
    </row>
    <row r="2948" spans="3:47">
      <c r="C2948" s="20"/>
      <c r="Z2948" s="20"/>
      <c r="AG2948" s="20"/>
      <c r="AQ2948" s="19"/>
      <c r="AR2948" s="19"/>
      <c r="AS2948" s="19"/>
      <c r="AT2948" s="19"/>
      <c r="AU2948" s="19"/>
    </row>
    <row r="2949" spans="3:47">
      <c r="C2949" s="20"/>
      <c r="Z2949" s="20"/>
      <c r="AG2949" s="20"/>
      <c r="AQ2949" s="19"/>
      <c r="AR2949" s="19"/>
      <c r="AS2949" s="19"/>
      <c r="AT2949" s="19"/>
      <c r="AU2949" s="19"/>
    </row>
    <row r="2950" spans="3:47">
      <c r="C2950" s="20"/>
      <c r="Z2950" s="20"/>
      <c r="AG2950" s="20"/>
      <c r="AQ2950" s="19"/>
      <c r="AR2950" s="19"/>
      <c r="AS2950" s="19"/>
      <c r="AT2950" s="19"/>
      <c r="AU2950" s="19"/>
    </row>
    <row r="2951" spans="3:47">
      <c r="C2951" s="20"/>
      <c r="Z2951" s="20"/>
      <c r="AG2951" s="20"/>
      <c r="AQ2951" s="19"/>
      <c r="AR2951" s="19"/>
      <c r="AS2951" s="19"/>
      <c r="AT2951" s="19"/>
      <c r="AU2951" s="19"/>
    </row>
    <row r="2952" spans="3:47">
      <c r="C2952" s="20"/>
      <c r="Z2952" s="20"/>
      <c r="AG2952" s="20"/>
      <c r="AQ2952" s="19"/>
      <c r="AR2952" s="19"/>
      <c r="AS2952" s="19"/>
      <c r="AT2952" s="19"/>
      <c r="AU2952" s="19"/>
    </row>
    <row r="2953" spans="3:47">
      <c r="C2953" s="20"/>
      <c r="Z2953" s="20"/>
      <c r="AG2953" s="20"/>
      <c r="AQ2953" s="19"/>
      <c r="AR2953" s="19"/>
      <c r="AS2953" s="19"/>
      <c r="AT2953" s="19"/>
      <c r="AU2953" s="19"/>
    </row>
    <row r="2954" spans="3:47">
      <c r="C2954" s="20"/>
      <c r="Z2954" s="20"/>
      <c r="AG2954" s="20"/>
      <c r="AQ2954" s="19"/>
      <c r="AR2954" s="19"/>
      <c r="AS2954" s="19"/>
      <c r="AT2954" s="19"/>
      <c r="AU2954" s="19"/>
    </row>
    <row r="2955" spans="3:47">
      <c r="C2955" s="20"/>
      <c r="Z2955" s="20"/>
      <c r="AG2955" s="20"/>
      <c r="AQ2955" s="19"/>
      <c r="AR2955" s="19"/>
      <c r="AS2955" s="19"/>
      <c r="AT2955" s="19"/>
      <c r="AU2955" s="19"/>
    </row>
    <row r="2956" spans="3:47">
      <c r="C2956" s="20"/>
      <c r="Z2956" s="20"/>
      <c r="AG2956" s="20"/>
      <c r="AQ2956" s="19"/>
      <c r="AR2956" s="19"/>
      <c r="AS2956" s="19"/>
      <c r="AT2956" s="19"/>
      <c r="AU2956" s="19"/>
    </row>
    <row r="2957" spans="3:47">
      <c r="C2957" s="20"/>
      <c r="Z2957" s="20"/>
      <c r="AG2957" s="20"/>
      <c r="AQ2957" s="19"/>
      <c r="AR2957" s="19"/>
      <c r="AS2957" s="19"/>
      <c r="AT2957" s="19"/>
      <c r="AU2957" s="19"/>
    </row>
    <row r="2958" spans="3:47">
      <c r="C2958" s="20"/>
      <c r="Z2958" s="20"/>
      <c r="AG2958" s="20"/>
      <c r="AQ2958" s="19"/>
      <c r="AR2958" s="19"/>
      <c r="AS2958" s="19"/>
      <c r="AT2958" s="19"/>
      <c r="AU2958" s="19"/>
    </row>
    <row r="2959" spans="3:47">
      <c r="C2959" s="20"/>
      <c r="Z2959" s="20"/>
      <c r="AG2959" s="20"/>
      <c r="AQ2959" s="19"/>
      <c r="AR2959" s="19"/>
      <c r="AS2959" s="19"/>
      <c r="AT2959" s="19"/>
      <c r="AU2959" s="19"/>
    </row>
    <row r="2960" spans="3:47">
      <c r="C2960" s="20"/>
      <c r="Z2960" s="20"/>
      <c r="AG2960" s="20"/>
      <c r="AQ2960" s="19"/>
      <c r="AR2960" s="19"/>
      <c r="AS2960" s="19"/>
      <c r="AT2960" s="19"/>
      <c r="AU2960" s="19"/>
    </row>
    <row r="2961" spans="3:47">
      <c r="C2961" s="20"/>
      <c r="Z2961" s="20"/>
      <c r="AG2961" s="20"/>
      <c r="AQ2961" s="19"/>
      <c r="AR2961" s="19"/>
      <c r="AS2961" s="19"/>
      <c r="AT2961" s="19"/>
      <c r="AU2961" s="19"/>
    </row>
    <row r="2962" spans="3:47">
      <c r="C2962" s="20"/>
      <c r="Z2962" s="20"/>
      <c r="AG2962" s="20"/>
      <c r="AQ2962" s="19"/>
      <c r="AR2962" s="19"/>
      <c r="AS2962" s="19"/>
      <c r="AT2962" s="19"/>
      <c r="AU2962" s="19"/>
    </row>
    <row r="2963" spans="3:47">
      <c r="C2963" s="20"/>
      <c r="Z2963" s="20"/>
      <c r="AG2963" s="20"/>
      <c r="AQ2963" s="19"/>
      <c r="AR2963" s="19"/>
      <c r="AS2963" s="19"/>
      <c r="AT2963" s="19"/>
      <c r="AU2963" s="19"/>
    </row>
    <row r="2964" spans="3:47">
      <c r="C2964" s="20"/>
      <c r="Z2964" s="20"/>
      <c r="AG2964" s="20"/>
      <c r="AQ2964" s="19"/>
      <c r="AR2964" s="19"/>
      <c r="AS2964" s="19"/>
      <c r="AT2964" s="19"/>
      <c r="AU2964" s="19"/>
    </row>
    <row r="2965" spans="3:47">
      <c r="C2965" s="20"/>
      <c r="Z2965" s="20"/>
      <c r="AG2965" s="20"/>
      <c r="AQ2965" s="19"/>
      <c r="AR2965" s="19"/>
      <c r="AS2965" s="19"/>
      <c r="AT2965" s="19"/>
      <c r="AU2965" s="19"/>
    </row>
    <row r="2966" spans="3:47">
      <c r="C2966" s="20"/>
      <c r="Z2966" s="20"/>
      <c r="AG2966" s="20"/>
      <c r="AQ2966" s="19"/>
      <c r="AR2966" s="19"/>
      <c r="AS2966" s="19"/>
      <c r="AT2966" s="19"/>
      <c r="AU2966" s="19"/>
    </row>
    <row r="2967" spans="3:47">
      <c r="C2967" s="20"/>
      <c r="Z2967" s="20"/>
      <c r="AG2967" s="20"/>
      <c r="AQ2967" s="19"/>
      <c r="AR2967" s="19"/>
      <c r="AS2967" s="19"/>
      <c r="AT2967" s="19"/>
      <c r="AU2967" s="19"/>
    </row>
    <row r="2968" spans="3:47">
      <c r="C2968" s="20"/>
      <c r="Z2968" s="20"/>
      <c r="AG2968" s="20"/>
      <c r="AQ2968" s="19"/>
      <c r="AR2968" s="19"/>
      <c r="AS2968" s="19"/>
      <c r="AT2968" s="19"/>
      <c r="AU2968" s="19"/>
    </row>
    <row r="2969" spans="3:47">
      <c r="C2969" s="20"/>
      <c r="Z2969" s="20"/>
      <c r="AG2969" s="20"/>
      <c r="AQ2969" s="19"/>
      <c r="AR2969" s="19"/>
      <c r="AS2969" s="19"/>
      <c r="AT2969" s="19"/>
      <c r="AU2969" s="19"/>
    </row>
    <row r="2970" spans="3:47">
      <c r="C2970" s="20"/>
      <c r="Z2970" s="20"/>
      <c r="AG2970" s="20"/>
      <c r="AQ2970" s="19"/>
      <c r="AR2970" s="19"/>
      <c r="AS2970" s="19"/>
      <c r="AT2970" s="19"/>
      <c r="AU2970" s="19"/>
    </row>
    <row r="2971" spans="3:47">
      <c r="C2971" s="20"/>
      <c r="Z2971" s="20"/>
      <c r="AG2971" s="20"/>
      <c r="AQ2971" s="19"/>
      <c r="AR2971" s="19"/>
      <c r="AS2971" s="19"/>
      <c r="AT2971" s="19"/>
      <c r="AU2971" s="19"/>
    </row>
    <row r="2972" spans="3:47">
      <c r="C2972" s="20"/>
      <c r="Z2972" s="20"/>
      <c r="AG2972" s="20"/>
      <c r="AQ2972" s="19"/>
      <c r="AR2972" s="19"/>
      <c r="AS2972" s="19"/>
      <c r="AT2972" s="19"/>
      <c r="AU2972" s="19"/>
    </row>
    <row r="2973" spans="3:47">
      <c r="C2973" s="20"/>
      <c r="Z2973" s="20"/>
      <c r="AG2973" s="20"/>
      <c r="AQ2973" s="19"/>
      <c r="AR2973" s="19"/>
      <c r="AS2973" s="19"/>
      <c r="AT2973" s="19"/>
      <c r="AU2973" s="19"/>
    </row>
    <row r="2974" spans="3:47">
      <c r="C2974" s="20"/>
      <c r="Z2974" s="20"/>
      <c r="AG2974" s="20"/>
      <c r="AQ2974" s="19"/>
      <c r="AR2974" s="19"/>
      <c r="AS2974" s="19"/>
      <c r="AT2974" s="19"/>
      <c r="AU2974" s="19"/>
    </row>
    <row r="2975" spans="3:47">
      <c r="C2975" s="20"/>
      <c r="Z2975" s="20"/>
      <c r="AG2975" s="20"/>
      <c r="AQ2975" s="19"/>
      <c r="AR2975" s="19"/>
      <c r="AS2975" s="19"/>
      <c r="AT2975" s="19"/>
      <c r="AU2975" s="19"/>
    </row>
    <row r="2976" spans="3:47">
      <c r="C2976" s="20"/>
      <c r="Z2976" s="20"/>
      <c r="AG2976" s="20"/>
      <c r="AQ2976" s="19"/>
      <c r="AR2976" s="19"/>
      <c r="AS2976" s="19"/>
      <c r="AT2976" s="19"/>
      <c r="AU2976" s="19"/>
    </row>
    <row r="2977" spans="3:47">
      <c r="C2977" s="20"/>
      <c r="Z2977" s="20"/>
      <c r="AG2977" s="20"/>
      <c r="AQ2977" s="19"/>
      <c r="AR2977" s="19"/>
      <c r="AS2977" s="19"/>
      <c r="AT2977" s="19"/>
      <c r="AU2977" s="19"/>
    </row>
    <row r="2978" spans="3:47">
      <c r="C2978" s="20"/>
      <c r="Z2978" s="20"/>
      <c r="AG2978" s="20"/>
      <c r="AQ2978" s="19"/>
      <c r="AR2978" s="19"/>
      <c r="AS2978" s="19"/>
      <c r="AT2978" s="19"/>
      <c r="AU2978" s="19"/>
    </row>
    <row r="2979" spans="3:47">
      <c r="C2979" s="20"/>
      <c r="Z2979" s="20"/>
      <c r="AG2979" s="20"/>
      <c r="AQ2979" s="19"/>
      <c r="AR2979" s="19"/>
      <c r="AS2979" s="19"/>
      <c r="AT2979" s="19"/>
      <c r="AU2979" s="19"/>
    </row>
    <row r="2980" spans="3:47">
      <c r="C2980" s="20"/>
      <c r="Z2980" s="20"/>
      <c r="AG2980" s="20"/>
      <c r="AQ2980" s="19"/>
      <c r="AR2980" s="19"/>
      <c r="AS2980" s="19"/>
      <c r="AT2980" s="19"/>
      <c r="AU2980" s="19"/>
    </row>
    <row r="2981" spans="3:47">
      <c r="C2981" s="20"/>
      <c r="Z2981" s="20"/>
      <c r="AG2981" s="20"/>
      <c r="AQ2981" s="19"/>
      <c r="AR2981" s="19"/>
      <c r="AS2981" s="19"/>
      <c r="AT2981" s="19"/>
      <c r="AU2981" s="19"/>
    </row>
    <row r="2982" spans="3:47">
      <c r="C2982" s="20"/>
      <c r="Z2982" s="20"/>
      <c r="AG2982" s="20"/>
      <c r="AQ2982" s="19"/>
      <c r="AR2982" s="19"/>
      <c r="AS2982" s="19"/>
      <c r="AT2982" s="19"/>
      <c r="AU2982" s="19"/>
    </row>
    <row r="2983" spans="3:47">
      <c r="C2983" s="20"/>
      <c r="Z2983" s="20"/>
      <c r="AG2983" s="20"/>
      <c r="AQ2983" s="19"/>
      <c r="AR2983" s="19"/>
      <c r="AS2983" s="19"/>
      <c r="AT2983" s="19"/>
      <c r="AU2983" s="19"/>
    </row>
    <row r="2984" spans="3:47">
      <c r="C2984" s="20"/>
      <c r="Z2984" s="20"/>
      <c r="AG2984" s="20"/>
      <c r="AQ2984" s="19"/>
      <c r="AR2984" s="19"/>
      <c r="AS2984" s="19"/>
      <c r="AT2984" s="19"/>
      <c r="AU2984" s="19"/>
    </row>
    <row r="2985" spans="3:47">
      <c r="C2985" s="20"/>
      <c r="Z2985" s="20"/>
      <c r="AG2985" s="20"/>
      <c r="AQ2985" s="19"/>
      <c r="AR2985" s="19"/>
      <c r="AS2985" s="19"/>
      <c r="AT2985" s="19"/>
      <c r="AU2985" s="19"/>
    </row>
    <row r="2986" spans="3:47">
      <c r="C2986" s="20"/>
      <c r="Z2986" s="20"/>
      <c r="AG2986" s="20"/>
      <c r="AQ2986" s="19"/>
      <c r="AR2986" s="19"/>
      <c r="AS2986" s="19"/>
      <c r="AT2986" s="19"/>
      <c r="AU2986" s="19"/>
    </row>
    <row r="2987" spans="3:47">
      <c r="C2987" s="20"/>
      <c r="Z2987" s="20"/>
      <c r="AG2987" s="20"/>
      <c r="AQ2987" s="19"/>
      <c r="AR2987" s="19"/>
      <c r="AS2987" s="19"/>
      <c r="AT2987" s="19"/>
      <c r="AU2987" s="19"/>
    </row>
    <row r="2988" spans="3:47">
      <c r="C2988" s="20"/>
      <c r="Z2988" s="20"/>
      <c r="AG2988" s="20"/>
      <c r="AQ2988" s="19"/>
      <c r="AR2988" s="19"/>
      <c r="AS2988" s="19"/>
      <c r="AT2988" s="19"/>
      <c r="AU2988" s="19"/>
    </row>
    <row r="2989" spans="3:47">
      <c r="C2989" s="20"/>
      <c r="Z2989" s="20"/>
      <c r="AG2989" s="20"/>
      <c r="AQ2989" s="19"/>
      <c r="AR2989" s="19"/>
      <c r="AS2989" s="19"/>
      <c r="AT2989" s="19"/>
      <c r="AU2989" s="19"/>
    </row>
    <row r="2990" spans="3:47">
      <c r="C2990" s="20"/>
      <c r="Z2990" s="20"/>
      <c r="AG2990" s="20"/>
      <c r="AQ2990" s="19"/>
      <c r="AR2990" s="19"/>
      <c r="AS2990" s="19"/>
      <c r="AT2990" s="19"/>
      <c r="AU2990" s="19"/>
    </row>
    <row r="2991" spans="3:47">
      <c r="C2991" s="20"/>
      <c r="Z2991" s="20"/>
      <c r="AG2991" s="20"/>
      <c r="AQ2991" s="19"/>
      <c r="AR2991" s="19"/>
      <c r="AS2991" s="19"/>
      <c r="AT2991" s="19"/>
      <c r="AU2991" s="19"/>
    </row>
    <row r="2992" spans="3:47">
      <c r="C2992" s="20"/>
      <c r="Z2992" s="20"/>
      <c r="AG2992" s="20"/>
      <c r="AQ2992" s="19"/>
      <c r="AR2992" s="19"/>
      <c r="AS2992" s="19"/>
      <c r="AT2992" s="19"/>
      <c r="AU2992" s="19"/>
    </row>
    <row r="2993" spans="3:47">
      <c r="C2993" s="20"/>
      <c r="Z2993" s="20"/>
      <c r="AG2993" s="20"/>
      <c r="AQ2993" s="19"/>
      <c r="AR2993" s="19"/>
      <c r="AS2993" s="19"/>
      <c r="AT2993" s="19"/>
      <c r="AU2993" s="19"/>
    </row>
    <row r="2994" spans="3:47">
      <c r="C2994" s="20"/>
      <c r="Z2994" s="20"/>
      <c r="AG2994" s="20"/>
      <c r="AQ2994" s="19"/>
      <c r="AR2994" s="19"/>
      <c r="AS2994" s="19"/>
      <c r="AT2994" s="19"/>
      <c r="AU2994" s="19"/>
    </row>
    <row r="2995" spans="3:47">
      <c r="C2995" s="20"/>
      <c r="Z2995" s="20"/>
      <c r="AG2995" s="20"/>
      <c r="AQ2995" s="19"/>
      <c r="AR2995" s="19"/>
      <c r="AS2995" s="19"/>
      <c r="AT2995" s="19"/>
      <c r="AU2995" s="19"/>
    </row>
    <row r="2996" spans="3:47">
      <c r="C2996" s="20"/>
      <c r="Z2996" s="20"/>
      <c r="AG2996" s="20"/>
      <c r="AQ2996" s="19"/>
      <c r="AR2996" s="19"/>
      <c r="AS2996" s="19"/>
      <c r="AT2996" s="19"/>
      <c r="AU2996" s="19"/>
    </row>
    <row r="2997" spans="3:47">
      <c r="C2997" s="20"/>
      <c r="Z2997" s="20"/>
      <c r="AG2997" s="20"/>
      <c r="AQ2997" s="19"/>
      <c r="AR2997" s="19"/>
      <c r="AS2997" s="19"/>
      <c r="AT2997" s="19"/>
      <c r="AU2997" s="19"/>
    </row>
    <row r="2998" spans="3:47">
      <c r="C2998" s="20"/>
      <c r="Z2998" s="20"/>
      <c r="AG2998" s="20"/>
      <c r="AQ2998" s="19"/>
      <c r="AR2998" s="19"/>
      <c r="AS2998" s="19"/>
      <c r="AT2998" s="19"/>
      <c r="AU2998" s="19"/>
    </row>
    <row r="2999" spans="3:47">
      <c r="C2999" s="20"/>
      <c r="Z2999" s="20"/>
      <c r="AG2999" s="20"/>
      <c r="AQ2999" s="19"/>
      <c r="AR2999" s="19"/>
      <c r="AS2999" s="19"/>
      <c r="AT2999" s="19"/>
      <c r="AU2999" s="19"/>
    </row>
    <row r="3000" spans="3:47">
      <c r="C3000" s="20"/>
      <c r="Z3000" s="20"/>
      <c r="AG3000" s="20"/>
      <c r="AQ3000" s="19"/>
      <c r="AR3000" s="19"/>
      <c r="AS3000" s="19"/>
      <c r="AT3000" s="19"/>
      <c r="AU3000" s="19"/>
    </row>
    <row r="3001" spans="3:47">
      <c r="C3001" s="20"/>
      <c r="Z3001" s="20"/>
      <c r="AG3001" s="20"/>
      <c r="AQ3001" s="19"/>
      <c r="AR3001" s="19"/>
      <c r="AS3001" s="19"/>
      <c r="AT3001" s="19"/>
      <c r="AU3001" s="19"/>
    </row>
    <row r="3002" spans="3:47">
      <c r="C3002" s="20"/>
      <c r="Z3002" s="20"/>
      <c r="AG3002" s="20"/>
      <c r="AQ3002" s="19"/>
      <c r="AR3002" s="19"/>
      <c r="AS3002" s="19"/>
      <c r="AT3002" s="19"/>
      <c r="AU3002" s="19"/>
    </row>
    <row r="3003" spans="3:47">
      <c r="C3003" s="20"/>
      <c r="Z3003" s="20"/>
      <c r="AG3003" s="20"/>
      <c r="AQ3003" s="19"/>
      <c r="AR3003" s="19"/>
      <c r="AS3003" s="19"/>
      <c r="AT3003" s="19"/>
      <c r="AU3003" s="19"/>
    </row>
    <row r="3004" spans="3:47">
      <c r="C3004" s="20"/>
      <c r="Z3004" s="20"/>
      <c r="AG3004" s="20"/>
      <c r="AQ3004" s="19"/>
      <c r="AR3004" s="19"/>
      <c r="AS3004" s="19"/>
      <c r="AT3004" s="19"/>
      <c r="AU3004" s="19"/>
    </row>
    <row r="3005" spans="3:47">
      <c r="C3005" s="20"/>
      <c r="Z3005" s="20"/>
      <c r="AG3005" s="20"/>
      <c r="AQ3005" s="19"/>
      <c r="AR3005" s="19"/>
      <c r="AS3005" s="19"/>
      <c r="AT3005" s="19"/>
      <c r="AU3005" s="19"/>
    </row>
    <row r="3006" spans="3:47">
      <c r="C3006" s="20"/>
      <c r="Z3006" s="20"/>
      <c r="AG3006" s="20"/>
      <c r="AQ3006" s="19"/>
      <c r="AR3006" s="19"/>
      <c r="AS3006" s="19"/>
      <c r="AT3006" s="19"/>
      <c r="AU3006" s="19"/>
    </row>
    <row r="3007" spans="3:47">
      <c r="C3007" s="20"/>
      <c r="Z3007" s="20"/>
      <c r="AG3007" s="20"/>
      <c r="AQ3007" s="19"/>
      <c r="AR3007" s="19"/>
      <c r="AS3007" s="19"/>
      <c r="AT3007" s="19"/>
      <c r="AU3007" s="19"/>
    </row>
    <row r="3008" spans="3:47">
      <c r="C3008" s="20"/>
      <c r="Z3008" s="20"/>
      <c r="AG3008" s="20"/>
      <c r="AQ3008" s="19"/>
      <c r="AR3008" s="19"/>
      <c r="AS3008" s="19"/>
      <c r="AT3008" s="19"/>
      <c r="AU3008" s="19"/>
    </row>
    <row r="3009" spans="3:47">
      <c r="C3009" s="20"/>
      <c r="Z3009" s="20"/>
      <c r="AG3009" s="20"/>
      <c r="AQ3009" s="19"/>
      <c r="AR3009" s="19"/>
      <c r="AS3009" s="19"/>
      <c r="AT3009" s="19"/>
      <c r="AU3009" s="19"/>
    </row>
    <row r="3010" spans="3:47">
      <c r="C3010" s="20"/>
      <c r="Z3010" s="20"/>
      <c r="AG3010" s="20"/>
      <c r="AQ3010" s="19"/>
      <c r="AR3010" s="19"/>
      <c r="AS3010" s="19"/>
      <c r="AT3010" s="19"/>
      <c r="AU3010" s="19"/>
    </row>
    <row r="3011" spans="3:47">
      <c r="C3011" s="20"/>
      <c r="Z3011" s="20"/>
      <c r="AG3011" s="20"/>
      <c r="AQ3011" s="19"/>
      <c r="AR3011" s="19"/>
      <c r="AS3011" s="19"/>
      <c r="AT3011" s="19"/>
      <c r="AU3011" s="19"/>
    </row>
    <row r="3012" spans="3:47">
      <c r="C3012" s="20"/>
      <c r="Z3012" s="20"/>
      <c r="AG3012" s="20"/>
      <c r="AQ3012" s="19"/>
      <c r="AR3012" s="19"/>
      <c r="AS3012" s="19"/>
      <c r="AT3012" s="19"/>
      <c r="AU3012" s="19"/>
    </row>
    <row r="3013" spans="3:47">
      <c r="C3013" s="20"/>
      <c r="Z3013" s="20"/>
      <c r="AG3013" s="20"/>
      <c r="AQ3013" s="19"/>
      <c r="AR3013" s="19"/>
      <c r="AS3013" s="19"/>
      <c r="AT3013" s="19"/>
      <c r="AU3013" s="19"/>
    </row>
    <row r="3014" spans="3:47">
      <c r="C3014" s="20"/>
      <c r="Z3014" s="20"/>
      <c r="AG3014" s="20"/>
      <c r="AQ3014" s="19"/>
      <c r="AR3014" s="19"/>
      <c r="AS3014" s="19"/>
      <c r="AT3014" s="19"/>
      <c r="AU3014" s="19"/>
    </row>
    <row r="3015" spans="3:47">
      <c r="C3015" s="20"/>
      <c r="Z3015" s="20"/>
      <c r="AG3015" s="20"/>
      <c r="AQ3015" s="19"/>
      <c r="AR3015" s="19"/>
      <c r="AS3015" s="19"/>
      <c r="AT3015" s="19"/>
      <c r="AU3015" s="19"/>
    </row>
    <row r="3016" spans="3:47">
      <c r="C3016" s="20"/>
      <c r="Z3016" s="20"/>
      <c r="AG3016" s="20"/>
      <c r="AQ3016" s="19"/>
      <c r="AR3016" s="19"/>
      <c r="AS3016" s="19"/>
      <c r="AT3016" s="19"/>
      <c r="AU3016" s="19"/>
    </row>
    <row r="3017" spans="3:47">
      <c r="C3017" s="20"/>
      <c r="Z3017" s="20"/>
      <c r="AG3017" s="20"/>
      <c r="AQ3017" s="19"/>
      <c r="AR3017" s="19"/>
      <c r="AS3017" s="19"/>
      <c r="AT3017" s="19"/>
      <c r="AU3017" s="19"/>
    </row>
    <row r="3018" spans="3:47">
      <c r="C3018" s="20"/>
      <c r="Z3018" s="20"/>
      <c r="AG3018" s="20"/>
      <c r="AQ3018" s="19"/>
      <c r="AR3018" s="19"/>
      <c r="AS3018" s="19"/>
      <c r="AT3018" s="19"/>
      <c r="AU3018" s="19"/>
    </row>
    <row r="3019" spans="3:47">
      <c r="C3019" s="20"/>
      <c r="Z3019" s="20"/>
      <c r="AG3019" s="20"/>
      <c r="AQ3019" s="19"/>
      <c r="AR3019" s="19"/>
      <c r="AS3019" s="19"/>
      <c r="AT3019" s="19"/>
      <c r="AU3019" s="19"/>
    </row>
    <row r="3020" spans="3:47">
      <c r="C3020" s="20"/>
      <c r="Z3020" s="20"/>
      <c r="AG3020" s="20"/>
      <c r="AQ3020" s="19"/>
      <c r="AR3020" s="19"/>
      <c r="AS3020" s="19"/>
      <c r="AT3020" s="19"/>
      <c r="AU3020" s="19"/>
    </row>
    <row r="3021" spans="3:47">
      <c r="C3021" s="20"/>
      <c r="Z3021" s="20"/>
      <c r="AG3021" s="20"/>
      <c r="AQ3021" s="19"/>
      <c r="AR3021" s="19"/>
      <c r="AS3021" s="19"/>
      <c r="AT3021" s="19"/>
      <c r="AU3021" s="19"/>
    </row>
    <row r="3022" spans="3:47">
      <c r="C3022" s="20"/>
      <c r="Z3022" s="20"/>
      <c r="AG3022" s="20"/>
      <c r="AQ3022" s="19"/>
      <c r="AR3022" s="19"/>
      <c r="AS3022" s="19"/>
      <c r="AT3022" s="19"/>
      <c r="AU3022" s="19"/>
    </row>
    <row r="3023" spans="3:47">
      <c r="C3023" s="20"/>
      <c r="Z3023" s="20"/>
      <c r="AG3023" s="20"/>
      <c r="AQ3023" s="19"/>
      <c r="AR3023" s="19"/>
      <c r="AS3023" s="19"/>
      <c r="AT3023" s="19"/>
      <c r="AU3023" s="19"/>
    </row>
    <row r="3024" spans="3:47">
      <c r="C3024" s="20"/>
      <c r="Z3024" s="20"/>
      <c r="AG3024" s="20"/>
      <c r="AQ3024" s="19"/>
      <c r="AR3024" s="19"/>
      <c r="AS3024" s="19"/>
      <c r="AT3024" s="19"/>
      <c r="AU3024" s="19"/>
    </row>
    <row r="3025" spans="3:47">
      <c r="C3025" s="20"/>
      <c r="Z3025" s="20"/>
      <c r="AG3025" s="20"/>
      <c r="AQ3025" s="19"/>
      <c r="AR3025" s="19"/>
      <c r="AS3025" s="19"/>
      <c r="AT3025" s="19"/>
      <c r="AU3025" s="19"/>
    </row>
    <row r="3026" spans="3:47">
      <c r="C3026" s="20"/>
      <c r="Z3026" s="20"/>
      <c r="AG3026" s="20"/>
      <c r="AQ3026" s="19"/>
      <c r="AR3026" s="19"/>
      <c r="AS3026" s="19"/>
      <c r="AT3026" s="19"/>
      <c r="AU3026" s="19"/>
    </row>
    <row r="3027" spans="3:47">
      <c r="C3027" s="20"/>
      <c r="Z3027" s="20"/>
      <c r="AG3027" s="20"/>
      <c r="AQ3027" s="19"/>
      <c r="AR3027" s="19"/>
      <c r="AS3027" s="19"/>
      <c r="AT3027" s="19"/>
      <c r="AU3027" s="19"/>
    </row>
    <row r="3028" spans="3:47">
      <c r="C3028" s="20"/>
      <c r="Z3028" s="20"/>
      <c r="AG3028" s="20"/>
      <c r="AQ3028" s="19"/>
      <c r="AR3028" s="19"/>
      <c r="AS3028" s="19"/>
      <c r="AT3028" s="19"/>
      <c r="AU3028" s="19"/>
    </row>
    <row r="3029" spans="3:47">
      <c r="C3029" s="20"/>
      <c r="Z3029" s="20"/>
      <c r="AG3029" s="20"/>
      <c r="AQ3029" s="19"/>
      <c r="AR3029" s="19"/>
      <c r="AS3029" s="19"/>
      <c r="AT3029" s="19"/>
      <c r="AU3029" s="19"/>
    </row>
    <row r="3030" spans="3:47">
      <c r="C3030" s="20"/>
      <c r="Z3030" s="20"/>
      <c r="AG3030" s="20"/>
      <c r="AQ3030" s="19"/>
      <c r="AR3030" s="19"/>
      <c r="AS3030" s="19"/>
      <c r="AT3030" s="19"/>
      <c r="AU3030" s="19"/>
    </row>
    <row r="3031" spans="3:47">
      <c r="C3031" s="20"/>
      <c r="Z3031" s="20"/>
      <c r="AG3031" s="20"/>
      <c r="AQ3031" s="19"/>
      <c r="AR3031" s="19"/>
      <c r="AS3031" s="19"/>
      <c r="AT3031" s="19"/>
      <c r="AU3031" s="19"/>
    </row>
    <row r="3032" spans="3:47">
      <c r="C3032" s="20"/>
      <c r="Z3032" s="20"/>
      <c r="AG3032" s="20"/>
      <c r="AQ3032" s="19"/>
      <c r="AR3032" s="19"/>
      <c r="AS3032" s="19"/>
      <c r="AT3032" s="19"/>
      <c r="AU3032" s="19"/>
    </row>
    <row r="3033" spans="3:47">
      <c r="C3033" s="20"/>
      <c r="Z3033" s="20"/>
      <c r="AG3033" s="20"/>
      <c r="AQ3033" s="19"/>
      <c r="AR3033" s="19"/>
      <c r="AS3033" s="19"/>
      <c r="AT3033" s="19"/>
      <c r="AU3033" s="19"/>
    </row>
    <row r="3034" spans="3:47">
      <c r="C3034" s="20"/>
      <c r="Z3034" s="20"/>
      <c r="AG3034" s="20"/>
      <c r="AQ3034" s="19"/>
      <c r="AR3034" s="19"/>
      <c r="AS3034" s="19"/>
      <c r="AT3034" s="19"/>
      <c r="AU3034" s="19"/>
    </row>
    <row r="3035" spans="3:47">
      <c r="C3035" s="20"/>
      <c r="Z3035" s="20"/>
      <c r="AG3035" s="20"/>
      <c r="AQ3035" s="19"/>
      <c r="AR3035" s="19"/>
      <c r="AS3035" s="19"/>
      <c r="AT3035" s="19"/>
      <c r="AU3035" s="19"/>
    </row>
    <row r="3036" spans="3:47">
      <c r="C3036" s="20"/>
      <c r="Z3036" s="20"/>
      <c r="AG3036" s="20"/>
      <c r="AQ3036" s="19"/>
      <c r="AR3036" s="19"/>
      <c r="AS3036" s="19"/>
      <c r="AT3036" s="19"/>
      <c r="AU3036" s="19"/>
    </row>
    <row r="3037" spans="3:47">
      <c r="C3037" s="20"/>
      <c r="Z3037" s="20"/>
      <c r="AG3037" s="20"/>
      <c r="AQ3037" s="19"/>
      <c r="AR3037" s="19"/>
      <c r="AS3037" s="19"/>
      <c r="AT3037" s="19"/>
      <c r="AU3037" s="19"/>
    </row>
    <row r="3038" spans="3:47">
      <c r="C3038" s="20"/>
      <c r="Z3038" s="20"/>
      <c r="AG3038" s="20"/>
      <c r="AQ3038" s="19"/>
      <c r="AR3038" s="19"/>
      <c r="AS3038" s="19"/>
      <c r="AT3038" s="19"/>
      <c r="AU3038" s="19"/>
    </row>
    <row r="3039" spans="3:47">
      <c r="C3039" s="20"/>
      <c r="Z3039" s="20"/>
      <c r="AG3039" s="20"/>
      <c r="AQ3039" s="19"/>
      <c r="AR3039" s="19"/>
      <c r="AS3039" s="19"/>
      <c r="AT3039" s="19"/>
      <c r="AU3039" s="19"/>
    </row>
    <row r="3040" spans="3:47">
      <c r="C3040" s="20"/>
      <c r="Z3040" s="20"/>
      <c r="AG3040" s="20"/>
      <c r="AQ3040" s="19"/>
      <c r="AR3040" s="19"/>
      <c r="AS3040" s="19"/>
      <c r="AT3040" s="19"/>
      <c r="AU3040" s="19"/>
    </row>
    <row r="3041" spans="3:47">
      <c r="C3041" s="20"/>
      <c r="Z3041" s="20"/>
      <c r="AG3041" s="20"/>
      <c r="AQ3041" s="19"/>
      <c r="AR3041" s="19"/>
      <c r="AS3041" s="19"/>
      <c r="AT3041" s="19"/>
      <c r="AU3041" s="19"/>
    </row>
    <row r="3042" spans="3:47">
      <c r="C3042" s="20"/>
      <c r="Z3042" s="20"/>
      <c r="AG3042" s="20"/>
      <c r="AQ3042" s="19"/>
      <c r="AR3042" s="19"/>
      <c r="AS3042" s="19"/>
      <c r="AT3042" s="19"/>
      <c r="AU3042" s="19"/>
    </row>
    <row r="3043" spans="3:47">
      <c r="C3043" s="20"/>
      <c r="Z3043" s="20"/>
      <c r="AG3043" s="20"/>
      <c r="AQ3043" s="19"/>
      <c r="AR3043" s="19"/>
      <c r="AS3043" s="19"/>
      <c r="AT3043" s="19"/>
      <c r="AU3043" s="19"/>
    </row>
    <row r="3044" spans="3:47">
      <c r="C3044" s="20"/>
      <c r="Z3044" s="20"/>
      <c r="AG3044" s="20"/>
      <c r="AQ3044" s="19"/>
      <c r="AR3044" s="19"/>
      <c r="AS3044" s="19"/>
      <c r="AT3044" s="19"/>
      <c r="AU3044" s="19"/>
    </row>
    <row r="3045" spans="3:47">
      <c r="C3045" s="20"/>
      <c r="Z3045" s="20"/>
      <c r="AG3045" s="20"/>
      <c r="AQ3045" s="19"/>
      <c r="AR3045" s="19"/>
      <c r="AS3045" s="19"/>
      <c r="AT3045" s="19"/>
      <c r="AU3045" s="19"/>
    </row>
    <row r="3046" spans="3:47">
      <c r="C3046" s="20"/>
      <c r="Z3046" s="20"/>
      <c r="AG3046" s="20"/>
      <c r="AQ3046" s="19"/>
      <c r="AR3046" s="19"/>
      <c r="AS3046" s="19"/>
      <c r="AT3046" s="19"/>
      <c r="AU3046" s="19"/>
    </row>
    <row r="3047" spans="3:47">
      <c r="C3047" s="20"/>
      <c r="Z3047" s="20"/>
      <c r="AG3047" s="20"/>
      <c r="AQ3047" s="19"/>
      <c r="AR3047" s="19"/>
      <c r="AS3047" s="19"/>
      <c r="AT3047" s="19"/>
      <c r="AU3047" s="19"/>
    </row>
    <row r="3048" spans="3:47">
      <c r="C3048" s="20"/>
      <c r="Z3048" s="20"/>
      <c r="AG3048" s="20"/>
      <c r="AQ3048" s="19"/>
      <c r="AR3048" s="19"/>
      <c r="AS3048" s="19"/>
      <c r="AT3048" s="19"/>
      <c r="AU3048" s="19"/>
    </row>
    <row r="3049" spans="3:47">
      <c r="C3049" s="20"/>
      <c r="Z3049" s="20"/>
      <c r="AG3049" s="20"/>
      <c r="AQ3049" s="19"/>
      <c r="AR3049" s="19"/>
      <c r="AS3049" s="19"/>
      <c r="AT3049" s="19"/>
      <c r="AU3049" s="19"/>
    </row>
    <row r="3050" spans="3:47">
      <c r="C3050" s="20"/>
      <c r="Z3050" s="20"/>
      <c r="AG3050" s="20"/>
      <c r="AQ3050" s="19"/>
      <c r="AR3050" s="19"/>
      <c r="AS3050" s="19"/>
      <c r="AT3050" s="19"/>
      <c r="AU3050" s="19"/>
    </row>
    <row r="3051" spans="3:47">
      <c r="C3051" s="20"/>
      <c r="Z3051" s="20"/>
      <c r="AG3051" s="20"/>
      <c r="AQ3051" s="19"/>
      <c r="AR3051" s="19"/>
      <c r="AS3051" s="19"/>
      <c r="AT3051" s="19"/>
      <c r="AU3051" s="19"/>
    </row>
    <row r="3052" spans="3:47">
      <c r="C3052" s="20"/>
      <c r="Z3052" s="20"/>
      <c r="AG3052" s="20"/>
      <c r="AQ3052" s="19"/>
      <c r="AR3052" s="19"/>
      <c r="AS3052" s="19"/>
      <c r="AT3052" s="19"/>
      <c r="AU3052" s="19"/>
    </row>
    <row r="3053" spans="3:47">
      <c r="C3053" s="20"/>
      <c r="Z3053" s="20"/>
      <c r="AG3053" s="20"/>
      <c r="AQ3053" s="19"/>
      <c r="AR3053" s="19"/>
      <c r="AS3053" s="19"/>
      <c r="AT3053" s="19"/>
      <c r="AU3053" s="19"/>
    </row>
    <row r="3054" spans="3:47">
      <c r="C3054" s="20"/>
      <c r="Z3054" s="20"/>
      <c r="AG3054" s="20"/>
      <c r="AQ3054" s="19"/>
      <c r="AR3054" s="19"/>
      <c r="AS3054" s="19"/>
      <c r="AT3054" s="19"/>
      <c r="AU3054" s="19"/>
    </row>
    <row r="3055" spans="3:47">
      <c r="C3055" s="20"/>
      <c r="Z3055" s="20"/>
      <c r="AG3055" s="20"/>
      <c r="AQ3055" s="19"/>
      <c r="AR3055" s="19"/>
      <c r="AS3055" s="19"/>
      <c r="AT3055" s="19"/>
      <c r="AU3055" s="19"/>
    </row>
    <row r="3056" spans="3:47">
      <c r="C3056" s="20"/>
      <c r="Z3056" s="20"/>
      <c r="AG3056" s="20"/>
      <c r="AQ3056" s="19"/>
      <c r="AR3056" s="19"/>
      <c r="AS3056" s="19"/>
      <c r="AT3056" s="19"/>
      <c r="AU3056" s="19"/>
    </row>
    <row r="3057" spans="3:47">
      <c r="C3057" s="20"/>
      <c r="Z3057" s="20"/>
      <c r="AG3057" s="20"/>
      <c r="AQ3057" s="19"/>
      <c r="AR3057" s="19"/>
      <c r="AS3057" s="19"/>
      <c r="AT3057" s="19"/>
      <c r="AU3057" s="19"/>
    </row>
    <row r="3058" spans="3:47">
      <c r="C3058" s="20"/>
      <c r="Z3058" s="20"/>
      <c r="AG3058" s="20"/>
      <c r="AQ3058" s="19"/>
      <c r="AR3058" s="19"/>
      <c r="AS3058" s="19"/>
      <c r="AT3058" s="19"/>
      <c r="AU3058" s="19"/>
    </row>
    <row r="3059" spans="3:47">
      <c r="C3059" s="20"/>
      <c r="Z3059" s="20"/>
      <c r="AG3059" s="20"/>
      <c r="AQ3059" s="19"/>
      <c r="AR3059" s="19"/>
      <c r="AS3059" s="19"/>
      <c r="AT3059" s="19"/>
      <c r="AU3059" s="19"/>
    </row>
    <row r="3060" spans="3:47">
      <c r="C3060" s="20"/>
      <c r="Z3060" s="20"/>
      <c r="AG3060" s="20"/>
      <c r="AQ3060" s="19"/>
      <c r="AR3060" s="19"/>
      <c r="AS3060" s="19"/>
      <c r="AT3060" s="19"/>
      <c r="AU3060" s="19"/>
    </row>
    <row r="3061" spans="3:47">
      <c r="C3061" s="20"/>
      <c r="Z3061" s="20"/>
      <c r="AG3061" s="20"/>
      <c r="AQ3061" s="19"/>
      <c r="AR3061" s="19"/>
      <c r="AS3061" s="19"/>
      <c r="AT3061" s="19"/>
      <c r="AU3061" s="19"/>
    </row>
    <row r="3062" spans="3:47">
      <c r="C3062" s="20"/>
      <c r="Z3062" s="20"/>
      <c r="AG3062" s="20"/>
      <c r="AQ3062" s="19"/>
      <c r="AR3062" s="19"/>
      <c r="AS3062" s="19"/>
      <c r="AT3062" s="19"/>
      <c r="AU3062" s="19"/>
    </row>
    <row r="3063" spans="3:47">
      <c r="C3063" s="20"/>
      <c r="Z3063" s="20"/>
      <c r="AG3063" s="20"/>
      <c r="AQ3063" s="19"/>
      <c r="AR3063" s="19"/>
      <c r="AS3063" s="19"/>
      <c r="AT3063" s="19"/>
      <c r="AU3063" s="19"/>
    </row>
    <row r="3064" spans="3:47">
      <c r="C3064" s="20"/>
      <c r="Z3064" s="20"/>
      <c r="AG3064" s="20"/>
      <c r="AQ3064" s="19"/>
      <c r="AR3064" s="19"/>
      <c r="AS3064" s="19"/>
      <c r="AT3064" s="19"/>
      <c r="AU3064" s="19"/>
    </row>
    <row r="3065" spans="3:47">
      <c r="C3065" s="20"/>
      <c r="Z3065" s="20"/>
      <c r="AG3065" s="20"/>
      <c r="AQ3065" s="19"/>
      <c r="AR3065" s="19"/>
      <c r="AS3065" s="19"/>
      <c r="AT3065" s="19"/>
      <c r="AU3065" s="19"/>
    </row>
    <row r="3066" spans="3:47">
      <c r="C3066" s="20"/>
      <c r="Z3066" s="20"/>
      <c r="AG3066" s="20"/>
      <c r="AQ3066" s="19"/>
      <c r="AR3066" s="19"/>
      <c r="AS3066" s="19"/>
      <c r="AT3066" s="19"/>
      <c r="AU3066" s="19"/>
    </row>
    <row r="3067" spans="3:47">
      <c r="C3067" s="20"/>
      <c r="Z3067" s="20"/>
      <c r="AG3067" s="20"/>
      <c r="AQ3067" s="19"/>
      <c r="AR3067" s="19"/>
      <c r="AS3067" s="19"/>
      <c r="AT3067" s="19"/>
      <c r="AU3067" s="19"/>
    </row>
    <row r="3068" spans="3:47">
      <c r="C3068" s="20"/>
      <c r="Z3068" s="20"/>
      <c r="AG3068" s="20"/>
      <c r="AQ3068" s="19"/>
      <c r="AR3068" s="19"/>
      <c r="AS3068" s="19"/>
      <c r="AT3068" s="19"/>
      <c r="AU3068" s="19"/>
    </row>
    <row r="3069" spans="3:47">
      <c r="C3069" s="20"/>
      <c r="Z3069" s="20"/>
      <c r="AG3069" s="20"/>
      <c r="AQ3069" s="19"/>
      <c r="AR3069" s="19"/>
      <c r="AS3069" s="19"/>
      <c r="AT3069" s="19"/>
      <c r="AU3069" s="19"/>
    </row>
    <row r="3070" spans="3:47">
      <c r="C3070" s="20"/>
      <c r="Z3070" s="20"/>
      <c r="AG3070" s="20"/>
      <c r="AQ3070" s="19"/>
      <c r="AR3070" s="19"/>
      <c r="AS3070" s="19"/>
      <c r="AT3070" s="19"/>
      <c r="AU3070" s="19"/>
    </row>
    <row r="3071" spans="3:47">
      <c r="C3071" s="20"/>
      <c r="Z3071" s="20"/>
      <c r="AG3071" s="20"/>
      <c r="AQ3071" s="19"/>
      <c r="AR3071" s="19"/>
      <c r="AS3071" s="19"/>
      <c r="AT3071" s="19"/>
      <c r="AU3071" s="19"/>
    </row>
    <row r="3072" spans="3:47">
      <c r="C3072" s="20"/>
      <c r="Z3072" s="20"/>
      <c r="AG3072" s="20"/>
      <c r="AQ3072" s="19"/>
      <c r="AR3072" s="19"/>
      <c r="AS3072" s="19"/>
      <c r="AT3072" s="19"/>
      <c r="AU3072" s="19"/>
    </row>
    <row r="3073" spans="3:47">
      <c r="C3073" s="20"/>
      <c r="Z3073" s="20"/>
      <c r="AG3073" s="20"/>
      <c r="AQ3073" s="19"/>
      <c r="AR3073" s="19"/>
      <c r="AS3073" s="19"/>
      <c r="AT3073" s="19"/>
      <c r="AU3073" s="19"/>
    </row>
    <row r="3074" spans="3:47">
      <c r="C3074" s="20"/>
      <c r="Z3074" s="20"/>
      <c r="AG3074" s="20"/>
      <c r="AQ3074" s="19"/>
      <c r="AR3074" s="19"/>
      <c r="AS3074" s="19"/>
      <c r="AT3074" s="19"/>
      <c r="AU3074" s="19"/>
    </row>
    <row r="3075" spans="3:47">
      <c r="C3075" s="20"/>
      <c r="Z3075" s="20"/>
      <c r="AG3075" s="20"/>
      <c r="AQ3075" s="19"/>
      <c r="AR3075" s="19"/>
      <c r="AS3075" s="19"/>
      <c r="AT3075" s="19"/>
      <c r="AU3075" s="19"/>
    </row>
    <row r="3076" spans="3:47">
      <c r="C3076" s="20"/>
      <c r="Z3076" s="20"/>
      <c r="AG3076" s="20"/>
      <c r="AQ3076" s="19"/>
      <c r="AR3076" s="19"/>
      <c r="AS3076" s="19"/>
      <c r="AT3076" s="19"/>
      <c r="AU3076" s="19"/>
    </row>
    <row r="3077" spans="3:47">
      <c r="C3077" s="20"/>
      <c r="Z3077" s="20"/>
      <c r="AG3077" s="20"/>
      <c r="AQ3077" s="19"/>
      <c r="AR3077" s="19"/>
      <c r="AS3077" s="19"/>
      <c r="AT3077" s="19"/>
      <c r="AU3077" s="19"/>
    </row>
    <row r="3078" spans="3:47">
      <c r="C3078" s="20"/>
      <c r="Z3078" s="20"/>
      <c r="AG3078" s="20"/>
      <c r="AQ3078" s="19"/>
      <c r="AR3078" s="19"/>
      <c r="AS3078" s="19"/>
      <c r="AT3078" s="19"/>
      <c r="AU3078" s="19"/>
    </row>
    <row r="3079" spans="3:47">
      <c r="C3079" s="20"/>
      <c r="Z3079" s="20"/>
      <c r="AG3079" s="20"/>
      <c r="AQ3079" s="19"/>
      <c r="AR3079" s="19"/>
      <c r="AS3079" s="19"/>
      <c r="AT3079" s="19"/>
      <c r="AU3079" s="19"/>
    </row>
    <row r="3080" spans="3:47">
      <c r="C3080" s="20"/>
      <c r="Z3080" s="20"/>
      <c r="AG3080" s="20"/>
      <c r="AQ3080" s="19"/>
      <c r="AR3080" s="19"/>
      <c r="AS3080" s="19"/>
      <c r="AT3080" s="19"/>
      <c r="AU3080" s="19"/>
    </row>
    <row r="3081" spans="3:47">
      <c r="C3081" s="20"/>
      <c r="Z3081" s="20"/>
      <c r="AG3081" s="20"/>
      <c r="AQ3081" s="19"/>
      <c r="AR3081" s="19"/>
      <c r="AS3081" s="19"/>
      <c r="AT3081" s="19"/>
      <c r="AU3081" s="19"/>
    </row>
    <row r="3082" spans="3:47">
      <c r="C3082" s="20"/>
      <c r="Z3082" s="20"/>
      <c r="AG3082" s="20"/>
      <c r="AQ3082" s="19"/>
      <c r="AR3082" s="19"/>
      <c r="AS3082" s="19"/>
      <c r="AT3082" s="19"/>
      <c r="AU3082" s="19"/>
    </row>
    <row r="3083" spans="3:47">
      <c r="C3083" s="20"/>
      <c r="Z3083" s="20"/>
      <c r="AG3083" s="20"/>
      <c r="AQ3083" s="19"/>
      <c r="AR3083" s="19"/>
      <c r="AS3083" s="19"/>
      <c r="AT3083" s="19"/>
      <c r="AU3083" s="19"/>
    </row>
    <row r="3084" spans="3:47">
      <c r="C3084" s="20"/>
      <c r="Z3084" s="20"/>
      <c r="AG3084" s="20"/>
      <c r="AQ3084" s="19"/>
      <c r="AR3084" s="19"/>
      <c r="AS3084" s="19"/>
      <c r="AT3084" s="19"/>
      <c r="AU3084" s="19"/>
    </row>
    <row r="3085" spans="3:47">
      <c r="C3085" s="20"/>
      <c r="Z3085" s="20"/>
      <c r="AG3085" s="20"/>
      <c r="AQ3085" s="19"/>
      <c r="AR3085" s="19"/>
      <c r="AS3085" s="19"/>
      <c r="AT3085" s="19"/>
      <c r="AU3085" s="19"/>
    </row>
    <row r="3086" spans="3:47">
      <c r="C3086" s="20"/>
      <c r="Z3086" s="20"/>
      <c r="AG3086" s="20"/>
      <c r="AQ3086" s="19"/>
      <c r="AR3086" s="19"/>
      <c r="AS3086" s="19"/>
      <c r="AT3086" s="19"/>
      <c r="AU3086" s="19"/>
    </row>
    <row r="3087" spans="3:47">
      <c r="C3087" s="20"/>
      <c r="Z3087" s="20"/>
      <c r="AG3087" s="20"/>
      <c r="AQ3087" s="19"/>
      <c r="AR3087" s="19"/>
      <c r="AS3087" s="19"/>
      <c r="AT3087" s="19"/>
      <c r="AU3087" s="19"/>
    </row>
    <row r="3088" spans="3:47">
      <c r="C3088" s="20"/>
      <c r="Z3088" s="20"/>
      <c r="AG3088" s="20"/>
      <c r="AQ3088" s="19"/>
      <c r="AR3088" s="19"/>
      <c r="AS3088" s="19"/>
      <c r="AT3088" s="19"/>
      <c r="AU3088" s="19"/>
    </row>
    <row r="3089" spans="3:47">
      <c r="C3089" s="20"/>
      <c r="Z3089" s="20"/>
      <c r="AG3089" s="20"/>
      <c r="AQ3089" s="19"/>
      <c r="AR3089" s="19"/>
      <c r="AS3089" s="19"/>
      <c r="AT3089" s="19"/>
      <c r="AU3089" s="19"/>
    </row>
    <row r="3090" spans="3:47">
      <c r="C3090" s="20"/>
      <c r="Z3090" s="20"/>
      <c r="AG3090" s="20"/>
      <c r="AQ3090" s="19"/>
      <c r="AR3090" s="19"/>
      <c r="AS3090" s="19"/>
      <c r="AT3090" s="19"/>
      <c r="AU3090" s="19"/>
    </row>
    <row r="3091" spans="3:47">
      <c r="C3091" s="20"/>
      <c r="Z3091" s="20"/>
      <c r="AG3091" s="20"/>
      <c r="AQ3091" s="19"/>
      <c r="AR3091" s="19"/>
      <c r="AS3091" s="19"/>
      <c r="AT3091" s="19"/>
      <c r="AU3091" s="19"/>
    </row>
    <row r="3092" spans="3:47">
      <c r="C3092" s="20"/>
      <c r="Z3092" s="20"/>
      <c r="AG3092" s="20"/>
      <c r="AQ3092" s="19"/>
      <c r="AR3092" s="19"/>
      <c r="AS3092" s="19"/>
      <c r="AT3092" s="19"/>
      <c r="AU3092" s="19"/>
    </row>
    <row r="3093" spans="3:47">
      <c r="C3093" s="20"/>
      <c r="Z3093" s="20"/>
      <c r="AG3093" s="20"/>
      <c r="AQ3093" s="19"/>
      <c r="AR3093" s="19"/>
      <c r="AS3093" s="19"/>
      <c r="AT3093" s="19"/>
      <c r="AU3093" s="19"/>
    </row>
    <row r="3094" spans="3:47">
      <c r="C3094" s="20"/>
      <c r="Z3094" s="20"/>
      <c r="AG3094" s="20"/>
      <c r="AQ3094" s="19"/>
      <c r="AR3094" s="19"/>
      <c r="AS3094" s="19"/>
      <c r="AT3094" s="19"/>
      <c r="AU3094" s="19"/>
    </row>
    <row r="3095" spans="3:47">
      <c r="C3095" s="20"/>
      <c r="Z3095" s="20"/>
      <c r="AG3095" s="20"/>
      <c r="AQ3095" s="19"/>
      <c r="AR3095" s="19"/>
      <c r="AS3095" s="19"/>
      <c r="AT3095" s="19"/>
      <c r="AU3095" s="19"/>
    </row>
    <row r="3096" spans="3:47">
      <c r="C3096" s="20"/>
      <c r="Z3096" s="20"/>
      <c r="AG3096" s="20"/>
      <c r="AQ3096" s="19"/>
      <c r="AR3096" s="19"/>
      <c r="AS3096" s="19"/>
      <c r="AT3096" s="19"/>
      <c r="AU3096" s="19"/>
    </row>
    <row r="3097" spans="3:47">
      <c r="C3097" s="20"/>
      <c r="Z3097" s="20"/>
      <c r="AG3097" s="20"/>
      <c r="AQ3097" s="19"/>
      <c r="AR3097" s="19"/>
      <c r="AS3097" s="19"/>
      <c r="AT3097" s="19"/>
      <c r="AU3097" s="19"/>
    </row>
    <row r="3098" spans="3:47">
      <c r="C3098" s="20"/>
      <c r="Z3098" s="20"/>
      <c r="AG3098" s="20"/>
      <c r="AQ3098" s="19"/>
      <c r="AR3098" s="19"/>
      <c r="AS3098" s="19"/>
      <c r="AT3098" s="19"/>
      <c r="AU3098" s="19"/>
    </row>
    <row r="3099" spans="3:47">
      <c r="C3099" s="20"/>
      <c r="Z3099" s="20"/>
      <c r="AG3099" s="20"/>
      <c r="AQ3099" s="19"/>
      <c r="AR3099" s="19"/>
      <c r="AS3099" s="19"/>
      <c r="AT3099" s="19"/>
      <c r="AU3099" s="19"/>
    </row>
    <row r="3100" spans="3:47">
      <c r="C3100" s="20"/>
      <c r="Z3100" s="20"/>
      <c r="AG3100" s="20"/>
      <c r="AQ3100" s="19"/>
      <c r="AR3100" s="19"/>
      <c r="AS3100" s="19"/>
      <c r="AT3100" s="19"/>
      <c r="AU3100" s="19"/>
    </row>
    <row r="3101" spans="3:47">
      <c r="C3101" s="20"/>
      <c r="Z3101" s="20"/>
      <c r="AG3101" s="20"/>
      <c r="AQ3101" s="19"/>
      <c r="AR3101" s="19"/>
      <c r="AS3101" s="19"/>
      <c r="AT3101" s="19"/>
      <c r="AU3101" s="19"/>
    </row>
    <row r="3102" spans="3:47">
      <c r="C3102" s="20"/>
      <c r="Z3102" s="20"/>
      <c r="AG3102" s="20"/>
      <c r="AQ3102" s="19"/>
      <c r="AR3102" s="19"/>
      <c r="AS3102" s="19"/>
      <c r="AT3102" s="19"/>
      <c r="AU3102" s="19"/>
    </row>
    <row r="3103" spans="3:47">
      <c r="C3103" s="20"/>
      <c r="Z3103" s="20"/>
      <c r="AG3103" s="20"/>
      <c r="AQ3103" s="19"/>
      <c r="AR3103" s="19"/>
      <c r="AS3103" s="19"/>
      <c r="AT3103" s="19"/>
      <c r="AU3103" s="19"/>
    </row>
    <row r="3104" spans="3:47">
      <c r="C3104" s="20"/>
      <c r="Z3104" s="20"/>
      <c r="AG3104" s="20"/>
      <c r="AQ3104" s="19"/>
      <c r="AR3104" s="19"/>
      <c r="AS3104" s="19"/>
      <c r="AT3104" s="19"/>
      <c r="AU3104" s="19"/>
    </row>
    <row r="3105" spans="3:47">
      <c r="C3105" s="20"/>
      <c r="Z3105" s="20"/>
      <c r="AG3105" s="20"/>
      <c r="AQ3105" s="19"/>
      <c r="AR3105" s="19"/>
      <c r="AS3105" s="19"/>
      <c r="AT3105" s="19"/>
      <c r="AU3105" s="19"/>
    </row>
    <row r="3106" spans="3:47">
      <c r="C3106" s="20"/>
      <c r="Z3106" s="20"/>
      <c r="AG3106" s="20"/>
      <c r="AQ3106" s="19"/>
      <c r="AR3106" s="19"/>
      <c r="AS3106" s="19"/>
      <c r="AT3106" s="19"/>
      <c r="AU3106" s="19"/>
    </row>
    <row r="3107" spans="3:47">
      <c r="C3107" s="20"/>
      <c r="Z3107" s="20"/>
      <c r="AG3107" s="20"/>
      <c r="AQ3107" s="19"/>
      <c r="AR3107" s="19"/>
      <c r="AS3107" s="19"/>
      <c r="AT3107" s="19"/>
      <c r="AU3107" s="19"/>
    </row>
    <row r="3108" spans="3:47">
      <c r="C3108" s="20"/>
      <c r="Z3108" s="20"/>
      <c r="AG3108" s="20"/>
      <c r="AQ3108" s="19"/>
      <c r="AR3108" s="19"/>
      <c r="AS3108" s="19"/>
      <c r="AT3108" s="19"/>
      <c r="AU3108" s="19"/>
    </row>
    <row r="3109" spans="3:47">
      <c r="C3109" s="20"/>
      <c r="Z3109" s="20"/>
      <c r="AG3109" s="20"/>
      <c r="AQ3109" s="19"/>
      <c r="AR3109" s="19"/>
      <c r="AS3109" s="19"/>
      <c r="AT3109" s="19"/>
      <c r="AU3109" s="19"/>
    </row>
    <row r="3110" spans="3:47">
      <c r="C3110" s="20"/>
      <c r="Z3110" s="20"/>
      <c r="AG3110" s="20"/>
      <c r="AQ3110" s="19"/>
      <c r="AR3110" s="19"/>
      <c r="AS3110" s="19"/>
      <c r="AT3110" s="19"/>
      <c r="AU3110" s="19"/>
    </row>
    <row r="3111" spans="3:47">
      <c r="C3111" s="20"/>
      <c r="Z3111" s="20"/>
      <c r="AG3111" s="20"/>
      <c r="AQ3111" s="19"/>
      <c r="AR3111" s="19"/>
      <c r="AS3111" s="19"/>
      <c r="AT3111" s="19"/>
      <c r="AU3111" s="19"/>
    </row>
    <row r="3112" spans="3:47">
      <c r="C3112" s="20"/>
      <c r="Z3112" s="20"/>
      <c r="AG3112" s="20"/>
      <c r="AQ3112" s="19"/>
      <c r="AR3112" s="19"/>
      <c r="AS3112" s="19"/>
      <c r="AT3112" s="19"/>
      <c r="AU3112" s="19"/>
    </row>
    <row r="3113" spans="3:47">
      <c r="C3113" s="20"/>
      <c r="Z3113" s="20"/>
      <c r="AG3113" s="20"/>
      <c r="AQ3113" s="19"/>
      <c r="AR3113" s="19"/>
      <c r="AS3113" s="19"/>
      <c r="AT3113" s="19"/>
      <c r="AU3113" s="19"/>
    </row>
    <row r="3114" spans="3:47">
      <c r="C3114" s="20"/>
      <c r="Z3114" s="20"/>
      <c r="AG3114" s="20"/>
      <c r="AQ3114" s="19"/>
      <c r="AR3114" s="19"/>
      <c r="AS3114" s="19"/>
      <c r="AT3114" s="19"/>
      <c r="AU3114" s="19"/>
    </row>
    <row r="3115" spans="3:47">
      <c r="C3115" s="20"/>
      <c r="Z3115" s="20"/>
      <c r="AG3115" s="20"/>
      <c r="AQ3115" s="19"/>
      <c r="AR3115" s="19"/>
      <c r="AS3115" s="19"/>
      <c r="AT3115" s="19"/>
      <c r="AU3115" s="19"/>
    </row>
    <row r="3116" spans="3:47">
      <c r="C3116" s="20"/>
      <c r="Z3116" s="20"/>
      <c r="AG3116" s="20"/>
      <c r="AQ3116" s="19"/>
      <c r="AR3116" s="19"/>
      <c r="AS3116" s="19"/>
      <c r="AT3116" s="19"/>
      <c r="AU3116" s="19"/>
    </row>
    <row r="3117" spans="3:47">
      <c r="C3117" s="20"/>
      <c r="Z3117" s="20"/>
      <c r="AG3117" s="20"/>
      <c r="AQ3117" s="19"/>
      <c r="AR3117" s="19"/>
      <c r="AS3117" s="19"/>
      <c r="AT3117" s="19"/>
      <c r="AU3117" s="19"/>
    </row>
    <row r="3118" spans="3:47">
      <c r="C3118" s="20"/>
      <c r="Z3118" s="20"/>
      <c r="AG3118" s="20"/>
      <c r="AQ3118" s="19"/>
      <c r="AR3118" s="19"/>
      <c r="AS3118" s="19"/>
      <c r="AT3118" s="19"/>
      <c r="AU3118" s="19"/>
    </row>
    <row r="3119" spans="3:47">
      <c r="C3119" s="20"/>
      <c r="Z3119" s="20"/>
      <c r="AG3119" s="20"/>
      <c r="AQ3119" s="19"/>
      <c r="AR3119" s="19"/>
      <c r="AS3119" s="19"/>
      <c r="AT3119" s="19"/>
      <c r="AU3119" s="19"/>
    </row>
    <row r="3120" spans="3:47">
      <c r="C3120" s="20"/>
      <c r="Z3120" s="20"/>
      <c r="AG3120" s="20"/>
      <c r="AQ3120" s="19"/>
      <c r="AR3120" s="19"/>
      <c r="AS3120" s="19"/>
      <c r="AT3120" s="19"/>
      <c r="AU3120" s="19"/>
    </row>
    <row r="3121" spans="3:47">
      <c r="C3121" s="20"/>
      <c r="Z3121" s="20"/>
      <c r="AG3121" s="20"/>
      <c r="AQ3121" s="19"/>
      <c r="AR3121" s="19"/>
      <c r="AS3121" s="19"/>
      <c r="AT3121" s="19"/>
      <c r="AU3121" s="19"/>
    </row>
    <row r="3122" spans="3:47">
      <c r="C3122" s="20"/>
      <c r="Z3122" s="20"/>
      <c r="AG3122" s="20"/>
      <c r="AQ3122" s="19"/>
      <c r="AR3122" s="19"/>
      <c r="AS3122" s="19"/>
      <c r="AT3122" s="19"/>
      <c r="AU3122" s="19"/>
    </row>
    <row r="3123" spans="3:47">
      <c r="C3123" s="20"/>
      <c r="Z3123" s="20"/>
      <c r="AG3123" s="20"/>
      <c r="AQ3123" s="19"/>
      <c r="AR3123" s="19"/>
      <c r="AS3123" s="19"/>
      <c r="AT3123" s="19"/>
      <c r="AU3123" s="19"/>
    </row>
    <row r="3124" spans="3:47">
      <c r="C3124" s="20"/>
      <c r="Z3124" s="20"/>
      <c r="AG3124" s="20"/>
      <c r="AQ3124" s="19"/>
      <c r="AR3124" s="19"/>
      <c r="AS3124" s="19"/>
      <c r="AT3124" s="19"/>
      <c r="AU3124" s="19"/>
    </row>
    <row r="3125" spans="3:47">
      <c r="C3125" s="20"/>
      <c r="Z3125" s="20"/>
      <c r="AG3125" s="20"/>
      <c r="AQ3125" s="19"/>
      <c r="AR3125" s="19"/>
      <c r="AS3125" s="19"/>
      <c r="AT3125" s="19"/>
      <c r="AU3125" s="19"/>
    </row>
    <row r="3126" spans="3:47">
      <c r="C3126" s="20"/>
      <c r="Z3126" s="20"/>
      <c r="AG3126" s="20"/>
      <c r="AQ3126" s="19"/>
      <c r="AR3126" s="19"/>
      <c r="AS3126" s="19"/>
      <c r="AT3126" s="19"/>
      <c r="AU3126" s="19"/>
    </row>
    <row r="3127" spans="3:47">
      <c r="C3127" s="20"/>
      <c r="Z3127" s="20"/>
      <c r="AG3127" s="20"/>
      <c r="AQ3127" s="19"/>
      <c r="AR3127" s="19"/>
      <c r="AS3127" s="19"/>
      <c r="AT3127" s="19"/>
      <c r="AU3127" s="19"/>
    </row>
    <row r="3128" spans="3:47">
      <c r="C3128" s="20"/>
      <c r="Z3128" s="20"/>
      <c r="AG3128" s="20"/>
      <c r="AQ3128" s="19"/>
      <c r="AR3128" s="19"/>
      <c r="AS3128" s="19"/>
      <c r="AT3128" s="19"/>
      <c r="AU3128" s="19"/>
    </row>
    <row r="3129" spans="3:47">
      <c r="C3129" s="20"/>
      <c r="Z3129" s="20"/>
      <c r="AG3129" s="20"/>
      <c r="AQ3129" s="19"/>
      <c r="AR3129" s="19"/>
      <c r="AS3129" s="19"/>
      <c r="AT3129" s="19"/>
      <c r="AU3129" s="19"/>
    </row>
    <row r="3130" spans="3:47">
      <c r="C3130" s="20"/>
      <c r="Z3130" s="20"/>
      <c r="AG3130" s="20"/>
      <c r="AQ3130" s="19"/>
      <c r="AR3130" s="19"/>
      <c r="AS3130" s="19"/>
      <c r="AT3130" s="19"/>
      <c r="AU3130" s="19"/>
    </row>
    <row r="3131" spans="3:47">
      <c r="C3131" s="20"/>
      <c r="Z3131" s="20"/>
      <c r="AG3131" s="20"/>
      <c r="AQ3131" s="19"/>
      <c r="AR3131" s="19"/>
      <c r="AS3131" s="19"/>
      <c r="AT3131" s="19"/>
      <c r="AU3131" s="19"/>
    </row>
    <row r="3132" spans="3:47">
      <c r="C3132" s="20"/>
      <c r="Z3132" s="20"/>
      <c r="AG3132" s="20"/>
      <c r="AQ3132" s="19"/>
      <c r="AR3132" s="19"/>
      <c r="AS3132" s="19"/>
      <c r="AT3132" s="19"/>
      <c r="AU3132" s="19"/>
    </row>
    <row r="3133" spans="3:47">
      <c r="C3133" s="20"/>
      <c r="Z3133" s="20"/>
      <c r="AG3133" s="20"/>
      <c r="AQ3133" s="19"/>
      <c r="AR3133" s="19"/>
      <c r="AS3133" s="19"/>
      <c r="AT3133" s="19"/>
      <c r="AU3133" s="19"/>
    </row>
    <row r="3134" spans="3:47">
      <c r="C3134" s="20"/>
      <c r="Z3134" s="20"/>
      <c r="AG3134" s="20"/>
      <c r="AQ3134" s="19"/>
      <c r="AR3134" s="19"/>
      <c r="AS3134" s="19"/>
      <c r="AT3134" s="19"/>
      <c r="AU3134" s="19"/>
    </row>
    <row r="3135" spans="3:47">
      <c r="C3135" s="20"/>
      <c r="Z3135" s="20"/>
      <c r="AG3135" s="20"/>
      <c r="AQ3135" s="19"/>
      <c r="AR3135" s="19"/>
      <c r="AS3135" s="19"/>
      <c r="AT3135" s="19"/>
      <c r="AU3135" s="19"/>
    </row>
    <row r="3136" spans="3:47">
      <c r="C3136" s="20"/>
      <c r="Z3136" s="20"/>
      <c r="AG3136" s="20"/>
      <c r="AQ3136" s="19"/>
      <c r="AR3136" s="19"/>
      <c r="AS3136" s="19"/>
      <c r="AT3136" s="19"/>
      <c r="AU3136" s="19"/>
    </row>
    <row r="3137" spans="3:47">
      <c r="C3137" s="20"/>
      <c r="Z3137" s="20"/>
      <c r="AG3137" s="20"/>
      <c r="AQ3137" s="19"/>
      <c r="AR3137" s="19"/>
      <c r="AS3137" s="19"/>
      <c r="AT3137" s="19"/>
      <c r="AU3137" s="19"/>
    </row>
    <row r="3138" spans="3:47">
      <c r="C3138" s="20"/>
      <c r="Z3138" s="20"/>
      <c r="AG3138" s="20"/>
      <c r="AQ3138" s="19"/>
      <c r="AR3138" s="19"/>
      <c r="AS3138" s="19"/>
      <c r="AT3138" s="19"/>
      <c r="AU3138" s="19"/>
    </row>
    <row r="3139" spans="3:47">
      <c r="C3139" s="20"/>
      <c r="Z3139" s="20"/>
      <c r="AG3139" s="20"/>
      <c r="AQ3139" s="19"/>
      <c r="AR3139" s="19"/>
      <c r="AS3139" s="19"/>
      <c r="AT3139" s="19"/>
      <c r="AU3139" s="19"/>
    </row>
    <row r="3140" spans="3:47">
      <c r="C3140" s="20"/>
      <c r="Z3140" s="20"/>
      <c r="AG3140" s="20"/>
      <c r="AQ3140" s="19"/>
      <c r="AR3140" s="19"/>
      <c r="AS3140" s="19"/>
      <c r="AT3140" s="19"/>
      <c r="AU3140" s="19"/>
    </row>
    <row r="3141" spans="3:47">
      <c r="C3141" s="20"/>
      <c r="Z3141" s="20"/>
      <c r="AG3141" s="20"/>
      <c r="AQ3141" s="19"/>
      <c r="AR3141" s="19"/>
      <c r="AS3141" s="19"/>
      <c r="AT3141" s="19"/>
      <c r="AU3141" s="19"/>
    </row>
    <row r="3142" spans="3:47">
      <c r="C3142" s="20"/>
      <c r="Z3142" s="20"/>
      <c r="AG3142" s="20"/>
      <c r="AQ3142" s="19"/>
      <c r="AR3142" s="19"/>
      <c r="AS3142" s="19"/>
      <c r="AT3142" s="19"/>
      <c r="AU3142" s="19"/>
    </row>
    <row r="3143" spans="3:47">
      <c r="C3143" s="20"/>
      <c r="Z3143" s="20"/>
      <c r="AG3143" s="20"/>
      <c r="AQ3143" s="19"/>
      <c r="AR3143" s="19"/>
      <c r="AS3143" s="19"/>
      <c r="AT3143" s="19"/>
      <c r="AU3143" s="19"/>
    </row>
    <row r="3144" spans="3:47">
      <c r="C3144" s="20"/>
      <c r="Z3144" s="20"/>
      <c r="AG3144" s="20"/>
      <c r="AQ3144" s="19"/>
      <c r="AR3144" s="19"/>
      <c r="AS3144" s="19"/>
      <c r="AT3144" s="19"/>
      <c r="AU3144" s="19"/>
    </row>
    <row r="3145" spans="3:47">
      <c r="C3145" s="20"/>
      <c r="Z3145" s="20"/>
      <c r="AG3145" s="20"/>
      <c r="AQ3145" s="19"/>
      <c r="AR3145" s="19"/>
      <c r="AS3145" s="19"/>
      <c r="AT3145" s="19"/>
      <c r="AU3145" s="19"/>
    </row>
    <row r="3146" spans="3:47">
      <c r="C3146" s="20"/>
      <c r="Z3146" s="20"/>
      <c r="AG3146" s="20"/>
      <c r="AQ3146" s="19"/>
      <c r="AR3146" s="19"/>
      <c r="AS3146" s="19"/>
      <c r="AT3146" s="19"/>
      <c r="AU3146" s="19"/>
    </row>
    <row r="3147" spans="3:47">
      <c r="C3147" s="20"/>
      <c r="Z3147" s="20"/>
      <c r="AG3147" s="20"/>
      <c r="AQ3147" s="19"/>
      <c r="AR3147" s="19"/>
      <c r="AS3147" s="19"/>
      <c r="AT3147" s="19"/>
      <c r="AU3147" s="19"/>
    </row>
    <row r="3148" spans="3:47">
      <c r="C3148" s="20"/>
      <c r="Z3148" s="20"/>
      <c r="AG3148" s="20"/>
      <c r="AQ3148" s="19"/>
      <c r="AR3148" s="19"/>
      <c r="AS3148" s="19"/>
      <c r="AT3148" s="19"/>
      <c r="AU3148" s="19"/>
    </row>
    <row r="3149" spans="3:47">
      <c r="C3149" s="20"/>
      <c r="Z3149" s="20"/>
      <c r="AG3149" s="20"/>
      <c r="AQ3149" s="19"/>
      <c r="AR3149" s="19"/>
      <c r="AS3149" s="19"/>
      <c r="AT3149" s="19"/>
      <c r="AU3149" s="19"/>
    </row>
    <row r="3150" spans="3:47">
      <c r="C3150" s="20"/>
      <c r="Z3150" s="20"/>
      <c r="AG3150" s="20"/>
      <c r="AQ3150" s="19"/>
      <c r="AR3150" s="19"/>
      <c r="AS3150" s="19"/>
      <c r="AT3150" s="19"/>
      <c r="AU3150" s="19"/>
    </row>
    <row r="3151" spans="3:47">
      <c r="C3151" s="20"/>
      <c r="Z3151" s="20"/>
      <c r="AG3151" s="20"/>
      <c r="AQ3151" s="19"/>
      <c r="AR3151" s="19"/>
      <c r="AS3151" s="19"/>
      <c r="AT3151" s="19"/>
      <c r="AU3151" s="19"/>
    </row>
    <row r="3152" spans="3:47">
      <c r="C3152" s="20"/>
      <c r="Z3152" s="20"/>
      <c r="AG3152" s="20"/>
      <c r="AQ3152" s="19"/>
      <c r="AR3152" s="19"/>
      <c r="AS3152" s="19"/>
      <c r="AT3152" s="19"/>
      <c r="AU3152" s="19"/>
    </row>
    <row r="3153" spans="3:47">
      <c r="C3153" s="20"/>
      <c r="Z3153" s="20"/>
      <c r="AG3153" s="20"/>
      <c r="AQ3153" s="19"/>
      <c r="AR3153" s="19"/>
      <c r="AS3153" s="19"/>
      <c r="AT3153" s="19"/>
      <c r="AU3153" s="19"/>
    </row>
    <row r="3154" spans="3:47">
      <c r="C3154" s="20"/>
      <c r="Z3154" s="20"/>
      <c r="AG3154" s="20"/>
      <c r="AQ3154" s="19"/>
      <c r="AR3154" s="19"/>
      <c r="AS3154" s="19"/>
      <c r="AT3154" s="19"/>
      <c r="AU3154" s="19"/>
    </row>
    <row r="3155" spans="3:47">
      <c r="C3155" s="20"/>
      <c r="Z3155" s="20"/>
      <c r="AG3155" s="20"/>
      <c r="AQ3155" s="19"/>
      <c r="AR3155" s="19"/>
      <c r="AS3155" s="19"/>
      <c r="AT3155" s="19"/>
      <c r="AU3155" s="19"/>
    </row>
    <row r="3156" spans="3:47">
      <c r="C3156" s="20"/>
      <c r="Z3156" s="20"/>
      <c r="AG3156" s="20"/>
      <c r="AQ3156" s="19"/>
      <c r="AR3156" s="19"/>
      <c r="AS3156" s="19"/>
      <c r="AT3156" s="19"/>
      <c r="AU3156" s="19"/>
    </row>
    <row r="3157" spans="3:47">
      <c r="C3157" s="20"/>
      <c r="Z3157" s="20"/>
      <c r="AG3157" s="20"/>
      <c r="AQ3157" s="19"/>
      <c r="AR3157" s="19"/>
      <c r="AS3157" s="19"/>
      <c r="AT3157" s="19"/>
      <c r="AU3157" s="19"/>
    </row>
    <row r="3158" spans="3:47">
      <c r="C3158" s="20"/>
      <c r="Z3158" s="20"/>
      <c r="AG3158" s="20"/>
      <c r="AQ3158" s="19"/>
      <c r="AR3158" s="19"/>
      <c r="AS3158" s="19"/>
      <c r="AT3158" s="19"/>
      <c r="AU3158" s="19"/>
    </row>
    <row r="3159" spans="3:47">
      <c r="C3159" s="20"/>
      <c r="Z3159" s="20"/>
      <c r="AG3159" s="20"/>
      <c r="AQ3159" s="19"/>
      <c r="AR3159" s="19"/>
      <c r="AS3159" s="19"/>
      <c r="AT3159" s="19"/>
      <c r="AU3159" s="19"/>
    </row>
    <row r="3160" spans="3:47">
      <c r="C3160" s="20"/>
      <c r="Z3160" s="20"/>
      <c r="AG3160" s="20"/>
      <c r="AQ3160" s="19"/>
      <c r="AR3160" s="19"/>
      <c r="AS3160" s="19"/>
      <c r="AT3160" s="19"/>
      <c r="AU3160" s="19"/>
    </row>
    <row r="3161" spans="3:47">
      <c r="C3161" s="20"/>
      <c r="Z3161" s="20"/>
      <c r="AG3161" s="20"/>
      <c r="AQ3161" s="19"/>
      <c r="AR3161" s="19"/>
      <c r="AS3161" s="19"/>
      <c r="AT3161" s="19"/>
      <c r="AU3161" s="19"/>
    </row>
    <row r="3162" spans="3:47">
      <c r="C3162" s="20"/>
      <c r="Z3162" s="20"/>
      <c r="AG3162" s="20"/>
      <c r="AQ3162" s="19"/>
      <c r="AR3162" s="19"/>
      <c r="AS3162" s="19"/>
      <c r="AT3162" s="19"/>
      <c r="AU3162" s="19"/>
    </row>
    <row r="3163" spans="3:47">
      <c r="C3163" s="20"/>
      <c r="Z3163" s="20"/>
      <c r="AG3163" s="20"/>
      <c r="AQ3163" s="19"/>
      <c r="AR3163" s="19"/>
      <c r="AS3163" s="19"/>
      <c r="AT3163" s="19"/>
      <c r="AU3163" s="19"/>
    </row>
    <row r="3164" spans="3:47">
      <c r="C3164" s="20"/>
      <c r="Z3164" s="20"/>
      <c r="AG3164" s="20"/>
      <c r="AQ3164" s="19"/>
      <c r="AR3164" s="19"/>
      <c r="AS3164" s="19"/>
      <c r="AT3164" s="19"/>
      <c r="AU3164" s="19"/>
    </row>
    <row r="3165" spans="3:47">
      <c r="C3165" s="20"/>
      <c r="Z3165" s="20"/>
      <c r="AG3165" s="20"/>
      <c r="AQ3165" s="19"/>
      <c r="AR3165" s="19"/>
      <c r="AS3165" s="19"/>
      <c r="AT3165" s="19"/>
      <c r="AU3165" s="19"/>
    </row>
    <row r="3166" spans="3:47">
      <c r="C3166" s="20"/>
      <c r="Z3166" s="20"/>
      <c r="AG3166" s="20"/>
      <c r="AQ3166" s="19"/>
      <c r="AR3166" s="19"/>
      <c r="AS3166" s="19"/>
      <c r="AT3166" s="19"/>
      <c r="AU3166" s="19"/>
    </row>
    <row r="3167" spans="3:47">
      <c r="C3167" s="20"/>
      <c r="Z3167" s="20"/>
      <c r="AG3167" s="20"/>
      <c r="AQ3167" s="19"/>
      <c r="AR3167" s="19"/>
      <c r="AS3167" s="19"/>
      <c r="AT3167" s="19"/>
      <c r="AU3167" s="19"/>
    </row>
    <row r="3168" spans="3:47">
      <c r="C3168" s="20"/>
      <c r="Z3168" s="20"/>
      <c r="AG3168" s="20"/>
      <c r="AQ3168" s="19"/>
      <c r="AR3168" s="19"/>
      <c r="AS3168" s="19"/>
      <c r="AT3168" s="19"/>
      <c r="AU3168" s="19"/>
    </row>
    <row r="3169" spans="3:47">
      <c r="C3169" s="20"/>
      <c r="Z3169" s="20"/>
      <c r="AG3169" s="20"/>
      <c r="AQ3169" s="19"/>
      <c r="AR3169" s="19"/>
      <c r="AS3169" s="19"/>
      <c r="AT3169" s="19"/>
      <c r="AU3169" s="19"/>
    </row>
    <row r="3170" spans="3:47">
      <c r="C3170" s="20"/>
      <c r="Z3170" s="20"/>
      <c r="AG3170" s="20"/>
      <c r="AQ3170" s="19"/>
      <c r="AR3170" s="19"/>
      <c r="AS3170" s="19"/>
      <c r="AT3170" s="19"/>
      <c r="AU3170" s="19"/>
    </row>
    <row r="3171" spans="3:47">
      <c r="C3171" s="20"/>
      <c r="Z3171" s="20"/>
      <c r="AG3171" s="20"/>
      <c r="AQ3171" s="19"/>
      <c r="AR3171" s="19"/>
      <c r="AS3171" s="19"/>
      <c r="AT3171" s="19"/>
      <c r="AU3171" s="19"/>
    </row>
    <row r="3172" spans="3:47">
      <c r="C3172" s="20"/>
      <c r="Z3172" s="20"/>
      <c r="AG3172" s="20"/>
      <c r="AQ3172" s="19"/>
      <c r="AR3172" s="19"/>
      <c r="AS3172" s="19"/>
      <c r="AT3172" s="19"/>
      <c r="AU3172" s="19"/>
    </row>
    <row r="3173" spans="3:47">
      <c r="C3173" s="20"/>
      <c r="Z3173" s="20"/>
      <c r="AG3173" s="20"/>
      <c r="AQ3173" s="19"/>
      <c r="AR3173" s="19"/>
      <c r="AS3173" s="19"/>
      <c r="AT3173" s="19"/>
      <c r="AU3173" s="19"/>
    </row>
    <row r="3174" spans="3:47">
      <c r="C3174" s="20"/>
      <c r="Z3174" s="20"/>
      <c r="AG3174" s="20"/>
      <c r="AQ3174" s="19"/>
      <c r="AR3174" s="19"/>
      <c r="AS3174" s="19"/>
      <c r="AT3174" s="19"/>
      <c r="AU3174" s="19"/>
    </row>
    <row r="3175" spans="3:47">
      <c r="C3175" s="20"/>
      <c r="Z3175" s="20"/>
      <c r="AG3175" s="20"/>
      <c r="AQ3175" s="19"/>
      <c r="AR3175" s="19"/>
      <c r="AS3175" s="19"/>
      <c r="AT3175" s="19"/>
      <c r="AU3175" s="19"/>
    </row>
    <row r="3176" spans="3:47">
      <c r="C3176" s="20"/>
      <c r="Z3176" s="20"/>
      <c r="AG3176" s="20"/>
      <c r="AQ3176" s="19"/>
      <c r="AR3176" s="19"/>
      <c r="AS3176" s="19"/>
      <c r="AT3176" s="19"/>
      <c r="AU3176" s="19"/>
    </row>
    <row r="3177" spans="3:47">
      <c r="C3177" s="20"/>
      <c r="Z3177" s="20"/>
      <c r="AG3177" s="20"/>
      <c r="AQ3177" s="19"/>
      <c r="AR3177" s="19"/>
      <c r="AS3177" s="19"/>
      <c r="AT3177" s="19"/>
      <c r="AU3177" s="19"/>
    </row>
    <row r="3178" spans="3:47">
      <c r="C3178" s="20"/>
      <c r="Z3178" s="20"/>
      <c r="AG3178" s="20"/>
      <c r="AQ3178" s="19"/>
      <c r="AR3178" s="19"/>
      <c r="AS3178" s="19"/>
      <c r="AT3178" s="19"/>
      <c r="AU3178" s="19"/>
    </row>
    <row r="3179" spans="3:47">
      <c r="C3179" s="20"/>
      <c r="Z3179" s="20"/>
      <c r="AG3179" s="20"/>
      <c r="AQ3179" s="19"/>
      <c r="AR3179" s="19"/>
      <c r="AS3179" s="19"/>
      <c r="AT3179" s="19"/>
      <c r="AU3179" s="19"/>
    </row>
    <row r="3180" spans="3:47">
      <c r="C3180" s="20"/>
      <c r="Z3180" s="20"/>
      <c r="AG3180" s="20"/>
      <c r="AQ3180" s="19"/>
      <c r="AR3180" s="19"/>
      <c r="AS3180" s="19"/>
      <c r="AT3180" s="19"/>
      <c r="AU3180" s="19"/>
    </row>
    <row r="3181" spans="3:47">
      <c r="C3181" s="20"/>
      <c r="Z3181" s="20"/>
      <c r="AG3181" s="20"/>
      <c r="AQ3181" s="19"/>
      <c r="AR3181" s="19"/>
      <c r="AS3181" s="19"/>
      <c r="AT3181" s="19"/>
      <c r="AU3181" s="19"/>
    </row>
    <row r="3182" spans="3:47">
      <c r="C3182" s="20"/>
      <c r="Z3182" s="20"/>
      <c r="AG3182" s="20"/>
      <c r="AQ3182" s="19"/>
      <c r="AR3182" s="19"/>
      <c r="AS3182" s="19"/>
      <c r="AT3182" s="19"/>
      <c r="AU3182" s="19"/>
    </row>
    <row r="3183" spans="3:47">
      <c r="C3183" s="20"/>
      <c r="Z3183" s="20"/>
      <c r="AG3183" s="20"/>
      <c r="AQ3183" s="19"/>
      <c r="AR3183" s="19"/>
      <c r="AS3183" s="19"/>
      <c r="AT3183" s="19"/>
      <c r="AU3183" s="19"/>
    </row>
    <row r="3184" spans="3:47">
      <c r="C3184" s="20"/>
      <c r="Z3184" s="20"/>
      <c r="AG3184" s="20"/>
      <c r="AQ3184" s="19"/>
      <c r="AR3184" s="19"/>
      <c r="AS3184" s="19"/>
      <c r="AT3184" s="19"/>
      <c r="AU3184" s="19"/>
    </row>
    <row r="3185" spans="3:47">
      <c r="C3185" s="20"/>
      <c r="Z3185" s="20"/>
      <c r="AG3185" s="20"/>
      <c r="AQ3185" s="19"/>
      <c r="AR3185" s="19"/>
      <c r="AS3185" s="19"/>
      <c r="AT3185" s="19"/>
      <c r="AU3185" s="19"/>
    </row>
    <row r="3186" spans="3:47">
      <c r="C3186" s="20"/>
      <c r="Z3186" s="20"/>
      <c r="AG3186" s="20"/>
      <c r="AQ3186" s="19"/>
      <c r="AR3186" s="19"/>
      <c r="AS3186" s="19"/>
      <c r="AT3186" s="19"/>
      <c r="AU3186" s="19"/>
    </row>
    <row r="3187" spans="3:47">
      <c r="C3187" s="20"/>
      <c r="Z3187" s="20"/>
      <c r="AG3187" s="20"/>
      <c r="AQ3187" s="19"/>
      <c r="AR3187" s="19"/>
      <c r="AS3187" s="19"/>
      <c r="AT3187" s="19"/>
      <c r="AU3187" s="19"/>
    </row>
    <row r="3188" spans="3:47">
      <c r="C3188" s="20"/>
      <c r="Z3188" s="20"/>
      <c r="AG3188" s="20"/>
      <c r="AQ3188" s="19"/>
      <c r="AR3188" s="19"/>
      <c r="AS3188" s="19"/>
      <c r="AT3188" s="19"/>
      <c r="AU3188" s="19"/>
    </row>
    <row r="3189" spans="3:47">
      <c r="C3189" s="20"/>
      <c r="Z3189" s="20"/>
      <c r="AG3189" s="20"/>
      <c r="AQ3189" s="19"/>
      <c r="AR3189" s="19"/>
      <c r="AS3189" s="19"/>
      <c r="AT3189" s="19"/>
      <c r="AU3189" s="19"/>
    </row>
    <row r="3190" spans="3:47">
      <c r="C3190" s="20"/>
      <c r="Z3190" s="20"/>
      <c r="AG3190" s="20"/>
      <c r="AQ3190" s="19"/>
      <c r="AR3190" s="19"/>
      <c r="AS3190" s="19"/>
      <c r="AT3190" s="19"/>
      <c r="AU3190" s="19"/>
    </row>
    <row r="3191" spans="3:47">
      <c r="C3191" s="20"/>
      <c r="Z3191" s="20"/>
      <c r="AG3191" s="20"/>
      <c r="AQ3191" s="19"/>
      <c r="AR3191" s="19"/>
      <c r="AS3191" s="19"/>
      <c r="AT3191" s="19"/>
      <c r="AU3191" s="19"/>
    </row>
    <row r="3192" spans="3:47">
      <c r="C3192" s="20"/>
      <c r="Z3192" s="20"/>
      <c r="AG3192" s="20"/>
      <c r="AQ3192" s="19"/>
      <c r="AR3192" s="19"/>
      <c r="AS3192" s="19"/>
      <c r="AT3192" s="19"/>
      <c r="AU3192" s="19"/>
    </row>
    <row r="3193" spans="3:47">
      <c r="C3193" s="20"/>
      <c r="Z3193" s="20"/>
      <c r="AG3193" s="20"/>
      <c r="AQ3193" s="19"/>
      <c r="AR3193" s="19"/>
      <c r="AS3193" s="19"/>
      <c r="AT3193" s="19"/>
      <c r="AU3193" s="19"/>
    </row>
    <row r="3194" spans="3:47">
      <c r="C3194" s="20"/>
      <c r="Z3194" s="20"/>
      <c r="AG3194" s="20"/>
      <c r="AQ3194" s="19"/>
      <c r="AR3194" s="19"/>
      <c r="AS3194" s="19"/>
      <c r="AT3194" s="19"/>
      <c r="AU3194" s="19"/>
    </row>
    <row r="3195" spans="3:47">
      <c r="C3195" s="20"/>
      <c r="Z3195" s="20"/>
      <c r="AG3195" s="20"/>
      <c r="AQ3195" s="19"/>
      <c r="AR3195" s="19"/>
      <c r="AS3195" s="19"/>
      <c r="AT3195" s="19"/>
      <c r="AU3195" s="19"/>
    </row>
    <row r="3196" spans="3:47">
      <c r="C3196" s="20"/>
      <c r="Z3196" s="20"/>
      <c r="AG3196" s="20"/>
      <c r="AQ3196" s="19"/>
      <c r="AR3196" s="19"/>
      <c r="AS3196" s="19"/>
      <c r="AT3196" s="19"/>
      <c r="AU3196" s="19"/>
    </row>
    <row r="3197" spans="3:47">
      <c r="C3197" s="20"/>
      <c r="Z3197" s="20"/>
      <c r="AG3197" s="20"/>
      <c r="AQ3197" s="19"/>
      <c r="AR3197" s="19"/>
      <c r="AS3197" s="19"/>
      <c r="AT3197" s="19"/>
      <c r="AU3197" s="19"/>
    </row>
    <row r="3198" spans="3:47">
      <c r="C3198" s="20"/>
      <c r="Z3198" s="20"/>
      <c r="AG3198" s="20"/>
      <c r="AQ3198" s="19"/>
      <c r="AR3198" s="19"/>
      <c r="AS3198" s="19"/>
      <c r="AT3198" s="19"/>
      <c r="AU3198" s="19"/>
    </row>
    <row r="3199" spans="3:47">
      <c r="C3199" s="20"/>
      <c r="Z3199" s="20"/>
      <c r="AG3199" s="20"/>
      <c r="AQ3199" s="19"/>
      <c r="AR3199" s="19"/>
      <c r="AS3199" s="19"/>
      <c r="AT3199" s="19"/>
      <c r="AU3199" s="19"/>
    </row>
    <row r="3200" spans="3:47">
      <c r="C3200" s="20"/>
      <c r="Z3200" s="20"/>
      <c r="AG3200" s="20"/>
      <c r="AQ3200" s="19"/>
      <c r="AR3200" s="19"/>
      <c r="AS3200" s="19"/>
      <c r="AT3200" s="19"/>
      <c r="AU3200" s="19"/>
    </row>
    <row r="3201" spans="3:47">
      <c r="C3201" s="20"/>
      <c r="Z3201" s="20"/>
      <c r="AG3201" s="20"/>
      <c r="AQ3201" s="19"/>
      <c r="AR3201" s="19"/>
      <c r="AS3201" s="19"/>
      <c r="AT3201" s="19"/>
      <c r="AU3201" s="19"/>
    </row>
    <row r="3202" spans="3:47">
      <c r="C3202" s="20"/>
      <c r="Z3202" s="20"/>
      <c r="AG3202" s="20"/>
      <c r="AQ3202" s="19"/>
      <c r="AR3202" s="19"/>
      <c r="AS3202" s="19"/>
      <c r="AT3202" s="19"/>
      <c r="AU3202" s="19"/>
    </row>
    <row r="3203" spans="3:47">
      <c r="C3203" s="20"/>
      <c r="Z3203" s="20"/>
      <c r="AG3203" s="20"/>
      <c r="AQ3203" s="19"/>
      <c r="AR3203" s="19"/>
      <c r="AS3203" s="19"/>
      <c r="AT3203" s="19"/>
      <c r="AU3203" s="19"/>
    </row>
    <row r="3204" spans="3:47">
      <c r="C3204" s="20"/>
      <c r="Z3204" s="20"/>
      <c r="AG3204" s="20"/>
      <c r="AQ3204" s="19"/>
      <c r="AR3204" s="19"/>
      <c r="AS3204" s="19"/>
      <c r="AT3204" s="19"/>
      <c r="AU3204" s="19"/>
    </row>
    <row r="3205" spans="3:47">
      <c r="C3205" s="20"/>
      <c r="Z3205" s="20"/>
      <c r="AG3205" s="20"/>
      <c r="AQ3205" s="19"/>
      <c r="AR3205" s="19"/>
      <c r="AS3205" s="19"/>
      <c r="AT3205" s="19"/>
      <c r="AU3205" s="19"/>
    </row>
    <row r="3206" spans="3:47">
      <c r="C3206" s="20"/>
      <c r="Z3206" s="20"/>
      <c r="AG3206" s="20"/>
      <c r="AQ3206" s="19"/>
      <c r="AR3206" s="19"/>
      <c r="AS3206" s="19"/>
      <c r="AT3206" s="19"/>
      <c r="AU3206" s="19"/>
    </row>
    <row r="3207" spans="3:47">
      <c r="C3207" s="20"/>
      <c r="Z3207" s="20"/>
      <c r="AG3207" s="20"/>
      <c r="AQ3207" s="19"/>
      <c r="AR3207" s="19"/>
      <c r="AS3207" s="19"/>
      <c r="AT3207" s="19"/>
      <c r="AU3207" s="19"/>
    </row>
    <row r="3208" spans="3:47">
      <c r="C3208" s="20"/>
      <c r="Z3208" s="20"/>
      <c r="AG3208" s="20"/>
      <c r="AQ3208" s="19"/>
      <c r="AR3208" s="19"/>
      <c r="AS3208" s="19"/>
      <c r="AT3208" s="19"/>
      <c r="AU3208" s="19"/>
    </row>
    <row r="3209" spans="3:47">
      <c r="C3209" s="20"/>
      <c r="Z3209" s="20"/>
      <c r="AG3209" s="20"/>
      <c r="AQ3209" s="19"/>
      <c r="AR3209" s="19"/>
      <c r="AS3209" s="19"/>
      <c r="AT3209" s="19"/>
      <c r="AU3209" s="19"/>
    </row>
    <row r="3210" spans="3:47">
      <c r="C3210" s="20"/>
      <c r="Z3210" s="20"/>
      <c r="AG3210" s="20"/>
      <c r="AQ3210" s="19"/>
      <c r="AR3210" s="19"/>
      <c r="AS3210" s="19"/>
      <c r="AT3210" s="19"/>
      <c r="AU3210" s="19"/>
    </row>
    <row r="3211" spans="3:47">
      <c r="C3211" s="20"/>
      <c r="Z3211" s="20"/>
      <c r="AG3211" s="20"/>
      <c r="AQ3211" s="19"/>
      <c r="AR3211" s="19"/>
      <c r="AS3211" s="19"/>
      <c r="AT3211" s="19"/>
      <c r="AU3211" s="19"/>
    </row>
    <row r="3212" spans="3:47">
      <c r="C3212" s="20"/>
      <c r="Z3212" s="20"/>
      <c r="AG3212" s="20"/>
      <c r="AQ3212" s="19"/>
      <c r="AR3212" s="19"/>
      <c r="AS3212" s="19"/>
      <c r="AT3212" s="19"/>
      <c r="AU3212" s="19"/>
    </row>
    <row r="3213" spans="3:47">
      <c r="C3213" s="20"/>
      <c r="Z3213" s="20"/>
      <c r="AG3213" s="20"/>
      <c r="AQ3213" s="19"/>
      <c r="AR3213" s="19"/>
      <c r="AS3213" s="19"/>
      <c r="AT3213" s="19"/>
      <c r="AU3213" s="19"/>
    </row>
    <row r="3214" spans="3:47">
      <c r="C3214" s="20"/>
      <c r="Z3214" s="20"/>
      <c r="AG3214" s="20"/>
      <c r="AQ3214" s="19"/>
      <c r="AR3214" s="19"/>
      <c r="AS3214" s="19"/>
      <c r="AT3214" s="19"/>
      <c r="AU3214" s="19"/>
    </row>
    <row r="3215" spans="3:47">
      <c r="C3215" s="20"/>
      <c r="Z3215" s="20"/>
      <c r="AG3215" s="20"/>
      <c r="AQ3215" s="19"/>
      <c r="AR3215" s="19"/>
      <c r="AS3215" s="19"/>
      <c r="AT3215" s="19"/>
      <c r="AU3215" s="19"/>
    </row>
    <row r="3216" spans="3:47">
      <c r="C3216" s="20"/>
      <c r="Z3216" s="20"/>
      <c r="AG3216" s="20"/>
      <c r="AQ3216" s="19"/>
      <c r="AR3216" s="19"/>
      <c r="AS3216" s="19"/>
      <c r="AT3216" s="19"/>
      <c r="AU3216" s="19"/>
    </row>
    <row r="3217" spans="3:47">
      <c r="C3217" s="20"/>
      <c r="Z3217" s="20"/>
      <c r="AG3217" s="20"/>
      <c r="AQ3217" s="19"/>
      <c r="AR3217" s="19"/>
      <c r="AS3217" s="19"/>
      <c r="AT3217" s="19"/>
      <c r="AU3217" s="19"/>
    </row>
    <row r="3218" spans="3:47">
      <c r="C3218" s="20"/>
      <c r="Z3218" s="20"/>
      <c r="AG3218" s="20"/>
      <c r="AQ3218" s="19"/>
      <c r="AR3218" s="19"/>
      <c r="AS3218" s="19"/>
      <c r="AT3218" s="19"/>
      <c r="AU3218" s="19"/>
    </row>
    <row r="3219" spans="3:47">
      <c r="C3219" s="20"/>
      <c r="Z3219" s="20"/>
      <c r="AG3219" s="20"/>
      <c r="AQ3219" s="19"/>
      <c r="AR3219" s="19"/>
      <c r="AS3219" s="19"/>
      <c r="AT3219" s="19"/>
      <c r="AU3219" s="19"/>
    </row>
    <row r="3220" spans="3:47">
      <c r="C3220" s="20"/>
      <c r="Z3220" s="20"/>
      <c r="AG3220" s="20"/>
      <c r="AQ3220" s="19"/>
      <c r="AR3220" s="19"/>
      <c r="AS3220" s="19"/>
      <c r="AT3220" s="19"/>
      <c r="AU3220" s="19"/>
    </row>
    <row r="3221" spans="3:47">
      <c r="C3221" s="20"/>
      <c r="Z3221" s="20"/>
      <c r="AG3221" s="20"/>
      <c r="AQ3221" s="19"/>
      <c r="AR3221" s="19"/>
      <c r="AS3221" s="19"/>
      <c r="AT3221" s="19"/>
      <c r="AU3221" s="19"/>
    </row>
    <row r="3222" spans="3:47">
      <c r="C3222" s="20"/>
      <c r="Z3222" s="20"/>
      <c r="AG3222" s="20"/>
      <c r="AQ3222" s="19"/>
      <c r="AR3222" s="19"/>
      <c r="AS3222" s="19"/>
      <c r="AT3222" s="19"/>
      <c r="AU3222" s="19"/>
    </row>
    <row r="3223" spans="3:47">
      <c r="C3223" s="20"/>
      <c r="Z3223" s="20"/>
      <c r="AG3223" s="20"/>
      <c r="AQ3223" s="19"/>
      <c r="AR3223" s="19"/>
      <c r="AS3223" s="19"/>
      <c r="AT3223" s="19"/>
      <c r="AU3223" s="19"/>
    </row>
    <row r="3224" spans="3:47">
      <c r="C3224" s="20"/>
      <c r="Z3224" s="20"/>
      <c r="AG3224" s="20"/>
      <c r="AQ3224" s="19"/>
      <c r="AR3224" s="19"/>
      <c r="AS3224" s="19"/>
      <c r="AT3224" s="19"/>
      <c r="AU3224" s="19"/>
    </row>
    <row r="3225" spans="3:47">
      <c r="C3225" s="20"/>
      <c r="Z3225" s="20"/>
      <c r="AG3225" s="20"/>
      <c r="AQ3225" s="19"/>
      <c r="AR3225" s="19"/>
      <c r="AS3225" s="19"/>
      <c r="AT3225" s="19"/>
      <c r="AU3225" s="19"/>
    </row>
    <row r="3226" spans="3:47">
      <c r="C3226" s="20"/>
      <c r="Z3226" s="20"/>
      <c r="AG3226" s="20"/>
      <c r="AQ3226" s="19"/>
      <c r="AR3226" s="19"/>
      <c r="AS3226" s="19"/>
      <c r="AT3226" s="19"/>
      <c r="AU3226" s="19"/>
    </row>
    <row r="3227" spans="3:47">
      <c r="C3227" s="20"/>
      <c r="Z3227" s="20"/>
      <c r="AG3227" s="20"/>
      <c r="AQ3227" s="19"/>
      <c r="AR3227" s="19"/>
      <c r="AS3227" s="19"/>
      <c r="AT3227" s="19"/>
      <c r="AU3227" s="19"/>
    </row>
    <row r="3228" spans="3:47">
      <c r="C3228" s="20"/>
      <c r="Z3228" s="20"/>
      <c r="AG3228" s="20"/>
      <c r="AQ3228" s="19"/>
      <c r="AR3228" s="19"/>
      <c r="AS3228" s="19"/>
      <c r="AT3228" s="19"/>
      <c r="AU3228" s="19"/>
    </row>
    <row r="3229" spans="3:47">
      <c r="C3229" s="20"/>
      <c r="Z3229" s="20"/>
      <c r="AG3229" s="20"/>
      <c r="AQ3229" s="19"/>
      <c r="AR3229" s="19"/>
      <c r="AS3229" s="19"/>
      <c r="AT3229" s="19"/>
      <c r="AU3229" s="19"/>
    </row>
    <row r="3230" spans="3:47">
      <c r="C3230" s="20"/>
      <c r="Z3230" s="20"/>
      <c r="AG3230" s="20"/>
      <c r="AQ3230" s="19"/>
      <c r="AR3230" s="19"/>
      <c r="AS3230" s="19"/>
      <c r="AT3230" s="19"/>
      <c r="AU3230" s="19"/>
    </row>
    <row r="3231" spans="3:47">
      <c r="C3231" s="20"/>
      <c r="Z3231" s="20"/>
      <c r="AG3231" s="20"/>
      <c r="AQ3231" s="19"/>
      <c r="AR3231" s="19"/>
      <c r="AS3231" s="19"/>
      <c r="AT3231" s="19"/>
      <c r="AU3231" s="19"/>
    </row>
    <row r="3232" spans="3:47">
      <c r="C3232" s="20"/>
      <c r="Z3232" s="20"/>
      <c r="AG3232" s="20"/>
      <c r="AQ3232" s="19"/>
      <c r="AR3232" s="19"/>
      <c r="AS3232" s="19"/>
      <c r="AT3232" s="19"/>
      <c r="AU3232" s="19"/>
    </row>
    <row r="3233" spans="3:47">
      <c r="C3233" s="20"/>
      <c r="Z3233" s="20"/>
      <c r="AG3233" s="20"/>
      <c r="AQ3233" s="19"/>
      <c r="AR3233" s="19"/>
      <c r="AS3233" s="19"/>
      <c r="AT3233" s="19"/>
      <c r="AU3233" s="19"/>
    </row>
    <row r="3234" spans="3:47">
      <c r="C3234" s="20"/>
      <c r="Z3234" s="20"/>
      <c r="AG3234" s="20"/>
      <c r="AQ3234" s="19"/>
      <c r="AR3234" s="19"/>
      <c r="AS3234" s="19"/>
      <c r="AT3234" s="19"/>
      <c r="AU3234" s="19"/>
    </row>
    <row r="3235" spans="3:47">
      <c r="C3235" s="20"/>
      <c r="Z3235" s="35"/>
      <c r="AG3235" s="20"/>
      <c r="AQ3235" s="19"/>
      <c r="AR3235" s="19"/>
      <c r="AS3235" s="19"/>
      <c r="AT3235" s="19"/>
      <c r="AU3235" s="19"/>
    </row>
    <row r="3236" spans="3:47">
      <c r="C3236" s="20"/>
      <c r="Z3236" s="20"/>
      <c r="AG3236" s="20"/>
      <c r="AQ3236" s="19"/>
      <c r="AR3236" s="19"/>
      <c r="AS3236" s="19"/>
      <c r="AT3236" s="19"/>
      <c r="AU3236" s="19"/>
    </row>
    <row r="3237" spans="3:47">
      <c r="C3237" s="20"/>
      <c r="Z3237" s="20"/>
      <c r="AG3237" s="20"/>
      <c r="AQ3237" s="19"/>
      <c r="AR3237" s="19"/>
      <c r="AS3237" s="19"/>
      <c r="AT3237" s="19"/>
      <c r="AU3237" s="19"/>
    </row>
    <row r="3238" spans="3:47">
      <c r="C3238" s="20"/>
      <c r="Z3238" s="20"/>
      <c r="AG3238" s="20"/>
      <c r="AQ3238" s="19"/>
      <c r="AR3238" s="19"/>
      <c r="AS3238" s="19"/>
      <c r="AT3238" s="19"/>
      <c r="AU3238" s="19"/>
    </row>
    <row r="3239" spans="3:47">
      <c r="C3239" s="20"/>
      <c r="Z3239" s="20"/>
      <c r="AG3239" s="20"/>
      <c r="AQ3239" s="19"/>
      <c r="AR3239" s="19"/>
      <c r="AS3239" s="19"/>
      <c r="AT3239" s="19"/>
      <c r="AU3239" s="19"/>
    </row>
    <row r="3240" spans="3:47">
      <c r="C3240" s="20"/>
      <c r="Z3240" s="20"/>
      <c r="AG3240" s="20"/>
      <c r="AQ3240" s="19"/>
      <c r="AR3240" s="19"/>
      <c r="AS3240" s="19"/>
      <c r="AT3240" s="19"/>
      <c r="AU3240" s="19"/>
    </row>
    <row r="3241" spans="3:47">
      <c r="C3241" s="20"/>
      <c r="Z3241" s="20"/>
      <c r="AG3241" s="20"/>
      <c r="AQ3241" s="19"/>
      <c r="AR3241" s="19"/>
      <c r="AS3241" s="19"/>
      <c r="AT3241" s="19"/>
      <c r="AU3241" s="19"/>
    </row>
    <row r="3242" spans="3:47">
      <c r="C3242" s="20"/>
      <c r="Z3242" s="20"/>
      <c r="AG3242" s="20"/>
      <c r="AQ3242" s="19"/>
      <c r="AR3242" s="19"/>
      <c r="AS3242" s="19"/>
      <c r="AT3242" s="19"/>
      <c r="AU3242" s="19"/>
    </row>
    <row r="3243" spans="3:47">
      <c r="C3243" s="20"/>
      <c r="Z3243" s="20"/>
      <c r="AG3243" s="20"/>
      <c r="AQ3243" s="19"/>
      <c r="AR3243" s="19"/>
      <c r="AS3243" s="19"/>
      <c r="AT3243" s="19"/>
      <c r="AU3243" s="19"/>
    </row>
    <row r="3244" spans="3:47">
      <c r="C3244" s="20"/>
      <c r="Z3244" s="20"/>
      <c r="AG3244" s="20"/>
      <c r="AQ3244" s="19"/>
      <c r="AR3244" s="19"/>
      <c r="AS3244" s="19"/>
      <c r="AT3244" s="19"/>
      <c r="AU3244" s="19"/>
    </row>
    <row r="3245" spans="3:47">
      <c r="C3245" s="20"/>
      <c r="Z3245" s="20"/>
      <c r="AG3245" s="20"/>
      <c r="AQ3245" s="19"/>
      <c r="AR3245" s="19"/>
      <c r="AS3245" s="19"/>
      <c r="AT3245" s="19"/>
      <c r="AU3245" s="19"/>
    </row>
    <row r="3246" spans="3:47">
      <c r="C3246" s="20"/>
      <c r="Z3246" s="20"/>
      <c r="AG3246" s="20"/>
      <c r="AQ3246" s="19"/>
      <c r="AR3246" s="19"/>
      <c r="AS3246" s="19"/>
      <c r="AT3246" s="19"/>
      <c r="AU3246" s="19"/>
    </row>
    <row r="3247" spans="3:47">
      <c r="C3247" s="20"/>
      <c r="Z3247" s="20"/>
      <c r="AG3247" s="20"/>
      <c r="AQ3247" s="19"/>
      <c r="AR3247" s="19"/>
      <c r="AS3247" s="19"/>
      <c r="AT3247" s="19"/>
      <c r="AU3247" s="19"/>
    </row>
    <row r="3248" spans="3:47">
      <c r="C3248" s="20"/>
      <c r="Z3248" s="20"/>
      <c r="AG3248" s="20"/>
      <c r="AQ3248" s="19"/>
      <c r="AR3248" s="19"/>
      <c r="AS3248" s="19"/>
      <c r="AT3248" s="19"/>
      <c r="AU3248" s="19"/>
    </row>
    <row r="3249" spans="3:47">
      <c r="C3249" s="20"/>
      <c r="Z3249" s="20"/>
      <c r="AG3249" s="20"/>
      <c r="AQ3249" s="19"/>
      <c r="AR3249" s="19"/>
      <c r="AS3249" s="19"/>
      <c r="AT3249" s="19"/>
      <c r="AU3249" s="19"/>
    </row>
    <row r="3250" spans="3:47">
      <c r="C3250" s="20"/>
      <c r="Z3250" s="20"/>
      <c r="AG3250" s="20"/>
      <c r="AQ3250" s="19"/>
      <c r="AR3250" s="19"/>
      <c r="AS3250" s="19"/>
      <c r="AT3250" s="19"/>
      <c r="AU3250" s="19"/>
    </row>
    <row r="3251" spans="3:47">
      <c r="C3251" s="20"/>
      <c r="Z3251" s="20"/>
      <c r="AG3251" s="20"/>
      <c r="AQ3251" s="19"/>
      <c r="AR3251" s="19"/>
      <c r="AS3251" s="19"/>
      <c r="AT3251" s="19"/>
      <c r="AU3251" s="19"/>
    </row>
    <row r="3252" spans="3:47">
      <c r="C3252" s="20"/>
      <c r="Z3252" s="20"/>
      <c r="AG3252" s="20"/>
      <c r="AQ3252" s="19"/>
      <c r="AR3252" s="19"/>
      <c r="AS3252" s="19"/>
      <c r="AT3252" s="19"/>
      <c r="AU3252" s="19"/>
    </row>
    <row r="3253" spans="3:47">
      <c r="C3253" s="20"/>
      <c r="Z3253" s="20"/>
      <c r="AG3253" s="20"/>
      <c r="AQ3253" s="19"/>
      <c r="AR3253" s="19"/>
      <c r="AS3253" s="19"/>
      <c r="AT3253" s="19"/>
      <c r="AU3253" s="19"/>
    </row>
    <row r="3254" spans="3:47">
      <c r="C3254" s="20"/>
      <c r="Z3254" s="20"/>
      <c r="AG3254" s="20"/>
      <c r="AQ3254" s="19"/>
      <c r="AR3254" s="19"/>
      <c r="AS3254" s="19"/>
      <c r="AT3254" s="19"/>
      <c r="AU3254" s="19"/>
    </row>
    <row r="3255" spans="3:47">
      <c r="C3255" s="20"/>
      <c r="Z3255" s="20"/>
      <c r="AG3255" s="20"/>
      <c r="AQ3255" s="19"/>
      <c r="AR3255" s="19"/>
      <c r="AS3255" s="19"/>
      <c r="AT3255" s="19"/>
      <c r="AU3255" s="19"/>
    </row>
    <row r="3256" spans="3:47">
      <c r="C3256" s="20"/>
      <c r="Z3256" s="20"/>
      <c r="AG3256" s="20"/>
      <c r="AQ3256" s="19"/>
      <c r="AR3256" s="19"/>
      <c r="AS3256" s="19"/>
      <c r="AT3256" s="19"/>
      <c r="AU3256" s="19"/>
    </row>
    <row r="3257" spans="3:47">
      <c r="C3257" s="20"/>
      <c r="Z3257" s="20"/>
      <c r="AG3257" s="20"/>
      <c r="AQ3257" s="19"/>
      <c r="AR3257" s="19"/>
      <c r="AS3257" s="19"/>
      <c r="AT3257" s="19"/>
      <c r="AU3257" s="19"/>
    </row>
    <row r="3258" spans="3:47">
      <c r="C3258" s="20"/>
      <c r="Z3258" s="20"/>
      <c r="AG3258" s="20"/>
      <c r="AQ3258" s="19"/>
      <c r="AR3258" s="19"/>
      <c r="AS3258" s="19"/>
      <c r="AT3258" s="19"/>
      <c r="AU3258" s="19"/>
    </row>
    <row r="3259" spans="3:47">
      <c r="C3259" s="20"/>
      <c r="Z3259" s="20"/>
      <c r="AG3259" s="20"/>
      <c r="AQ3259" s="19"/>
      <c r="AR3259" s="19"/>
      <c r="AS3259" s="19"/>
      <c r="AT3259" s="19"/>
      <c r="AU3259" s="19"/>
    </row>
    <row r="3260" spans="3:47">
      <c r="C3260" s="20"/>
      <c r="Z3260" s="20"/>
      <c r="AG3260" s="20"/>
      <c r="AQ3260" s="19"/>
      <c r="AR3260" s="19"/>
      <c r="AS3260" s="19"/>
      <c r="AT3260" s="19"/>
      <c r="AU3260" s="19"/>
    </row>
    <row r="3261" spans="3:47">
      <c r="C3261" s="20"/>
      <c r="Z3261" s="20"/>
      <c r="AG3261" s="20"/>
      <c r="AQ3261" s="19"/>
      <c r="AR3261" s="19"/>
      <c r="AS3261" s="19"/>
      <c r="AT3261" s="19"/>
      <c r="AU3261" s="19"/>
    </row>
    <row r="3262" spans="3:47">
      <c r="C3262" s="20"/>
      <c r="Z3262" s="20"/>
      <c r="AG3262" s="20"/>
      <c r="AQ3262" s="19"/>
      <c r="AR3262" s="19"/>
      <c r="AS3262" s="19"/>
      <c r="AT3262" s="19"/>
      <c r="AU3262" s="19"/>
    </row>
    <row r="3263" spans="3:47">
      <c r="C3263" s="20"/>
      <c r="Z3263" s="20"/>
      <c r="AG3263" s="20"/>
      <c r="AQ3263" s="19"/>
      <c r="AR3263" s="19"/>
      <c r="AS3263" s="19"/>
      <c r="AT3263" s="19"/>
      <c r="AU3263" s="19"/>
    </row>
    <row r="3264" spans="3:47">
      <c r="C3264" s="20"/>
      <c r="Z3264" s="20"/>
      <c r="AG3264" s="20"/>
      <c r="AQ3264" s="19"/>
      <c r="AR3264" s="19"/>
      <c r="AS3264" s="19"/>
      <c r="AT3264" s="19"/>
      <c r="AU3264" s="19"/>
    </row>
    <row r="3265" spans="3:47">
      <c r="C3265" s="20"/>
      <c r="Z3265" s="20"/>
      <c r="AG3265" s="20"/>
      <c r="AQ3265" s="19"/>
      <c r="AR3265" s="19"/>
      <c r="AS3265" s="19"/>
      <c r="AT3265" s="19"/>
      <c r="AU3265" s="19"/>
    </row>
    <row r="3266" spans="3:47">
      <c r="C3266" s="20"/>
      <c r="Z3266" s="20"/>
      <c r="AG3266" s="20"/>
      <c r="AQ3266" s="19"/>
      <c r="AR3266" s="19"/>
      <c r="AS3266" s="19"/>
      <c r="AT3266" s="19"/>
      <c r="AU3266" s="19"/>
    </row>
    <row r="3267" spans="3:47">
      <c r="C3267" s="20"/>
      <c r="Z3267" s="20"/>
      <c r="AG3267" s="20"/>
      <c r="AQ3267" s="19"/>
      <c r="AR3267" s="19"/>
      <c r="AS3267" s="19"/>
      <c r="AT3267" s="19"/>
      <c r="AU3267" s="19"/>
    </row>
    <row r="3268" spans="3:47">
      <c r="C3268" s="20"/>
      <c r="Z3268" s="20"/>
      <c r="AG3268" s="20"/>
      <c r="AQ3268" s="19"/>
      <c r="AR3268" s="19"/>
      <c r="AS3268" s="19"/>
      <c r="AT3268" s="19"/>
      <c r="AU3268" s="19"/>
    </row>
    <row r="3269" spans="3:47">
      <c r="C3269" s="20"/>
      <c r="Z3269" s="20"/>
      <c r="AG3269" s="20"/>
      <c r="AQ3269" s="19"/>
      <c r="AR3269" s="19"/>
      <c r="AS3269" s="19"/>
      <c r="AT3269" s="19"/>
      <c r="AU3269" s="19"/>
    </row>
    <row r="3270" spans="3:47">
      <c r="C3270" s="20"/>
      <c r="Z3270" s="20"/>
      <c r="AG3270" s="20"/>
      <c r="AQ3270" s="19"/>
      <c r="AR3270" s="19"/>
      <c r="AS3270" s="19"/>
      <c r="AT3270" s="19"/>
      <c r="AU3270" s="19"/>
    </row>
    <row r="3271" spans="3:47">
      <c r="C3271" s="20"/>
      <c r="Z3271" s="20"/>
      <c r="AG3271" s="20"/>
      <c r="AQ3271" s="19"/>
      <c r="AR3271" s="19"/>
      <c r="AS3271" s="19"/>
      <c r="AT3271" s="19"/>
      <c r="AU3271" s="19"/>
    </row>
    <row r="3272" spans="3:47">
      <c r="C3272" s="20"/>
      <c r="Z3272" s="20"/>
      <c r="AG3272" s="20"/>
      <c r="AQ3272" s="19"/>
      <c r="AR3272" s="19"/>
      <c r="AS3272" s="19"/>
      <c r="AT3272" s="19"/>
      <c r="AU3272" s="19"/>
    </row>
    <row r="3273" spans="3:47">
      <c r="C3273" s="20"/>
      <c r="Z3273" s="20"/>
      <c r="AG3273" s="20"/>
      <c r="AQ3273" s="19"/>
      <c r="AR3273" s="19"/>
      <c r="AS3273" s="19"/>
      <c r="AT3273" s="19"/>
      <c r="AU3273" s="19"/>
    </row>
    <row r="3274" spans="3:47">
      <c r="C3274" s="20"/>
      <c r="Z3274" s="20"/>
      <c r="AG3274" s="20"/>
      <c r="AQ3274" s="19"/>
      <c r="AR3274" s="19"/>
      <c r="AS3274" s="19"/>
      <c r="AT3274" s="19"/>
      <c r="AU3274" s="19"/>
    </row>
    <row r="3275" spans="3:47">
      <c r="C3275" s="20"/>
      <c r="Z3275" s="20"/>
      <c r="AG3275" s="20"/>
      <c r="AQ3275" s="19"/>
      <c r="AR3275" s="19"/>
      <c r="AS3275" s="19"/>
      <c r="AT3275" s="19"/>
      <c r="AU3275" s="19"/>
    </row>
    <row r="3276" spans="3:47">
      <c r="C3276" s="20"/>
      <c r="Z3276" s="20"/>
      <c r="AG3276" s="20"/>
      <c r="AQ3276" s="19"/>
      <c r="AR3276" s="19"/>
      <c r="AS3276" s="19"/>
      <c r="AT3276" s="19"/>
      <c r="AU3276" s="19"/>
    </row>
    <row r="3277" spans="3:47">
      <c r="C3277" s="20"/>
      <c r="Z3277" s="20"/>
      <c r="AG3277" s="20"/>
      <c r="AQ3277" s="19"/>
      <c r="AR3277" s="19"/>
      <c r="AS3277" s="19"/>
      <c r="AT3277" s="19"/>
      <c r="AU3277" s="19"/>
    </row>
    <row r="3278" spans="3:47">
      <c r="C3278" s="20"/>
      <c r="Z3278" s="20"/>
      <c r="AG3278" s="20"/>
      <c r="AQ3278" s="19"/>
      <c r="AR3278" s="19"/>
      <c r="AS3278" s="19"/>
      <c r="AT3278" s="19"/>
      <c r="AU3278" s="19"/>
    </row>
    <row r="3279" spans="3:47">
      <c r="C3279" s="20"/>
      <c r="Z3279" s="20"/>
      <c r="AG3279" s="20"/>
      <c r="AQ3279" s="19"/>
      <c r="AR3279" s="19"/>
      <c r="AS3279" s="19"/>
      <c r="AT3279" s="19"/>
      <c r="AU3279" s="19"/>
    </row>
    <row r="3280" spans="3:47">
      <c r="C3280" s="20"/>
      <c r="Z3280" s="20"/>
      <c r="AG3280" s="20"/>
      <c r="AQ3280" s="19"/>
      <c r="AR3280" s="19"/>
      <c r="AS3280" s="19"/>
      <c r="AT3280" s="19"/>
      <c r="AU3280" s="19"/>
    </row>
    <row r="3281" spans="3:47">
      <c r="C3281" s="20"/>
      <c r="Z3281" s="20"/>
      <c r="AG3281" s="20"/>
      <c r="AQ3281" s="19"/>
      <c r="AR3281" s="19"/>
      <c r="AS3281" s="19"/>
      <c r="AT3281" s="19"/>
      <c r="AU3281" s="19"/>
    </row>
    <row r="3282" spans="3:47">
      <c r="C3282" s="20"/>
      <c r="Z3282" s="20"/>
      <c r="AG3282" s="20"/>
      <c r="AQ3282" s="19"/>
      <c r="AR3282" s="19"/>
      <c r="AS3282" s="19"/>
      <c r="AT3282" s="19"/>
      <c r="AU3282" s="19"/>
    </row>
    <row r="3283" spans="3:47">
      <c r="C3283" s="20"/>
      <c r="Z3283" s="20"/>
      <c r="AG3283" s="20"/>
      <c r="AQ3283" s="19"/>
      <c r="AR3283" s="19"/>
      <c r="AS3283" s="19"/>
      <c r="AT3283" s="19"/>
      <c r="AU3283" s="19"/>
    </row>
    <row r="3284" spans="3:47">
      <c r="C3284" s="20"/>
      <c r="Z3284" s="20"/>
      <c r="AG3284" s="20"/>
      <c r="AQ3284" s="19"/>
      <c r="AR3284" s="19"/>
      <c r="AS3284" s="19"/>
      <c r="AT3284" s="19"/>
      <c r="AU3284" s="19"/>
    </row>
    <row r="3285" spans="3:47">
      <c r="C3285" s="20"/>
      <c r="Z3285" s="20"/>
      <c r="AG3285" s="20"/>
      <c r="AQ3285" s="19"/>
      <c r="AR3285" s="19"/>
      <c r="AS3285" s="19"/>
      <c r="AT3285" s="19"/>
      <c r="AU3285" s="19"/>
    </row>
    <row r="3286" spans="3:47">
      <c r="C3286" s="20"/>
      <c r="Z3286" s="20"/>
      <c r="AG3286" s="20"/>
      <c r="AQ3286" s="19"/>
      <c r="AR3286" s="19"/>
      <c r="AS3286" s="19"/>
      <c r="AT3286" s="19"/>
      <c r="AU3286" s="19"/>
    </row>
    <row r="3287" spans="3:47">
      <c r="C3287" s="20"/>
      <c r="Z3287" s="20"/>
      <c r="AG3287" s="20"/>
      <c r="AQ3287" s="19"/>
      <c r="AR3287" s="19"/>
      <c r="AS3287" s="19"/>
      <c r="AT3287" s="19"/>
      <c r="AU3287" s="19"/>
    </row>
    <row r="3288" spans="3:47">
      <c r="C3288" s="20"/>
      <c r="Z3288" s="20"/>
      <c r="AG3288" s="20"/>
      <c r="AQ3288" s="19"/>
      <c r="AR3288" s="19"/>
      <c r="AS3288" s="19"/>
      <c r="AT3288" s="19"/>
      <c r="AU3288" s="19"/>
    </row>
    <row r="3289" spans="3:47">
      <c r="C3289" s="20"/>
      <c r="Z3289" s="20"/>
      <c r="AG3289" s="20"/>
      <c r="AQ3289" s="19"/>
      <c r="AR3289" s="19"/>
      <c r="AS3289" s="19"/>
      <c r="AT3289" s="19"/>
      <c r="AU3289" s="19"/>
    </row>
    <row r="3290" spans="3:47">
      <c r="C3290" s="20"/>
      <c r="Z3290" s="20"/>
      <c r="AG3290" s="20"/>
      <c r="AQ3290" s="19"/>
      <c r="AR3290" s="19"/>
      <c r="AS3290" s="19"/>
      <c r="AT3290" s="19"/>
      <c r="AU3290" s="19"/>
    </row>
    <row r="3291" spans="3:47">
      <c r="C3291" s="20"/>
      <c r="Z3291" s="20"/>
      <c r="AG3291" s="20"/>
      <c r="AQ3291" s="19"/>
      <c r="AR3291" s="19"/>
      <c r="AS3291" s="19"/>
      <c r="AT3291" s="19"/>
      <c r="AU3291" s="19"/>
    </row>
    <row r="3292" spans="3:47">
      <c r="C3292" s="20"/>
      <c r="Z3292" s="20"/>
      <c r="AG3292" s="20"/>
      <c r="AQ3292" s="19"/>
      <c r="AR3292" s="19"/>
      <c r="AS3292" s="19"/>
      <c r="AT3292" s="19"/>
      <c r="AU3292" s="19"/>
    </row>
    <row r="3293" spans="3:47">
      <c r="C3293" s="20"/>
      <c r="Z3293" s="20"/>
      <c r="AG3293" s="20"/>
      <c r="AQ3293" s="19"/>
      <c r="AR3293" s="19"/>
      <c r="AS3293" s="19"/>
      <c r="AT3293" s="19"/>
      <c r="AU3293" s="19"/>
    </row>
    <row r="3294" spans="3:47">
      <c r="C3294" s="20"/>
      <c r="Z3294" s="20"/>
      <c r="AG3294" s="20"/>
      <c r="AQ3294" s="19"/>
      <c r="AR3294" s="19"/>
      <c r="AS3294" s="19"/>
      <c r="AT3294" s="19"/>
      <c r="AU3294" s="19"/>
    </row>
    <row r="3295" spans="3:47">
      <c r="C3295" s="20"/>
      <c r="Z3295" s="20"/>
      <c r="AG3295" s="20"/>
      <c r="AQ3295" s="19"/>
      <c r="AR3295" s="19"/>
      <c r="AS3295" s="19"/>
      <c r="AT3295" s="19"/>
      <c r="AU3295" s="19"/>
    </row>
    <row r="3296" spans="3:47">
      <c r="C3296" s="20"/>
      <c r="Z3296" s="20"/>
      <c r="AG3296" s="20"/>
      <c r="AQ3296" s="19"/>
      <c r="AR3296" s="19"/>
      <c r="AS3296" s="19"/>
      <c r="AT3296" s="19"/>
      <c r="AU3296" s="19"/>
    </row>
    <row r="3297" spans="3:47">
      <c r="C3297" s="20"/>
      <c r="Z3297" s="20"/>
      <c r="AG3297" s="20"/>
      <c r="AQ3297" s="19"/>
      <c r="AR3297" s="19"/>
      <c r="AS3297" s="19"/>
      <c r="AT3297" s="19"/>
      <c r="AU3297" s="19"/>
    </row>
    <row r="3298" spans="3:47">
      <c r="C3298" s="20"/>
      <c r="Z3298" s="20"/>
      <c r="AG3298" s="20"/>
      <c r="AQ3298" s="19"/>
      <c r="AR3298" s="19"/>
      <c r="AS3298" s="19"/>
      <c r="AT3298" s="19"/>
      <c r="AU3298" s="19"/>
    </row>
    <row r="3299" spans="3:47">
      <c r="C3299" s="20"/>
      <c r="Z3299" s="20"/>
      <c r="AG3299" s="20"/>
      <c r="AQ3299" s="19"/>
      <c r="AR3299" s="19"/>
      <c r="AS3299" s="19"/>
      <c r="AT3299" s="19"/>
      <c r="AU3299" s="19"/>
    </row>
    <row r="3300" spans="3:47">
      <c r="C3300" s="20"/>
      <c r="Z3300" s="20"/>
      <c r="AG3300" s="20"/>
      <c r="AQ3300" s="19"/>
      <c r="AR3300" s="19"/>
      <c r="AS3300" s="19"/>
      <c r="AT3300" s="19"/>
      <c r="AU3300" s="19"/>
    </row>
    <row r="3301" spans="3:47">
      <c r="C3301" s="20"/>
      <c r="Z3301" s="20"/>
      <c r="AG3301" s="20"/>
      <c r="AQ3301" s="19"/>
      <c r="AR3301" s="19"/>
      <c r="AS3301" s="19"/>
      <c r="AT3301" s="19"/>
      <c r="AU3301" s="19"/>
    </row>
    <row r="3302" spans="3:47">
      <c r="C3302" s="20"/>
      <c r="Z3302" s="20"/>
      <c r="AG3302" s="20"/>
      <c r="AQ3302" s="19"/>
      <c r="AR3302" s="19"/>
      <c r="AS3302" s="19"/>
      <c r="AT3302" s="19"/>
      <c r="AU3302" s="19"/>
    </row>
    <row r="3303" spans="3:47">
      <c r="C3303" s="20"/>
      <c r="Z3303" s="20"/>
      <c r="AG3303" s="20"/>
      <c r="AQ3303" s="19"/>
      <c r="AR3303" s="19"/>
      <c r="AS3303" s="19"/>
      <c r="AT3303" s="19"/>
      <c r="AU3303" s="19"/>
    </row>
    <row r="3304" spans="3:47">
      <c r="C3304" s="20"/>
      <c r="Z3304" s="20"/>
      <c r="AG3304" s="20"/>
      <c r="AQ3304" s="19"/>
      <c r="AR3304" s="19"/>
      <c r="AS3304" s="19"/>
      <c r="AT3304" s="19"/>
      <c r="AU3304" s="19"/>
    </row>
    <row r="3305" spans="3:47">
      <c r="C3305" s="20"/>
      <c r="Z3305" s="20"/>
      <c r="AG3305" s="20"/>
      <c r="AQ3305" s="19"/>
      <c r="AR3305" s="19"/>
      <c r="AS3305" s="19"/>
      <c r="AT3305" s="19"/>
      <c r="AU3305" s="19"/>
    </row>
    <row r="3306" spans="3:47">
      <c r="C3306" s="20"/>
      <c r="Z3306" s="20"/>
      <c r="AG3306" s="20"/>
      <c r="AQ3306" s="19"/>
      <c r="AR3306" s="19"/>
      <c r="AS3306" s="19"/>
      <c r="AT3306" s="19"/>
      <c r="AU3306" s="19"/>
    </row>
    <row r="3307" spans="3:47">
      <c r="C3307" s="20"/>
      <c r="Z3307" s="20"/>
      <c r="AG3307" s="20"/>
      <c r="AQ3307" s="19"/>
      <c r="AR3307" s="19"/>
      <c r="AS3307" s="19"/>
      <c r="AT3307" s="19"/>
      <c r="AU3307" s="19"/>
    </row>
    <row r="3308" spans="3:47">
      <c r="C3308" s="20"/>
      <c r="Z3308" s="20"/>
      <c r="AG3308" s="20"/>
      <c r="AQ3308" s="19"/>
      <c r="AR3308" s="19"/>
      <c r="AS3308" s="19"/>
      <c r="AT3308" s="19"/>
      <c r="AU3308" s="19"/>
    </row>
    <row r="3309" spans="3:47">
      <c r="C3309" s="20"/>
      <c r="Z3309" s="20"/>
      <c r="AG3309" s="20"/>
      <c r="AQ3309" s="19"/>
      <c r="AR3309" s="19"/>
      <c r="AS3309" s="19"/>
      <c r="AT3309" s="19"/>
      <c r="AU3309" s="19"/>
    </row>
    <row r="3310" spans="3:47">
      <c r="C3310" s="20"/>
      <c r="Z3310" s="20"/>
      <c r="AG3310" s="20"/>
      <c r="AQ3310" s="19"/>
      <c r="AR3310" s="19"/>
      <c r="AS3310" s="19"/>
      <c r="AT3310" s="19"/>
      <c r="AU3310" s="19"/>
    </row>
    <row r="3311" spans="3:47">
      <c r="C3311" s="20"/>
      <c r="Z3311" s="20"/>
      <c r="AG3311" s="20"/>
      <c r="AQ3311" s="19"/>
      <c r="AR3311" s="19"/>
      <c r="AS3311" s="19"/>
      <c r="AT3311" s="19"/>
      <c r="AU3311" s="19"/>
    </row>
    <row r="3312" spans="3:47">
      <c r="C3312" s="20"/>
      <c r="Z3312" s="20"/>
      <c r="AG3312" s="20"/>
      <c r="AQ3312" s="19"/>
      <c r="AR3312" s="19"/>
      <c r="AS3312" s="19"/>
      <c r="AT3312" s="19"/>
      <c r="AU3312" s="19"/>
    </row>
    <row r="3313" spans="3:47">
      <c r="C3313" s="20"/>
      <c r="Z3313" s="20"/>
      <c r="AG3313" s="20"/>
      <c r="AQ3313" s="19"/>
      <c r="AR3313" s="19"/>
      <c r="AS3313" s="19"/>
      <c r="AT3313" s="19"/>
      <c r="AU3313" s="19"/>
    </row>
    <row r="3314" spans="3:47">
      <c r="C3314" s="20"/>
      <c r="Z3314" s="20"/>
      <c r="AG3314" s="20"/>
      <c r="AQ3314" s="19"/>
      <c r="AR3314" s="19"/>
      <c r="AS3314" s="19"/>
      <c r="AT3314" s="19"/>
      <c r="AU3314" s="19"/>
    </row>
    <row r="3315" spans="3:47">
      <c r="C3315" s="20"/>
      <c r="Z3315" s="20"/>
      <c r="AG3315" s="20"/>
      <c r="AQ3315" s="19"/>
      <c r="AR3315" s="19"/>
      <c r="AS3315" s="19"/>
      <c r="AT3315" s="19"/>
      <c r="AU3315" s="19"/>
    </row>
    <row r="3316" spans="3:47">
      <c r="C3316" s="20"/>
      <c r="Z3316" s="20"/>
      <c r="AG3316" s="20"/>
      <c r="AQ3316" s="19"/>
      <c r="AR3316" s="19"/>
      <c r="AS3316" s="19"/>
      <c r="AT3316" s="19"/>
      <c r="AU3316" s="19"/>
    </row>
    <row r="3317" spans="3:47">
      <c r="C3317" s="20"/>
      <c r="Z3317" s="20"/>
      <c r="AG3317" s="20"/>
      <c r="AQ3317" s="19"/>
      <c r="AR3317" s="19"/>
      <c r="AS3317" s="19"/>
      <c r="AT3317" s="19"/>
      <c r="AU3317" s="19"/>
    </row>
    <row r="3318" spans="3:47">
      <c r="C3318" s="20"/>
      <c r="Z3318" s="20"/>
      <c r="AG3318" s="20"/>
      <c r="AQ3318" s="19"/>
      <c r="AR3318" s="19"/>
      <c r="AS3318" s="19"/>
      <c r="AT3318" s="19"/>
      <c r="AU3318" s="19"/>
    </row>
    <row r="3319" spans="3:47">
      <c r="C3319" s="20"/>
      <c r="Z3319" s="20"/>
      <c r="AG3319" s="20"/>
      <c r="AQ3319" s="19"/>
      <c r="AR3319" s="19"/>
      <c r="AS3319" s="19"/>
      <c r="AT3319" s="19"/>
      <c r="AU3319" s="19"/>
    </row>
    <row r="3320" spans="3:47">
      <c r="C3320" s="20"/>
      <c r="Z3320" s="20"/>
      <c r="AG3320" s="20"/>
      <c r="AQ3320" s="19"/>
      <c r="AR3320" s="19"/>
      <c r="AS3320" s="19"/>
      <c r="AT3320" s="19"/>
      <c r="AU3320" s="19"/>
    </row>
    <row r="3321" spans="3:47">
      <c r="C3321" s="20"/>
      <c r="Z3321" s="20"/>
      <c r="AG3321" s="20"/>
      <c r="AQ3321" s="19"/>
      <c r="AR3321" s="19"/>
      <c r="AS3321" s="19"/>
      <c r="AT3321" s="19"/>
      <c r="AU3321" s="19"/>
    </row>
    <row r="3322" spans="3:47">
      <c r="C3322" s="20"/>
      <c r="Z3322" s="20"/>
      <c r="AG3322" s="20"/>
      <c r="AQ3322" s="19"/>
      <c r="AR3322" s="19"/>
      <c r="AS3322" s="19"/>
      <c r="AT3322" s="19"/>
      <c r="AU3322" s="19"/>
    </row>
    <row r="3323" spans="3:47">
      <c r="C3323" s="20"/>
      <c r="Z3323" s="20"/>
      <c r="AG3323" s="20"/>
      <c r="AQ3323" s="19"/>
      <c r="AR3323" s="19"/>
      <c r="AS3323" s="19"/>
      <c r="AT3323" s="19"/>
      <c r="AU3323" s="19"/>
    </row>
    <row r="3324" spans="3:47">
      <c r="C3324" s="20"/>
      <c r="Z3324" s="20"/>
      <c r="AG3324" s="20"/>
      <c r="AQ3324" s="19"/>
      <c r="AR3324" s="19"/>
      <c r="AS3324" s="19"/>
      <c r="AT3324" s="19"/>
      <c r="AU3324" s="19"/>
    </row>
    <row r="3325" spans="3:47">
      <c r="C3325" s="20"/>
      <c r="Z3325" s="20"/>
      <c r="AG3325" s="20"/>
      <c r="AQ3325" s="19"/>
      <c r="AR3325" s="19"/>
      <c r="AS3325" s="19"/>
      <c r="AT3325" s="19"/>
      <c r="AU3325" s="19"/>
    </row>
    <row r="3326" spans="3:47">
      <c r="C3326" s="20"/>
      <c r="Z3326" s="20"/>
      <c r="AG3326" s="20"/>
      <c r="AQ3326" s="19"/>
      <c r="AR3326" s="19"/>
      <c r="AS3326" s="19"/>
      <c r="AT3326" s="19"/>
      <c r="AU3326" s="19"/>
    </row>
    <row r="3327" spans="3:47">
      <c r="C3327" s="20"/>
      <c r="Z3327" s="20"/>
      <c r="AG3327" s="20"/>
      <c r="AQ3327" s="19"/>
      <c r="AR3327" s="19"/>
      <c r="AS3327" s="19"/>
      <c r="AT3327" s="19"/>
      <c r="AU3327" s="19"/>
    </row>
    <row r="3328" spans="3:47">
      <c r="C3328" s="20"/>
      <c r="Z3328" s="20"/>
      <c r="AG3328" s="20"/>
      <c r="AQ3328" s="19"/>
      <c r="AR3328" s="19"/>
      <c r="AS3328" s="19"/>
      <c r="AT3328" s="19"/>
      <c r="AU3328" s="19"/>
    </row>
    <row r="3329" spans="3:47">
      <c r="C3329" s="20"/>
      <c r="Z3329" s="20"/>
      <c r="AG3329" s="20"/>
      <c r="AQ3329" s="19"/>
      <c r="AR3329" s="19"/>
      <c r="AS3329" s="19"/>
      <c r="AT3329" s="19"/>
      <c r="AU3329" s="19"/>
    </row>
    <row r="3330" spans="3:47">
      <c r="C3330" s="20"/>
      <c r="Z3330" s="20"/>
      <c r="AG3330" s="20"/>
      <c r="AQ3330" s="19"/>
      <c r="AR3330" s="19"/>
      <c r="AS3330" s="19"/>
      <c r="AT3330" s="19"/>
      <c r="AU3330" s="19"/>
    </row>
    <row r="3331" spans="3:47">
      <c r="C3331" s="20"/>
      <c r="Z3331" s="20"/>
      <c r="AG3331" s="20"/>
      <c r="AQ3331" s="19"/>
      <c r="AR3331" s="19"/>
      <c r="AS3331" s="19"/>
      <c r="AT3331" s="19"/>
      <c r="AU3331" s="19"/>
    </row>
    <row r="3332" spans="3:47">
      <c r="C3332" s="20"/>
      <c r="Z3332" s="20"/>
      <c r="AG3332" s="20"/>
      <c r="AQ3332" s="19"/>
      <c r="AR3332" s="19"/>
      <c r="AS3332" s="19"/>
      <c r="AT3332" s="19"/>
      <c r="AU3332" s="19"/>
    </row>
    <row r="3333" spans="3:47">
      <c r="C3333" s="20"/>
      <c r="Z3333" s="20"/>
      <c r="AG3333" s="20"/>
      <c r="AQ3333" s="19"/>
      <c r="AR3333" s="19"/>
      <c r="AS3333" s="19"/>
      <c r="AT3333" s="19"/>
      <c r="AU3333" s="19"/>
    </row>
    <row r="3334" spans="3:47">
      <c r="C3334" s="20"/>
      <c r="Z3334" s="20"/>
      <c r="AG3334" s="20"/>
      <c r="AQ3334" s="19"/>
      <c r="AR3334" s="19"/>
      <c r="AS3334" s="19"/>
      <c r="AT3334" s="19"/>
      <c r="AU3334" s="19"/>
    </row>
    <row r="3335" spans="3:47">
      <c r="C3335" s="20"/>
      <c r="Z3335" s="20"/>
      <c r="AG3335" s="20"/>
      <c r="AQ3335" s="19"/>
      <c r="AR3335" s="19"/>
      <c r="AS3335" s="19"/>
      <c r="AT3335" s="19"/>
      <c r="AU3335" s="19"/>
    </row>
    <row r="3336" spans="3:47">
      <c r="C3336" s="20"/>
      <c r="Z3336" s="20"/>
      <c r="AG3336" s="20"/>
      <c r="AQ3336" s="19"/>
      <c r="AR3336" s="19"/>
      <c r="AS3336" s="19"/>
      <c r="AT3336" s="19"/>
      <c r="AU3336" s="19"/>
    </row>
    <row r="3337" spans="3:47">
      <c r="C3337" s="20"/>
      <c r="Z3337" s="20"/>
      <c r="AG3337" s="20"/>
      <c r="AQ3337" s="19"/>
      <c r="AR3337" s="19"/>
      <c r="AS3337" s="19"/>
      <c r="AT3337" s="19"/>
      <c r="AU3337" s="19"/>
    </row>
    <row r="3338" spans="3:47">
      <c r="C3338" s="20"/>
      <c r="Z3338" s="20"/>
      <c r="AG3338" s="20"/>
      <c r="AQ3338" s="19"/>
      <c r="AR3338" s="19"/>
      <c r="AS3338" s="19"/>
      <c r="AT3338" s="19"/>
      <c r="AU3338" s="19"/>
    </row>
    <row r="3339" spans="3:47">
      <c r="C3339" s="20"/>
      <c r="Z3339" s="20"/>
      <c r="AG3339" s="20"/>
      <c r="AQ3339" s="19"/>
      <c r="AR3339" s="19"/>
      <c r="AS3339" s="19"/>
      <c r="AT3339" s="19"/>
      <c r="AU3339" s="19"/>
    </row>
    <row r="3340" spans="3:47">
      <c r="C3340" s="20"/>
      <c r="Z3340" s="20"/>
      <c r="AG3340" s="20"/>
      <c r="AQ3340" s="19"/>
      <c r="AR3340" s="19"/>
      <c r="AS3340" s="19"/>
      <c r="AT3340" s="19"/>
      <c r="AU3340" s="19"/>
    </row>
    <row r="3341" spans="3:47">
      <c r="C3341" s="20"/>
      <c r="Z3341" s="20"/>
      <c r="AG3341" s="20"/>
      <c r="AQ3341" s="19"/>
      <c r="AR3341" s="19"/>
      <c r="AS3341" s="19"/>
      <c r="AT3341" s="19"/>
      <c r="AU3341" s="19"/>
    </row>
    <row r="3342" spans="3:47">
      <c r="C3342" s="20"/>
      <c r="Z3342" s="20"/>
      <c r="AG3342" s="20"/>
      <c r="AQ3342" s="19"/>
      <c r="AR3342" s="19"/>
      <c r="AS3342" s="19"/>
      <c r="AT3342" s="19"/>
      <c r="AU3342" s="19"/>
    </row>
    <row r="3343" spans="3:47">
      <c r="C3343" s="20"/>
      <c r="Z3343" s="20"/>
      <c r="AG3343" s="20"/>
      <c r="AQ3343" s="19"/>
      <c r="AR3343" s="19"/>
      <c r="AS3343" s="19"/>
      <c r="AT3343" s="19"/>
      <c r="AU3343" s="19"/>
    </row>
    <row r="3344" spans="3:47">
      <c r="C3344" s="20"/>
      <c r="Z3344" s="20"/>
      <c r="AG3344" s="20"/>
      <c r="AQ3344" s="19"/>
      <c r="AR3344" s="19"/>
      <c r="AS3344" s="19"/>
      <c r="AT3344" s="19"/>
      <c r="AU3344" s="19"/>
    </row>
    <row r="3345" spans="3:47">
      <c r="C3345" s="20"/>
      <c r="Z3345" s="20"/>
      <c r="AG3345" s="20"/>
      <c r="AQ3345" s="19"/>
      <c r="AR3345" s="19"/>
      <c r="AS3345" s="19"/>
      <c r="AT3345" s="19"/>
      <c r="AU3345" s="19"/>
    </row>
    <row r="3346" spans="3:47">
      <c r="C3346" s="20"/>
      <c r="Z3346" s="20"/>
      <c r="AG3346" s="20"/>
      <c r="AQ3346" s="19"/>
      <c r="AR3346" s="19"/>
      <c r="AS3346" s="19"/>
      <c r="AT3346" s="19"/>
      <c r="AU3346" s="19"/>
    </row>
    <row r="3347" spans="3:47">
      <c r="C3347" s="20"/>
      <c r="Z3347" s="20"/>
      <c r="AG3347" s="20"/>
      <c r="AQ3347" s="19"/>
      <c r="AR3347" s="19"/>
      <c r="AS3347" s="19"/>
      <c r="AT3347" s="19"/>
      <c r="AU3347" s="19"/>
    </row>
    <row r="3348" spans="3:47">
      <c r="C3348" s="20"/>
      <c r="Z3348" s="20"/>
      <c r="AG3348" s="20"/>
      <c r="AQ3348" s="19"/>
      <c r="AR3348" s="19"/>
      <c r="AS3348" s="19"/>
      <c r="AT3348" s="19"/>
      <c r="AU3348" s="19"/>
    </row>
    <row r="3349" spans="3:47">
      <c r="C3349" s="20"/>
      <c r="Z3349" s="20"/>
      <c r="AG3349" s="20"/>
      <c r="AQ3349" s="19"/>
      <c r="AR3349" s="19"/>
      <c r="AS3349" s="19"/>
      <c r="AT3349" s="19"/>
      <c r="AU3349" s="19"/>
    </row>
    <row r="3350" spans="3:47">
      <c r="C3350" s="20"/>
      <c r="Z3350" s="20"/>
      <c r="AG3350" s="20"/>
      <c r="AQ3350" s="19"/>
      <c r="AR3350" s="19"/>
      <c r="AS3350" s="19"/>
      <c r="AT3350" s="19"/>
      <c r="AU3350" s="19"/>
    </row>
    <row r="3351" spans="3:47">
      <c r="C3351" s="20"/>
      <c r="Z3351" s="20"/>
      <c r="AG3351" s="20"/>
      <c r="AQ3351" s="19"/>
      <c r="AR3351" s="19"/>
      <c r="AS3351" s="19"/>
      <c r="AT3351" s="19"/>
      <c r="AU3351" s="19"/>
    </row>
    <row r="3352" spans="3:47">
      <c r="C3352" s="20"/>
      <c r="Z3352" s="20"/>
      <c r="AG3352" s="20"/>
      <c r="AQ3352" s="19"/>
      <c r="AR3352" s="19"/>
      <c r="AS3352" s="19"/>
      <c r="AT3352" s="19"/>
      <c r="AU3352" s="19"/>
    </row>
    <row r="3353" spans="3:47">
      <c r="C3353" s="20"/>
      <c r="Z3353" s="20"/>
      <c r="AG3353" s="20"/>
      <c r="AQ3353" s="19"/>
      <c r="AR3353" s="19"/>
      <c r="AS3353" s="19"/>
      <c r="AT3353" s="19"/>
      <c r="AU3353" s="19"/>
    </row>
    <row r="3354" spans="3:47">
      <c r="C3354" s="20"/>
      <c r="Z3354" s="20"/>
      <c r="AG3354" s="20"/>
      <c r="AQ3354" s="19"/>
      <c r="AR3354" s="19"/>
      <c r="AS3354" s="19"/>
      <c r="AT3354" s="19"/>
      <c r="AU3354" s="19"/>
    </row>
    <row r="3355" spans="3:47">
      <c r="C3355" s="20"/>
      <c r="Z3355" s="20"/>
      <c r="AG3355" s="20"/>
      <c r="AQ3355" s="19"/>
      <c r="AR3355" s="19"/>
      <c r="AS3355" s="19"/>
      <c r="AT3355" s="19"/>
      <c r="AU3355" s="19"/>
    </row>
    <row r="3356" spans="3:47">
      <c r="C3356" s="20"/>
      <c r="Z3356" s="20"/>
      <c r="AG3356" s="20"/>
      <c r="AQ3356" s="19"/>
      <c r="AR3356" s="19"/>
      <c r="AS3356" s="19"/>
      <c r="AT3356" s="19"/>
      <c r="AU3356" s="19"/>
    </row>
    <row r="3357" spans="3:47">
      <c r="C3357" s="20"/>
      <c r="Z3357" s="20"/>
      <c r="AG3357" s="20"/>
      <c r="AQ3357" s="19"/>
      <c r="AR3357" s="19"/>
      <c r="AS3357" s="19"/>
      <c r="AT3357" s="19"/>
      <c r="AU3357" s="19"/>
    </row>
    <row r="3358" spans="3:47">
      <c r="C3358" s="20"/>
      <c r="Z3358" s="20"/>
      <c r="AG3358" s="20"/>
      <c r="AQ3358" s="19"/>
      <c r="AR3358" s="19"/>
      <c r="AS3358" s="19"/>
      <c r="AT3358" s="19"/>
      <c r="AU3358" s="19"/>
    </row>
    <row r="3359" spans="3:47">
      <c r="C3359" s="20"/>
      <c r="Z3359" s="20"/>
      <c r="AG3359" s="20"/>
      <c r="AQ3359" s="19"/>
      <c r="AR3359" s="19"/>
      <c r="AS3359" s="19"/>
      <c r="AT3359" s="19"/>
      <c r="AU3359" s="19"/>
    </row>
    <row r="3360" spans="3:47">
      <c r="C3360" s="20"/>
      <c r="Z3360" s="20"/>
      <c r="AG3360" s="20"/>
      <c r="AQ3360" s="19"/>
      <c r="AR3360" s="19"/>
      <c r="AS3360" s="19"/>
      <c r="AT3360" s="19"/>
      <c r="AU3360" s="19"/>
    </row>
    <row r="3361" spans="3:47">
      <c r="C3361" s="20"/>
      <c r="Z3361" s="20"/>
      <c r="AG3361" s="20"/>
      <c r="AQ3361" s="19"/>
      <c r="AR3361" s="19"/>
      <c r="AS3361" s="19"/>
      <c r="AT3361" s="19"/>
      <c r="AU3361" s="19"/>
    </row>
    <row r="3362" spans="3:47">
      <c r="C3362" s="20"/>
      <c r="Z3362" s="20"/>
      <c r="AG3362" s="20"/>
      <c r="AQ3362" s="19"/>
      <c r="AR3362" s="19"/>
      <c r="AS3362" s="19"/>
      <c r="AT3362" s="19"/>
      <c r="AU3362" s="19"/>
    </row>
    <row r="3363" spans="3:47">
      <c r="C3363" s="20"/>
      <c r="Z3363" s="20"/>
      <c r="AG3363" s="20"/>
      <c r="AQ3363" s="19"/>
      <c r="AR3363" s="19"/>
      <c r="AS3363" s="19"/>
      <c r="AT3363" s="19"/>
      <c r="AU3363" s="19"/>
    </row>
    <row r="3364" spans="3:47">
      <c r="C3364" s="20"/>
      <c r="Z3364" s="20"/>
      <c r="AG3364" s="20"/>
      <c r="AQ3364" s="19"/>
      <c r="AR3364" s="19"/>
      <c r="AS3364" s="19"/>
      <c r="AT3364" s="19"/>
      <c r="AU3364" s="19"/>
    </row>
    <row r="3365" spans="3:47">
      <c r="C3365" s="20"/>
      <c r="Z3365" s="20"/>
      <c r="AG3365" s="20"/>
      <c r="AQ3365" s="19"/>
      <c r="AR3365" s="19"/>
      <c r="AS3365" s="19"/>
      <c r="AT3365" s="19"/>
      <c r="AU3365" s="19"/>
    </row>
    <row r="3366" spans="3:47">
      <c r="C3366" s="20"/>
      <c r="Z3366" s="20"/>
      <c r="AG3366" s="20"/>
      <c r="AQ3366" s="19"/>
      <c r="AR3366" s="19"/>
      <c r="AS3366" s="19"/>
      <c r="AT3366" s="19"/>
      <c r="AU3366" s="19"/>
    </row>
    <row r="3367" spans="3:47">
      <c r="C3367" s="20"/>
      <c r="Z3367" s="20"/>
      <c r="AG3367" s="20"/>
      <c r="AQ3367" s="19"/>
      <c r="AR3367" s="19"/>
      <c r="AS3367" s="19"/>
      <c r="AT3367" s="19"/>
      <c r="AU3367" s="19"/>
    </row>
    <row r="3368" spans="3:47">
      <c r="C3368" s="20"/>
      <c r="Z3368" s="20"/>
      <c r="AG3368" s="20"/>
      <c r="AQ3368" s="19"/>
      <c r="AR3368" s="19"/>
      <c r="AS3368" s="19"/>
      <c r="AT3368" s="19"/>
      <c r="AU3368" s="19"/>
    </row>
    <row r="3369" spans="3:47">
      <c r="C3369" s="20"/>
      <c r="Z3369" s="20"/>
      <c r="AG3369" s="20"/>
      <c r="AQ3369" s="19"/>
      <c r="AR3369" s="19"/>
      <c r="AS3369" s="19"/>
      <c r="AT3369" s="19"/>
      <c r="AU3369" s="19"/>
    </row>
    <row r="3370" spans="3:47">
      <c r="C3370" s="20"/>
      <c r="Z3370" s="20"/>
      <c r="AG3370" s="20"/>
      <c r="AQ3370" s="19"/>
      <c r="AR3370" s="19"/>
      <c r="AS3370" s="19"/>
      <c r="AT3370" s="19"/>
      <c r="AU3370" s="19"/>
    </row>
    <row r="3371" spans="3:47">
      <c r="C3371" s="20"/>
      <c r="Z3371" s="20"/>
      <c r="AG3371" s="20"/>
      <c r="AQ3371" s="19"/>
      <c r="AR3371" s="19"/>
      <c r="AS3371" s="19"/>
      <c r="AT3371" s="19"/>
      <c r="AU3371" s="19"/>
    </row>
    <row r="3372" spans="3:47">
      <c r="C3372" s="20"/>
      <c r="Z3372" s="20"/>
      <c r="AG3372" s="20"/>
      <c r="AQ3372" s="19"/>
      <c r="AR3372" s="19"/>
      <c r="AS3372" s="19"/>
      <c r="AT3372" s="19"/>
      <c r="AU3372" s="19"/>
    </row>
    <row r="3373" spans="3:47">
      <c r="C3373" s="20"/>
      <c r="Z3373" s="20"/>
      <c r="AG3373" s="20"/>
      <c r="AQ3373" s="19"/>
      <c r="AR3373" s="19"/>
      <c r="AS3373" s="19"/>
      <c r="AT3373" s="19"/>
      <c r="AU3373" s="19"/>
    </row>
    <row r="3374" spans="3:47">
      <c r="C3374" s="20"/>
      <c r="Z3374" s="20"/>
      <c r="AG3374" s="20"/>
      <c r="AQ3374" s="19"/>
      <c r="AR3374" s="19"/>
      <c r="AS3374" s="19"/>
      <c r="AT3374" s="19"/>
      <c r="AU3374" s="19"/>
    </row>
    <row r="3375" spans="3:47">
      <c r="C3375" s="20"/>
      <c r="Z3375" s="20"/>
      <c r="AG3375" s="20"/>
      <c r="AQ3375" s="19"/>
      <c r="AR3375" s="19"/>
      <c r="AS3375" s="19"/>
      <c r="AT3375" s="19"/>
      <c r="AU3375" s="19"/>
    </row>
    <row r="3376" spans="3:47">
      <c r="C3376" s="20"/>
      <c r="Z3376" s="20"/>
      <c r="AG3376" s="20"/>
      <c r="AQ3376" s="19"/>
      <c r="AR3376" s="19"/>
      <c r="AS3376" s="19"/>
      <c r="AT3376" s="19"/>
      <c r="AU3376" s="19"/>
    </row>
    <row r="3377" spans="3:47">
      <c r="C3377" s="20"/>
      <c r="Z3377" s="20"/>
      <c r="AG3377" s="20"/>
      <c r="AQ3377" s="19"/>
      <c r="AR3377" s="19"/>
      <c r="AS3377" s="19"/>
      <c r="AT3377" s="19"/>
      <c r="AU3377" s="19"/>
    </row>
    <row r="3378" spans="3:47">
      <c r="C3378" s="20"/>
      <c r="Z3378" s="20"/>
      <c r="AG3378" s="20"/>
      <c r="AQ3378" s="19"/>
      <c r="AR3378" s="19"/>
      <c r="AS3378" s="19"/>
      <c r="AT3378" s="19"/>
      <c r="AU3378" s="19"/>
    </row>
    <row r="3379" spans="3:47">
      <c r="C3379" s="20"/>
      <c r="Z3379" s="20"/>
      <c r="AG3379" s="20"/>
      <c r="AQ3379" s="19"/>
      <c r="AR3379" s="19"/>
      <c r="AS3379" s="19"/>
      <c r="AT3379" s="19"/>
      <c r="AU3379" s="19"/>
    </row>
    <row r="3380" spans="3:47">
      <c r="C3380" s="20"/>
      <c r="Z3380" s="20"/>
      <c r="AG3380" s="20"/>
      <c r="AQ3380" s="19"/>
      <c r="AR3380" s="19"/>
      <c r="AS3380" s="19"/>
      <c r="AT3380" s="19"/>
      <c r="AU3380" s="19"/>
    </row>
    <row r="3381" spans="3:47">
      <c r="C3381" s="20"/>
      <c r="Z3381" s="20"/>
      <c r="AG3381" s="20"/>
      <c r="AQ3381" s="19"/>
      <c r="AR3381" s="19"/>
      <c r="AS3381" s="19"/>
      <c r="AT3381" s="19"/>
      <c r="AU3381" s="19"/>
    </row>
    <row r="3382" spans="3:47">
      <c r="C3382" s="20"/>
      <c r="Z3382" s="20"/>
      <c r="AG3382" s="20"/>
      <c r="AQ3382" s="19"/>
      <c r="AR3382" s="19"/>
      <c r="AS3382" s="19"/>
      <c r="AT3382" s="19"/>
      <c r="AU3382" s="19"/>
    </row>
    <row r="3383" spans="3:47">
      <c r="C3383" s="20"/>
      <c r="Z3383" s="20"/>
      <c r="AG3383" s="20"/>
      <c r="AQ3383" s="19"/>
      <c r="AR3383" s="19"/>
      <c r="AS3383" s="19"/>
      <c r="AT3383" s="19"/>
      <c r="AU3383" s="19"/>
    </row>
    <row r="3384" spans="3:47">
      <c r="C3384" s="20"/>
      <c r="Z3384" s="20"/>
      <c r="AG3384" s="20"/>
      <c r="AQ3384" s="19"/>
      <c r="AR3384" s="19"/>
      <c r="AS3384" s="19"/>
      <c r="AT3384" s="19"/>
      <c r="AU3384" s="19"/>
    </row>
    <row r="3385" spans="3:47">
      <c r="C3385" s="20"/>
      <c r="Z3385" s="20"/>
      <c r="AG3385" s="20"/>
      <c r="AQ3385" s="19"/>
      <c r="AR3385" s="19"/>
      <c r="AS3385" s="19"/>
      <c r="AT3385" s="19"/>
      <c r="AU3385" s="19"/>
    </row>
    <row r="3386" spans="3:47">
      <c r="C3386" s="20"/>
      <c r="Z3386" s="20"/>
      <c r="AG3386" s="20"/>
      <c r="AQ3386" s="19"/>
      <c r="AR3386" s="19"/>
      <c r="AS3386" s="19"/>
      <c r="AT3386" s="19"/>
      <c r="AU3386" s="19"/>
    </row>
    <row r="3387" spans="3:47">
      <c r="C3387" s="20"/>
      <c r="Z3387" s="20"/>
      <c r="AG3387" s="20"/>
      <c r="AQ3387" s="19"/>
      <c r="AR3387" s="19"/>
      <c r="AS3387" s="19"/>
      <c r="AT3387" s="19"/>
      <c r="AU3387" s="19"/>
    </row>
    <row r="3388" spans="3:47">
      <c r="C3388" s="20"/>
      <c r="Z3388" s="20"/>
      <c r="AG3388" s="20"/>
      <c r="AQ3388" s="19"/>
      <c r="AR3388" s="19"/>
      <c r="AS3388" s="19"/>
      <c r="AT3388" s="19"/>
      <c r="AU3388" s="19"/>
    </row>
    <row r="3389" spans="3:47">
      <c r="C3389" s="20"/>
      <c r="Z3389" s="20"/>
      <c r="AG3389" s="20"/>
      <c r="AQ3389" s="19"/>
      <c r="AR3389" s="19"/>
      <c r="AS3389" s="19"/>
      <c r="AT3389" s="19"/>
      <c r="AU3389" s="19"/>
    </row>
    <row r="3390" spans="3:47">
      <c r="C3390" s="20"/>
      <c r="Z3390" s="20"/>
      <c r="AG3390" s="20"/>
      <c r="AQ3390" s="19"/>
      <c r="AR3390" s="19"/>
      <c r="AS3390" s="19"/>
      <c r="AT3390" s="19"/>
      <c r="AU3390" s="19"/>
    </row>
    <row r="3391" spans="3:47">
      <c r="C3391" s="20"/>
      <c r="Z3391" s="20"/>
      <c r="AG3391" s="20"/>
      <c r="AQ3391" s="19"/>
      <c r="AR3391" s="19"/>
      <c r="AS3391" s="19"/>
      <c r="AT3391" s="19"/>
      <c r="AU3391" s="19"/>
    </row>
    <row r="3392" spans="3:47">
      <c r="C3392" s="20"/>
      <c r="Z3392" s="20"/>
      <c r="AG3392" s="20"/>
      <c r="AQ3392" s="19"/>
      <c r="AR3392" s="19"/>
      <c r="AS3392" s="19"/>
      <c r="AT3392" s="19"/>
      <c r="AU3392" s="19"/>
    </row>
    <row r="3393" spans="3:47">
      <c r="C3393" s="20"/>
      <c r="Z3393" s="20"/>
      <c r="AG3393" s="20"/>
      <c r="AQ3393" s="19"/>
      <c r="AR3393" s="19"/>
      <c r="AS3393" s="19"/>
      <c r="AT3393" s="19"/>
      <c r="AU3393" s="19"/>
    </row>
    <row r="3394" spans="3:47">
      <c r="C3394" s="20"/>
      <c r="Z3394" s="20"/>
      <c r="AG3394" s="20"/>
      <c r="AQ3394" s="19"/>
      <c r="AR3394" s="19"/>
      <c r="AS3394" s="19"/>
      <c r="AT3394" s="19"/>
      <c r="AU3394" s="19"/>
    </row>
    <row r="3395" spans="3:47">
      <c r="C3395" s="20"/>
      <c r="Z3395" s="20"/>
      <c r="AG3395" s="20"/>
      <c r="AQ3395" s="19"/>
      <c r="AR3395" s="19"/>
      <c r="AS3395" s="19"/>
      <c r="AT3395" s="19"/>
      <c r="AU3395" s="19"/>
    </row>
    <row r="3396" spans="3:47">
      <c r="C3396" s="20"/>
      <c r="Z3396" s="20"/>
      <c r="AG3396" s="20"/>
      <c r="AQ3396" s="19"/>
      <c r="AR3396" s="19"/>
      <c r="AS3396" s="19"/>
      <c r="AT3396" s="19"/>
      <c r="AU3396" s="19"/>
    </row>
    <row r="3397" spans="3:47">
      <c r="C3397" s="20"/>
      <c r="Z3397" s="20"/>
      <c r="AG3397" s="20"/>
      <c r="AQ3397" s="19"/>
      <c r="AR3397" s="19"/>
      <c r="AS3397" s="19"/>
      <c r="AT3397" s="19"/>
      <c r="AU3397" s="19"/>
    </row>
    <row r="3398" spans="3:47">
      <c r="C3398" s="20"/>
      <c r="Z3398" s="20"/>
      <c r="AG3398" s="20"/>
      <c r="AQ3398" s="19"/>
      <c r="AR3398" s="19"/>
      <c r="AS3398" s="19"/>
      <c r="AT3398" s="19"/>
      <c r="AU3398" s="19"/>
    </row>
    <row r="3399" spans="3:47">
      <c r="C3399" s="20"/>
      <c r="Z3399" s="20"/>
      <c r="AG3399" s="20"/>
      <c r="AQ3399" s="19"/>
      <c r="AR3399" s="19"/>
      <c r="AS3399" s="19"/>
      <c r="AT3399" s="19"/>
      <c r="AU3399" s="19"/>
    </row>
    <row r="3400" spans="3:47">
      <c r="C3400" s="20"/>
      <c r="Z3400" s="20"/>
      <c r="AG3400" s="20"/>
      <c r="AQ3400" s="19"/>
      <c r="AR3400" s="19"/>
      <c r="AS3400" s="19"/>
      <c r="AT3400" s="19"/>
      <c r="AU3400" s="19"/>
    </row>
    <row r="3401" spans="3:47">
      <c r="C3401" s="20"/>
      <c r="Z3401" s="20"/>
      <c r="AG3401" s="20"/>
      <c r="AQ3401" s="19"/>
      <c r="AR3401" s="19"/>
      <c r="AS3401" s="19"/>
      <c r="AT3401" s="19"/>
      <c r="AU3401" s="19"/>
    </row>
    <row r="3402" spans="3:47">
      <c r="C3402" s="20"/>
      <c r="Z3402" s="20"/>
      <c r="AG3402" s="20"/>
      <c r="AQ3402" s="19"/>
      <c r="AR3402" s="19"/>
      <c r="AS3402" s="19"/>
      <c r="AT3402" s="19"/>
      <c r="AU3402" s="19"/>
    </row>
    <row r="3403" spans="3:47">
      <c r="C3403" s="20"/>
      <c r="Z3403" s="20"/>
      <c r="AG3403" s="20"/>
      <c r="AQ3403" s="19"/>
      <c r="AR3403" s="19"/>
      <c r="AS3403" s="19"/>
      <c r="AT3403" s="19"/>
      <c r="AU3403" s="19"/>
    </row>
    <row r="3404" spans="3:47">
      <c r="C3404" s="20"/>
      <c r="Z3404" s="20"/>
      <c r="AG3404" s="20"/>
      <c r="AQ3404" s="19"/>
      <c r="AR3404" s="19"/>
      <c r="AS3404" s="19"/>
      <c r="AT3404" s="19"/>
      <c r="AU3404" s="19"/>
    </row>
    <row r="3405" spans="3:47">
      <c r="C3405" s="20"/>
      <c r="Z3405" s="20"/>
      <c r="AG3405" s="20"/>
      <c r="AQ3405" s="19"/>
      <c r="AR3405" s="19"/>
      <c r="AS3405" s="19"/>
      <c r="AT3405" s="19"/>
      <c r="AU3405" s="19"/>
    </row>
    <row r="3406" spans="3:47">
      <c r="C3406" s="20"/>
      <c r="Z3406" s="20"/>
      <c r="AG3406" s="20"/>
      <c r="AQ3406" s="19"/>
      <c r="AR3406" s="19"/>
      <c r="AS3406" s="19"/>
      <c r="AT3406" s="19"/>
      <c r="AU3406" s="19"/>
    </row>
    <row r="3407" spans="3:47">
      <c r="C3407" s="20"/>
      <c r="Z3407" s="20"/>
      <c r="AG3407" s="20"/>
      <c r="AQ3407" s="19"/>
      <c r="AR3407" s="19"/>
      <c r="AS3407" s="19"/>
      <c r="AT3407" s="19"/>
      <c r="AU3407" s="19"/>
    </row>
    <row r="3408" spans="3:47">
      <c r="C3408" s="20"/>
      <c r="Z3408" s="20"/>
      <c r="AG3408" s="20"/>
      <c r="AQ3408" s="19"/>
      <c r="AR3408" s="19"/>
      <c r="AS3408" s="19"/>
      <c r="AT3408" s="19"/>
      <c r="AU3408" s="19"/>
    </row>
    <row r="3409" spans="3:47">
      <c r="C3409" s="20"/>
      <c r="Z3409" s="20"/>
      <c r="AG3409" s="20"/>
      <c r="AQ3409" s="19"/>
      <c r="AR3409" s="19"/>
      <c r="AS3409" s="19"/>
      <c r="AT3409" s="19"/>
      <c r="AU3409" s="19"/>
    </row>
    <row r="3410" spans="3:47">
      <c r="C3410" s="20"/>
      <c r="Z3410" s="20"/>
      <c r="AG3410" s="20"/>
      <c r="AQ3410" s="19"/>
      <c r="AR3410" s="19"/>
      <c r="AS3410" s="19"/>
      <c r="AT3410" s="19"/>
      <c r="AU3410" s="19"/>
    </row>
    <row r="3411" spans="3:47">
      <c r="C3411" s="20"/>
      <c r="Z3411" s="20"/>
      <c r="AG3411" s="20"/>
      <c r="AQ3411" s="19"/>
      <c r="AR3411" s="19"/>
      <c r="AS3411" s="19"/>
      <c r="AT3411" s="19"/>
      <c r="AU3411" s="19"/>
    </row>
    <row r="3412" spans="3:47">
      <c r="C3412" s="20"/>
      <c r="Z3412" s="20"/>
      <c r="AG3412" s="20"/>
      <c r="AQ3412" s="19"/>
      <c r="AR3412" s="19"/>
      <c r="AS3412" s="19"/>
      <c r="AT3412" s="19"/>
      <c r="AU3412" s="19"/>
    </row>
    <row r="3413" spans="3:47">
      <c r="C3413" s="20"/>
      <c r="Z3413" s="20"/>
      <c r="AG3413" s="20"/>
      <c r="AQ3413" s="19"/>
      <c r="AR3413" s="19"/>
      <c r="AS3413" s="19"/>
      <c r="AT3413" s="19"/>
      <c r="AU3413" s="19"/>
    </row>
    <row r="3414" spans="3:47">
      <c r="C3414" s="20"/>
      <c r="Z3414" s="20"/>
      <c r="AG3414" s="20"/>
      <c r="AQ3414" s="19"/>
      <c r="AR3414" s="19"/>
      <c r="AS3414" s="19"/>
      <c r="AT3414" s="19"/>
      <c r="AU3414" s="19"/>
    </row>
    <row r="3415" spans="3:47">
      <c r="C3415" s="20"/>
      <c r="Z3415" s="20"/>
      <c r="AG3415" s="20"/>
      <c r="AQ3415" s="19"/>
      <c r="AR3415" s="19"/>
      <c r="AS3415" s="19"/>
      <c r="AT3415" s="19"/>
      <c r="AU3415" s="19"/>
    </row>
    <row r="3416" spans="3:47">
      <c r="C3416" s="20"/>
      <c r="Z3416" s="20"/>
      <c r="AG3416" s="20"/>
      <c r="AQ3416" s="19"/>
      <c r="AR3416" s="19"/>
      <c r="AS3416" s="19"/>
      <c r="AT3416" s="19"/>
      <c r="AU3416" s="19"/>
    </row>
    <row r="3417" spans="3:47">
      <c r="C3417" s="20"/>
      <c r="Z3417" s="20"/>
      <c r="AG3417" s="20"/>
      <c r="AQ3417" s="19"/>
      <c r="AR3417" s="19"/>
      <c r="AS3417" s="19"/>
      <c r="AT3417" s="19"/>
      <c r="AU3417" s="19"/>
    </row>
    <row r="3418" spans="3:47">
      <c r="C3418" s="20"/>
      <c r="Z3418" s="20"/>
      <c r="AG3418" s="20"/>
      <c r="AQ3418" s="19"/>
      <c r="AR3418" s="19"/>
      <c r="AS3418" s="19"/>
      <c r="AT3418" s="19"/>
      <c r="AU3418" s="19"/>
    </row>
    <row r="3419" spans="3:47">
      <c r="C3419" s="20"/>
      <c r="Z3419" s="20"/>
      <c r="AG3419" s="20"/>
      <c r="AQ3419" s="19"/>
      <c r="AR3419" s="19"/>
      <c r="AS3419" s="19"/>
      <c r="AT3419" s="19"/>
      <c r="AU3419" s="19"/>
    </row>
    <row r="3420" spans="3:47">
      <c r="C3420" s="20"/>
      <c r="Z3420" s="20"/>
      <c r="AG3420" s="20"/>
      <c r="AQ3420" s="19"/>
      <c r="AR3420" s="19"/>
      <c r="AS3420" s="19"/>
      <c r="AT3420" s="19"/>
      <c r="AU3420" s="19"/>
    </row>
    <row r="3421" spans="3:47">
      <c r="C3421" s="20"/>
      <c r="Z3421" s="20"/>
      <c r="AG3421" s="20"/>
      <c r="AQ3421" s="19"/>
      <c r="AR3421" s="19"/>
      <c r="AS3421" s="19"/>
      <c r="AT3421" s="19"/>
      <c r="AU3421" s="19"/>
    </row>
    <row r="3422" spans="3:47">
      <c r="C3422" s="20"/>
      <c r="Z3422" s="20"/>
      <c r="AG3422" s="20"/>
      <c r="AQ3422" s="19"/>
      <c r="AR3422" s="19"/>
      <c r="AS3422" s="19"/>
      <c r="AT3422" s="19"/>
      <c r="AU3422" s="19"/>
    </row>
    <row r="3423" spans="3:47">
      <c r="C3423" s="20"/>
      <c r="Z3423" s="20"/>
      <c r="AG3423" s="20"/>
      <c r="AQ3423" s="19"/>
      <c r="AR3423" s="19"/>
      <c r="AS3423" s="19"/>
      <c r="AT3423" s="19"/>
      <c r="AU3423" s="19"/>
    </row>
    <row r="3424" spans="3:47">
      <c r="C3424" s="20"/>
      <c r="Z3424" s="20"/>
      <c r="AG3424" s="20"/>
      <c r="AQ3424" s="19"/>
      <c r="AR3424" s="19"/>
      <c r="AS3424" s="19"/>
      <c r="AT3424" s="19"/>
      <c r="AU3424" s="19"/>
    </row>
    <row r="3425" spans="3:47">
      <c r="C3425" s="20"/>
      <c r="Z3425" s="20"/>
      <c r="AG3425" s="20"/>
      <c r="AQ3425" s="19"/>
      <c r="AR3425" s="19"/>
      <c r="AS3425" s="19"/>
      <c r="AT3425" s="19"/>
      <c r="AU3425" s="19"/>
    </row>
    <row r="3426" spans="3:47">
      <c r="C3426" s="20"/>
      <c r="Z3426" s="20"/>
      <c r="AG3426" s="20"/>
      <c r="AQ3426" s="19"/>
      <c r="AR3426" s="19"/>
      <c r="AS3426" s="19"/>
      <c r="AT3426" s="19"/>
      <c r="AU3426" s="19"/>
    </row>
    <row r="3427" spans="3:47">
      <c r="C3427" s="20"/>
      <c r="Z3427" s="20"/>
      <c r="AG3427" s="20"/>
      <c r="AQ3427" s="19"/>
      <c r="AR3427" s="19"/>
      <c r="AS3427" s="19"/>
      <c r="AT3427" s="19"/>
      <c r="AU3427" s="19"/>
    </row>
    <row r="3428" spans="3:47">
      <c r="C3428" s="20"/>
      <c r="Z3428" s="20"/>
      <c r="AG3428" s="20"/>
      <c r="AQ3428" s="19"/>
      <c r="AR3428" s="19"/>
      <c r="AS3428" s="19"/>
      <c r="AT3428" s="19"/>
      <c r="AU3428" s="19"/>
    </row>
    <row r="3429" spans="3:47">
      <c r="C3429" s="20"/>
      <c r="Z3429" s="20"/>
      <c r="AG3429" s="20"/>
      <c r="AQ3429" s="19"/>
      <c r="AR3429" s="19"/>
      <c r="AS3429" s="19"/>
      <c r="AT3429" s="19"/>
      <c r="AU3429" s="19"/>
    </row>
    <row r="3430" spans="3:47">
      <c r="C3430" s="20"/>
      <c r="Z3430" s="20"/>
      <c r="AG3430" s="20"/>
      <c r="AQ3430" s="19"/>
      <c r="AR3430" s="19"/>
      <c r="AS3430" s="19"/>
      <c r="AT3430" s="19"/>
      <c r="AU3430" s="19"/>
    </row>
    <row r="3431" spans="3:47">
      <c r="C3431" s="20"/>
      <c r="Z3431" s="20"/>
      <c r="AG3431" s="20"/>
      <c r="AQ3431" s="19"/>
      <c r="AR3431" s="19"/>
      <c r="AS3431" s="19"/>
      <c r="AT3431" s="19"/>
      <c r="AU3431" s="19"/>
    </row>
    <row r="3432" spans="3:47">
      <c r="C3432" s="20"/>
      <c r="Z3432" s="20"/>
      <c r="AG3432" s="20"/>
      <c r="AQ3432" s="19"/>
      <c r="AR3432" s="19"/>
      <c r="AS3432" s="19"/>
      <c r="AT3432" s="19"/>
      <c r="AU3432" s="19"/>
    </row>
    <row r="3433" spans="3:47">
      <c r="C3433" s="20"/>
      <c r="Z3433" s="20"/>
      <c r="AG3433" s="20"/>
      <c r="AQ3433" s="19"/>
      <c r="AR3433" s="19"/>
      <c r="AS3433" s="19"/>
      <c r="AT3433" s="19"/>
      <c r="AU3433" s="19"/>
    </row>
    <row r="3434" spans="3:47">
      <c r="C3434" s="20"/>
      <c r="Z3434" s="20"/>
      <c r="AG3434" s="20"/>
      <c r="AQ3434" s="19"/>
      <c r="AR3434" s="19"/>
      <c r="AS3434" s="19"/>
      <c r="AT3434" s="19"/>
      <c r="AU3434" s="19"/>
    </row>
    <row r="3435" spans="3:47">
      <c r="C3435" s="20"/>
      <c r="Z3435" s="20"/>
      <c r="AG3435" s="20"/>
      <c r="AQ3435" s="19"/>
      <c r="AR3435" s="19"/>
      <c r="AS3435" s="19"/>
      <c r="AT3435" s="19"/>
      <c r="AU3435" s="19"/>
    </row>
    <row r="3436" spans="3:47">
      <c r="C3436" s="20"/>
      <c r="Z3436" s="20"/>
      <c r="AG3436" s="20"/>
      <c r="AQ3436" s="19"/>
      <c r="AR3436" s="19"/>
      <c r="AS3436" s="19"/>
      <c r="AT3436" s="19"/>
      <c r="AU3436" s="19"/>
    </row>
    <row r="3437" spans="3:47">
      <c r="C3437" s="20"/>
      <c r="Z3437" s="20"/>
      <c r="AG3437" s="20"/>
      <c r="AQ3437" s="19"/>
      <c r="AR3437" s="19"/>
      <c r="AS3437" s="19"/>
      <c r="AT3437" s="19"/>
      <c r="AU3437" s="19"/>
    </row>
    <row r="3438" spans="3:47">
      <c r="C3438" s="20"/>
      <c r="Z3438" s="20"/>
      <c r="AG3438" s="20"/>
      <c r="AQ3438" s="19"/>
      <c r="AR3438" s="19"/>
      <c r="AS3438" s="19"/>
      <c r="AT3438" s="19"/>
      <c r="AU3438" s="19"/>
    </row>
    <row r="3439" spans="3:47">
      <c r="C3439" s="20"/>
      <c r="Z3439" s="20"/>
      <c r="AG3439" s="20"/>
      <c r="AQ3439" s="19"/>
      <c r="AR3439" s="19"/>
      <c r="AS3439" s="19"/>
      <c r="AT3439" s="19"/>
      <c r="AU3439" s="19"/>
    </row>
    <row r="3440" spans="3:47">
      <c r="C3440" s="20"/>
      <c r="Z3440" s="20"/>
      <c r="AG3440" s="20"/>
      <c r="AQ3440" s="19"/>
      <c r="AR3440" s="19"/>
      <c r="AS3440" s="19"/>
      <c r="AT3440" s="19"/>
      <c r="AU3440" s="19"/>
    </row>
    <row r="3441" spans="3:47">
      <c r="C3441" s="20"/>
      <c r="Z3441" s="20"/>
      <c r="AG3441" s="20"/>
      <c r="AQ3441" s="19"/>
      <c r="AR3441" s="19"/>
      <c r="AS3441" s="19"/>
      <c r="AT3441" s="19"/>
      <c r="AU3441" s="19"/>
    </row>
    <row r="3442" spans="3:47">
      <c r="C3442" s="20"/>
      <c r="Z3442" s="20"/>
      <c r="AG3442" s="20"/>
      <c r="AQ3442" s="19"/>
      <c r="AR3442" s="19"/>
      <c r="AS3442" s="19"/>
      <c r="AT3442" s="19"/>
      <c r="AU3442" s="19"/>
    </row>
    <row r="3443" spans="3:47">
      <c r="C3443" s="20"/>
      <c r="Z3443" s="20"/>
      <c r="AG3443" s="20"/>
      <c r="AQ3443" s="19"/>
      <c r="AR3443" s="19"/>
      <c r="AS3443" s="19"/>
      <c r="AT3443" s="19"/>
      <c r="AU3443" s="19"/>
    </row>
    <row r="3444" spans="3:47">
      <c r="C3444" s="20"/>
      <c r="Z3444" s="20"/>
      <c r="AG3444" s="20"/>
      <c r="AQ3444" s="19"/>
      <c r="AR3444" s="19"/>
      <c r="AS3444" s="19"/>
      <c r="AT3444" s="19"/>
      <c r="AU3444" s="19"/>
    </row>
    <row r="3445" spans="3:47">
      <c r="C3445" s="20"/>
      <c r="Z3445" s="20"/>
      <c r="AG3445" s="20"/>
      <c r="AQ3445" s="19"/>
      <c r="AR3445" s="19"/>
      <c r="AS3445" s="19"/>
      <c r="AT3445" s="19"/>
      <c r="AU3445" s="19"/>
    </row>
    <row r="3446" spans="3:47">
      <c r="C3446" s="20"/>
      <c r="Z3446" s="20"/>
      <c r="AG3446" s="20"/>
      <c r="AQ3446" s="19"/>
      <c r="AR3446" s="19"/>
      <c r="AS3446" s="19"/>
      <c r="AT3446" s="19"/>
      <c r="AU3446" s="19"/>
    </row>
    <row r="3447" spans="3:47">
      <c r="C3447" s="20"/>
      <c r="Z3447" s="20"/>
      <c r="AG3447" s="20"/>
      <c r="AQ3447" s="19"/>
      <c r="AR3447" s="19"/>
      <c r="AS3447" s="19"/>
      <c r="AT3447" s="19"/>
      <c r="AU3447" s="19"/>
    </row>
    <row r="3448" spans="3:47">
      <c r="C3448" s="20"/>
      <c r="Z3448" s="20"/>
      <c r="AG3448" s="20"/>
      <c r="AQ3448" s="19"/>
      <c r="AR3448" s="19"/>
      <c r="AS3448" s="19"/>
      <c r="AT3448" s="19"/>
      <c r="AU3448" s="19"/>
    </row>
    <row r="3449" spans="3:47">
      <c r="C3449" s="20"/>
      <c r="Z3449" s="20"/>
      <c r="AG3449" s="20"/>
      <c r="AQ3449" s="19"/>
      <c r="AR3449" s="19"/>
      <c r="AS3449" s="19"/>
      <c r="AT3449" s="19"/>
      <c r="AU3449" s="19"/>
    </row>
    <row r="3450" spans="3:47">
      <c r="C3450" s="20"/>
      <c r="Z3450" s="20"/>
      <c r="AG3450" s="20"/>
      <c r="AQ3450" s="19"/>
      <c r="AR3450" s="19"/>
      <c r="AS3450" s="19"/>
      <c r="AT3450" s="19"/>
      <c r="AU3450" s="19"/>
    </row>
    <row r="3451" spans="3:47">
      <c r="C3451" s="20"/>
      <c r="Z3451" s="20"/>
      <c r="AG3451" s="20"/>
      <c r="AQ3451" s="19"/>
      <c r="AR3451" s="19"/>
      <c r="AS3451" s="19"/>
      <c r="AT3451" s="19"/>
      <c r="AU3451" s="19"/>
    </row>
    <row r="3452" spans="3:47">
      <c r="C3452" s="20"/>
      <c r="Z3452" s="20"/>
      <c r="AG3452" s="20"/>
      <c r="AQ3452" s="19"/>
      <c r="AR3452" s="19"/>
      <c r="AS3452" s="19"/>
      <c r="AT3452" s="19"/>
      <c r="AU3452" s="19"/>
    </row>
    <row r="3453" spans="3:47">
      <c r="C3453" s="20"/>
      <c r="Z3453" s="20"/>
      <c r="AG3453" s="20"/>
      <c r="AQ3453" s="19"/>
      <c r="AR3453" s="19"/>
      <c r="AS3453" s="19"/>
      <c r="AT3453" s="19"/>
      <c r="AU3453" s="19"/>
    </row>
    <row r="3454" spans="3:47">
      <c r="C3454" s="20"/>
      <c r="Z3454" s="20"/>
      <c r="AG3454" s="20"/>
      <c r="AQ3454" s="19"/>
      <c r="AR3454" s="19"/>
      <c r="AS3454" s="19"/>
      <c r="AT3454" s="19"/>
      <c r="AU3454" s="19"/>
    </row>
    <row r="3455" spans="3:47">
      <c r="C3455" s="20"/>
      <c r="Z3455" s="20"/>
      <c r="AG3455" s="20"/>
      <c r="AQ3455" s="19"/>
      <c r="AR3455" s="19"/>
      <c r="AS3455" s="19"/>
      <c r="AT3455" s="19"/>
      <c r="AU3455" s="19"/>
    </row>
    <row r="3456" spans="3:47">
      <c r="C3456" s="20"/>
      <c r="Z3456" s="20"/>
      <c r="AG3456" s="20"/>
      <c r="AQ3456" s="19"/>
      <c r="AR3456" s="19"/>
      <c r="AS3456" s="19"/>
      <c r="AT3456" s="19"/>
      <c r="AU3456" s="19"/>
    </row>
    <row r="3457" spans="3:47">
      <c r="C3457" s="20"/>
      <c r="Z3457" s="20"/>
      <c r="AG3457" s="20"/>
      <c r="AQ3457" s="19"/>
      <c r="AR3457" s="19"/>
      <c r="AS3457" s="19"/>
      <c r="AT3457" s="19"/>
      <c r="AU3457" s="19"/>
    </row>
    <row r="3458" spans="3:47">
      <c r="C3458" s="20"/>
      <c r="Z3458" s="20"/>
      <c r="AG3458" s="20"/>
      <c r="AQ3458" s="19"/>
      <c r="AR3458" s="19"/>
      <c r="AS3458" s="19"/>
      <c r="AT3458" s="19"/>
      <c r="AU3458" s="19"/>
    </row>
    <row r="3459" spans="3:47">
      <c r="C3459" s="20"/>
      <c r="Z3459" s="20"/>
      <c r="AG3459" s="20"/>
      <c r="AQ3459" s="19"/>
      <c r="AR3459" s="19"/>
      <c r="AS3459" s="19"/>
      <c r="AT3459" s="19"/>
      <c r="AU3459" s="19"/>
    </row>
    <row r="3460" spans="3:47">
      <c r="C3460" s="20"/>
      <c r="Z3460" s="20"/>
      <c r="AG3460" s="20"/>
      <c r="AQ3460" s="19"/>
      <c r="AR3460" s="19"/>
      <c r="AS3460" s="19"/>
      <c r="AT3460" s="19"/>
      <c r="AU3460" s="19"/>
    </row>
    <row r="3461" spans="3:47">
      <c r="C3461" s="20"/>
      <c r="Z3461" s="20"/>
      <c r="AG3461" s="20"/>
      <c r="AQ3461" s="19"/>
      <c r="AR3461" s="19"/>
      <c r="AS3461" s="19"/>
      <c r="AT3461" s="19"/>
      <c r="AU3461" s="19"/>
    </row>
    <row r="3462" spans="3:47">
      <c r="C3462" s="20"/>
      <c r="Z3462" s="20"/>
      <c r="AG3462" s="20"/>
      <c r="AQ3462" s="19"/>
      <c r="AR3462" s="19"/>
      <c r="AS3462" s="19"/>
      <c r="AT3462" s="19"/>
      <c r="AU3462" s="19"/>
    </row>
    <row r="3463" spans="3:47">
      <c r="C3463" s="20"/>
      <c r="Z3463" s="20"/>
      <c r="AG3463" s="20"/>
      <c r="AQ3463" s="19"/>
      <c r="AR3463" s="19"/>
      <c r="AS3463" s="19"/>
      <c r="AT3463" s="19"/>
      <c r="AU3463" s="19"/>
    </row>
    <row r="3464" spans="3:47">
      <c r="C3464" s="20"/>
      <c r="Z3464" s="20"/>
      <c r="AG3464" s="20"/>
      <c r="AQ3464" s="19"/>
      <c r="AR3464" s="19"/>
      <c r="AS3464" s="19"/>
      <c r="AT3464" s="19"/>
      <c r="AU3464" s="19"/>
    </row>
    <row r="3465" spans="3:47">
      <c r="C3465" s="20"/>
      <c r="Z3465" s="20"/>
      <c r="AG3465" s="20"/>
      <c r="AQ3465" s="19"/>
      <c r="AR3465" s="19"/>
      <c r="AS3465" s="19"/>
      <c r="AT3465" s="19"/>
      <c r="AU3465" s="19"/>
    </row>
    <row r="3466" spans="3:47">
      <c r="C3466" s="20"/>
      <c r="Z3466" s="20"/>
      <c r="AG3466" s="20"/>
      <c r="AQ3466" s="19"/>
      <c r="AR3466" s="19"/>
      <c r="AS3466" s="19"/>
      <c r="AT3466" s="19"/>
      <c r="AU3466" s="19"/>
    </row>
    <row r="3467" spans="3:47">
      <c r="C3467" s="20"/>
      <c r="Z3467" s="20"/>
      <c r="AG3467" s="20"/>
      <c r="AQ3467" s="19"/>
      <c r="AR3467" s="19"/>
      <c r="AS3467" s="19"/>
      <c r="AT3467" s="19"/>
      <c r="AU3467" s="19"/>
    </row>
    <row r="3468" spans="3:47">
      <c r="C3468" s="20"/>
      <c r="Z3468" s="20"/>
      <c r="AG3468" s="20"/>
      <c r="AQ3468" s="19"/>
      <c r="AR3468" s="19"/>
      <c r="AS3468" s="19"/>
      <c r="AT3468" s="19"/>
      <c r="AU3468" s="19"/>
    </row>
    <row r="3469" spans="3:47">
      <c r="C3469" s="20"/>
      <c r="Z3469" s="20"/>
      <c r="AG3469" s="20"/>
      <c r="AQ3469" s="19"/>
      <c r="AR3469" s="19"/>
      <c r="AS3469" s="19"/>
      <c r="AT3469" s="19"/>
      <c r="AU3469" s="19"/>
    </row>
    <row r="3470" spans="3:47">
      <c r="C3470" s="20"/>
      <c r="Z3470" s="20"/>
      <c r="AG3470" s="20"/>
      <c r="AQ3470" s="19"/>
      <c r="AR3470" s="19"/>
      <c r="AS3470" s="19"/>
      <c r="AT3470" s="19"/>
      <c r="AU3470" s="19"/>
    </row>
    <row r="3471" spans="3:47">
      <c r="C3471" s="20"/>
      <c r="Z3471" s="20"/>
      <c r="AG3471" s="20"/>
      <c r="AQ3471" s="19"/>
      <c r="AR3471" s="19"/>
      <c r="AS3471" s="19"/>
      <c r="AT3471" s="19"/>
      <c r="AU3471" s="19"/>
    </row>
    <row r="3472" spans="3:47">
      <c r="C3472" s="20"/>
      <c r="Z3472" s="20"/>
      <c r="AG3472" s="20"/>
      <c r="AQ3472" s="19"/>
      <c r="AR3472" s="19"/>
      <c r="AS3472" s="19"/>
      <c r="AT3472" s="19"/>
      <c r="AU3472" s="19"/>
    </row>
    <row r="3473" spans="3:47">
      <c r="C3473" s="20"/>
      <c r="Z3473" s="20"/>
      <c r="AG3473" s="20"/>
      <c r="AQ3473" s="19"/>
      <c r="AR3473" s="19"/>
      <c r="AS3473" s="19"/>
      <c r="AT3473" s="19"/>
      <c r="AU3473" s="19"/>
    </row>
    <row r="3474" spans="3:47">
      <c r="C3474" s="20"/>
      <c r="Z3474" s="20"/>
      <c r="AG3474" s="20"/>
      <c r="AQ3474" s="19"/>
      <c r="AR3474" s="19"/>
      <c r="AS3474" s="19"/>
      <c r="AT3474" s="19"/>
      <c r="AU3474" s="19"/>
    </row>
    <row r="3475" spans="3:47">
      <c r="C3475" s="20"/>
      <c r="Z3475" s="20"/>
      <c r="AG3475" s="20"/>
      <c r="AQ3475" s="19"/>
      <c r="AR3475" s="19"/>
      <c r="AS3475" s="19"/>
      <c r="AT3475" s="19"/>
      <c r="AU3475" s="19"/>
    </row>
    <row r="3476" spans="3:47">
      <c r="C3476" s="20"/>
      <c r="Z3476" s="20"/>
      <c r="AG3476" s="20"/>
      <c r="AQ3476" s="19"/>
      <c r="AR3476" s="19"/>
      <c r="AS3476" s="19"/>
      <c r="AT3476" s="19"/>
      <c r="AU3476" s="19"/>
    </row>
    <row r="3477" spans="3:47">
      <c r="C3477" s="20"/>
      <c r="Z3477" s="20"/>
      <c r="AG3477" s="20"/>
      <c r="AQ3477" s="19"/>
      <c r="AR3477" s="19"/>
      <c r="AS3477" s="19"/>
      <c r="AT3477" s="19"/>
      <c r="AU3477" s="19"/>
    </row>
    <row r="3478" spans="3:47">
      <c r="C3478" s="20"/>
      <c r="Z3478" s="20"/>
      <c r="AG3478" s="20"/>
      <c r="AQ3478" s="19"/>
      <c r="AR3478" s="19"/>
      <c r="AS3478" s="19"/>
      <c r="AT3478" s="19"/>
      <c r="AU3478" s="19"/>
    </row>
    <row r="3479" spans="3:47">
      <c r="C3479" s="20"/>
      <c r="Z3479" s="20"/>
      <c r="AG3479" s="20"/>
      <c r="AQ3479" s="19"/>
      <c r="AR3479" s="19"/>
      <c r="AS3479" s="19"/>
      <c r="AT3479" s="19"/>
      <c r="AU3479" s="19"/>
    </row>
    <row r="3480" spans="3:47">
      <c r="C3480" s="20"/>
      <c r="Z3480" s="20"/>
      <c r="AG3480" s="20"/>
      <c r="AQ3480" s="19"/>
      <c r="AR3480" s="19"/>
      <c r="AS3480" s="19"/>
      <c r="AT3480" s="19"/>
      <c r="AU3480" s="19"/>
    </row>
    <row r="3481" spans="3:47">
      <c r="C3481" s="20"/>
      <c r="Z3481" s="20"/>
      <c r="AG3481" s="20"/>
      <c r="AQ3481" s="19"/>
      <c r="AR3481" s="19"/>
      <c r="AS3481" s="19"/>
      <c r="AT3481" s="19"/>
      <c r="AU3481" s="19"/>
    </row>
    <row r="3482" spans="3:47">
      <c r="C3482" s="20"/>
      <c r="Z3482" s="20"/>
      <c r="AG3482" s="20"/>
      <c r="AQ3482" s="19"/>
      <c r="AR3482" s="19"/>
      <c r="AS3482" s="19"/>
      <c r="AT3482" s="19"/>
      <c r="AU3482" s="19"/>
    </row>
    <row r="3483" spans="3:47">
      <c r="C3483" s="20"/>
      <c r="Z3483" s="20"/>
      <c r="AG3483" s="20"/>
      <c r="AQ3483" s="19"/>
      <c r="AR3483" s="19"/>
      <c r="AS3483" s="19"/>
      <c r="AT3483" s="19"/>
      <c r="AU3483" s="19"/>
    </row>
    <row r="3484" spans="3:47">
      <c r="C3484" s="20"/>
      <c r="Z3484" s="20"/>
      <c r="AG3484" s="20"/>
      <c r="AQ3484" s="19"/>
      <c r="AR3484" s="19"/>
      <c r="AS3484" s="19"/>
      <c r="AT3484" s="19"/>
      <c r="AU3484" s="19"/>
    </row>
    <row r="3485" spans="3:47">
      <c r="C3485" s="20"/>
      <c r="Z3485" s="20"/>
      <c r="AG3485" s="20"/>
      <c r="AQ3485" s="19"/>
      <c r="AR3485" s="19"/>
      <c r="AS3485" s="19"/>
      <c r="AT3485" s="19"/>
      <c r="AU3485" s="19"/>
    </row>
    <row r="3486" spans="3:47">
      <c r="C3486" s="20"/>
      <c r="Z3486" s="20"/>
      <c r="AG3486" s="20"/>
      <c r="AQ3486" s="19"/>
      <c r="AR3486" s="19"/>
      <c r="AS3486" s="19"/>
      <c r="AT3486" s="19"/>
      <c r="AU3486" s="19"/>
    </row>
    <row r="3487" spans="3:47">
      <c r="C3487" s="20"/>
      <c r="Z3487" s="20"/>
      <c r="AG3487" s="20"/>
      <c r="AQ3487" s="19"/>
      <c r="AR3487" s="19"/>
      <c r="AS3487" s="19"/>
      <c r="AT3487" s="19"/>
      <c r="AU3487" s="19"/>
    </row>
    <row r="3488" spans="3:47">
      <c r="C3488" s="20"/>
      <c r="Z3488" s="20"/>
      <c r="AG3488" s="20"/>
      <c r="AQ3488" s="19"/>
      <c r="AR3488" s="19"/>
      <c r="AS3488" s="19"/>
      <c r="AT3488" s="19"/>
      <c r="AU3488" s="19"/>
    </row>
    <row r="3489" spans="3:47">
      <c r="C3489" s="20"/>
      <c r="Z3489" s="20"/>
      <c r="AG3489" s="20"/>
      <c r="AQ3489" s="19"/>
      <c r="AR3489" s="19"/>
      <c r="AS3489" s="19"/>
      <c r="AT3489" s="19"/>
      <c r="AU3489" s="19"/>
    </row>
    <row r="3490" spans="3:47">
      <c r="C3490" s="20"/>
      <c r="Z3490" s="20"/>
      <c r="AG3490" s="20"/>
      <c r="AQ3490" s="19"/>
      <c r="AR3490" s="19"/>
      <c r="AS3490" s="19"/>
      <c r="AT3490" s="19"/>
      <c r="AU3490" s="19"/>
    </row>
    <row r="3491" spans="3:47">
      <c r="C3491" s="20"/>
      <c r="Z3491" s="20"/>
      <c r="AG3491" s="20"/>
      <c r="AQ3491" s="19"/>
      <c r="AR3491" s="19"/>
      <c r="AS3491" s="19"/>
      <c r="AT3491" s="19"/>
      <c r="AU3491" s="19"/>
    </row>
    <row r="3492" spans="3:47">
      <c r="C3492" s="20"/>
      <c r="Z3492" s="20"/>
      <c r="AG3492" s="20"/>
      <c r="AQ3492" s="19"/>
      <c r="AR3492" s="19"/>
      <c r="AS3492" s="19"/>
      <c r="AT3492" s="19"/>
      <c r="AU3492" s="19"/>
    </row>
    <row r="3493" spans="3:47">
      <c r="C3493" s="20"/>
      <c r="Z3493" s="20"/>
      <c r="AG3493" s="20"/>
      <c r="AQ3493" s="19"/>
      <c r="AR3493" s="19"/>
      <c r="AS3493" s="19"/>
      <c r="AT3493" s="19"/>
      <c r="AU3493" s="19"/>
    </row>
    <row r="3494" spans="3:47">
      <c r="C3494" s="20"/>
      <c r="Z3494" s="20"/>
      <c r="AG3494" s="20"/>
      <c r="AQ3494" s="19"/>
      <c r="AR3494" s="19"/>
      <c r="AS3494" s="19"/>
      <c r="AT3494" s="19"/>
      <c r="AU3494" s="19"/>
    </row>
    <row r="3495" spans="3:47">
      <c r="C3495" s="20"/>
      <c r="Z3495" s="20"/>
      <c r="AG3495" s="20"/>
      <c r="AQ3495" s="19"/>
      <c r="AR3495" s="19"/>
      <c r="AS3495" s="19"/>
      <c r="AT3495" s="19"/>
      <c r="AU3495" s="19"/>
    </row>
    <row r="3496" spans="3:47">
      <c r="C3496" s="20"/>
      <c r="Z3496" s="20"/>
      <c r="AG3496" s="20"/>
      <c r="AQ3496" s="19"/>
      <c r="AR3496" s="19"/>
      <c r="AS3496" s="19"/>
      <c r="AT3496" s="19"/>
      <c r="AU3496" s="19"/>
    </row>
    <row r="3497" spans="3:47">
      <c r="C3497" s="20"/>
      <c r="Z3497" s="20"/>
      <c r="AG3497" s="20"/>
      <c r="AQ3497" s="19"/>
      <c r="AR3497" s="19"/>
      <c r="AS3497" s="19"/>
      <c r="AT3497" s="19"/>
      <c r="AU3497" s="19"/>
    </row>
    <row r="3498" spans="3:47">
      <c r="C3498" s="20"/>
      <c r="Z3498" s="20"/>
      <c r="AG3498" s="20"/>
      <c r="AQ3498" s="19"/>
      <c r="AR3498" s="19"/>
      <c r="AS3498" s="19"/>
      <c r="AT3498" s="19"/>
      <c r="AU3498" s="19"/>
    </row>
    <row r="3499" spans="3:47">
      <c r="C3499" s="20"/>
      <c r="Z3499" s="20"/>
      <c r="AG3499" s="20"/>
      <c r="AQ3499" s="19"/>
      <c r="AR3499" s="19"/>
      <c r="AS3499" s="19"/>
      <c r="AT3499" s="19"/>
      <c r="AU3499" s="19"/>
    </row>
    <row r="3500" spans="3:47">
      <c r="C3500" s="20"/>
      <c r="Z3500" s="20"/>
      <c r="AG3500" s="20"/>
      <c r="AQ3500" s="19"/>
      <c r="AR3500" s="19"/>
      <c r="AS3500" s="19"/>
      <c r="AT3500" s="19"/>
      <c r="AU3500" s="19"/>
    </row>
    <row r="3501" spans="3:47">
      <c r="C3501" s="20"/>
      <c r="Z3501" s="20"/>
      <c r="AG3501" s="20"/>
      <c r="AQ3501" s="19"/>
      <c r="AR3501" s="19"/>
      <c r="AS3501" s="19"/>
      <c r="AT3501" s="19"/>
      <c r="AU3501" s="19"/>
    </row>
    <row r="3502" spans="3:47">
      <c r="C3502" s="20"/>
      <c r="Z3502" s="20"/>
      <c r="AG3502" s="20"/>
      <c r="AQ3502" s="19"/>
      <c r="AR3502" s="19"/>
      <c r="AS3502" s="19"/>
      <c r="AT3502" s="19"/>
      <c r="AU3502" s="19"/>
    </row>
    <row r="3503" spans="3:47">
      <c r="C3503" s="20"/>
      <c r="Z3503" s="20"/>
      <c r="AG3503" s="20"/>
      <c r="AQ3503" s="19"/>
      <c r="AR3503" s="19"/>
      <c r="AS3503" s="19"/>
      <c r="AT3503" s="19"/>
      <c r="AU3503" s="19"/>
    </row>
    <row r="3504" spans="3:47">
      <c r="C3504" s="20"/>
      <c r="Z3504" s="20"/>
      <c r="AG3504" s="20"/>
      <c r="AQ3504" s="19"/>
      <c r="AR3504" s="19"/>
      <c r="AS3504" s="19"/>
      <c r="AT3504" s="19"/>
      <c r="AU3504" s="19"/>
    </row>
    <row r="3505" spans="3:47">
      <c r="C3505" s="20"/>
      <c r="Z3505" s="20"/>
      <c r="AG3505" s="20"/>
      <c r="AQ3505" s="19"/>
      <c r="AR3505" s="19"/>
      <c r="AS3505" s="19"/>
      <c r="AT3505" s="19"/>
      <c r="AU3505" s="19"/>
    </row>
    <row r="3506" spans="3:47">
      <c r="C3506" s="20"/>
      <c r="Z3506" s="20"/>
      <c r="AG3506" s="20"/>
      <c r="AQ3506" s="19"/>
      <c r="AR3506" s="19"/>
      <c r="AS3506" s="19"/>
      <c r="AT3506" s="19"/>
      <c r="AU3506" s="19"/>
    </row>
    <row r="3507" spans="3:47">
      <c r="C3507" s="20"/>
      <c r="Z3507" s="20"/>
      <c r="AG3507" s="20"/>
      <c r="AQ3507" s="19"/>
      <c r="AR3507" s="19"/>
      <c r="AS3507" s="19"/>
      <c r="AT3507" s="19"/>
      <c r="AU3507" s="19"/>
    </row>
    <row r="3508" spans="3:47">
      <c r="C3508" s="20"/>
      <c r="Z3508" s="20"/>
      <c r="AG3508" s="20"/>
      <c r="AQ3508" s="19"/>
      <c r="AR3508" s="19"/>
      <c r="AS3508" s="19"/>
      <c r="AT3508" s="19"/>
      <c r="AU3508" s="19"/>
    </row>
    <row r="3509" spans="3:47">
      <c r="C3509" s="20"/>
      <c r="Z3509" s="20"/>
      <c r="AG3509" s="20"/>
      <c r="AQ3509" s="19"/>
      <c r="AR3509" s="19"/>
      <c r="AS3509" s="19"/>
      <c r="AT3509" s="19"/>
      <c r="AU3509" s="19"/>
    </row>
    <row r="3510" spans="3:47">
      <c r="C3510" s="20"/>
      <c r="Z3510" s="20"/>
      <c r="AG3510" s="20"/>
      <c r="AQ3510" s="19"/>
      <c r="AR3510" s="19"/>
      <c r="AS3510" s="19"/>
      <c r="AT3510" s="19"/>
      <c r="AU3510" s="19"/>
    </row>
    <row r="3511" spans="3:47">
      <c r="C3511" s="20"/>
      <c r="Z3511" s="20"/>
      <c r="AG3511" s="20"/>
      <c r="AQ3511" s="19"/>
      <c r="AR3511" s="19"/>
      <c r="AS3511" s="19"/>
      <c r="AT3511" s="19"/>
      <c r="AU3511" s="19"/>
    </row>
    <row r="3512" spans="3:47">
      <c r="C3512" s="20"/>
      <c r="Z3512" s="20"/>
      <c r="AG3512" s="20"/>
      <c r="AQ3512" s="19"/>
      <c r="AR3512" s="19"/>
      <c r="AS3512" s="19"/>
      <c r="AT3512" s="19"/>
      <c r="AU3512" s="19"/>
    </row>
    <row r="3513" spans="3:47">
      <c r="C3513" s="20"/>
      <c r="Z3513" s="20"/>
      <c r="AG3513" s="20"/>
      <c r="AQ3513" s="19"/>
      <c r="AR3513" s="19"/>
      <c r="AS3513" s="19"/>
      <c r="AT3513" s="19"/>
      <c r="AU3513" s="19"/>
    </row>
    <row r="3514" spans="3:47">
      <c r="C3514" s="20"/>
      <c r="Z3514" s="20"/>
      <c r="AG3514" s="20"/>
      <c r="AQ3514" s="19"/>
      <c r="AR3514" s="19"/>
      <c r="AS3514" s="19"/>
      <c r="AT3514" s="19"/>
      <c r="AU3514" s="19"/>
    </row>
    <row r="3515" spans="3:47">
      <c r="C3515" s="20"/>
      <c r="Z3515" s="20"/>
      <c r="AG3515" s="20"/>
      <c r="AQ3515" s="19"/>
      <c r="AR3515" s="19"/>
      <c r="AS3515" s="19"/>
      <c r="AT3515" s="19"/>
      <c r="AU3515" s="19"/>
    </row>
    <row r="3516" spans="3:47">
      <c r="C3516" s="20"/>
      <c r="Z3516" s="20"/>
      <c r="AG3516" s="20"/>
      <c r="AQ3516" s="19"/>
      <c r="AR3516" s="19"/>
      <c r="AS3516" s="19"/>
      <c r="AT3516" s="19"/>
      <c r="AU3516" s="19"/>
    </row>
    <row r="3517" spans="3:47">
      <c r="C3517" s="20"/>
      <c r="Z3517" s="20"/>
      <c r="AG3517" s="20"/>
      <c r="AQ3517" s="19"/>
      <c r="AR3517" s="19"/>
      <c r="AS3517" s="19"/>
      <c r="AT3517" s="19"/>
      <c r="AU3517" s="19"/>
    </row>
    <row r="3518" spans="3:47">
      <c r="C3518" s="20"/>
      <c r="Z3518" s="20"/>
      <c r="AG3518" s="20"/>
      <c r="AQ3518" s="19"/>
      <c r="AR3518" s="19"/>
      <c r="AS3518" s="19"/>
      <c r="AT3518" s="19"/>
      <c r="AU3518" s="19"/>
    </row>
    <row r="3519" spans="3:47">
      <c r="C3519" s="20"/>
      <c r="Z3519" s="20"/>
      <c r="AG3519" s="20"/>
      <c r="AQ3519" s="19"/>
      <c r="AR3519" s="19"/>
      <c r="AS3519" s="19"/>
      <c r="AT3519" s="19"/>
      <c r="AU3519" s="19"/>
    </row>
    <row r="3520" spans="3:47">
      <c r="C3520" s="20"/>
      <c r="Z3520" s="20"/>
      <c r="AG3520" s="20"/>
      <c r="AQ3520" s="19"/>
      <c r="AR3520" s="19"/>
      <c r="AS3520" s="19"/>
      <c r="AT3520" s="19"/>
      <c r="AU3520" s="19"/>
    </row>
    <row r="3521" spans="3:47">
      <c r="C3521" s="20"/>
      <c r="Z3521" s="20"/>
      <c r="AG3521" s="20"/>
      <c r="AQ3521" s="19"/>
      <c r="AR3521" s="19"/>
      <c r="AS3521" s="19"/>
      <c r="AT3521" s="19"/>
      <c r="AU3521" s="19"/>
    </row>
    <row r="3522" spans="3:47">
      <c r="C3522" s="20"/>
      <c r="Z3522" s="20"/>
      <c r="AG3522" s="20"/>
      <c r="AQ3522" s="19"/>
      <c r="AR3522" s="19"/>
      <c r="AS3522" s="19"/>
      <c r="AT3522" s="19"/>
      <c r="AU3522" s="19"/>
    </row>
    <row r="3523" spans="3:47">
      <c r="C3523" s="20"/>
      <c r="Z3523" s="20"/>
      <c r="AG3523" s="20"/>
      <c r="AQ3523" s="19"/>
      <c r="AR3523" s="19"/>
      <c r="AS3523" s="19"/>
      <c r="AT3523" s="19"/>
      <c r="AU3523" s="19"/>
    </row>
    <row r="3524" spans="3:47">
      <c r="C3524" s="20"/>
      <c r="Z3524" s="20"/>
      <c r="AG3524" s="20"/>
      <c r="AQ3524" s="19"/>
      <c r="AR3524" s="19"/>
      <c r="AS3524" s="19"/>
      <c r="AT3524" s="19"/>
      <c r="AU3524" s="19"/>
    </row>
    <row r="3525" spans="3:47">
      <c r="C3525" s="20"/>
      <c r="Z3525" s="20"/>
      <c r="AG3525" s="20"/>
      <c r="AQ3525" s="19"/>
      <c r="AR3525" s="19"/>
      <c r="AS3525" s="19"/>
      <c r="AT3525" s="19"/>
      <c r="AU3525" s="19"/>
    </row>
    <row r="3526" spans="3:47">
      <c r="C3526" s="20"/>
      <c r="Z3526" s="20"/>
      <c r="AG3526" s="20"/>
      <c r="AQ3526" s="19"/>
      <c r="AR3526" s="19"/>
      <c r="AS3526" s="19"/>
      <c r="AT3526" s="19"/>
      <c r="AU3526" s="19"/>
    </row>
    <row r="3527" spans="3:47">
      <c r="C3527" s="20"/>
      <c r="Z3527" s="20"/>
      <c r="AG3527" s="20"/>
      <c r="AQ3527" s="19"/>
      <c r="AR3527" s="19"/>
      <c r="AS3527" s="19"/>
      <c r="AT3527" s="19"/>
      <c r="AU3527" s="19"/>
    </row>
    <row r="3528" spans="3:47">
      <c r="C3528" s="20"/>
      <c r="Z3528" s="20"/>
      <c r="AG3528" s="20"/>
      <c r="AQ3528" s="19"/>
      <c r="AR3528" s="19"/>
      <c r="AS3528" s="19"/>
      <c r="AT3528" s="19"/>
      <c r="AU3528" s="19"/>
    </row>
    <row r="3529" spans="3:47">
      <c r="C3529" s="20"/>
      <c r="Z3529" s="20"/>
      <c r="AG3529" s="20"/>
      <c r="AQ3529" s="19"/>
      <c r="AR3529" s="19"/>
      <c r="AS3529" s="19"/>
      <c r="AT3529" s="19"/>
      <c r="AU3529" s="19"/>
    </row>
    <row r="3530" spans="3:47">
      <c r="C3530" s="20"/>
      <c r="Z3530" s="20"/>
      <c r="AG3530" s="20"/>
      <c r="AQ3530" s="19"/>
      <c r="AR3530" s="19"/>
      <c r="AS3530" s="19"/>
      <c r="AT3530" s="19"/>
      <c r="AU3530" s="19"/>
    </row>
    <row r="3531" spans="3:47">
      <c r="C3531" s="20"/>
      <c r="Z3531" s="20"/>
      <c r="AG3531" s="20"/>
      <c r="AQ3531" s="19"/>
      <c r="AR3531" s="19"/>
      <c r="AS3531" s="19"/>
      <c r="AT3531" s="19"/>
      <c r="AU3531" s="19"/>
    </row>
    <row r="3532" spans="3:47">
      <c r="C3532" s="20"/>
      <c r="Z3532" s="20"/>
      <c r="AG3532" s="20"/>
      <c r="AQ3532" s="19"/>
      <c r="AR3532" s="19"/>
      <c r="AS3532" s="19"/>
      <c r="AT3532" s="19"/>
      <c r="AU3532" s="19"/>
    </row>
    <row r="3533" spans="3:47">
      <c r="C3533" s="20"/>
      <c r="Z3533" s="20"/>
      <c r="AG3533" s="20"/>
      <c r="AQ3533" s="19"/>
      <c r="AR3533" s="19"/>
      <c r="AS3533" s="19"/>
      <c r="AT3533" s="19"/>
      <c r="AU3533" s="19"/>
    </row>
    <row r="3534" spans="3:47">
      <c r="C3534" s="20"/>
      <c r="Z3534" s="20"/>
      <c r="AG3534" s="20"/>
      <c r="AQ3534" s="19"/>
      <c r="AR3534" s="19"/>
      <c r="AS3534" s="19"/>
      <c r="AT3534" s="19"/>
      <c r="AU3534" s="19"/>
    </row>
    <row r="3535" spans="3:47">
      <c r="C3535" s="20"/>
      <c r="Z3535" s="20"/>
      <c r="AG3535" s="20"/>
      <c r="AQ3535" s="19"/>
      <c r="AR3535" s="19"/>
      <c r="AS3535" s="19"/>
      <c r="AT3535" s="19"/>
      <c r="AU3535" s="19"/>
    </row>
    <row r="3536" spans="3:47">
      <c r="C3536" s="20"/>
      <c r="Z3536" s="20"/>
      <c r="AG3536" s="20"/>
      <c r="AQ3536" s="19"/>
      <c r="AR3536" s="19"/>
      <c r="AS3536" s="19"/>
      <c r="AT3536" s="19"/>
      <c r="AU3536" s="19"/>
    </row>
    <row r="3537" spans="3:47">
      <c r="C3537" s="20"/>
      <c r="Z3537" s="20"/>
      <c r="AG3537" s="20"/>
      <c r="AQ3537" s="19"/>
      <c r="AR3537" s="19"/>
      <c r="AS3537" s="19"/>
      <c r="AT3537" s="19"/>
      <c r="AU3537" s="19"/>
    </row>
    <row r="3538" spans="3:47">
      <c r="C3538" s="20"/>
      <c r="Z3538" s="20"/>
      <c r="AG3538" s="20"/>
      <c r="AQ3538" s="19"/>
      <c r="AR3538" s="19"/>
      <c r="AS3538" s="19"/>
      <c r="AT3538" s="19"/>
      <c r="AU3538" s="19"/>
    </row>
    <row r="3539" spans="3:47">
      <c r="C3539" s="20"/>
      <c r="Z3539" s="20"/>
      <c r="AG3539" s="20"/>
      <c r="AQ3539" s="19"/>
      <c r="AR3539" s="19"/>
      <c r="AS3539" s="19"/>
      <c r="AT3539" s="19"/>
      <c r="AU3539" s="19"/>
    </row>
    <row r="3540" spans="3:47">
      <c r="C3540" s="20"/>
      <c r="Z3540" s="20"/>
      <c r="AG3540" s="20"/>
      <c r="AQ3540" s="19"/>
      <c r="AR3540" s="19"/>
      <c r="AS3540" s="19"/>
      <c r="AT3540" s="19"/>
      <c r="AU3540" s="19"/>
    </row>
    <row r="3541" spans="3:47">
      <c r="C3541" s="20"/>
      <c r="Z3541" s="20"/>
      <c r="AG3541" s="20"/>
      <c r="AQ3541" s="19"/>
      <c r="AR3541" s="19"/>
      <c r="AS3541" s="19"/>
      <c r="AT3541" s="19"/>
      <c r="AU3541" s="19"/>
    </row>
    <row r="3542" spans="3:47">
      <c r="C3542" s="20"/>
      <c r="Z3542" s="20"/>
      <c r="AG3542" s="20"/>
      <c r="AQ3542" s="19"/>
      <c r="AR3542" s="19"/>
      <c r="AS3542" s="19"/>
      <c r="AT3542" s="19"/>
      <c r="AU3542" s="19"/>
    </row>
    <row r="3543" spans="3:47">
      <c r="C3543" s="20"/>
      <c r="Z3543" s="20"/>
      <c r="AG3543" s="20"/>
      <c r="AQ3543" s="19"/>
      <c r="AR3543" s="19"/>
      <c r="AS3543" s="19"/>
      <c r="AT3543" s="19"/>
      <c r="AU3543" s="19"/>
    </row>
    <row r="3544" spans="3:47">
      <c r="C3544" s="20"/>
      <c r="Z3544" s="20"/>
      <c r="AG3544" s="20"/>
      <c r="AQ3544" s="19"/>
      <c r="AR3544" s="19"/>
      <c r="AS3544" s="19"/>
      <c r="AT3544" s="19"/>
      <c r="AU3544" s="19"/>
    </row>
    <row r="3545" spans="3:47">
      <c r="C3545" s="20"/>
      <c r="Z3545" s="20"/>
      <c r="AG3545" s="20"/>
      <c r="AQ3545" s="19"/>
      <c r="AR3545" s="19"/>
      <c r="AS3545" s="19"/>
      <c r="AT3545" s="19"/>
      <c r="AU3545" s="19"/>
    </row>
    <row r="3546" spans="3:47">
      <c r="C3546" s="20"/>
      <c r="Z3546" s="20"/>
      <c r="AG3546" s="20"/>
      <c r="AQ3546" s="19"/>
      <c r="AR3546" s="19"/>
      <c r="AS3546" s="19"/>
      <c r="AT3546" s="19"/>
      <c r="AU3546" s="19"/>
    </row>
    <row r="3547" spans="3:47">
      <c r="C3547" s="20"/>
      <c r="Z3547" s="20"/>
      <c r="AG3547" s="20"/>
      <c r="AQ3547" s="19"/>
      <c r="AR3547" s="19"/>
      <c r="AS3547" s="19"/>
      <c r="AT3547" s="19"/>
      <c r="AU3547" s="19"/>
    </row>
    <row r="3548" spans="3:47">
      <c r="C3548" s="20"/>
      <c r="Z3548" s="20"/>
      <c r="AG3548" s="20"/>
      <c r="AQ3548" s="19"/>
      <c r="AR3548" s="19"/>
      <c r="AS3548" s="19"/>
      <c r="AT3548" s="19"/>
      <c r="AU3548" s="19"/>
    </row>
    <row r="3549" spans="3:47">
      <c r="C3549" s="20"/>
      <c r="Z3549" s="20"/>
      <c r="AG3549" s="20"/>
      <c r="AQ3549" s="19"/>
      <c r="AR3549" s="19"/>
      <c r="AS3549" s="19"/>
      <c r="AT3549" s="19"/>
      <c r="AU3549" s="19"/>
    </row>
    <row r="3550" spans="3:47">
      <c r="C3550" s="20"/>
      <c r="Z3550" s="20"/>
      <c r="AG3550" s="20"/>
      <c r="AQ3550" s="19"/>
      <c r="AR3550" s="19"/>
      <c r="AS3550" s="19"/>
      <c r="AT3550" s="19"/>
      <c r="AU3550" s="19"/>
    </row>
    <row r="3551" spans="3:47">
      <c r="C3551" s="20"/>
      <c r="Z3551" s="20"/>
      <c r="AG3551" s="20"/>
      <c r="AQ3551" s="19"/>
      <c r="AR3551" s="19"/>
      <c r="AS3551" s="19"/>
      <c r="AT3551" s="19"/>
      <c r="AU3551" s="19"/>
    </row>
    <row r="3552" spans="3:47">
      <c r="C3552" s="20"/>
      <c r="Z3552" s="20"/>
      <c r="AG3552" s="20"/>
      <c r="AQ3552" s="19"/>
      <c r="AR3552" s="19"/>
      <c r="AS3552" s="19"/>
      <c r="AT3552" s="19"/>
      <c r="AU3552" s="19"/>
    </row>
    <row r="3553" spans="3:47">
      <c r="C3553" s="20"/>
      <c r="Z3553" s="20"/>
      <c r="AG3553" s="20"/>
      <c r="AQ3553" s="19"/>
      <c r="AR3553" s="19"/>
      <c r="AS3553" s="19"/>
      <c r="AT3553" s="19"/>
      <c r="AU3553" s="19"/>
    </row>
    <row r="3554" spans="3:47">
      <c r="C3554" s="20"/>
      <c r="Z3554" s="20"/>
      <c r="AG3554" s="20"/>
      <c r="AQ3554" s="19"/>
      <c r="AR3554" s="19"/>
      <c r="AS3554" s="19"/>
      <c r="AT3554" s="19"/>
      <c r="AU3554" s="19"/>
    </row>
    <row r="3555" spans="3:47">
      <c r="C3555" s="20"/>
      <c r="Z3555" s="20"/>
      <c r="AG3555" s="20"/>
      <c r="AQ3555" s="19"/>
      <c r="AR3555" s="19"/>
      <c r="AS3555" s="19"/>
      <c r="AT3555" s="19"/>
      <c r="AU3555" s="19"/>
    </row>
    <row r="3556" spans="3:47">
      <c r="C3556" s="20"/>
      <c r="Z3556" s="20"/>
      <c r="AG3556" s="20"/>
      <c r="AQ3556" s="19"/>
      <c r="AR3556" s="19"/>
      <c r="AS3556" s="19"/>
      <c r="AT3556" s="19"/>
      <c r="AU3556" s="19"/>
    </row>
    <row r="3557" spans="3:47">
      <c r="C3557" s="20"/>
      <c r="Z3557" s="20"/>
      <c r="AG3557" s="20"/>
      <c r="AQ3557" s="19"/>
      <c r="AR3557" s="19"/>
      <c r="AS3557" s="19"/>
      <c r="AT3557" s="19"/>
      <c r="AU3557" s="19"/>
    </row>
    <row r="3558" spans="3:47">
      <c r="C3558" s="20"/>
      <c r="Z3558" s="20"/>
      <c r="AG3558" s="20"/>
      <c r="AQ3558" s="19"/>
      <c r="AR3558" s="19"/>
      <c r="AS3558" s="19"/>
      <c r="AT3558" s="19"/>
      <c r="AU3558" s="19"/>
    </row>
    <row r="3559" spans="3:47">
      <c r="C3559" s="20"/>
      <c r="Z3559" s="20"/>
      <c r="AG3559" s="20"/>
      <c r="AQ3559" s="19"/>
      <c r="AR3559" s="19"/>
      <c r="AS3559" s="19"/>
      <c r="AT3559" s="19"/>
      <c r="AU3559" s="19"/>
    </row>
    <row r="3560" spans="3:47">
      <c r="C3560" s="20"/>
      <c r="Z3560" s="20"/>
      <c r="AG3560" s="20"/>
      <c r="AQ3560" s="19"/>
      <c r="AR3560" s="19"/>
      <c r="AS3560" s="19"/>
      <c r="AT3560" s="19"/>
      <c r="AU3560" s="19"/>
    </row>
    <row r="3561" spans="3:47">
      <c r="C3561" s="20"/>
      <c r="Z3561" s="20"/>
      <c r="AG3561" s="20"/>
      <c r="AQ3561" s="19"/>
      <c r="AR3561" s="19"/>
      <c r="AS3561" s="19"/>
      <c r="AT3561" s="19"/>
      <c r="AU3561" s="19"/>
    </row>
    <row r="3562" spans="3:47">
      <c r="C3562" s="20"/>
      <c r="Z3562" s="20"/>
      <c r="AG3562" s="20"/>
      <c r="AQ3562" s="19"/>
      <c r="AR3562" s="19"/>
      <c r="AS3562" s="19"/>
      <c r="AT3562" s="19"/>
      <c r="AU3562" s="19"/>
    </row>
    <row r="3563" spans="3:47">
      <c r="C3563" s="20"/>
      <c r="Z3563" s="20"/>
      <c r="AG3563" s="20"/>
      <c r="AQ3563" s="19"/>
      <c r="AR3563" s="19"/>
      <c r="AS3563" s="19"/>
      <c r="AT3563" s="19"/>
      <c r="AU3563" s="19"/>
    </row>
    <row r="3564" spans="3:47">
      <c r="C3564" s="20"/>
      <c r="Z3564" s="20"/>
      <c r="AG3564" s="20"/>
      <c r="AQ3564" s="19"/>
      <c r="AR3564" s="19"/>
      <c r="AS3564" s="19"/>
      <c r="AT3564" s="19"/>
      <c r="AU3564" s="19"/>
    </row>
    <row r="3565" spans="3:47">
      <c r="C3565" s="20"/>
      <c r="Z3565" s="20"/>
      <c r="AG3565" s="20"/>
      <c r="AQ3565" s="19"/>
      <c r="AR3565" s="19"/>
      <c r="AS3565" s="19"/>
      <c r="AT3565" s="19"/>
      <c r="AU3565" s="19"/>
    </row>
    <row r="3566" spans="3:47">
      <c r="C3566" s="20"/>
      <c r="Z3566" s="20"/>
      <c r="AG3566" s="20"/>
      <c r="AQ3566" s="19"/>
      <c r="AR3566" s="19"/>
      <c r="AS3566" s="19"/>
      <c r="AT3566" s="19"/>
      <c r="AU3566" s="19"/>
    </row>
    <row r="3567" spans="3:47">
      <c r="C3567" s="20"/>
      <c r="Z3567" s="20"/>
      <c r="AG3567" s="20"/>
      <c r="AQ3567" s="19"/>
      <c r="AR3567" s="19"/>
      <c r="AS3567" s="19"/>
      <c r="AT3567" s="19"/>
      <c r="AU3567" s="19"/>
    </row>
    <row r="3568" spans="3:47">
      <c r="C3568" s="20"/>
      <c r="Z3568" s="20"/>
      <c r="AG3568" s="20"/>
      <c r="AQ3568" s="19"/>
      <c r="AR3568" s="19"/>
      <c r="AS3568" s="19"/>
      <c r="AT3568" s="19"/>
      <c r="AU3568" s="19"/>
    </row>
    <row r="3569" spans="3:47">
      <c r="C3569" s="20"/>
      <c r="Z3569" s="20"/>
      <c r="AG3569" s="20"/>
      <c r="AQ3569" s="19"/>
      <c r="AR3569" s="19"/>
      <c r="AS3569" s="19"/>
      <c r="AT3569" s="19"/>
      <c r="AU3569" s="19"/>
    </row>
    <row r="3570" spans="3:47">
      <c r="C3570" s="20"/>
      <c r="Z3570" s="20"/>
      <c r="AG3570" s="20"/>
      <c r="AQ3570" s="19"/>
      <c r="AR3570" s="19"/>
      <c r="AS3570" s="19"/>
      <c r="AT3570" s="19"/>
      <c r="AU3570" s="19"/>
    </row>
    <row r="3571" spans="3:47">
      <c r="C3571" s="20"/>
      <c r="Z3571" s="20"/>
      <c r="AG3571" s="20"/>
      <c r="AQ3571" s="19"/>
      <c r="AR3571" s="19"/>
      <c r="AS3571" s="19"/>
      <c r="AT3571" s="19"/>
      <c r="AU3571" s="19"/>
    </row>
    <row r="3572" spans="3:47">
      <c r="C3572" s="20"/>
      <c r="Z3572" s="20"/>
      <c r="AG3572" s="20"/>
      <c r="AQ3572" s="19"/>
      <c r="AR3572" s="19"/>
      <c r="AS3572" s="19"/>
      <c r="AT3572" s="19"/>
      <c r="AU3572" s="19"/>
    </row>
    <row r="3573" spans="3:47">
      <c r="C3573" s="20"/>
      <c r="Z3573" s="20"/>
      <c r="AG3573" s="20"/>
      <c r="AQ3573" s="19"/>
      <c r="AR3573" s="19"/>
      <c r="AS3573" s="19"/>
      <c r="AT3573" s="19"/>
      <c r="AU3573" s="19"/>
    </row>
    <row r="3574" spans="3:47">
      <c r="C3574" s="20"/>
      <c r="Z3574" s="20"/>
      <c r="AG3574" s="20"/>
      <c r="AQ3574" s="19"/>
      <c r="AR3574" s="19"/>
      <c r="AS3574" s="19"/>
      <c r="AT3574" s="19"/>
      <c r="AU3574" s="19"/>
    </row>
    <row r="3575" spans="3:47">
      <c r="C3575" s="20"/>
      <c r="Z3575" s="20"/>
      <c r="AG3575" s="20"/>
      <c r="AQ3575" s="19"/>
      <c r="AR3575" s="19"/>
      <c r="AS3575" s="19"/>
      <c r="AT3575" s="19"/>
      <c r="AU3575" s="19"/>
    </row>
    <row r="3576" spans="3:47">
      <c r="C3576" s="20"/>
      <c r="Z3576" s="20"/>
      <c r="AG3576" s="20"/>
      <c r="AQ3576" s="19"/>
      <c r="AR3576" s="19"/>
      <c r="AS3576" s="19"/>
      <c r="AT3576" s="19"/>
      <c r="AU3576" s="19"/>
    </row>
    <row r="3577" spans="3:47">
      <c r="C3577" s="20"/>
      <c r="Z3577" s="20"/>
      <c r="AG3577" s="20"/>
      <c r="AQ3577" s="19"/>
      <c r="AR3577" s="19"/>
      <c r="AS3577" s="19"/>
      <c r="AT3577" s="19"/>
      <c r="AU3577" s="19"/>
    </row>
    <row r="3578" spans="3:47">
      <c r="C3578" s="20"/>
      <c r="Z3578" s="20"/>
      <c r="AG3578" s="20"/>
      <c r="AQ3578" s="19"/>
      <c r="AR3578" s="19"/>
      <c r="AS3578" s="19"/>
      <c r="AT3578" s="19"/>
      <c r="AU3578" s="19"/>
    </row>
    <row r="3579" spans="3:47">
      <c r="C3579" s="20"/>
      <c r="Z3579" s="20"/>
      <c r="AG3579" s="20"/>
      <c r="AQ3579" s="19"/>
      <c r="AR3579" s="19"/>
      <c r="AS3579" s="19"/>
      <c r="AT3579" s="19"/>
      <c r="AU3579" s="19"/>
    </row>
    <row r="3580" spans="3:47">
      <c r="C3580" s="20"/>
      <c r="Z3580" s="20"/>
      <c r="AG3580" s="20"/>
      <c r="AQ3580" s="19"/>
      <c r="AR3580" s="19"/>
      <c r="AS3580" s="19"/>
      <c r="AT3580" s="19"/>
      <c r="AU3580" s="19"/>
    </row>
    <row r="3581" spans="3:47">
      <c r="C3581" s="20"/>
      <c r="Z3581" s="20"/>
      <c r="AG3581" s="20"/>
      <c r="AQ3581" s="19"/>
      <c r="AR3581" s="19"/>
      <c r="AS3581" s="19"/>
      <c r="AT3581" s="19"/>
      <c r="AU3581" s="19"/>
    </row>
    <row r="3582" spans="3:47">
      <c r="C3582" s="20"/>
      <c r="Z3582" s="20"/>
      <c r="AG3582" s="20"/>
      <c r="AQ3582" s="19"/>
      <c r="AR3582" s="19"/>
      <c r="AS3582" s="19"/>
      <c r="AT3582" s="19"/>
      <c r="AU3582" s="19"/>
    </row>
    <row r="3583" spans="3:47">
      <c r="C3583" s="20"/>
      <c r="Z3583" s="20"/>
      <c r="AG3583" s="20"/>
      <c r="AQ3583" s="19"/>
      <c r="AR3583" s="19"/>
      <c r="AS3583" s="19"/>
      <c r="AT3583" s="19"/>
      <c r="AU3583" s="19"/>
    </row>
    <row r="3584" spans="3:47">
      <c r="C3584" s="20"/>
      <c r="Z3584" s="20"/>
      <c r="AG3584" s="20"/>
      <c r="AQ3584" s="19"/>
      <c r="AR3584" s="19"/>
      <c r="AS3584" s="19"/>
      <c r="AT3584" s="19"/>
      <c r="AU3584" s="19"/>
    </row>
    <row r="3585" spans="3:47">
      <c r="C3585" s="20"/>
      <c r="Z3585" s="20"/>
      <c r="AG3585" s="20"/>
      <c r="AQ3585" s="19"/>
      <c r="AR3585" s="19"/>
      <c r="AS3585" s="19"/>
      <c r="AT3585" s="19"/>
      <c r="AU3585" s="19"/>
    </row>
    <row r="3586" spans="3:47">
      <c r="C3586" s="20"/>
      <c r="Z3586" s="20"/>
      <c r="AG3586" s="20"/>
      <c r="AQ3586" s="19"/>
      <c r="AR3586" s="19"/>
      <c r="AS3586" s="19"/>
      <c r="AT3586" s="19"/>
      <c r="AU3586" s="19"/>
    </row>
    <row r="3587" spans="3:47">
      <c r="C3587" s="20"/>
      <c r="Z3587" s="20"/>
      <c r="AG3587" s="20"/>
      <c r="AQ3587" s="19"/>
      <c r="AR3587" s="19"/>
      <c r="AS3587" s="19"/>
      <c r="AT3587" s="19"/>
      <c r="AU3587" s="19"/>
    </row>
    <row r="3588" spans="3:47">
      <c r="C3588" s="20"/>
      <c r="Z3588" s="20"/>
      <c r="AG3588" s="20"/>
      <c r="AQ3588" s="19"/>
      <c r="AR3588" s="19"/>
      <c r="AS3588" s="19"/>
      <c r="AT3588" s="19"/>
      <c r="AU3588" s="19"/>
    </row>
    <row r="3589" spans="3:47">
      <c r="C3589" s="20"/>
      <c r="Z3589" s="20"/>
      <c r="AG3589" s="20"/>
      <c r="AQ3589" s="19"/>
      <c r="AR3589" s="19"/>
      <c r="AS3589" s="19"/>
      <c r="AT3589" s="19"/>
      <c r="AU3589" s="19"/>
    </row>
    <row r="3590" spans="3:47">
      <c r="C3590" s="20"/>
      <c r="Z3590" s="20"/>
      <c r="AG3590" s="20"/>
      <c r="AQ3590" s="19"/>
      <c r="AR3590" s="19"/>
      <c r="AS3590" s="19"/>
      <c r="AT3590" s="19"/>
      <c r="AU3590" s="19"/>
    </row>
    <row r="3591" spans="3:47">
      <c r="C3591" s="20"/>
      <c r="Z3591" s="20"/>
      <c r="AG3591" s="20"/>
      <c r="AQ3591" s="19"/>
      <c r="AR3591" s="19"/>
      <c r="AS3591" s="19"/>
      <c r="AT3591" s="19"/>
      <c r="AU3591" s="19"/>
    </row>
    <row r="3592" spans="3:47">
      <c r="C3592" s="20"/>
      <c r="Z3592" s="20"/>
      <c r="AG3592" s="20"/>
      <c r="AQ3592" s="19"/>
      <c r="AR3592" s="19"/>
      <c r="AS3592" s="19"/>
      <c r="AT3592" s="19"/>
      <c r="AU3592" s="19"/>
    </row>
    <row r="3593" spans="3:47">
      <c r="C3593" s="20"/>
      <c r="Z3593" s="20"/>
      <c r="AG3593" s="20"/>
      <c r="AQ3593" s="19"/>
      <c r="AR3593" s="19"/>
      <c r="AS3593" s="19"/>
      <c r="AT3593" s="19"/>
      <c r="AU3593" s="19"/>
    </row>
    <row r="3594" spans="3:47">
      <c r="C3594" s="20"/>
      <c r="Z3594" s="20"/>
      <c r="AG3594" s="20"/>
      <c r="AQ3594" s="19"/>
      <c r="AR3594" s="19"/>
      <c r="AS3594" s="19"/>
      <c r="AT3594" s="19"/>
      <c r="AU3594" s="19"/>
    </row>
    <row r="3595" spans="3:47">
      <c r="C3595" s="20"/>
      <c r="Z3595" s="20"/>
      <c r="AG3595" s="20"/>
      <c r="AQ3595" s="19"/>
      <c r="AR3595" s="19"/>
      <c r="AS3595" s="19"/>
      <c r="AT3595" s="19"/>
      <c r="AU3595" s="19"/>
    </row>
    <row r="3596" spans="3:47">
      <c r="C3596" s="20"/>
      <c r="Z3596" s="20"/>
      <c r="AG3596" s="20"/>
      <c r="AQ3596" s="19"/>
      <c r="AR3596" s="19"/>
      <c r="AS3596" s="19"/>
      <c r="AT3596" s="19"/>
      <c r="AU3596" s="19"/>
    </row>
    <row r="3597" spans="3:47">
      <c r="C3597" s="20"/>
      <c r="Z3597" s="20"/>
      <c r="AG3597" s="20"/>
      <c r="AQ3597" s="19"/>
      <c r="AR3597" s="19"/>
      <c r="AS3597" s="19"/>
      <c r="AT3597" s="19"/>
      <c r="AU3597" s="19"/>
    </row>
    <row r="3598" spans="3:47">
      <c r="C3598" s="20"/>
      <c r="Z3598" s="20"/>
      <c r="AG3598" s="20"/>
      <c r="AQ3598" s="19"/>
      <c r="AR3598" s="19"/>
      <c r="AS3598" s="19"/>
      <c r="AT3598" s="19"/>
      <c r="AU3598" s="19"/>
    </row>
    <row r="3599" spans="3:47">
      <c r="C3599" s="20"/>
      <c r="Z3599" s="20"/>
      <c r="AG3599" s="20"/>
      <c r="AQ3599" s="19"/>
      <c r="AR3599" s="19"/>
      <c r="AS3599" s="19"/>
      <c r="AT3599" s="19"/>
      <c r="AU3599" s="19"/>
    </row>
    <row r="3600" spans="3:47">
      <c r="C3600" s="20"/>
      <c r="Z3600" s="20"/>
      <c r="AG3600" s="20"/>
      <c r="AQ3600" s="19"/>
      <c r="AR3600" s="19"/>
      <c r="AS3600" s="19"/>
      <c r="AT3600" s="19"/>
      <c r="AU3600" s="19"/>
    </row>
    <row r="3601" spans="3:47">
      <c r="C3601" s="20"/>
      <c r="Z3601" s="20"/>
      <c r="AG3601" s="20"/>
      <c r="AQ3601" s="19"/>
      <c r="AR3601" s="19"/>
      <c r="AS3601" s="19"/>
      <c r="AT3601" s="19"/>
      <c r="AU3601" s="19"/>
    </row>
    <row r="3602" spans="3:47">
      <c r="C3602" s="20"/>
      <c r="Z3602" s="20"/>
      <c r="AG3602" s="20"/>
      <c r="AQ3602" s="19"/>
      <c r="AR3602" s="19"/>
      <c r="AS3602" s="19"/>
      <c r="AT3602" s="19"/>
      <c r="AU3602" s="19"/>
    </row>
    <row r="3603" spans="3:47">
      <c r="C3603" s="20"/>
      <c r="Z3603" s="20"/>
      <c r="AG3603" s="20"/>
      <c r="AQ3603" s="19"/>
      <c r="AR3603" s="19"/>
      <c r="AS3603" s="19"/>
      <c r="AT3603" s="19"/>
      <c r="AU3603" s="19"/>
    </row>
    <row r="3604" spans="3:47">
      <c r="C3604" s="20"/>
      <c r="Z3604" s="20"/>
      <c r="AG3604" s="20"/>
      <c r="AQ3604" s="19"/>
      <c r="AR3604" s="19"/>
      <c r="AS3604" s="19"/>
      <c r="AT3604" s="19"/>
      <c r="AU3604" s="19"/>
    </row>
    <row r="3605" spans="3:47">
      <c r="C3605" s="20"/>
      <c r="Z3605" s="20"/>
      <c r="AG3605" s="20"/>
      <c r="AQ3605" s="19"/>
      <c r="AR3605" s="19"/>
      <c r="AS3605" s="19"/>
      <c r="AT3605" s="19"/>
      <c r="AU3605" s="19"/>
    </row>
    <row r="3606" spans="3:47">
      <c r="C3606" s="20"/>
      <c r="Z3606" s="20"/>
      <c r="AG3606" s="20"/>
      <c r="AQ3606" s="19"/>
      <c r="AR3606" s="19"/>
      <c r="AS3606" s="19"/>
      <c r="AT3606" s="19"/>
      <c r="AU3606" s="19"/>
    </row>
    <row r="3607" spans="3:47">
      <c r="C3607" s="20"/>
      <c r="Z3607" s="20"/>
      <c r="AG3607" s="20"/>
      <c r="AQ3607" s="19"/>
      <c r="AR3607" s="19"/>
      <c r="AS3607" s="19"/>
      <c r="AT3607" s="19"/>
      <c r="AU3607" s="19"/>
    </row>
    <row r="3608" spans="3:47">
      <c r="C3608" s="20"/>
      <c r="Z3608" s="20"/>
      <c r="AG3608" s="20"/>
      <c r="AQ3608" s="19"/>
      <c r="AR3608" s="19"/>
      <c r="AS3608" s="19"/>
      <c r="AT3608" s="19"/>
      <c r="AU3608" s="19"/>
    </row>
    <row r="3609" spans="3:47">
      <c r="C3609" s="20"/>
      <c r="Z3609" s="20"/>
      <c r="AG3609" s="20"/>
      <c r="AQ3609" s="19"/>
      <c r="AR3609" s="19"/>
      <c r="AS3609" s="19"/>
      <c r="AT3609" s="19"/>
      <c r="AU3609" s="19"/>
    </row>
    <row r="3610" spans="3:47">
      <c r="C3610" s="20"/>
      <c r="Z3610" s="20"/>
      <c r="AG3610" s="20"/>
      <c r="AQ3610" s="19"/>
      <c r="AR3610" s="19"/>
      <c r="AS3610" s="19"/>
      <c r="AT3610" s="19"/>
      <c r="AU3610" s="19"/>
    </row>
    <row r="3611" spans="3:47">
      <c r="C3611" s="20"/>
      <c r="Z3611" s="20"/>
      <c r="AG3611" s="20"/>
      <c r="AQ3611" s="19"/>
      <c r="AR3611" s="19"/>
      <c r="AS3611" s="19"/>
      <c r="AT3611" s="19"/>
      <c r="AU3611" s="19"/>
    </row>
    <row r="3612" spans="3:47">
      <c r="C3612" s="20"/>
      <c r="Z3612" s="20"/>
      <c r="AG3612" s="20"/>
      <c r="AQ3612" s="19"/>
      <c r="AR3612" s="19"/>
      <c r="AS3612" s="19"/>
      <c r="AT3612" s="19"/>
      <c r="AU3612" s="19"/>
    </row>
    <row r="3613" spans="3:47">
      <c r="C3613" s="20"/>
      <c r="Z3613" s="20"/>
      <c r="AG3613" s="20"/>
      <c r="AQ3613" s="19"/>
      <c r="AR3613" s="19"/>
      <c r="AS3613" s="19"/>
      <c r="AT3613" s="19"/>
      <c r="AU3613" s="19"/>
    </row>
    <row r="3614" spans="3:47">
      <c r="C3614" s="20"/>
      <c r="Z3614" s="20"/>
      <c r="AG3614" s="20"/>
      <c r="AQ3614" s="19"/>
      <c r="AR3614" s="19"/>
      <c r="AS3614" s="19"/>
      <c r="AT3614" s="19"/>
      <c r="AU3614" s="19"/>
    </row>
    <row r="3615" spans="3:47">
      <c r="C3615" s="20"/>
      <c r="Z3615" s="20"/>
      <c r="AG3615" s="20"/>
      <c r="AQ3615" s="19"/>
      <c r="AR3615" s="19"/>
      <c r="AS3615" s="19"/>
      <c r="AT3615" s="19"/>
      <c r="AU3615" s="19"/>
    </row>
    <row r="3616" spans="3:47">
      <c r="C3616" s="20"/>
      <c r="Z3616" s="20"/>
      <c r="AG3616" s="20"/>
      <c r="AQ3616" s="19"/>
      <c r="AR3616" s="19"/>
      <c r="AS3616" s="19"/>
      <c r="AT3616" s="19"/>
      <c r="AU3616" s="19"/>
    </row>
    <row r="3617" spans="3:47">
      <c r="C3617" s="20"/>
      <c r="Z3617" s="20"/>
      <c r="AG3617" s="20"/>
      <c r="AQ3617" s="19"/>
      <c r="AR3617" s="19"/>
      <c r="AS3617" s="19"/>
      <c r="AT3617" s="19"/>
      <c r="AU3617" s="19"/>
    </row>
    <row r="3618" spans="3:47">
      <c r="C3618" s="20"/>
      <c r="Z3618" s="20"/>
      <c r="AG3618" s="20"/>
      <c r="AQ3618" s="19"/>
      <c r="AR3618" s="19"/>
      <c r="AS3618" s="19"/>
      <c r="AT3618" s="19"/>
      <c r="AU3618" s="19"/>
    </row>
    <row r="3619" spans="3:47">
      <c r="C3619" s="20"/>
      <c r="Z3619" s="20"/>
      <c r="AG3619" s="20"/>
      <c r="AQ3619" s="19"/>
      <c r="AR3619" s="19"/>
      <c r="AS3619" s="19"/>
      <c r="AT3619" s="19"/>
      <c r="AU3619" s="19"/>
    </row>
    <row r="3620" spans="3:47">
      <c r="C3620" s="20"/>
      <c r="Z3620" s="20"/>
      <c r="AG3620" s="20"/>
      <c r="AQ3620" s="19"/>
      <c r="AR3620" s="19"/>
      <c r="AS3620" s="19"/>
      <c r="AT3620" s="19"/>
      <c r="AU3620" s="19"/>
    </row>
    <row r="3621" spans="3:47">
      <c r="C3621" s="20"/>
      <c r="Z3621" s="20"/>
      <c r="AG3621" s="20"/>
      <c r="AQ3621" s="19"/>
      <c r="AR3621" s="19"/>
      <c r="AS3621" s="19"/>
      <c r="AT3621" s="19"/>
      <c r="AU3621" s="19"/>
    </row>
    <row r="3622" spans="3:47">
      <c r="C3622" s="20"/>
      <c r="Z3622" s="20"/>
      <c r="AG3622" s="20"/>
      <c r="AQ3622" s="19"/>
      <c r="AR3622" s="19"/>
      <c r="AS3622" s="19"/>
      <c r="AT3622" s="19"/>
      <c r="AU3622" s="19"/>
    </row>
    <row r="3623" spans="3:47">
      <c r="C3623" s="20"/>
      <c r="Z3623" s="20"/>
      <c r="AG3623" s="20"/>
      <c r="AQ3623" s="19"/>
      <c r="AR3623" s="19"/>
      <c r="AS3623" s="19"/>
      <c r="AT3623" s="19"/>
      <c r="AU3623" s="19"/>
    </row>
    <row r="3624" spans="3:47">
      <c r="C3624" s="20"/>
      <c r="Z3624" s="20"/>
      <c r="AG3624" s="20"/>
      <c r="AQ3624" s="19"/>
      <c r="AR3624" s="19"/>
      <c r="AS3624" s="19"/>
      <c r="AT3624" s="19"/>
      <c r="AU3624" s="19"/>
    </row>
    <row r="3625" spans="3:47">
      <c r="C3625" s="20"/>
      <c r="Z3625" s="20"/>
      <c r="AG3625" s="20"/>
      <c r="AQ3625" s="19"/>
      <c r="AR3625" s="19"/>
      <c r="AS3625" s="19"/>
      <c r="AT3625" s="19"/>
      <c r="AU3625" s="19"/>
    </row>
    <row r="3626" spans="3:47">
      <c r="C3626" s="20"/>
      <c r="Z3626" s="20"/>
      <c r="AG3626" s="20"/>
      <c r="AQ3626" s="19"/>
      <c r="AR3626" s="19"/>
      <c r="AS3626" s="19"/>
      <c r="AT3626" s="19"/>
      <c r="AU3626" s="19"/>
    </row>
    <row r="3627" spans="3:47">
      <c r="C3627" s="20"/>
      <c r="Z3627" s="20"/>
      <c r="AG3627" s="20"/>
      <c r="AQ3627" s="19"/>
      <c r="AR3627" s="19"/>
      <c r="AS3627" s="19"/>
      <c r="AT3627" s="19"/>
      <c r="AU3627" s="19"/>
    </row>
    <row r="3628" spans="3:47">
      <c r="C3628" s="20"/>
      <c r="Z3628" s="20"/>
      <c r="AG3628" s="20"/>
      <c r="AQ3628" s="19"/>
      <c r="AR3628" s="19"/>
      <c r="AS3628" s="19"/>
      <c r="AT3628" s="19"/>
      <c r="AU3628" s="19"/>
    </row>
    <row r="3629" spans="3:47">
      <c r="C3629" s="20"/>
      <c r="Z3629" s="20"/>
      <c r="AG3629" s="20"/>
      <c r="AQ3629" s="19"/>
      <c r="AR3629" s="19"/>
      <c r="AS3629" s="19"/>
      <c r="AT3629" s="19"/>
      <c r="AU3629" s="19"/>
    </row>
    <row r="3630" spans="3:47">
      <c r="C3630" s="20"/>
      <c r="Z3630" s="20"/>
      <c r="AG3630" s="20"/>
      <c r="AQ3630" s="19"/>
      <c r="AR3630" s="19"/>
      <c r="AS3630" s="19"/>
      <c r="AT3630" s="19"/>
      <c r="AU3630" s="19"/>
    </row>
    <row r="3631" spans="3:47">
      <c r="C3631" s="20"/>
      <c r="Z3631" s="20"/>
      <c r="AG3631" s="20"/>
      <c r="AQ3631" s="19"/>
      <c r="AR3631" s="19"/>
      <c r="AS3631" s="19"/>
      <c r="AT3631" s="19"/>
      <c r="AU3631" s="19"/>
    </row>
    <row r="3632" spans="3:47">
      <c r="C3632" s="20"/>
      <c r="Z3632" s="20"/>
      <c r="AG3632" s="20"/>
      <c r="AQ3632" s="19"/>
      <c r="AR3632" s="19"/>
      <c r="AS3632" s="19"/>
      <c r="AT3632" s="19"/>
      <c r="AU3632" s="19"/>
    </row>
    <row r="3633" spans="3:47">
      <c r="C3633" s="20"/>
      <c r="Z3633" s="20"/>
      <c r="AG3633" s="20"/>
      <c r="AQ3633" s="19"/>
      <c r="AR3633" s="19"/>
      <c r="AS3633" s="19"/>
      <c r="AT3633" s="19"/>
      <c r="AU3633" s="19"/>
    </row>
    <row r="3634" spans="3:47">
      <c r="C3634" s="20"/>
      <c r="Z3634" s="20"/>
      <c r="AG3634" s="20"/>
      <c r="AQ3634" s="19"/>
      <c r="AR3634" s="19"/>
      <c r="AS3634" s="19"/>
      <c r="AT3634" s="19"/>
      <c r="AU3634" s="19"/>
    </row>
    <row r="3635" spans="3:47">
      <c r="C3635" s="20"/>
      <c r="Z3635" s="20"/>
      <c r="AG3635" s="20"/>
      <c r="AQ3635" s="19"/>
      <c r="AR3635" s="19"/>
      <c r="AS3635" s="19"/>
      <c r="AT3635" s="19"/>
      <c r="AU3635" s="19"/>
    </row>
    <row r="3636" spans="3:47">
      <c r="C3636" s="20"/>
      <c r="Z3636" s="20"/>
      <c r="AG3636" s="20"/>
      <c r="AQ3636" s="19"/>
      <c r="AR3636" s="19"/>
      <c r="AS3636" s="19"/>
      <c r="AT3636" s="19"/>
      <c r="AU3636" s="19"/>
    </row>
    <row r="3637" spans="3:47">
      <c r="C3637" s="20"/>
      <c r="Z3637" s="20"/>
      <c r="AG3637" s="20"/>
      <c r="AQ3637" s="19"/>
      <c r="AR3637" s="19"/>
      <c r="AS3637" s="19"/>
      <c r="AT3637" s="19"/>
      <c r="AU3637" s="19"/>
    </row>
    <row r="3638" spans="3:47">
      <c r="C3638" s="20"/>
      <c r="Z3638" s="20"/>
      <c r="AG3638" s="20"/>
      <c r="AQ3638" s="19"/>
      <c r="AR3638" s="19"/>
      <c r="AS3638" s="19"/>
      <c r="AT3638" s="19"/>
      <c r="AU3638" s="19"/>
    </row>
    <row r="3639" spans="3:47">
      <c r="C3639" s="20"/>
      <c r="Z3639" s="20"/>
      <c r="AG3639" s="20"/>
      <c r="AQ3639" s="19"/>
      <c r="AR3639" s="19"/>
      <c r="AS3639" s="19"/>
      <c r="AT3639" s="19"/>
      <c r="AU3639" s="19"/>
    </row>
    <row r="3640" spans="3:47">
      <c r="C3640" s="20"/>
      <c r="Z3640" s="20"/>
      <c r="AG3640" s="20"/>
      <c r="AQ3640" s="19"/>
      <c r="AR3640" s="19"/>
      <c r="AS3640" s="19"/>
      <c r="AT3640" s="19"/>
      <c r="AU3640" s="19"/>
    </row>
    <row r="3641" spans="3:47">
      <c r="C3641" s="20"/>
      <c r="Z3641" s="20"/>
      <c r="AG3641" s="20"/>
      <c r="AQ3641" s="19"/>
      <c r="AR3641" s="19"/>
      <c r="AS3641" s="19"/>
      <c r="AT3641" s="19"/>
      <c r="AU3641" s="19"/>
    </row>
    <row r="3642" spans="3:47">
      <c r="C3642" s="20"/>
      <c r="Z3642" s="20"/>
      <c r="AG3642" s="20"/>
      <c r="AQ3642" s="19"/>
      <c r="AR3642" s="19"/>
      <c r="AS3642" s="19"/>
      <c r="AT3642" s="19"/>
      <c r="AU3642" s="19"/>
    </row>
    <row r="3643" spans="3:47">
      <c r="C3643" s="20"/>
      <c r="Z3643" s="20"/>
      <c r="AG3643" s="20"/>
      <c r="AQ3643" s="19"/>
      <c r="AR3643" s="19"/>
      <c r="AS3643" s="19"/>
      <c r="AT3643" s="19"/>
      <c r="AU3643" s="19"/>
    </row>
    <row r="3644" spans="3:47">
      <c r="C3644" s="20"/>
      <c r="Z3644" s="20"/>
      <c r="AG3644" s="20"/>
      <c r="AQ3644" s="19"/>
      <c r="AR3644" s="19"/>
      <c r="AS3644" s="19"/>
      <c r="AT3644" s="19"/>
      <c r="AU3644" s="19"/>
    </row>
    <row r="3645" spans="3:47">
      <c r="C3645" s="20"/>
      <c r="Z3645" s="20"/>
      <c r="AG3645" s="20"/>
      <c r="AQ3645" s="19"/>
      <c r="AR3645" s="19"/>
      <c r="AS3645" s="19"/>
      <c r="AT3645" s="19"/>
      <c r="AU3645" s="19"/>
    </row>
    <row r="3646" spans="3:47">
      <c r="C3646" s="20"/>
      <c r="Z3646" s="20"/>
      <c r="AG3646" s="20"/>
      <c r="AQ3646" s="19"/>
      <c r="AR3646" s="19"/>
      <c r="AS3646" s="19"/>
      <c r="AT3646" s="19"/>
      <c r="AU3646" s="19"/>
    </row>
    <row r="3647" spans="3:47">
      <c r="C3647" s="20"/>
      <c r="Z3647" s="20"/>
      <c r="AG3647" s="20"/>
      <c r="AQ3647" s="19"/>
      <c r="AR3647" s="19"/>
      <c r="AS3647" s="19"/>
      <c r="AT3647" s="19"/>
      <c r="AU3647" s="19"/>
    </row>
    <row r="3648" spans="3:47">
      <c r="C3648" s="20"/>
      <c r="Z3648" s="20"/>
      <c r="AG3648" s="20"/>
      <c r="AQ3648" s="19"/>
      <c r="AR3648" s="19"/>
      <c r="AS3648" s="19"/>
      <c r="AT3648" s="19"/>
      <c r="AU3648" s="19"/>
    </row>
    <row r="3649" spans="3:47">
      <c r="C3649" s="20"/>
      <c r="Z3649" s="20"/>
      <c r="AG3649" s="20"/>
      <c r="AQ3649" s="19"/>
      <c r="AR3649" s="19"/>
      <c r="AS3649" s="19"/>
      <c r="AT3649" s="19"/>
      <c r="AU3649" s="19"/>
    </row>
    <row r="3650" spans="3:47">
      <c r="C3650" s="20"/>
      <c r="Z3650" s="20"/>
      <c r="AG3650" s="20"/>
      <c r="AQ3650" s="19"/>
      <c r="AR3650" s="19"/>
      <c r="AS3650" s="19"/>
      <c r="AT3650" s="19"/>
      <c r="AU3650" s="19"/>
    </row>
    <row r="3651" spans="3:47">
      <c r="C3651" s="20"/>
      <c r="Z3651" s="20"/>
      <c r="AG3651" s="20"/>
      <c r="AQ3651" s="19"/>
      <c r="AR3651" s="19"/>
      <c r="AS3651" s="19"/>
      <c r="AT3651" s="19"/>
      <c r="AU3651" s="19"/>
    </row>
    <row r="3652" spans="3:47">
      <c r="C3652" s="20"/>
      <c r="Z3652" s="20"/>
      <c r="AG3652" s="20"/>
      <c r="AQ3652" s="19"/>
      <c r="AR3652" s="19"/>
      <c r="AS3652" s="19"/>
      <c r="AT3652" s="19"/>
      <c r="AU3652" s="19"/>
    </row>
    <row r="3653" spans="3:47">
      <c r="C3653" s="20"/>
      <c r="Z3653" s="20"/>
      <c r="AG3653" s="20"/>
      <c r="AQ3653" s="19"/>
      <c r="AR3653" s="19"/>
      <c r="AS3653" s="19"/>
      <c r="AT3653" s="19"/>
      <c r="AU3653" s="19"/>
    </row>
    <row r="3654" spans="3:47">
      <c r="C3654" s="20"/>
      <c r="Z3654" s="20"/>
      <c r="AG3654" s="20"/>
      <c r="AQ3654" s="19"/>
      <c r="AR3654" s="19"/>
      <c r="AS3654" s="19"/>
      <c r="AT3654" s="19"/>
      <c r="AU3654" s="19"/>
    </row>
    <row r="3655" spans="3:47">
      <c r="C3655" s="20"/>
      <c r="Z3655" s="20"/>
      <c r="AG3655" s="20"/>
      <c r="AQ3655" s="19"/>
      <c r="AR3655" s="19"/>
      <c r="AS3655" s="19"/>
      <c r="AT3655" s="19"/>
      <c r="AU3655" s="19"/>
    </row>
    <row r="3656" spans="3:47">
      <c r="C3656" s="20"/>
      <c r="Z3656" s="20"/>
      <c r="AG3656" s="20"/>
      <c r="AQ3656" s="19"/>
      <c r="AR3656" s="19"/>
      <c r="AS3656" s="19"/>
      <c r="AT3656" s="19"/>
      <c r="AU3656" s="19"/>
    </row>
    <row r="3657" spans="3:47">
      <c r="C3657" s="20"/>
      <c r="Z3657" s="20"/>
      <c r="AG3657" s="20"/>
      <c r="AQ3657" s="19"/>
      <c r="AR3657" s="19"/>
      <c r="AS3657" s="19"/>
      <c r="AT3657" s="19"/>
      <c r="AU3657" s="19"/>
    </row>
    <row r="3658" spans="3:47">
      <c r="C3658" s="20"/>
      <c r="Z3658" s="20"/>
      <c r="AG3658" s="20"/>
      <c r="AQ3658" s="19"/>
      <c r="AR3658" s="19"/>
      <c r="AS3658" s="19"/>
      <c r="AT3658" s="19"/>
      <c r="AU3658" s="19"/>
    </row>
    <row r="3659" spans="3:47">
      <c r="C3659" s="20"/>
      <c r="Z3659" s="20"/>
      <c r="AG3659" s="20"/>
      <c r="AQ3659" s="19"/>
      <c r="AR3659" s="19"/>
      <c r="AS3659" s="19"/>
      <c r="AT3659" s="19"/>
      <c r="AU3659" s="19"/>
    </row>
    <row r="3660" spans="3:47">
      <c r="C3660" s="20"/>
      <c r="Z3660" s="20"/>
      <c r="AG3660" s="20"/>
      <c r="AQ3660" s="19"/>
      <c r="AR3660" s="19"/>
      <c r="AS3660" s="19"/>
      <c r="AT3660" s="19"/>
      <c r="AU3660" s="19"/>
    </row>
    <row r="3661" spans="3:47">
      <c r="C3661" s="20"/>
      <c r="Z3661" s="20"/>
      <c r="AG3661" s="20"/>
      <c r="AQ3661" s="19"/>
      <c r="AR3661" s="19"/>
      <c r="AS3661" s="19"/>
      <c r="AT3661" s="19"/>
      <c r="AU3661" s="19"/>
    </row>
    <row r="3662" spans="3:47">
      <c r="C3662" s="20"/>
      <c r="Z3662" s="20"/>
      <c r="AG3662" s="20"/>
      <c r="AQ3662" s="19"/>
      <c r="AR3662" s="19"/>
      <c r="AS3662" s="19"/>
      <c r="AT3662" s="19"/>
      <c r="AU3662" s="19"/>
    </row>
    <row r="3663" spans="3:47">
      <c r="C3663" s="20"/>
      <c r="Z3663" s="20"/>
      <c r="AG3663" s="20"/>
      <c r="AQ3663" s="19"/>
      <c r="AR3663" s="19"/>
      <c r="AS3663" s="19"/>
      <c r="AT3663" s="19"/>
      <c r="AU3663" s="19"/>
    </row>
    <row r="3664" spans="3:47">
      <c r="C3664" s="20"/>
      <c r="Z3664" s="20"/>
      <c r="AG3664" s="20"/>
      <c r="AQ3664" s="19"/>
      <c r="AR3664" s="19"/>
      <c r="AS3664" s="19"/>
      <c r="AT3664" s="19"/>
      <c r="AU3664" s="19"/>
    </row>
    <row r="3665" spans="3:47">
      <c r="C3665" s="20"/>
      <c r="Z3665" s="20"/>
      <c r="AG3665" s="20"/>
      <c r="AQ3665" s="19"/>
      <c r="AR3665" s="19"/>
      <c r="AS3665" s="19"/>
      <c r="AT3665" s="19"/>
      <c r="AU3665" s="19"/>
    </row>
    <row r="3666" spans="3:47">
      <c r="C3666" s="20"/>
      <c r="Z3666" s="20"/>
      <c r="AG3666" s="20"/>
      <c r="AQ3666" s="19"/>
      <c r="AR3666" s="19"/>
      <c r="AS3666" s="19"/>
      <c r="AT3666" s="19"/>
      <c r="AU3666" s="19"/>
    </row>
    <row r="3667" spans="3:47">
      <c r="C3667" s="20"/>
      <c r="Z3667" s="20"/>
      <c r="AG3667" s="20"/>
      <c r="AQ3667" s="19"/>
      <c r="AR3667" s="19"/>
      <c r="AS3667" s="19"/>
      <c r="AT3667" s="19"/>
      <c r="AU3667" s="19"/>
    </row>
    <row r="3668" spans="3:47">
      <c r="C3668" s="20"/>
      <c r="Z3668" s="20"/>
      <c r="AG3668" s="20"/>
      <c r="AQ3668" s="19"/>
      <c r="AR3668" s="19"/>
      <c r="AS3668" s="19"/>
      <c r="AT3668" s="19"/>
      <c r="AU3668" s="19"/>
    </row>
    <row r="3669" spans="3:47">
      <c r="C3669" s="20"/>
      <c r="Z3669" s="20"/>
      <c r="AG3669" s="20"/>
      <c r="AQ3669" s="19"/>
      <c r="AR3669" s="19"/>
      <c r="AS3669" s="19"/>
      <c r="AT3669" s="19"/>
      <c r="AU3669" s="19"/>
    </row>
    <row r="3670" spans="3:47">
      <c r="C3670" s="20"/>
      <c r="Z3670" s="20"/>
      <c r="AG3670" s="20"/>
      <c r="AQ3670" s="19"/>
      <c r="AR3670" s="19"/>
      <c r="AS3670" s="19"/>
      <c r="AT3670" s="19"/>
      <c r="AU3670" s="19"/>
    </row>
    <row r="3671" spans="3:47">
      <c r="C3671" s="20"/>
      <c r="Z3671" s="20"/>
      <c r="AG3671" s="20"/>
      <c r="AQ3671" s="19"/>
      <c r="AR3671" s="19"/>
      <c r="AS3671" s="19"/>
      <c r="AT3671" s="19"/>
      <c r="AU3671" s="19"/>
    </row>
    <row r="3672" spans="3:47">
      <c r="C3672" s="20"/>
      <c r="Z3672" s="20"/>
      <c r="AG3672" s="20"/>
      <c r="AQ3672" s="19"/>
      <c r="AR3672" s="19"/>
      <c r="AS3672" s="19"/>
      <c r="AT3672" s="19"/>
      <c r="AU3672" s="19"/>
    </row>
    <row r="3673" spans="3:47">
      <c r="C3673" s="20"/>
      <c r="Z3673" s="20"/>
      <c r="AG3673" s="20"/>
      <c r="AQ3673" s="19"/>
      <c r="AR3673" s="19"/>
      <c r="AS3673" s="19"/>
      <c r="AT3673" s="19"/>
      <c r="AU3673" s="19"/>
    </row>
    <row r="3674" spans="3:47">
      <c r="C3674" s="20"/>
      <c r="Z3674" s="20"/>
      <c r="AG3674" s="20"/>
      <c r="AQ3674" s="19"/>
      <c r="AR3674" s="19"/>
      <c r="AS3674" s="19"/>
      <c r="AT3674" s="19"/>
      <c r="AU3674" s="19"/>
    </row>
    <row r="3675" spans="3:47">
      <c r="C3675" s="20"/>
      <c r="Z3675" s="20"/>
      <c r="AG3675" s="20"/>
      <c r="AQ3675" s="19"/>
      <c r="AR3675" s="19"/>
      <c r="AS3675" s="19"/>
      <c r="AT3675" s="19"/>
      <c r="AU3675" s="19"/>
    </row>
    <row r="3676" spans="3:47">
      <c r="C3676" s="20"/>
      <c r="Z3676" s="20"/>
      <c r="AG3676" s="20"/>
      <c r="AQ3676" s="19"/>
      <c r="AR3676" s="19"/>
      <c r="AS3676" s="19"/>
      <c r="AT3676" s="19"/>
      <c r="AU3676" s="19"/>
    </row>
    <row r="3677" spans="3:47">
      <c r="C3677" s="20"/>
      <c r="Z3677" s="20"/>
      <c r="AG3677" s="20"/>
      <c r="AQ3677" s="19"/>
      <c r="AR3677" s="19"/>
      <c r="AS3677" s="19"/>
      <c r="AT3677" s="19"/>
      <c r="AU3677" s="19"/>
    </row>
    <row r="3678" spans="3:47">
      <c r="C3678" s="20"/>
      <c r="Z3678" s="20"/>
      <c r="AG3678" s="20"/>
      <c r="AQ3678" s="19"/>
      <c r="AR3678" s="19"/>
      <c r="AS3678" s="19"/>
      <c r="AT3678" s="19"/>
      <c r="AU3678" s="19"/>
    </row>
    <row r="3679" spans="3:47">
      <c r="C3679" s="20"/>
      <c r="Z3679" s="20"/>
      <c r="AG3679" s="20"/>
      <c r="AQ3679" s="19"/>
      <c r="AR3679" s="19"/>
      <c r="AS3679" s="19"/>
      <c r="AT3679" s="19"/>
      <c r="AU3679" s="19"/>
    </row>
    <row r="3680" spans="3:47">
      <c r="C3680" s="20"/>
      <c r="Z3680" s="20"/>
      <c r="AG3680" s="20"/>
      <c r="AQ3680" s="19"/>
      <c r="AR3680" s="19"/>
      <c r="AS3680" s="19"/>
      <c r="AT3680" s="19"/>
      <c r="AU3680" s="19"/>
    </row>
    <row r="3681" spans="3:47">
      <c r="C3681" s="20"/>
      <c r="Z3681" s="20"/>
      <c r="AG3681" s="20"/>
      <c r="AQ3681" s="19"/>
      <c r="AR3681" s="19"/>
      <c r="AS3681" s="19"/>
      <c r="AT3681" s="19"/>
      <c r="AU3681" s="19"/>
    </row>
    <row r="3682" spans="3:47">
      <c r="C3682" s="20"/>
      <c r="Z3682" s="20"/>
      <c r="AG3682" s="20"/>
      <c r="AQ3682" s="19"/>
      <c r="AR3682" s="19"/>
      <c r="AS3682" s="19"/>
      <c r="AT3682" s="19"/>
      <c r="AU3682" s="19"/>
    </row>
    <row r="3683" spans="3:47">
      <c r="C3683" s="20"/>
      <c r="Z3683" s="20"/>
      <c r="AG3683" s="20"/>
      <c r="AQ3683" s="19"/>
      <c r="AR3683" s="19"/>
      <c r="AS3683" s="19"/>
      <c r="AT3683" s="19"/>
      <c r="AU3683" s="19"/>
    </row>
    <row r="3684" spans="3:47">
      <c r="C3684" s="20"/>
      <c r="Z3684" s="20"/>
      <c r="AG3684" s="20"/>
      <c r="AQ3684" s="19"/>
      <c r="AR3684" s="19"/>
      <c r="AS3684" s="19"/>
      <c r="AT3684" s="19"/>
      <c r="AU3684" s="19"/>
    </row>
    <row r="3685" spans="3:47">
      <c r="C3685" s="20"/>
      <c r="Z3685" s="20"/>
      <c r="AG3685" s="20"/>
      <c r="AQ3685" s="19"/>
      <c r="AR3685" s="19"/>
      <c r="AS3685" s="19"/>
      <c r="AT3685" s="19"/>
      <c r="AU3685" s="19"/>
    </row>
    <row r="3686" spans="3:47">
      <c r="C3686" s="20"/>
      <c r="Z3686" s="20"/>
      <c r="AG3686" s="20"/>
      <c r="AQ3686" s="19"/>
      <c r="AR3686" s="19"/>
      <c r="AS3686" s="19"/>
      <c r="AT3686" s="19"/>
      <c r="AU3686" s="19"/>
    </row>
    <row r="3687" spans="3:47">
      <c r="C3687" s="20"/>
      <c r="Z3687" s="20"/>
      <c r="AG3687" s="20"/>
      <c r="AQ3687" s="19"/>
      <c r="AR3687" s="19"/>
      <c r="AS3687" s="19"/>
      <c r="AT3687" s="19"/>
      <c r="AU3687" s="19"/>
    </row>
    <row r="3688" spans="3:47">
      <c r="C3688" s="20"/>
      <c r="Z3688" s="20"/>
      <c r="AG3688" s="20"/>
      <c r="AQ3688" s="19"/>
      <c r="AR3688" s="19"/>
      <c r="AS3688" s="19"/>
      <c r="AT3688" s="19"/>
      <c r="AU3688" s="19"/>
    </row>
    <row r="3689" spans="3:47">
      <c r="C3689" s="20"/>
      <c r="Z3689" s="20"/>
      <c r="AG3689" s="20"/>
      <c r="AQ3689" s="19"/>
      <c r="AR3689" s="19"/>
      <c r="AS3689" s="19"/>
      <c r="AT3689" s="19"/>
      <c r="AU3689" s="19"/>
    </row>
    <row r="3690" spans="3:47">
      <c r="C3690" s="20"/>
      <c r="Z3690" s="20"/>
      <c r="AG3690" s="20"/>
      <c r="AQ3690" s="19"/>
      <c r="AR3690" s="19"/>
      <c r="AS3690" s="19"/>
      <c r="AT3690" s="19"/>
      <c r="AU3690" s="19"/>
    </row>
    <row r="3691" spans="3:47">
      <c r="C3691" s="20"/>
      <c r="Z3691" s="20"/>
      <c r="AG3691" s="20"/>
      <c r="AQ3691" s="19"/>
      <c r="AR3691" s="19"/>
      <c r="AS3691" s="19"/>
      <c r="AT3691" s="19"/>
      <c r="AU3691" s="19"/>
    </row>
    <row r="3692" spans="3:47">
      <c r="C3692" s="20"/>
      <c r="Z3692" s="20"/>
      <c r="AG3692" s="20"/>
      <c r="AQ3692" s="19"/>
      <c r="AR3692" s="19"/>
      <c r="AS3692" s="19"/>
      <c r="AT3692" s="19"/>
      <c r="AU3692" s="19"/>
    </row>
    <row r="3693" spans="3:47">
      <c r="C3693" s="20"/>
      <c r="Z3693" s="20"/>
      <c r="AG3693" s="20"/>
      <c r="AQ3693" s="19"/>
      <c r="AR3693" s="19"/>
      <c r="AS3693" s="19"/>
      <c r="AT3693" s="19"/>
      <c r="AU3693" s="19"/>
    </row>
    <row r="3694" spans="3:47">
      <c r="C3694" s="20"/>
      <c r="Z3694" s="20"/>
      <c r="AG3694" s="20"/>
      <c r="AQ3694" s="19"/>
      <c r="AR3694" s="19"/>
      <c r="AS3694" s="19"/>
      <c r="AT3694" s="19"/>
      <c r="AU3694" s="19"/>
    </row>
    <row r="3695" spans="3:47">
      <c r="C3695" s="20"/>
      <c r="Z3695" s="20"/>
      <c r="AG3695" s="20"/>
      <c r="AQ3695" s="19"/>
      <c r="AR3695" s="19"/>
      <c r="AS3695" s="19"/>
      <c r="AT3695" s="19"/>
      <c r="AU3695" s="19"/>
    </row>
    <row r="3696" spans="3:47">
      <c r="C3696" s="20"/>
      <c r="Z3696" s="20"/>
      <c r="AG3696" s="20"/>
      <c r="AQ3696" s="19"/>
      <c r="AR3696" s="19"/>
      <c r="AS3696" s="19"/>
      <c r="AT3696" s="19"/>
      <c r="AU3696" s="19"/>
    </row>
    <row r="3697" spans="3:47">
      <c r="C3697" s="20"/>
      <c r="Z3697" s="20"/>
      <c r="AG3697" s="20"/>
      <c r="AQ3697" s="19"/>
      <c r="AR3697" s="19"/>
      <c r="AS3697" s="19"/>
      <c r="AT3697" s="19"/>
      <c r="AU3697" s="19"/>
    </row>
    <row r="3698" spans="3:47">
      <c r="C3698" s="20"/>
      <c r="Z3698" s="20"/>
      <c r="AG3698" s="20"/>
      <c r="AQ3698" s="19"/>
      <c r="AR3698" s="19"/>
      <c r="AS3698" s="19"/>
      <c r="AT3698" s="19"/>
      <c r="AU3698" s="19"/>
    </row>
    <row r="3699" spans="3:47">
      <c r="C3699" s="20"/>
      <c r="Z3699" s="20"/>
      <c r="AG3699" s="20"/>
      <c r="AQ3699" s="19"/>
      <c r="AR3699" s="19"/>
      <c r="AS3699" s="19"/>
      <c r="AT3699" s="19"/>
      <c r="AU3699" s="19"/>
    </row>
    <row r="3700" spans="3:47">
      <c r="C3700" s="20"/>
      <c r="Z3700" s="20"/>
      <c r="AG3700" s="20"/>
      <c r="AQ3700" s="19"/>
      <c r="AR3700" s="19"/>
      <c r="AS3700" s="19"/>
      <c r="AT3700" s="19"/>
      <c r="AU3700" s="19"/>
    </row>
    <row r="3701" spans="3:47">
      <c r="C3701" s="20"/>
      <c r="Z3701" s="20"/>
      <c r="AG3701" s="20"/>
      <c r="AQ3701" s="19"/>
      <c r="AR3701" s="19"/>
      <c r="AS3701" s="19"/>
      <c r="AT3701" s="19"/>
      <c r="AU3701" s="19"/>
    </row>
    <row r="3702" spans="3:47">
      <c r="C3702" s="20"/>
      <c r="Z3702" s="20"/>
      <c r="AG3702" s="20"/>
      <c r="AQ3702" s="19"/>
      <c r="AR3702" s="19"/>
      <c r="AS3702" s="19"/>
      <c r="AT3702" s="19"/>
      <c r="AU3702" s="19"/>
    </row>
    <row r="3703" spans="3:47">
      <c r="C3703" s="20"/>
      <c r="Z3703" s="20"/>
      <c r="AG3703" s="20"/>
      <c r="AQ3703" s="19"/>
      <c r="AR3703" s="19"/>
      <c r="AS3703" s="19"/>
      <c r="AT3703" s="19"/>
      <c r="AU3703" s="19"/>
    </row>
    <row r="3704" spans="3:47">
      <c r="C3704" s="20"/>
      <c r="Z3704" s="20"/>
      <c r="AG3704" s="20"/>
      <c r="AQ3704" s="19"/>
      <c r="AR3704" s="19"/>
      <c r="AS3704" s="19"/>
      <c r="AT3704" s="19"/>
      <c r="AU3704" s="19"/>
    </row>
    <row r="3705" spans="3:47">
      <c r="C3705" s="20"/>
      <c r="Z3705" s="20"/>
      <c r="AG3705" s="20"/>
      <c r="AQ3705" s="19"/>
      <c r="AR3705" s="19"/>
      <c r="AS3705" s="19"/>
      <c r="AT3705" s="19"/>
      <c r="AU3705" s="19"/>
    </row>
    <row r="3706" spans="3:47">
      <c r="C3706" s="20"/>
      <c r="Z3706" s="20"/>
      <c r="AG3706" s="20"/>
      <c r="AQ3706" s="19"/>
      <c r="AR3706" s="19"/>
      <c r="AS3706" s="19"/>
      <c r="AT3706" s="19"/>
      <c r="AU3706" s="19"/>
    </row>
    <row r="3707" spans="3:47">
      <c r="C3707" s="20"/>
      <c r="Z3707" s="20"/>
      <c r="AG3707" s="20"/>
      <c r="AQ3707" s="19"/>
      <c r="AR3707" s="19"/>
      <c r="AS3707" s="19"/>
      <c r="AT3707" s="19"/>
      <c r="AU3707" s="19"/>
    </row>
    <row r="3708" spans="3:47">
      <c r="C3708" s="20"/>
      <c r="Z3708" s="20"/>
      <c r="AG3708" s="20"/>
      <c r="AQ3708" s="19"/>
      <c r="AR3708" s="19"/>
      <c r="AS3708" s="19"/>
      <c r="AT3708" s="19"/>
      <c r="AU3708" s="19"/>
    </row>
    <row r="3709" spans="3:47">
      <c r="C3709" s="20"/>
      <c r="Z3709" s="20"/>
      <c r="AG3709" s="20"/>
      <c r="AQ3709" s="19"/>
      <c r="AR3709" s="19"/>
      <c r="AS3709" s="19"/>
      <c r="AT3709" s="19"/>
      <c r="AU3709" s="19"/>
    </row>
    <row r="3710" spans="3:47">
      <c r="C3710" s="20"/>
      <c r="Z3710" s="20"/>
      <c r="AG3710" s="20"/>
      <c r="AQ3710" s="19"/>
      <c r="AR3710" s="19"/>
      <c r="AS3710" s="19"/>
      <c r="AT3710" s="19"/>
      <c r="AU3710" s="19"/>
    </row>
    <row r="3711" spans="3:47">
      <c r="C3711" s="20"/>
      <c r="Z3711" s="20"/>
      <c r="AG3711" s="20"/>
      <c r="AQ3711" s="19"/>
      <c r="AR3711" s="19"/>
      <c r="AS3711" s="19"/>
      <c r="AT3711" s="19"/>
      <c r="AU3711" s="19"/>
    </row>
    <row r="3712" spans="3:47">
      <c r="C3712" s="20"/>
      <c r="Z3712" s="20"/>
      <c r="AG3712" s="20"/>
      <c r="AQ3712" s="19"/>
      <c r="AR3712" s="19"/>
      <c r="AS3712" s="19"/>
      <c r="AT3712" s="19"/>
      <c r="AU3712" s="19"/>
    </row>
    <row r="3713" spans="3:47">
      <c r="C3713" s="20"/>
      <c r="Z3713" s="20"/>
      <c r="AG3713" s="20"/>
      <c r="AQ3713" s="19"/>
      <c r="AR3713" s="19"/>
      <c r="AS3713" s="19"/>
      <c r="AT3713" s="19"/>
      <c r="AU3713" s="19"/>
    </row>
    <row r="3714" spans="3:47">
      <c r="C3714" s="20"/>
      <c r="Z3714" s="20"/>
      <c r="AG3714" s="20"/>
      <c r="AQ3714" s="19"/>
      <c r="AR3714" s="19"/>
      <c r="AS3714" s="19"/>
      <c r="AT3714" s="19"/>
      <c r="AU3714" s="19"/>
    </row>
    <row r="3715" spans="3:47">
      <c r="C3715" s="20"/>
      <c r="Z3715" s="20"/>
      <c r="AG3715" s="20"/>
      <c r="AQ3715" s="19"/>
      <c r="AR3715" s="19"/>
      <c r="AS3715" s="19"/>
      <c r="AT3715" s="19"/>
      <c r="AU3715" s="19"/>
    </row>
    <row r="3716" spans="3:47">
      <c r="C3716" s="20"/>
      <c r="Z3716" s="20"/>
      <c r="AG3716" s="20"/>
      <c r="AQ3716" s="19"/>
      <c r="AR3716" s="19"/>
      <c r="AS3716" s="19"/>
      <c r="AT3716" s="19"/>
      <c r="AU3716" s="19"/>
    </row>
    <row r="3717" spans="3:47">
      <c r="C3717" s="20"/>
      <c r="Z3717" s="20"/>
      <c r="AG3717" s="20"/>
      <c r="AQ3717" s="19"/>
      <c r="AR3717" s="19"/>
      <c r="AS3717" s="19"/>
      <c r="AT3717" s="19"/>
      <c r="AU3717" s="19"/>
    </row>
    <row r="3718" spans="3:47">
      <c r="C3718" s="20"/>
      <c r="Z3718" s="20"/>
      <c r="AG3718" s="20"/>
      <c r="AQ3718" s="19"/>
      <c r="AR3718" s="19"/>
      <c r="AS3718" s="19"/>
      <c r="AT3718" s="19"/>
      <c r="AU3718" s="19"/>
    </row>
    <row r="3719" spans="3:47">
      <c r="C3719" s="20"/>
      <c r="Z3719" s="20"/>
      <c r="AG3719" s="20"/>
      <c r="AQ3719" s="19"/>
      <c r="AR3719" s="19"/>
      <c r="AS3719" s="19"/>
      <c r="AT3719" s="19"/>
      <c r="AU3719" s="19"/>
    </row>
    <row r="3720" spans="3:47">
      <c r="C3720" s="20"/>
      <c r="Z3720" s="20"/>
      <c r="AG3720" s="20"/>
      <c r="AQ3720" s="19"/>
      <c r="AR3720" s="19"/>
      <c r="AS3720" s="19"/>
      <c r="AT3720" s="19"/>
      <c r="AU3720" s="19"/>
    </row>
    <row r="3721" spans="3:47">
      <c r="C3721" s="20"/>
      <c r="Z3721" s="20"/>
      <c r="AG3721" s="20"/>
      <c r="AQ3721" s="19"/>
      <c r="AR3721" s="19"/>
      <c r="AS3721" s="19"/>
      <c r="AT3721" s="19"/>
      <c r="AU3721" s="19"/>
    </row>
    <row r="3722" spans="3:47">
      <c r="C3722" s="20"/>
      <c r="Z3722" s="20"/>
      <c r="AG3722" s="20"/>
      <c r="AQ3722" s="19"/>
      <c r="AR3722" s="19"/>
      <c r="AS3722" s="19"/>
      <c r="AT3722" s="19"/>
      <c r="AU3722" s="19"/>
    </row>
    <row r="3723" spans="3:47">
      <c r="C3723" s="20"/>
      <c r="Z3723" s="20"/>
      <c r="AG3723" s="20"/>
      <c r="AQ3723" s="19"/>
      <c r="AR3723" s="19"/>
      <c r="AS3723" s="19"/>
      <c r="AT3723" s="19"/>
      <c r="AU3723" s="19"/>
    </row>
    <row r="3724" spans="3:47">
      <c r="C3724" s="20"/>
      <c r="Z3724" s="20"/>
      <c r="AG3724" s="20"/>
      <c r="AQ3724" s="19"/>
      <c r="AR3724" s="19"/>
      <c r="AS3724" s="19"/>
      <c r="AT3724" s="19"/>
      <c r="AU3724" s="19"/>
    </row>
    <row r="3725" spans="3:47">
      <c r="C3725" s="20"/>
      <c r="Z3725" s="20"/>
      <c r="AG3725" s="20"/>
      <c r="AQ3725" s="19"/>
      <c r="AR3725" s="19"/>
      <c r="AS3725" s="19"/>
      <c r="AT3725" s="19"/>
      <c r="AU3725" s="19"/>
    </row>
    <row r="3726" spans="3:47">
      <c r="C3726" s="20"/>
      <c r="Z3726" s="20"/>
      <c r="AG3726" s="20"/>
      <c r="AQ3726" s="19"/>
      <c r="AR3726" s="19"/>
      <c r="AS3726" s="19"/>
      <c r="AT3726" s="19"/>
      <c r="AU3726" s="19"/>
    </row>
    <row r="3727" spans="3:47">
      <c r="C3727" s="20"/>
      <c r="Z3727" s="20"/>
      <c r="AG3727" s="20"/>
      <c r="AQ3727" s="19"/>
      <c r="AR3727" s="19"/>
      <c r="AS3727" s="19"/>
      <c r="AT3727" s="19"/>
      <c r="AU3727" s="19"/>
    </row>
    <row r="3728" spans="3:47">
      <c r="C3728" s="20"/>
      <c r="Z3728" s="20"/>
      <c r="AG3728" s="20"/>
      <c r="AQ3728" s="19"/>
      <c r="AR3728" s="19"/>
      <c r="AS3728" s="19"/>
      <c r="AT3728" s="19"/>
      <c r="AU3728" s="19"/>
    </row>
    <row r="3729" spans="3:47">
      <c r="C3729" s="20"/>
      <c r="Z3729" s="20"/>
      <c r="AG3729" s="20"/>
      <c r="AQ3729" s="19"/>
      <c r="AR3729" s="19"/>
      <c r="AS3729" s="19"/>
      <c r="AT3729" s="19"/>
      <c r="AU3729" s="19"/>
    </row>
    <row r="3730" spans="3:47">
      <c r="C3730" s="20"/>
      <c r="Z3730" s="20"/>
      <c r="AG3730" s="20"/>
      <c r="AQ3730" s="19"/>
      <c r="AR3730" s="19"/>
      <c r="AS3730" s="19"/>
      <c r="AT3730" s="19"/>
      <c r="AU3730" s="19"/>
    </row>
    <row r="3731" spans="3:47">
      <c r="C3731" s="20"/>
      <c r="Z3731" s="20"/>
      <c r="AG3731" s="20"/>
      <c r="AQ3731" s="19"/>
      <c r="AR3731" s="19"/>
      <c r="AS3731" s="19"/>
      <c r="AT3731" s="19"/>
      <c r="AU3731" s="19"/>
    </row>
    <row r="3732" spans="3:47">
      <c r="C3732" s="20"/>
      <c r="Z3732" s="20"/>
      <c r="AG3732" s="20"/>
      <c r="AQ3732" s="19"/>
      <c r="AR3732" s="19"/>
      <c r="AS3732" s="19"/>
      <c r="AT3732" s="19"/>
      <c r="AU3732" s="19"/>
    </row>
    <row r="3733" spans="3:47">
      <c r="C3733" s="20"/>
      <c r="Z3733" s="20"/>
      <c r="AG3733" s="20"/>
      <c r="AQ3733" s="19"/>
      <c r="AR3733" s="19"/>
      <c r="AS3733" s="19"/>
      <c r="AT3733" s="19"/>
      <c r="AU3733" s="19"/>
    </row>
    <row r="3734" spans="3:47">
      <c r="C3734" s="20"/>
      <c r="Z3734" s="20"/>
      <c r="AG3734" s="20"/>
      <c r="AQ3734" s="19"/>
      <c r="AR3734" s="19"/>
      <c r="AS3734" s="19"/>
      <c r="AT3734" s="19"/>
      <c r="AU3734" s="19"/>
    </row>
    <row r="3735" spans="3:47">
      <c r="C3735" s="20"/>
      <c r="Z3735" s="20"/>
      <c r="AG3735" s="20"/>
      <c r="AQ3735" s="19"/>
      <c r="AR3735" s="19"/>
      <c r="AS3735" s="19"/>
      <c r="AT3735" s="19"/>
      <c r="AU3735" s="19"/>
    </row>
    <row r="3736" spans="3:47">
      <c r="C3736" s="20"/>
      <c r="Z3736" s="20"/>
      <c r="AG3736" s="20"/>
      <c r="AQ3736" s="19"/>
      <c r="AR3736" s="19"/>
      <c r="AS3736" s="19"/>
      <c r="AT3736" s="19"/>
      <c r="AU3736" s="19"/>
    </row>
    <row r="3737" spans="3:47">
      <c r="C3737" s="20"/>
      <c r="Z3737" s="20"/>
      <c r="AG3737" s="20"/>
      <c r="AQ3737" s="19"/>
      <c r="AR3737" s="19"/>
      <c r="AS3737" s="19"/>
      <c r="AT3737" s="19"/>
      <c r="AU3737" s="19"/>
    </row>
    <row r="3738" spans="3:47">
      <c r="C3738" s="20"/>
      <c r="Z3738" s="20"/>
      <c r="AG3738" s="20"/>
      <c r="AQ3738" s="19"/>
      <c r="AR3738" s="19"/>
      <c r="AS3738" s="19"/>
      <c r="AT3738" s="19"/>
      <c r="AU3738" s="19"/>
    </row>
    <row r="3739" spans="3:47">
      <c r="C3739" s="20"/>
      <c r="Z3739" s="20"/>
      <c r="AG3739" s="20"/>
      <c r="AQ3739" s="19"/>
      <c r="AR3739" s="19"/>
      <c r="AS3739" s="19"/>
      <c r="AT3739" s="19"/>
      <c r="AU3739" s="19"/>
    </row>
    <row r="3740" spans="3:47">
      <c r="C3740" s="20"/>
      <c r="Z3740" s="20"/>
      <c r="AG3740" s="20"/>
      <c r="AQ3740" s="19"/>
      <c r="AR3740" s="19"/>
      <c r="AS3740" s="19"/>
      <c r="AT3740" s="19"/>
      <c r="AU3740" s="19"/>
    </row>
    <row r="3741" spans="3:47">
      <c r="C3741" s="20"/>
      <c r="Z3741" s="20"/>
      <c r="AG3741" s="20"/>
      <c r="AQ3741" s="19"/>
      <c r="AR3741" s="19"/>
      <c r="AS3741" s="19"/>
      <c r="AT3741" s="19"/>
      <c r="AU3741" s="19"/>
    </row>
    <row r="3742" spans="3:47">
      <c r="C3742" s="20"/>
      <c r="Z3742" s="20"/>
      <c r="AG3742" s="20"/>
      <c r="AQ3742" s="19"/>
      <c r="AR3742" s="19"/>
      <c r="AS3742" s="19"/>
      <c r="AT3742" s="19"/>
      <c r="AU3742" s="19"/>
    </row>
    <row r="3743" spans="3:47">
      <c r="C3743" s="20"/>
      <c r="Z3743" s="20"/>
      <c r="AG3743" s="20"/>
      <c r="AQ3743" s="19"/>
      <c r="AR3743" s="19"/>
      <c r="AS3743" s="19"/>
      <c r="AT3743" s="19"/>
      <c r="AU3743" s="19"/>
    </row>
    <row r="3744" spans="3:47">
      <c r="C3744" s="20"/>
      <c r="Z3744" s="20"/>
      <c r="AG3744" s="20"/>
      <c r="AQ3744" s="19"/>
      <c r="AR3744" s="19"/>
      <c r="AS3744" s="19"/>
      <c r="AT3744" s="19"/>
      <c r="AU3744" s="19"/>
    </row>
    <row r="3745" spans="3:47">
      <c r="C3745" s="20"/>
      <c r="Z3745" s="20"/>
      <c r="AG3745" s="20"/>
      <c r="AQ3745" s="19"/>
      <c r="AR3745" s="19"/>
      <c r="AS3745" s="19"/>
      <c r="AT3745" s="19"/>
      <c r="AU3745" s="19"/>
    </row>
    <row r="3746" spans="3:47">
      <c r="C3746" s="20"/>
      <c r="Z3746" s="20"/>
      <c r="AG3746" s="20"/>
      <c r="AQ3746" s="19"/>
      <c r="AR3746" s="19"/>
      <c r="AS3746" s="19"/>
      <c r="AT3746" s="19"/>
      <c r="AU3746" s="19"/>
    </row>
    <row r="3747" spans="3:47">
      <c r="C3747" s="20"/>
      <c r="Z3747" s="20"/>
      <c r="AG3747" s="20"/>
      <c r="AQ3747" s="19"/>
      <c r="AR3747" s="19"/>
      <c r="AS3747" s="19"/>
      <c r="AT3747" s="19"/>
      <c r="AU3747" s="19"/>
    </row>
    <row r="3748" spans="3:47">
      <c r="C3748" s="20"/>
      <c r="Z3748" s="20"/>
      <c r="AG3748" s="20"/>
      <c r="AQ3748" s="19"/>
      <c r="AR3748" s="19"/>
      <c r="AS3748" s="19"/>
      <c r="AT3748" s="19"/>
      <c r="AU3748" s="19"/>
    </row>
    <row r="3749" spans="3:47">
      <c r="C3749" s="20"/>
      <c r="Z3749" s="20"/>
      <c r="AG3749" s="20"/>
      <c r="AQ3749" s="19"/>
      <c r="AR3749" s="19"/>
      <c r="AS3749" s="19"/>
      <c r="AT3749" s="19"/>
      <c r="AU3749" s="19"/>
    </row>
    <row r="3750" spans="3:47">
      <c r="C3750" s="20"/>
      <c r="Z3750" s="20"/>
      <c r="AG3750" s="20"/>
      <c r="AQ3750" s="19"/>
      <c r="AR3750" s="19"/>
      <c r="AS3750" s="19"/>
      <c r="AT3750" s="19"/>
      <c r="AU3750" s="19"/>
    </row>
    <row r="3751" spans="3:47">
      <c r="C3751" s="20"/>
      <c r="Z3751" s="20"/>
      <c r="AG3751" s="20"/>
      <c r="AQ3751" s="19"/>
      <c r="AR3751" s="19"/>
      <c r="AS3751" s="19"/>
      <c r="AT3751" s="19"/>
      <c r="AU3751" s="19"/>
    </row>
    <row r="3752" spans="3:47">
      <c r="C3752" s="20"/>
      <c r="Z3752" s="20"/>
      <c r="AG3752" s="20"/>
      <c r="AQ3752" s="19"/>
      <c r="AR3752" s="19"/>
      <c r="AS3752" s="19"/>
      <c r="AT3752" s="19"/>
      <c r="AU3752" s="19"/>
    </row>
    <row r="3753" spans="3:47">
      <c r="C3753" s="20"/>
      <c r="Z3753" s="20"/>
      <c r="AG3753" s="20"/>
      <c r="AQ3753" s="19"/>
      <c r="AR3753" s="19"/>
      <c r="AS3753" s="19"/>
      <c r="AT3753" s="19"/>
      <c r="AU3753" s="19"/>
    </row>
    <row r="3754" spans="3:47">
      <c r="C3754" s="20"/>
      <c r="Z3754" s="20"/>
      <c r="AG3754" s="20"/>
      <c r="AQ3754" s="19"/>
      <c r="AR3754" s="19"/>
      <c r="AS3754" s="19"/>
      <c r="AT3754" s="19"/>
      <c r="AU3754" s="19"/>
    </row>
    <row r="3755" spans="3:47">
      <c r="C3755" s="20"/>
      <c r="Z3755" s="20"/>
      <c r="AG3755" s="20"/>
      <c r="AQ3755" s="19"/>
      <c r="AR3755" s="19"/>
      <c r="AS3755" s="19"/>
      <c r="AT3755" s="19"/>
      <c r="AU3755" s="19"/>
    </row>
    <row r="3756" spans="3:47">
      <c r="C3756" s="20"/>
      <c r="Z3756" s="20"/>
      <c r="AG3756" s="20"/>
      <c r="AQ3756" s="19"/>
      <c r="AR3756" s="19"/>
      <c r="AS3756" s="19"/>
      <c r="AT3756" s="19"/>
      <c r="AU3756" s="19"/>
    </row>
    <row r="3757" spans="3:47">
      <c r="C3757" s="20"/>
      <c r="Z3757" s="20"/>
      <c r="AG3757" s="20"/>
      <c r="AQ3757" s="19"/>
      <c r="AR3757" s="19"/>
      <c r="AS3757" s="19"/>
      <c r="AT3757" s="19"/>
      <c r="AU3757" s="19"/>
    </row>
    <row r="3758" spans="3:47">
      <c r="C3758" s="20"/>
      <c r="Z3758" s="20"/>
      <c r="AG3758" s="20"/>
      <c r="AQ3758" s="19"/>
      <c r="AR3758" s="19"/>
      <c r="AS3758" s="19"/>
      <c r="AT3758" s="19"/>
      <c r="AU3758" s="19"/>
    </row>
    <row r="3759" spans="3:47">
      <c r="C3759" s="20"/>
      <c r="Z3759" s="20"/>
      <c r="AG3759" s="20"/>
      <c r="AQ3759" s="19"/>
      <c r="AR3759" s="19"/>
      <c r="AS3759" s="19"/>
      <c r="AT3759" s="19"/>
      <c r="AU3759" s="19"/>
    </row>
    <row r="3760" spans="3:47">
      <c r="C3760" s="20"/>
      <c r="Z3760" s="20"/>
      <c r="AG3760" s="20"/>
      <c r="AQ3760" s="19"/>
      <c r="AR3760" s="19"/>
      <c r="AS3760" s="19"/>
      <c r="AT3760" s="19"/>
      <c r="AU3760" s="19"/>
    </row>
    <row r="3761" spans="3:47">
      <c r="C3761" s="20"/>
      <c r="Z3761" s="20"/>
      <c r="AG3761" s="20"/>
      <c r="AQ3761" s="19"/>
      <c r="AR3761" s="19"/>
      <c r="AS3761" s="19"/>
      <c r="AT3761" s="19"/>
      <c r="AU3761" s="19"/>
    </row>
    <row r="3762" spans="3:47">
      <c r="C3762" s="20"/>
      <c r="Z3762" s="20"/>
      <c r="AG3762" s="20"/>
      <c r="AQ3762" s="19"/>
      <c r="AR3762" s="19"/>
      <c r="AS3762" s="19"/>
      <c r="AT3762" s="19"/>
      <c r="AU3762" s="19"/>
    </row>
    <row r="3763" spans="3:47">
      <c r="C3763" s="20"/>
      <c r="Z3763" s="20"/>
      <c r="AG3763" s="20"/>
      <c r="AQ3763" s="19"/>
      <c r="AR3763" s="19"/>
      <c r="AS3763" s="19"/>
      <c r="AT3763" s="19"/>
      <c r="AU3763" s="19"/>
    </row>
    <row r="3764" spans="3:47">
      <c r="C3764" s="20"/>
      <c r="Z3764" s="20"/>
      <c r="AG3764" s="20"/>
      <c r="AQ3764" s="19"/>
      <c r="AR3764" s="19"/>
      <c r="AS3764" s="19"/>
      <c r="AT3764" s="19"/>
      <c r="AU3764" s="19"/>
    </row>
    <row r="3765" spans="3:47">
      <c r="C3765" s="20"/>
      <c r="Z3765" s="20"/>
      <c r="AG3765" s="20"/>
      <c r="AQ3765" s="19"/>
      <c r="AR3765" s="19"/>
      <c r="AS3765" s="19"/>
      <c r="AT3765" s="19"/>
      <c r="AU3765" s="19"/>
    </row>
    <row r="3766" spans="3:47">
      <c r="C3766" s="20"/>
      <c r="Z3766" s="20"/>
      <c r="AG3766" s="20"/>
      <c r="AQ3766" s="19"/>
      <c r="AR3766" s="19"/>
      <c r="AS3766" s="19"/>
      <c r="AT3766" s="19"/>
      <c r="AU3766" s="19"/>
    </row>
    <row r="3767" spans="3:47">
      <c r="C3767" s="20"/>
      <c r="Z3767" s="20"/>
      <c r="AG3767" s="20"/>
      <c r="AQ3767" s="19"/>
      <c r="AR3767" s="19"/>
      <c r="AS3767" s="19"/>
      <c r="AT3767" s="19"/>
      <c r="AU3767" s="19"/>
    </row>
    <row r="3768" spans="3:47">
      <c r="C3768" s="20"/>
      <c r="Z3768" s="20"/>
      <c r="AG3768" s="20"/>
      <c r="AQ3768" s="19"/>
      <c r="AR3768" s="19"/>
      <c r="AS3768" s="19"/>
      <c r="AT3768" s="19"/>
      <c r="AU3768" s="19"/>
    </row>
    <row r="3769" spans="3:47">
      <c r="C3769" s="20"/>
      <c r="Z3769" s="20"/>
      <c r="AG3769" s="20"/>
      <c r="AQ3769" s="19"/>
      <c r="AR3769" s="19"/>
      <c r="AS3769" s="19"/>
      <c r="AT3769" s="19"/>
      <c r="AU3769" s="19"/>
    </row>
    <row r="3770" spans="3:47">
      <c r="C3770" s="20"/>
      <c r="Z3770" s="20"/>
      <c r="AG3770" s="20"/>
      <c r="AQ3770" s="19"/>
      <c r="AR3770" s="19"/>
      <c r="AS3770" s="19"/>
      <c r="AT3770" s="19"/>
      <c r="AU3770" s="19"/>
    </row>
    <row r="3771" spans="3:47">
      <c r="C3771" s="20"/>
      <c r="Z3771" s="20"/>
      <c r="AG3771" s="20"/>
      <c r="AQ3771" s="19"/>
      <c r="AR3771" s="19"/>
      <c r="AS3771" s="19"/>
      <c r="AT3771" s="19"/>
      <c r="AU3771" s="19"/>
    </row>
    <row r="3772" spans="3:47">
      <c r="C3772" s="20"/>
      <c r="Z3772" s="20"/>
      <c r="AG3772" s="20"/>
      <c r="AQ3772" s="19"/>
      <c r="AR3772" s="19"/>
      <c r="AS3772" s="19"/>
      <c r="AT3772" s="19"/>
      <c r="AU3772" s="19"/>
    </row>
    <row r="3773" spans="3:47">
      <c r="C3773" s="20"/>
      <c r="Z3773" s="20"/>
      <c r="AG3773" s="20"/>
      <c r="AQ3773" s="19"/>
      <c r="AR3773" s="19"/>
      <c r="AS3773" s="19"/>
      <c r="AT3773" s="19"/>
      <c r="AU3773" s="19"/>
    </row>
    <row r="3774" spans="3:47">
      <c r="C3774" s="20"/>
      <c r="Z3774" s="20"/>
      <c r="AG3774" s="20"/>
      <c r="AQ3774" s="19"/>
      <c r="AR3774" s="19"/>
      <c r="AS3774" s="19"/>
      <c r="AT3774" s="19"/>
      <c r="AU3774" s="19"/>
    </row>
    <row r="3775" spans="3:47">
      <c r="C3775" s="20"/>
      <c r="Z3775" s="20"/>
      <c r="AG3775" s="20"/>
      <c r="AQ3775" s="19"/>
      <c r="AR3775" s="19"/>
      <c r="AS3775" s="19"/>
      <c r="AT3775" s="19"/>
      <c r="AU3775" s="19"/>
    </row>
    <row r="3776" spans="3:47">
      <c r="C3776" s="20"/>
      <c r="Z3776" s="20"/>
      <c r="AG3776" s="20"/>
      <c r="AQ3776" s="19"/>
      <c r="AR3776" s="19"/>
      <c r="AS3776" s="19"/>
      <c r="AT3776" s="19"/>
      <c r="AU3776" s="19"/>
    </row>
    <row r="3777" spans="3:47">
      <c r="C3777" s="20"/>
      <c r="Z3777" s="20"/>
      <c r="AG3777" s="20"/>
      <c r="AQ3777" s="19"/>
      <c r="AR3777" s="19"/>
      <c r="AS3777" s="19"/>
      <c r="AT3777" s="19"/>
      <c r="AU3777" s="19"/>
    </row>
    <row r="3778" spans="3:47">
      <c r="C3778" s="20"/>
      <c r="Z3778" s="20"/>
      <c r="AG3778" s="20"/>
      <c r="AQ3778" s="19"/>
      <c r="AR3778" s="19"/>
      <c r="AS3778" s="19"/>
      <c r="AT3778" s="19"/>
      <c r="AU3778" s="19"/>
    </row>
    <row r="3779" spans="3:47">
      <c r="C3779" s="20"/>
      <c r="Z3779" s="20"/>
      <c r="AG3779" s="20"/>
      <c r="AQ3779" s="19"/>
      <c r="AR3779" s="19"/>
      <c r="AS3779" s="19"/>
      <c r="AT3779" s="19"/>
      <c r="AU3779" s="19"/>
    </row>
    <row r="3780" spans="3:47">
      <c r="C3780" s="20"/>
      <c r="Z3780" s="20"/>
      <c r="AG3780" s="20"/>
      <c r="AQ3780" s="19"/>
      <c r="AR3780" s="19"/>
      <c r="AS3780" s="19"/>
      <c r="AT3780" s="19"/>
      <c r="AU3780" s="19"/>
    </row>
    <row r="3781" spans="3:47">
      <c r="C3781" s="20"/>
      <c r="Z3781" s="20"/>
      <c r="AG3781" s="20"/>
      <c r="AQ3781" s="19"/>
      <c r="AR3781" s="19"/>
      <c r="AS3781" s="19"/>
      <c r="AT3781" s="19"/>
      <c r="AU3781" s="19"/>
    </row>
    <row r="3782" spans="3:47">
      <c r="C3782" s="20"/>
      <c r="Z3782" s="20"/>
      <c r="AG3782" s="20"/>
      <c r="AQ3782" s="19"/>
      <c r="AR3782" s="19"/>
      <c r="AS3782" s="19"/>
      <c r="AT3782" s="19"/>
      <c r="AU3782" s="19"/>
    </row>
    <row r="3783" spans="3:47">
      <c r="C3783" s="20"/>
      <c r="Z3783" s="20"/>
      <c r="AG3783" s="20"/>
      <c r="AQ3783" s="19"/>
      <c r="AR3783" s="19"/>
      <c r="AS3783" s="19"/>
      <c r="AT3783" s="19"/>
      <c r="AU3783" s="19"/>
    </row>
    <row r="3784" spans="3:47">
      <c r="C3784" s="20"/>
      <c r="Z3784" s="20"/>
      <c r="AG3784" s="20"/>
      <c r="AQ3784" s="19"/>
      <c r="AR3784" s="19"/>
      <c r="AS3784" s="19"/>
      <c r="AT3784" s="19"/>
      <c r="AU3784" s="19"/>
    </row>
    <row r="3785" spans="3:47">
      <c r="C3785" s="20"/>
      <c r="Z3785" s="20"/>
      <c r="AG3785" s="20"/>
      <c r="AQ3785" s="19"/>
      <c r="AR3785" s="19"/>
      <c r="AS3785" s="19"/>
      <c r="AT3785" s="19"/>
      <c r="AU3785" s="19"/>
    </row>
    <row r="3786" spans="3:47">
      <c r="C3786" s="20"/>
      <c r="Z3786" s="20"/>
      <c r="AG3786" s="20"/>
      <c r="AQ3786" s="19"/>
      <c r="AR3786" s="19"/>
      <c r="AS3786" s="19"/>
      <c r="AT3786" s="19"/>
      <c r="AU3786" s="19"/>
    </row>
    <row r="3787" spans="3:47">
      <c r="C3787" s="20"/>
      <c r="Z3787" s="20"/>
      <c r="AG3787" s="20"/>
      <c r="AQ3787" s="19"/>
      <c r="AR3787" s="19"/>
      <c r="AS3787" s="19"/>
      <c r="AT3787" s="19"/>
      <c r="AU3787" s="19"/>
    </row>
    <row r="3788" spans="3:47">
      <c r="C3788" s="20"/>
      <c r="Z3788" s="20"/>
      <c r="AG3788" s="20"/>
      <c r="AQ3788" s="19"/>
      <c r="AR3788" s="19"/>
      <c r="AS3788" s="19"/>
      <c r="AT3788" s="19"/>
      <c r="AU3788" s="19"/>
    </row>
    <row r="3789" spans="3:47">
      <c r="C3789" s="20"/>
      <c r="Z3789" s="20"/>
      <c r="AG3789" s="20"/>
      <c r="AQ3789" s="19"/>
      <c r="AR3789" s="19"/>
      <c r="AS3789" s="19"/>
      <c r="AT3789" s="19"/>
      <c r="AU3789" s="19"/>
    </row>
    <row r="3790" spans="3:47">
      <c r="C3790" s="20"/>
      <c r="Z3790" s="20"/>
      <c r="AG3790" s="20"/>
      <c r="AQ3790" s="19"/>
      <c r="AR3790" s="19"/>
      <c r="AS3790" s="19"/>
      <c r="AT3790" s="19"/>
      <c r="AU3790" s="19"/>
    </row>
    <row r="3791" spans="3:47">
      <c r="C3791" s="20"/>
      <c r="Z3791" s="20"/>
      <c r="AG3791" s="20"/>
      <c r="AQ3791" s="19"/>
      <c r="AR3791" s="19"/>
      <c r="AS3791" s="19"/>
      <c r="AT3791" s="19"/>
      <c r="AU3791" s="19"/>
    </row>
    <row r="3792" spans="3:47">
      <c r="C3792" s="20"/>
      <c r="Z3792" s="20"/>
      <c r="AG3792" s="20"/>
      <c r="AQ3792" s="19"/>
      <c r="AR3792" s="19"/>
      <c r="AS3792" s="19"/>
      <c r="AT3792" s="19"/>
      <c r="AU3792" s="19"/>
    </row>
    <row r="3793" spans="3:47">
      <c r="C3793" s="20"/>
      <c r="Z3793" s="20"/>
      <c r="AG3793" s="20"/>
      <c r="AQ3793" s="19"/>
      <c r="AR3793" s="19"/>
      <c r="AS3793" s="19"/>
      <c r="AT3793" s="19"/>
      <c r="AU3793" s="19"/>
    </row>
    <row r="3794" spans="3:47">
      <c r="C3794" s="20"/>
      <c r="Z3794" s="20"/>
      <c r="AG3794" s="20"/>
      <c r="AQ3794" s="19"/>
      <c r="AR3794" s="19"/>
      <c r="AS3794" s="19"/>
      <c r="AT3794" s="19"/>
      <c r="AU3794" s="19"/>
    </row>
    <row r="3795" spans="3:47">
      <c r="C3795" s="20"/>
      <c r="Z3795" s="20"/>
      <c r="AG3795" s="20"/>
      <c r="AQ3795" s="19"/>
      <c r="AR3795" s="19"/>
      <c r="AS3795" s="19"/>
      <c r="AT3795" s="19"/>
      <c r="AU3795" s="19"/>
    </row>
    <row r="3796" spans="3:47">
      <c r="C3796" s="20"/>
      <c r="Z3796" s="20"/>
      <c r="AG3796" s="20"/>
      <c r="AQ3796" s="19"/>
      <c r="AR3796" s="19"/>
      <c r="AS3796" s="19"/>
      <c r="AT3796" s="19"/>
      <c r="AU3796" s="19"/>
    </row>
    <row r="3797" spans="3:47">
      <c r="C3797" s="20"/>
      <c r="Z3797" s="20"/>
      <c r="AG3797" s="20"/>
      <c r="AQ3797" s="19"/>
      <c r="AR3797" s="19"/>
      <c r="AS3797" s="19"/>
      <c r="AT3797" s="19"/>
      <c r="AU3797" s="19"/>
    </row>
    <row r="3798" spans="3:47">
      <c r="C3798" s="20"/>
      <c r="Z3798" s="20"/>
      <c r="AG3798" s="20"/>
      <c r="AQ3798" s="19"/>
      <c r="AR3798" s="19"/>
      <c r="AS3798" s="19"/>
      <c r="AT3798" s="19"/>
      <c r="AU3798" s="19"/>
    </row>
    <row r="3799" spans="3:47">
      <c r="C3799" s="20"/>
      <c r="Z3799" s="20"/>
      <c r="AG3799" s="20"/>
      <c r="AQ3799" s="19"/>
      <c r="AR3799" s="19"/>
      <c r="AS3799" s="19"/>
      <c r="AT3799" s="19"/>
      <c r="AU3799" s="19"/>
    </row>
    <row r="3800" spans="3:47">
      <c r="C3800" s="20"/>
      <c r="Z3800" s="20"/>
      <c r="AG3800" s="20"/>
      <c r="AQ3800" s="19"/>
      <c r="AR3800" s="19"/>
      <c r="AS3800" s="19"/>
      <c r="AT3800" s="19"/>
      <c r="AU3800" s="19"/>
    </row>
    <row r="3801" spans="3:47">
      <c r="C3801" s="20"/>
      <c r="Z3801" s="20"/>
      <c r="AG3801" s="20"/>
      <c r="AQ3801" s="19"/>
      <c r="AR3801" s="19"/>
      <c r="AS3801" s="19"/>
      <c r="AT3801" s="19"/>
      <c r="AU3801" s="19"/>
    </row>
    <row r="3802" spans="3:47">
      <c r="C3802" s="20"/>
      <c r="Z3802" s="20"/>
      <c r="AG3802" s="20"/>
      <c r="AQ3802" s="19"/>
      <c r="AR3802" s="19"/>
      <c r="AS3802" s="19"/>
      <c r="AT3802" s="19"/>
      <c r="AU3802" s="19"/>
    </row>
    <row r="3803" spans="3:47">
      <c r="C3803" s="20"/>
      <c r="Z3803" s="20"/>
      <c r="AG3803" s="20"/>
      <c r="AQ3803" s="19"/>
      <c r="AR3803" s="19"/>
      <c r="AS3803" s="19"/>
      <c r="AT3803" s="19"/>
      <c r="AU3803" s="19"/>
    </row>
    <row r="3804" spans="3:47">
      <c r="C3804" s="20"/>
      <c r="Z3804" s="20"/>
      <c r="AG3804" s="20"/>
      <c r="AQ3804" s="19"/>
      <c r="AR3804" s="19"/>
      <c r="AS3804" s="19"/>
      <c r="AT3804" s="19"/>
      <c r="AU3804" s="19"/>
    </row>
    <row r="3805" spans="3:47">
      <c r="C3805" s="20"/>
      <c r="Z3805" s="20"/>
      <c r="AG3805" s="20"/>
      <c r="AQ3805" s="19"/>
      <c r="AR3805" s="19"/>
      <c r="AS3805" s="19"/>
      <c r="AT3805" s="19"/>
      <c r="AU3805" s="19"/>
    </row>
    <row r="3806" spans="3:47">
      <c r="C3806" s="20"/>
      <c r="Z3806" s="20"/>
      <c r="AG3806" s="20"/>
      <c r="AQ3806" s="19"/>
      <c r="AR3806" s="19"/>
      <c r="AS3806" s="19"/>
      <c r="AT3806" s="19"/>
      <c r="AU3806" s="19"/>
    </row>
    <row r="3807" spans="3:47">
      <c r="C3807" s="20"/>
      <c r="Z3807" s="20"/>
      <c r="AG3807" s="20"/>
      <c r="AQ3807" s="19"/>
      <c r="AR3807" s="19"/>
      <c r="AS3807" s="19"/>
      <c r="AT3807" s="19"/>
      <c r="AU3807" s="19"/>
    </row>
    <row r="3808" spans="3:47">
      <c r="C3808" s="20"/>
      <c r="Z3808" s="20"/>
      <c r="AG3808" s="20"/>
      <c r="AQ3808" s="19"/>
      <c r="AR3808" s="19"/>
      <c r="AS3808" s="19"/>
      <c r="AT3808" s="19"/>
      <c r="AU3808" s="19"/>
    </row>
    <row r="3809" spans="3:47">
      <c r="C3809" s="20"/>
      <c r="Z3809" s="20"/>
      <c r="AG3809" s="20"/>
      <c r="AQ3809" s="19"/>
      <c r="AR3809" s="19"/>
      <c r="AS3809" s="19"/>
      <c r="AT3809" s="19"/>
      <c r="AU3809" s="19"/>
    </row>
    <row r="3810" spans="3:47">
      <c r="C3810" s="20"/>
      <c r="Z3810" s="20"/>
      <c r="AG3810" s="20"/>
      <c r="AQ3810" s="19"/>
      <c r="AR3810" s="19"/>
      <c r="AS3810" s="19"/>
      <c r="AT3810" s="19"/>
      <c r="AU3810" s="19"/>
    </row>
    <row r="3811" spans="3:47">
      <c r="C3811" s="20"/>
      <c r="Z3811" s="20"/>
      <c r="AG3811" s="20"/>
      <c r="AQ3811" s="19"/>
      <c r="AR3811" s="19"/>
      <c r="AS3811" s="19"/>
      <c r="AT3811" s="19"/>
      <c r="AU3811" s="19"/>
    </row>
    <row r="3812" spans="3:47">
      <c r="C3812" s="20"/>
      <c r="Z3812" s="20"/>
      <c r="AG3812" s="20"/>
      <c r="AQ3812" s="19"/>
      <c r="AR3812" s="19"/>
      <c r="AS3812" s="19"/>
      <c r="AT3812" s="19"/>
      <c r="AU3812" s="19"/>
    </row>
    <row r="3813" spans="3:47">
      <c r="C3813" s="20"/>
      <c r="Z3813" s="20"/>
      <c r="AG3813" s="20"/>
      <c r="AQ3813" s="19"/>
      <c r="AR3813" s="19"/>
      <c r="AS3813" s="19"/>
      <c r="AT3813" s="19"/>
      <c r="AU3813" s="19"/>
    </row>
    <row r="3814" spans="3:47">
      <c r="C3814" s="20"/>
      <c r="Z3814" s="20"/>
      <c r="AG3814" s="20"/>
      <c r="AQ3814" s="19"/>
      <c r="AR3814" s="19"/>
      <c r="AS3814" s="19"/>
      <c r="AT3814" s="19"/>
      <c r="AU3814" s="19"/>
    </row>
    <row r="3815" spans="3:47">
      <c r="C3815" s="20"/>
      <c r="Z3815" s="20"/>
      <c r="AG3815" s="20"/>
      <c r="AQ3815" s="19"/>
      <c r="AR3815" s="19"/>
      <c r="AS3815" s="19"/>
      <c r="AT3815" s="19"/>
      <c r="AU3815" s="19"/>
    </row>
    <row r="3816" spans="3:47">
      <c r="C3816" s="20"/>
      <c r="Z3816" s="20"/>
      <c r="AG3816" s="20"/>
      <c r="AQ3816" s="19"/>
      <c r="AR3816" s="19"/>
      <c r="AS3816" s="19"/>
      <c r="AT3816" s="19"/>
      <c r="AU3816" s="19"/>
    </row>
    <row r="3817" spans="3:47">
      <c r="C3817" s="20"/>
      <c r="Z3817" s="20"/>
      <c r="AG3817" s="20"/>
      <c r="AQ3817" s="19"/>
      <c r="AR3817" s="19"/>
      <c r="AS3817" s="19"/>
      <c r="AT3817" s="19"/>
      <c r="AU3817" s="19"/>
    </row>
    <row r="3818" spans="3:47">
      <c r="C3818" s="20"/>
      <c r="Z3818" s="20"/>
      <c r="AG3818" s="20"/>
      <c r="AQ3818" s="19"/>
      <c r="AR3818" s="19"/>
      <c r="AS3818" s="19"/>
      <c r="AT3818" s="19"/>
      <c r="AU3818" s="19"/>
    </row>
    <row r="3819" spans="3:47">
      <c r="C3819" s="20"/>
      <c r="Z3819" s="20"/>
      <c r="AG3819" s="20"/>
      <c r="AQ3819" s="19"/>
      <c r="AR3819" s="19"/>
      <c r="AS3819" s="19"/>
      <c r="AT3819" s="19"/>
      <c r="AU3819" s="19"/>
    </row>
    <row r="3820" spans="3:47">
      <c r="C3820" s="20"/>
      <c r="Z3820" s="20"/>
      <c r="AG3820" s="20"/>
      <c r="AQ3820" s="19"/>
      <c r="AR3820" s="19"/>
      <c r="AS3820" s="19"/>
      <c r="AT3820" s="19"/>
      <c r="AU3820" s="19"/>
    </row>
    <row r="3821" spans="3:47">
      <c r="C3821" s="20"/>
      <c r="Z3821" s="20"/>
      <c r="AG3821" s="20"/>
      <c r="AQ3821" s="19"/>
      <c r="AR3821" s="19"/>
      <c r="AS3821" s="19"/>
      <c r="AT3821" s="19"/>
      <c r="AU3821" s="19"/>
    </row>
    <row r="3822" spans="3:47">
      <c r="C3822" s="20"/>
      <c r="Z3822" s="20"/>
      <c r="AG3822" s="20"/>
      <c r="AQ3822" s="19"/>
      <c r="AR3822" s="19"/>
      <c r="AS3822" s="19"/>
      <c r="AT3822" s="19"/>
      <c r="AU3822" s="19"/>
    </row>
    <row r="3823" spans="3:47">
      <c r="C3823" s="20"/>
      <c r="Z3823" s="20"/>
      <c r="AG3823" s="20"/>
      <c r="AQ3823" s="19"/>
      <c r="AR3823" s="19"/>
      <c r="AS3823" s="19"/>
      <c r="AT3823" s="19"/>
      <c r="AU3823" s="19"/>
    </row>
    <row r="3824" spans="3:47">
      <c r="C3824" s="20"/>
      <c r="Z3824" s="20"/>
      <c r="AG3824" s="20"/>
      <c r="AQ3824" s="19"/>
      <c r="AR3824" s="19"/>
      <c r="AS3824" s="19"/>
      <c r="AT3824" s="19"/>
      <c r="AU3824" s="19"/>
    </row>
    <row r="3825" spans="3:47">
      <c r="C3825" s="20"/>
      <c r="Z3825" s="20"/>
      <c r="AG3825" s="20"/>
      <c r="AQ3825" s="19"/>
      <c r="AR3825" s="19"/>
      <c r="AS3825" s="19"/>
      <c r="AT3825" s="19"/>
      <c r="AU3825" s="19"/>
    </row>
    <row r="3826" spans="3:47">
      <c r="C3826" s="20"/>
      <c r="Z3826" s="20"/>
      <c r="AG3826" s="20"/>
      <c r="AQ3826" s="19"/>
      <c r="AR3826" s="19"/>
      <c r="AS3826" s="19"/>
      <c r="AT3826" s="19"/>
      <c r="AU3826" s="19"/>
    </row>
    <row r="3827" spans="3:47">
      <c r="C3827" s="20"/>
      <c r="Z3827" s="20"/>
      <c r="AG3827" s="20"/>
      <c r="AQ3827" s="19"/>
      <c r="AR3827" s="19"/>
      <c r="AS3827" s="19"/>
      <c r="AT3827" s="19"/>
      <c r="AU3827" s="19"/>
    </row>
    <row r="3828" spans="3:47">
      <c r="C3828" s="20"/>
      <c r="Z3828" s="20"/>
      <c r="AG3828" s="20"/>
      <c r="AQ3828" s="19"/>
      <c r="AR3828" s="19"/>
      <c r="AS3828" s="19"/>
      <c r="AT3828" s="19"/>
      <c r="AU3828" s="19"/>
    </row>
    <row r="3829" spans="3:47">
      <c r="C3829" s="20"/>
      <c r="Z3829" s="20"/>
      <c r="AG3829" s="20"/>
      <c r="AQ3829" s="19"/>
      <c r="AR3829" s="19"/>
      <c r="AS3829" s="19"/>
      <c r="AT3829" s="19"/>
      <c r="AU3829" s="19"/>
    </row>
    <row r="3830" spans="3:47">
      <c r="C3830" s="20"/>
      <c r="Z3830" s="20"/>
      <c r="AG3830" s="20"/>
      <c r="AQ3830" s="19"/>
      <c r="AR3830" s="19"/>
      <c r="AS3830" s="19"/>
      <c r="AT3830" s="19"/>
      <c r="AU3830" s="19"/>
    </row>
    <row r="3831" spans="3:47">
      <c r="C3831" s="20"/>
      <c r="Z3831" s="20"/>
      <c r="AG3831" s="20"/>
      <c r="AQ3831" s="19"/>
      <c r="AR3831" s="19"/>
      <c r="AS3831" s="19"/>
      <c r="AT3831" s="19"/>
      <c r="AU3831" s="19"/>
    </row>
    <row r="3832" spans="3:47">
      <c r="C3832" s="20"/>
      <c r="Z3832" s="20"/>
      <c r="AG3832" s="20"/>
      <c r="AQ3832" s="19"/>
      <c r="AR3832" s="19"/>
      <c r="AS3832" s="19"/>
      <c r="AT3832" s="19"/>
      <c r="AU3832" s="19"/>
    </row>
    <row r="3833" spans="3:47">
      <c r="C3833" s="20"/>
      <c r="Z3833" s="20"/>
      <c r="AG3833" s="20"/>
      <c r="AQ3833" s="19"/>
      <c r="AR3833" s="19"/>
      <c r="AS3833" s="19"/>
      <c r="AT3833" s="19"/>
      <c r="AU3833" s="19"/>
    </row>
    <row r="3834" spans="3:47">
      <c r="C3834" s="20"/>
      <c r="Z3834" s="20"/>
      <c r="AG3834" s="20"/>
      <c r="AQ3834" s="19"/>
      <c r="AR3834" s="19"/>
      <c r="AS3834" s="19"/>
      <c r="AT3834" s="19"/>
      <c r="AU3834" s="19"/>
    </row>
    <row r="3835" spans="3:47">
      <c r="C3835" s="20"/>
      <c r="Z3835" s="20"/>
      <c r="AG3835" s="20"/>
      <c r="AQ3835" s="19"/>
      <c r="AR3835" s="19"/>
      <c r="AS3835" s="19"/>
      <c r="AT3835" s="19"/>
      <c r="AU3835" s="19"/>
    </row>
    <row r="3836" spans="3:47">
      <c r="C3836" s="20"/>
      <c r="Z3836" s="20"/>
      <c r="AG3836" s="20"/>
      <c r="AQ3836" s="19"/>
      <c r="AR3836" s="19"/>
      <c r="AS3836" s="19"/>
      <c r="AT3836" s="19"/>
      <c r="AU3836" s="19"/>
    </row>
    <row r="3837" spans="3:47">
      <c r="C3837" s="20"/>
      <c r="Z3837" s="20"/>
      <c r="AG3837" s="20"/>
      <c r="AQ3837" s="19"/>
      <c r="AR3837" s="19"/>
      <c r="AS3837" s="19"/>
      <c r="AT3837" s="19"/>
      <c r="AU3837" s="19"/>
    </row>
    <row r="3838" spans="3:47">
      <c r="C3838" s="20"/>
      <c r="Z3838" s="20"/>
      <c r="AG3838" s="20"/>
      <c r="AQ3838" s="19"/>
      <c r="AR3838" s="19"/>
      <c r="AS3838" s="19"/>
      <c r="AT3838" s="19"/>
      <c r="AU3838" s="19"/>
    </row>
    <row r="3839" spans="3:47">
      <c r="C3839" s="20"/>
      <c r="Z3839" s="20"/>
      <c r="AG3839" s="20"/>
      <c r="AQ3839" s="19"/>
      <c r="AR3839" s="19"/>
      <c r="AS3839" s="19"/>
      <c r="AT3839" s="19"/>
      <c r="AU3839" s="19"/>
    </row>
    <row r="3840" spans="3:47">
      <c r="C3840" s="20"/>
      <c r="Z3840" s="20"/>
      <c r="AG3840" s="20"/>
      <c r="AQ3840" s="19"/>
      <c r="AR3840" s="19"/>
      <c r="AS3840" s="19"/>
      <c r="AT3840" s="19"/>
      <c r="AU3840" s="19"/>
    </row>
    <row r="3841" spans="3:47">
      <c r="C3841" s="20"/>
      <c r="Z3841" s="20"/>
      <c r="AG3841" s="20"/>
      <c r="AQ3841" s="19"/>
      <c r="AR3841" s="19"/>
      <c r="AS3841" s="19"/>
      <c r="AT3841" s="19"/>
      <c r="AU3841" s="19"/>
    </row>
    <row r="3842" spans="3:47">
      <c r="C3842" s="20"/>
      <c r="Z3842" s="20"/>
      <c r="AG3842" s="20"/>
      <c r="AQ3842" s="19"/>
      <c r="AR3842" s="19"/>
      <c r="AS3842" s="19"/>
      <c r="AT3842" s="19"/>
      <c r="AU3842" s="19"/>
    </row>
    <row r="3843" spans="3:47">
      <c r="C3843" s="20"/>
      <c r="Z3843" s="20"/>
      <c r="AG3843" s="20"/>
      <c r="AQ3843" s="19"/>
      <c r="AR3843" s="19"/>
      <c r="AS3843" s="19"/>
      <c r="AT3843" s="19"/>
      <c r="AU3843" s="19"/>
    </row>
    <row r="3844" spans="3:47">
      <c r="C3844" s="20"/>
      <c r="Z3844" s="20"/>
      <c r="AG3844" s="20"/>
      <c r="AQ3844" s="19"/>
      <c r="AR3844" s="19"/>
      <c r="AS3844" s="19"/>
      <c r="AT3844" s="19"/>
      <c r="AU3844" s="19"/>
    </row>
    <row r="3845" spans="3:47">
      <c r="C3845" s="20"/>
      <c r="Z3845" s="20"/>
      <c r="AG3845" s="20"/>
      <c r="AQ3845" s="19"/>
      <c r="AR3845" s="19"/>
      <c r="AS3845" s="19"/>
      <c r="AT3845" s="19"/>
      <c r="AU3845" s="19"/>
    </row>
    <row r="3846" spans="3:47">
      <c r="C3846" s="20"/>
      <c r="Z3846" s="20"/>
      <c r="AG3846" s="20"/>
      <c r="AQ3846" s="19"/>
      <c r="AR3846" s="19"/>
      <c r="AS3846" s="19"/>
      <c r="AT3846" s="19"/>
      <c r="AU3846" s="19"/>
    </row>
    <row r="3847" spans="3:47">
      <c r="C3847" s="20"/>
      <c r="Z3847" s="20"/>
      <c r="AG3847" s="20"/>
      <c r="AQ3847" s="19"/>
      <c r="AR3847" s="19"/>
      <c r="AS3847" s="19"/>
      <c r="AT3847" s="19"/>
      <c r="AU3847" s="19"/>
    </row>
    <row r="3848" spans="3:47">
      <c r="C3848" s="20"/>
      <c r="Z3848" s="20"/>
      <c r="AG3848" s="20"/>
      <c r="AQ3848" s="19"/>
      <c r="AR3848" s="19"/>
      <c r="AS3848" s="19"/>
      <c r="AT3848" s="19"/>
      <c r="AU3848" s="19"/>
    </row>
    <row r="3849" spans="3:47">
      <c r="C3849" s="20"/>
      <c r="Z3849" s="20"/>
      <c r="AG3849" s="20"/>
      <c r="AQ3849" s="19"/>
      <c r="AR3849" s="19"/>
      <c r="AS3849" s="19"/>
      <c r="AT3849" s="19"/>
      <c r="AU3849" s="19"/>
    </row>
    <row r="3850" spans="3:47">
      <c r="C3850" s="20"/>
      <c r="Z3850" s="20"/>
      <c r="AG3850" s="20"/>
      <c r="AQ3850" s="19"/>
      <c r="AR3850" s="19"/>
      <c r="AS3850" s="19"/>
      <c r="AT3850" s="19"/>
      <c r="AU3850" s="19"/>
    </row>
    <row r="3851" spans="3:47">
      <c r="C3851" s="20"/>
      <c r="Z3851" s="20"/>
      <c r="AG3851" s="20"/>
      <c r="AQ3851" s="19"/>
      <c r="AR3851" s="19"/>
      <c r="AS3851" s="19"/>
      <c r="AT3851" s="19"/>
      <c r="AU3851" s="19"/>
    </row>
    <row r="3852" spans="3:47">
      <c r="C3852" s="20"/>
      <c r="Z3852" s="20"/>
      <c r="AG3852" s="20"/>
      <c r="AQ3852" s="19"/>
      <c r="AR3852" s="19"/>
      <c r="AS3852" s="19"/>
      <c r="AT3852" s="19"/>
      <c r="AU3852" s="19"/>
    </row>
    <row r="3853" spans="3:47">
      <c r="C3853" s="20"/>
      <c r="Z3853" s="20"/>
      <c r="AG3853" s="20"/>
      <c r="AQ3853" s="19"/>
      <c r="AR3853" s="19"/>
      <c r="AS3853" s="19"/>
      <c r="AT3853" s="19"/>
      <c r="AU3853" s="19"/>
    </row>
    <row r="3854" spans="3:47">
      <c r="C3854" s="20"/>
      <c r="Z3854" s="20"/>
      <c r="AG3854" s="20"/>
      <c r="AQ3854" s="19"/>
      <c r="AR3854" s="19"/>
      <c r="AS3854" s="19"/>
      <c r="AT3854" s="19"/>
      <c r="AU3854" s="19"/>
    </row>
    <row r="3855" spans="3:47">
      <c r="C3855" s="20"/>
      <c r="Z3855" s="20"/>
      <c r="AG3855" s="20"/>
      <c r="AQ3855" s="19"/>
      <c r="AR3855" s="19"/>
      <c r="AS3855" s="19"/>
      <c r="AT3855" s="19"/>
      <c r="AU3855" s="19"/>
    </row>
    <row r="3856" spans="3:47">
      <c r="C3856" s="20"/>
      <c r="Z3856" s="20"/>
      <c r="AG3856" s="20"/>
      <c r="AQ3856" s="19"/>
      <c r="AR3856" s="19"/>
      <c r="AS3856" s="19"/>
      <c r="AT3856" s="19"/>
      <c r="AU3856" s="19"/>
    </row>
    <row r="3857" spans="3:47">
      <c r="C3857" s="20"/>
      <c r="Z3857" s="20"/>
      <c r="AG3857" s="20"/>
      <c r="AQ3857" s="19"/>
      <c r="AR3857" s="19"/>
      <c r="AS3857" s="19"/>
      <c r="AT3857" s="19"/>
      <c r="AU3857" s="19"/>
    </row>
    <row r="3858" spans="3:47">
      <c r="C3858" s="20"/>
      <c r="Z3858" s="20"/>
      <c r="AG3858" s="20"/>
      <c r="AQ3858" s="19"/>
      <c r="AR3858" s="19"/>
      <c r="AS3858" s="19"/>
      <c r="AT3858" s="19"/>
      <c r="AU3858" s="19"/>
    </row>
    <row r="3859" spans="3:47">
      <c r="C3859" s="20"/>
      <c r="Z3859" s="20"/>
      <c r="AG3859" s="20"/>
      <c r="AQ3859" s="19"/>
      <c r="AR3859" s="19"/>
      <c r="AS3859" s="19"/>
      <c r="AT3859" s="19"/>
      <c r="AU3859" s="19"/>
    </row>
    <row r="3860" spans="3:47">
      <c r="C3860" s="20"/>
      <c r="Z3860" s="20"/>
      <c r="AG3860" s="20"/>
      <c r="AQ3860" s="19"/>
      <c r="AR3860" s="19"/>
      <c r="AS3860" s="19"/>
      <c r="AT3860" s="19"/>
      <c r="AU3860" s="19"/>
    </row>
    <row r="3861" spans="3:47">
      <c r="C3861" s="20"/>
      <c r="Z3861" s="20"/>
      <c r="AG3861" s="20"/>
      <c r="AQ3861" s="19"/>
      <c r="AR3861" s="19"/>
      <c r="AS3861" s="19"/>
      <c r="AT3861" s="19"/>
      <c r="AU3861" s="19"/>
    </row>
    <row r="3862" spans="3:47">
      <c r="C3862" s="20"/>
      <c r="Z3862" s="20"/>
      <c r="AG3862" s="20"/>
      <c r="AQ3862" s="19"/>
      <c r="AR3862" s="19"/>
      <c r="AS3862" s="19"/>
      <c r="AT3862" s="19"/>
      <c r="AU3862" s="19"/>
    </row>
    <row r="3863" spans="3:47">
      <c r="C3863" s="20"/>
      <c r="Z3863" s="20"/>
      <c r="AG3863" s="20"/>
      <c r="AQ3863" s="19"/>
      <c r="AR3863" s="19"/>
      <c r="AS3863" s="19"/>
      <c r="AT3863" s="19"/>
      <c r="AU3863" s="19"/>
    </row>
    <row r="3864" spans="3:47">
      <c r="C3864" s="20"/>
      <c r="Z3864" s="20"/>
      <c r="AG3864" s="20"/>
      <c r="AQ3864" s="19"/>
      <c r="AR3864" s="19"/>
      <c r="AS3864" s="19"/>
      <c r="AT3864" s="19"/>
      <c r="AU3864" s="19"/>
    </row>
    <row r="3865" spans="3:47">
      <c r="C3865" s="20"/>
      <c r="Z3865" s="20"/>
      <c r="AG3865" s="20"/>
      <c r="AQ3865" s="19"/>
      <c r="AR3865" s="19"/>
      <c r="AS3865" s="19"/>
      <c r="AT3865" s="19"/>
      <c r="AU3865" s="19"/>
    </row>
    <row r="3866" spans="3:47">
      <c r="C3866" s="20"/>
      <c r="Z3866" s="20"/>
      <c r="AG3866" s="20"/>
      <c r="AQ3866" s="19"/>
      <c r="AR3866" s="19"/>
      <c r="AS3866" s="19"/>
      <c r="AT3866" s="19"/>
      <c r="AU3866" s="19"/>
    </row>
    <row r="3867" spans="3:47">
      <c r="C3867" s="20"/>
      <c r="Z3867" s="20"/>
      <c r="AG3867" s="20"/>
      <c r="AQ3867" s="19"/>
      <c r="AR3867" s="19"/>
      <c r="AS3867" s="19"/>
      <c r="AT3867" s="19"/>
      <c r="AU3867" s="19"/>
    </row>
    <row r="3868" spans="3:47">
      <c r="C3868" s="20"/>
      <c r="Z3868" s="20"/>
      <c r="AG3868" s="20"/>
      <c r="AQ3868" s="19"/>
      <c r="AR3868" s="19"/>
      <c r="AS3868" s="19"/>
      <c r="AT3868" s="19"/>
      <c r="AU3868" s="19"/>
    </row>
    <row r="3869" spans="3:47">
      <c r="C3869" s="20"/>
      <c r="Z3869" s="20"/>
      <c r="AG3869" s="20"/>
      <c r="AQ3869" s="19"/>
      <c r="AR3869" s="19"/>
      <c r="AS3869" s="19"/>
      <c r="AT3869" s="19"/>
      <c r="AU3869" s="19"/>
    </row>
    <row r="3870" spans="3:47">
      <c r="C3870" s="20"/>
      <c r="Z3870" s="20"/>
      <c r="AG3870" s="20"/>
      <c r="AQ3870" s="19"/>
      <c r="AR3870" s="19"/>
      <c r="AS3870" s="19"/>
      <c r="AT3870" s="19"/>
      <c r="AU3870" s="19"/>
    </row>
    <row r="3871" spans="3:47">
      <c r="C3871" s="20"/>
      <c r="Z3871" s="20"/>
      <c r="AG3871" s="20"/>
      <c r="AQ3871" s="19"/>
      <c r="AR3871" s="19"/>
      <c r="AS3871" s="19"/>
      <c r="AT3871" s="19"/>
      <c r="AU3871" s="19"/>
    </row>
    <row r="3872" spans="3:47">
      <c r="C3872" s="20"/>
      <c r="Z3872" s="20"/>
      <c r="AG3872" s="20"/>
      <c r="AQ3872" s="19"/>
      <c r="AR3872" s="19"/>
      <c r="AS3872" s="19"/>
      <c r="AT3872" s="19"/>
      <c r="AU3872" s="19"/>
    </row>
    <row r="3873" spans="3:47">
      <c r="C3873" s="20"/>
      <c r="Z3873" s="20"/>
      <c r="AG3873" s="20"/>
      <c r="AQ3873" s="19"/>
      <c r="AR3873" s="19"/>
      <c r="AS3873" s="19"/>
      <c r="AT3873" s="19"/>
      <c r="AU3873" s="19"/>
    </row>
    <row r="3874" spans="3:47">
      <c r="C3874" s="20"/>
      <c r="Z3874" s="20"/>
      <c r="AG3874" s="20"/>
      <c r="AQ3874" s="19"/>
      <c r="AR3874" s="19"/>
      <c r="AS3874" s="19"/>
      <c r="AT3874" s="19"/>
      <c r="AU3874" s="19"/>
    </row>
    <row r="3875" spans="3:47">
      <c r="C3875" s="20"/>
      <c r="Z3875" s="20"/>
      <c r="AG3875" s="20"/>
      <c r="AQ3875" s="19"/>
      <c r="AR3875" s="19"/>
      <c r="AS3875" s="19"/>
      <c r="AT3875" s="19"/>
      <c r="AU3875" s="19"/>
    </row>
    <row r="3876" spans="3:47">
      <c r="C3876" s="20"/>
      <c r="Z3876" s="20"/>
      <c r="AG3876" s="20"/>
      <c r="AQ3876" s="19"/>
      <c r="AR3876" s="19"/>
      <c r="AS3876" s="19"/>
      <c r="AT3876" s="19"/>
      <c r="AU3876" s="19"/>
    </row>
    <row r="3877" spans="3:47">
      <c r="C3877" s="20"/>
      <c r="Z3877" s="20"/>
      <c r="AG3877" s="20"/>
      <c r="AQ3877" s="19"/>
      <c r="AR3877" s="19"/>
      <c r="AS3877" s="19"/>
      <c r="AT3877" s="19"/>
      <c r="AU3877" s="19"/>
    </row>
    <row r="3878" spans="3:47">
      <c r="C3878" s="20"/>
      <c r="Z3878" s="20"/>
      <c r="AG3878" s="20"/>
      <c r="AQ3878" s="19"/>
      <c r="AR3878" s="19"/>
      <c r="AS3878" s="19"/>
      <c r="AT3878" s="19"/>
      <c r="AU3878" s="19"/>
    </row>
    <row r="3879" spans="3:47">
      <c r="C3879" s="20"/>
      <c r="Z3879" s="20"/>
      <c r="AG3879" s="20"/>
      <c r="AQ3879" s="19"/>
      <c r="AR3879" s="19"/>
      <c r="AS3879" s="19"/>
      <c r="AT3879" s="19"/>
      <c r="AU3879" s="19"/>
    </row>
    <row r="3880" spans="3:47">
      <c r="C3880" s="20"/>
      <c r="Z3880" s="20"/>
      <c r="AG3880" s="20"/>
      <c r="AQ3880" s="19"/>
      <c r="AR3880" s="19"/>
      <c r="AS3880" s="19"/>
      <c r="AT3880" s="19"/>
      <c r="AU3880" s="19"/>
    </row>
    <row r="3881" spans="3:47">
      <c r="C3881" s="20"/>
      <c r="Z3881" s="20"/>
      <c r="AG3881" s="20"/>
      <c r="AQ3881" s="19"/>
      <c r="AR3881" s="19"/>
      <c r="AS3881" s="19"/>
      <c r="AT3881" s="19"/>
      <c r="AU3881" s="19"/>
    </row>
    <row r="3882" spans="3:47">
      <c r="C3882" s="20"/>
      <c r="Z3882" s="20"/>
      <c r="AG3882" s="20"/>
      <c r="AQ3882" s="19"/>
      <c r="AR3882" s="19"/>
      <c r="AS3882" s="19"/>
      <c r="AT3882" s="19"/>
      <c r="AU3882" s="19"/>
    </row>
    <row r="3883" spans="3:47">
      <c r="C3883" s="20"/>
      <c r="Z3883" s="20"/>
      <c r="AG3883" s="20"/>
      <c r="AQ3883" s="19"/>
      <c r="AR3883" s="19"/>
      <c r="AS3883" s="19"/>
      <c r="AT3883" s="19"/>
      <c r="AU3883" s="19"/>
    </row>
    <row r="3884" spans="3:47">
      <c r="C3884" s="20"/>
      <c r="Z3884" s="20"/>
      <c r="AG3884" s="20"/>
      <c r="AQ3884" s="19"/>
      <c r="AR3884" s="19"/>
      <c r="AS3884" s="19"/>
      <c r="AT3884" s="19"/>
      <c r="AU3884" s="19"/>
    </row>
    <row r="3885" spans="3:47">
      <c r="C3885" s="20"/>
      <c r="Z3885" s="20"/>
      <c r="AG3885" s="20"/>
      <c r="AQ3885" s="19"/>
      <c r="AR3885" s="19"/>
      <c r="AS3885" s="19"/>
      <c r="AT3885" s="19"/>
      <c r="AU3885" s="19"/>
    </row>
    <row r="3886" spans="3:47">
      <c r="C3886" s="20"/>
      <c r="Z3886" s="20"/>
      <c r="AG3886" s="20"/>
      <c r="AQ3886" s="19"/>
      <c r="AR3886" s="19"/>
      <c r="AS3886" s="19"/>
      <c r="AT3886" s="19"/>
      <c r="AU3886" s="19"/>
    </row>
    <row r="3887" spans="3:47">
      <c r="C3887" s="20"/>
      <c r="Z3887" s="20"/>
      <c r="AG3887" s="20"/>
      <c r="AQ3887" s="19"/>
      <c r="AR3887" s="19"/>
      <c r="AS3887" s="19"/>
      <c r="AT3887" s="19"/>
      <c r="AU3887" s="19"/>
    </row>
    <row r="3888" spans="3:47">
      <c r="C3888" s="20"/>
      <c r="Z3888" s="20"/>
      <c r="AG3888" s="20"/>
      <c r="AQ3888" s="19"/>
      <c r="AR3888" s="19"/>
      <c r="AS3888" s="19"/>
      <c r="AT3888" s="19"/>
      <c r="AU3888" s="19"/>
    </row>
    <row r="3889" spans="3:47">
      <c r="C3889" s="20"/>
      <c r="Z3889" s="20"/>
      <c r="AG3889" s="20"/>
      <c r="AQ3889" s="19"/>
      <c r="AR3889" s="19"/>
      <c r="AS3889" s="19"/>
      <c r="AT3889" s="19"/>
      <c r="AU3889" s="19"/>
    </row>
    <row r="3890" spans="3:47">
      <c r="C3890" s="20"/>
      <c r="Z3890" s="20"/>
      <c r="AG3890" s="20"/>
      <c r="AQ3890" s="19"/>
      <c r="AR3890" s="19"/>
      <c r="AS3890" s="19"/>
      <c r="AT3890" s="19"/>
      <c r="AU3890" s="19"/>
    </row>
    <row r="3891" spans="3:47">
      <c r="C3891" s="20"/>
      <c r="Z3891" s="20"/>
      <c r="AG3891" s="20"/>
      <c r="AQ3891" s="19"/>
      <c r="AR3891" s="19"/>
      <c r="AS3891" s="19"/>
      <c r="AT3891" s="19"/>
      <c r="AU3891" s="19"/>
    </row>
    <row r="3892" spans="3:47">
      <c r="C3892" s="20"/>
      <c r="Z3892" s="20"/>
      <c r="AG3892" s="20"/>
      <c r="AQ3892" s="19"/>
      <c r="AR3892" s="19"/>
      <c r="AS3892" s="19"/>
      <c r="AT3892" s="19"/>
      <c r="AU3892" s="19"/>
    </row>
    <row r="3893" spans="3:47">
      <c r="C3893" s="20"/>
      <c r="Z3893" s="20"/>
      <c r="AG3893" s="20"/>
      <c r="AQ3893" s="19"/>
      <c r="AR3893" s="19"/>
      <c r="AS3893" s="19"/>
      <c r="AT3893" s="19"/>
      <c r="AU3893" s="19"/>
    </row>
    <row r="3894" spans="3:47">
      <c r="C3894" s="20"/>
      <c r="Z3894" s="20"/>
      <c r="AG3894" s="20"/>
      <c r="AQ3894" s="19"/>
      <c r="AR3894" s="19"/>
      <c r="AS3894" s="19"/>
      <c r="AT3894" s="19"/>
      <c r="AU3894" s="19"/>
    </row>
    <row r="3895" spans="3:47">
      <c r="C3895" s="20"/>
      <c r="Z3895" s="20"/>
      <c r="AG3895" s="20"/>
      <c r="AQ3895" s="19"/>
      <c r="AR3895" s="19"/>
      <c r="AS3895" s="19"/>
      <c r="AT3895" s="19"/>
      <c r="AU3895" s="19"/>
    </row>
    <row r="3896" spans="3:47">
      <c r="C3896" s="20"/>
      <c r="Z3896" s="20"/>
      <c r="AG3896" s="20"/>
      <c r="AQ3896" s="19"/>
      <c r="AR3896" s="19"/>
      <c r="AS3896" s="19"/>
      <c r="AT3896" s="19"/>
      <c r="AU3896" s="19"/>
    </row>
    <row r="3897" spans="3:47">
      <c r="C3897" s="20"/>
      <c r="Z3897" s="20"/>
      <c r="AG3897" s="20"/>
      <c r="AQ3897" s="19"/>
      <c r="AR3897" s="19"/>
      <c r="AS3897" s="19"/>
      <c r="AT3897" s="19"/>
      <c r="AU3897" s="19"/>
    </row>
    <row r="3898" spans="3:47">
      <c r="C3898" s="20"/>
      <c r="Z3898" s="20"/>
      <c r="AG3898" s="20"/>
      <c r="AQ3898" s="19"/>
      <c r="AR3898" s="19"/>
      <c r="AS3898" s="19"/>
      <c r="AT3898" s="19"/>
      <c r="AU3898" s="19"/>
    </row>
    <row r="3899" spans="3:47">
      <c r="C3899" s="20"/>
      <c r="Z3899" s="20"/>
      <c r="AG3899" s="20"/>
      <c r="AQ3899" s="19"/>
      <c r="AR3899" s="19"/>
      <c r="AS3899" s="19"/>
      <c r="AT3899" s="19"/>
      <c r="AU3899" s="19"/>
    </row>
    <row r="3900" spans="3:47">
      <c r="C3900" s="20"/>
      <c r="Z3900" s="20"/>
      <c r="AG3900" s="20"/>
      <c r="AQ3900" s="19"/>
      <c r="AR3900" s="19"/>
      <c r="AS3900" s="19"/>
      <c r="AT3900" s="19"/>
      <c r="AU3900" s="19"/>
    </row>
    <row r="3901" spans="3:47">
      <c r="C3901" s="20"/>
      <c r="Z3901" s="20"/>
      <c r="AG3901" s="20"/>
      <c r="AQ3901" s="19"/>
      <c r="AR3901" s="19"/>
      <c r="AS3901" s="19"/>
      <c r="AT3901" s="19"/>
      <c r="AU3901" s="19"/>
    </row>
    <row r="3902" spans="3:47">
      <c r="C3902" s="20"/>
      <c r="Z3902" s="20"/>
      <c r="AG3902" s="20"/>
      <c r="AQ3902" s="19"/>
      <c r="AR3902" s="19"/>
      <c r="AS3902" s="19"/>
      <c r="AT3902" s="19"/>
      <c r="AU3902" s="19"/>
    </row>
    <row r="3903" spans="3:47">
      <c r="C3903" s="20"/>
      <c r="Z3903" s="20"/>
      <c r="AG3903" s="20"/>
      <c r="AQ3903" s="19"/>
      <c r="AR3903" s="19"/>
      <c r="AS3903" s="19"/>
      <c r="AT3903" s="19"/>
      <c r="AU3903" s="19"/>
    </row>
    <row r="3904" spans="3:47">
      <c r="C3904" s="20"/>
      <c r="Z3904" s="20"/>
      <c r="AG3904" s="20"/>
      <c r="AQ3904" s="19"/>
      <c r="AR3904" s="19"/>
      <c r="AS3904" s="19"/>
      <c r="AT3904" s="19"/>
      <c r="AU3904" s="19"/>
    </row>
    <row r="3905" spans="3:47">
      <c r="C3905" s="20"/>
      <c r="Z3905" s="20"/>
      <c r="AG3905" s="20"/>
      <c r="AQ3905" s="19"/>
      <c r="AR3905" s="19"/>
      <c r="AS3905" s="19"/>
      <c r="AT3905" s="19"/>
      <c r="AU3905" s="19"/>
    </row>
    <row r="3906" spans="3:47">
      <c r="C3906" s="20"/>
      <c r="Z3906" s="20"/>
      <c r="AG3906" s="20"/>
      <c r="AQ3906" s="19"/>
      <c r="AR3906" s="19"/>
      <c r="AS3906" s="19"/>
      <c r="AT3906" s="19"/>
      <c r="AU3906" s="19"/>
    </row>
    <row r="3907" spans="3:47">
      <c r="C3907" s="20"/>
      <c r="Z3907" s="20"/>
      <c r="AG3907" s="20"/>
      <c r="AQ3907" s="19"/>
      <c r="AR3907" s="19"/>
      <c r="AS3907" s="19"/>
      <c r="AT3907" s="19"/>
      <c r="AU3907" s="19"/>
    </row>
    <row r="3908" spans="3:47">
      <c r="C3908" s="20"/>
      <c r="Z3908" s="20"/>
      <c r="AG3908" s="20"/>
      <c r="AQ3908" s="19"/>
      <c r="AR3908" s="19"/>
      <c r="AS3908" s="19"/>
      <c r="AT3908" s="19"/>
      <c r="AU3908" s="19"/>
    </row>
    <row r="3909" spans="3:47">
      <c r="C3909" s="20"/>
      <c r="Z3909" s="20"/>
      <c r="AG3909" s="20"/>
      <c r="AQ3909" s="19"/>
      <c r="AR3909" s="19"/>
      <c r="AS3909" s="19"/>
      <c r="AT3909" s="19"/>
      <c r="AU3909" s="19"/>
    </row>
    <row r="3910" spans="3:47">
      <c r="C3910" s="20"/>
      <c r="Z3910" s="20"/>
      <c r="AG3910" s="20"/>
      <c r="AQ3910" s="19"/>
      <c r="AR3910" s="19"/>
      <c r="AS3910" s="19"/>
      <c r="AT3910" s="19"/>
      <c r="AU3910" s="19"/>
    </row>
    <row r="3911" spans="3:47">
      <c r="C3911" s="20"/>
      <c r="Z3911" s="20"/>
      <c r="AG3911" s="20"/>
      <c r="AQ3911" s="19"/>
      <c r="AR3911" s="19"/>
      <c r="AS3911" s="19"/>
      <c r="AT3911" s="19"/>
      <c r="AU3911" s="19"/>
    </row>
    <row r="3912" spans="3:47">
      <c r="C3912" s="20"/>
      <c r="Z3912" s="20"/>
      <c r="AG3912" s="20"/>
      <c r="AQ3912" s="19"/>
      <c r="AR3912" s="19"/>
      <c r="AS3912" s="19"/>
      <c r="AT3912" s="19"/>
      <c r="AU3912" s="19"/>
    </row>
    <row r="3913" spans="3:47">
      <c r="C3913" s="20"/>
      <c r="Z3913" s="20"/>
      <c r="AG3913" s="20"/>
      <c r="AQ3913" s="19"/>
      <c r="AR3913" s="19"/>
      <c r="AS3913" s="19"/>
      <c r="AT3913" s="19"/>
      <c r="AU3913" s="19"/>
    </row>
    <row r="3914" spans="3:47">
      <c r="C3914" s="20"/>
      <c r="Z3914" s="20"/>
      <c r="AG3914" s="20"/>
      <c r="AQ3914" s="19"/>
      <c r="AR3914" s="19"/>
      <c r="AS3914" s="19"/>
      <c r="AT3914" s="19"/>
      <c r="AU3914" s="19"/>
    </row>
    <row r="3915" spans="3:47">
      <c r="C3915" s="20"/>
      <c r="Z3915" s="20"/>
      <c r="AG3915" s="20"/>
      <c r="AQ3915" s="19"/>
      <c r="AR3915" s="19"/>
      <c r="AS3915" s="19"/>
      <c r="AT3915" s="19"/>
      <c r="AU3915" s="19"/>
    </row>
    <row r="3916" spans="3:47">
      <c r="C3916" s="20"/>
      <c r="Z3916" s="20"/>
      <c r="AG3916" s="20"/>
      <c r="AQ3916" s="19"/>
      <c r="AR3916" s="19"/>
      <c r="AS3916" s="19"/>
      <c r="AT3916" s="19"/>
      <c r="AU3916" s="19"/>
    </row>
    <row r="3917" spans="3:47">
      <c r="C3917" s="20"/>
      <c r="Z3917" s="20"/>
      <c r="AG3917" s="20"/>
      <c r="AQ3917" s="19"/>
      <c r="AR3917" s="19"/>
      <c r="AS3917" s="19"/>
      <c r="AT3917" s="19"/>
      <c r="AU3917" s="19"/>
    </row>
    <row r="3918" spans="3:47">
      <c r="C3918" s="20"/>
      <c r="Z3918" s="20"/>
      <c r="AG3918" s="20"/>
      <c r="AQ3918" s="19"/>
      <c r="AR3918" s="19"/>
      <c r="AS3918" s="19"/>
      <c r="AT3918" s="19"/>
      <c r="AU3918" s="19"/>
    </row>
    <row r="3919" spans="3:47">
      <c r="C3919" s="20"/>
      <c r="Z3919" s="20"/>
      <c r="AG3919" s="20"/>
      <c r="AQ3919" s="19"/>
      <c r="AR3919" s="19"/>
      <c r="AS3919" s="19"/>
      <c r="AT3919" s="19"/>
      <c r="AU3919" s="19"/>
    </row>
    <row r="3920" spans="3:47">
      <c r="C3920" s="20"/>
      <c r="Z3920" s="20"/>
      <c r="AG3920" s="20"/>
      <c r="AQ3920" s="19"/>
      <c r="AR3920" s="19"/>
      <c r="AS3920" s="19"/>
      <c r="AT3920" s="19"/>
      <c r="AU3920" s="19"/>
    </row>
    <row r="3921" spans="3:47">
      <c r="C3921" s="20"/>
      <c r="Z3921" s="20"/>
      <c r="AG3921" s="20"/>
      <c r="AQ3921" s="19"/>
      <c r="AR3921" s="19"/>
      <c r="AS3921" s="19"/>
      <c r="AT3921" s="19"/>
      <c r="AU3921" s="19"/>
    </row>
    <row r="3922" spans="3:47">
      <c r="C3922" s="20"/>
      <c r="Z3922" s="20"/>
      <c r="AG3922" s="20"/>
      <c r="AQ3922" s="19"/>
      <c r="AR3922" s="19"/>
      <c r="AS3922" s="19"/>
      <c r="AT3922" s="19"/>
      <c r="AU3922" s="19"/>
    </row>
    <row r="3923" spans="3:47">
      <c r="C3923" s="20"/>
      <c r="Z3923" s="20"/>
      <c r="AG3923" s="20"/>
      <c r="AQ3923" s="19"/>
      <c r="AR3923" s="19"/>
      <c r="AS3923" s="19"/>
      <c r="AT3923" s="19"/>
      <c r="AU3923" s="19"/>
    </row>
    <row r="3924" spans="3:47">
      <c r="C3924" s="20"/>
      <c r="Z3924" s="20"/>
      <c r="AG3924" s="20"/>
      <c r="AQ3924" s="19"/>
      <c r="AR3924" s="19"/>
      <c r="AS3924" s="19"/>
      <c r="AT3924" s="19"/>
      <c r="AU3924" s="19"/>
    </row>
    <row r="3925" spans="3:47">
      <c r="C3925" s="20"/>
      <c r="Z3925" s="20"/>
      <c r="AG3925" s="20"/>
      <c r="AQ3925" s="19"/>
      <c r="AR3925" s="19"/>
      <c r="AS3925" s="19"/>
      <c r="AT3925" s="19"/>
      <c r="AU3925" s="19"/>
    </row>
    <row r="3926" spans="3:47">
      <c r="C3926" s="20"/>
      <c r="Z3926" s="20"/>
      <c r="AG3926" s="20"/>
      <c r="AQ3926" s="19"/>
      <c r="AR3926" s="19"/>
      <c r="AS3926" s="19"/>
      <c r="AT3926" s="19"/>
      <c r="AU3926" s="19"/>
    </row>
    <row r="3927" spans="3:47">
      <c r="C3927" s="20"/>
      <c r="Z3927" s="20"/>
      <c r="AG3927" s="20"/>
      <c r="AQ3927" s="19"/>
      <c r="AR3927" s="19"/>
      <c r="AS3927" s="19"/>
      <c r="AT3927" s="19"/>
      <c r="AU3927" s="19"/>
    </row>
    <row r="3928" spans="3:47">
      <c r="C3928" s="20"/>
      <c r="Z3928" s="20"/>
      <c r="AG3928" s="20"/>
      <c r="AQ3928" s="19"/>
      <c r="AR3928" s="19"/>
      <c r="AS3928" s="19"/>
      <c r="AT3928" s="19"/>
      <c r="AU3928" s="19"/>
    </row>
    <row r="3929" spans="3:47">
      <c r="C3929" s="20"/>
      <c r="Z3929" s="20"/>
      <c r="AG3929" s="20"/>
      <c r="AQ3929" s="19"/>
      <c r="AR3929" s="19"/>
      <c r="AS3929" s="19"/>
      <c r="AT3929" s="19"/>
      <c r="AU3929" s="19"/>
    </row>
    <row r="3930" spans="3:47">
      <c r="C3930" s="20"/>
      <c r="Z3930" s="20"/>
      <c r="AG3930" s="20"/>
      <c r="AQ3930" s="19"/>
      <c r="AR3930" s="19"/>
      <c r="AS3930" s="19"/>
      <c r="AT3930" s="19"/>
      <c r="AU3930" s="19"/>
    </row>
    <row r="3931" spans="3:47">
      <c r="C3931" s="20"/>
      <c r="Z3931" s="20"/>
      <c r="AG3931" s="20"/>
      <c r="AQ3931" s="19"/>
      <c r="AR3931" s="19"/>
      <c r="AS3931" s="19"/>
      <c r="AT3931" s="19"/>
      <c r="AU3931" s="19"/>
    </row>
    <row r="3932" spans="3:47">
      <c r="C3932" s="20"/>
      <c r="Z3932" s="20"/>
      <c r="AG3932" s="20"/>
      <c r="AQ3932" s="19"/>
      <c r="AR3932" s="19"/>
      <c r="AS3932" s="19"/>
      <c r="AT3932" s="19"/>
      <c r="AU3932" s="19"/>
    </row>
    <row r="3933" spans="3:47">
      <c r="C3933" s="20"/>
      <c r="Z3933" s="20"/>
      <c r="AG3933" s="20"/>
      <c r="AQ3933" s="19"/>
      <c r="AR3933" s="19"/>
      <c r="AS3933" s="19"/>
      <c r="AT3933" s="19"/>
      <c r="AU3933" s="19"/>
    </row>
    <row r="3934" spans="3:47">
      <c r="C3934" s="20"/>
      <c r="Z3934" s="20"/>
      <c r="AG3934" s="20"/>
      <c r="AQ3934" s="19"/>
      <c r="AR3934" s="19"/>
      <c r="AS3934" s="19"/>
      <c r="AT3934" s="19"/>
      <c r="AU3934" s="19"/>
    </row>
    <row r="3935" spans="3:47">
      <c r="C3935" s="20"/>
      <c r="Z3935" s="20"/>
      <c r="AG3935" s="20"/>
      <c r="AQ3935" s="19"/>
      <c r="AR3935" s="19"/>
      <c r="AS3935" s="19"/>
      <c r="AT3935" s="19"/>
      <c r="AU3935" s="19"/>
    </row>
    <row r="3936" spans="3:47">
      <c r="C3936" s="20"/>
      <c r="Z3936" s="20"/>
      <c r="AG3936" s="20"/>
      <c r="AQ3936" s="19"/>
      <c r="AR3936" s="19"/>
      <c r="AS3936" s="19"/>
      <c r="AT3936" s="19"/>
      <c r="AU3936" s="19"/>
    </row>
    <row r="3937" spans="3:47">
      <c r="C3937" s="20"/>
      <c r="Z3937" s="20"/>
      <c r="AG3937" s="20"/>
      <c r="AQ3937" s="19"/>
      <c r="AR3937" s="19"/>
      <c r="AS3937" s="19"/>
      <c r="AT3937" s="19"/>
      <c r="AU3937" s="19"/>
    </row>
    <row r="3938" spans="3:47">
      <c r="C3938" s="20"/>
      <c r="Z3938" s="20"/>
      <c r="AG3938" s="20"/>
      <c r="AQ3938" s="19"/>
      <c r="AR3938" s="19"/>
      <c r="AS3938" s="19"/>
      <c r="AT3938" s="19"/>
      <c r="AU3938" s="19"/>
    </row>
    <row r="3939" spans="3:47">
      <c r="C3939" s="20"/>
      <c r="Z3939" s="20"/>
      <c r="AG3939" s="20"/>
      <c r="AQ3939" s="19"/>
      <c r="AR3939" s="19"/>
      <c r="AS3939" s="19"/>
      <c r="AT3939" s="19"/>
      <c r="AU3939" s="19"/>
    </row>
    <row r="3940" spans="3:47">
      <c r="C3940" s="20"/>
      <c r="Z3940" s="20"/>
      <c r="AG3940" s="20"/>
      <c r="AQ3940" s="19"/>
      <c r="AR3940" s="19"/>
      <c r="AS3940" s="19"/>
      <c r="AT3940" s="19"/>
      <c r="AU3940" s="19"/>
    </row>
    <row r="3941" spans="3:47">
      <c r="C3941" s="20"/>
      <c r="Z3941" s="20"/>
      <c r="AG3941" s="20"/>
      <c r="AQ3941" s="19"/>
      <c r="AR3941" s="19"/>
      <c r="AS3941" s="19"/>
      <c r="AT3941" s="19"/>
      <c r="AU3941" s="19"/>
    </row>
    <row r="3942" spans="3:47">
      <c r="C3942" s="20"/>
      <c r="Z3942" s="20"/>
      <c r="AG3942" s="20"/>
      <c r="AQ3942" s="19"/>
      <c r="AR3942" s="19"/>
      <c r="AS3942" s="19"/>
      <c r="AT3942" s="19"/>
      <c r="AU3942" s="19"/>
    </row>
    <row r="3943" spans="3:47">
      <c r="C3943" s="20"/>
      <c r="Z3943" s="20"/>
      <c r="AG3943" s="20"/>
      <c r="AQ3943" s="19"/>
      <c r="AR3943" s="19"/>
      <c r="AS3943" s="19"/>
      <c r="AT3943" s="19"/>
      <c r="AU3943" s="19"/>
    </row>
    <row r="3944" spans="3:47">
      <c r="C3944" s="20"/>
      <c r="Z3944" s="20"/>
      <c r="AG3944" s="20"/>
      <c r="AQ3944" s="19"/>
      <c r="AR3944" s="19"/>
      <c r="AS3944" s="19"/>
      <c r="AT3944" s="19"/>
      <c r="AU3944" s="19"/>
    </row>
    <row r="3945" spans="3:47">
      <c r="C3945" s="20"/>
      <c r="Z3945" s="20"/>
      <c r="AG3945" s="20"/>
      <c r="AQ3945" s="19"/>
      <c r="AR3945" s="19"/>
      <c r="AS3945" s="19"/>
      <c r="AT3945" s="19"/>
      <c r="AU3945" s="19"/>
    </row>
    <row r="3946" spans="3:47">
      <c r="C3946" s="20"/>
      <c r="Z3946" s="20"/>
      <c r="AG3946" s="20"/>
      <c r="AQ3946" s="19"/>
      <c r="AR3946" s="19"/>
      <c r="AS3946" s="19"/>
      <c r="AT3946" s="19"/>
      <c r="AU3946" s="19"/>
    </row>
    <row r="3947" spans="3:47">
      <c r="C3947" s="20"/>
      <c r="Z3947" s="20"/>
      <c r="AG3947" s="20"/>
      <c r="AQ3947" s="19"/>
      <c r="AR3947" s="19"/>
      <c r="AS3947" s="19"/>
      <c r="AT3947" s="19"/>
      <c r="AU3947" s="19"/>
    </row>
    <row r="3948" spans="3:47">
      <c r="C3948" s="20"/>
      <c r="Z3948" s="20"/>
      <c r="AG3948" s="20"/>
      <c r="AQ3948" s="19"/>
      <c r="AR3948" s="19"/>
      <c r="AS3948" s="19"/>
      <c r="AT3948" s="19"/>
      <c r="AU3948" s="19"/>
    </row>
    <row r="3949" spans="3:47">
      <c r="C3949" s="20"/>
      <c r="Z3949" s="20"/>
      <c r="AG3949" s="20"/>
      <c r="AQ3949" s="19"/>
      <c r="AR3949" s="19"/>
      <c r="AS3949" s="19"/>
      <c r="AT3949" s="19"/>
      <c r="AU3949" s="19"/>
    </row>
    <row r="3950" spans="3:47">
      <c r="C3950" s="20"/>
      <c r="Z3950" s="20"/>
      <c r="AG3950" s="20"/>
      <c r="AQ3950" s="19"/>
      <c r="AR3950" s="19"/>
      <c r="AS3950" s="19"/>
      <c r="AT3950" s="19"/>
      <c r="AU3950" s="19"/>
    </row>
    <row r="3951" spans="3:47">
      <c r="C3951" s="20"/>
      <c r="Z3951" s="20"/>
      <c r="AG3951" s="20"/>
      <c r="AQ3951" s="19"/>
      <c r="AR3951" s="19"/>
      <c r="AS3951" s="19"/>
      <c r="AT3951" s="19"/>
      <c r="AU3951" s="19"/>
    </row>
    <row r="3952" spans="3:47">
      <c r="C3952" s="20"/>
      <c r="Z3952" s="20"/>
      <c r="AG3952" s="20"/>
      <c r="AQ3952" s="19"/>
      <c r="AR3952" s="19"/>
      <c r="AS3952" s="19"/>
      <c r="AT3952" s="19"/>
      <c r="AU3952" s="19"/>
    </row>
    <row r="3953" spans="3:47">
      <c r="C3953" s="20"/>
      <c r="Z3953" s="20"/>
      <c r="AG3953" s="20"/>
      <c r="AQ3953" s="19"/>
      <c r="AR3953" s="19"/>
      <c r="AS3953" s="19"/>
      <c r="AT3953" s="19"/>
      <c r="AU3953" s="19"/>
    </row>
    <row r="3954" spans="3:47">
      <c r="C3954" s="20"/>
      <c r="Z3954" s="20"/>
      <c r="AG3954" s="20"/>
      <c r="AQ3954" s="19"/>
      <c r="AR3954" s="19"/>
      <c r="AS3954" s="19"/>
      <c r="AT3954" s="19"/>
      <c r="AU3954" s="19"/>
    </row>
    <row r="3955" spans="3:47">
      <c r="C3955" s="20"/>
      <c r="Z3955" s="20"/>
      <c r="AG3955" s="20"/>
      <c r="AQ3955" s="19"/>
      <c r="AR3955" s="19"/>
      <c r="AS3955" s="19"/>
      <c r="AT3955" s="19"/>
      <c r="AU3955" s="19"/>
    </row>
    <row r="3956" spans="3:47">
      <c r="C3956" s="20"/>
      <c r="Z3956" s="20"/>
      <c r="AG3956" s="20"/>
      <c r="AQ3956" s="19"/>
      <c r="AR3956" s="19"/>
      <c r="AS3956" s="19"/>
      <c r="AT3956" s="19"/>
      <c r="AU3956" s="19"/>
    </row>
    <row r="3957" spans="3:47">
      <c r="C3957" s="20"/>
      <c r="Z3957" s="20"/>
      <c r="AG3957" s="20"/>
      <c r="AQ3957" s="19"/>
      <c r="AR3957" s="19"/>
      <c r="AS3957" s="19"/>
      <c r="AT3957" s="19"/>
      <c r="AU3957" s="19"/>
    </row>
    <row r="3958" spans="3:47">
      <c r="C3958" s="20"/>
      <c r="Z3958" s="20"/>
      <c r="AG3958" s="20"/>
      <c r="AQ3958" s="19"/>
      <c r="AR3958" s="19"/>
      <c r="AS3958" s="19"/>
      <c r="AT3958" s="19"/>
      <c r="AU3958" s="19"/>
    </row>
    <row r="3959" spans="3:47">
      <c r="C3959" s="20"/>
      <c r="Z3959" s="20"/>
      <c r="AG3959" s="20"/>
      <c r="AQ3959" s="19"/>
      <c r="AR3959" s="19"/>
      <c r="AS3959" s="19"/>
      <c r="AT3959" s="19"/>
      <c r="AU3959" s="19"/>
    </row>
    <row r="3960" spans="3:47">
      <c r="C3960" s="20"/>
      <c r="Z3960" s="20"/>
      <c r="AG3960" s="20"/>
      <c r="AQ3960" s="19"/>
      <c r="AR3960" s="19"/>
      <c r="AS3960" s="19"/>
      <c r="AT3960" s="19"/>
      <c r="AU3960" s="19"/>
    </row>
    <row r="3961" spans="3:47">
      <c r="C3961" s="20"/>
      <c r="Z3961" s="20"/>
      <c r="AG3961" s="20"/>
      <c r="AQ3961" s="19"/>
      <c r="AR3961" s="19"/>
      <c r="AS3961" s="19"/>
      <c r="AT3961" s="19"/>
      <c r="AU3961" s="19"/>
    </row>
    <row r="3962" spans="3:47">
      <c r="C3962" s="20"/>
      <c r="Z3962" s="20"/>
      <c r="AG3962" s="20"/>
      <c r="AQ3962" s="19"/>
      <c r="AR3962" s="19"/>
      <c r="AS3962" s="19"/>
      <c r="AT3962" s="19"/>
      <c r="AU3962" s="19"/>
    </row>
    <row r="3963" spans="3:47">
      <c r="C3963" s="20"/>
      <c r="Z3963" s="20"/>
      <c r="AG3963" s="20"/>
      <c r="AQ3963" s="19"/>
      <c r="AR3963" s="19"/>
      <c r="AS3963" s="19"/>
      <c r="AT3963" s="19"/>
      <c r="AU3963" s="19"/>
    </row>
    <row r="3964" spans="3:47">
      <c r="C3964" s="20"/>
      <c r="Z3964" s="20"/>
      <c r="AG3964" s="20"/>
      <c r="AQ3964" s="19"/>
      <c r="AR3964" s="19"/>
      <c r="AS3964" s="19"/>
      <c r="AT3964" s="19"/>
      <c r="AU3964" s="19"/>
    </row>
    <row r="3965" spans="3:47">
      <c r="C3965" s="20"/>
      <c r="Z3965" s="20"/>
      <c r="AG3965" s="20"/>
      <c r="AQ3965" s="19"/>
      <c r="AR3965" s="19"/>
      <c r="AS3965" s="19"/>
      <c r="AT3965" s="19"/>
      <c r="AU3965" s="19"/>
    </row>
    <row r="3966" spans="3:47">
      <c r="C3966" s="20"/>
      <c r="Z3966" s="20"/>
      <c r="AG3966" s="20"/>
      <c r="AQ3966" s="19"/>
      <c r="AR3966" s="19"/>
      <c r="AS3966" s="19"/>
      <c r="AT3966" s="19"/>
      <c r="AU3966" s="19"/>
    </row>
    <row r="3967" spans="3:47">
      <c r="C3967" s="20"/>
      <c r="Z3967" s="20"/>
      <c r="AG3967" s="20"/>
      <c r="AQ3967" s="19"/>
      <c r="AR3967" s="19"/>
      <c r="AS3967" s="19"/>
      <c r="AT3967" s="19"/>
      <c r="AU3967" s="19"/>
    </row>
    <row r="3968" spans="3:47">
      <c r="C3968" s="20"/>
      <c r="Z3968" s="20"/>
      <c r="AG3968" s="20"/>
      <c r="AQ3968" s="19"/>
      <c r="AR3968" s="19"/>
      <c r="AS3968" s="19"/>
      <c r="AT3968" s="19"/>
      <c r="AU3968" s="19"/>
    </row>
    <row r="3969" spans="3:47">
      <c r="C3969" s="20"/>
      <c r="Z3969" s="20"/>
      <c r="AG3969" s="20"/>
      <c r="AQ3969" s="19"/>
      <c r="AR3969" s="19"/>
      <c r="AS3969" s="19"/>
      <c r="AT3969" s="19"/>
      <c r="AU3969" s="19"/>
    </row>
    <row r="3970" spans="3:47">
      <c r="C3970" s="20"/>
      <c r="Z3970" s="20"/>
      <c r="AG3970" s="20"/>
      <c r="AQ3970" s="19"/>
      <c r="AR3970" s="19"/>
      <c r="AS3970" s="19"/>
      <c r="AT3970" s="19"/>
      <c r="AU3970" s="19"/>
    </row>
    <row r="3971" spans="3:47">
      <c r="C3971" s="20"/>
      <c r="Z3971" s="20"/>
      <c r="AG3971" s="20"/>
      <c r="AQ3971" s="19"/>
      <c r="AR3971" s="19"/>
      <c r="AS3971" s="19"/>
      <c r="AT3971" s="19"/>
      <c r="AU3971" s="19"/>
    </row>
    <row r="3972" spans="3:47">
      <c r="C3972" s="20"/>
      <c r="Z3972" s="20"/>
      <c r="AG3972" s="20"/>
      <c r="AQ3972" s="19"/>
      <c r="AR3972" s="19"/>
      <c r="AS3972" s="19"/>
      <c r="AT3972" s="19"/>
      <c r="AU3972" s="19"/>
    </row>
    <row r="3973" spans="3:47">
      <c r="C3973" s="20"/>
      <c r="Z3973" s="20"/>
      <c r="AG3973" s="20"/>
      <c r="AQ3973" s="19"/>
      <c r="AR3973" s="19"/>
      <c r="AS3973" s="19"/>
      <c r="AT3973" s="19"/>
      <c r="AU3973" s="19"/>
    </row>
    <row r="3974" spans="3:47">
      <c r="C3974" s="20"/>
      <c r="Z3974" s="20"/>
      <c r="AG3974" s="20"/>
      <c r="AQ3974" s="19"/>
      <c r="AR3974" s="19"/>
      <c r="AS3974" s="19"/>
      <c r="AT3974" s="19"/>
      <c r="AU3974" s="19"/>
    </row>
    <row r="3975" spans="3:47">
      <c r="C3975" s="20"/>
      <c r="Z3975" s="20"/>
      <c r="AG3975" s="20"/>
      <c r="AQ3975" s="19"/>
      <c r="AR3975" s="19"/>
      <c r="AS3975" s="19"/>
      <c r="AT3975" s="19"/>
      <c r="AU3975" s="19"/>
    </row>
    <row r="3976" spans="3:47">
      <c r="C3976" s="20"/>
      <c r="Z3976" s="20"/>
      <c r="AG3976" s="20"/>
      <c r="AQ3976" s="19"/>
      <c r="AR3976" s="19"/>
      <c r="AS3976" s="19"/>
      <c r="AT3976" s="19"/>
      <c r="AU3976" s="19"/>
    </row>
    <row r="3977" spans="3:47">
      <c r="C3977" s="20"/>
      <c r="Z3977" s="20"/>
      <c r="AG3977" s="20"/>
      <c r="AQ3977" s="19"/>
      <c r="AR3977" s="19"/>
      <c r="AS3977" s="19"/>
      <c r="AT3977" s="19"/>
      <c r="AU3977" s="19"/>
    </row>
    <row r="3978" spans="3:47">
      <c r="C3978" s="20"/>
      <c r="Z3978" s="20"/>
      <c r="AG3978" s="20"/>
      <c r="AQ3978" s="19"/>
      <c r="AR3978" s="19"/>
      <c r="AS3978" s="19"/>
      <c r="AT3978" s="19"/>
      <c r="AU3978" s="19"/>
    </row>
    <row r="3979" spans="3:47">
      <c r="C3979" s="20"/>
      <c r="Z3979" s="20"/>
      <c r="AG3979" s="20"/>
      <c r="AQ3979" s="19"/>
      <c r="AR3979" s="19"/>
      <c r="AS3979" s="19"/>
      <c r="AT3979" s="19"/>
      <c r="AU3979" s="19"/>
    </row>
    <row r="3980" spans="3:47">
      <c r="C3980" s="20"/>
      <c r="Z3980" s="20"/>
      <c r="AG3980" s="20"/>
      <c r="AQ3980" s="19"/>
      <c r="AR3980" s="19"/>
      <c r="AS3980" s="19"/>
      <c r="AT3980" s="19"/>
      <c r="AU3980" s="19"/>
    </row>
    <row r="3981" spans="3:47">
      <c r="C3981" s="20"/>
      <c r="Z3981" s="20"/>
      <c r="AG3981" s="20"/>
      <c r="AQ3981" s="19"/>
      <c r="AR3981" s="19"/>
      <c r="AS3981" s="19"/>
      <c r="AT3981" s="19"/>
      <c r="AU3981" s="19"/>
    </row>
    <row r="3982" spans="3:47">
      <c r="C3982" s="20"/>
      <c r="Z3982" s="20"/>
      <c r="AG3982" s="20"/>
      <c r="AQ3982" s="19"/>
      <c r="AR3982" s="19"/>
      <c r="AS3982" s="19"/>
      <c r="AT3982" s="19"/>
      <c r="AU3982" s="19"/>
    </row>
    <row r="3983" spans="3:47">
      <c r="C3983" s="20"/>
      <c r="Z3983" s="20"/>
      <c r="AG3983" s="20"/>
      <c r="AQ3983" s="19"/>
      <c r="AR3983" s="19"/>
      <c r="AS3983" s="19"/>
      <c r="AT3983" s="19"/>
      <c r="AU3983" s="19"/>
    </row>
    <row r="3984" spans="3:47">
      <c r="C3984" s="20"/>
      <c r="Z3984" s="20"/>
      <c r="AG3984" s="20"/>
      <c r="AQ3984" s="19"/>
      <c r="AR3984" s="19"/>
      <c r="AS3984" s="19"/>
      <c r="AT3984" s="19"/>
      <c r="AU3984" s="19"/>
    </row>
    <row r="3985" spans="3:47">
      <c r="C3985" s="20"/>
      <c r="Z3985" s="20"/>
      <c r="AG3985" s="20"/>
      <c r="AQ3985" s="19"/>
      <c r="AR3985" s="19"/>
      <c r="AS3985" s="19"/>
      <c r="AT3985" s="19"/>
      <c r="AU3985" s="19"/>
    </row>
    <row r="3986" spans="3:47">
      <c r="C3986" s="20"/>
      <c r="Z3986" s="20"/>
      <c r="AG3986" s="20"/>
      <c r="AQ3986" s="19"/>
      <c r="AR3986" s="19"/>
      <c r="AS3986" s="19"/>
      <c r="AT3986" s="19"/>
      <c r="AU3986" s="19"/>
    </row>
    <row r="3987" spans="3:47">
      <c r="C3987" s="20"/>
      <c r="Z3987" s="20"/>
      <c r="AG3987" s="20"/>
      <c r="AQ3987" s="19"/>
      <c r="AR3987" s="19"/>
      <c r="AS3987" s="19"/>
      <c r="AT3987" s="19"/>
      <c r="AU3987" s="19"/>
    </row>
    <row r="3988" spans="3:47">
      <c r="C3988" s="20"/>
      <c r="Z3988" s="20"/>
      <c r="AG3988" s="20"/>
      <c r="AQ3988" s="19"/>
      <c r="AR3988" s="19"/>
      <c r="AS3988" s="19"/>
      <c r="AT3988" s="19"/>
      <c r="AU3988" s="19"/>
    </row>
    <row r="3989" spans="3:47">
      <c r="C3989" s="20"/>
      <c r="Z3989" s="20"/>
      <c r="AG3989" s="20"/>
      <c r="AQ3989" s="19"/>
      <c r="AR3989" s="19"/>
      <c r="AS3989" s="19"/>
      <c r="AT3989" s="19"/>
      <c r="AU3989" s="19"/>
    </row>
    <row r="3990" spans="3:47">
      <c r="C3990" s="20"/>
      <c r="Z3990" s="20"/>
      <c r="AG3990" s="20"/>
      <c r="AQ3990" s="19"/>
      <c r="AR3990" s="19"/>
      <c r="AS3990" s="19"/>
      <c r="AT3990" s="19"/>
      <c r="AU3990" s="19"/>
    </row>
    <row r="3991" spans="3:47">
      <c r="C3991" s="20"/>
      <c r="Z3991" s="20"/>
      <c r="AG3991" s="20"/>
      <c r="AQ3991" s="19"/>
      <c r="AR3991" s="19"/>
      <c r="AS3991" s="19"/>
      <c r="AT3991" s="19"/>
      <c r="AU3991" s="19"/>
    </row>
    <row r="3992" spans="3:47">
      <c r="C3992" s="20"/>
      <c r="Z3992" s="20"/>
      <c r="AG3992" s="20"/>
      <c r="AQ3992" s="19"/>
      <c r="AR3992" s="19"/>
      <c r="AS3992" s="19"/>
      <c r="AT3992" s="19"/>
      <c r="AU3992" s="19"/>
    </row>
    <row r="3993" spans="3:47">
      <c r="C3993" s="20"/>
      <c r="Z3993" s="20"/>
      <c r="AG3993" s="20"/>
      <c r="AQ3993" s="19"/>
      <c r="AR3993" s="19"/>
      <c r="AS3993" s="19"/>
      <c r="AT3993" s="19"/>
      <c r="AU3993" s="19"/>
    </row>
    <row r="3994" spans="3:47">
      <c r="C3994" s="20"/>
      <c r="Z3994" s="20"/>
      <c r="AG3994" s="20"/>
      <c r="AQ3994" s="19"/>
      <c r="AR3994" s="19"/>
      <c r="AS3994" s="19"/>
      <c r="AT3994" s="19"/>
      <c r="AU3994" s="19"/>
    </row>
    <row r="3995" spans="3:47">
      <c r="C3995" s="20"/>
      <c r="Z3995" s="20"/>
      <c r="AG3995" s="20"/>
      <c r="AQ3995" s="19"/>
      <c r="AR3995" s="19"/>
      <c r="AS3995" s="19"/>
      <c r="AT3995" s="19"/>
      <c r="AU3995" s="19"/>
    </row>
    <row r="3996" spans="3:47">
      <c r="C3996" s="20"/>
      <c r="Z3996" s="20"/>
      <c r="AG3996" s="20"/>
      <c r="AQ3996" s="19"/>
      <c r="AR3996" s="19"/>
      <c r="AS3996" s="19"/>
      <c r="AT3996" s="19"/>
      <c r="AU3996" s="19"/>
    </row>
    <row r="3997" spans="3:47">
      <c r="C3997" s="20"/>
      <c r="Z3997" s="20"/>
      <c r="AG3997" s="20"/>
      <c r="AQ3997" s="19"/>
      <c r="AR3997" s="19"/>
      <c r="AS3997" s="19"/>
      <c r="AT3997" s="19"/>
      <c r="AU3997" s="19"/>
    </row>
    <row r="3998" spans="3:47">
      <c r="C3998" s="20"/>
      <c r="Z3998" s="20"/>
      <c r="AG3998" s="20"/>
      <c r="AQ3998" s="19"/>
      <c r="AR3998" s="19"/>
      <c r="AS3998" s="19"/>
      <c r="AT3998" s="19"/>
      <c r="AU3998" s="19"/>
    </row>
    <row r="3999" spans="3:47">
      <c r="C3999" s="20"/>
      <c r="Z3999" s="20"/>
      <c r="AG3999" s="20"/>
      <c r="AQ3999" s="19"/>
      <c r="AR3999" s="19"/>
      <c r="AS3999" s="19"/>
      <c r="AT3999" s="19"/>
      <c r="AU3999" s="19"/>
    </row>
    <row r="4000" spans="3:47">
      <c r="C4000" s="20"/>
      <c r="Z4000" s="20"/>
      <c r="AG4000" s="20"/>
      <c r="AQ4000" s="19"/>
      <c r="AR4000" s="19"/>
      <c r="AS4000" s="19"/>
      <c r="AT4000" s="19"/>
      <c r="AU4000" s="19"/>
    </row>
    <row r="4001" spans="3:47">
      <c r="C4001" s="20"/>
      <c r="Z4001" s="20"/>
      <c r="AG4001" s="20"/>
      <c r="AQ4001" s="19"/>
      <c r="AR4001" s="19"/>
      <c r="AS4001" s="19"/>
      <c r="AT4001" s="19"/>
      <c r="AU4001" s="19"/>
    </row>
    <row r="4002" spans="3:47">
      <c r="C4002" s="20"/>
      <c r="Z4002" s="20"/>
      <c r="AG4002" s="20"/>
      <c r="AQ4002" s="19"/>
      <c r="AR4002" s="19"/>
      <c r="AS4002" s="19"/>
      <c r="AT4002" s="19"/>
      <c r="AU4002" s="19"/>
    </row>
    <row r="4003" spans="3:47">
      <c r="C4003" s="20"/>
      <c r="Z4003" s="20"/>
      <c r="AG4003" s="20"/>
      <c r="AQ4003" s="19"/>
      <c r="AR4003" s="19"/>
      <c r="AS4003" s="19"/>
      <c r="AT4003" s="19"/>
      <c r="AU4003" s="19"/>
    </row>
    <row r="4004" spans="3:47">
      <c r="C4004" s="20"/>
      <c r="Z4004" s="20"/>
      <c r="AG4004" s="20"/>
      <c r="AQ4004" s="19"/>
      <c r="AR4004" s="19"/>
      <c r="AS4004" s="19"/>
      <c r="AT4004" s="19"/>
      <c r="AU4004" s="19"/>
    </row>
    <row r="4005" spans="3:47">
      <c r="C4005" s="20"/>
      <c r="Z4005" s="20"/>
      <c r="AG4005" s="20"/>
      <c r="AQ4005" s="19"/>
      <c r="AR4005" s="19"/>
      <c r="AS4005" s="19"/>
      <c r="AT4005" s="19"/>
      <c r="AU4005" s="19"/>
    </row>
    <row r="4006" spans="3:47">
      <c r="C4006" s="20"/>
      <c r="Z4006" s="20"/>
      <c r="AG4006" s="20"/>
      <c r="AQ4006" s="19"/>
      <c r="AR4006" s="19"/>
      <c r="AS4006" s="19"/>
      <c r="AT4006" s="19"/>
      <c r="AU4006" s="19"/>
    </row>
    <row r="4007" spans="3:47">
      <c r="C4007" s="20"/>
      <c r="Z4007" s="20"/>
      <c r="AG4007" s="20"/>
      <c r="AQ4007" s="19"/>
      <c r="AR4007" s="19"/>
      <c r="AS4007" s="19"/>
      <c r="AT4007" s="19"/>
      <c r="AU4007" s="19"/>
    </row>
    <row r="4008" spans="3:47">
      <c r="C4008" s="20"/>
      <c r="Z4008" s="20"/>
      <c r="AG4008" s="20"/>
      <c r="AQ4008" s="19"/>
      <c r="AR4008" s="19"/>
      <c r="AS4008" s="19"/>
      <c r="AT4008" s="19"/>
      <c r="AU4008" s="19"/>
    </row>
    <row r="4009" spans="3:47">
      <c r="C4009" s="20"/>
      <c r="Z4009" s="20"/>
      <c r="AG4009" s="20"/>
      <c r="AQ4009" s="19"/>
      <c r="AR4009" s="19"/>
      <c r="AS4009" s="19"/>
      <c r="AT4009" s="19"/>
      <c r="AU4009" s="19"/>
    </row>
    <row r="4010" spans="3:47">
      <c r="C4010" s="20"/>
      <c r="Z4010" s="20"/>
      <c r="AG4010" s="20"/>
      <c r="AQ4010" s="19"/>
      <c r="AR4010" s="19"/>
      <c r="AS4010" s="19"/>
      <c r="AT4010" s="19"/>
      <c r="AU4010" s="19"/>
    </row>
    <row r="4011" spans="3:47">
      <c r="C4011" s="20"/>
      <c r="Z4011" s="20"/>
      <c r="AG4011" s="20"/>
      <c r="AQ4011" s="19"/>
      <c r="AR4011" s="19"/>
      <c r="AS4011" s="19"/>
      <c r="AT4011" s="19"/>
      <c r="AU4011" s="19"/>
    </row>
    <row r="4012" spans="3:47">
      <c r="C4012" s="20"/>
      <c r="Z4012" s="20"/>
      <c r="AG4012" s="20"/>
      <c r="AQ4012" s="19"/>
      <c r="AR4012" s="19"/>
      <c r="AS4012" s="19"/>
      <c r="AT4012" s="19"/>
      <c r="AU4012" s="19"/>
    </row>
    <row r="4013" spans="3:47">
      <c r="C4013" s="20"/>
      <c r="Z4013" s="20"/>
      <c r="AG4013" s="20"/>
      <c r="AQ4013" s="19"/>
      <c r="AR4013" s="19"/>
      <c r="AS4013" s="19"/>
      <c r="AT4013" s="19"/>
      <c r="AU4013" s="19"/>
    </row>
    <row r="4014" spans="3:47">
      <c r="C4014" s="20"/>
      <c r="Z4014" s="20"/>
      <c r="AG4014" s="20"/>
      <c r="AQ4014" s="19"/>
      <c r="AR4014" s="19"/>
      <c r="AS4014" s="19"/>
      <c r="AT4014" s="19"/>
      <c r="AU4014" s="19"/>
    </row>
    <row r="4015" spans="3:47">
      <c r="C4015" s="20"/>
      <c r="Z4015" s="20"/>
      <c r="AG4015" s="20"/>
      <c r="AQ4015" s="19"/>
      <c r="AR4015" s="19"/>
      <c r="AS4015" s="19"/>
      <c r="AT4015" s="19"/>
      <c r="AU4015" s="19"/>
    </row>
    <row r="4016" spans="3:47">
      <c r="C4016" s="20"/>
      <c r="Z4016" s="20"/>
      <c r="AG4016" s="20"/>
      <c r="AQ4016" s="19"/>
      <c r="AR4016" s="19"/>
      <c r="AS4016" s="19"/>
      <c r="AT4016" s="19"/>
      <c r="AU4016" s="19"/>
    </row>
    <row r="4017" spans="3:47">
      <c r="C4017" s="20"/>
      <c r="Z4017" s="20"/>
      <c r="AG4017" s="20"/>
      <c r="AQ4017" s="19"/>
      <c r="AR4017" s="19"/>
      <c r="AS4017" s="19"/>
      <c r="AT4017" s="19"/>
      <c r="AU4017" s="19"/>
    </row>
    <row r="4018" spans="3:47">
      <c r="C4018" s="20"/>
      <c r="Z4018" s="20"/>
      <c r="AG4018" s="20"/>
      <c r="AQ4018" s="19"/>
      <c r="AR4018" s="19"/>
      <c r="AS4018" s="19"/>
      <c r="AT4018" s="19"/>
      <c r="AU4018" s="19"/>
    </row>
    <row r="4019" spans="3:47">
      <c r="C4019" s="20"/>
      <c r="Z4019" s="20"/>
      <c r="AG4019" s="20"/>
      <c r="AQ4019" s="19"/>
      <c r="AR4019" s="19"/>
      <c r="AS4019" s="19"/>
      <c r="AT4019" s="19"/>
      <c r="AU4019" s="19"/>
    </row>
    <row r="4020" spans="3:47">
      <c r="C4020" s="20"/>
      <c r="Z4020" s="20"/>
      <c r="AG4020" s="20"/>
      <c r="AQ4020" s="19"/>
      <c r="AR4020" s="19"/>
      <c r="AS4020" s="19"/>
      <c r="AT4020" s="19"/>
      <c r="AU4020" s="19"/>
    </row>
    <row r="4021" spans="3:47">
      <c r="C4021" s="20"/>
      <c r="Z4021" s="20"/>
      <c r="AG4021" s="20"/>
      <c r="AQ4021" s="19"/>
      <c r="AR4021" s="19"/>
      <c r="AS4021" s="19"/>
      <c r="AT4021" s="19"/>
      <c r="AU4021" s="19"/>
    </row>
    <row r="4022" spans="3:47">
      <c r="C4022" s="20"/>
      <c r="Z4022" s="20"/>
      <c r="AG4022" s="20"/>
      <c r="AQ4022" s="19"/>
      <c r="AR4022" s="19"/>
      <c r="AS4022" s="19"/>
      <c r="AT4022" s="19"/>
      <c r="AU4022" s="19"/>
    </row>
    <row r="4023" spans="3:47">
      <c r="C4023" s="20"/>
      <c r="Z4023" s="20"/>
      <c r="AG4023" s="20"/>
      <c r="AQ4023" s="19"/>
      <c r="AR4023" s="19"/>
      <c r="AS4023" s="19"/>
      <c r="AT4023" s="19"/>
      <c r="AU4023" s="19"/>
    </row>
    <row r="4024" spans="3:47">
      <c r="C4024" s="20"/>
      <c r="Z4024" s="20"/>
      <c r="AG4024" s="20"/>
      <c r="AQ4024" s="19"/>
      <c r="AR4024" s="19"/>
      <c r="AS4024" s="19"/>
      <c r="AT4024" s="19"/>
      <c r="AU4024" s="19"/>
    </row>
    <row r="4025" spans="3:47">
      <c r="C4025" s="20"/>
      <c r="Z4025" s="20"/>
      <c r="AG4025" s="20"/>
      <c r="AQ4025" s="19"/>
      <c r="AR4025" s="19"/>
      <c r="AS4025" s="19"/>
      <c r="AT4025" s="19"/>
      <c r="AU4025" s="19"/>
    </row>
    <row r="4026" spans="3:47">
      <c r="C4026" s="20"/>
      <c r="Z4026" s="20"/>
      <c r="AG4026" s="20"/>
      <c r="AQ4026" s="19"/>
      <c r="AR4026" s="19"/>
      <c r="AS4026" s="19"/>
      <c r="AT4026" s="19"/>
      <c r="AU4026" s="19"/>
    </row>
    <row r="4027" spans="3:47">
      <c r="C4027" s="20"/>
      <c r="Z4027" s="20"/>
      <c r="AG4027" s="20"/>
      <c r="AQ4027" s="19"/>
      <c r="AR4027" s="19"/>
      <c r="AS4027" s="19"/>
      <c r="AT4027" s="19"/>
      <c r="AU4027" s="19"/>
    </row>
    <row r="4028" spans="3:47">
      <c r="C4028" s="20"/>
      <c r="Z4028" s="20"/>
      <c r="AG4028" s="20"/>
      <c r="AQ4028" s="19"/>
      <c r="AR4028" s="19"/>
      <c r="AS4028" s="19"/>
      <c r="AT4028" s="19"/>
      <c r="AU4028" s="19"/>
    </row>
    <row r="4029" spans="3:47">
      <c r="C4029" s="20"/>
      <c r="Z4029" s="20"/>
      <c r="AG4029" s="20"/>
      <c r="AQ4029" s="19"/>
      <c r="AR4029" s="19"/>
      <c r="AS4029" s="19"/>
      <c r="AT4029" s="19"/>
      <c r="AU4029" s="19"/>
    </row>
    <row r="4030" spans="3:47">
      <c r="C4030" s="20"/>
      <c r="Z4030" s="20"/>
      <c r="AG4030" s="20"/>
      <c r="AQ4030" s="19"/>
      <c r="AR4030" s="19"/>
      <c r="AS4030" s="19"/>
      <c r="AT4030" s="19"/>
      <c r="AU4030" s="19"/>
    </row>
    <row r="4031" spans="3:47">
      <c r="C4031" s="20"/>
      <c r="Z4031" s="20"/>
      <c r="AG4031" s="20"/>
      <c r="AQ4031" s="19"/>
      <c r="AR4031" s="19"/>
      <c r="AS4031" s="19"/>
      <c r="AT4031" s="19"/>
      <c r="AU4031" s="19"/>
    </row>
    <row r="4032" spans="3:47">
      <c r="C4032" s="20"/>
      <c r="Z4032" s="20"/>
      <c r="AG4032" s="20"/>
      <c r="AQ4032" s="19"/>
      <c r="AR4032" s="19"/>
      <c r="AS4032" s="19"/>
      <c r="AT4032" s="19"/>
      <c r="AU4032" s="19"/>
    </row>
    <row r="4033" spans="3:47">
      <c r="C4033" s="20"/>
      <c r="Z4033" s="20"/>
      <c r="AG4033" s="20"/>
      <c r="AQ4033" s="19"/>
      <c r="AR4033" s="19"/>
      <c r="AS4033" s="19"/>
      <c r="AT4033" s="19"/>
      <c r="AU4033" s="19"/>
    </row>
    <row r="4034" spans="3:47">
      <c r="C4034" s="20"/>
      <c r="Z4034" s="20"/>
      <c r="AG4034" s="20"/>
      <c r="AQ4034" s="19"/>
      <c r="AR4034" s="19"/>
      <c r="AS4034" s="19"/>
      <c r="AT4034" s="19"/>
      <c r="AU4034" s="19"/>
    </row>
    <row r="4035" spans="3:47">
      <c r="C4035" s="20"/>
      <c r="Z4035" s="20"/>
      <c r="AG4035" s="20"/>
      <c r="AQ4035" s="19"/>
      <c r="AR4035" s="19"/>
      <c r="AS4035" s="19"/>
      <c r="AT4035" s="19"/>
      <c r="AU4035" s="19"/>
    </row>
    <row r="4036" spans="3:47">
      <c r="C4036" s="20"/>
      <c r="Z4036" s="20"/>
      <c r="AG4036" s="20"/>
      <c r="AQ4036" s="19"/>
      <c r="AR4036" s="19"/>
      <c r="AS4036" s="19"/>
      <c r="AT4036" s="19"/>
      <c r="AU4036" s="19"/>
    </row>
    <row r="4037" spans="3:47">
      <c r="C4037" s="20"/>
      <c r="Z4037" s="20"/>
      <c r="AG4037" s="20"/>
      <c r="AQ4037" s="19"/>
      <c r="AR4037" s="19"/>
      <c r="AS4037" s="19"/>
      <c r="AT4037" s="19"/>
      <c r="AU4037" s="19"/>
    </row>
    <row r="4038" spans="3:47">
      <c r="C4038" s="20"/>
      <c r="Z4038" s="20"/>
      <c r="AG4038" s="20"/>
      <c r="AQ4038" s="19"/>
      <c r="AR4038" s="19"/>
      <c r="AS4038" s="19"/>
      <c r="AT4038" s="19"/>
      <c r="AU4038" s="19"/>
    </row>
    <row r="4039" spans="3:47">
      <c r="C4039" s="20"/>
      <c r="Z4039" s="20"/>
      <c r="AG4039" s="20"/>
      <c r="AQ4039" s="19"/>
      <c r="AR4039" s="19"/>
      <c r="AS4039" s="19"/>
      <c r="AT4039" s="19"/>
      <c r="AU4039" s="19"/>
    </row>
    <row r="4040" spans="3:47">
      <c r="C4040" s="20"/>
      <c r="Z4040" s="20"/>
      <c r="AG4040" s="20"/>
      <c r="AQ4040" s="19"/>
      <c r="AR4040" s="19"/>
      <c r="AS4040" s="19"/>
      <c r="AT4040" s="19"/>
      <c r="AU4040" s="19"/>
    </row>
    <row r="4041" spans="3:47">
      <c r="C4041" s="20"/>
      <c r="Z4041" s="20"/>
      <c r="AG4041" s="20"/>
      <c r="AQ4041" s="19"/>
      <c r="AR4041" s="19"/>
      <c r="AS4041" s="19"/>
      <c r="AT4041" s="19"/>
      <c r="AU4041" s="19"/>
    </row>
    <row r="4042" spans="3:47">
      <c r="C4042" s="20"/>
      <c r="Z4042" s="20"/>
      <c r="AG4042" s="20"/>
      <c r="AQ4042" s="19"/>
      <c r="AR4042" s="19"/>
      <c r="AS4042" s="19"/>
      <c r="AT4042" s="19"/>
      <c r="AU4042" s="19"/>
    </row>
    <row r="4043" spans="3:47">
      <c r="C4043" s="20"/>
      <c r="Z4043" s="20"/>
      <c r="AG4043" s="20"/>
      <c r="AQ4043" s="19"/>
      <c r="AR4043" s="19"/>
      <c r="AS4043" s="19"/>
      <c r="AT4043" s="19"/>
      <c r="AU4043" s="19"/>
    </row>
    <row r="4044" spans="3:47">
      <c r="C4044" s="20"/>
      <c r="Z4044" s="20"/>
      <c r="AG4044" s="20"/>
      <c r="AQ4044" s="19"/>
      <c r="AR4044" s="19"/>
      <c r="AS4044" s="19"/>
      <c r="AT4044" s="19"/>
      <c r="AU4044" s="19"/>
    </row>
    <row r="4045" spans="3:47">
      <c r="C4045" s="20"/>
      <c r="Z4045" s="20"/>
      <c r="AG4045" s="20"/>
      <c r="AQ4045" s="19"/>
      <c r="AR4045" s="19"/>
      <c r="AS4045" s="19"/>
      <c r="AT4045" s="19"/>
      <c r="AU4045" s="19"/>
    </row>
    <row r="4046" spans="3:47">
      <c r="C4046" s="20"/>
      <c r="Z4046" s="20"/>
      <c r="AG4046" s="20"/>
      <c r="AQ4046" s="19"/>
      <c r="AR4046" s="19"/>
      <c r="AS4046" s="19"/>
      <c r="AT4046" s="19"/>
      <c r="AU4046" s="19"/>
    </row>
    <row r="4047" spans="3:47">
      <c r="C4047" s="20"/>
      <c r="Z4047" s="20"/>
      <c r="AG4047" s="20"/>
      <c r="AQ4047" s="19"/>
      <c r="AR4047" s="19"/>
      <c r="AS4047" s="19"/>
      <c r="AT4047" s="19"/>
      <c r="AU4047" s="19"/>
    </row>
    <row r="4048" spans="3:47">
      <c r="C4048" s="20"/>
      <c r="Z4048" s="20"/>
      <c r="AG4048" s="20"/>
      <c r="AQ4048" s="19"/>
      <c r="AR4048" s="19"/>
      <c r="AS4048" s="19"/>
      <c r="AT4048" s="19"/>
      <c r="AU4048" s="19"/>
    </row>
    <row r="4049" spans="3:47">
      <c r="C4049" s="20"/>
      <c r="Z4049" s="20"/>
      <c r="AG4049" s="20"/>
      <c r="AQ4049" s="19"/>
      <c r="AR4049" s="19"/>
      <c r="AS4049" s="19"/>
      <c r="AT4049" s="19"/>
      <c r="AU4049" s="19"/>
    </row>
    <row r="4050" spans="3:47">
      <c r="C4050" s="20"/>
      <c r="Z4050" s="20"/>
      <c r="AG4050" s="20"/>
      <c r="AQ4050" s="19"/>
      <c r="AR4050" s="19"/>
      <c r="AS4050" s="19"/>
      <c r="AT4050" s="19"/>
      <c r="AU4050" s="19"/>
    </row>
    <row r="4051" spans="3:47">
      <c r="C4051" s="20"/>
      <c r="Z4051" s="20"/>
      <c r="AG4051" s="20"/>
      <c r="AQ4051" s="19"/>
      <c r="AR4051" s="19"/>
      <c r="AS4051" s="19"/>
      <c r="AT4051" s="19"/>
      <c r="AU4051" s="19"/>
    </row>
    <row r="4052" spans="3:47">
      <c r="C4052" s="20"/>
      <c r="Z4052" s="20"/>
      <c r="AG4052" s="20"/>
      <c r="AQ4052" s="19"/>
      <c r="AR4052" s="19"/>
      <c r="AS4052" s="19"/>
      <c r="AT4052" s="19"/>
      <c r="AU4052" s="19"/>
    </row>
    <row r="4053" spans="3:47">
      <c r="C4053" s="20"/>
      <c r="Z4053" s="20"/>
      <c r="AG4053" s="20"/>
      <c r="AQ4053" s="19"/>
      <c r="AR4053" s="19"/>
      <c r="AS4053" s="19"/>
      <c r="AT4053" s="19"/>
      <c r="AU4053" s="19"/>
    </row>
    <row r="4054" spans="3:47">
      <c r="C4054" s="20"/>
      <c r="Z4054" s="20"/>
      <c r="AG4054" s="20"/>
      <c r="AQ4054" s="19"/>
      <c r="AR4054" s="19"/>
      <c r="AS4054" s="19"/>
      <c r="AT4054" s="19"/>
      <c r="AU4054" s="19"/>
    </row>
    <row r="4055" spans="3:47">
      <c r="C4055" s="20"/>
      <c r="Z4055" s="20"/>
      <c r="AG4055" s="20"/>
      <c r="AQ4055" s="19"/>
      <c r="AR4055" s="19"/>
      <c r="AS4055" s="19"/>
      <c r="AT4055" s="19"/>
      <c r="AU4055" s="19"/>
    </row>
    <row r="4056" spans="3:47">
      <c r="C4056" s="20"/>
      <c r="Z4056" s="20"/>
      <c r="AG4056" s="20"/>
      <c r="AQ4056" s="19"/>
      <c r="AR4056" s="19"/>
      <c r="AS4056" s="19"/>
      <c r="AT4056" s="19"/>
      <c r="AU4056" s="19"/>
    </row>
    <row r="4057" spans="3:47">
      <c r="C4057" s="20"/>
      <c r="Z4057" s="20"/>
      <c r="AG4057" s="20"/>
      <c r="AQ4057" s="19"/>
      <c r="AR4057" s="19"/>
      <c r="AS4057" s="19"/>
      <c r="AT4057" s="19"/>
      <c r="AU4057" s="19"/>
    </row>
    <row r="4058" spans="3:47">
      <c r="C4058" s="20"/>
      <c r="Z4058" s="20"/>
      <c r="AG4058" s="20"/>
      <c r="AQ4058" s="19"/>
      <c r="AR4058" s="19"/>
      <c r="AS4058" s="19"/>
      <c r="AT4058" s="19"/>
      <c r="AU4058" s="19"/>
    </row>
    <row r="4059" spans="3:47">
      <c r="C4059" s="20"/>
      <c r="Z4059" s="20"/>
      <c r="AG4059" s="20"/>
      <c r="AQ4059" s="19"/>
      <c r="AR4059" s="19"/>
      <c r="AS4059" s="19"/>
      <c r="AT4059" s="19"/>
      <c r="AU4059" s="19"/>
    </row>
    <row r="4060" spans="3:47">
      <c r="C4060" s="20"/>
      <c r="Z4060" s="20"/>
      <c r="AG4060" s="20"/>
      <c r="AQ4060" s="19"/>
      <c r="AR4060" s="19"/>
      <c r="AS4060" s="19"/>
      <c r="AT4060" s="19"/>
      <c r="AU4060" s="19"/>
    </row>
    <row r="4061" spans="3:47">
      <c r="C4061" s="20"/>
      <c r="Z4061" s="20"/>
      <c r="AG4061" s="20"/>
      <c r="AQ4061" s="19"/>
      <c r="AR4061" s="19"/>
      <c r="AS4061" s="19"/>
      <c r="AT4061" s="19"/>
      <c r="AU4061" s="19"/>
    </row>
    <row r="4062" spans="3:47">
      <c r="C4062" s="20"/>
      <c r="Z4062" s="20"/>
      <c r="AG4062" s="20"/>
      <c r="AQ4062" s="19"/>
      <c r="AR4062" s="19"/>
      <c r="AS4062" s="19"/>
      <c r="AT4062" s="19"/>
      <c r="AU4062" s="19"/>
    </row>
    <row r="4063" spans="3:47">
      <c r="C4063" s="20"/>
      <c r="Z4063" s="20"/>
      <c r="AG4063" s="20"/>
      <c r="AQ4063" s="19"/>
      <c r="AR4063" s="19"/>
      <c r="AS4063" s="19"/>
      <c r="AT4063" s="19"/>
      <c r="AU4063" s="19"/>
    </row>
    <row r="4064" spans="3:47">
      <c r="C4064" s="20"/>
      <c r="Z4064" s="20"/>
      <c r="AG4064" s="20"/>
      <c r="AQ4064" s="19"/>
      <c r="AR4064" s="19"/>
      <c r="AS4064" s="19"/>
      <c r="AT4064" s="19"/>
      <c r="AU4064" s="19"/>
    </row>
    <row r="4065" spans="3:47">
      <c r="C4065" s="20"/>
      <c r="Z4065" s="20"/>
      <c r="AG4065" s="20"/>
      <c r="AQ4065" s="19"/>
      <c r="AR4065" s="19"/>
      <c r="AS4065" s="19"/>
      <c r="AT4065" s="19"/>
      <c r="AU4065" s="19"/>
    </row>
    <row r="4066" spans="3:47">
      <c r="C4066" s="20"/>
      <c r="Z4066" s="20"/>
      <c r="AG4066" s="20"/>
      <c r="AQ4066" s="19"/>
      <c r="AR4066" s="19"/>
      <c r="AS4066" s="19"/>
      <c r="AT4066" s="19"/>
      <c r="AU4066" s="19"/>
    </row>
    <row r="4067" spans="3:47">
      <c r="C4067" s="20"/>
      <c r="Z4067" s="20"/>
      <c r="AG4067" s="20"/>
      <c r="AQ4067" s="19"/>
      <c r="AR4067" s="19"/>
      <c r="AS4067" s="19"/>
      <c r="AT4067" s="19"/>
      <c r="AU4067" s="19"/>
    </row>
    <row r="4068" spans="3:47">
      <c r="C4068" s="20"/>
      <c r="Z4068" s="20"/>
      <c r="AG4068" s="20"/>
      <c r="AQ4068" s="19"/>
      <c r="AR4068" s="19"/>
      <c r="AS4068" s="19"/>
      <c r="AT4068" s="19"/>
      <c r="AU4068" s="19"/>
    </row>
    <row r="4069" spans="3:47">
      <c r="C4069" s="20"/>
      <c r="Z4069" s="20"/>
      <c r="AG4069" s="20"/>
      <c r="AQ4069" s="19"/>
      <c r="AR4069" s="19"/>
      <c r="AS4069" s="19"/>
      <c r="AT4069" s="19"/>
      <c r="AU4069" s="19"/>
    </row>
    <row r="4070" spans="3:47">
      <c r="C4070" s="20"/>
      <c r="Z4070" s="20"/>
      <c r="AG4070" s="20"/>
      <c r="AQ4070" s="19"/>
      <c r="AR4070" s="19"/>
      <c r="AS4070" s="19"/>
      <c r="AT4070" s="19"/>
      <c r="AU4070" s="19"/>
    </row>
    <row r="4071" spans="3:47">
      <c r="C4071" s="20"/>
      <c r="Z4071" s="20"/>
      <c r="AG4071" s="20"/>
      <c r="AQ4071" s="19"/>
      <c r="AR4071" s="19"/>
      <c r="AS4071" s="19"/>
      <c r="AT4071" s="19"/>
      <c r="AU4071" s="19"/>
    </row>
    <row r="4072" spans="3:47">
      <c r="C4072" s="20"/>
      <c r="Z4072" s="20"/>
      <c r="AG4072" s="20"/>
      <c r="AQ4072" s="19"/>
      <c r="AR4072" s="19"/>
      <c r="AS4072" s="19"/>
      <c r="AT4072" s="19"/>
      <c r="AU4072" s="19"/>
    </row>
    <row r="4073" spans="3:47">
      <c r="C4073" s="20"/>
      <c r="Z4073" s="20"/>
      <c r="AG4073" s="20"/>
      <c r="AQ4073" s="19"/>
      <c r="AR4073" s="19"/>
      <c r="AS4073" s="19"/>
      <c r="AT4073" s="19"/>
      <c r="AU4073" s="19"/>
    </row>
    <row r="4074" spans="3:47">
      <c r="C4074" s="20"/>
      <c r="Z4074" s="20"/>
      <c r="AG4074" s="20"/>
      <c r="AQ4074" s="19"/>
      <c r="AR4074" s="19"/>
      <c r="AS4074" s="19"/>
      <c r="AT4074" s="19"/>
      <c r="AU4074" s="19"/>
    </row>
    <row r="4075" spans="3:47">
      <c r="C4075" s="20"/>
      <c r="Z4075" s="20"/>
      <c r="AG4075" s="20"/>
      <c r="AQ4075" s="19"/>
      <c r="AR4075" s="19"/>
      <c r="AS4075" s="19"/>
      <c r="AT4075" s="19"/>
      <c r="AU4075" s="19"/>
    </row>
    <row r="4076" spans="3:47">
      <c r="C4076" s="20"/>
      <c r="Z4076" s="20"/>
      <c r="AG4076" s="20"/>
      <c r="AQ4076" s="19"/>
      <c r="AR4076" s="19"/>
      <c r="AS4076" s="19"/>
      <c r="AT4076" s="19"/>
      <c r="AU4076" s="19"/>
    </row>
    <row r="4077" spans="3:47">
      <c r="C4077" s="20"/>
      <c r="Z4077" s="20"/>
      <c r="AG4077" s="20"/>
      <c r="AQ4077" s="19"/>
      <c r="AR4077" s="19"/>
      <c r="AS4077" s="19"/>
      <c r="AT4077" s="19"/>
      <c r="AU4077" s="19"/>
    </row>
    <row r="4078" spans="3:47">
      <c r="C4078" s="20"/>
      <c r="Z4078" s="20"/>
      <c r="AG4078" s="20"/>
      <c r="AQ4078" s="19"/>
      <c r="AR4078" s="19"/>
      <c r="AS4078" s="19"/>
      <c r="AT4078" s="19"/>
      <c r="AU4078" s="19"/>
    </row>
    <row r="4079" spans="3:47">
      <c r="C4079" s="20"/>
      <c r="Z4079" s="20"/>
      <c r="AG4079" s="20"/>
      <c r="AQ4079" s="19"/>
      <c r="AR4079" s="19"/>
      <c r="AS4079" s="19"/>
      <c r="AT4079" s="19"/>
      <c r="AU4079" s="19"/>
    </row>
    <row r="4080" spans="3:47">
      <c r="C4080" s="20"/>
      <c r="Z4080" s="20"/>
      <c r="AG4080" s="20"/>
      <c r="AQ4080" s="19"/>
      <c r="AR4080" s="19"/>
      <c r="AS4080" s="19"/>
      <c r="AT4080" s="19"/>
      <c r="AU4080" s="19"/>
    </row>
    <row r="4081" spans="3:47">
      <c r="C4081" s="20"/>
      <c r="Z4081" s="20"/>
      <c r="AG4081" s="20"/>
      <c r="AQ4081" s="19"/>
      <c r="AR4081" s="19"/>
      <c r="AS4081" s="19"/>
      <c r="AT4081" s="19"/>
      <c r="AU4081" s="19"/>
    </row>
    <row r="4082" spans="3:47">
      <c r="C4082" s="20"/>
      <c r="Z4082" s="20"/>
      <c r="AG4082" s="20"/>
      <c r="AQ4082" s="19"/>
      <c r="AR4082" s="19"/>
      <c r="AS4082" s="19"/>
      <c r="AT4082" s="19"/>
      <c r="AU4082" s="19"/>
    </row>
    <row r="4083" spans="3:47">
      <c r="C4083" s="20"/>
      <c r="Z4083" s="20"/>
      <c r="AG4083" s="20"/>
      <c r="AQ4083" s="19"/>
      <c r="AR4083" s="19"/>
      <c r="AS4083" s="19"/>
      <c r="AT4083" s="19"/>
      <c r="AU4083" s="19"/>
    </row>
    <row r="4084" spans="3:47">
      <c r="C4084" s="20"/>
      <c r="Z4084" s="20"/>
      <c r="AG4084" s="20"/>
      <c r="AQ4084" s="19"/>
      <c r="AR4084" s="19"/>
      <c r="AS4084" s="19"/>
      <c r="AT4084" s="19"/>
      <c r="AU4084" s="19"/>
    </row>
    <row r="4085" spans="3:47">
      <c r="C4085" s="20"/>
      <c r="Z4085" s="20"/>
      <c r="AG4085" s="20"/>
      <c r="AQ4085" s="19"/>
      <c r="AR4085" s="19"/>
      <c r="AS4085" s="19"/>
      <c r="AT4085" s="19"/>
      <c r="AU4085" s="19"/>
    </row>
    <row r="4086" spans="3:47">
      <c r="C4086" s="20"/>
      <c r="Z4086" s="20"/>
      <c r="AG4086" s="20"/>
      <c r="AQ4086" s="19"/>
      <c r="AR4086" s="19"/>
      <c r="AS4086" s="19"/>
      <c r="AT4086" s="19"/>
      <c r="AU4086" s="19"/>
    </row>
    <row r="4087" spans="3:47">
      <c r="C4087" s="20"/>
      <c r="Z4087" s="20"/>
      <c r="AG4087" s="20"/>
      <c r="AQ4087" s="19"/>
      <c r="AR4087" s="19"/>
      <c r="AS4087" s="19"/>
      <c r="AT4087" s="19"/>
      <c r="AU4087" s="19"/>
    </row>
    <row r="4088" spans="3:47">
      <c r="C4088" s="20"/>
      <c r="Z4088" s="20"/>
      <c r="AG4088" s="20"/>
      <c r="AQ4088" s="19"/>
      <c r="AR4088" s="19"/>
      <c r="AS4088" s="19"/>
      <c r="AT4088" s="19"/>
      <c r="AU4088" s="19"/>
    </row>
    <row r="4089" spans="3:47">
      <c r="C4089" s="20"/>
      <c r="Z4089" s="20"/>
      <c r="AG4089" s="20"/>
      <c r="AQ4089" s="19"/>
      <c r="AR4089" s="19"/>
      <c r="AS4089" s="19"/>
      <c r="AT4089" s="19"/>
      <c r="AU4089" s="19"/>
    </row>
    <row r="4090" spans="3:47">
      <c r="C4090" s="20"/>
      <c r="Z4090" s="20"/>
      <c r="AG4090" s="20"/>
      <c r="AQ4090" s="19"/>
      <c r="AR4090" s="19"/>
      <c r="AS4090" s="19"/>
      <c r="AT4090" s="19"/>
      <c r="AU4090" s="19"/>
    </row>
    <row r="4091" spans="3:47">
      <c r="C4091" s="20"/>
      <c r="Z4091" s="20"/>
      <c r="AG4091" s="20"/>
      <c r="AQ4091" s="19"/>
      <c r="AR4091" s="19"/>
      <c r="AS4091" s="19"/>
      <c r="AT4091" s="19"/>
      <c r="AU4091" s="19"/>
    </row>
    <row r="4092" spans="3:47">
      <c r="C4092" s="20"/>
      <c r="Z4092" s="20"/>
      <c r="AG4092" s="20"/>
      <c r="AQ4092" s="19"/>
      <c r="AR4092" s="19"/>
      <c r="AS4092" s="19"/>
      <c r="AT4092" s="19"/>
      <c r="AU4092" s="19"/>
    </row>
    <row r="4093" spans="3:47">
      <c r="C4093" s="20"/>
      <c r="Z4093" s="20"/>
      <c r="AG4093" s="20"/>
      <c r="AQ4093" s="19"/>
      <c r="AR4093" s="19"/>
      <c r="AS4093" s="19"/>
      <c r="AT4093" s="19"/>
      <c r="AU4093" s="19"/>
    </row>
    <row r="4094" spans="3:47">
      <c r="C4094" s="20"/>
      <c r="Z4094" s="20"/>
      <c r="AG4094" s="20"/>
      <c r="AQ4094" s="19"/>
      <c r="AR4094" s="19"/>
      <c r="AS4094" s="19"/>
      <c r="AT4094" s="19"/>
      <c r="AU4094" s="19"/>
    </row>
    <row r="4095" spans="3:47">
      <c r="C4095" s="20"/>
      <c r="Z4095" s="20"/>
      <c r="AG4095" s="20"/>
      <c r="AQ4095" s="19"/>
      <c r="AR4095" s="19"/>
      <c r="AS4095" s="19"/>
      <c r="AT4095" s="19"/>
      <c r="AU4095" s="19"/>
    </row>
    <row r="4096" spans="3:47">
      <c r="C4096" s="20"/>
      <c r="Z4096" s="20"/>
      <c r="AG4096" s="20"/>
      <c r="AQ4096" s="19"/>
      <c r="AR4096" s="19"/>
      <c r="AS4096" s="19"/>
      <c r="AT4096" s="19"/>
      <c r="AU4096" s="19"/>
    </row>
    <row r="4097" spans="3:47">
      <c r="C4097" s="20"/>
      <c r="Z4097" s="20"/>
      <c r="AG4097" s="20"/>
      <c r="AQ4097" s="19"/>
      <c r="AR4097" s="19"/>
      <c r="AS4097" s="19"/>
      <c r="AT4097" s="19"/>
      <c r="AU4097" s="19"/>
    </row>
    <row r="4098" spans="3:47">
      <c r="C4098" s="20"/>
      <c r="Z4098" s="20"/>
      <c r="AG4098" s="20"/>
      <c r="AQ4098" s="19"/>
      <c r="AR4098" s="19"/>
      <c r="AS4098" s="19"/>
      <c r="AT4098" s="19"/>
      <c r="AU4098" s="19"/>
    </row>
    <row r="4099" spans="3:47">
      <c r="C4099" s="20"/>
      <c r="Z4099" s="20"/>
      <c r="AG4099" s="20"/>
      <c r="AQ4099" s="19"/>
      <c r="AR4099" s="19"/>
      <c r="AS4099" s="19"/>
      <c r="AT4099" s="19"/>
      <c r="AU4099" s="19"/>
    </row>
    <row r="4100" spans="3:47">
      <c r="C4100" s="20"/>
      <c r="Z4100" s="20"/>
      <c r="AG4100" s="20"/>
      <c r="AQ4100" s="19"/>
      <c r="AR4100" s="19"/>
      <c r="AS4100" s="19"/>
      <c r="AT4100" s="19"/>
      <c r="AU4100" s="19"/>
    </row>
    <row r="4101" spans="3:47">
      <c r="C4101" s="20"/>
      <c r="Z4101" s="20"/>
      <c r="AG4101" s="20"/>
      <c r="AQ4101" s="19"/>
      <c r="AR4101" s="19"/>
      <c r="AS4101" s="19"/>
      <c r="AT4101" s="19"/>
      <c r="AU4101" s="19"/>
    </row>
    <row r="4102" spans="3:47">
      <c r="C4102" s="20"/>
      <c r="Z4102" s="20"/>
      <c r="AG4102" s="20"/>
      <c r="AQ4102" s="19"/>
      <c r="AR4102" s="19"/>
      <c r="AS4102" s="19"/>
      <c r="AT4102" s="19"/>
      <c r="AU4102" s="19"/>
    </row>
    <row r="4103" spans="3:47">
      <c r="C4103" s="20"/>
      <c r="Z4103" s="20"/>
      <c r="AG4103" s="20"/>
      <c r="AQ4103" s="19"/>
      <c r="AR4103" s="19"/>
      <c r="AS4103" s="19"/>
      <c r="AT4103" s="19"/>
      <c r="AU4103" s="19"/>
    </row>
    <row r="4104" spans="3:47">
      <c r="C4104" s="20"/>
      <c r="Z4104" s="20"/>
      <c r="AG4104" s="20"/>
      <c r="AQ4104" s="19"/>
      <c r="AR4104" s="19"/>
      <c r="AS4104" s="19"/>
      <c r="AT4104" s="19"/>
      <c r="AU4104" s="19"/>
    </row>
    <row r="4105" spans="3:47">
      <c r="C4105" s="20"/>
      <c r="Z4105" s="20"/>
      <c r="AG4105" s="20"/>
      <c r="AQ4105" s="19"/>
      <c r="AR4105" s="19"/>
      <c r="AS4105" s="19"/>
      <c r="AT4105" s="19"/>
      <c r="AU4105" s="19"/>
    </row>
    <row r="4106" spans="3:47">
      <c r="C4106" s="20"/>
      <c r="Z4106" s="20"/>
      <c r="AG4106" s="20"/>
      <c r="AQ4106" s="19"/>
      <c r="AR4106" s="19"/>
      <c r="AS4106" s="19"/>
      <c r="AT4106" s="19"/>
      <c r="AU4106" s="19"/>
    </row>
    <row r="4107" spans="3:47">
      <c r="C4107" s="20"/>
      <c r="Z4107" s="20"/>
      <c r="AG4107" s="20"/>
      <c r="AQ4107" s="19"/>
      <c r="AR4107" s="19"/>
      <c r="AS4107" s="19"/>
      <c r="AT4107" s="19"/>
      <c r="AU4107" s="19"/>
    </row>
    <row r="4108" spans="3:47">
      <c r="C4108" s="20"/>
      <c r="Z4108" s="20"/>
      <c r="AG4108" s="20"/>
      <c r="AQ4108" s="19"/>
      <c r="AR4108" s="19"/>
      <c r="AS4108" s="19"/>
      <c r="AT4108" s="19"/>
      <c r="AU4108" s="19"/>
    </row>
    <row r="4109" spans="3:47">
      <c r="C4109" s="20"/>
      <c r="Z4109" s="20"/>
      <c r="AG4109" s="20"/>
      <c r="AQ4109" s="19"/>
      <c r="AR4109" s="19"/>
      <c r="AS4109" s="19"/>
      <c r="AT4109" s="19"/>
      <c r="AU4109" s="19"/>
    </row>
    <row r="4110" spans="3:47">
      <c r="C4110" s="20"/>
      <c r="Z4110" s="20"/>
      <c r="AG4110" s="20"/>
      <c r="AQ4110" s="19"/>
      <c r="AR4110" s="19"/>
      <c r="AS4110" s="19"/>
      <c r="AT4110" s="19"/>
      <c r="AU4110" s="19"/>
    </row>
    <row r="4111" spans="3:47">
      <c r="C4111" s="20"/>
      <c r="Z4111" s="20"/>
      <c r="AG4111" s="20"/>
      <c r="AQ4111" s="19"/>
      <c r="AR4111" s="19"/>
      <c r="AS4111" s="19"/>
      <c r="AT4111" s="19"/>
      <c r="AU4111" s="19"/>
    </row>
    <row r="4112" spans="3:47">
      <c r="C4112" s="20"/>
      <c r="Z4112" s="20"/>
      <c r="AG4112" s="20"/>
      <c r="AQ4112" s="19"/>
      <c r="AR4112" s="19"/>
      <c r="AS4112" s="19"/>
      <c r="AT4112" s="19"/>
      <c r="AU4112" s="19"/>
    </row>
    <row r="4113" spans="3:47">
      <c r="C4113" s="20"/>
      <c r="Z4113" s="20"/>
      <c r="AG4113" s="20"/>
      <c r="AQ4113" s="19"/>
      <c r="AR4113" s="19"/>
      <c r="AS4113" s="19"/>
      <c r="AT4113" s="19"/>
      <c r="AU4113" s="19"/>
    </row>
    <row r="4114" spans="3:47">
      <c r="C4114" s="20"/>
      <c r="Z4114" s="20"/>
      <c r="AG4114" s="20"/>
      <c r="AQ4114" s="19"/>
      <c r="AR4114" s="19"/>
      <c r="AS4114" s="19"/>
      <c r="AT4114" s="19"/>
      <c r="AU4114" s="19"/>
    </row>
    <row r="4115" spans="3:47">
      <c r="C4115" s="20"/>
      <c r="Z4115" s="20"/>
      <c r="AG4115" s="20"/>
      <c r="AQ4115" s="19"/>
      <c r="AR4115" s="19"/>
      <c r="AS4115" s="19"/>
      <c r="AT4115" s="19"/>
      <c r="AU4115" s="19"/>
    </row>
    <row r="4116" spans="3:47">
      <c r="C4116" s="20"/>
      <c r="Z4116" s="20"/>
      <c r="AG4116" s="20"/>
      <c r="AQ4116" s="19"/>
      <c r="AR4116" s="19"/>
      <c r="AS4116" s="19"/>
      <c r="AT4116" s="19"/>
      <c r="AU4116" s="19"/>
    </row>
    <row r="4117" spans="3:47">
      <c r="C4117" s="20"/>
      <c r="Z4117" s="20"/>
      <c r="AG4117" s="20"/>
      <c r="AQ4117" s="19"/>
      <c r="AR4117" s="19"/>
      <c r="AS4117" s="19"/>
      <c r="AT4117" s="19"/>
      <c r="AU4117" s="19"/>
    </row>
    <row r="4118" spans="3:47">
      <c r="C4118" s="20"/>
      <c r="Z4118" s="20"/>
      <c r="AG4118" s="20"/>
      <c r="AQ4118" s="19"/>
      <c r="AR4118" s="19"/>
      <c r="AS4118" s="19"/>
      <c r="AT4118" s="19"/>
      <c r="AU4118" s="19"/>
    </row>
    <row r="4119" spans="3:47">
      <c r="C4119" s="20"/>
      <c r="Z4119" s="20"/>
      <c r="AG4119" s="20"/>
      <c r="AQ4119" s="19"/>
      <c r="AR4119" s="19"/>
      <c r="AS4119" s="19"/>
      <c r="AT4119" s="19"/>
      <c r="AU4119" s="19"/>
    </row>
    <row r="4120" spans="3:47">
      <c r="C4120" s="20"/>
      <c r="Z4120" s="20"/>
      <c r="AG4120" s="20"/>
      <c r="AQ4120" s="19"/>
      <c r="AR4120" s="19"/>
      <c r="AS4120" s="19"/>
      <c r="AT4120" s="19"/>
      <c r="AU4120" s="19"/>
    </row>
    <row r="4121" spans="3:47">
      <c r="C4121" s="20"/>
      <c r="Z4121" s="20"/>
      <c r="AG4121" s="20"/>
      <c r="AQ4121" s="19"/>
      <c r="AR4121" s="19"/>
      <c r="AS4121" s="19"/>
      <c r="AT4121" s="19"/>
      <c r="AU4121" s="19"/>
    </row>
    <row r="4122" spans="3:47">
      <c r="C4122" s="20"/>
      <c r="Z4122" s="20"/>
      <c r="AG4122" s="20"/>
      <c r="AQ4122" s="19"/>
      <c r="AR4122" s="19"/>
      <c r="AS4122" s="19"/>
      <c r="AT4122" s="19"/>
      <c r="AU4122" s="19"/>
    </row>
    <row r="4123" spans="3:47">
      <c r="C4123" s="20"/>
      <c r="Z4123" s="20"/>
      <c r="AG4123" s="20"/>
      <c r="AQ4123" s="19"/>
      <c r="AR4123" s="19"/>
      <c r="AS4123" s="19"/>
      <c r="AT4123" s="19"/>
      <c r="AU4123" s="19"/>
    </row>
    <row r="4124" spans="3:47">
      <c r="C4124" s="20"/>
      <c r="Z4124" s="20"/>
      <c r="AG4124" s="20"/>
      <c r="AQ4124" s="19"/>
      <c r="AR4124" s="19"/>
      <c r="AS4124" s="19"/>
      <c r="AT4124" s="19"/>
      <c r="AU4124" s="19"/>
    </row>
    <row r="4125" spans="3:47">
      <c r="C4125" s="20"/>
      <c r="Z4125" s="20"/>
      <c r="AG4125" s="20"/>
      <c r="AQ4125" s="19"/>
      <c r="AR4125" s="19"/>
      <c r="AS4125" s="19"/>
      <c r="AT4125" s="19"/>
      <c r="AU4125" s="19"/>
    </row>
    <row r="4126" spans="3:47">
      <c r="C4126" s="20"/>
      <c r="Z4126" s="20"/>
      <c r="AG4126" s="20"/>
      <c r="AQ4126" s="19"/>
      <c r="AR4126" s="19"/>
      <c r="AS4126" s="19"/>
      <c r="AT4126" s="19"/>
      <c r="AU4126" s="19"/>
    </row>
    <row r="4127" spans="3:47">
      <c r="C4127" s="20"/>
      <c r="Z4127" s="20"/>
      <c r="AG4127" s="20"/>
      <c r="AQ4127" s="19"/>
      <c r="AR4127" s="19"/>
      <c r="AS4127" s="19"/>
      <c r="AT4127" s="19"/>
      <c r="AU4127" s="19"/>
    </row>
    <row r="4128" spans="3:47">
      <c r="C4128" s="20"/>
      <c r="Z4128" s="20"/>
      <c r="AG4128" s="20"/>
      <c r="AQ4128" s="19"/>
      <c r="AR4128" s="19"/>
      <c r="AS4128" s="19"/>
      <c r="AT4128" s="19"/>
      <c r="AU4128" s="19"/>
    </row>
    <row r="4129" spans="3:47">
      <c r="C4129" s="20"/>
      <c r="Z4129" s="20"/>
      <c r="AG4129" s="20"/>
      <c r="AQ4129" s="19"/>
      <c r="AR4129" s="19"/>
      <c r="AS4129" s="19"/>
      <c r="AT4129" s="19"/>
      <c r="AU4129" s="19"/>
    </row>
    <row r="4130" spans="3:47">
      <c r="C4130" s="20"/>
      <c r="Z4130" s="20"/>
      <c r="AG4130" s="20"/>
      <c r="AQ4130" s="19"/>
      <c r="AR4130" s="19"/>
      <c r="AS4130" s="19"/>
      <c r="AT4130" s="19"/>
      <c r="AU4130" s="19"/>
    </row>
    <row r="4131" spans="3:47">
      <c r="C4131" s="20"/>
      <c r="Z4131" s="20"/>
      <c r="AG4131" s="20"/>
      <c r="AQ4131" s="19"/>
      <c r="AR4131" s="19"/>
      <c r="AS4131" s="19"/>
      <c r="AT4131" s="19"/>
      <c r="AU4131" s="19"/>
    </row>
    <row r="4132" spans="3:47">
      <c r="C4132" s="20"/>
      <c r="Z4132" s="20"/>
      <c r="AG4132" s="20"/>
      <c r="AQ4132" s="19"/>
      <c r="AR4132" s="19"/>
      <c r="AS4132" s="19"/>
      <c r="AT4132" s="19"/>
      <c r="AU4132" s="19"/>
    </row>
    <row r="4133" spans="3:47">
      <c r="C4133" s="20"/>
      <c r="Z4133" s="20"/>
      <c r="AG4133" s="20"/>
      <c r="AQ4133" s="19"/>
      <c r="AR4133" s="19"/>
      <c r="AS4133" s="19"/>
      <c r="AT4133" s="19"/>
      <c r="AU4133" s="19"/>
    </row>
    <row r="4134" spans="3:47">
      <c r="C4134" s="20"/>
      <c r="Z4134" s="20"/>
      <c r="AG4134" s="20"/>
      <c r="AQ4134" s="19"/>
      <c r="AR4134" s="19"/>
      <c r="AS4134" s="19"/>
      <c r="AT4134" s="19"/>
      <c r="AU4134" s="19"/>
    </row>
    <row r="4135" spans="3:47">
      <c r="C4135" s="20"/>
      <c r="Z4135" s="20"/>
      <c r="AG4135" s="20"/>
      <c r="AQ4135" s="19"/>
      <c r="AR4135" s="19"/>
      <c r="AS4135" s="19"/>
      <c r="AT4135" s="19"/>
      <c r="AU4135" s="19"/>
    </row>
    <row r="4136" spans="3:47">
      <c r="C4136" s="20"/>
      <c r="Z4136" s="20"/>
      <c r="AG4136" s="20"/>
      <c r="AQ4136" s="19"/>
      <c r="AR4136" s="19"/>
      <c r="AS4136" s="19"/>
      <c r="AT4136" s="19"/>
      <c r="AU4136" s="19"/>
    </row>
    <row r="4137" spans="3:47">
      <c r="C4137" s="20"/>
      <c r="Z4137" s="20"/>
      <c r="AG4137" s="20"/>
      <c r="AQ4137" s="19"/>
      <c r="AR4137" s="19"/>
      <c r="AS4137" s="19"/>
      <c r="AT4137" s="19"/>
      <c r="AU4137" s="19"/>
    </row>
    <row r="4138" spans="3:47">
      <c r="C4138" s="20"/>
      <c r="Z4138" s="20"/>
      <c r="AG4138" s="20"/>
      <c r="AQ4138" s="19"/>
      <c r="AR4138" s="19"/>
      <c r="AS4138" s="19"/>
      <c r="AT4138" s="19"/>
      <c r="AU4138" s="19"/>
    </row>
    <row r="4139" spans="3:47">
      <c r="C4139" s="20"/>
      <c r="Z4139" s="20"/>
      <c r="AG4139" s="20"/>
      <c r="AQ4139" s="19"/>
      <c r="AR4139" s="19"/>
      <c r="AS4139" s="19"/>
      <c r="AT4139" s="19"/>
      <c r="AU4139" s="19"/>
    </row>
    <row r="4140" spans="3:47">
      <c r="C4140" s="20"/>
      <c r="Z4140" s="20"/>
      <c r="AG4140" s="20"/>
      <c r="AQ4140" s="19"/>
      <c r="AR4140" s="19"/>
      <c r="AS4140" s="19"/>
      <c r="AT4140" s="19"/>
      <c r="AU4140" s="19"/>
    </row>
    <row r="4141" spans="3:47">
      <c r="C4141" s="20"/>
      <c r="Z4141" s="20"/>
      <c r="AG4141" s="20"/>
      <c r="AQ4141" s="19"/>
      <c r="AR4141" s="19"/>
      <c r="AS4141" s="19"/>
      <c r="AT4141" s="19"/>
      <c r="AU4141" s="19"/>
    </row>
    <row r="4142" spans="3:47">
      <c r="C4142" s="20"/>
      <c r="Z4142" s="20"/>
      <c r="AG4142" s="20"/>
      <c r="AQ4142" s="19"/>
      <c r="AR4142" s="19"/>
      <c r="AS4142" s="19"/>
      <c r="AT4142" s="19"/>
      <c r="AU4142" s="19"/>
    </row>
    <row r="4143" spans="3:47">
      <c r="C4143" s="20"/>
      <c r="Z4143" s="20"/>
      <c r="AG4143" s="20"/>
      <c r="AQ4143" s="19"/>
      <c r="AR4143" s="19"/>
      <c r="AS4143" s="19"/>
      <c r="AT4143" s="19"/>
      <c r="AU4143" s="19"/>
    </row>
    <row r="4144" spans="3:47">
      <c r="C4144" s="20"/>
      <c r="Z4144" s="20"/>
      <c r="AG4144" s="20"/>
      <c r="AQ4144" s="19"/>
      <c r="AR4144" s="19"/>
      <c r="AS4144" s="19"/>
      <c r="AT4144" s="19"/>
      <c r="AU4144" s="19"/>
    </row>
    <row r="4145" spans="3:47">
      <c r="C4145" s="20"/>
      <c r="Z4145" s="20"/>
      <c r="AG4145" s="20"/>
      <c r="AQ4145" s="19"/>
      <c r="AR4145" s="19"/>
      <c r="AS4145" s="19"/>
      <c r="AT4145" s="19"/>
      <c r="AU4145" s="19"/>
    </row>
    <row r="4146" spans="3:47">
      <c r="C4146" s="20"/>
      <c r="Z4146" s="20"/>
      <c r="AG4146" s="20"/>
      <c r="AQ4146" s="19"/>
      <c r="AR4146" s="19"/>
      <c r="AS4146" s="19"/>
      <c r="AT4146" s="19"/>
      <c r="AU4146" s="19"/>
    </row>
    <row r="4147" spans="3:47">
      <c r="C4147" s="20"/>
      <c r="Z4147" s="20"/>
      <c r="AG4147" s="20"/>
      <c r="AQ4147" s="19"/>
      <c r="AR4147" s="19"/>
      <c r="AS4147" s="19"/>
      <c r="AT4147" s="19"/>
      <c r="AU4147" s="19"/>
    </row>
    <row r="4148" spans="3:47">
      <c r="C4148" s="20"/>
      <c r="Z4148" s="20"/>
      <c r="AG4148" s="20"/>
      <c r="AQ4148" s="19"/>
      <c r="AR4148" s="19"/>
      <c r="AS4148" s="19"/>
      <c r="AT4148" s="19"/>
      <c r="AU4148" s="19"/>
    </row>
    <row r="4149" spans="3:47">
      <c r="C4149" s="20"/>
      <c r="Z4149" s="20"/>
      <c r="AG4149" s="20"/>
      <c r="AQ4149" s="19"/>
      <c r="AR4149" s="19"/>
      <c r="AS4149" s="19"/>
      <c r="AT4149" s="19"/>
      <c r="AU4149" s="19"/>
    </row>
    <row r="4150" spans="3:47">
      <c r="C4150" s="20"/>
      <c r="Z4150" s="20"/>
      <c r="AG4150" s="20"/>
      <c r="AQ4150" s="19"/>
      <c r="AR4150" s="19"/>
      <c r="AS4150" s="19"/>
      <c r="AT4150" s="19"/>
      <c r="AU4150" s="19"/>
    </row>
    <row r="4151" spans="3:47">
      <c r="C4151" s="20"/>
      <c r="Z4151" s="20"/>
      <c r="AG4151" s="20"/>
      <c r="AQ4151" s="19"/>
      <c r="AR4151" s="19"/>
      <c r="AS4151" s="19"/>
      <c r="AT4151" s="19"/>
      <c r="AU4151" s="19"/>
    </row>
    <row r="4152" spans="3:47">
      <c r="C4152" s="20"/>
      <c r="Z4152" s="20"/>
      <c r="AG4152" s="20"/>
      <c r="AQ4152" s="19"/>
      <c r="AR4152" s="19"/>
      <c r="AS4152" s="19"/>
      <c r="AT4152" s="19"/>
      <c r="AU4152" s="19"/>
    </row>
    <row r="4153" spans="3:47">
      <c r="C4153" s="20"/>
      <c r="Z4153" s="20"/>
      <c r="AG4153" s="20"/>
      <c r="AQ4153" s="19"/>
      <c r="AR4153" s="19"/>
      <c r="AS4153" s="19"/>
      <c r="AT4153" s="19"/>
      <c r="AU4153" s="19"/>
    </row>
    <row r="4154" spans="3:47">
      <c r="C4154" s="20"/>
      <c r="Z4154" s="20"/>
      <c r="AG4154" s="20"/>
      <c r="AQ4154" s="19"/>
      <c r="AR4154" s="19"/>
      <c r="AS4154" s="19"/>
      <c r="AT4154" s="19"/>
      <c r="AU4154" s="19"/>
    </row>
    <row r="4155" spans="3:47">
      <c r="C4155" s="20"/>
      <c r="Z4155" s="20"/>
      <c r="AG4155" s="20"/>
      <c r="AQ4155" s="19"/>
      <c r="AR4155" s="19"/>
      <c r="AS4155" s="19"/>
      <c r="AT4155" s="19"/>
      <c r="AU4155" s="19"/>
    </row>
    <row r="4156" spans="3:47">
      <c r="C4156" s="20"/>
      <c r="Z4156" s="20"/>
      <c r="AG4156" s="20"/>
      <c r="AQ4156" s="19"/>
      <c r="AR4156" s="19"/>
      <c r="AS4156" s="19"/>
      <c r="AT4156" s="19"/>
      <c r="AU4156" s="19"/>
    </row>
    <row r="4157" spans="3:47">
      <c r="C4157" s="20"/>
      <c r="Z4157" s="20"/>
      <c r="AG4157" s="20"/>
      <c r="AQ4157" s="19"/>
      <c r="AR4157" s="19"/>
      <c r="AS4157" s="19"/>
      <c r="AT4157" s="19"/>
      <c r="AU4157" s="19"/>
    </row>
    <row r="4158" spans="3:47">
      <c r="C4158" s="20"/>
      <c r="Z4158" s="20"/>
      <c r="AG4158" s="20"/>
      <c r="AQ4158" s="19"/>
      <c r="AR4158" s="19"/>
      <c r="AS4158" s="19"/>
      <c r="AT4158" s="19"/>
      <c r="AU4158" s="19"/>
    </row>
    <row r="4159" spans="3:47">
      <c r="C4159" s="20"/>
      <c r="Z4159" s="20"/>
      <c r="AG4159" s="20"/>
      <c r="AQ4159" s="19"/>
      <c r="AR4159" s="19"/>
      <c r="AS4159" s="19"/>
      <c r="AT4159" s="19"/>
      <c r="AU4159" s="19"/>
    </row>
    <row r="4160" spans="3:47">
      <c r="C4160" s="20"/>
      <c r="Z4160" s="20"/>
      <c r="AG4160" s="20"/>
      <c r="AQ4160" s="19"/>
      <c r="AR4160" s="19"/>
      <c r="AS4160" s="19"/>
      <c r="AT4160" s="19"/>
      <c r="AU4160" s="19"/>
    </row>
    <row r="4161" spans="3:47">
      <c r="C4161" s="20"/>
      <c r="Z4161" s="20"/>
      <c r="AG4161" s="20"/>
      <c r="AQ4161" s="19"/>
      <c r="AR4161" s="19"/>
      <c r="AS4161" s="19"/>
      <c r="AT4161" s="19"/>
      <c r="AU4161" s="19"/>
    </row>
    <row r="4162" spans="3:47">
      <c r="C4162" s="20"/>
      <c r="Z4162" s="20"/>
      <c r="AG4162" s="20"/>
      <c r="AQ4162" s="19"/>
      <c r="AR4162" s="19"/>
      <c r="AS4162" s="19"/>
      <c r="AT4162" s="19"/>
      <c r="AU4162" s="19"/>
    </row>
    <row r="4163" spans="3:47">
      <c r="C4163" s="20"/>
      <c r="Z4163" s="20"/>
      <c r="AG4163" s="20"/>
      <c r="AQ4163" s="19"/>
      <c r="AR4163" s="19"/>
      <c r="AS4163" s="19"/>
      <c r="AT4163" s="19"/>
      <c r="AU4163" s="19"/>
    </row>
    <row r="4164" spans="3:47">
      <c r="C4164" s="20"/>
      <c r="Z4164" s="20"/>
      <c r="AG4164" s="20"/>
      <c r="AQ4164" s="19"/>
      <c r="AR4164" s="19"/>
      <c r="AS4164" s="19"/>
      <c r="AT4164" s="19"/>
      <c r="AU4164" s="19"/>
    </row>
    <row r="4165" spans="3:47">
      <c r="C4165" s="20"/>
      <c r="Z4165" s="20"/>
      <c r="AG4165" s="20"/>
      <c r="AQ4165" s="19"/>
      <c r="AR4165" s="19"/>
      <c r="AS4165" s="19"/>
      <c r="AT4165" s="19"/>
      <c r="AU4165" s="19"/>
    </row>
    <row r="4166" spans="3:47">
      <c r="C4166" s="20"/>
      <c r="Z4166" s="20"/>
      <c r="AG4166" s="20"/>
      <c r="AQ4166" s="19"/>
      <c r="AR4166" s="19"/>
      <c r="AS4166" s="19"/>
      <c r="AT4166" s="19"/>
      <c r="AU4166" s="19"/>
    </row>
    <row r="4167" spans="3:47">
      <c r="C4167" s="20"/>
      <c r="Z4167" s="20"/>
      <c r="AG4167" s="20"/>
      <c r="AQ4167" s="19"/>
      <c r="AR4167" s="19"/>
      <c r="AS4167" s="19"/>
      <c r="AT4167" s="19"/>
      <c r="AU4167" s="19"/>
    </row>
    <row r="4168" spans="3:47">
      <c r="C4168" s="20"/>
      <c r="Z4168" s="20"/>
      <c r="AG4168" s="20"/>
      <c r="AQ4168" s="19"/>
      <c r="AR4168" s="19"/>
      <c r="AS4168" s="19"/>
      <c r="AT4168" s="19"/>
      <c r="AU4168" s="19"/>
    </row>
    <row r="4169" spans="3:47">
      <c r="C4169" s="20"/>
      <c r="Z4169" s="20"/>
      <c r="AG4169" s="20"/>
      <c r="AQ4169" s="19"/>
      <c r="AR4169" s="19"/>
      <c r="AS4169" s="19"/>
      <c r="AT4169" s="19"/>
      <c r="AU4169" s="19"/>
    </row>
    <row r="4170" spans="3:47">
      <c r="C4170" s="20"/>
      <c r="Z4170" s="20"/>
      <c r="AG4170" s="20"/>
      <c r="AQ4170" s="19"/>
      <c r="AR4170" s="19"/>
      <c r="AS4170" s="19"/>
      <c r="AT4170" s="19"/>
      <c r="AU4170" s="19"/>
    </row>
    <row r="4171" spans="3:47">
      <c r="C4171" s="20"/>
      <c r="Z4171" s="20"/>
      <c r="AG4171" s="20"/>
      <c r="AQ4171" s="19"/>
      <c r="AR4171" s="19"/>
      <c r="AS4171" s="19"/>
      <c r="AT4171" s="19"/>
      <c r="AU4171" s="19"/>
    </row>
    <row r="4172" spans="3:47">
      <c r="C4172" s="20"/>
      <c r="Z4172" s="20"/>
      <c r="AG4172" s="20"/>
      <c r="AQ4172" s="19"/>
      <c r="AR4172" s="19"/>
      <c r="AS4172" s="19"/>
      <c r="AT4172" s="19"/>
      <c r="AU4172" s="19"/>
    </row>
    <row r="4173" spans="3:47">
      <c r="C4173" s="20"/>
      <c r="Z4173" s="20"/>
      <c r="AG4173" s="20"/>
      <c r="AQ4173" s="19"/>
      <c r="AR4173" s="19"/>
      <c r="AS4173" s="19"/>
      <c r="AT4173" s="19"/>
      <c r="AU4173" s="19"/>
    </row>
    <row r="4174" spans="3:47">
      <c r="C4174" s="20"/>
      <c r="Z4174" s="20"/>
      <c r="AG4174" s="20"/>
      <c r="AQ4174" s="19"/>
      <c r="AR4174" s="19"/>
      <c r="AS4174" s="19"/>
      <c r="AT4174" s="19"/>
      <c r="AU4174" s="19"/>
    </row>
    <row r="4175" spans="3:47">
      <c r="C4175" s="20"/>
      <c r="Z4175" s="20"/>
      <c r="AG4175" s="20"/>
      <c r="AQ4175" s="19"/>
      <c r="AR4175" s="19"/>
      <c r="AS4175" s="19"/>
      <c r="AT4175" s="19"/>
      <c r="AU4175" s="19"/>
    </row>
    <row r="4176" spans="3:47">
      <c r="C4176" s="20"/>
      <c r="Z4176" s="20"/>
      <c r="AG4176" s="20"/>
      <c r="AQ4176" s="19"/>
      <c r="AR4176" s="19"/>
      <c r="AS4176" s="19"/>
      <c r="AT4176" s="19"/>
      <c r="AU4176" s="19"/>
    </row>
    <row r="4177" spans="3:47">
      <c r="C4177" s="20"/>
      <c r="Z4177" s="20"/>
      <c r="AG4177" s="20"/>
      <c r="AQ4177" s="19"/>
      <c r="AR4177" s="19"/>
      <c r="AS4177" s="19"/>
      <c r="AT4177" s="19"/>
      <c r="AU4177" s="19"/>
    </row>
    <row r="4178" spans="3:47">
      <c r="C4178" s="20"/>
      <c r="Z4178" s="20"/>
      <c r="AG4178" s="20"/>
      <c r="AQ4178" s="19"/>
      <c r="AR4178" s="19"/>
      <c r="AS4178" s="19"/>
      <c r="AT4178" s="19"/>
      <c r="AU4178" s="19"/>
    </row>
    <row r="4179" spans="3:47">
      <c r="C4179" s="20"/>
      <c r="Z4179" s="20"/>
      <c r="AG4179" s="20"/>
      <c r="AQ4179" s="19"/>
      <c r="AR4179" s="19"/>
      <c r="AS4179" s="19"/>
      <c r="AT4179" s="19"/>
      <c r="AU4179" s="19"/>
    </row>
    <row r="4180" spans="3:47">
      <c r="C4180" s="20"/>
      <c r="Z4180" s="20"/>
      <c r="AG4180" s="20"/>
      <c r="AQ4180" s="19"/>
      <c r="AR4180" s="19"/>
      <c r="AS4180" s="19"/>
      <c r="AT4180" s="19"/>
      <c r="AU4180" s="19"/>
    </row>
    <row r="4181" spans="3:47">
      <c r="C4181" s="20"/>
      <c r="Z4181" s="20"/>
      <c r="AG4181" s="20"/>
      <c r="AQ4181" s="19"/>
      <c r="AR4181" s="19"/>
      <c r="AS4181" s="19"/>
      <c r="AT4181" s="19"/>
      <c r="AU4181" s="19"/>
    </row>
    <row r="4182" spans="3:47">
      <c r="C4182" s="20"/>
      <c r="Z4182" s="20"/>
      <c r="AG4182" s="20"/>
      <c r="AQ4182" s="19"/>
      <c r="AR4182" s="19"/>
      <c r="AS4182" s="19"/>
      <c r="AT4182" s="19"/>
      <c r="AU4182" s="19"/>
    </row>
    <row r="4183" spans="3:47">
      <c r="C4183" s="20"/>
      <c r="Z4183" s="20"/>
      <c r="AG4183" s="20"/>
      <c r="AQ4183" s="19"/>
      <c r="AR4183" s="19"/>
      <c r="AS4183" s="19"/>
      <c r="AT4183" s="19"/>
      <c r="AU4183" s="19"/>
    </row>
    <row r="4184" spans="3:47">
      <c r="C4184" s="20"/>
      <c r="Z4184" s="20"/>
      <c r="AG4184" s="20"/>
      <c r="AQ4184" s="19"/>
      <c r="AR4184" s="19"/>
      <c r="AS4184" s="19"/>
      <c r="AT4184" s="19"/>
      <c r="AU4184" s="19"/>
    </row>
    <row r="4185" spans="3:47">
      <c r="C4185" s="20"/>
      <c r="Z4185" s="20"/>
      <c r="AG4185" s="20"/>
      <c r="AQ4185" s="19"/>
      <c r="AR4185" s="19"/>
      <c r="AS4185" s="19"/>
      <c r="AT4185" s="19"/>
      <c r="AU4185" s="19"/>
    </row>
    <row r="4186" spans="3:47">
      <c r="C4186" s="20"/>
      <c r="Z4186" s="20"/>
      <c r="AG4186" s="20"/>
      <c r="AQ4186" s="19"/>
      <c r="AR4186" s="19"/>
      <c r="AS4186" s="19"/>
      <c r="AT4186" s="19"/>
      <c r="AU4186" s="19"/>
    </row>
    <row r="4187" spans="3:47">
      <c r="C4187" s="20"/>
      <c r="Z4187" s="20"/>
      <c r="AG4187" s="20"/>
      <c r="AQ4187" s="19"/>
      <c r="AR4187" s="19"/>
      <c r="AS4187" s="19"/>
      <c r="AT4187" s="19"/>
      <c r="AU4187" s="19"/>
    </row>
    <row r="4188" spans="3:47">
      <c r="C4188" s="20"/>
      <c r="Z4188" s="20"/>
      <c r="AG4188" s="20"/>
      <c r="AQ4188" s="19"/>
      <c r="AR4188" s="19"/>
      <c r="AS4188" s="19"/>
      <c r="AT4188" s="19"/>
      <c r="AU4188" s="19"/>
    </row>
    <row r="4189" spans="3:47">
      <c r="C4189" s="20"/>
      <c r="Z4189" s="20"/>
      <c r="AG4189" s="20"/>
      <c r="AQ4189" s="19"/>
      <c r="AR4189" s="19"/>
      <c r="AS4189" s="19"/>
      <c r="AT4189" s="19"/>
      <c r="AU4189" s="19"/>
    </row>
    <row r="4190" spans="3:47">
      <c r="C4190" s="20"/>
      <c r="Z4190" s="20"/>
      <c r="AG4190" s="20"/>
      <c r="AQ4190" s="19"/>
      <c r="AR4190" s="19"/>
      <c r="AS4190" s="19"/>
      <c r="AT4190" s="19"/>
      <c r="AU4190" s="19"/>
    </row>
    <row r="4191" spans="3:47">
      <c r="C4191" s="20"/>
      <c r="Z4191" s="20"/>
      <c r="AG4191" s="20"/>
      <c r="AQ4191" s="19"/>
      <c r="AR4191" s="19"/>
      <c r="AS4191" s="19"/>
      <c r="AT4191" s="19"/>
      <c r="AU4191" s="19"/>
    </row>
    <row r="4192" spans="3:47">
      <c r="C4192" s="20"/>
      <c r="Z4192" s="20"/>
      <c r="AG4192" s="20"/>
      <c r="AQ4192" s="19"/>
      <c r="AR4192" s="19"/>
      <c r="AS4192" s="19"/>
      <c r="AT4192" s="19"/>
      <c r="AU4192" s="19"/>
    </row>
    <row r="4193" spans="3:47">
      <c r="C4193" s="20"/>
      <c r="Z4193" s="20"/>
      <c r="AG4193" s="20"/>
      <c r="AQ4193" s="19"/>
      <c r="AR4193" s="19"/>
      <c r="AS4193" s="19"/>
      <c r="AT4193" s="19"/>
      <c r="AU4193" s="19"/>
    </row>
    <row r="4194" spans="3:47">
      <c r="C4194" s="20"/>
      <c r="Z4194" s="20"/>
      <c r="AG4194" s="20"/>
      <c r="AQ4194" s="19"/>
      <c r="AR4194" s="19"/>
      <c r="AS4194" s="19"/>
      <c r="AT4194" s="19"/>
      <c r="AU4194" s="19"/>
    </row>
    <row r="4195" spans="3:47">
      <c r="C4195" s="20"/>
      <c r="Z4195" s="20"/>
      <c r="AG4195" s="20"/>
      <c r="AQ4195" s="19"/>
      <c r="AR4195" s="19"/>
      <c r="AS4195" s="19"/>
      <c r="AT4195" s="19"/>
      <c r="AU4195" s="19"/>
    </row>
    <row r="4196" spans="3:47">
      <c r="C4196" s="20"/>
      <c r="Z4196" s="20"/>
      <c r="AG4196" s="20"/>
      <c r="AQ4196" s="19"/>
      <c r="AR4196" s="19"/>
      <c r="AS4196" s="19"/>
      <c r="AT4196" s="19"/>
      <c r="AU4196" s="19"/>
    </row>
    <row r="4197" spans="3:47">
      <c r="C4197" s="20"/>
      <c r="Z4197" s="20"/>
      <c r="AG4197" s="20"/>
      <c r="AQ4197" s="19"/>
      <c r="AR4197" s="19"/>
      <c r="AS4197" s="19"/>
      <c r="AT4197" s="19"/>
      <c r="AU4197" s="19"/>
    </row>
    <row r="4198" spans="3:47">
      <c r="C4198" s="20"/>
      <c r="Z4198" s="20"/>
      <c r="AG4198" s="20"/>
      <c r="AQ4198" s="19"/>
      <c r="AR4198" s="19"/>
      <c r="AS4198" s="19"/>
      <c r="AT4198" s="19"/>
      <c r="AU4198" s="19"/>
    </row>
    <row r="4199" spans="3:47">
      <c r="C4199" s="20"/>
      <c r="Z4199" s="20"/>
      <c r="AG4199" s="20"/>
      <c r="AQ4199" s="19"/>
      <c r="AR4199" s="19"/>
      <c r="AS4199" s="19"/>
      <c r="AT4199" s="19"/>
      <c r="AU4199" s="19"/>
    </row>
    <row r="4200" spans="3:47">
      <c r="C4200" s="20"/>
      <c r="Z4200" s="20"/>
      <c r="AG4200" s="20"/>
      <c r="AQ4200" s="19"/>
      <c r="AR4200" s="19"/>
      <c r="AS4200" s="19"/>
      <c r="AT4200" s="19"/>
      <c r="AU4200" s="19"/>
    </row>
    <row r="4201" spans="3:47">
      <c r="C4201" s="20"/>
      <c r="Z4201" s="20"/>
      <c r="AG4201" s="20"/>
      <c r="AQ4201" s="19"/>
      <c r="AR4201" s="19"/>
      <c r="AS4201" s="19"/>
      <c r="AT4201" s="19"/>
      <c r="AU4201" s="19"/>
    </row>
    <row r="4202" spans="3:47">
      <c r="C4202" s="20"/>
      <c r="Z4202" s="20"/>
      <c r="AG4202" s="20"/>
      <c r="AQ4202" s="19"/>
      <c r="AR4202" s="19"/>
      <c r="AS4202" s="19"/>
      <c r="AT4202" s="19"/>
      <c r="AU4202" s="19"/>
    </row>
    <row r="4203" spans="3:47">
      <c r="C4203" s="20"/>
      <c r="Z4203" s="20"/>
      <c r="AG4203" s="20"/>
      <c r="AQ4203" s="19"/>
      <c r="AR4203" s="19"/>
      <c r="AS4203" s="19"/>
      <c r="AT4203" s="19"/>
      <c r="AU4203" s="19"/>
    </row>
    <row r="4204" spans="3:47">
      <c r="C4204" s="20"/>
      <c r="Z4204" s="20"/>
      <c r="AG4204" s="20"/>
      <c r="AQ4204" s="19"/>
      <c r="AR4204" s="19"/>
      <c r="AS4204" s="19"/>
      <c r="AT4204" s="19"/>
      <c r="AU4204" s="19"/>
    </row>
    <row r="4205" spans="3:47">
      <c r="C4205" s="20"/>
      <c r="Z4205" s="20"/>
      <c r="AG4205" s="20"/>
      <c r="AQ4205" s="19"/>
      <c r="AR4205" s="19"/>
      <c r="AS4205" s="19"/>
      <c r="AT4205" s="19"/>
      <c r="AU4205" s="19"/>
    </row>
    <row r="4206" spans="3:47">
      <c r="C4206" s="20"/>
      <c r="Z4206" s="20"/>
      <c r="AG4206" s="20"/>
      <c r="AQ4206" s="19"/>
      <c r="AR4206" s="19"/>
      <c r="AS4206" s="19"/>
      <c r="AT4206" s="19"/>
      <c r="AU4206" s="19"/>
    </row>
    <row r="4207" spans="3:47">
      <c r="C4207" s="20"/>
      <c r="Z4207" s="20"/>
      <c r="AG4207" s="20"/>
      <c r="AQ4207" s="19"/>
      <c r="AR4207" s="19"/>
      <c r="AS4207" s="19"/>
      <c r="AT4207" s="19"/>
      <c r="AU4207" s="19"/>
    </row>
    <row r="4208" spans="3:47">
      <c r="C4208" s="20"/>
      <c r="Z4208" s="20"/>
      <c r="AG4208" s="20"/>
      <c r="AQ4208" s="19"/>
      <c r="AR4208" s="19"/>
      <c r="AS4208" s="19"/>
      <c r="AT4208" s="19"/>
      <c r="AU4208" s="19"/>
    </row>
    <row r="4209" spans="3:47">
      <c r="C4209" s="20"/>
      <c r="Z4209" s="20"/>
      <c r="AG4209" s="20"/>
      <c r="AQ4209" s="19"/>
      <c r="AR4209" s="19"/>
      <c r="AS4209" s="19"/>
      <c r="AT4209" s="19"/>
      <c r="AU4209" s="19"/>
    </row>
    <row r="4210" spans="3:47">
      <c r="C4210" s="20"/>
      <c r="Z4210" s="20"/>
      <c r="AG4210" s="20"/>
      <c r="AQ4210" s="19"/>
      <c r="AR4210" s="19"/>
      <c r="AS4210" s="19"/>
      <c r="AT4210" s="19"/>
      <c r="AU4210" s="19"/>
    </row>
    <row r="4211" spans="3:47">
      <c r="C4211" s="20"/>
      <c r="Z4211" s="20"/>
      <c r="AG4211" s="20"/>
      <c r="AQ4211" s="19"/>
      <c r="AR4211" s="19"/>
      <c r="AS4211" s="19"/>
      <c r="AT4211" s="19"/>
      <c r="AU4211" s="19"/>
    </row>
    <row r="4212" spans="3:47">
      <c r="C4212" s="20"/>
      <c r="Z4212" s="20"/>
      <c r="AG4212" s="20"/>
      <c r="AQ4212" s="19"/>
      <c r="AR4212" s="19"/>
      <c r="AS4212" s="19"/>
      <c r="AT4212" s="19"/>
      <c r="AU4212" s="19"/>
    </row>
    <row r="4213" spans="3:47">
      <c r="C4213" s="20"/>
      <c r="Z4213" s="20"/>
      <c r="AG4213" s="20"/>
      <c r="AQ4213" s="19"/>
      <c r="AR4213" s="19"/>
      <c r="AS4213" s="19"/>
      <c r="AT4213" s="19"/>
      <c r="AU4213" s="19"/>
    </row>
    <row r="4214" spans="3:47">
      <c r="C4214" s="20"/>
      <c r="Z4214" s="20"/>
      <c r="AG4214" s="20"/>
      <c r="AQ4214" s="19"/>
      <c r="AR4214" s="19"/>
      <c r="AS4214" s="19"/>
      <c r="AT4214" s="19"/>
      <c r="AU4214" s="19"/>
    </row>
    <row r="4215" spans="3:47">
      <c r="C4215" s="20"/>
      <c r="Z4215" s="20"/>
      <c r="AG4215" s="20"/>
      <c r="AQ4215" s="19"/>
      <c r="AR4215" s="19"/>
      <c r="AS4215" s="19"/>
      <c r="AT4215" s="19"/>
      <c r="AU4215" s="19"/>
    </row>
    <row r="4216" spans="3:47">
      <c r="C4216" s="20"/>
      <c r="Z4216" s="20"/>
      <c r="AG4216" s="20"/>
      <c r="AQ4216" s="19"/>
      <c r="AR4216" s="19"/>
      <c r="AS4216" s="19"/>
      <c r="AT4216" s="19"/>
      <c r="AU4216" s="19"/>
    </row>
    <row r="4217" spans="3:47">
      <c r="C4217" s="20"/>
      <c r="Z4217" s="20"/>
      <c r="AG4217" s="20"/>
      <c r="AQ4217" s="19"/>
      <c r="AR4217" s="19"/>
      <c r="AS4217" s="19"/>
      <c r="AT4217" s="19"/>
      <c r="AU4217" s="19"/>
    </row>
    <row r="4218" spans="3:47">
      <c r="C4218" s="20"/>
      <c r="Z4218" s="20"/>
      <c r="AG4218" s="20"/>
      <c r="AQ4218" s="19"/>
      <c r="AR4218" s="19"/>
      <c r="AS4218" s="19"/>
      <c r="AT4218" s="19"/>
      <c r="AU4218" s="19"/>
    </row>
    <row r="4219" spans="3:47">
      <c r="C4219" s="20"/>
      <c r="Z4219" s="20"/>
      <c r="AG4219" s="20"/>
      <c r="AQ4219" s="19"/>
      <c r="AR4219" s="19"/>
      <c r="AS4219" s="19"/>
      <c r="AT4219" s="19"/>
      <c r="AU4219" s="19"/>
    </row>
    <row r="4220" spans="3:47">
      <c r="C4220" s="20"/>
      <c r="Z4220" s="20"/>
      <c r="AG4220" s="20"/>
      <c r="AQ4220" s="19"/>
      <c r="AR4220" s="19"/>
      <c r="AS4220" s="19"/>
      <c r="AT4220" s="19"/>
      <c r="AU4220" s="19"/>
    </row>
    <row r="4221" spans="3:47">
      <c r="C4221" s="20"/>
      <c r="Z4221" s="20"/>
      <c r="AG4221" s="20"/>
      <c r="AQ4221" s="19"/>
      <c r="AR4221" s="19"/>
      <c r="AS4221" s="19"/>
      <c r="AT4221" s="19"/>
      <c r="AU4221" s="19"/>
    </row>
    <row r="4222" spans="3:47">
      <c r="C4222" s="20"/>
      <c r="Z4222" s="20"/>
      <c r="AG4222" s="20"/>
      <c r="AQ4222" s="19"/>
      <c r="AR4222" s="19"/>
      <c r="AS4222" s="19"/>
      <c r="AT4222" s="19"/>
      <c r="AU4222" s="19"/>
    </row>
    <row r="4223" spans="3:47">
      <c r="C4223" s="20"/>
      <c r="Z4223" s="20"/>
      <c r="AG4223" s="20"/>
      <c r="AQ4223" s="19"/>
      <c r="AR4223" s="19"/>
      <c r="AS4223" s="19"/>
      <c r="AT4223" s="19"/>
      <c r="AU4223" s="19"/>
    </row>
    <row r="4224" spans="3:47">
      <c r="C4224" s="20"/>
      <c r="Z4224" s="20"/>
      <c r="AG4224" s="20"/>
      <c r="AQ4224" s="19"/>
      <c r="AR4224" s="19"/>
      <c r="AS4224" s="19"/>
      <c r="AT4224" s="19"/>
      <c r="AU4224" s="19"/>
    </row>
    <row r="4225" spans="3:47">
      <c r="C4225" s="20"/>
      <c r="Z4225" s="20"/>
      <c r="AG4225" s="20"/>
      <c r="AQ4225" s="19"/>
      <c r="AR4225" s="19"/>
      <c r="AS4225" s="19"/>
      <c r="AT4225" s="19"/>
      <c r="AU4225" s="19"/>
    </row>
    <row r="4226" spans="3:47">
      <c r="C4226" s="20"/>
      <c r="Z4226" s="20"/>
      <c r="AG4226" s="20"/>
      <c r="AQ4226" s="19"/>
      <c r="AR4226" s="19"/>
      <c r="AS4226" s="19"/>
      <c r="AT4226" s="19"/>
      <c r="AU4226" s="19"/>
    </row>
    <row r="4227" spans="3:47">
      <c r="C4227" s="20"/>
      <c r="Z4227" s="20"/>
      <c r="AG4227" s="20"/>
      <c r="AQ4227" s="19"/>
      <c r="AR4227" s="19"/>
      <c r="AS4227" s="19"/>
      <c r="AT4227" s="19"/>
      <c r="AU4227" s="19"/>
    </row>
    <row r="4228" spans="3:47">
      <c r="C4228" s="20"/>
      <c r="Z4228" s="20"/>
      <c r="AG4228" s="20"/>
      <c r="AQ4228" s="19"/>
      <c r="AR4228" s="19"/>
      <c r="AS4228" s="19"/>
      <c r="AT4228" s="19"/>
      <c r="AU4228" s="19"/>
    </row>
    <row r="4229" spans="3:47">
      <c r="C4229" s="20"/>
      <c r="Z4229" s="20"/>
      <c r="AG4229" s="20"/>
      <c r="AQ4229" s="19"/>
      <c r="AR4229" s="19"/>
      <c r="AS4229" s="19"/>
      <c r="AT4229" s="19"/>
      <c r="AU4229" s="19"/>
    </row>
    <row r="4230" spans="3:47">
      <c r="C4230" s="20"/>
      <c r="Z4230" s="20"/>
      <c r="AG4230" s="20"/>
      <c r="AQ4230" s="19"/>
      <c r="AR4230" s="19"/>
      <c r="AS4230" s="19"/>
      <c r="AT4230" s="19"/>
      <c r="AU4230" s="19"/>
    </row>
    <row r="4231" spans="3:47">
      <c r="C4231" s="20"/>
      <c r="Z4231" s="20"/>
      <c r="AG4231" s="20"/>
      <c r="AQ4231" s="19"/>
      <c r="AR4231" s="19"/>
      <c r="AS4231" s="19"/>
      <c r="AT4231" s="19"/>
      <c r="AU4231" s="19"/>
    </row>
    <row r="4232" spans="3:47">
      <c r="C4232" s="20"/>
      <c r="Z4232" s="20"/>
      <c r="AG4232" s="20"/>
      <c r="AQ4232" s="19"/>
      <c r="AR4232" s="19"/>
      <c r="AS4232" s="19"/>
      <c r="AT4232" s="19"/>
      <c r="AU4232" s="19"/>
    </row>
    <row r="4233" spans="3:47">
      <c r="C4233" s="20"/>
      <c r="Z4233" s="20"/>
      <c r="AG4233" s="20"/>
      <c r="AQ4233" s="19"/>
      <c r="AR4233" s="19"/>
      <c r="AS4233" s="19"/>
      <c r="AT4233" s="19"/>
      <c r="AU4233" s="19"/>
    </row>
    <row r="4234" spans="3:47">
      <c r="C4234" s="20"/>
      <c r="Z4234" s="20"/>
      <c r="AG4234" s="20"/>
      <c r="AQ4234" s="19"/>
      <c r="AR4234" s="19"/>
      <c r="AS4234" s="19"/>
      <c r="AT4234" s="19"/>
      <c r="AU4234" s="19"/>
    </row>
    <row r="4235" spans="3:47">
      <c r="C4235" s="20"/>
      <c r="Z4235" s="20"/>
      <c r="AG4235" s="20"/>
      <c r="AQ4235" s="19"/>
      <c r="AR4235" s="19"/>
      <c r="AS4235" s="19"/>
      <c r="AT4235" s="19"/>
      <c r="AU4235" s="19"/>
    </row>
    <row r="4236" spans="3:47">
      <c r="C4236" s="20"/>
      <c r="Z4236" s="20"/>
      <c r="AG4236" s="20"/>
      <c r="AQ4236" s="19"/>
      <c r="AR4236" s="19"/>
      <c r="AS4236" s="19"/>
      <c r="AT4236" s="19"/>
      <c r="AU4236" s="19"/>
    </row>
    <row r="4237" spans="3:47">
      <c r="C4237" s="20"/>
      <c r="Z4237" s="20"/>
      <c r="AG4237" s="20"/>
      <c r="AQ4237" s="19"/>
      <c r="AR4237" s="19"/>
      <c r="AS4237" s="19"/>
      <c r="AT4237" s="19"/>
      <c r="AU4237" s="19"/>
    </row>
    <row r="4238" spans="3:47">
      <c r="C4238" s="20"/>
      <c r="Z4238" s="20"/>
      <c r="AG4238" s="20"/>
      <c r="AQ4238" s="19"/>
      <c r="AR4238" s="19"/>
      <c r="AS4238" s="19"/>
      <c r="AT4238" s="19"/>
      <c r="AU4238" s="19"/>
    </row>
    <row r="4239" spans="3:47">
      <c r="C4239" s="20"/>
      <c r="Z4239" s="20"/>
      <c r="AG4239" s="20"/>
      <c r="AQ4239" s="19"/>
      <c r="AR4239" s="19"/>
      <c r="AS4239" s="19"/>
      <c r="AT4239" s="19"/>
      <c r="AU4239" s="19"/>
    </row>
    <row r="4240" spans="3:47">
      <c r="C4240" s="20"/>
      <c r="Z4240" s="20"/>
      <c r="AG4240" s="20"/>
      <c r="AQ4240" s="19"/>
      <c r="AR4240" s="19"/>
      <c r="AS4240" s="19"/>
      <c r="AT4240" s="19"/>
      <c r="AU4240" s="19"/>
    </row>
    <row r="4241" spans="3:47">
      <c r="C4241" s="20"/>
      <c r="Z4241" s="20"/>
      <c r="AG4241" s="20"/>
      <c r="AQ4241" s="19"/>
      <c r="AR4241" s="19"/>
      <c r="AS4241" s="19"/>
      <c r="AT4241" s="19"/>
      <c r="AU4241" s="19"/>
    </row>
    <row r="4242" spans="3:47">
      <c r="C4242" s="20"/>
      <c r="Z4242" s="20"/>
      <c r="AG4242" s="20"/>
      <c r="AQ4242" s="19"/>
      <c r="AR4242" s="19"/>
      <c r="AS4242" s="19"/>
      <c r="AT4242" s="19"/>
      <c r="AU4242" s="19"/>
    </row>
    <row r="4243" spans="3:47">
      <c r="C4243" s="20"/>
      <c r="Z4243" s="20"/>
      <c r="AG4243" s="20"/>
      <c r="AQ4243" s="19"/>
      <c r="AR4243" s="19"/>
      <c r="AS4243" s="19"/>
      <c r="AT4243" s="19"/>
      <c r="AU4243" s="19"/>
    </row>
    <row r="4244" spans="3:47">
      <c r="C4244" s="20"/>
      <c r="Z4244" s="20"/>
      <c r="AG4244" s="20"/>
      <c r="AQ4244" s="19"/>
      <c r="AR4244" s="19"/>
      <c r="AS4244" s="19"/>
      <c r="AT4244" s="19"/>
      <c r="AU4244" s="19"/>
    </row>
    <row r="4245" spans="3:47">
      <c r="C4245" s="20"/>
      <c r="Z4245" s="20"/>
      <c r="AG4245" s="20"/>
      <c r="AQ4245" s="19"/>
      <c r="AR4245" s="19"/>
      <c r="AS4245" s="19"/>
      <c r="AT4245" s="19"/>
      <c r="AU4245" s="19"/>
    </row>
    <row r="4246" spans="3:47">
      <c r="C4246" s="20"/>
      <c r="Z4246" s="20"/>
      <c r="AG4246" s="20"/>
      <c r="AQ4246" s="19"/>
      <c r="AR4246" s="19"/>
      <c r="AS4246" s="19"/>
      <c r="AT4246" s="19"/>
      <c r="AU4246" s="19"/>
    </row>
    <row r="4247" spans="3:47">
      <c r="C4247" s="20"/>
      <c r="Z4247" s="20"/>
      <c r="AG4247" s="20"/>
      <c r="AQ4247" s="19"/>
      <c r="AR4247" s="19"/>
      <c r="AS4247" s="19"/>
      <c r="AT4247" s="19"/>
      <c r="AU4247" s="19"/>
    </row>
    <row r="4248" spans="3:47">
      <c r="C4248" s="20"/>
      <c r="Z4248" s="20"/>
      <c r="AG4248" s="20"/>
      <c r="AQ4248" s="19"/>
      <c r="AR4248" s="19"/>
      <c r="AS4248" s="19"/>
      <c r="AT4248" s="19"/>
      <c r="AU4248" s="19"/>
    </row>
    <row r="4249" spans="3:47">
      <c r="C4249" s="20"/>
      <c r="Z4249" s="20"/>
      <c r="AG4249" s="20"/>
      <c r="AQ4249" s="19"/>
      <c r="AR4249" s="19"/>
      <c r="AS4249" s="19"/>
      <c r="AT4249" s="19"/>
      <c r="AU4249" s="19"/>
    </row>
    <row r="4250" spans="3:47">
      <c r="C4250" s="20"/>
      <c r="Z4250" s="20"/>
      <c r="AG4250" s="20"/>
      <c r="AQ4250" s="19"/>
      <c r="AR4250" s="19"/>
      <c r="AS4250" s="19"/>
      <c r="AT4250" s="19"/>
      <c r="AU4250" s="19"/>
    </row>
    <row r="4251" spans="3:47">
      <c r="C4251" s="20"/>
      <c r="Z4251" s="20"/>
      <c r="AG4251" s="20"/>
      <c r="AQ4251" s="19"/>
      <c r="AR4251" s="19"/>
      <c r="AS4251" s="19"/>
      <c r="AT4251" s="19"/>
      <c r="AU4251" s="19"/>
    </row>
    <row r="4252" spans="3:47">
      <c r="C4252" s="20"/>
      <c r="Z4252" s="20"/>
      <c r="AG4252" s="20"/>
      <c r="AQ4252" s="19"/>
      <c r="AR4252" s="19"/>
      <c r="AS4252" s="19"/>
      <c r="AT4252" s="19"/>
      <c r="AU4252" s="19"/>
    </row>
    <row r="4253" spans="3:47">
      <c r="C4253" s="20"/>
      <c r="Z4253" s="20"/>
      <c r="AG4253" s="20"/>
      <c r="AQ4253" s="19"/>
      <c r="AR4253" s="19"/>
      <c r="AS4253" s="19"/>
      <c r="AT4253" s="19"/>
      <c r="AU4253" s="19"/>
    </row>
    <row r="4254" spans="3:47">
      <c r="C4254" s="20"/>
      <c r="Z4254" s="20"/>
      <c r="AG4254" s="20"/>
      <c r="AQ4254" s="19"/>
      <c r="AR4254" s="19"/>
      <c r="AS4254" s="19"/>
      <c r="AT4254" s="19"/>
      <c r="AU4254" s="19"/>
    </row>
    <row r="4255" spans="3:47">
      <c r="C4255" s="20"/>
      <c r="Z4255" s="20"/>
      <c r="AG4255" s="20"/>
      <c r="AQ4255" s="19"/>
      <c r="AR4255" s="19"/>
      <c r="AS4255" s="19"/>
      <c r="AT4255" s="19"/>
      <c r="AU4255" s="19"/>
    </row>
    <row r="4256" spans="3:47">
      <c r="C4256" s="20"/>
      <c r="Z4256" s="20"/>
      <c r="AG4256" s="20"/>
      <c r="AQ4256" s="19"/>
      <c r="AR4256" s="19"/>
      <c r="AS4256" s="19"/>
      <c r="AT4256" s="19"/>
      <c r="AU4256" s="19"/>
    </row>
    <row r="4257" spans="3:47">
      <c r="C4257" s="20"/>
      <c r="Z4257" s="20"/>
      <c r="AG4257" s="20"/>
      <c r="AQ4257" s="19"/>
      <c r="AR4257" s="19"/>
      <c r="AS4257" s="19"/>
      <c r="AT4257" s="19"/>
      <c r="AU4257" s="19"/>
    </row>
    <row r="4258" spans="3:47">
      <c r="C4258" s="20"/>
      <c r="Z4258" s="20"/>
      <c r="AG4258" s="20"/>
      <c r="AQ4258" s="19"/>
      <c r="AR4258" s="19"/>
      <c r="AS4258" s="19"/>
      <c r="AT4258" s="19"/>
      <c r="AU4258" s="19"/>
    </row>
    <row r="4259" spans="3:47">
      <c r="C4259" s="20"/>
      <c r="Z4259" s="20"/>
      <c r="AG4259" s="20"/>
      <c r="AQ4259" s="19"/>
      <c r="AR4259" s="19"/>
      <c r="AS4259" s="19"/>
      <c r="AT4259" s="19"/>
      <c r="AU4259" s="19"/>
    </row>
    <row r="4260" spans="3:47">
      <c r="C4260" s="20"/>
      <c r="Z4260" s="20"/>
      <c r="AG4260" s="20"/>
      <c r="AQ4260" s="19"/>
      <c r="AR4260" s="19"/>
      <c r="AS4260" s="19"/>
      <c r="AT4260" s="19"/>
      <c r="AU4260" s="19"/>
    </row>
    <row r="4261" spans="3:47">
      <c r="C4261" s="20"/>
      <c r="Z4261" s="20"/>
      <c r="AG4261" s="20"/>
      <c r="AQ4261" s="19"/>
      <c r="AR4261" s="19"/>
      <c r="AS4261" s="19"/>
      <c r="AT4261" s="19"/>
      <c r="AU4261" s="19"/>
    </row>
    <row r="4262" spans="3:47">
      <c r="C4262" s="20"/>
      <c r="Z4262" s="20"/>
      <c r="AG4262" s="20"/>
      <c r="AQ4262" s="19"/>
      <c r="AR4262" s="19"/>
      <c r="AS4262" s="19"/>
      <c r="AT4262" s="19"/>
      <c r="AU4262" s="19"/>
    </row>
    <row r="4263" spans="3:47">
      <c r="C4263" s="20"/>
      <c r="Z4263" s="20"/>
      <c r="AG4263" s="20"/>
      <c r="AQ4263" s="19"/>
      <c r="AR4263" s="19"/>
      <c r="AS4263" s="19"/>
      <c r="AT4263" s="19"/>
      <c r="AU4263" s="19"/>
    </row>
    <row r="4264" spans="3:47">
      <c r="C4264" s="20"/>
      <c r="Z4264" s="20"/>
      <c r="AG4264" s="20"/>
      <c r="AQ4264" s="19"/>
      <c r="AR4264" s="19"/>
      <c r="AS4264" s="19"/>
      <c r="AT4264" s="19"/>
      <c r="AU4264" s="19"/>
    </row>
    <row r="4265" spans="3:47">
      <c r="C4265" s="20"/>
      <c r="Z4265" s="20"/>
      <c r="AG4265" s="20"/>
      <c r="AQ4265" s="19"/>
      <c r="AR4265" s="19"/>
      <c r="AS4265" s="19"/>
      <c r="AT4265" s="19"/>
      <c r="AU4265" s="19"/>
    </row>
    <row r="4266" spans="3:47">
      <c r="C4266" s="20"/>
      <c r="Z4266" s="20"/>
      <c r="AG4266" s="20"/>
      <c r="AQ4266" s="19"/>
      <c r="AR4266" s="19"/>
      <c r="AS4266" s="19"/>
      <c r="AT4266" s="19"/>
      <c r="AU4266" s="19"/>
    </row>
    <row r="4267" spans="3:47">
      <c r="C4267" s="20"/>
      <c r="Z4267" s="20"/>
      <c r="AG4267" s="20"/>
      <c r="AQ4267" s="19"/>
      <c r="AR4267" s="19"/>
      <c r="AS4267" s="19"/>
      <c r="AT4267" s="19"/>
      <c r="AU4267" s="19"/>
    </row>
    <row r="4268" spans="3:47">
      <c r="C4268" s="20"/>
      <c r="Z4268" s="20"/>
      <c r="AG4268" s="20"/>
      <c r="AQ4268" s="19"/>
      <c r="AR4268" s="19"/>
      <c r="AS4268" s="19"/>
      <c r="AT4268" s="19"/>
      <c r="AU4268" s="19"/>
    </row>
    <row r="4269" spans="3:47">
      <c r="C4269" s="20"/>
      <c r="Z4269" s="20"/>
      <c r="AG4269" s="20"/>
      <c r="AQ4269" s="19"/>
      <c r="AR4269" s="19"/>
      <c r="AS4269" s="19"/>
      <c r="AT4269" s="19"/>
      <c r="AU4269" s="19"/>
    </row>
    <row r="4270" spans="3:47">
      <c r="C4270" s="20"/>
      <c r="Z4270" s="20"/>
      <c r="AG4270" s="20"/>
      <c r="AQ4270" s="19"/>
      <c r="AR4270" s="19"/>
      <c r="AS4270" s="19"/>
      <c r="AT4270" s="19"/>
      <c r="AU4270" s="19"/>
    </row>
    <row r="4271" spans="3:47">
      <c r="C4271" s="20"/>
      <c r="Z4271" s="20"/>
      <c r="AG4271" s="20"/>
      <c r="AQ4271" s="19"/>
      <c r="AR4271" s="19"/>
      <c r="AS4271" s="19"/>
      <c r="AT4271" s="19"/>
      <c r="AU4271" s="19"/>
    </row>
    <row r="4272" spans="3:47">
      <c r="C4272" s="20"/>
      <c r="Z4272" s="20"/>
      <c r="AG4272" s="20"/>
      <c r="AQ4272" s="19"/>
      <c r="AR4272" s="19"/>
      <c r="AS4272" s="19"/>
      <c r="AT4272" s="19"/>
      <c r="AU4272" s="19"/>
    </row>
    <row r="4273" spans="3:47">
      <c r="C4273" s="20"/>
      <c r="Z4273" s="20"/>
      <c r="AG4273" s="20"/>
      <c r="AQ4273" s="19"/>
      <c r="AR4273" s="19"/>
      <c r="AS4273" s="19"/>
      <c r="AT4273" s="19"/>
      <c r="AU4273" s="19"/>
    </row>
    <row r="4274" spans="3:47">
      <c r="C4274" s="20"/>
      <c r="Z4274" s="20"/>
      <c r="AG4274" s="20"/>
      <c r="AQ4274" s="19"/>
      <c r="AR4274" s="19"/>
      <c r="AS4274" s="19"/>
      <c r="AT4274" s="19"/>
      <c r="AU4274" s="19"/>
    </row>
    <row r="4275" spans="3:47">
      <c r="C4275" s="20"/>
      <c r="Z4275" s="20"/>
      <c r="AG4275" s="20"/>
      <c r="AQ4275" s="19"/>
      <c r="AR4275" s="19"/>
      <c r="AS4275" s="19"/>
      <c r="AT4275" s="19"/>
      <c r="AU4275" s="19"/>
    </row>
    <row r="4276" spans="3:47">
      <c r="C4276" s="20"/>
      <c r="Z4276" s="20"/>
      <c r="AG4276" s="20"/>
      <c r="AQ4276" s="19"/>
      <c r="AR4276" s="19"/>
      <c r="AS4276" s="19"/>
      <c r="AT4276" s="19"/>
      <c r="AU4276" s="19"/>
    </row>
    <row r="4277" spans="3:47">
      <c r="C4277" s="20"/>
      <c r="Z4277" s="20"/>
      <c r="AG4277" s="20"/>
      <c r="AQ4277" s="19"/>
      <c r="AR4277" s="19"/>
      <c r="AS4277" s="19"/>
      <c r="AT4277" s="19"/>
      <c r="AU4277" s="19"/>
    </row>
    <row r="4278" spans="3:47">
      <c r="C4278" s="20"/>
      <c r="Z4278" s="20"/>
      <c r="AG4278" s="20"/>
      <c r="AQ4278" s="19"/>
      <c r="AR4278" s="19"/>
      <c r="AS4278" s="19"/>
      <c r="AT4278" s="19"/>
      <c r="AU4278" s="19"/>
    </row>
    <row r="4279" spans="3:47">
      <c r="C4279" s="20"/>
      <c r="Z4279" s="20"/>
      <c r="AG4279" s="20"/>
      <c r="AQ4279" s="19"/>
      <c r="AR4279" s="19"/>
      <c r="AS4279" s="19"/>
      <c r="AT4279" s="19"/>
      <c r="AU4279" s="19"/>
    </row>
    <row r="4280" spans="3:47">
      <c r="C4280" s="20"/>
      <c r="Z4280" s="20"/>
      <c r="AG4280" s="20"/>
      <c r="AQ4280" s="19"/>
      <c r="AR4280" s="19"/>
      <c r="AS4280" s="19"/>
      <c r="AT4280" s="19"/>
      <c r="AU4280" s="19"/>
    </row>
    <row r="4281" spans="3:47">
      <c r="C4281" s="20"/>
      <c r="Z4281" s="20"/>
      <c r="AG4281" s="20"/>
      <c r="AQ4281" s="19"/>
      <c r="AR4281" s="19"/>
      <c r="AS4281" s="19"/>
      <c r="AT4281" s="19"/>
      <c r="AU4281" s="19"/>
    </row>
    <row r="4282" spans="3:47">
      <c r="C4282" s="20"/>
      <c r="Z4282" s="20"/>
      <c r="AG4282" s="20"/>
      <c r="AQ4282" s="19"/>
      <c r="AR4282" s="19"/>
      <c r="AS4282" s="19"/>
      <c r="AT4282" s="19"/>
      <c r="AU4282" s="19"/>
    </row>
    <row r="4283" spans="3:47">
      <c r="C4283" s="20"/>
      <c r="Z4283" s="20"/>
      <c r="AG4283" s="20"/>
      <c r="AQ4283" s="19"/>
      <c r="AR4283" s="19"/>
      <c r="AS4283" s="19"/>
      <c r="AT4283" s="19"/>
      <c r="AU4283" s="19"/>
    </row>
    <row r="4284" spans="3:47">
      <c r="C4284" s="20"/>
      <c r="Z4284" s="20"/>
      <c r="AG4284" s="20"/>
      <c r="AQ4284" s="19"/>
      <c r="AR4284" s="19"/>
      <c r="AS4284" s="19"/>
      <c r="AT4284" s="19"/>
      <c r="AU4284" s="19"/>
    </row>
    <row r="4285" spans="3:47">
      <c r="C4285" s="20"/>
      <c r="Z4285" s="20"/>
      <c r="AG4285" s="20"/>
      <c r="AQ4285" s="19"/>
      <c r="AR4285" s="19"/>
      <c r="AS4285" s="19"/>
      <c r="AT4285" s="19"/>
      <c r="AU4285" s="19"/>
    </row>
    <row r="4286" spans="3:47">
      <c r="C4286" s="20"/>
      <c r="Z4286" s="20"/>
      <c r="AG4286" s="20"/>
      <c r="AQ4286" s="19"/>
      <c r="AR4286" s="19"/>
      <c r="AS4286" s="19"/>
      <c r="AT4286" s="19"/>
      <c r="AU4286" s="19"/>
    </row>
    <row r="4287" spans="3:47">
      <c r="C4287" s="20"/>
      <c r="Z4287" s="20"/>
      <c r="AG4287" s="20"/>
      <c r="AQ4287" s="19"/>
      <c r="AR4287" s="19"/>
      <c r="AS4287" s="19"/>
      <c r="AT4287" s="19"/>
      <c r="AU4287" s="19"/>
    </row>
    <row r="4288" spans="3:47">
      <c r="C4288" s="20"/>
      <c r="Z4288" s="20"/>
      <c r="AG4288" s="20"/>
      <c r="AQ4288" s="19"/>
      <c r="AR4288" s="19"/>
      <c r="AS4288" s="19"/>
      <c r="AT4288" s="19"/>
      <c r="AU4288" s="19"/>
    </row>
    <row r="4289" spans="3:47">
      <c r="C4289" s="20"/>
      <c r="Z4289" s="20"/>
      <c r="AG4289" s="20"/>
      <c r="AQ4289" s="19"/>
      <c r="AR4289" s="19"/>
      <c r="AS4289" s="19"/>
      <c r="AT4289" s="19"/>
      <c r="AU4289" s="19"/>
    </row>
    <row r="4290" spans="3:47">
      <c r="C4290" s="20"/>
      <c r="Z4290" s="20"/>
      <c r="AG4290" s="20"/>
      <c r="AQ4290" s="19"/>
      <c r="AR4290" s="19"/>
      <c r="AS4290" s="19"/>
      <c r="AT4290" s="19"/>
      <c r="AU4290" s="19"/>
    </row>
    <row r="4291" spans="3:47">
      <c r="C4291" s="20"/>
      <c r="Z4291" s="20"/>
      <c r="AG4291" s="20"/>
      <c r="AQ4291" s="19"/>
      <c r="AR4291" s="19"/>
      <c r="AS4291" s="19"/>
      <c r="AT4291" s="19"/>
      <c r="AU4291" s="19"/>
    </row>
    <row r="4292" spans="3:47">
      <c r="C4292" s="20"/>
      <c r="Z4292" s="20"/>
      <c r="AG4292" s="20"/>
      <c r="AQ4292" s="19"/>
      <c r="AR4292" s="19"/>
      <c r="AS4292" s="19"/>
      <c r="AT4292" s="19"/>
      <c r="AU4292" s="19"/>
    </row>
    <row r="4293" spans="3:47">
      <c r="C4293" s="20"/>
      <c r="Z4293" s="20"/>
      <c r="AG4293" s="20"/>
      <c r="AQ4293" s="19"/>
      <c r="AR4293" s="19"/>
      <c r="AS4293" s="19"/>
      <c r="AT4293" s="19"/>
      <c r="AU4293" s="19"/>
    </row>
    <row r="4294" spans="3:47">
      <c r="C4294" s="20"/>
      <c r="Z4294" s="20"/>
      <c r="AG4294" s="20"/>
      <c r="AQ4294" s="19"/>
      <c r="AR4294" s="19"/>
      <c r="AS4294" s="19"/>
      <c r="AT4294" s="19"/>
      <c r="AU4294" s="19"/>
    </row>
    <row r="4295" spans="3:47">
      <c r="C4295" s="20"/>
      <c r="Z4295" s="20"/>
      <c r="AG4295" s="20"/>
      <c r="AQ4295" s="19"/>
      <c r="AR4295" s="19"/>
      <c r="AS4295" s="19"/>
      <c r="AT4295" s="19"/>
      <c r="AU4295" s="19"/>
    </row>
    <row r="4296" spans="3:47">
      <c r="C4296" s="20"/>
      <c r="Z4296" s="20"/>
      <c r="AG4296" s="20"/>
      <c r="AQ4296" s="19"/>
      <c r="AR4296" s="19"/>
      <c r="AS4296" s="19"/>
      <c r="AT4296" s="19"/>
      <c r="AU4296" s="19"/>
    </row>
    <row r="4297" spans="3:47">
      <c r="C4297" s="20"/>
      <c r="Z4297" s="20"/>
      <c r="AG4297" s="20"/>
      <c r="AQ4297" s="19"/>
      <c r="AR4297" s="19"/>
      <c r="AS4297" s="19"/>
      <c r="AT4297" s="19"/>
      <c r="AU4297" s="19"/>
    </row>
    <row r="4298" spans="3:47">
      <c r="C4298" s="20"/>
      <c r="Z4298" s="20"/>
      <c r="AG4298" s="20"/>
      <c r="AQ4298" s="19"/>
      <c r="AR4298" s="19"/>
      <c r="AS4298" s="19"/>
      <c r="AT4298" s="19"/>
      <c r="AU4298" s="19"/>
    </row>
    <row r="4299" spans="3:47">
      <c r="C4299" s="20"/>
      <c r="Z4299" s="20"/>
      <c r="AG4299" s="20"/>
      <c r="AQ4299" s="19"/>
      <c r="AR4299" s="19"/>
      <c r="AS4299" s="19"/>
      <c r="AT4299" s="19"/>
      <c r="AU4299" s="19"/>
    </row>
    <row r="4300" spans="3:47">
      <c r="C4300" s="20"/>
      <c r="Z4300" s="20"/>
      <c r="AG4300" s="20"/>
      <c r="AQ4300" s="19"/>
      <c r="AR4300" s="19"/>
      <c r="AS4300" s="19"/>
      <c r="AT4300" s="19"/>
      <c r="AU4300" s="19"/>
    </row>
    <row r="4301" spans="3:47">
      <c r="C4301" s="20"/>
      <c r="Z4301" s="20"/>
      <c r="AG4301" s="20"/>
      <c r="AQ4301" s="19"/>
      <c r="AR4301" s="19"/>
      <c r="AS4301" s="19"/>
      <c r="AT4301" s="19"/>
      <c r="AU4301" s="19"/>
    </row>
    <row r="4302" spans="3:47">
      <c r="C4302" s="20"/>
      <c r="Z4302" s="20"/>
      <c r="AG4302" s="20"/>
      <c r="AQ4302" s="19"/>
      <c r="AR4302" s="19"/>
      <c r="AS4302" s="19"/>
      <c r="AT4302" s="19"/>
      <c r="AU4302" s="19"/>
    </row>
    <row r="4303" spans="3:47">
      <c r="C4303" s="20"/>
      <c r="Z4303" s="20"/>
      <c r="AG4303" s="20"/>
      <c r="AQ4303" s="19"/>
      <c r="AR4303" s="19"/>
      <c r="AS4303" s="19"/>
      <c r="AT4303" s="19"/>
      <c r="AU4303" s="19"/>
    </row>
    <row r="4304" spans="3:47">
      <c r="C4304" s="20"/>
      <c r="Z4304" s="20"/>
      <c r="AG4304" s="20"/>
      <c r="AQ4304" s="19"/>
      <c r="AR4304" s="19"/>
      <c r="AS4304" s="19"/>
      <c r="AT4304" s="19"/>
      <c r="AU4304" s="19"/>
    </row>
    <row r="4305" spans="3:47">
      <c r="C4305" s="20"/>
      <c r="Z4305" s="20"/>
      <c r="AG4305" s="20"/>
      <c r="AQ4305" s="19"/>
      <c r="AR4305" s="19"/>
      <c r="AS4305" s="19"/>
      <c r="AT4305" s="19"/>
      <c r="AU4305" s="19"/>
    </row>
    <row r="4306" spans="3:47">
      <c r="C4306" s="20"/>
      <c r="Z4306" s="20"/>
      <c r="AG4306" s="20"/>
      <c r="AQ4306" s="19"/>
      <c r="AR4306" s="19"/>
      <c r="AS4306" s="19"/>
      <c r="AT4306" s="19"/>
      <c r="AU4306" s="19"/>
    </row>
    <row r="4307" spans="3:47">
      <c r="C4307" s="20"/>
      <c r="Z4307" s="20"/>
      <c r="AG4307" s="20"/>
      <c r="AQ4307" s="19"/>
      <c r="AR4307" s="19"/>
      <c r="AS4307" s="19"/>
      <c r="AT4307" s="19"/>
      <c r="AU4307" s="19"/>
    </row>
    <row r="4308" spans="3:47">
      <c r="C4308" s="20"/>
      <c r="Z4308" s="20"/>
      <c r="AG4308" s="20"/>
      <c r="AQ4308" s="19"/>
      <c r="AR4308" s="19"/>
      <c r="AS4308" s="19"/>
      <c r="AT4308" s="19"/>
      <c r="AU4308" s="19"/>
    </row>
    <row r="4309" spans="3:47">
      <c r="C4309" s="20"/>
      <c r="Z4309" s="20"/>
      <c r="AG4309" s="20"/>
      <c r="AQ4309" s="19"/>
      <c r="AR4309" s="19"/>
      <c r="AS4309" s="19"/>
      <c r="AT4309" s="19"/>
      <c r="AU4309" s="19"/>
    </row>
    <row r="4310" spans="3:47">
      <c r="C4310" s="20"/>
      <c r="Z4310" s="20"/>
      <c r="AG4310" s="20"/>
      <c r="AQ4310" s="19"/>
      <c r="AR4310" s="19"/>
      <c r="AS4310" s="19"/>
      <c r="AT4310" s="19"/>
      <c r="AU4310" s="19"/>
    </row>
    <row r="4311" spans="3:47">
      <c r="C4311" s="20"/>
      <c r="Z4311" s="20"/>
      <c r="AG4311" s="20"/>
      <c r="AQ4311" s="19"/>
      <c r="AR4311" s="19"/>
      <c r="AS4311" s="19"/>
      <c r="AT4311" s="19"/>
      <c r="AU4311" s="19"/>
    </row>
    <row r="4312" spans="3:47">
      <c r="C4312" s="20"/>
      <c r="Z4312" s="20"/>
      <c r="AG4312" s="20"/>
      <c r="AQ4312" s="19"/>
      <c r="AR4312" s="19"/>
      <c r="AS4312" s="19"/>
      <c r="AT4312" s="19"/>
      <c r="AU4312" s="19"/>
    </row>
    <row r="4313" spans="3:47">
      <c r="C4313" s="20"/>
      <c r="Z4313" s="20"/>
      <c r="AG4313" s="20"/>
      <c r="AQ4313" s="19"/>
      <c r="AR4313" s="19"/>
      <c r="AS4313" s="19"/>
      <c r="AT4313" s="19"/>
      <c r="AU4313" s="19"/>
    </row>
    <row r="4314" spans="3:47">
      <c r="C4314" s="20"/>
      <c r="Z4314" s="20"/>
      <c r="AG4314" s="20"/>
      <c r="AQ4314" s="19"/>
      <c r="AR4314" s="19"/>
      <c r="AS4314" s="19"/>
      <c r="AT4314" s="19"/>
      <c r="AU4314" s="19"/>
    </row>
    <row r="4315" spans="3:47">
      <c r="C4315" s="20"/>
      <c r="Z4315" s="20"/>
      <c r="AG4315" s="20"/>
      <c r="AQ4315" s="19"/>
      <c r="AR4315" s="19"/>
      <c r="AS4315" s="19"/>
      <c r="AT4315" s="19"/>
      <c r="AU4315" s="19"/>
    </row>
    <row r="4316" spans="3:47">
      <c r="C4316" s="20"/>
      <c r="Z4316" s="20"/>
      <c r="AG4316" s="20"/>
      <c r="AQ4316" s="19"/>
      <c r="AR4316" s="19"/>
      <c r="AS4316" s="19"/>
      <c r="AT4316" s="19"/>
      <c r="AU4316" s="19"/>
    </row>
    <row r="4317" spans="3:47">
      <c r="C4317" s="20"/>
      <c r="Z4317" s="20"/>
      <c r="AG4317" s="20"/>
      <c r="AQ4317" s="19"/>
      <c r="AR4317" s="19"/>
      <c r="AS4317" s="19"/>
      <c r="AT4317" s="19"/>
      <c r="AU4317" s="19"/>
    </row>
    <row r="4318" spans="3:47">
      <c r="C4318" s="20"/>
      <c r="Z4318" s="20"/>
      <c r="AG4318" s="20"/>
      <c r="AQ4318" s="19"/>
      <c r="AR4318" s="19"/>
      <c r="AS4318" s="19"/>
      <c r="AT4318" s="19"/>
      <c r="AU4318" s="19"/>
    </row>
    <row r="4319" spans="3:47">
      <c r="C4319" s="20"/>
      <c r="Z4319" s="20"/>
      <c r="AG4319" s="20"/>
      <c r="AQ4319" s="19"/>
      <c r="AR4319" s="19"/>
      <c r="AS4319" s="19"/>
      <c r="AT4319" s="19"/>
      <c r="AU4319" s="19"/>
    </row>
    <row r="4320" spans="3:47">
      <c r="C4320" s="20"/>
      <c r="Z4320" s="20"/>
      <c r="AG4320" s="20"/>
      <c r="AQ4320" s="19"/>
      <c r="AR4320" s="19"/>
      <c r="AS4320" s="19"/>
      <c r="AT4320" s="19"/>
      <c r="AU4320" s="19"/>
    </row>
    <row r="4321" spans="3:47">
      <c r="C4321" s="20"/>
      <c r="Z4321" s="20"/>
      <c r="AG4321" s="20"/>
      <c r="AQ4321" s="19"/>
      <c r="AR4321" s="19"/>
      <c r="AS4321" s="19"/>
      <c r="AT4321" s="19"/>
      <c r="AU4321" s="19"/>
    </row>
    <row r="4322" spans="3:47">
      <c r="C4322" s="20"/>
      <c r="Z4322" s="20"/>
      <c r="AG4322" s="20"/>
      <c r="AQ4322" s="19"/>
      <c r="AR4322" s="19"/>
      <c r="AS4322" s="19"/>
      <c r="AT4322" s="19"/>
      <c r="AU4322" s="19"/>
    </row>
    <row r="4323" spans="3:47">
      <c r="C4323" s="20"/>
      <c r="Z4323" s="20"/>
      <c r="AG4323" s="20"/>
      <c r="AQ4323" s="19"/>
      <c r="AR4323" s="19"/>
      <c r="AS4323" s="19"/>
      <c r="AT4323" s="19"/>
      <c r="AU4323" s="19"/>
    </row>
    <row r="4324" spans="3:47">
      <c r="C4324" s="20"/>
      <c r="Z4324" s="20"/>
      <c r="AG4324" s="20"/>
      <c r="AQ4324" s="19"/>
      <c r="AR4324" s="19"/>
      <c r="AS4324" s="19"/>
      <c r="AT4324" s="19"/>
      <c r="AU4324" s="19"/>
    </row>
    <row r="4325" spans="3:47">
      <c r="C4325" s="20"/>
      <c r="Z4325" s="20"/>
      <c r="AG4325" s="20"/>
      <c r="AQ4325" s="19"/>
      <c r="AR4325" s="19"/>
      <c r="AS4325" s="19"/>
      <c r="AT4325" s="19"/>
      <c r="AU4325" s="19"/>
    </row>
    <row r="4326" spans="3:47">
      <c r="C4326" s="20"/>
      <c r="Z4326" s="20"/>
      <c r="AG4326" s="20"/>
      <c r="AQ4326" s="19"/>
      <c r="AR4326" s="19"/>
      <c r="AS4326" s="19"/>
      <c r="AT4326" s="19"/>
      <c r="AU4326" s="19"/>
    </row>
    <row r="4327" spans="3:47">
      <c r="C4327" s="20"/>
      <c r="Z4327" s="20"/>
      <c r="AG4327" s="20"/>
      <c r="AQ4327" s="19"/>
      <c r="AR4327" s="19"/>
      <c r="AS4327" s="19"/>
      <c r="AT4327" s="19"/>
      <c r="AU4327" s="19"/>
    </row>
    <row r="4328" spans="3:47">
      <c r="C4328" s="20"/>
      <c r="Z4328" s="20"/>
      <c r="AG4328" s="20"/>
      <c r="AQ4328" s="19"/>
      <c r="AR4328" s="19"/>
      <c r="AS4328" s="19"/>
      <c r="AT4328" s="19"/>
      <c r="AU4328" s="19"/>
    </row>
    <row r="4329" spans="3:47">
      <c r="C4329" s="20"/>
      <c r="Z4329" s="20"/>
      <c r="AG4329" s="20"/>
      <c r="AQ4329" s="19"/>
      <c r="AR4329" s="19"/>
      <c r="AS4329" s="19"/>
      <c r="AT4329" s="19"/>
      <c r="AU4329" s="19"/>
    </row>
    <row r="4330" spans="3:47">
      <c r="C4330" s="20"/>
      <c r="Z4330" s="20"/>
      <c r="AG4330" s="20"/>
      <c r="AQ4330" s="19"/>
      <c r="AR4330" s="19"/>
      <c r="AS4330" s="19"/>
      <c r="AT4330" s="19"/>
      <c r="AU4330" s="19"/>
    </row>
    <row r="4331" spans="3:47">
      <c r="C4331" s="20"/>
      <c r="Z4331" s="20"/>
      <c r="AG4331" s="20"/>
      <c r="AQ4331" s="19"/>
      <c r="AR4331" s="19"/>
      <c r="AS4331" s="19"/>
      <c r="AT4331" s="19"/>
      <c r="AU4331" s="19"/>
    </row>
    <row r="4332" spans="3:47">
      <c r="C4332" s="20"/>
      <c r="Z4332" s="20"/>
      <c r="AG4332" s="20"/>
      <c r="AQ4332" s="19"/>
      <c r="AR4332" s="19"/>
      <c r="AS4332" s="19"/>
      <c r="AT4332" s="19"/>
      <c r="AU4332" s="19"/>
    </row>
    <row r="4333" spans="3:47">
      <c r="C4333" s="20"/>
      <c r="Z4333" s="20"/>
      <c r="AG4333" s="20"/>
      <c r="AQ4333" s="19"/>
      <c r="AR4333" s="19"/>
      <c r="AS4333" s="19"/>
      <c r="AT4333" s="19"/>
      <c r="AU4333" s="19"/>
    </row>
    <row r="4334" spans="3:47">
      <c r="C4334" s="20"/>
      <c r="Z4334" s="20"/>
      <c r="AG4334" s="20"/>
      <c r="AQ4334" s="19"/>
      <c r="AR4334" s="19"/>
      <c r="AS4334" s="19"/>
      <c r="AT4334" s="19"/>
      <c r="AU4334" s="19"/>
    </row>
    <row r="4335" spans="3:47">
      <c r="C4335" s="20"/>
      <c r="Z4335" s="20"/>
      <c r="AG4335" s="20"/>
      <c r="AQ4335" s="19"/>
      <c r="AR4335" s="19"/>
      <c r="AS4335" s="19"/>
      <c r="AT4335" s="19"/>
      <c r="AU4335" s="19"/>
    </row>
    <row r="4336" spans="3:47">
      <c r="C4336" s="20"/>
      <c r="Z4336" s="20"/>
      <c r="AG4336" s="20"/>
      <c r="AQ4336" s="19"/>
      <c r="AR4336" s="19"/>
      <c r="AS4336" s="19"/>
      <c r="AT4336" s="19"/>
      <c r="AU4336" s="19"/>
    </row>
    <row r="4337" spans="3:47">
      <c r="C4337" s="20"/>
      <c r="Z4337" s="20"/>
      <c r="AG4337" s="20"/>
      <c r="AQ4337" s="19"/>
      <c r="AR4337" s="19"/>
      <c r="AS4337" s="19"/>
      <c r="AT4337" s="19"/>
      <c r="AU4337" s="19"/>
    </row>
    <row r="4338" spans="3:47">
      <c r="C4338" s="20"/>
      <c r="Z4338" s="20"/>
      <c r="AG4338" s="20"/>
      <c r="AQ4338" s="19"/>
      <c r="AR4338" s="19"/>
      <c r="AS4338" s="19"/>
      <c r="AT4338" s="19"/>
      <c r="AU4338" s="19"/>
    </row>
    <row r="4339" spans="3:47">
      <c r="C4339" s="20"/>
      <c r="Z4339" s="20"/>
      <c r="AG4339" s="20"/>
      <c r="AQ4339" s="19"/>
      <c r="AR4339" s="19"/>
      <c r="AS4339" s="19"/>
      <c r="AT4339" s="19"/>
      <c r="AU4339" s="19"/>
    </row>
    <row r="4340" spans="3:47">
      <c r="C4340" s="20"/>
      <c r="Z4340" s="20"/>
      <c r="AG4340" s="20"/>
      <c r="AQ4340" s="19"/>
      <c r="AR4340" s="19"/>
      <c r="AS4340" s="19"/>
      <c r="AT4340" s="19"/>
      <c r="AU4340" s="19"/>
    </row>
    <row r="4341" spans="3:47">
      <c r="C4341" s="20"/>
      <c r="Z4341" s="20"/>
      <c r="AG4341" s="20"/>
      <c r="AQ4341" s="19"/>
      <c r="AR4341" s="19"/>
      <c r="AS4341" s="19"/>
      <c r="AT4341" s="19"/>
      <c r="AU4341" s="19"/>
    </row>
    <row r="4342" spans="3:47">
      <c r="C4342" s="20"/>
      <c r="Z4342" s="20"/>
      <c r="AG4342" s="20"/>
      <c r="AQ4342" s="19"/>
      <c r="AR4342" s="19"/>
      <c r="AS4342" s="19"/>
      <c r="AT4342" s="19"/>
      <c r="AU4342" s="19"/>
    </row>
    <row r="4343" spans="3:47">
      <c r="C4343" s="20"/>
      <c r="Z4343" s="20"/>
      <c r="AG4343" s="20"/>
      <c r="AQ4343" s="19"/>
      <c r="AR4343" s="19"/>
      <c r="AS4343" s="19"/>
      <c r="AT4343" s="19"/>
      <c r="AU4343" s="19"/>
    </row>
    <row r="4344" spans="3:47">
      <c r="C4344" s="20"/>
      <c r="Z4344" s="20"/>
      <c r="AG4344" s="20"/>
      <c r="AQ4344" s="19"/>
      <c r="AR4344" s="19"/>
      <c r="AS4344" s="19"/>
      <c r="AT4344" s="19"/>
      <c r="AU4344" s="19"/>
    </row>
    <row r="4345" spans="3:47">
      <c r="C4345" s="20"/>
      <c r="Z4345" s="20"/>
      <c r="AG4345" s="20"/>
      <c r="AQ4345" s="19"/>
      <c r="AR4345" s="19"/>
      <c r="AS4345" s="19"/>
      <c r="AT4345" s="19"/>
      <c r="AU4345" s="19"/>
    </row>
    <row r="4346" spans="3:47">
      <c r="C4346" s="20"/>
      <c r="Z4346" s="20"/>
      <c r="AG4346" s="20"/>
      <c r="AQ4346" s="19"/>
      <c r="AR4346" s="19"/>
      <c r="AS4346" s="19"/>
      <c r="AT4346" s="19"/>
      <c r="AU4346" s="19"/>
    </row>
    <row r="4347" spans="3:47">
      <c r="C4347" s="20"/>
      <c r="Z4347" s="20"/>
      <c r="AG4347" s="20"/>
      <c r="AQ4347" s="19"/>
      <c r="AR4347" s="19"/>
      <c r="AS4347" s="19"/>
      <c r="AT4347" s="19"/>
      <c r="AU4347" s="19"/>
    </row>
    <row r="4348" spans="3:47">
      <c r="C4348" s="20"/>
      <c r="Z4348" s="20"/>
      <c r="AG4348" s="20"/>
      <c r="AQ4348" s="19"/>
      <c r="AR4348" s="19"/>
      <c r="AS4348" s="19"/>
      <c r="AT4348" s="19"/>
      <c r="AU4348" s="19"/>
    </row>
    <row r="4349" spans="3:47">
      <c r="C4349" s="20"/>
      <c r="Z4349" s="20"/>
      <c r="AG4349" s="20"/>
      <c r="AQ4349" s="19"/>
      <c r="AR4349" s="19"/>
      <c r="AS4349" s="19"/>
      <c r="AT4349" s="19"/>
      <c r="AU4349" s="19"/>
    </row>
    <row r="4350" spans="3:47">
      <c r="C4350" s="20"/>
      <c r="Z4350" s="20"/>
      <c r="AG4350" s="20"/>
      <c r="AQ4350" s="19"/>
      <c r="AR4350" s="19"/>
      <c r="AS4350" s="19"/>
      <c r="AT4350" s="19"/>
      <c r="AU4350" s="19"/>
    </row>
    <row r="4351" spans="3:47">
      <c r="C4351" s="20"/>
      <c r="Z4351" s="20"/>
      <c r="AG4351" s="20"/>
      <c r="AQ4351" s="19"/>
      <c r="AR4351" s="19"/>
      <c r="AS4351" s="19"/>
      <c r="AT4351" s="19"/>
      <c r="AU4351" s="19"/>
    </row>
    <row r="4352" spans="3:47">
      <c r="C4352" s="20"/>
      <c r="Z4352" s="20"/>
      <c r="AG4352" s="20"/>
      <c r="AQ4352" s="19"/>
      <c r="AR4352" s="19"/>
      <c r="AS4352" s="19"/>
      <c r="AT4352" s="19"/>
      <c r="AU4352" s="19"/>
    </row>
    <row r="4353" spans="3:47">
      <c r="C4353" s="20"/>
      <c r="Z4353" s="20"/>
      <c r="AG4353" s="20"/>
      <c r="AQ4353" s="19"/>
      <c r="AR4353" s="19"/>
      <c r="AS4353" s="19"/>
      <c r="AT4353" s="19"/>
      <c r="AU4353" s="19"/>
    </row>
    <row r="4354" spans="3:47">
      <c r="C4354" s="20"/>
      <c r="Z4354" s="20"/>
      <c r="AG4354" s="20"/>
      <c r="AQ4354" s="19"/>
      <c r="AR4354" s="19"/>
      <c r="AS4354" s="19"/>
      <c r="AT4354" s="19"/>
      <c r="AU4354" s="19"/>
    </row>
    <row r="4355" spans="3:47">
      <c r="C4355" s="20"/>
      <c r="Z4355" s="20"/>
      <c r="AG4355" s="20"/>
      <c r="AQ4355" s="19"/>
      <c r="AR4355" s="19"/>
      <c r="AS4355" s="19"/>
      <c r="AT4355" s="19"/>
      <c r="AU4355" s="19"/>
    </row>
    <row r="4356" spans="3:47">
      <c r="C4356" s="20"/>
      <c r="Z4356" s="20"/>
      <c r="AG4356" s="20"/>
      <c r="AQ4356" s="19"/>
      <c r="AR4356" s="19"/>
      <c r="AS4356" s="19"/>
      <c r="AT4356" s="19"/>
      <c r="AU4356" s="19"/>
    </row>
    <row r="4357" spans="3:47">
      <c r="C4357" s="20"/>
      <c r="Z4357" s="20"/>
      <c r="AG4357" s="20"/>
      <c r="AQ4357" s="19"/>
      <c r="AR4357" s="19"/>
      <c r="AS4357" s="19"/>
      <c r="AT4357" s="19"/>
      <c r="AU4357" s="19"/>
    </row>
    <row r="4358" spans="3:47">
      <c r="C4358" s="20"/>
      <c r="Z4358" s="20"/>
      <c r="AG4358" s="20"/>
      <c r="AQ4358" s="19"/>
      <c r="AR4358" s="19"/>
      <c r="AS4358" s="19"/>
      <c r="AT4358" s="19"/>
      <c r="AU4358" s="19"/>
    </row>
    <row r="4359" spans="3:47">
      <c r="C4359" s="20"/>
      <c r="Z4359" s="20"/>
      <c r="AG4359" s="20"/>
      <c r="AQ4359" s="19"/>
      <c r="AR4359" s="19"/>
      <c r="AS4359" s="19"/>
      <c r="AT4359" s="19"/>
      <c r="AU4359" s="19"/>
    </row>
    <row r="4360" spans="3:47">
      <c r="C4360" s="20"/>
      <c r="Z4360" s="20"/>
      <c r="AG4360" s="20"/>
      <c r="AQ4360" s="19"/>
      <c r="AR4360" s="19"/>
      <c r="AS4360" s="19"/>
      <c r="AT4360" s="19"/>
      <c r="AU4360" s="19"/>
    </row>
    <row r="4361" spans="3:47">
      <c r="C4361" s="20"/>
      <c r="Z4361" s="20"/>
      <c r="AG4361" s="20"/>
      <c r="AQ4361" s="19"/>
      <c r="AR4361" s="19"/>
      <c r="AS4361" s="19"/>
      <c r="AT4361" s="19"/>
      <c r="AU4361" s="19"/>
    </row>
    <row r="4362" spans="3:47">
      <c r="C4362" s="20"/>
      <c r="Z4362" s="20"/>
      <c r="AG4362" s="20"/>
      <c r="AQ4362" s="19"/>
      <c r="AR4362" s="19"/>
      <c r="AS4362" s="19"/>
      <c r="AT4362" s="19"/>
      <c r="AU4362" s="19"/>
    </row>
    <row r="4363" spans="3:47">
      <c r="C4363" s="20"/>
      <c r="Z4363" s="20"/>
      <c r="AG4363" s="20"/>
      <c r="AQ4363" s="19"/>
      <c r="AR4363" s="19"/>
      <c r="AS4363" s="19"/>
      <c r="AT4363" s="19"/>
      <c r="AU4363" s="19"/>
    </row>
    <row r="4364" spans="3:47">
      <c r="C4364" s="20"/>
      <c r="Z4364" s="20"/>
      <c r="AG4364" s="20"/>
      <c r="AQ4364" s="19"/>
      <c r="AR4364" s="19"/>
      <c r="AS4364" s="19"/>
      <c r="AT4364" s="19"/>
      <c r="AU4364" s="19"/>
    </row>
    <row r="4365" spans="3:47">
      <c r="C4365" s="20"/>
      <c r="Z4365" s="20"/>
      <c r="AG4365" s="20"/>
      <c r="AQ4365" s="19"/>
      <c r="AR4365" s="19"/>
      <c r="AS4365" s="19"/>
      <c r="AT4365" s="19"/>
      <c r="AU4365" s="19"/>
    </row>
    <row r="4366" spans="3:47">
      <c r="C4366" s="20"/>
      <c r="Z4366" s="20"/>
      <c r="AG4366" s="20"/>
      <c r="AQ4366" s="19"/>
      <c r="AR4366" s="19"/>
      <c r="AS4366" s="19"/>
      <c r="AT4366" s="19"/>
      <c r="AU4366" s="19"/>
    </row>
    <row r="4367" spans="3:47">
      <c r="C4367" s="20"/>
      <c r="Z4367" s="20"/>
      <c r="AG4367" s="20"/>
      <c r="AQ4367" s="19"/>
      <c r="AR4367" s="19"/>
      <c r="AS4367" s="19"/>
      <c r="AT4367" s="19"/>
      <c r="AU4367" s="19"/>
    </row>
    <row r="4368" spans="3:47">
      <c r="C4368" s="20"/>
      <c r="Z4368" s="20"/>
      <c r="AG4368" s="20"/>
      <c r="AQ4368" s="19"/>
      <c r="AR4368" s="19"/>
      <c r="AS4368" s="19"/>
      <c r="AT4368" s="19"/>
      <c r="AU4368" s="19"/>
    </row>
    <row r="4369" spans="3:47">
      <c r="C4369" s="20"/>
      <c r="Z4369" s="20"/>
      <c r="AG4369" s="20"/>
      <c r="AQ4369" s="19"/>
      <c r="AR4369" s="19"/>
      <c r="AS4369" s="19"/>
      <c r="AT4369" s="19"/>
      <c r="AU4369" s="19"/>
    </row>
    <row r="4370" spans="3:47">
      <c r="C4370" s="20"/>
      <c r="Z4370" s="20"/>
      <c r="AG4370" s="20"/>
      <c r="AQ4370" s="19"/>
      <c r="AR4370" s="19"/>
      <c r="AS4370" s="19"/>
      <c r="AT4370" s="19"/>
      <c r="AU4370" s="19"/>
    </row>
    <row r="4371" spans="3:47">
      <c r="C4371" s="20"/>
      <c r="Z4371" s="20"/>
      <c r="AG4371" s="20"/>
      <c r="AQ4371" s="19"/>
      <c r="AR4371" s="19"/>
      <c r="AS4371" s="19"/>
      <c r="AT4371" s="19"/>
      <c r="AU4371" s="19"/>
    </row>
    <row r="4372" spans="3:47">
      <c r="C4372" s="20"/>
      <c r="Z4372" s="20"/>
      <c r="AG4372" s="20"/>
      <c r="AQ4372" s="19"/>
      <c r="AR4372" s="19"/>
      <c r="AS4372" s="19"/>
      <c r="AT4372" s="19"/>
      <c r="AU4372" s="19"/>
    </row>
    <row r="4373" spans="3:47">
      <c r="C4373" s="20"/>
      <c r="Z4373" s="20"/>
      <c r="AG4373" s="20"/>
      <c r="AQ4373" s="19"/>
      <c r="AR4373" s="19"/>
      <c r="AS4373" s="19"/>
      <c r="AT4373" s="19"/>
      <c r="AU4373" s="19"/>
    </row>
    <row r="4374" spans="3:47">
      <c r="C4374" s="20"/>
      <c r="Z4374" s="20"/>
      <c r="AG4374" s="20"/>
      <c r="AQ4374" s="19"/>
      <c r="AR4374" s="19"/>
      <c r="AS4374" s="19"/>
      <c r="AT4374" s="19"/>
      <c r="AU4374" s="19"/>
    </row>
    <row r="4375" spans="3:47">
      <c r="C4375" s="20"/>
      <c r="Z4375" s="20"/>
      <c r="AG4375" s="20"/>
      <c r="AQ4375" s="19"/>
      <c r="AR4375" s="19"/>
      <c r="AS4375" s="19"/>
      <c r="AT4375" s="19"/>
      <c r="AU4375" s="19"/>
    </row>
    <row r="4376" spans="3:47">
      <c r="C4376" s="20"/>
      <c r="Z4376" s="20"/>
      <c r="AG4376" s="20"/>
      <c r="AQ4376" s="19"/>
      <c r="AR4376" s="19"/>
      <c r="AS4376" s="19"/>
      <c r="AT4376" s="19"/>
      <c r="AU4376" s="19"/>
    </row>
    <row r="4377" spans="3:47">
      <c r="C4377" s="20"/>
      <c r="Z4377" s="20"/>
      <c r="AG4377" s="20"/>
      <c r="AQ4377" s="19"/>
      <c r="AR4377" s="19"/>
      <c r="AS4377" s="19"/>
      <c r="AT4377" s="19"/>
      <c r="AU4377" s="19"/>
    </row>
    <row r="4378" spans="3:47">
      <c r="C4378" s="20"/>
      <c r="Z4378" s="20"/>
      <c r="AG4378" s="20"/>
      <c r="AQ4378" s="19"/>
      <c r="AR4378" s="19"/>
      <c r="AS4378" s="19"/>
      <c r="AT4378" s="19"/>
      <c r="AU4378" s="19"/>
    </row>
    <row r="4379" spans="3:47">
      <c r="C4379" s="20"/>
      <c r="Z4379" s="20"/>
      <c r="AG4379" s="20"/>
      <c r="AQ4379" s="19"/>
      <c r="AR4379" s="19"/>
      <c r="AS4379" s="19"/>
      <c r="AT4379" s="19"/>
      <c r="AU4379" s="19"/>
    </row>
    <row r="4380" spans="3:47">
      <c r="C4380" s="20"/>
      <c r="Z4380" s="20"/>
      <c r="AG4380" s="20"/>
      <c r="AQ4380" s="19"/>
      <c r="AR4380" s="19"/>
      <c r="AS4380" s="19"/>
      <c r="AT4380" s="19"/>
      <c r="AU4380" s="19"/>
    </row>
    <row r="4381" spans="3:47">
      <c r="C4381" s="20"/>
      <c r="Z4381" s="20"/>
      <c r="AG4381" s="20"/>
      <c r="AQ4381" s="19"/>
      <c r="AR4381" s="19"/>
      <c r="AS4381" s="19"/>
      <c r="AT4381" s="19"/>
      <c r="AU4381" s="19"/>
    </row>
    <row r="4382" spans="3:47">
      <c r="C4382" s="20"/>
      <c r="Z4382" s="20"/>
      <c r="AG4382" s="20"/>
      <c r="AQ4382" s="19"/>
      <c r="AR4382" s="19"/>
      <c r="AS4382" s="19"/>
      <c r="AT4382" s="19"/>
      <c r="AU4382" s="19"/>
    </row>
    <row r="4383" spans="3:47">
      <c r="C4383" s="20"/>
      <c r="Z4383" s="20"/>
      <c r="AG4383" s="20"/>
      <c r="AQ4383" s="19"/>
      <c r="AR4383" s="19"/>
      <c r="AS4383" s="19"/>
      <c r="AT4383" s="19"/>
      <c r="AU4383" s="19"/>
    </row>
    <row r="4384" spans="3:47">
      <c r="C4384" s="20"/>
      <c r="Z4384" s="20"/>
      <c r="AG4384" s="20"/>
      <c r="AQ4384" s="19"/>
      <c r="AR4384" s="19"/>
      <c r="AS4384" s="19"/>
      <c r="AT4384" s="19"/>
      <c r="AU4384" s="19"/>
    </row>
    <row r="4385" spans="3:47">
      <c r="C4385" s="20"/>
      <c r="Z4385" s="20"/>
      <c r="AG4385" s="20"/>
      <c r="AQ4385" s="19"/>
      <c r="AR4385" s="19"/>
      <c r="AS4385" s="19"/>
      <c r="AT4385" s="19"/>
      <c r="AU4385" s="19"/>
    </row>
    <row r="4386" spans="3:47">
      <c r="C4386" s="20"/>
      <c r="Z4386" s="20"/>
      <c r="AG4386" s="20"/>
      <c r="AQ4386" s="19"/>
      <c r="AR4386" s="19"/>
      <c r="AS4386" s="19"/>
      <c r="AT4386" s="19"/>
      <c r="AU4386" s="19"/>
    </row>
    <row r="4387" spans="3:47">
      <c r="C4387" s="20"/>
      <c r="Z4387" s="20"/>
      <c r="AG4387" s="20"/>
      <c r="AQ4387" s="19"/>
      <c r="AR4387" s="19"/>
      <c r="AS4387" s="19"/>
      <c r="AT4387" s="19"/>
      <c r="AU4387" s="19"/>
    </row>
    <row r="4388" spans="3:47">
      <c r="C4388" s="20"/>
      <c r="Z4388" s="20"/>
      <c r="AG4388" s="20"/>
      <c r="AQ4388" s="19"/>
      <c r="AR4388" s="19"/>
      <c r="AS4388" s="19"/>
      <c r="AT4388" s="19"/>
      <c r="AU4388" s="19"/>
    </row>
    <row r="4389" spans="3:47">
      <c r="C4389" s="20"/>
      <c r="Z4389" s="20"/>
      <c r="AG4389" s="20"/>
      <c r="AQ4389" s="19"/>
      <c r="AR4389" s="19"/>
      <c r="AS4389" s="19"/>
      <c r="AT4389" s="19"/>
      <c r="AU4389" s="19"/>
    </row>
    <row r="4390" spans="3:47">
      <c r="C4390" s="20"/>
      <c r="Z4390" s="20"/>
      <c r="AG4390" s="20"/>
      <c r="AQ4390" s="19"/>
      <c r="AR4390" s="19"/>
      <c r="AS4390" s="19"/>
      <c r="AT4390" s="19"/>
      <c r="AU4390" s="19"/>
    </row>
    <row r="4391" spans="3:47">
      <c r="C4391" s="20"/>
      <c r="Z4391" s="20"/>
      <c r="AG4391" s="20"/>
      <c r="AQ4391" s="19"/>
      <c r="AR4391" s="19"/>
      <c r="AS4391" s="19"/>
      <c r="AT4391" s="19"/>
      <c r="AU4391" s="19"/>
    </row>
    <row r="4392" spans="3:47">
      <c r="C4392" s="20"/>
      <c r="Z4392" s="20"/>
      <c r="AG4392" s="20"/>
      <c r="AQ4392" s="19"/>
      <c r="AR4392" s="19"/>
      <c r="AS4392" s="19"/>
      <c r="AT4392" s="19"/>
      <c r="AU4392" s="19"/>
    </row>
    <row r="4393" spans="3:47">
      <c r="C4393" s="20"/>
      <c r="Z4393" s="20"/>
      <c r="AG4393" s="20"/>
      <c r="AQ4393" s="19"/>
      <c r="AR4393" s="19"/>
      <c r="AS4393" s="19"/>
      <c r="AT4393" s="19"/>
      <c r="AU4393" s="19"/>
    </row>
    <row r="4394" spans="3:47">
      <c r="C4394" s="20"/>
      <c r="Z4394" s="20"/>
      <c r="AG4394" s="20"/>
      <c r="AQ4394" s="19"/>
      <c r="AR4394" s="19"/>
      <c r="AS4394" s="19"/>
      <c r="AT4394" s="19"/>
      <c r="AU4394" s="19"/>
    </row>
    <row r="4395" spans="3:47">
      <c r="C4395" s="20"/>
      <c r="Z4395" s="20"/>
      <c r="AG4395" s="20"/>
      <c r="AQ4395" s="19"/>
      <c r="AR4395" s="19"/>
      <c r="AS4395" s="19"/>
      <c r="AT4395" s="19"/>
      <c r="AU4395" s="19"/>
    </row>
    <row r="4396" spans="3:47">
      <c r="C4396" s="20"/>
      <c r="Z4396" s="20"/>
      <c r="AG4396" s="20"/>
      <c r="AQ4396" s="19"/>
      <c r="AR4396" s="19"/>
      <c r="AS4396" s="19"/>
      <c r="AT4396" s="19"/>
      <c r="AU4396" s="19"/>
    </row>
    <row r="4397" spans="3:47">
      <c r="C4397" s="20"/>
      <c r="Z4397" s="20"/>
      <c r="AG4397" s="20"/>
      <c r="AQ4397" s="19"/>
      <c r="AR4397" s="19"/>
      <c r="AS4397" s="19"/>
      <c r="AT4397" s="19"/>
      <c r="AU4397" s="19"/>
    </row>
    <row r="4398" spans="3:47">
      <c r="C4398" s="20"/>
      <c r="Z4398" s="20"/>
      <c r="AG4398" s="20"/>
      <c r="AQ4398" s="19"/>
      <c r="AR4398" s="19"/>
      <c r="AS4398" s="19"/>
      <c r="AT4398" s="19"/>
      <c r="AU4398" s="19"/>
    </row>
    <row r="4399" spans="3:47">
      <c r="C4399" s="20"/>
      <c r="Z4399" s="20"/>
      <c r="AG4399" s="20"/>
      <c r="AQ4399" s="19"/>
      <c r="AR4399" s="19"/>
      <c r="AS4399" s="19"/>
      <c r="AT4399" s="19"/>
      <c r="AU4399" s="19"/>
    </row>
    <row r="4400" spans="3:47">
      <c r="C4400" s="20"/>
      <c r="Z4400" s="20"/>
      <c r="AG4400" s="20"/>
      <c r="AQ4400" s="19"/>
      <c r="AR4400" s="19"/>
      <c r="AS4400" s="19"/>
      <c r="AT4400" s="19"/>
      <c r="AU4400" s="19"/>
    </row>
    <row r="4401" spans="3:47">
      <c r="C4401" s="20"/>
      <c r="Z4401" s="20"/>
      <c r="AG4401" s="20"/>
      <c r="AQ4401" s="19"/>
      <c r="AR4401" s="19"/>
      <c r="AS4401" s="19"/>
      <c r="AT4401" s="19"/>
      <c r="AU4401" s="19"/>
    </row>
    <row r="4402" spans="3:47">
      <c r="C4402" s="20"/>
      <c r="Z4402" s="20"/>
      <c r="AG4402" s="20"/>
      <c r="AQ4402" s="19"/>
      <c r="AR4402" s="19"/>
      <c r="AS4402" s="19"/>
      <c r="AT4402" s="19"/>
      <c r="AU4402" s="19"/>
    </row>
    <row r="4403" spans="3:47">
      <c r="C4403" s="20"/>
      <c r="Z4403" s="20"/>
      <c r="AG4403" s="20"/>
      <c r="AQ4403" s="19"/>
      <c r="AR4403" s="19"/>
      <c r="AS4403" s="19"/>
      <c r="AT4403" s="19"/>
      <c r="AU4403" s="19"/>
    </row>
    <row r="4404" spans="3:47">
      <c r="C4404" s="20"/>
      <c r="Z4404" s="20"/>
      <c r="AG4404" s="20"/>
      <c r="AQ4404" s="19"/>
      <c r="AR4404" s="19"/>
      <c r="AS4404" s="19"/>
      <c r="AT4404" s="19"/>
      <c r="AU4404" s="19"/>
    </row>
    <row r="4405" spans="3:47">
      <c r="C4405" s="20"/>
      <c r="Z4405" s="20"/>
      <c r="AG4405" s="20"/>
      <c r="AQ4405" s="19"/>
      <c r="AR4405" s="19"/>
      <c r="AS4405" s="19"/>
      <c r="AT4405" s="19"/>
      <c r="AU4405" s="19"/>
    </row>
    <row r="4406" spans="3:47">
      <c r="C4406" s="20"/>
      <c r="Z4406" s="20"/>
      <c r="AG4406" s="20"/>
      <c r="AQ4406" s="19"/>
      <c r="AR4406" s="19"/>
      <c r="AS4406" s="19"/>
      <c r="AT4406" s="19"/>
      <c r="AU4406" s="19"/>
    </row>
    <row r="4407" spans="3:47">
      <c r="C4407" s="20"/>
      <c r="Z4407" s="20"/>
      <c r="AG4407" s="20"/>
      <c r="AQ4407" s="19"/>
      <c r="AR4407" s="19"/>
      <c r="AS4407" s="19"/>
      <c r="AT4407" s="19"/>
      <c r="AU4407" s="19"/>
    </row>
    <row r="4408" spans="3:47">
      <c r="C4408" s="20"/>
      <c r="Z4408" s="20"/>
      <c r="AG4408" s="20"/>
      <c r="AQ4408" s="19"/>
      <c r="AR4408" s="19"/>
      <c r="AS4408" s="19"/>
      <c r="AT4408" s="19"/>
      <c r="AU4408" s="19"/>
    </row>
    <row r="4409" spans="3:47">
      <c r="C4409" s="20"/>
      <c r="Z4409" s="20"/>
      <c r="AG4409" s="20"/>
      <c r="AQ4409" s="19"/>
      <c r="AR4409" s="19"/>
      <c r="AS4409" s="19"/>
      <c r="AT4409" s="19"/>
      <c r="AU4409" s="19"/>
    </row>
    <row r="4410" spans="3:47">
      <c r="C4410" s="20"/>
      <c r="Z4410" s="20"/>
      <c r="AG4410" s="20"/>
      <c r="AQ4410" s="19"/>
      <c r="AR4410" s="19"/>
      <c r="AS4410" s="19"/>
      <c r="AT4410" s="19"/>
      <c r="AU4410" s="19"/>
    </row>
    <row r="4411" spans="3:47">
      <c r="C4411" s="20"/>
      <c r="Z4411" s="20"/>
      <c r="AG4411" s="20"/>
      <c r="AQ4411" s="19"/>
      <c r="AR4411" s="19"/>
      <c r="AS4411" s="19"/>
      <c r="AT4411" s="19"/>
      <c r="AU4411" s="19"/>
    </row>
    <row r="4412" spans="3:47">
      <c r="C4412" s="20"/>
      <c r="Z4412" s="20"/>
      <c r="AG4412" s="20"/>
      <c r="AQ4412" s="19"/>
      <c r="AR4412" s="19"/>
      <c r="AS4412" s="19"/>
      <c r="AT4412" s="19"/>
      <c r="AU4412" s="19"/>
    </row>
    <row r="4413" spans="3:47">
      <c r="C4413" s="20"/>
      <c r="Z4413" s="20"/>
      <c r="AG4413" s="20"/>
      <c r="AQ4413" s="19"/>
      <c r="AR4413" s="19"/>
      <c r="AS4413" s="19"/>
      <c r="AT4413" s="19"/>
      <c r="AU4413" s="19"/>
    </row>
    <row r="4414" spans="3:47">
      <c r="C4414" s="20"/>
      <c r="Z4414" s="20"/>
      <c r="AG4414" s="20"/>
      <c r="AQ4414" s="19"/>
      <c r="AR4414" s="19"/>
      <c r="AS4414" s="19"/>
      <c r="AT4414" s="19"/>
      <c r="AU4414" s="19"/>
    </row>
    <row r="4415" spans="3:47">
      <c r="C4415" s="20"/>
      <c r="Z4415" s="20"/>
      <c r="AG4415" s="20"/>
      <c r="AQ4415" s="19"/>
      <c r="AR4415" s="19"/>
      <c r="AS4415" s="19"/>
      <c r="AT4415" s="19"/>
      <c r="AU4415" s="19"/>
    </row>
    <row r="4416" spans="3:47">
      <c r="C4416" s="20"/>
      <c r="Z4416" s="20"/>
      <c r="AG4416" s="20"/>
      <c r="AQ4416" s="19"/>
      <c r="AR4416" s="19"/>
      <c r="AS4416" s="19"/>
      <c r="AT4416" s="19"/>
      <c r="AU4416" s="19"/>
    </row>
    <row r="4417" spans="3:47">
      <c r="C4417" s="20"/>
      <c r="Z4417" s="20"/>
      <c r="AG4417" s="20"/>
      <c r="AQ4417" s="19"/>
      <c r="AR4417" s="19"/>
      <c r="AS4417" s="19"/>
      <c r="AT4417" s="19"/>
      <c r="AU4417" s="19"/>
    </row>
    <row r="4418" spans="3:47">
      <c r="C4418" s="20"/>
      <c r="Z4418" s="20"/>
      <c r="AG4418" s="20"/>
      <c r="AQ4418" s="19"/>
      <c r="AR4418" s="19"/>
      <c r="AS4418" s="19"/>
      <c r="AT4418" s="19"/>
      <c r="AU4418" s="19"/>
    </row>
    <row r="4419" spans="3:47">
      <c r="C4419" s="20"/>
      <c r="Z4419" s="20"/>
      <c r="AG4419" s="20"/>
      <c r="AQ4419" s="19"/>
      <c r="AR4419" s="19"/>
      <c r="AS4419" s="19"/>
      <c r="AT4419" s="19"/>
      <c r="AU4419" s="19"/>
    </row>
    <row r="4420" spans="3:47">
      <c r="C4420" s="20"/>
      <c r="Z4420" s="20"/>
      <c r="AG4420" s="20"/>
      <c r="AQ4420" s="19"/>
      <c r="AR4420" s="19"/>
      <c r="AS4420" s="19"/>
      <c r="AT4420" s="19"/>
      <c r="AU4420" s="19"/>
    </row>
    <row r="4421" spans="3:47">
      <c r="C4421" s="20"/>
      <c r="Z4421" s="20"/>
      <c r="AG4421" s="20"/>
      <c r="AQ4421" s="19"/>
      <c r="AR4421" s="19"/>
      <c r="AS4421" s="19"/>
      <c r="AT4421" s="19"/>
      <c r="AU4421" s="19"/>
    </row>
    <row r="4422" spans="3:47">
      <c r="C4422" s="20"/>
      <c r="Z4422" s="20"/>
      <c r="AG4422" s="20"/>
      <c r="AQ4422" s="19"/>
      <c r="AR4422" s="19"/>
      <c r="AS4422" s="19"/>
      <c r="AT4422" s="19"/>
      <c r="AU4422" s="19"/>
    </row>
    <row r="4423" spans="3:47">
      <c r="C4423" s="20"/>
      <c r="Z4423" s="20"/>
      <c r="AG4423" s="20"/>
      <c r="AQ4423" s="19"/>
      <c r="AR4423" s="19"/>
      <c r="AS4423" s="19"/>
      <c r="AT4423" s="19"/>
      <c r="AU4423" s="19"/>
    </row>
    <row r="4424" spans="3:47">
      <c r="C4424" s="20"/>
      <c r="Z4424" s="20"/>
      <c r="AG4424" s="20"/>
      <c r="AQ4424" s="19"/>
      <c r="AR4424" s="19"/>
      <c r="AS4424" s="19"/>
      <c r="AT4424" s="19"/>
      <c r="AU4424" s="19"/>
    </row>
    <row r="4425" spans="3:47">
      <c r="C4425" s="20"/>
      <c r="Z4425" s="20"/>
      <c r="AG4425" s="20"/>
      <c r="AQ4425" s="19"/>
      <c r="AR4425" s="19"/>
      <c r="AS4425" s="19"/>
      <c r="AT4425" s="19"/>
      <c r="AU4425" s="19"/>
    </row>
    <row r="4426" spans="3:47">
      <c r="C4426" s="20"/>
      <c r="Z4426" s="20"/>
      <c r="AG4426" s="20"/>
      <c r="AQ4426" s="19"/>
      <c r="AR4426" s="19"/>
      <c r="AS4426" s="19"/>
      <c r="AT4426" s="19"/>
      <c r="AU4426" s="19"/>
    </row>
    <row r="4427" spans="3:47">
      <c r="C4427" s="20"/>
      <c r="Z4427" s="20"/>
      <c r="AG4427" s="20"/>
      <c r="AQ4427" s="19"/>
      <c r="AR4427" s="19"/>
      <c r="AS4427" s="19"/>
      <c r="AT4427" s="19"/>
      <c r="AU4427" s="19"/>
    </row>
    <row r="4428" spans="3:47">
      <c r="C4428" s="20"/>
      <c r="Z4428" s="20"/>
      <c r="AG4428" s="20"/>
      <c r="AQ4428" s="19"/>
      <c r="AR4428" s="19"/>
      <c r="AS4428" s="19"/>
      <c r="AT4428" s="19"/>
      <c r="AU4428" s="19"/>
    </row>
    <row r="4429" spans="3:47">
      <c r="C4429" s="20"/>
      <c r="Z4429" s="20"/>
      <c r="AG4429" s="20"/>
      <c r="AQ4429" s="19"/>
      <c r="AR4429" s="19"/>
      <c r="AS4429" s="19"/>
      <c r="AT4429" s="19"/>
      <c r="AU4429" s="19"/>
    </row>
    <row r="4430" spans="3:47">
      <c r="C4430" s="20"/>
      <c r="Z4430" s="20"/>
      <c r="AG4430" s="20"/>
      <c r="AQ4430" s="19"/>
      <c r="AR4430" s="19"/>
      <c r="AS4430" s="19"/>
      <c r="AT4430" s="19"/>
      <c r="AU4430" s="19"/>
    </row>
    <row r="4431" spans="3:47">
      <c r="C4431" s="20"/>
      <c r="Z4431" s="20"/>
      <c r="AG4431" s="20"/>
      <c r="AQ4431" s="19"/>
      <c r="AR4431" s="19"/>
      <c r="AS4431" s="19"/>
      <c r="AT4431" s="19"/>
      <c r="AU4431" s="19"/>
    </row>
    <row r="4432" spans="3:47">
      <c r="C4432" s="20"/>
      <c r="Z4432" s="20"/>
      <c r="AG4432" s="20"/>
      <c r="AQ4432" s="19"/>
      <c r="AR4432" s="19"/>
      <c r="AS4432" s="19"/>
      <c r="AT4432" s="19"/>
      <c r="AU4432" s="19"/>
    </row>
    <row r="4433" spans="3:47">
      <c r="C4433" s="20"/>
      <c r="Z4433" s="20"/>
      <c r="AG4433" s="20"/>
      <c r="AQ4433" s="19"/>
      <c r="AR4433" s="19"/>
      <c r="AS4433" s="19"/>
      <c r="AT4433" s="19"/>
      <c r="AU4433" s="19"/>
    </row>
    <row r="4434" spans="3:47">
      <c r="C4434" s="20"/>
      <c r="Z4434" s="20"/>
      <c r="AG4434" s="20"/>
      <c r="AQ4434" s="19"/>
      <c r="AR4434" s="19"/>
      <c r="AS4434" s="19"/>
      <c r="AT4434" s="19"/>
      <c r="AU4434" s="19"/>
    </row>
    <row r="4435" spans="3:47">
      <c r="C4435" s="20"/>
      <c r="Z4435" s="20"/>
      <c r="AG4435" s="20"/>
      <c r="AQ4435" s="19"/>
      <c r="AR4435" s="19"/>
      <c r="AS4435" s="19"/>
      <c r="AT4435" s="19"/>
      <c r="AU4435" s="19"/>
    </row>
    <row r="4436" spans="3:47">
      <c r="C4436" s="20"/>
      <c r="Z4436" s="20"/>
      <c r="AG4436" s="20"/>
      <c r="AQ4436" s="19"/>
      <c r="AR4436" s="19"/>
      <c r="AS4436" s="19"/>
      <c r="AT4436" s="19"/>
      <c r="AU4436" s="19"/>
    </row>
    <row r="4437" spans="3:47">
      <c r="C4437" s="20"/>
      <c r="Z4437" s="20"/>
      <c r="AG4437" s="20"/>
      <c r="AQ4437" s="19"/>
      <c r="AR4437" s="19"/>
      <c r="AS4437" s="19"/>
      <c r="AT4437" s="19"/>
      <c r="AU4437" s="19"/>
    </row>
    <row r="4438" spans="3:47">
      <c r="C4438" s="20"/>
      <c r="Z4438" s="20"/>
      <c r="AG4438" s="20"/>
      <c r="AQ4438" s="19"/>
      <c r="AR4438" s="19"/>
      <c r="AS4438" s="19"/>
      <c r="AT4438" s="19"/>
      <c r="AU4438" s="19"/>
    </row>
    <row r="4439" spans="3:47">
      <c r="C4439" s="20"/>
      <c r="Z4439" s="20"/>
      <c r="AG4439" s="20"/>
      <c r="AQ4439" s="19"/>
      <c r="AR4439" s="19"/>
      <c r="AS4439" s="19"/>
      <c r="AT4439" s="19"/>
      <c r="AU4439" s="19"/>
    </row>
    <row r="4440" spans="3:47">
      <c r="C4440" s="20"/>
      <c r="Z4440" s="20"/>
      <c r="AG4440" s="20"/>
      <c r="AQ4440" s="19"/>
      <c r="AR4440" s="19"/>
      <c r="AS4440" s="19"/>
      <c r="AT4440" s="19"/>
      <c r="AU4440" s="19"/>
    </row>
    <row r="4441" spans="3:47">
      <c r="C4441" s="20"/>
      <c r="Z4441" s="20"/>
      <c r="AG4441" s="20"/>
      <c r="AQ4441" s="19"/>
      <c r="AR4441" s="19"/>
      <c r="AS4441" s="19"/>
      <c r="AT4441" s="19"/>
      <c r="AU4441" s="19"/>
    </row>
    <row r="4442" spans="3:47">
      <c r="C4442" s="20"/>
      <c r="Z4442" s="20"/>
      <c r="AG4442" s="20"/>
      <c r="AQ4442" s="19"/>
      <c r="AR4442" s="19"/>
      <c r="AS4442" s="19"/>
      <c r="AT4442" s="19"/>
      <c r="AU4442" s="19"/>
    </row>
    <row r="4443" spans="3:47">
      <c r="C4443" s="20"/>
      <c r="Z4443" s="20"/>
      <c r="AG4443" s="20"/>
      <c r="AQ4443" s="19"/>
      <c r="AR4443" s="19"/>
      <c r="AS4443" s="19"/>
      <c r="AT4443" s="19"/>
      <c r="AU4443" s="19"/>
    </row>
    <row r="4444" spans="3:47">
      <c r="C4444" s="20"/>
      <c r="Z4444" s="20"/>
      <c r="AG4444" s="20"/>
      <c r="AQ4444" s="19"/>
      <c r="AR4444" s="19"/>
      <c r="AS4444" s="19"/>
      <c r="AT4444" s="19"/>
      <c r="AU4444" s="19"/>
    </row>
    <row r="4445" spans="3:47">
      <c r="C4445" s="20"/>
      <c r="Z4445" s="20"/>
      <c r="AG4445" s="20"/>
      <c r="AQ4445" s="19"/>
      <c r="AR4445" s="19"/>
      <c r="AS4445" s="19"/>
      <c r="AT4445" s="19"/>
      <c r="AU4445" s="19"/>
    </row>
    <row r="4446" spans="3:47">
      <c r="C4446" s="20"/>
      <c r="Z4446" s="20"/>
      <c r="AG4446" s="20"/>
      <c r="AQ4446" s="19"/>
      <c r="AR4446" s="19"/>
      <c r="AS4446" s="19"/>
      <c r="AT4446" s="19"/>
      <c r="AU4446" s="19"/>
    </row>
    <row r="4447" spans="3:47">
      <c r="C4447" s="20"/>
      <c r="Z4447" s="20"/>
      <c r="AG4447" s="20"/>
      <c r="AQ4447" s="19"/>
      <c r="AR4447" s="19"/>
      <c r="AS4447" s="19"/>
      <c r="AT4447" s="19"/>
      <c r="AU4447" s="19"/>
    </row>
    <row r="4448" spans="3:47">
      <c r="C4448" s="20"/>
      <c r="Z4448" s="20"/>
      <c r="AG4448" s="20"/>
      <c r="AQ4448" s="19"/>
      <c r="AR4448" s="19"/>
      <c r="AS4448" s="19"/>
      <c r="AT4448" s="19"/>
      <c r="AU4448" s="19"/>
    </row>
    <row r="4449" spans="3:47">
      <c r="C4449" s="20"/>
      <c r="Z4449" s="20"/>
      <c r="AG4449" s="20"/>
      <c r="AQ4449" s="19"/>
      <c r="AR4449" s="19"/>
      <c r="AS4449" s="19"/>
      <c r="AT4449" s="19"/>
      <c r="AU4449" s="19"/>
    </row>
    <row r="4450" spans="3:47">
      <c r="C4450" s="20"/>
      <c r="Z4450" s="20"/>
      <c r="AG4450" s="20"/>
      <c r="AQ4450" s="19"/>
      <c r="AR4450" s="19"/>
      <c r="AS4450" s="19"/>
      <c r="AT4450" s="19"/>
      <c r="AU4450" s="19"/>
    </row>
    <row r="4451" spans="3:47">
      <c r="C4451" s="20"/>
      <c r="Z4451" s="20"/>
      <c r="AG4451" s="20"/>
      <c r="AQ4451" s="19"/>
      <c r="AR4451" s="19"/>
      <c r="AS4451" s="19"/>
      <c r="AT4451" s="19"/>
      <c r="AU4451" s="19"/>
    </row>
    <row r="4452" spans="3:47">
      <c r="C4452" s="20"/>
      <c r="Z4452" s="20"/>
      <c r="AG4452" s="20"/>
      <c r="AQ4452" s="19"/>
      <c r="AR4452" s="19"/>
      <c r="AS4452" s="19"/>
      <c r="AT4452" s="19"/>
      <c r="AU4452" s="19"/>
    </row>
    <row r="4453" spans="3:47">
      <c r="C4453" s="20"/>
      <c r="Z4453" s="20"/>
      <c r="AG4453" s="20"/>
      <c r="AQ4453" s="19"/>
      <c r="AR4453" s="19"/>
      <c r="AS4453" s="19"/>
      <c r="AT4453" s="19"/>
      <c r="AU4453" s="19"/>
    </row>
    <row r="4454" spans="3:47">
      <c r="C4454" s="20"/>
      <c r="Z4454" s="20"/>
      <c r="AG4454" s="20"/>
      <c r="AQ4454" s="19"/>
      <c r="AR4454" s="19"/>
      <c r="AS4454" s="19"/>
      <c r="AT4454" s="19"/>
      <c r="AU4454" s="19"/>
    </row>
    <row r="4455" spans="3:47">
      <c r="C4455" s="20"/>
      <c r="Z4455" s="20"/>
      <c r="AG4455" s="20"/>
      <c r="AQ4455" s="19"/>
      <c r="AR4455" s="19"/>
      <c r="AS4455" s="19"/>
      <c r="AT4455" s="19"/>
      <c r="AU4455" s="19"/>
    </row>
    <row r="4456" spans="3:47">
      <c r="C4456" s="20"/>
      <c r="Z4456" s="20"/>
      <c r="AG4456" s="20"/>
      <c r="AQ4456" s="19"/>
      <c r="AR4456" s="19"/>
      <c r="AS4456" s="19"/>
      <c r="AT4456" s="19"/>
      <c r="AU4456" s="19"/>
    </row>
    <row r="4457" spans="3:47">
      <c r="C4457" s="20"/>
      <c r="Z4457" s="20"/>
      <c r="AG4457" s="20"/>
      <c r="AQ4457" s="19"/>
      <c r="AR4457" s="19"/>
      <c r="AS4457" s="19"/>
      <c r="AT4457" s="19"/>
      <c r="AU4457" s="19"/>
    </row>
    <row r="4458" spans="3:47">
      <c r="C4458" s="20"/>
      <c r="Z4458" s="20"/>
      <c r="AG4458" s="20"/>
      <c r="AQ4458" s="19"/>
      <c r="AR4458" s="19"/>
      <c r="AS4458" s="19"/>
      <c r="AT4458" s="19"/>
      <c r="AU4458" s="19"/>
    </row>
    <row r="4459" spans="3:47">
      <c r="C4459" s="20"/>
      <c r="Z4459" s="20"/>
      <c r="AG4459" s="20"/>
      <c r="AQ4459" s="19"/>
      <c r="AR4459" s="19"/>
      <c r="AS4459" s="19"/>
      <c r="AT4459" s="19"/>
      <c r="AU4459" s="19"/>
    </row>
    <row r="4460" spans="3:47">
      <c r="C4460" s="20"/>
      <c r="Z4460" s="20"/>
      <c r="AG4460" s="20"/>
      <c r="AQ4460" s="19"/>
      <c r="AR4460" s="19"/>
      <c r="AS4460" s="19"/>
      <c r="AT4460" s="19"/>
      <c r="AU4460" s="19"/>
    </row>
    <row r="4461" spans="3:47">
      <c r="C4461" s="20"/>
      <c r="Z4461" s="20"/>
      <c r="AG4461" s="20"/>
      <c r="AQ4461" s="19"/>
      <c r="AR4461" s="19"/>
      <c r="AS4461" s="19"/>
      <c r="AT4461" s="19"/>
      <c r="AU4461" s="19"/>
    </row>
    <row r="4462" spans="3:47">
      <c r="C4462" s="20"/>
      <c r="Z4462" s="20"/>
      <c r="AG4462" s="20"/>
      <c r="AQ4462" s="19"/>
      <c r="AR4462" s="19"/>
      <c r="AS4462" s="19"/>
      <c r="AT4462" s="19"/>
      <c r="AU4462" s="19"/>
    </row>
    <row r="4463" spans="3:47">
      <c r="C4463" s="20"/>
      <c r="Z4463" s="20"/>
      <c r="AG4463" s="20"/>
      <c r="AQ4463" s="19"/>
      <c r="AR4463" s="19"/>
      <c r="AS4463" s="19"/>
      <c r="AT4463" s="19"/>
      <c r="AU4463" s="19"/>
    </row>
    <row r="4464" spans="3:47">
      <c r="C4464" s="20"/>
      <c r="Z4464" s="20"/>
      <c r="AG4464" s="20"/>
      <c r="AQ4464" s="19"/>
      <c r="AR4464" s="19"/>
      <c r="AS4464" s="19"/>
      <c r="AT4464" s="19"/>
      <c r="AU4464" s="19"/>
    </row>
    <row r="4465" spans="3:47">
      <c r="C4465" s="20"/>
      <c r="Z4465" s="20"/>
      <c r="AG4465" s="20"/>
      <c r="AQ4465" s="19"/>
      <c r="AR4465" s="19"/>
      <c r="AS4465" s="19"/>
      <c r="AT4465" s="19"/>
      <c r="AU4465" s="19"/>
    </row>
    <row r="4466" spans="3:47">
      <c r="C4466" s="20"/>
      <c r="Z4466" s="20"/>
      <c r="AG4466" s="20"/>
      <c r="AQ4466" s="19"/>
      <c r="AR4466" s="19"/>
      <c r="AS4466" s="19"/>
      <c r="AT4466" s="19"/>
      <c r="AU4466" s="19"/>
    </row>
    <row r="4467" spans="3:47">
      <c r="C4467" s="20"/>
      <c r="Z4467" s="20"/>
      <c r="AG4467" s="20"/>
      <c r="AQ4467" s="19"/>
      <c r="AR4467" s="19"/>
      <c r="AS4467" s="19"/>
      <c r="AT4467" s="19"/>
      <c r="AU4467" s="19"/>
    </row>
    <row r="4468" spans="3:47">
      <c r="C4468" s="20"/>
      <c r="Z4468" s="20"/>
      <c r="AG4468" s="20"/>
      <c r="AQ4468" s="19"/>
      <c r="AR4468" s="19"/>
      <c r="AS4468" s="19"/>
      <c r="AT4468" s="19"/>
      <c r="AU4468" s="19"/>
    </row>
    <row r="4469" spans="3:47">
      <c r="C4469" s="20"/>
      <c r="Z4469" s="20"/>
      <c r="AG4469" s="20"/>
      <c r="AQ4469" s="19"/>
      <c r="AR4469" s="19"/>
      <c r="AS4469" s="19"/>
      <c r="AT4469" s="19"/>
      <c r="AU4469" s="19"/>
    </row>
    <row r="4470" spans="3:47">
      <c r="C4470" s="20"/>
      <c r="Z4470" s="20"/>
      <c r="AG4470" s="20"/>
      <c r="AQ4470" s="19"/>
      <c r="AR4470" s="19"/>
      <c r="AS4470" s="19"/>
      <c r="AT4470" s="19"/>
      <c r="AU4470" s="19"/>
    </row>
    <row r="4471" spans="3:47">
      <c r="C4471" s="20"/>
      <c r="Z4471" s="20"/>
      <c r="AG4471" s="20"/>
      <c r="AQ4471" s="19"/>
      <c r="AR4471" s="19"/>
      <c r="AS4471" s="19"/>
      <c r="AT4471" s="19"/>
      <c r="AU4471" s="19"/>
    </row>
    <row r="4472" spans="3:47">
      <c r="C4472" s="20"/>
      <c r="Z4472" s="20"/>
      <c r="AG4472" s="20"/>
      <c r="AQ4472" s="19"/>
      <c r="AR4472" s="19"/>
      <c r="AS4472" s="19"/>
      <c r="AT4472" s="19"/>
      <c r="AU4472" s="19"/>
    </row>
    <row r="4473" spans="3:47">
      <c r="C4473" s="20"/>
      <c r="Z4473" s="20"/>
      <c r="AG4473" s="20"/>
      <c r="AQ4473" s="19"/>
      <c r="AR4473" s="19"/>
      <c r="AS4473" s="19"/>
      <c r="AT4473" s="19"/>
      <c r="AU4473" s="19"/>
    </row>
    <row r="4474" spans="3:47">
      <c r="C4474" s="20"/>
      <c r="Z4474" s="20"/>
      <c r="AG4474" s="20"/>
      <c r="AQ4474" s="19"/>
      <c r="AR4474" s="19"/>
      <c r="AS4474" s="19"/>
      <c r="AT4474" s="19"/>
      <c r="AU4474" s="19"/>
    </row>
    <row r="4475" spans="3:47">
      <c r="C4475" s="20"/>
      <c r="Z4475" s="20"/>
      <c r="AG4475" s="20"/>
      <c r="AQ4475" s="19"/>
      <c r="AR4475" s="19"/>
      <c r="AS4475" s="19"/>
      <c r="AT4475" s="19"/>
      <c r="AU4475" s="19"/>
    </row>
    <row r="4476" spans="3:47">
      <c r="C4476" s="20"/>
      <c r="Z4476" s="20"/>
      <c r="AG4476" s="20"/>
      <c r="AQ4476" s="19"/>
      <c r="AR4476" s="19"/>
      <c r="AS4476" s="19"/>
      <c r="AT4476" s="19"/>
      <c r="AU4476" s="19"/>
    </row>
    <row r="4477" spans="3:47">
      <c r="C4477" s="20"/>
      <c r="Z4477" s="20"/>
      <c r="AG4477" s="20"/>
      <c r="AQ4477" s="19"/>
      <c r="AR4477" s="19"/>
      <c r="AS4477" s="19"/>
      <c r="AT4477" s="19"/>
      <c r="AU4477" s="19"/>
    </row>
    <row r="4478" spans="3:47">
      <c r="C4478" s="20"/>
      <c r="Z4478" s="20"/>
      <c r="AG4478" s="20"/>
      <c r="AQ4478" s="19"/>
      <c r="AR4478" s="19"/>
      <c r="AS4478" s="19"/>
      <c r="AT4478" s="19"/>
      <c r="AU4478" s="19"/>
    </row>
    <row r="4479" spans="3:47">
      <c r="C4479" s="20"/>
      <c r="Z4479" s="20"/>
      <c r="AG4479" s="20"/>
      <c r="AQ4479" s="19"/>
      <c r="AR4479" s="19"/>
      <c r="AS4479" s="19"/>
      <c r="AT4479" s="19"/>
      <c r="AU4479" s="19"/>
    </row>
    <row r="4480" spans="3:47">
      <c r="C4480" s="20"/>
      <c r="Z4480" s="20"/>
      <c r="AG4480" s="20"/>
      <c r="AQ4480" s="19"/>
      <c r="AR4480" s="19"/>
      <c r="AS4480" s="19"/>
      <c r="AT4480" s="19"/>
      <c r="AU4480" s="19"/>
    </row>
    <row r="4481" spans="3:47">
      <c r="C4481" s="20"/>
      <c r="Z4481" s="20"/>
      <c r="AG4481" s="20"/>
      <c r="AQ4481" s="19"/>
      <c r="AR4481" s="19"/>
      <c r="AS4481" s="19"/>
      <c r="AT4481" s="19"/>
      <c r="AU4481" s="19"/>
    </row>
    <row r="4482" spans="3:47">
      <c r="C4482" s="20"/>
      <c r="Z4482" s="20"/>
      <c r="AG4482" s="20"/>
      <c r="AQ4482" s="19"/>
      <c r="AR4482" s="19"/>
      <c r="AS4482" s="19"/>
      <c r="AT4482" s="19"/>
      <c r="AU4482" s="19"/>
    </row>
    <row r="4483" spans="3:47">
      <c r="C4483" s="20"/>
      <c r="Z4483" s="20"/>
      <c r="AG4483" s="20"/>
      <c r="AQ4483" s="19"/>
      <c r="AR4483" s="19"/>
      <c r="AS4483" s="19"/>
      <c r="AT4483" s="19"/>
      <c r="AU4483" s="19"/>
    </row>
    <row r="4484" spans="3:47">
      <c r="C4484" s="20"/>
      <c r="Z4484" s="20"/>
      <c r="AG4484" s="20"/>
      <c r="AQ4484" s="19"/>
      <c r="AR4484" s="19"/>
      <c r="AS4484" s="19"/>
      <c r="AT4484" s="19"/>
      <c r="AU4484" s="19"/>
    </row>
    <row r="4485" spans="3:47">
      <c r="C4485" s="20"/>
      <c r="Z4485" s="20"/>
      <c r="AG4485" s="20"/>
      <c r="AQ4485" s="19"/>
      <c r="AR4485" s="19"/>
      <c r="AS4485" s="19"/>
      <c r="AT4485" s="19"/>
      <c r="AU4485" s="19"/>
    </row>
    <row r="4486" spans="3:47">
      <c r="C4486" s="20"/>
      <c r="Z4486" s="20"/>
      <c r="AG4486" s="20"/>
      <c r="AQ4486" s="19"/>
      <c r="AR4486" s="19"/>
      <c r="AS4486" s="19"/>
      <c r="AT4486" s="19"/>
      <c r="AU4486" s="19"/>
    </row>
    <row r="4487" spans="3:47">
      <c r="C4487" s="20"/>
      <c r="Z4487" s="20"/>
      <c r="AG4487" s="20"/>
      <c r="AQ4487" s="19"/>
      <c r="AR4487" s="19"/>
      <c r="AS4487" s="19"/>
      <c r="AT4487" s="19"/>
      <c r="AU4487" s="19"/>
    </row>
    <row r="4488" spans="3:47">
      <c r="C4488" s="20"/>
      <c r="Z4488" s="20"/>
      <c r="AG4488" s="20"/>
      <c r="AQ4488" s="19"/>
      <c r="AR4488" s="19"/>
      <c r="AS4488" s="19"/>
      <c r="AT4488" s="19"/>
      <c r="AU4488" s="19"/>
    </row>
    <row r="4489" spans="3:47">
      <c r="C4489" s="20"/>
      <c r="Z4489" s="20"/>
      <c r="AG4489" s="20"/>
      <c r="AQ4489" s="19"/>
      <c r="AR4489" s="19"/>
      <c r="AS4489" s="19"/>
      <c r="AT4489" s="19"/>
      <c r="AU4489" s="19"/>
    </row>
    <row r="4490" spans="3:47">
      <c r="C4490" s="20"/>
      <c r="Z4490" s="20"/>
      <c r="AG4490" s="20"/>
      <c r="AQ4490" s="19"/>
      <c r="AR4490" s="19"/>
      <c r="AS4490" s="19"/>
      <c r="AT4490" s="19"/>
      <c r="AU4490" s="19"/>
    </row>
    <row r="4491" spans="3:47">
      <c r="C4491" s="20"/>
      <c r="Z4491" s="20"/>
      <c r="AG4491" s="20"/>
      <c r="AQ4491" s="19"/>
      <c r="AR4491" s="19"/>
      <c r="AS4491" s="19"/>
      <c r="AT4491" s="19"/>
      <c r="AU4491" s="19"/>
    </row>
    <row r="4492" spans="3:47">
      <c r="C4492" s="20"/>
      <c r="Z4492" s="20"/>
      <c r="AG4492" s="20"/>
      <c r="AQ4492" s="19"/>
      <c r="AR4492" s="19"/>
      <c r="AS4492" s="19"/>
      <c r="AT4492" s="19"/>
      <c r="AU4492" s="19"/>
    </row>
    <row r="4493" spans="3:47">
      <c r="C4493" s="20"/>
      <c r="Z4493" s="20"/>
      <c r="AG4493" s="20"/>
      <c r="AQ4493" s="19"/>
      <c r="AR4493" s="19"/>
      <c r="AS4493" s="19"/>
      <c r="AT4493" s="19"/>
      <c r="AU4493" s="19"/>
    </row>
    <row r="4494" spans="3:47">
      <c r="C4494" s="20"/>
      <c r="Z4494" s="20"/>
      <c r="AG4494" s="20"/>
      <c r="AQ4494" s="19"/>
      <c r="AR4494" s="19"/>
      <c r="AS4494" s="19"/>
      <c r="AT4494" s="19"/>
      <c r="AU4494" s="19"/>
    </row>
    <row r="4495" spans="3:47">
      <c r="C4495" s="20"/>
      <c r="Z4495" s="20"/>
      <c r="AG4495" s="20"/>
      <c r="AQ4495" s="19"/>
      <c r="AR4495" s="19"/>
      <c r="AS4495" s="19"/>
      <c r="AT4495" s="19"/>
      <c r="AU4495" s="19"/>
    </row>
    <row r="4496" spans="3:47">
      <c r="C4496" s="20"/>
      <c r="Z4496" s="20"/>
      <c r="AG4496" s="20"/>
      <c r="AQ4496" s="19"/>
      <c r="AR4496" s="19"/>
      <c r="AS4496" s="19"/>
      <c r="AT4496" s="19"/>
      <c r="AU4496" s="19"/>
    </row>
    <row r="4497" spans="3:47">
      <c r="C4497" s="20"/>
      <c r="Z4497" s="20"/>
      <c r="AG4497" s="20"/>
      <c r="AQ4497" s="19"/>
      <c r="AR4497" s="19"/>
      <c r="AS4497" s="19"/>
      <c r="AT4497" s="19"/>
      <c r="AU4497" s="19"/>
    </row>
    <row r="4498" spans="3:47">
      <c r="C4498" s="20"/>
      <c r="Z4498" s="20"/>
      <c r="AG4498" s="20"/>
      <c r="AQ4498" s="19"/>
      <c r="AR4498" s="19"/>
      <c r="AS4498" s="19"/>
      <c r="AT4498" s="19"/>
      <c r="AU4498" s="19"/>
    </row>
    <row r="4499" spans="3:47">
      <c r="C4499" s="20"/>
      <c r="Z4499" s="20"/>
      <c r="AG4499" s="20"/>
      <c r="AQ4499" s="19"/>
      <c r="AR4499" s="19"/>
      <c r="AS4499" s="19"/>
      <c r="AT4499" s="19"/>
      <c r="AU4499" s="19"/>
    </row>
    <row r="4500" spans="3:47">
      <c r="C4500" s="20"/>
      <c r="Z4500" s="20"/>
      <c r="AG4500" s="20"/>
      <c r="AQ4500" s="19"/>
      <c r="AR4500" s="19"/>
      <c r="AS4500" s="19"/>
      <c r="AT4500" s="19"/>
      <c r="AU4500" s="19"/>
    </row>
    <row r="4501" spans="3:47">
      <c r="C4501" s="20"/>
      <c r="Z4501" s="20"/>
      <c r="AG4501" s="20"/>
      <c r="AQ4501" s="19"/>
      <c r="AR4501" s="19"/>
      <c r="AS4501" s="19"/>
      <c r="AT4501" s="19"/>
      <c r="AU4501" s="19"/>
    </row>
    <row r="4502" spans="3:47">
      <c r="C4502" s="20"/>
      <c r="Z4502" s="20"/>
      <c r="AG4502" s="20"/>
      <c r="AQ4502" s="19"/>
      <c r="AR4502" s="19"/>
      <c r="AS4502" s="19"/>
      <c r="AT4502" s="19"/>
      <c r="AU4502" s="19"/>
    </row>
    <row r="4503" spans="3:47">
      <c r="C4503" s="20"/>
      <c r="Z4503" s="20"/>
      <c r="AG4503" s="20"/>
      <c r="AQ4503" s="19"/>
      <c r="AR4503" s="19"/>
      <c r="AS4503" s="19"/>
      <c r="AT4503" s="19"/>
      <c r="AU4503" s="19"/>
    </row>
    <row r="4504" spans="3:47">
      <c r="C4504" s="20"/>
      <c r="Z4504" s="20"/>
      <c r="AG4504" s="20"/>
      <c r="AQ4504" s="19"/>
      <c r="AR4504" s="19"/>
      <c r="AS4504" s="19"/>
      <c r="AT4504" s="19"/>
      <c r="AU4504" s="19"/>
    </row>
    <row r="4505" spans="3:47">
      <c r="C4505" s="20"/>
      <c r="Z4505" s="20"/>
      <c r="AG4505" s="20"/>
      <c r="AQ4505" s="19"/>
      <c r="AR4505" s="19"/>
      <c r="AS4505" s="19"/>
      <c r="AT4505" s="19"/>
      <c r="AU4505" s="19"/>
    </row>
    <row r="4506" spans="3:47">
      <c r="C4506" s="20"/>
      <c r="Z4506" s="20"/>
      <c r="AG4506" s="20"/>
      <c r="AQ4506" s="19"/>
      <c r="AR4506" s="19"/>
      <c r="AS4506" s="19"/>
      <c r="AT4506" s="19"/>
      <c r="AU4506" s="19"/>
    </row>
    <row r="4507" spans="3:47">
      <c r="C4507" s="20"/>
      <c r="Z4507" s="20"/>
      <c r="AG4507" s="20"/>
      <c r="AQ4507" s="19"/>
      <c r="AR4507" s="19"/>
      <c r="AS4507" s="19"/>
      <c r="AT4507" s="19"/>
      <c r="AU4507" s="19"/>
    </row>
    <row r="4508" spans="3:47">
      <c r="C4508" s="20"/>
      <c r="Z4508" s="20"/>
      <c r="AG4508" s="20"/>
      <c r="AQ4508" s="19"/>
      <c r="AR4508" s="19"/>
      <c r="AS4508" s="19"/>
      <c r="AT4508" s="19"/>
      <c r="AU4508" s="19"/>
    </row>
    <row r="4509" spans="3:47">
      <c r="C4509" s="20"/>
      <c r="Z4509" s="20"/>
      <c r="AG4509" s="20"/>
      <c r="AQ4509" s="19"/>
      <c r="AR4509" s="19"/>
      <c r="AS4509" s="19"/>
      <c r="AT4509" s="19"/>
      <c r="AU4509" s="19"/>
    </row>
    <row r="4510" spans="3:47">
      <c r="C4510" s="20"/>
      <c r="Z4510" s="20"/>
      <c r="AG4510" s="20"/>
      <c r="AQ4510" s="19"/>
      <c r="AR4510" s="19"/>
      <c r="AS4510" s="19"/>
      <c r="AT4510" s="19"/>
      <c r="AU4510" s="19"/>
    </row>
    <row r="4511" spans="3:47">
      <c r="C4511" s="20"/>
      <c r="Z4511" s="20"/>
      <c r="AG4511" s="20"/>
      <c r="AQ4511" s="19"/>
      <c r="AR4511" s="19"/>
      <c r="AS4511" s="19"/>
      <c r="AT4511" s="19"/>
      <c r="AU4511" s="19"/>
    </row>
    <row r="4512" spans="3:47">
      <c r="C4512" s="20"/>
      <c r="Z4512" s="20"/>
      <c r="AG4512" s="20"/>
      <c r="AQ4512" s="19"/>
      <c r="AR4512" s="19"/>
      <c r="AS4512" s="19"/>
      <c r="AT4512" s="19"/>
      <c r="AU4512" s="19"/>
    </row>
    <row r="4513" spans="3:47">
      <c r="C4513" s="20"/>
      <c r="Z4513" s="20"/>
      <c r="AG4513" s="20"/>
      <c r="AQ4513" s="19"/>
      <c r="AR4513" s="19"/>
      <c r="AS4513" s="19"/>
      <c r="AT4513" s="19"/>
      <c r="AU4513" s="19"/>
    </row>
    <row r="4514" spans="3:47">
      <c r="C4514" s="20"/>
      <c r="Z4514" s="20"/>
      <c r="AG4514" s="20"/>
      <c r="AQ4514" s="19"/>
      <c r="AR4514" s="19"/>
      <c r="AS4514" s="19"/>
      <c r="AT4514" s="19"/>
      <c r="AU4514" s="19"/>
    </row>
    <row r="4515" spans="3:47">
      <c r="C4515" s="20"/>
      <c r="Z4515" s="20"/>
      <c r="AG4515" s="20"/>
      <c r="AQ4515" s="19"/>
      <c r="AR4515" s="19"/>
      <c r="AS4515" s="19"/>
      <c r="AT4515" s="19"/>
      <c r="AU4515" s="19"/>
    </row>
    <row r="4516" spans="3:47">
      <c r="C4516" s="20"/>
      <c r="Z4516" s="20"/>
      <c r="AG4516" s="20"/>
      <c r="AQ4516" s="19"/>
      <c r="AR4516" s="19"/>
      <c r="AS4516" s="19"/>
      <c r="AT4516" s="19"/>
      <c r="AU4516" s="19"/>
    </row>
    <row r="4517" spans="3:47">
      <c r="C4517" s="20"/>
      <c r="Z4517" s="20"/>
      <c r="AG4517" s="20"/>
      <c r="AQ4517" s="19"/>
      <c r="AR4517" s="19"/>
      <c r="AS4517" s="19"/>
      <c r="AT4517" s="19"/>
      <c r="AU4517" s="19"/>
    </row>
    <row r="4518" spans="3:47">
      <c r="C4518" s="20"/>
      <c r="Z4518" s="20"/>
      <c r="AG4518" s="20"/>
      <c r="AQ4518" s="19"/>
      <c r="AR4518" s="19"/>
      <c r="AS4518" s="19"/>
      <c r="AT4518" s="19"/>
      <c r="AU4518" s="19"/>
    </row>
    <row r="4519" spans="3:47">
      <c r="C4519" s="20"/>
      <c r="Z4519" s="20"/>
      <c r="AG4519" s="20"/>
      <c r="AQ4519" s="19"/>
      <c r="AR4519" s="19"/>
      <c r="AS4519" s="19"/>
      <c r="AT4519" s="19"/>
      <c r="AU4519" s="19"/>
    </row>
    <row r="4520" spans="3:47">
      <c r="C4520" s="20"/>
      <c r="Z4520" s="20"/>
      <c r="AG4520" s="20"/>
      <c r="AQ4520" s="19"/>
      <c r="AR4520" s="19"/>
      <c r="AS4520" s="19"/>
      <c r="AT4520" s="19"/>
      <c r="AU4520" s="19"/>
    </row>
    <row r="4521" spans="3:47">
      <c r="C4521" s="20"/>
      <c r="Z4521" s="20"/>
      <c r="AG4521" s="20"/>
      <c r="AQ4521" s="19"/>
      <c r="AR4521" s="19"/>
      <c r="AS4521" s="19"/>
      <c r="AT4521" s="19"/>
      <c r="AU4521" s="19"/>
    </row>
    <row r="4522" spans="3:47">
      <c r="C4522" s="20"/>
      <c r="Z4522" s="20"/>
      <c r="AG4522" s="20"/>
      <c r="AQ4522" s="19"/>
      <c r="AR4522" s="19"/>
      <c r="AS4522" s="19"/>
      <c r="AT4522" s="19"/>
      <c r="AU4522" s="19"/>
    </row>
    <row r="4523" spans="3:47">
      <c r="C4523" s="20"/>
      <c r="Z4523" s="20"/>
      <c r="AG4523" s="20"/>
      <c r="AQ4523" s="19"/>
      <c r="AR4523" s="19"/>
      <c r="AS4523" s="19"/>
      <c r="AT4523" s="19"/>
      <c r="AU4523" s="19"/>
    </row>
    <row r="4524" spans="3:47">
      <c r="C4524" s="20"/>
      <c r="Z4524" s="20"/>
      <c r="AG4524" s="20"/>
      <c r="AQ4524" s="19"/>
      <c r="AR4524" s="19"/>
      <c r="AS4524" s="19"/>
      <c r="AT4524" s="19"/>
      <c r="AU4524" s="19"/>
    </row>
    <row r="4525" spans="3:47">
      <c r="C4525" s="20"/>
      <c r="Z4525" s="20"/>
      <c r="AG4525" s="20"/>
      <c r="AQ4525" s="19"/>
      <c r="AR4525" s="19"/>
      <c r="AS4525" s="19"/>
      <c r="AT4525" s="19"/>
      <c r="AU4525" s="19"/>
    </row>
    <row r="4526" spans="3:47">
      <c r="C4526" s="20"/>
      <c r="Z4526" s="20"/>
      <c r="AG4526" s="20"/>
      <c r="AQ4526" s="19"/>
      <c r="AR4526" s="19"/>
      <c r="AS4526" s="19"/>
      <c r="AT4526" s="19"/>
      <c r="AU4526" s="19"/>
    </row>
    <row r="4527" spans="3:47">
      <c r="C4527" s="20"/>
      <c r="Z4527" s="20"/>
      <c r="AG4527" s="20"/>
      <c r="AQ4527" s="19"/>
      <c r="AR4527" s="19"/>
      <c r="AS4527" s="19"/>
      <c r="AT4527" s="19"/>
      <c r="AU4527" s="19"/>
    </row>
    <row r="4528" spans="3:47">
      <c r="C4528" s="20"/>
      <c r="Z4528" s="20"/>
      <c r="AG4528" s="20"/>
      <c r="AQ4528" s="19"/>
      <c r="AR4528" s="19"/>
      <c r="AS4528" s="19"/>
      <c r="AT4528" s="19"/>
      <c r="AU4528" s="19"/>
    </row>
    <row r="4529" spans="3:47">
      <c r="C4529" s="20"/>
      <c r="Z4529" s="20"/>
      <c r="AG4529" s="20"/>
      <c r="AQ4529" s="19"/>
      <c r="AR4529" s="19"/>
      <c r="AS4529" s="19"/>
      <c r="AT4529" s="19"/>
      <c r="AU4529" s="19"/>
    </row>
    <row r="4530" spans="3:47">
      <c r="C4530" s="20"/>
      <c r="Z4530" s="20"/>
      <c r="AG4530" s="20"/>
      <c r="AQ4530" s="19"/>
      <c r="AR4530" s="19"/>
      <c r="AS4530" s="19"/>
      <c r="AT4530" s="19"/>
      <c r="AU4530" s="19"/>
    </row>
    <row r="4531" spans="3:47">
      <c r="C4531" s="20"/>
      <c r="Z4531" s="20"/>
      <c r="AG4531" s="20"/>
      <c r="AQ4531" s="19"/>
      <c r="AR4531" s="19"/>
      <c r="AS4531" s="19"/>
      <c r="AT4531" s="19"/>
      <c r="AU4531" s="19"/>
    </row>
    <row r="4532" spans="3:47">
      <c r="C4532" s="20"/>
      <c r="Z4532" s="20"/>
      <c r="AG4532" s="20"/>
      <c r="AQ4532" s="19"/>
      <c r="AR4532" s="19"/>
      <c r="AS4532" s="19"/>
      <c r="AT4532" s="19"/>
      <c r="AU4532" s="19"/>
    </row>
    <row r="4533" spans="3:47">
      <c r="C4533" s="20"/>
      <c r="Z4533" s="20"/>
      <c r="AG4533" s="20"/>
      <c r="AQ4533" s="19"/>
      <c r="AR4533" s="19"/>
      <c r="AS4533" s="19"/>
      <c r="AT4533" s="19"/>
      <c r="AU4533" s="19"/>
    </row>
    <row r="4534" spans="3:47">
      <c r="C4534" s="20"/>
      <c r="Z4534" s="20"/>
      <c r="AG4534" s="20"/>
      <c r="AQ4534" s="19"/>
      <c r="AR4534" s="19"/>
      <c r="AS4534" s="19"/>
      <c r="AT4534" s="19"/>
      <c r="AU4534" s="19"/>
    </row>
    <row r="4535" spans="3:47">
      <c r="C4535" s="20"/>
      <c r="Z4535" s="20"/>
      <c r="AG4535" s="20"/>
      <c r="AQ4535" s="19"/>
      <c r="AR4535" s="19"/>
      <c r="AS4535" s="19"/>
      <c r="AT4535" s="19"/>
      <c r="AU4535" s="19"/>
    </row>
    <row r="4536" spans="3:47">
      <c r="C4536" s="20"/>
      <c r="Z4536" s="20"/>
      <c r="AG4536" s="20"/>
      <c r="AQ4536" s="19"/>
      <c r="AR4536" s="19"/>
      <c r="AS4536" s="19"/>
      <c r="AT4536" s="19"/>
      <c r="AU4536" s="19"/>
    </row>
    <row r="4537" spans="3:47">
      <c r="C4537" s="20"/>
      <c r="Z4537" s="20"/>
      <c r="AG4537" s="20"/>
      <c r="AQ4537" s="19"/>
      <c r="AR4537" s="19"/>
      <c r="AS4537" s="19"/>
      <c r="AT4537" s="19"/>
      <c r="AU4537" s="19"/>
    </row>
    <row r="4538" spans="3:47">
      <c r="C4538" s="20"/>
      <c r="Z4538" s="20"/>
      <c r="AG4538" s="20"/>
      <c r="AQ4538" s="19"/>
      <c r="AR4538" s="19"/>
      <c r="AS4538" s="19"/>
      <c r="AT4538" s="19"/>
      <c r="AU4538" s="19"/>
    </row>
    <row r="4539" spans="3:47">
      <c r="C4539" s="20"/>
      <c r="Z4539" s="20"/>
      <c r="AG4539" s="20"/>
      <c r="AQ4539" s="19"/>
      <c r="AR4539" s="19"/>
      <c r="AS4539" s="19"/>
      <c r="AT4539" s="19"/>
      <c r="AU4539" s="19"/>
    </row>
    <row r="4540" spans="3:47">
      <c r="C4540" s="20"/>
      <c r="Z4540" s="20"/>
      <c r="AG4540" s="20"/>
      <c r="AQ4540" s="19"/>
      <c r="AR4540" s="19"/>
      <c r="AS4540" s="19"/>
      <c r="AT4540" s="19"/>
      <c r="AU4540" s="19"/>
    </row>
    <row r="4541" spans="3:47">
      <c r="C4541" s="20"/>
      <c r="Z4541" s="20"/>
      <c r="AG4541" s="20"/>
      <c r="AQ4541" s="19"/>
      <c r="AR4541" s="19"/>
      <c r="AS4541" s="19"/>
      <c r="AT4541" s="19"/>
      <c r="AU4541" s="19"/>
    </row>
    <row r="4542" spans="3:47">
      <c r="C4542" s="20"/>
      <c r="Z4542" s="20"/>
      <c r="AG4542" s="20"/>
      <c r="AQ4542" s="19"/>
      <c r="AR4542" s="19"/>
      <c r="AS4542" s="19"/>
      <c r="AT4542" s="19"/>
      <c r="AU4542" s="19"/>
    </row>
    <row r="4543" spans="3:47">
      <c r="C4543" s="20"/>
      <c r="Z4543" s="20"/>
      <c r="AG4543" s="20"/>
      <c r="AQ4543" s="19"/>
      <c r="AR4543" s="19"/>
      <c r="AS4543" s="19"/>
      <c r="AT4543" s="19"/>
      <c r="AU4543" s="19"/>
    </row>
    <row r="4544" spans="3:47">
      <c r="C4544" s="20"/>
      <c r="Z4544" s="20"/>
      <c r="AG4544" s="20"/>
      <c r="AQ4544" s="19"/>
      <c r="AR4544" s="19"/>
      <c r="AS4544" s="19"/>
      <c r="AT4544" s="19"/>
      <c r="AU4544" s="19"/>
    </row>
    <row r="4545" spans="3:47">
      <c r="C4545" s="20"/>
      <c r="Z4545" s="20"/>
      <c r="AG4545" s="20"/>
      <c r="AQ4545" s="19"/>
      <c r="AR4545" s="19"/>
      <c r="AS4545" s="19"/>
      <c r="AT4545" s="19"/>
      <c r="AU4545" s="19"/>
    </row>
    <row r="4546" spans="3:47">
      <c r="C4546" s="20"/>
      <c r="Z4546" s="20"/>
      <c r="AG4546" s="20"/>
      <c r="AQ4546" s="19"/>
      <c r="AR4546" s="19"/>
      <c r="AS4546" s="19"/>
      <c r="AT4546" s="19"/>
      <c r="AU4546" s="19"/>
    </row>
    <row r="4547" spans="3:47">
      <c r="C4547" s="20"/>
      <c r="Z4547" s="20"/>
      <c r="AG4547" s="20"/>
      <c r="AQ4547" s="19"/>
      <c r="AR4547" s="19"/>
      <c r="AS4547" s="19"/>
      <c r="AT4547" s="19"/>
      <c r="AU4547" s="19"/>
    </row>
    <row r="4548" spans="3:47">
      <c r="C4548" s="20"/>
      <c r="Z4548" s="20"/>
      <c r="AG4548" s="20"/>
      <c r="AQ4548" s="19"/>
      <c r="AR4548" s="19"/>
      <c r="AS4548" s="19"/>
      <c r="AT4548" s="19"/>
      <c r="AU4548" s="19"/>
    </row>
    <row r="4549" spans="3:47">
      <c r="C4549" s="20"/>
      <c r="Z4549" s="20"/>
      <c r="AG4549" s="20"/>
      <c r="AQ4549" s="19"/>
      <c r="AR4549" s="19"/>
      <c r="AS4549" s="19"/>
      <c r="AT4549" s="19"/>
      <c r="AU4549" s="19"/>
    </row>
    <row r="4550" spans="3:47">
      <c r="C4550" s="20"/>
      <c r="Z4550" s="20"/>
      <c r="AG4550" s="20"/>
      <c r="AQ4550" s="19"/>
      <c r="AR4550" s="19"/>
      <c r="AS4550" s="19"/>
      <c r="AT4550" s="19"/>
      <c r="AU4550" s="19"/>
    </row>
    <row r="4551" spans="3:47">
      <c r="C4551" s="20"/>
      <c r="Z4551" s="20"/>
      <c r="AG4551" s="20"/>
      <c r="AQ4551" s="19"/>
      <c r="AR4551" s="19"/>
      <c r="AS4551" s="19"/>
      <c r="AT4551" s="19"/>
      <c r="AU4551" s="19"/>
    </row>
    <row r="4552" spans="3:47">
      <c r="C4552" s="20"/>
      <c r="Z4552" s="20"/>
      <c r="AG4552" s="20"/>
      <c r="AQ4552" s="19"/>
      <c r="AR4552" s="19"/>
      <c r="AS4552" s="19"/>
      <c r="AT4552" s="19"/>
      <c r="AU4552" s="19"/>
    </row>
    <row r="4553" spans="3:47">
      <c r="C4553" s="20"/>
      <c r="Z4553" s="20"/>
      <c r="AG4553" s="20"/>
      <c r="AQ4553" s="19"/>
      <c r="AR4553" s="19"/>
      <c r="AS4553" s="19"/>
      <c r="AT4553" s="19"/>
      <c r="AU4553" s="19"/>
    </row>
    <row r="4554" spans="3:47">
      <c r="C4554" s="20"/>
      <c r="Z4554" s="20"/>
      <c r="AG4554" s="20"/>
      <c r="AQ4554" s="19"/>
      <c r="AR4554" s="19"/>
      <c r="AS4554" s="19"/>
      <c r="AT4554" s="19"/>
      <c r="AU4554" s="19"/>
    </row>
    <row r="4555" spans="3:47">
      <c r="C4555" s="20"/>
      <c r="Z4555" s="20"/>
      <c r="AG4555" s="20"/>
      <c r="AQ4555" s="19"/>
      <c r="AR4555" s="19"/>
      <c r="AS4555" s="19"/>
      <c r="AT4555" s="19"/>
      <c r="AU4555" s="19"/>
    </row>
    <row r="4556" spans="3:47">
      <c r="C4556" s="20"/>
      <c r="Z4556" s="20"/>
      <c r="AG4556" s="20"/>
      <c r="AQ4556" s="19"/>
      <c r="AR4556" s="19"/>
      <c r="AS4556" s="19"/>
      <c r="AT4556" s="19"/>
      <c r="AU4556" s="19"/>
    </row>
    <row r="4557" spans="3:47">
      <c r="C4557" s="20"/>
      <c r="Z4557" s="20"/>
      <c r="AG4557" s="20"/>
      <c r="AQ4557" s="19"/>
      <c r="AR4557" s="19"/>
      <c r="AS4557" s="19"/>
      <c r="AT4557" s="19"/>
      <c r="AU4557" s="19"/>
    </row>
    <row r="4558" spans="3:47">
      <c r="C4558" s="20"/>
      <c r="Z4558" s="20"/>
      <c r="AG4558" s="20"/>
      <c r="AQ4558" s="19"/>
      <c r="AR4558" s="19"/>
      <c r="AS4558" s="19"/>
      <c r="AT4558" s="19"/>
      <c r="AU4558" s="19"/>
    </row>
    <row r="4559" spans="3:47">
      <c r="C4559" s="20"/>
      <c r="Z4559" s="20"/>
      <c r="AG4559" s="20"/>
      <c r="AQ4559" s="19"/>
      <c r="AR4559" s="19"/>
      <c r="AS4559" s="19"/>
      <c r="AT4559" s="19"/>
      <c r="AU4559" s="19"/>
    </row>
    <row r="4560" spans="3:47">
      <c r="C4560" s="20"/>
      <c r="Z4560" s="20"/>
      <c r="AG4560" s="20"/>
      <c r="AQ4560" s="19"/>
      <c r="AR4560" s="19"/>
      <c r="AS4560" s="19"/>
      <c r="AT4560" s="19"/>
      <c r="AU4560" s="19"/>
    </row>
    <row r="4561" spans="3:47">
      <c r="C4561" s="20"/>
      <c r="Z4561" s="20"/>
      <c r="AG4561" s="20"/>
      <c r="AQ4561" s="19"/>
      <c r="AR4561" s="19"/>
      <c r="AS4561" s="19"/>
      <c r="AT4561" s="19"/>
      <c r="AU4561" s="19"/>
    </row>
    <row r="4562" spans="3:47">
      <c r="C4562" s="20"/>
      <c r="Z4562" s="20"/>
      <c r="AG4562" s="20"/>
      <c r="AQ4562" s="19"/>
      <c r="AR4562" s="19"/>
      <c r="AS4562" s="19"/>
      <c r="AT4562" s="19"/>
      <c r="AU4562" s="19"/>
    </row>
    <row r="4563" spans="3:47">
      <c r="C4563" s="20"/>
      <c r="Z4563" s="20"/>
      <c r="AG4563" s="20"/>
      <c r="AQ4563" s="19"/>
      <c r="AR4563" s="19"/>
      <c r="AS4563" s="19"/>
      <c r="AT4563" s="19"/>
      <c r="AU4563" s="19"/>
    </row>
    <row r="4564" spans="3:47">
      <c r="C4564" s="20"/>
      <c r="Z4564" s="20"/>
      <c r="AG4564" s="20"/>
      <c r="AQ4564" s="19"/>
      <c r="AR4564" s="19"/>
      <c r="AS4564" s="19"/>
      <c r="AT4564" s="19"/>
      <c r="AU4564" s="19"/>
    </row>
    <row r="4565" spans="3:47">
      <c r="C4565" s="20"/>
      <c r="Z4565" s="20"/>
      <c r="AG4565" s="20"/>
      <c r="AQ4565" s="19"/>
      <c r="AR4565" s="19"/>
      <c r="AS4565" s="19"/>
      <c r="AT4565" s="19"/>
      <c r="AU4565" s="19"/>
    </row>
    <row r="4566" spans="3:47">
      <c r="C4566" s="20"/>
      <c r="Z4566" s="20"/>
      <c r="AG4566" s="20"/>
      <c r="AQ4566" s="19"/>
      <c r="AR4566" s="19"/>
      <c r="AS4566" s="19"/>
      <c r="AT4566" s="19"/>
      <c r="AU4566" s="19"/>
    </row>
    <row r="4567" spans="3:47">
      <c r="C4567" s="20"/>
      <c r="Z4567" s="20"/>
      <c r="AG4567" s="20"/>
      <c r="AQ4567" s="19"/>
      <c r="AR4567" s="19"/>
      <c r="AS4567" s="19"/>
      <c r="AT4567" s="19"/>
      <c r="AU4567" s="19"/>
    </row>
    <row r="4568" spans="3:47">
      <c r="C4568" s="20"/>
      <c r="Z4568" s="20"/>
      <c r="AG4568" s="20"/>
      <c r="AQ4568" s="19"/>
      <c r="AR4568" s="19"/>
      <c r="AS4568" s="19"/>
      <c r="AT4568" s="19"/>
      <c r="AU4568" s="19"/>
    </row>
    <row r="4569" spans="3:47">
      <c r="C4569" s="20"/>
      <c r="Z4569" s="20"/>
      <c r="AG4569" s="20"/>
      <c r="AQ4569" s="19"/>
      <c r="AR4569" s="19"/>
      <c r="AS4569" s="19"/>
      <c r="AT4569" s="19"/>
      <c r="AU4569" s="19"/>
    </row>
    <row r="4570" spans="3:47">
      <c r="C4570" s="20"/>
      <c r="Z4570" s="20"/>
      <c r="AG4570" s="20"/>
      <c r="AQ4570" s="19"/>
      <c r="AR4570" s="19"/>
      <c r="AS4570" s="19"/>
      <c r="AT4570" s="19"/>
      <c r="AU4570" s="19"/>
    </row>
    <row r="4571" spans="3:47">
      <c r="C4571" s="20"/>
      <c r="Z4571" s="20"/>
      <c r="AG4571" s="20"/>
      <c r="AQ4571" s="19"/>
      <c r="AR4571" s="19"/>
      <c r="AS4571" s="19"/>
      <c r="AT4571" s="19"/>
      <c r="AU4571" s="19"/>
    </row>
    <row r="4572" spans="3:47">
      <c r="C4572" s="20"/>
      <c r="Z4572" s="20"/>
      <c r="AG4572" s="20"/>
      <c r="AQ4572" s="19"/>
      <c r="AR4572" s="19"/>
      <c r="AS4572" s="19"/>
      <c r="AT4572" s="19"/>
      <c r="AU4572" s="19"/>
    </row>
    <row r="4573" spans="3:47">
      <c r="C4573" s="20"/>
      <c r="Z4573" s="20"/>
      <c r="AG4573" s="20"/>
      <c r="AQ4573" s="19"/>
      <c r="AR4573" s="19"/>
      <c r="AS4573" s="19"/>
      <c r="AT4573" s="19"/>
      <c r="AU4573" s="19"/>
    </row>
    <row r="4574" spans="3:47">
      <c r="C4574" s="20"/>
      <c r="Z4574" s="20"/>
      <c r="AG4574" s="20"/>
      <c r="AQ4574" s="19"/>
      <c r="AR4574" s="19"/>
      <c r="AS4574" s="19"/>
      <c r="AT4574" s="19"/>
      <c r="AU4574" s="19"/>
    </row>
    <row r="4575" spans="3:47">
      <c r="C4575" s="20"/>
      <c r="Z4575" s="20"/>
      <c r="AG4575" s="20"/>
      <c r="AQ4575" s="19"/>
      <c r="AR4575" s="19"/>
      <c r="AS4575" s="19"/>
      <c r="AT4575" s="19"/>
      <c r="AU4575" s="19"/>
    </row>
    <row r="4576" spans="3:47">
      <c r="C4576" s="20"/>
      <c r="Z4576" s="20"/>
      <c r="AG4576" s="20"/>
      <c r="AQ4576" s="19"/>
      <c r="AR4576" s="19"/>
      <c r="AS4576" s="19"/>
      <c r="AT4576" s="19"/>
      <c r="AU4576" s="19"/>
    </row>
    <row r="4577" spans="3:47">
      <c r="C4577" s="20"/>
      <c r="Z4577" s="20"/>
      <c r="AG4577" s="20"/>
      <c r="AQ4577" s="19"/>
      <c r="AR4577" s="19"/>
      <c r="AS4577" s="19"/>
      <c r="AT4577" s="19"/>
      <c r="AU4577" s="19"/>
    </row>
    <row r="4578" spans="3:47">
      <c r="C4578" s="20"/>
      <c r="Z4578" s="20"/>
      <c r="AG4578" s="20"/>
      <c r="AQ4578" s="19"/>
      <c r="AR4578" s="19"/>
      <c r="AS4578" s="19"/>
      <c r="AT4578" s="19"/>
      <c r="AU4578" s="19"/>
    </row>
    <row r="4579" spans="3:47">
      <c r="C4579" s="20"/>
      <c r="Z4579" s="20"/>
      <c r="AG4579" s="20"/>
      <c r="AQ4579" s="19"/>
      <c r="AR4579" s="19"/>
      <c r="AS4579" s="19"/>
      <c r="AT4579" s="19"/>
      <c r="AU4579" s="19"/>
    </row>
    <row r="4580" spans="3:47">
      <c r="C4580" s="20"/>
      <c r="Z4580" s="20"/>
      <c r="AG4580" s="20"/>
      <c r="AQ4580" s="19"/>
      <c r="AR4580" s="19"/>
      <c r="AS4580" s="19"/>
      <c r="AT4580" s="19"/>
      <c r="AU4580" s="19"/>
    </row>
    <row r="4581" spans="3:47">
      <c r="C4581" s="20"/>
      <c r="Z4581" s="20"/>
      <c r="AG4581" s="20"/>
      <c r="AQ4581" s="19"/>
      <c r="AR4581" s="19"/>
      <c r="AS4581" s="19"/>
      <c r="AT4581" s="19"/>
      <c r="AU4581" s="19"/>
    </row>
    <row r="4582" spans="3:47">
      <c r="C4582" s="20"/>
      <c r="Z4582" s="20"/>
      <c r="AG4582" s="20"/>
      <c r="AQ4582" s="19"/>
      <c r="AR4582" s="19"/>
      <c r="AS4582" s="19"/>
      <c r="AT4582" s="19"/>
      <c r="AU4582" s="19"/>
    </row>
    <row r="4583" spans="3:47">
      <c r="C4583" s="20"/>
      <c r="Z4583" s="20"/>
      <c r="AG4583" s="20"/>
      <c r="AQ4583" s="19"/>
      <c r="AR4583" s="19"/>
      <c r="AS4583" s="19"/>
      <c r="AT4583" s="19"/>
      <c r="AU4583" s="19"/>
    </row>
    <row r="4584" spans="3:47">
      <c r="C4584" s="20"/>
      <c r="Z4584" s="20"/>
      <c r="AG4584" s="20"/>
      <c r="AQ4584" s="19"/>
      <c r="AR4584" s="19"/>
      <c r="AS4584" s="19"/>
      <c r="AT4584" s="19"/>
      <c r="AU4584" s="19"/>
    </row>
    <row r="4585" spans="3:47">
      <c r="C4585" s="20"/>
      <c r="Z4585" s="20"/>
      <c r="AG4585" s="20"/>
      <c r="AQ4585" s="19"/>
      <c r="AR4585" s="19"/>
      <c r="AS4585" s="19"/>
      <c r="AT4585" s="19"/>
      <c r="AU4585" s="19"/>
    </row>
    <row r="4586" spans="3:47">
      <c r="C4586" s="20"/>
      <c r="Z4586" s="20"/>
      <c r="AG4586" s="20"/>
      <c r="AQ4586" s="19"/>
      <c r="AR4586" s="19"/>
      <c r="AS4586" s="19"/>
      <c r="AT4586" s="19"/>
      <c r="AU4586" s="19"/>
    </row>
    <row r="4587" spans="3:47">
      <c r="C4587" s="20"/>
      <c r="Z4587" s="20"/>
      <c r="AG4587" s="20"/>
      <c r="AQ4587" s="19"/>
      <c r="AR4587" s="19"/>
      <c r="AS4587" s="19"/>
      <c r="AT4587" s="19"/>
      <c r="AU4587" s="19"/>
    </row>
    <row r="4588" spans="3:47">
      <c r="C4588" s="20"/>
      <c r="Z4588" s="20"/>
      <c r="AG4588" s="20"/>
      <c r="AQ4588" s="19"/>
      <c r="AR4588" s="19"/>
      <c r="AS4588" s="19"/>
      <c r="AT4588" s="19"/>
      <c r="AU4588" s="19"/>
    </row>
    <row r="4589" spans="3:47">
      <c r="C4589" s="20"/>
      <c r="Z4589" s="20"/>
      <c r="AG4589" s="20"/>
      <c r="AQ4589" s="19"/>
      <c r="AR4589" s="19"/>
      <c r="AS4589" s="19"/>
      <c r="AT4589" s="19"/>
      <c r="AU4589" s="19"/>
    </row>
    <row r="4590" spans="3:47">
      <c r="C4590" s="20"/>
      <c r="Z4590" s="20"/>
      <c r="AG4590" s="20"/>
      <c r="AQ4590" s="19"/>
      <c r="AR4590" s="19"/>
      <c r="AS4590" s="19"/>
      <c r="AT4590" s="19"/>
      <c r="AU4590" s="19"/>
    </row>
    <row r="4591" spans="3:47">
      <c r="C4591" s="20"/>
      <c r="Z4591" s="20"/>
      <c r="AG4591" s="20"/>
      <c r="AQ4591" s="19"/>
      <c r="AR4591" s="19"/>
      <c r="AS4591" s="19"/>
      <c r="AT4591" s="19"/>
      <c r="AU4591" s="19"/>
    </row>
    <row r="4592" spans="3:47">
      <c r="C4592" s="20"/>
      <c r="Z4592" s="20"/>
      <c r="AG4592" s="20"/>
      <c r="AQ4592" s="19"/>
      <c r="AR4592" s="19"/>
      <c r="AS4592" s="19"/>
      <c r="AT4592" s="19"/>
      <c r="AU4592" s="19"/>
    </row>
    <row r="4593" spans="3:47">
      <c r="C4593" s="20"/>
      <c r="Z4593" s="20"/>
      <c r="AG4593" s="20"/>
      <c r="AQ4593" s="19"/>
      <c r="AR4593" s="19"/>
      <c r="AS4593" s="19"/>
      <c r="AT4593" s="19"/>
      <c r="AU4593" s="19"/>
    </row>
    <row r="4594" spans="3:47">
      <c r="C4594" s="20"/>
      <c r="Z4594" s="20"/>
      <c r="AG4594" s="20"/>
      <c r="AQ4594" s="19"/>
      <c r="AR4594" s="19"/>
      <c r="AS4594" s="19"/>
      <c r="AT4594" s="19"/>
      <c r="AU4594" s="19"/>
    </row>
    <row r="4595" spans="3:47">
      <c r="C4595" s="20"/>
      <c r="Z4595" s="20"/>
      <c r="AG4595" s="20"/>
      <c r="AQ4595" s="19"/>
      <c r="AR4595" s="19"/>
      <c r="AS4595" s="19"/>
      <c r="AT4595" s="19"/>
      <c r="AU4595" s="19"/>
    </row>
    <row r="4596" spans="3:47">
      <c r="C4596" s="20"/>
      <c r="Z4596" s="20"/>
      <c r="AG4596" s="20"/>
      <c r="AQ4596" s="19"/>
      <c r="AR4596" s="19"/>
      <c r="AS4596" s="19"/>
      <c r="AT4596" s="19"/>
      <c r="AU4596" s="19"/>
    </row>
    <row r="4597" spans="3:47">
      <c r="C4597" s="20"/>
      <c r="Z4597" s="20"/>
      <c r="AG4597" s="20"/>
      <c r="AQ4597" s="19"/>
      <c r="AR4597" s="19"/>
      <c r="AS4597" s="19"/>
      <c r="AT4597" s="19"/>
      <c r="AU4597" s="19"/>
    </row>
    <row r="4598" spans="3:47">
      <c r="C4598" s="20"/>
      <c r="Z4598" s="20"/>
      <c r="AG4598" s="20"/>
      <c r="AQ4598" s="19"/>
      <c r="AR4598" s="19"/>
      <c r="AS4598" s="19"/>
      <c r="AT4598" s="19"/>
      <c r="AU4598" s="19"/>
    </row>
    <row r="4599" spans="3:47">
      <c r="C4599" s="20"/>
      <c r="Z4599" s="20"/>
      <c r="AG4599" s="20"/>
      <c r="AQ4599" s="19"/>
      <c r="AR4599" s="19"/>
      <c r="AS4599" s="19"/>
      <c r="AT4599" s="19"/>
      <c r="AU4599" s="19"/>
    </row>
    <row r="4600" spans="3:47">
      <c r="C4600" s="20"/>
      <c r="Z4600" s="20"/>
      <c r="AG4600" s="20"/>
      <c r="AQ4600" s="19"/>
      <c r="AR4600" s="19"/>
      <c r="AS4600" s="19"/>
      <c r="AT4600" s="19"/>
      <c r="AU4600" s="19"/>
    </row>
    <row r="4601" spans="3:47">
      <c r="C4601" s="20"/>
      <c r="Z4601" s="20"/>
      <c r="AG4601" s="20"/>
      <c r="AQ4601" s="19"/>
      <c r="AR4601" s="19"/>
      <c r="AS4601" s="19"/>
      <c r="AT4601" s="19"/>
      <c r="AU4601" s="19"/>
    </row>
    <row r="4602" spans="3:47">
      <c r="C4602" s="20"/>
      <c r="Z4602" s="20"/>
      <c r="AG4602" s="20"/>
      <c r="AQ4602" s="19"/>
      <c r="AR4602" s="19"/>
      <c r="AS4602" s="19"/>
      <c r="AT4602" s="19"/>
      <c r="AU4602" s="19"/>
    </row>
    <row r="4603" spans="3:47">
      <c r="C4603" s="20"/>
      <c r="Z4603" s="20"/>
      <c r="AG4603" s="20"/>
      <c r="AQ4603" s="19"/>
      <c r="AR4603" s="19"/>
      <c r="AS4603" s="19"/>
      <c r="AT4603" s="19"/>
      <c r="AU4603" s="19"/>
    </row>
    <row r="4604" spans="3:47">
      <c r="C4604" s="20"/>
      <c r="Z4604" s="20"/>
      <c r="AG4604" s="20"/>
      <c r="AQ4604" s="19"/>
      <c r="AR4604" s="19"/>
      <c r="AS4604" s="19"/>
      <c r="AT4604" s="19"/>
      <c r="AU4604" s="19"/>
    </row>
    <row r="4605" spans="3:47">
      <c r="C4605" s="20"/>
      <c r="Z4605" s="20"/>
      <c r="AG4605" s="20"/>
      <c r="AQ4605" s="19"/>
      <c r="AR4605" s="19"/>
      <c r="AS4605" s="19"/>
      <c r="AT4605" s="19"/>
      <c r="AU4605" s="19"/>
    </row>
    <row r="4606" spans="3:47">
      <c r="C4606" s="20"/>
      <c r="Z4606" s="20"/>
      <c r="AG4606" s="20"/>
      <c r="AQ4606" s="19"/>
      <c r="AR4606" s="19"/>
      <c r="AS4606" s="19"/>
      <c r="AT4606" s="19"/>
      <c r="AU4606" s="19"/>
    </row>
    <row r="4607" spans="3:47">
      <c r="C4607" s="20"/>
      <c r="Z4607" s="20"/>
      <c r="AG4607" s="20"/>
      <c r="AQ4607" s="19"/>
      <c r="AR4607" s="19"/>
      <c r="AS4607" s="19"/>
      <c r="AT4607" s="19"/>
      <c r="AU4607" s="19"/>
    </row>
    <row r="4608" spans="3:47">
      <c r="C4608" s="20"/>
      <c r="Z4608" s="20"/>
      <c r="AG4608" s="20"/>
      <c r="AQ4608" s="19"/>
      <c r="AR4608" s="19"/>
      <c r="AS4608" s="19"/>
      <c r="AT4608" s="19"/>
      <c r="AU4608" s="19"/>
    </row>
    <row r="4609" spans="3:47">
      <c r="C4609" s="20"/>
      <c r="Z4609" s="20"/>
      <c r="AG4609" s="20"/>
      <c r="AQ4609" s="19"/>
      <c r="AR4609" s="19"/>
      <c r="AS4609" s="19"/>
      <c r="AT4609" s="19"/>
      <c r="AU4609" s="19"/>
    </row>
    <row r="4610" spans="3:47">
      <c r="C4610" s="20"/>
      <c r="Z4610" s="20"/>
      <c r="AG4610" s="20"/>
      <c r="AQ4610" s="19"/>
      <c r="AR4610" s="19"/>
      <c r="AS4610" s="19"/>
      <c r="AT4610" s="19"/>
      <c r="AU4610" s="19"/>
    </row>
    <row r="4611" spans="3:47">
      <c r="C4611" s="20"/>
      <c r="Z4611" s="20"/>
      <c r="AG4611" s="20"/>
      <c r="AQ4611" s="19"/>
      <c r="AR4611" s="19"/>
      <c r="AS4611" s="19"/>
      <c r="AT4611" s="19"/>
      <c r="AU4611" s="19"/>
    </row>
    <row r="4612" spans="3:47">
      <c r="C4612" s="20"/>
      <c r="Z4612" s="20"/>
      <c r="AG4612" s="20"/>
      <c r="AQ4612" s="19"/>
      <c r="AR4612" s="19"/>
      <c r="AS4612" s="19"/>
      <c r="AT4612" s="19"/>
      <c r="AU4612" s="19"/>
    </row>
    <row r="4613" spans="3:47">
      <c r="C4613" s="20"/>
      <c r="Z4613" s="20"/>
      <c r="AG4613" s="20"/>
      <c r="AQ4613" s="19"/>
      <c r="AR4613" s="19"/>
      <c r="AS4613" s="19"/>
      <c r="AT4613" s="19"/>
      <c r="AU4613" s="19"/>
    </row>
    <row r="4614" spans="3:47">
      <c r="C4614" s="20"/>
      <c r="Z4614" s="20"/>
      <c r="AG4614" s="20"/>
      <c r="AQ4614" s="19"/>
      <c r="AR4614" s="19"/>
      <c r="AS4614" s="19"/>
      <c r="AT4614" s="19"/>
      <c r="AU4614" s="19"/>
    </row>
    <row r="4615" spans="3:47">
      <c r="C4615" s="20"/>
      <c r="Z4615" s="20"/>
      <c r="AG4615" s="20"/>
      <c r="AQ4615" s="19"/>
      <c r="AR4615" s="19"/>
      <c r="AS4615" s="19"/>
      <c r="AT4615" s="19"/>
      <c r="AU4615" s="19"/>
    </row>
    <row r="4616" spans="3:47">
      <c r="C4616" s="20"/>
      <c r="Z4616" s="20"/>
      <c r="AG4616" s="20"/>
      <c r="AQ4616" s="19"/>
      <c r="AR4616" s="19"/>
      <c r="AS4616" s="19"/>
      <c r="AT4616" s="19"/>
      <c r="AU4616" s="19"/>
    </row>
    <row r="4617" spans="3:47">
      <c r="C4617" s="20"/>
      <c r="Z4617" s="20"/>
      <c r="AG4617" s="20"/>
      <c r="AQ4617" s="19"/>
      <c r="AR4617" s="19"/>
      <c r="AS4617" s="19"/>
      <c r="AT4617" s="19"/>
      <c r="AU4617" s="19"/>
    </row>
    <row r="4618" spans="3:47">
      <c r="C4618" s="20"/>
      <c r="Z4618" s="20"/>
      <c r="AG4618" s="20"/>
      <c r="AQ4618" s="19"/>
      <c r="AR4618" s="19"/>
      <c r="AS4618" s="19"/>
      <c r="AT4618" s="19"/>
      <c r="AU4618" s="19"/>
    </row>
    <row r="4619" spans="3:47">
      <c r="C4619" s="20"/>
      <c r="Z4619" s="20"/>
      <c r="AG4619" s="20"/>
      <c r="AQ4619" s="19"/>
      <c r="AR4619" s="19"/>
      <c r="AS4619" s="19"/>
      <c r="AT4619" s="19"/>
      <c r="AU4619" s="19"/>
    </row>
    <row r="4620" spans="3:47">
      <c r="C4620" s="20"/>
      <c r="Z4620" s="20"/>
      <c r="AG4620" s="20"/>
      <c r="AQ4620" s="19"/>
      <c r="AR4620" s="19"/>
      <c r="AS4620" s="19"/>
      <c r="AT4620" s="19"/>
      <c r="AU4620" s="19"/>
    </row>
    <row r="4621" spans="3:47">
      <c r="C4621" s="20"/>
      <c r="Z4621" s="20"/>
      <c r="AG4621" s="20"/>
      <c r="AQ4621" s="19"/>
      <c r="AR4621" s="19"/>
      <c r="AS4621" s="19"/>
      <c r="AT4621" s="19"/>
      <c r="AU4621" s="19"/>
    </row>
    <row r="4622" spans="3:47">
      <c r="C4622" s="20"/>
      <c r="Z4622" s="20"/>
      <c r="AG4622" s="20"/>
      <c r="AQ4622" s="19"/>
      <c r="AR4622" s="19"/>
      <c r="AS4622" s="19"/>
      <c r="AT4622" s="19"/>
      <c r="AU4622" s="19"/>
    </row>
    <row r="4623" spans="3:47">
      <c r="C4623" s="20"/>
      <c r="Z4623" s="20"/>
      <c r="AG4623" s="20"/>
      <c r="AQ4623" s="19"/>
      <c r="AR4623" s="19"/>
      <c r="AS4623" s="19"/>
      <c r="AT4623" s="19"/>
      <c r="AU4623" s="19"/>
    </row>
    <row r="4624" spans="3:47">
      <c r="C4624" s="20"/>
      <c r="Z4624" s="20"/>
      <c r="AG4624" s="20"/>
      <c r="AQ4624" s="19"/>
      <c r="AR4624" s="19"/>
      <c r="AS4624" s="19"/>
      <c r="AT4624" s="19"/>
      <c r="AU4624" s="19"/>
    </row>
    <row r="4625" spans="3:47">
      <c r="C4625" s="20"/>
      <c r="Z4625" s="20"/>
      <c r="AG4625" s="20"/>
      <c r="AQ4625" s="19"/>
      <c r="AR4625" s="19"/>
      <c r="AS4625" s="19"/>
      <c r="AT4625" s="19"/>
      <c r="AU4625" s="19"/>
    </row>
    <row r="4626" spans="3:47">
      <c r="C4626" s="20"/>
      <c r="Z4626" s="20"/>
      <c r="AG4626" s="20"/>
      <c r="AQ4626" s="19"/>
      <c r="AR4626" s="19"/>
      <c r="AS4626" s="19"/>
      <c r="AT4626" s="19"/>
      <c r="AU4626" s="19"/>
    </row>
    <row r="4627" spans="3:47">
      <c r="C4627" s="20"/>
      <c r="Z4627" s="20"/>
      <c r="AG4627" s="20"/>
      <c r="AQ4627" s="19"/>
      <c r="AR4627" s="19"/>
      <c r="AS4627" s="19"/>
      <c r="AT4627" s="19"/>
      <c r="AU4627" s="19"/>
    </row>
    <row r="4628" spans="3:47">
      <c r="C4628" s="20"/>
      <c r="Z4628" s="20"/>
      <c r="AG4628" s="20"/>
      <c r="AQ4628" s="19"/>
      <c r="AR4628" s="19"/>
      <c r="AS4628" s="19"/>
      <c r="AT4628" s="19"/>
      <c r="AU4628" s="19"/>
    </row>
    <row r="4629" spans="3:47">
      <c r="C4629" s="20"/>
      <c r="Z4629" s="20"/>
      <c r="AG4629" s="20"/>
      <c r="AQ4629" s="19"/>
      <c r="AR4629" s="19"/>
      <c r="AS4629" s="19"/>
      <c r="AT4629" s="19"/>
      <c r="AU4629" s="19"/>
    </row>
    <row r="4630" spans="3:47">
      <c r="C4630" s="20"/>
      <c r="Z4630" s="20"/>
      <c r="AG4630" s="20"/>
      <c r="AQ4630" s="19"/>
      <c r="AR4630" s="19"/>
      <c r="AS4630" s="19"/>
      <c r="AT4630" s="19"/>
      <c r="AU4630" s="19"/>
    </row>
    <row r="4631" spans="3:47">
      <c r="C4631" s="20"/>
      <c r="Z4631" s="20"/>
      <c r="AG4631" s="20"/>
      <c r="AQ4631" s="19"/>
      <c r="AR4631" s="19"/>
      <c r="AS4631" s="19"/>
      <c r="AT4631" s="19"/>
      <c r="AU4631" s="19"/>
    </row>
    <row r="4632" spans="3:47">
      <c r="C4632" s="20"/>
      <c r="Z4632" s="20"/>
      <c r="AG4632" s="20"/>
      <c r="AQ4632" s="19"/>
      <c r="AR4632" s="19"/>
      <c r="AS4632" s="19"/>
      <c r="AT4632" s="19"/>
      <c r="AU4632" s="19"/>
    </row>
    <row r="4633" spans="3:47">
      <c r="C4633" s="20"/>
      <c r="Z4633" s="20"/>
      <c r="AG4633" s="20"/>
      <c r="AQ4633" s="19"/>
      <c r="AR4633" s="19"/>
      <c r="AS4633" s="19"/>
      <c r="AT4633" s="19"/>
      <c r="AU4633" s="19"/>
    </row>
    <row r="4634" spans="3:47">
      <c r="C4634" s="20"/>
      <c r="Z4634" s="20"/>
      <c r="AG4634" s="20"/>
      <c r="AQ4634" s="19"/>
      <c r="AR4634" s="19"/>
      <c r="AS4634" s="19"/>
      <c r="AT4634" s="19"/>
      <c r="AU4634" s="19"/>
    </row>
    <row r="4635" spans="3:47">
      <c r="C4635" s="20"/>
      <c r="Z4635" s="20"/>
      <c r="AG4635" s="20"/>
      <c r="AQ4635" s="19"/>
      <c r="AR4635" s="19"/>
      <c r="AS4635" s="19"/>
      <c r="AT4635" s="19"/>
      <c r="AU4635" s="19"/>
    </row>
    <row r="4636" spans="3:47">
      <c r="C4636" s="20"/>
      <c r="Z4636" s="20"/>
      <c r="AG4636" s="20"/>
      <c r="AQ4636" s="19"/>
      <c r="AR4636" s="19"/>
      <c r="AS4636" s="19"/>
      <c r="AT4636" s="19"/>
      <c r="AU4636" s="19"/>
    </row>
    <row r="4637" spans="3:47">
      <c r="C4637" s="20"/>
      <c r="Z4637" s="20"/>
      <c r="AG4637" s="20"/>
      <c r="AQ4637" s="19"/>
      <c r="AR4637" s="19"/>
      <c r="AS4637" s="19"/>
      <c r="AT4637" s="19"/>
      <c r="AU4637" s="19"/>
    </row>
    <row r="4638" spans="3:47">
      <c r="C4638" s="20"/>
      <c r="Z4638" s="20"/>
      <c r="AG4638" s="20"/>
      <c r="AQ4638" s="19"/>
      <c r="AR4638" s="19"/>
      <c r="AS4638" s="19"/>
      <c r="AT4638" s="19"/>
      <c r="AU4638" s="19"/>
    </row>
    <row r="4639" spans="3:47">
      <c r="C4639" s="20"/>
      <c r="Z4639" s="20"/>
      <c r="AG4639" s="20"/>
      <c r="AQ4639" s="19"/>
      <c r="AR4639" s="19"/>
      <c r="AS4639" s="19"/>
      <c r="AT4639" s="19"/>
      <c r="AU4639" s="19"/>
    </row>
    <row r="4640" spans="3:47">
      <c r="C4640" s="20"/>
      <c r="Z4640" s="20"/>
      <c r="AG4640" s="20"/>
      <c r="AQ4640" s="19"/>
      <c r="AR4640" s="19"/>
      <c r="AS4640" s="19"/>
      <c r="AT4640" s="19"/>
      <c r="AU4640" s="19"/>
    </row>
    <row r="4641" spans="3:47">
      <c r="C4641" s="20"/>
      <c r="Z4641" s="20"/>
      <c r="AG4641" s="20"/>
      <c r="AQ4641" s="19"/>
      <c r="AR4641" s="19"/>
      <c r="AS4641" s="19"/>
      <c r="AT4641" s="19"/>
      <c r="AU4641" s="19"/>
    </row>
    <row r="4642" spans="3:47">
      <c r="C4642" s="20"/>
      <c r="Z4642" s="20"/>
      <c r="AG4642" s="20"/>
      <c r="AQ4642" s="19"/>
      <c r="AR4642" s="19"/>
      <c r="AS4642" s="19"/>
      <c r="AT4642" s="19"/>
      <c r="AU4642" s="19"/>
    </row>
    <row r="4643" spans="3:47">
      <c r="C4643" s="20"/>
      <c r="Z4643" s="20"/>
      <c r="AG4643" s="20"/>
      <c r="AQ4643" s="19"/>
      <c r="AR4643" s="19"/>
      <c r="AS4643" s="19"/>
      <c r="AT4643" s="19"/>
      <c r="AU4643" s="19"/>
    </row>
    <row r="4644" spans="3:47">
      <c r="C4644" s="20"/>
      <c r="Z4644" s="20"/>
      <c r="AG4644" s="20"/>
      <c r="AQ4644" s="19"/>
      <c r="AR4644" s="19"/>
      <c r="AS4644" s="19"/>
      <c r="AT4644" s="19"/>
      <c r="AU4644" s="19"/>
    </row>
    <row r="4645" spans="3:47">
      <c r="C4645" s="20"/>
      <c r="Z4645" s="20"/>
      <c r="AG4645" s="20"/>
      <c r="AQ4645" s="19"/>
      <c r="AR4645" s="19"/>
      <c r="AS4645" s="19"/>
      <c r="AT4645" s="19"/>
      <c r="AU4645" s="19"/>
    </row>
    <row r="4646" spans="3:47">
      <c r="C4646" s="20"/>
      <c r="Z4646" s="20"/>
      <c r="AG4646" s="20"/>
      <c r="AQ4646" s="19"/>
      <c r="AR4646" s="19"/>
      <c r="AS4646" s="19"/>
      <c r="AT4646" s="19"/>
      <c r="AU4646" s="19"/>
    </row>
    <row r="4647" spans="3:47">
      <c r="C4647" s="20"/>
      <c r="Z4647" s="20"/>
      <c r="AG4647" s="20"/>
      <c r="AQ4647" s="19"/>
      <c r="AR4647" s="19"/>
      <c r="AS4647" s="19"/>
      <c r="AT4647" s="19"/>
      <c r="AU4647" s="19"/>
    </row>
    <row r="4648" spans="3:47">
      <c r="C4648" s="20"/>
      <c r="Z4648" s="20"/>
      <c r="AG4648" s="20"/>
      <c r="AQ4648" s="19"/>
      <c r="AR4648" s="19"/>
      <c r="AS4648" s="19"/>
      <c r="AT4648" s="19"/>
      <c r="AU4648" s="19"/>
    </row>
    <row r="4649" spans="3:47">
      <c r="C4649" s="20"/>
      <c r="Z4649" s="20"/>
      <c r="AG4649" s="20"/>
      <c r="AQ4649" s="19"/>
      <c r="AR4649" s="19"/>
      <c r="AS4649" s="19"/>
      <c r="AT4649" s="19"/>
      <c r="AU4649" s="19"/>
    </row>
    <row r="4650" spans="3:47">
      <c r="C4650" s="20"/>
      <c r="Z4650" s="20"/>
      <c r="AG4650" s="20"/>
      <c r="AQ4650" s="19"/>
      <c r="AR4650" s="19"/>
      <c r="AS4650" s="19"/>
      <c r="AT4650" s="19"/>
      <c r="AU4650" s="19"/>
    </row>
    <row r="4651" spans="3:47">
      <c r="C4651" s="20"/>
      <c r="Z4651" s="20"/>
      <c r="AG4651" s="20"/>
      <c r="AQ4651" s="19"/>
      <c r="AR4651" s="19"/>
      <c r="AS4651" s="19"/>
      <c r="AT4651" s="19"/>
      <c r="AU4651" s="19"/>
    </row>
    <row r="4652" spans="3:47">
      <c r="C4652" s="20"/>
      <c r="Z4652" s="20"/>
      <c r="AG4652" s="20"/>
      <c r="AQ4652" s="19"/>
      <c r="AR4652" s="19"/>
      <c r="AS4652" s="19"/>
      <c r="AT4652" s="19"/>
      <c r="AU4652" s="19"/>
    </row>
    <row r="4653" spans="3:47">
      <c r="C4653" s="20"/>
      <c r="Z4653" s="20"/>
      <c r="AG4653" s="20"/>
      <c r="AQ4653" s="19"/>
      <c r="AR4653" s="19"/>
      <c r="AS4653" s="19"/>
      <c r="AT4653" s="19"/>
      <c r="AU4653" s="19"/>
    </row>
    <row r="4654" spans="3:47">
      <c r="C4654" s="20"/>
      <c r="Z4654" s="20"/>
      <c r="AG4654" s="20"/>
      <c r="AQ4654" s="19"/>
      <c r="AR4654" s="19"/>
      <c r="AS4654" s="19"/>
      <c r="AT4654" s="19"/>
      <c r="AU4654" s="19"/>
    </row>
    <row r="4655" spans="3:47">
      <c r="C4655" s="20"/>
      <c r="Z4655" s="20"/>
      <c r="AG4655" s="20"/>
      <c r="AQ4655" s="19"/>
      <c r="AR4655" s="19"/>
      <c r="AS4655" s="19"/>
      <c r="AT4655" s="19"/>
      <c r="AU4655" s="19"/>
    </row>
    <row r="4656" spans="3:47">
      <c r="C4656" s="20"/>
      <c r="Z4656" s="20"/>
      <c r="AG4656" s="20"/>
      <c r="AQ4656" s="19"/>
      <c r="AR4656" s="19"/>
      <c r="AS4656" s="19"/>
      <c r="AT4656" s="19"/>
      <c r="AU4656" s="19"/>
    </row>
    <row r="4657" spans="3:47">
      <c r="C4657" s="20"/>
      <c r="Z4657" s="20"/>
      <c r="AG4657" s="20"/>
      <c r="AQ4657" s="19"/>
      <c r="AR4657" s="19"/>
      <c r="AS4657" s="19"/>
      <c r="AT4657" s="19"/>
      <c r="AU4657" s="19"/>
    </row>
    <row r="4658" spans="3:47">
      <c r="C4658" s="20"/>
      <c r="Z4658" s="20"/>
      <c r="AG4658" s="20"/>
      <c r="AQ4658" s="19"/>
      <c r="AR4658" s="19"/>
      <c r="AS4658" s="19"/>
      <c r="AT4658" s="19"/>
      <c r="AU4658" s="19"/>
    </row>
    <row r="4659" spans="3:47">
      <c r="C4659" s="20"/>
      <c r="Z4659" s="20"/>
      <c r="AG4659" s="20"/>
      <c r="AQ4659" s="19"/>
      <c r="AR4659" s="19"/>
      <c r="AS4659" s="19"/>
      <c r="AT4659" s="19"/>
      <c r="AU4659" s="19"/>
    </row>
    <row r="4660" spans="3:47">
      <c r="C4660" s="20"/>
      <c r="Z4660" s="20"/>
      <c r="AG4660" s="20"/>
      <c r="AQ4660" s="19"/>
      <c r="AR4660" s="19"/>
      <c r="AS4660" s="19"/>
      <c r="AT4660" s="19"/>
      <c r="AU4660" s="19"/>
    </row>
    <row r="4661" spans="3:47">
      <c r="C4661" s="20"/>
      <c r="Z4661" s="20"/>
      <c r="AG4661" s="20"/>
      <c r="AQ4661" s="19"/>
      <c r="AR4661" s="19"/>
      <c r="AS4661" s="19"/>
      <c r="AT4661" s="19"/>
      <c r="AU4661" s="19"/>
    </row>
    <row r="4662" spans="3:47">
      <c r="C4662" s="20"/>
      <c r="Z4662" s="20"/>
      <c r="AG4662" s="20"/>
      <c r="AQ4662" s="19"/>
      <c r="AR4662" s="19"/>
      <c r="AS4662" s="19"/>
      <c r="AT4662" s="19"/>
      <c r="AU4662" s="19"/>
    </row>
    <row r="4663" spans="3:47">
      <c r="C4663" s="20"/>
      <c r="Z4663" s="20"/>
      <c r="AG4663" s="20"/>
      <c r="AQ4663" s="19"/>
      <c r="AR4663" s="19"/>
      <c r="AS4663" s="19"/>
      <c r="AT4663" s="19"/>
      <c r="AU4663" s="19"/>
    </row>
    <row r="4664" spans="3:47">
      <c r="C4664" s="20"/>
      <c r="Z4664" s="20"/>
      <c r="AG4664" s="20"/>
      <c r="AQ4664" s="19"/>
      <c r="AR4664" s="19"/>
      <c r="AS4664" s="19"/>
      <c r="AT4664" s="19"/>
      <c r="AU4664" s="19"/>
    </row>
    <row r="4665" spans="3:47">
      <c r="C4665" s="20"/>
      <c r="Z4665" s="20"/>
      <c r="AG4665" s="20"/>
      <c r="AQ4665" s="19"/>
      <c r="AR4665" s="19"/>
      <c r="AS4665" s="19"/>
      <c r="AT4665" s="19"/>
      <c r="AU4665" s="19"/>
    </row>
    <row r="4666" spans="3:47">
      <c r="C4666" s="20"/>
      <c r="Z4666" s="20"/>
      <c r="AG4666" s="20"/>
      <c r="AQ4666" s="19"/>
      <c r="AR4666" s="19"/>
      <c r="AS4666" s="19"/>
      <c r="AT4666" s="19"/>
      <c r="AU4666" s="19"/>
    </row>
    <row r="4667" spans="3:47">
      <c r="C4667" s="20"/>
      <c r="Z4667" s="20"/>
      <c r="AG4667" s="20"/>
      <c r="AQ4667" s="19"/>
      <c r="AR4667" s="19"/>
      <c r="AS4667" s="19"/>
      <c r="AT4667" s="19"/>
      <c r="AU4667" s="19"/>
    </row>
    <row r="4668" spans="3:47">
      <c r="C4668" s="20"/>
      <c r="Z4668" s="20"/>
      <c r="AG4668" s="20"/>
      <c r="AQ4668" s="19"/>
      <c r="AR4668" s="19"/>
      <c r="AS4668" s="19"/>
      <c r="AT4668" s="19"/>
      <c r="AU4668" s="19"/>
    </row>
    <row r="4669" spans="3:47">
      <c r="C4669" s="20"/>
      <c r="Z4669" s="20"/>
      <c r="AG4669" s="20"/>
      <c r="AQ4669" s="19"/>
      <c r="AR4669" s="19"/>
      <c r="AS4669" s="19"/>
      <c r="AT4669" s="19"/>
      <c r="AU4669" s="19"/>
    </row>
    <row r="4670" spans="3:47">
      <c r="C4670" s="20"/>
      <c r="Z4670" s="20"/>
      <c r="AG4670" s="20"/>
      <c r="AQ4670" s="19"/>
      <c r="AR4670" s="19"/>
      <c r="AS4670" s="19"/>
      <c r="AT4670" s="19"/>
      <c r="AU4670" s="19"/>
    </row>
    <row r="4671" spans="3:47">
      <c r="C4671" s="20"/>
      <c r="Z4671" s="20"/>
      <c r="AG4671" s="20"/>
      <c r="AQ4671" s="19"/>
      <c r="AR4671" s="19"/>
      <c r="AS4671" s="19"/>
      <c r="AT4671" s="19"/>
      <c r="AU4671" s="19"/>
    </row>
    <row r="4672" spans="3:47">
      <c r="C4672" s="20"/>
      <c r="Z4672" s="20"/>
      <c r="AG4672" s="20"/>
      <c r="AQ4672" s="19"/>
      <c r="AR4672" s="19"/>
      <c r="AS4672" s="19"/>
      <c r="AT4672" s="19"/>
      <c r="AU4672" s="19"/>
    </row>
    <row r="4673" spans="3:47">
      <c r="C4673" s="20"/>
      <c r="Z4673" s="20"/>
      <c r="AG4673" s="20"/>
      <c r="AQ4673" s="19"/>
      <c r="AR4673" s="19"/>
      <c r="AS4673" s="19"/>
      <c r="AT4673" s="19"/>
      <c r="AU4673" s="19"/>
    </row>
    <row r="4674" spans="3:47">
      <c r="C4674" s="20"/>
      <c r="Z4674" s="20"/>
      <c r="AG4674" s="20"/>
      <c r="AQ4674" s="19"/>
      <c r="AR4674" s="19"/>
      <c r="AS4674" s="19"/>
      <c r="AT4674" s="19"/>
      <c r="AU4674" s="19"/>
    </row>
    <row r="4675" spans="3:47">
      <c r="C4675" s="20"/>
      <c r="Z4675" s="20"/>
      <c r="AG4675" s="20"/>
      <c r="AQ4675" s="19"/>
      <c r="AR4675" s="19"/>
      <c r="AS4675" s="19"/>
      <c r="AT4675" s="19"/>
      <c r="AU4675" s="19"/>
    </row>
    <row r="4676" spans="3:47">
      <c r="C4676" s="20"/>
      <c r="Z4676" s="20"/>
      <c r="AG4676" s="20"/>
      <c r="AQ4676" s="19"/>
      <c r="AR4676" s="19"/>
      <c r="AS4676" s="19"/>
      <c r="AT4676" s="19"/>
      <c r="AU4676" s="19"/>
    </row>
    <row r="4677" spans="3:47">
      <c r="C4677" s="20"/>
      <c r="Z4677" s="20"/>
      <c r="AG4677" s="20"/>
      <c r="AQ4677" s="19"/>
      <c r="AR4677" s="19"/>
      <c r="AS4677" s="19"/>
      <c r="AT4677" s="19"/>
      <c r="AU4677" s="19"/>
    </row>
    <row r="4678" spans="3:47">
      <c r="C4678" s="20"/>
      <c r="Z4678" s="20"/>
      <c r="AG4678" s="20"/>
      <c r="AQ4678" s="19"/>
      <c r="AR4678" s="19"/>
      <c r="AS4678" s="19"/>
      <c r="AT4678" s="19"/>
      <c r="AU4678" s="19"/>
    </row>
    <row r="4679" spans="3:47">
      <c r="C4679" s="20"/>
      <c r="Z4679" s="20"/>
      <c r="AG4679" s="20"/>
      <c r="AQ4679" s="19"/>
      <c r="AR4679" s="19"/>
      <c r="AS4679" s="19"/>
      <c r="AT4679" s="19"/>
      <c r="AU4679" s="19"/>
    </row>
    <row r="4680" spans="3:47">
      <c r="C4680" s="20"/>
      <c r="Z4680" s="20"/>
      <c r="AG4680" s="20"/>
      <c r="AQ4680" s="19"/>
      <c r="AR4680" s="19"/>
      <c r="AS4680" s="19"/>
      <c r="AT4680" s="19"/>
      <c r="AU4680" s="19"/>
    </row>
    <row r="4681" spans="3:47">
      <c r="C4681" s="20"/>
      <c r="Z4681" s="20"/>
      <c r="AG4681" s="20"/>
      <c r="AQ4681" s="19"/>
      <c r="AR4681" s="19"/>
      <c r="AS4681" s="19"/>
      <c r="AT4681" s="19"/>
      <c r="AU4681" s="19"/>
    </row>
    <row r="4682" spans="3:47">
      <c r="C4682" s="20"/>
      <c r="Z4682" s="20"/>
      <c r="AG4682" s="20"/>
      <c r="AQ4682" s="19"/>
      <c r="AR4682" s="19"/>
      <c r="AS4682" s="19"/>
      <c r="AT4682" s="19"/>
      <c r="AU4682" s="19"/>
    </row>
    <row r="4683" spans="3:47">
      <c r="C4683" s="20"/>
      <c r="Z4683" s="20"/>
      <c r="AG4683" s="20"/>
      <c r="AQ4683" s="19"/>
      <c r="AR4683" s="19"/>
      <c r="AS4683" s="19"/>
      <c r="AT4683" s="19"/>
      <c r="AU4683" s="19"/>
    </row>
    <row r="4684" spans="3:47">
      <c r="C4684" s="20"/>
      <c r="Z4684" s="20"/>
      <c r="AG4684" s="20"/>
      <c r="AQ4684" s="19"/>
      <c r="AR4684" s="19"/>
      <c r="AS4684" s="19"/>
      <c r="AT4684" s="19"/>
      <c r="AU4684" s="19"/>
    </row>
    <row r="4685" spans="3:47">
      <c r="C4685" s="20"/>
      <c r="Z4685" s="20"/>
      <c r="AG4685" s="20"/>
      <c r="AQ4685" s="19"/>
      <c r="AR4685" s="19"/>
      <c r="AS4685" s="19"/>
      <c r="AT4685" s="19"/>
      <c r="AU4685" s="19"/>
    </row>
    <row r="4686" spans="3:47">
      <c r="C4686" s="20"/>
      <c r="Z4686" s="20"/>
      <c r="AG4686" s="20"/>
      <c r="AQ4686" s="19"/>
      <c r="AR4686" s="19"/>
      <c r="AS4686" s="19"/>
      <c r="AT4686" s="19"/>
      <c r="AU4686" s="19"/>
    </row>
    <row r="4687" spans="3:47">
      <c r="C4687" s="20"/>
      <c r="Z4687" s="20"/>
      <c r="AG4687" s="20"/>
      <c r="AQ4687" s="19"/>
      <c r="AR4687" s="19"/>
      <c r="AS4687" s="19"/>
      <c r="AT4687" s="19"/>
      <c r="AU4687" s="19"/>
    </row>
    <row r="4688" spans="3:47">
      <c r="C4688" s="20"/>
      <c r="Z4688" s="20"/>
      <c r="AG4688" s="20"/>
      <c r="AQ4688" s="19"/>
      <c r="AR4688" s="19"/>
      <c r="AS4688" s="19"/>
      <c r="AT4688" s="19"/>
      <c r="AU4688" s="19"/>
    </row>
    <row r="4689" spans="3:47">
      <c r="C4689" s="20"/>
      <c r="Z4689" s="20"/>
      <c r="AG4689" s="20"/>
      <c r="AQ4689" s="19"/>
      <c r="AR4689" s="19"/>
      <c r="AS4689" s="19"/>
      <c r="AT4689" s="19"/>
      <c r="AU4689" s="19"/>
    </row>
    <row r="4690" spans="3:47">
      <c r="C4690" s="20"/>
      <c r="Z4690" s="20"/>
      <c r="AG4690" s="20"/>
      <c r="AQ4690" s="19"/>
      <c r="AR4690" s="19"/>
      <c r="AS4690" s="19"/>
      <c r="AT4690" s="19"/>
      <c r="AU4690" s="19"/>
    </row>
    <row r="4691" spans="3:47">
      <c r="C4691" s="20"/>
      <c r="Z4691" s="20"/>
      <c r="AG4691" s="20"/>
      <c r="AQ4691" s="19"/>
      <c r="AR4691" s="19"/>
      <c r="AS4691" s="19"/>
      <c r="AT4691" s="19"/>
      <c r="AU4691" s="19"/>
    </row>
    <row r="4692" spans="3:47">
      <c r="C4692" s="20"/>
      <c r="Z4692" s="20"/>
      <c r="AG4692" s="20"/>
      <c r="AQ4692" s="19"/>
      <c r="AR4692" s="19"/>
      <c r="AS4692" s="19"/>
      <c r="AT4692" s="19"/>
      <c r="AU4692" s="19"/>
    </row>
    <row r="4693" spans="3:47">
      <c r="C4693" s="20"/>
      <c r="Z4693" s="20"/>
      <c r="AG4693" s="20"/>
      <c r="AQ4693" s="19"/>
      <c r="AR4693" s="19"/>
      <c r="AS4693" s="19"/>
      <c r="AT4693" s="19"/>
      <c r="AU4693" s="19"/>
    </row>
    <row r="4694" spans="3:47">
      <c r="C4694" s="20"/>
      <c r="Z4694" s="20"/>
      <c r="AG4694" s="20"/>
      <c r="AQ4694" s="19"/>
      <c r="AR4694" s="19"/>
      <c r="AS4694" s="19"/>
      <c r="AT4694" s="19"/>
      <c r="AU4694" s="19"/>
    </row>
    <row r="4695" spans="3:47">
      <c r="C4695" s="20"/>
      <c r="Z4695" s="20"/>
      <c r="AG4695" s="20"/>
      <c r="AQ4695" s="19"/>
      <c r="AR4695" s="19"/>
      <c r="AS4695" s="19"/>
      <c r="AT4695" s="19"/>
      <c r="AU4695" s="19"/>
    </row>
    <row r="4696" spans="3:47">
      <c r="C4696" s="20"/>
      <c r="Z4696" s="20"/>
      <c r="AG4696" s="20"/>
      <c r="AQ4696" s="19"/>
      <c r="AR4696" s="19"/>
      <c r="AS4696" s="19"/>
      <c r="AT4696" s="19"/>
      <c r="AU4696" s="19"/>
    </row>
    <row r="4697" spans="3:47">
      <c r="C4697" s="20"/>
      <c r="Z4697" s="20"/>
      <c r="AG4697" s="20"/>
      <c r="AQ4697" s="19"/>
      <c r="AR4697" s="19"/>
      <c r="AS4697" s="19"/>
      <c r="AT4697" s="19"/>
      <c r="AU4697" s="19"/>
    </row>
    <row r="4698" spans="3:47">
      <c r="C4698" s="20"/>
      <c r="Z4698" s="20"/>
      <c r="AG4698" s="20"/>
      <c r="AQ4698" s="19"/>
      <c r="AR4698" s="19"/>
      <c r="AS4698" s="19"/>
      <c r="AT4698" s="19"/>
      <c r="AU4698" s="19"/>
    </row>
    <row r="4699" spans="3:47">
      <c r="C4699" s="20"/>
      <c r="Z4699" s="20"/>
      <c r="AG4699" s="20"/>
      <c r="AQ4699" s="19"/>
      <c r="AR4699" s="19"/>
      <c r="AS4699" s="19"/>
      <c r="AT4699" s="19"/>
      <c r="AU4699" s="19"/>
    </row>
    <row r="4700" spans="3:47">
      <c r="C4700" s="20"/>
      <c r="Z4700" s="20"/>
      <c r="AG4700" s="20"/>
      <c r="AQ4700" s="19"/>
      <c r="AR4700" s="19"/>
      <c r="AS4700" s="19"/>
      <c r="AT4700" s="19"/>
      <c r="AU4700" s="19"/>
    </row>
    <row r="4701" spans="3:47">
      <c r="C4701" s="20"/>
      <c r="Z4701" s="20"/>
      <c r="AG4701" s="20"/>
      <c r="AQ4701" s="19"/>
      <c r="AR4701" s="19"/>
      <c r="AS4701" s="19"/>
      <c r="AT4701" s="19"/>
      <c r="AU4701" s="19"/>
    </row>
    <row r="4702" spans="3:47">
      <c r="C4702" s="20"/>
      <c r="Z4702" s="20"/>
      <c r="AG4702" s="20"/>
      <c r="AQ4702" s="19"/>
      <c r="AR4702" s="19"/>
      <c r="AS4702" s="19"/>
      <c r="AT4702" s="19"/>
      <c r="AU4702" s="19"/>
    </row>
    <row r="4703" spans="3:47">
      <c r="C4703" s="20"/>
      <c r="Z4703" s="20"/>
      <c r="AG4703" s="20"/>
      <c r="AQ4703" s="19"/>
      <c r="AR4703" s="19"/>
      <c r="AS4703" s="19"/>
      <c r="AT4703" s="19"/>
      <c r="AU4703" s="19"/>
    </row>
    <row r="4704" spans="3:47">
      <c r="C4704" s="20"/>
      <c r="Z4704" s="20"/>
      <c r="AG4704" s="20"/>
      <c r="AQ4704" s="19"/>
      <c r="AR4704" s="19"/>
      <c r="AS4704" s="19"/>
      <c r="AT4704" s="19"/>
      <c r="AU4704" s="19"/>
    </row>
    <row r="4705" spans="3:47">
      <c r="C4705" s="20"/>
      <c r="Z4705" s="20"/>
      <c r="AG4705" s="20"/>
      <c r="AQ4705" s="19"/>
      <c r="AR4705" s="19"/>
      <c r="AS4705" s="19"/>
      <c r="AT4705" s="19"/>
      <c r="AU4705" s="19"/>
    </row>
    <row r="4706" spans="3:47">
      <c r="C4706" s="20"/>
      <c r="Z4706" s="20"/>
      <c r="AG4706" s="20"/>
      <c r="AQ4706" s="19"/>
      <c r="AR4706" s="19"/>
      <c r="AS4706" s="19"/>
      <c r="AT4706" s="19"/>
      <c r="AU4706" s="19"/>
    </row>
    <row r="4707" spans="3:47">
      <c r="C4707" s="20"/>
      <c r="Z4707" s="20"/>
      <c r="AG4707" s="20"/>
      <c r="AQ4707" s="19"/>
      <c r="AR4707" s="19"/>
      <c r="AS4707" s="19"/>
      <c r="AT4707" s="19"/>
      <c r="AU4707" s="19"/>
    </row>
    <row r="4708" spans="3:47">
      <c r="C4708" s="20"/>
      <c r="Z4708" s="20"/>
      <c r="AG4708" s="20"/>
      <c r="AQ4708" s="19"/>
      <c r="AR4708" s="19"/>
      <c r="AS4708" s="19"/>
      <c r="AT4708" s="19"/>
      <c r="AU4708" s="19"/>
    </row>
    <row r="4709" spans="3:47">
      <c r="C4709" s="20"/>
      <c r="Z4709" s="20"/>
      <c r="AG4709" s="20"/>
      <c r="AQ4709" s="19"/>
      <c r="AR4709" s="19"/>
      <c r="AS4709" s="19"/>
      <c r="AT4709" s="19"/>
      <c r="AU4709" s="19"/>
    </row>
    <row r="4710" spans="3:47">
      <c r="C4710" s="20"/>
      <c r="Z4710" s="20"/>
      <c r="AG4710" s="20"/>
      <c r="AQ4710" s="19"/>
      <c r="AR4710" s="19"/>
      <c r="AS4710" s="19"/>
      <c r="AT4710" s="19"/>
      <c r="AU4710" s="19"/>
    </row>
    <row r="4711" spans="3:47">
      <c r="C4711" s="20"/>
      <c r="Z4711" s="20"/>
      <c r="AG4711" s="20"/>
      <c r="AQ4711" s="19"/>
      <c r="AR4711" s="19"/>
      <c r="AS4711" s="19"/>
      <c r="AT4711" s="19"/>
      <c r="AU4711" s="19"/>
    </row>
    <row r="4712" spans="3:47">
      <c r="C4712" s="20"/>
      <c r="Z4712" s="20"/>
      <c r="AG4712" s="20"/>
      <c r="AQ4712" s="19"/>
      <c r="AR4712" s="19"/>
      <c r="AS4712" s="19"/>
      <c r="AT4712" s="19"/>
      <c r="AU4712" s="19"/>
    </row>
    <row r="4713" spans="3:47">
      <c r="C4713" s="20"/>
      <c r="Z4713" s="20"/>
      <c r="AG4713" s="20"/>
      <c r="AQ4713" s="19"/>
      <c r="AR4713" s="19"/>
      <c r="AS4713" s="19"/>
      <c r="AT4713" s="19"/>
      <c r="AU4713" s="19"/>
    </row>
    <row r="4714" spans="3:47">
      <c r="C4714" s="20"/>
      <c r="Z4714" s="20"/>
      <c r="AG4714" s="20"/>
      <c r="AQ4714" s="19"/>
      <c r="AR4714" s="19"/>
      <c r="AS4714" s="19"/>
      <c r="AT4714" s="19"/>
      <c r="AU4714" s="19"/>
    </row>
    <row r="4715" spans="3:47">
      <c r="C4715" s="20"/>
      <c r="Z4715" s="20"/>
      <c r="AG4715" s="20"/>
      <c r="AQ4715" s="19"/>
      <c r="AR4715" s="19"/>
      <c r="AS4715" s="19"/>
      <c r="AT4715" s="19"/>
      <c r="AU4715" s="19"/>
    </row>
    <row r="4716" spans="3:47">
      <c r="C4716" s="20"/>
      <c r="Z4716" s="20"/>
      <c r="AG4716" s="20"/>
      <c r="AQ4716" s="19"/>
      <c r="AR4716" s="19"/>
      <c r="AS4716" s="19"/>
      <c r="AT4716" s="19"/>
      <c r="AU4716" s="19"/>
    </row>
    <row r="4717" spans="3:47">
      <c r="C4717" s="20"/>
      <c r="Z4717" s="20"/>
      <c r="AG4717" s="20"/>
      <c r="AQ4717" s="19"/>
      <c r="AR4717" s="19"/>
      <c r="AS4717" s="19"/>
      <c r="AT4717" s="19"/>
      <c r="AU4717" s="19"/>
    </row>
    <row r="4718" spans="3:47">
      <c r="C4718" s="20"/>
      <c r="Z4718" s="20"/>
      <c r="AG4718" s="20"/>
      <c r="AQ4718" s="19"/>
      <c r="AR4718" s="19"/>
      <c r="AS4718" s="19"/>
      <c r="AT4718" s="19"/>
      <c r="AU4718" s="19"/>
    </row>
    <row r="4719" spans="3:47">
      <c r="C4719" s="20"/>
      <c r="Z4719" s="20"/>
      <c r="AG4719" s="20"/>
      <c r="AQ4719" s="19"/>
      <c r="AR4719" s="19"/>
      <c r="AS4719" s="19"/>
      <c r="AT4719" s="19"/>
      <c r="AU4719" s="19"/>
    </row>
    <row r="4720" spans="3:47">
      <c r="C4720" s="20"/>
      <c r="Z4720" s="20"/>
      <c r="AG4720" s="20"/>
      <c r="AQ4720" s="19"/>
      <c r="AR4720" s="19"/>
      <c r="AS4720" s="19"/>
      <c r="AT4720" s="19"/>
      <c r="AU4720" s="19"/>
    </row>
    <row r="4721" spans="3:47">
      <c r="C4721" s="20"/>
      <c r="Z4721" s="20"/>
      <c r="AG4721" s="20"/>
      <c r="AQ4721" s="19"/>
      <c r="AR4721" s="19"/>
      <c r="AS4721" s="19"/>
      <c r="AT4721" s="19"/>
      <c r="AU4721" s="19"/>
    </row>
    <row r="4722" spans="3:47">
      <c r="C4722" s="20"/>
      <c r="Z4722" s="20"/>
      <c r="AG4722" s="20"/>
      <c r="AQ4722" s="19"/>
      <c r="AR4722" s="19"/>
      <c r="AS4722" s="19"/>
      <c r="AT4722" s="19"/>
      <c r="AU4722" s="19"/>
    </row>
    <row r="4723" spans="3:47">
      <c r="C4723" s="20"/>
      <c r="Z4723" s="20"/>
      <c r="AG4723" s="20"/>
      <c r="AQ4723" s="19"/>
      <c r="AR4723" s="19"/>
      <c r="AS4723" s="19"/>
      <c r="AT4723" s="19"/>
      <c r="AU4723" s="19"/>
    </row>
    <row r="4724" spans="3:47">
      <c r="C4724" s="20"/>
      <c r="Z4724" s="20"/>
      <c r="AG4724" s="20"/>
      <c r="AQ4724" s="19"/>
      <c r="AR4724" s="19"/>
      <c r="AS4724" s="19"/>
      <c r="AT4724" s="19"/>
      <c r="AU4724" s="19"/>
    </row>
    <row r="4725" spans="3:47">
      <c r="C4725" s="20"/>
      <c r="Z4725" s="20"/>
      <c r="AG4725" s="20"/>
      <c r="AQ4725" s="19"/>
      <c r="AR4725" s="19"/>
      <c r="AS4725" s="19"/>
      <c r="AT4725" s="19"/>
      <c r="AU4725" s="19"/>
    </row>
    <row r="4726" spans="3:47">
      <c r="C4726" s="20"/>
      <c r="Z4726" s="20"/>
      <c r="AG4726" s="20"/>
      <c r="AQ4726" s="19"/>
      <c r="AR4726" s="19"/>
      <c r="AS4726" s="19"/>
      <c r="AT4726" s="19"/>
      <c r="AU4726" s="19"/>
    </row>
    <row r="4727" spans="3:47">
      <c r="C4727" s="20"/>
      <c r="Z4727" s="20"/>
      <c r="AG4727" s="20"/>
      <c r="AQ4727" s="19"/>
      <c r="AR4727" s="19"/>
      <c r="AS4727" s="19"/>
      <c r="AT4727" s="19"/>
      <c r="AU4727" s="19"/>
    </row>
    <row r="4728" spans="3:47">
      <c r="C4728" s="20"/>
      <c r="Z4728" s="20"/>
      <c r="AG4728" s="20"/>
      <c r="AQ4728" s="19"/>
      <c r="AR4728" s="19"/>
      <c r="AS4728" s="19"/>
      <c r="AT4728" s="19"/>
      <c r="AU4728" s="19"/>
    </row>
    <row r="4729" spans="3:47">
      <c r="C4729" s="20"/>
      <c r="Z4729" s="20"/>
      <c r="AG4729" s="20"/>
      <c r="AQ4729" s="19"/>
      <c r="AR4729" s="19"/>
      <c r="AS4729" s="19"/>
      <c r="AT4729" s="19"/>
      <c r="AU4729" s="19"/>
    </row>
    <row r="4730" spans="3:47">
      <c r="C4730" s="20"/>
      <c r="Z4730" s="20"/>
      <c r="AG4730" s="20"/>
      <c r="AQ4730" s="19"/>
      <c r="AR4730" s="19"/>
      <c r="AS4730" s="19"/>
      <c r="AT4730" s="19"/>
      <c r="AU4730" s="19"/>
    </row>
    <row r="4731" spans="3:47">
      <c r="C4731" s="20"/>
      <c r="Z4731" s="20"/>
      <c r="AG4731" s="20"/>
      <c r="AQ4731" s="19"/>
      <c r="AR4731" s="19"/>
      <c r="AS4731" s="19"/>
      <c r="AT4731" s="19"/>
      <c r="AU4731" s="19"/>
    </row>
    <row r="4732" spans="3:47">
      <c r="C4732" s="20"/>
      <c r="Z4732" s="20"/>
      <c r="AG4732" s="20"/>
      <c r="AQ4732" s="19"/>
      <c r="AR4732" s="19"/>
      <c r="AS4732" s="19"/>
      <c r="AT4732" s="19"/>
      <c r="AU4732" s="19"/>
    </row>
    <row r="4733" spans="3:47">
      <c r="C4733" s="20"/>
      <c r="Z4733" s="20"/>
      <c r="AG4733" s="20"/>
      <c r="AQ4733" s="19"/>
      <c r="AR4733" s="19"/>
      <c r="AS4733" s="19"/>
      <c r="AT4733" s="19"/>
      <c r="AU4733" s="19"/>
    </row>
    <row r="4734" spans="3:47">
      <c r="C4734" s="20"/>
      <c r="Z4734" s="20"/>
      <c r="AG4734" s="20"/>
      <c r="AQ4734" s="19"/>
      <c r="AR4734" s="19"/>
      <c r="AS4734" s="19"/>
      <c r="AT4734" s="19"/>
      <c r="AU4734" s="19"/>
    </row>
    <row r="4735" spans="3:47">
      <c r="C4735" s="20"/>
      <c r="Z4735" s="20"/>
      <c r="AG4735" s="20"/>
      <c r="AQ4735" s="19"/>
      <c r="AR4735" s="19"/>
      <c r="AS4735" s="19"/>
      <c r="AT4735" s="19"/>
      <c r="AU4735" s="19"/>
    </row>
    <row r="4736" spans="3:47">
      <c r="C4736" s="20"/>
      <c r="Z4736" s="20"/>
      <c r="AG4736" s="20"/>
      <c r="AQ4736" s="19"/>
      <c r="AR4736" s="19"/>
      <c r="AS4736" s="19"/>
      <c r="AT4736" s="19"/>
      <c r="AU4736" s="19"/>
    </row>
    <row r="4737" spans="3:47">
      <c r="C4737" s="20"/>
      <c r="Z4737" s="20"/>
      <c r="AG4737" s="20"/>
      <c r="AQ4737" s="19"/>
      <c r="AR4737" s="19"/>
      <c r="AS4737" s="19"/>
      <c r="AT4737" s="19"/>
      <c r="AU4737" s="19"/>
    </row>
    <row r="4738" spans="3:47">
      <c r="C4738" s="20"/>
      <c r="Z4738" s="20"/>
      <c r="AG4738" s="20"/>
      <c r="AQ4738" s="19"/>
      <c r="AR4738" s="19"/>
      <c r="AS4738" s="19"/>
      <c r="AT4738" s="19"/>
      <c r="AU4738" s="19"/>
    </row>
    <row r="4739" spans="3:47">
      <c r="C4739" s="20"/>
      <c r="Z4739" s="20"/>
      <c r="AG4739" s="20"/>
      <c r="AQ4739" s="19"/>
      <c r="AR4739" s="19"/>
      <c r="AS4739" s="19"/>
      <c r="AT4739" s="19"/>
      <c r="AU4739" s="19"/>
    </row>
    <row r="4740" spans="3:47">
      <c r="C4740" s="20"/>
      <c r="Z4740" s="20"/>
      <c r="AG4740" s="20"/>
      <c r="AQ4740" s="19"/>
      <c r="AR4740" s="19"/>
      <c r="AS4740" s="19"/>
      <c r="AT4740" s="19"/>
      <c r="AU4740" s="19"/>
    </row>
    <row r="4741" spans="3:47">
      <c r="C4741" s="20"/>
      <c r="Z4741" s="20"/>
      <c r="AG4741" s="20"/>
      <c r="AQ4741" s="19"/>
      <c r="AR4741" s="19"/>
      <c r="AS4741" s="19"/>
      <c r="AT4741" s="19"/>
      <c r="AU4741" s="19"/>
    </row>
    <row r="4742" spans="3:47">
      <c r="C4742" s="20"/>
      <c r="Z4742" s="20"/>
      <c r="AG4742" s="20"/>
      <c r="AQ4742" s="19"/>
      <c r="AR4742" s="19"/>
      <c r="AS4742" s="19"/>
      <c r="AT4742" s="19"/>
      <c r="AU4742" s="19"/>
    </row>
    <row r="4743" spans="3:47">
      <c r="C4743" s="20"/>
      <c r="Z4743" s="20"/>
      <c r="AG4743" s="20"/>
      <c r="AQ4743" s="19"/>
      <c r="AR4743" s="19"/>
      <c r="AS4743" s="19"/>
      <c r="AT4743" s="19"/>
      <c r="AU4743" s="19"/>
    </row>
    <row r="4744" spans="3:47">
      <c r="C4744" s="20"/>
      <c r="Z4744" s="20"/>
      <c r="AG4744" s="20"/>
      <c r="AQ4744" s="19"/>
      <c r="AR4744" s="19"/>
      <c r="AS4744" s="19"/>
      <c r="AT4744" s="19"/>
      <c r="AU4744" s="19"/>
    </row>
    <row r="4745" spans="3:47">
      <c r="C4745" s="20"/>
      <c r="Z4745" s="20"/>
      <c r="AG4745" s="20"/>
      <c r="AQ4745" s="19"/>
      <c r="AR4745" s="19"/>
      <c r="AS4745" s="19"/>
      <c r="AT4745" s="19"/>
      <c r="AU4745" s="19"/>
    </row>
    <row r="4746" spans="3:47">
      <c r="C4746" s="20"/>
      <c r="Z4746" s="20"/>
      <c r="AG4746" s="20"/>
      <c r="AQ4746" s="19"/>
      <c r="AR4746" s="19"/>
      <c r="AS4746" s="19"/>
      <c r="AT4746" s="19"/>
      <c r="AU4746" s="19"/>
    </row>
    <row r="4747" spans="3:47">
      <c r="C4747" s="20"/>
      <c r="Z4747" s="20"/>
      <c r="AG4747" s="20"/>
      <c r="AQ4747" s="19"/>
      <c r="AR4747" s="19"/>
      <c r="AS4747" s="19"/>
      <c r="AT4747" s="19"/>
      <c r="AU4747" s="19"/>
    </row>
    <row r="4748" spans="3:47">
      <c r="C4748" s="20"/>
      <c r="Z4748" s="20"/>
      <c r="AG4748" s="20"/>
      <c r="AQ4748" s="19"/>
      <c r="AR4748" s="19"/>
      <c r="AS4748" s="19"/>
      <c r="AT4748" s="19"/>
      <c r="AU4748" s="19"/>
    </row>
    <row r="4749" spans="3:47">
      <c r="C4749" s="20"/>
      <c r="Z4749" s="20"/>
      <c r="AG4749" s="20"/>
      <c r="AQ4749" s="19"/>
      <c r="AR4749" s="19"/>
      <c r="AS4749" s="19"/>
      <c r="AT4749" s="19"/>
      <c r="AU4749" s="19"/>
    </row>
    <row r="4750" spans="3:47">
      <c r="C4750" s="20"/>
      <c r="Z4750" s="20"/>
      <c r="AG4750" s="20"/>
      <c r="AQ4750" s="19"/>
      <c r="AR4750" s="19"/>
      <c r="AS4750" s="19"/>
      <c r="AT4750" s="19"/>
      <c r="AU4750" s="19"/>
    </row>
    <row r="4751" spans="3:47">
      <c r="C4751" s="20"/>
      <c r="Z4751" s="20"/>
      <c r="AG4751" s="20"/>
      <c r="AQ4751" s="19"/>
      <c r="AR4751" s="19"/>
      <c r="AS4751" s="19"/>
      <c r="AT4751" s="19"/>
      <c r="AU4751" s="19"/>
    </row>
    <row r="4752" spans="3:47">
      <c r="C4752" s="20"/>
      <c r="Z4752" s="20"/>
      <c r="AG4752" s="20"/>
      <c r="AQ4752" s="19"/>
      <c r="AR4752" s="19"/>
      <c r="AS4752" s="19"/>
      <c r="AT4752" s="19"/>
      <c r="AU4752" s="19"/>
    </row>
    <row r="4753" spans="3:47">
      <c r="C4753" s="20"/>
      <c r="Z4753" s="20"/>
      <c r="AG4753" s="20"/>
      <c r="AQ4753" s="19"/>
      <c r="AR4753" s="19"/>
      <c r="AS4753" s="19"/>
      <c r="AT4753" s="19"/>
      <c r="AU4753" s="19"/>
    </row>
    <row r="4754" spans="3:47">
      <c r="C4754" s="20"/>
      <c r="Z4754" s="20"/>
      <c r="AG4754" s="20"/>
      <c r="AQ4754" s="19"/>
      <c r="AR4754" s="19"/>
      <c r="AS4754" s="19"/>
      <c r="AT4754" s="19"/>
      <c r="AU4754" s="19"/>
    </row>
    <row r="4755" spans="3:47">
      <c r="C4755" s="20"/>
      <c r="Z4755" s="20"/>
      <c r="AG4755" s="20"/>
      <c r="AQ4755" s="19"/>
      <c r="AR4755" s="19"/>
      <c r="AS4755" s="19"/>
      <c r="AT4755" s="19"/>
      <c r="AU4755" s="19"/>
    </row>
    <row r="4756" spans="3:47">
      <c r="C4756" s="20"/>
      <c r="Z4756" s="20"/>
      <c r="AG4756" s="20"/>
      <c r="AQ4756" s="19"/>
      <c r="AR4756" s="19"/>
      <c r="AS4756" s="19"/>
      <c r="AT4756" s="19"/>
      <c r="AU4756" s="19"/>
    </row>
    <row r="4757" spans="3:47">
      <c r="C4757" s="20"/>
      <c r="Z4757" s="20"/>
      <c r="AG4757" s="20"/>
      <c r="AQ4757" s="19"/>
      <c r="AR4757" s="19"/>
      <c r="AS4757" s="19"/>
      <c r="AT4757" s="19"/>
      <c r="AU4757" s="19"/>
    </row>
    <row r="4758" spans="3:47">
      <c r="C4758" s="20"/>
      <c r="Z4758" s="20"/>
      <c r="AG4758" s="20"/>
      <c r="AQ4758" s="19"/>
      <c r="AR4758" s="19"/>
      <c r="AS4758" s="19"/>
      <c r="AT4758" s="19"/>
      <c r="AU4758" s="19"/>
    </row>
    <row r="4759" spans="3:47">
      <c r="C4759" s="20"/>
      <c r="Z4759" s="20"/>
      <c r="AG4759" s="20"/>
      <c r="AQ4759" s="19"/>
      <c r="AR4759" s="19"/>
      <c r="AS4759" s="19"/>
      <c r="AT4759" s="19"/>
      <c r="AU4759" s="19"/>
    </row>
    <row r="4760" spans="3:47">
      <c r="C4760" s="20"/>
      <c r="Z4760" s="20"/>
      <c r="AG4760" s="20"/>
      <c r="AQ4760" s="19"/>
      <c r="AR4760" s="19"/>
      <c r="AS4760" s="19"/>
      <c r="AT4760" s="19"/>
      <c r="AU4760" s="19"/>
    </row>
    <row r="4761" spans="3:47">
      <c r="C4761" s="20"/>
      <c r="Z4761" s="20"/>
      <c r="AG4761" s="20"/>
      <c r="AQ4761" s="19"/>
      <c r="AR4761" s="19"/>
      <c r="AS4761" s="19"/>
      <c r="AT4761" s="19"/>
      <c r="AU4761" s="19"/>
    </row>
    <row r="4762" spans="3:47">
      <c r="C4762" s="20"/>
      <c r="Z4762" s="20"/>
      <c r="AG4762" s="20"/>
      <c r="AQ4762" s="19"/>
      <c r="AR4762" s="19"/>
      <c r="AS4762" s="19"/>
      <c r="AT4762" s="19"/>
      <c r="AU4762" s="19"/>
    </row>
    <row r="4763" spans="3:47">
      <c r="C4763" s="20"/>
      <c r="Z4763" s="20"/>
      <c r="AG4763" s="20"/>
      <c r="AQ4763" s="19"/>
      <c r="AR4763" s="19"/>
      <c r="AS4763" s="19"/>
      <c r="AT4763" s="19"/>
      <c r="AU4763" s="19"/>
    </row>
    <row r="4764" spans="3:47">
      <c r="C4764" s="20"/>
      <c r="Z4764" s="20"/>
      <c r="AG4764" s="20"/>
      <c r="AQ4764" s="19"/>
      <c r="AR4764" s="19"/>
      <c r="AS4764" s="19"/>
      <c r="AT4764" s="19"/>
      <c r="AU4764" s="19"/>
    </row>
    <row r="4765" spans="3:47">
      <c r="C4765" s="20"/>
      <c r="Z4765" s="20"/>
      <c r="AG4765" s="20"/>
      <c r="AQ4765" s="19"/>
      <c r="AR4765" s="19"/>
      <c r="AS4765" s="19"/>
      <c r="AT4765" s="19"/>
      <c r="AU4765" s="19"/>
    </row>
    <row r="4766" spans="3:47">
      <c r="C4766" s="20"/>
      <c r="Z4766" s="20"/>
      <c r="AG4766" s="20"/>
      <c r="AQ4766" s="19"/>
      <c r="AR4766" s="19"/>
      <c r="AS4766" s="19"/>
      <c r="AT4766" s="19"/>
      <c r="AU4766" s="19"/>
    </row>
    <row r="4767" spans="3:47">
      <c r="C4767" s="20"/>
      <c r="Z4767" s="20"/>
      <c r="AG4767" s="20"/>
      <c r="AQ4767" s="19"/>
      <c r="AR4767" s="19"/>
      <c r="AS4767" s="19"/>
      <c r="AT4767" s="19"/>
      <c r="AU4767" s="19"/>
    </row>
    <row r="4768" spans="3:47">
      <c r="C4768" s="20"/>
      <c r="Z4768" s="20"/>
      <c r="AG4768" s="20"/>
      <c r="AQ4768" s="19"/>
      <c r="AR4768" s="19"/>
      <c r="AS4768" s="19"/>
      <c r="AT4768" s="19"/>
      <c r="AU4768" s="19"/>
    </row>
    <row r="4769" spans="3:47">
      <c r="C4769" s="20"/>
      <c r="Z4769" s="20"/>
      <c r="AG4769" s="20"/>
      <c r="AQ4769" s="19"/>
      <c r="AR4769" s="19"/>
      <c r="AS4769" s="19"/>
      <c r="AT4769" s="19"/>
      <c r="AU4769" s="19"/>
    </row>
    <row r="4770" spans="3:47">
      <c r="C4770" s="20"/>
      <c r="Z4770" s="20"/>
      <c r="AG4770" s="20"/>
      <c r="AQ4770" s="19"/>
      <c r="AR4770" s="19"/>
      <c r="AS4770" s="19"/>
      <c r="AT4770" s="19"/>
      <c r="AU4770" s="19"/>
    </row>
    <row r="4771" spans="3:47">
      <c r="C4771" s="20"/>
      <c r="Z4771" s="20"/>
      <c r="AG4771" s="20"/>
      <c r="AQ4771" s="19"/>
      <c r="AR4771" s="19"/>
      <c r="AS4771" s="19"/>
      <c r="AT4771" s="19"/>
      <c r="AU4771" s="19"/>
    </row>
    <row r="4772" spans="3:47">
      <c r="C4772" s="20"/>
      <c r="Z4772" s="20"/>
      <c r="AG4772" s="20"/>
      <c r="AQ4772" s="19"/>
      <c r="AR4772" s="19"/>
      <c r="AS4772" s="19"/>
      <c r="AT4772" s="19"/>
      <c r="AU4772" s="19"/>
    </row>
    <row r="4773" spans="3:47">
      <c r="C4773" s="20"/>
      <c r="Z4773" s="20"/>
      <c r="AG4773" s="20"/>
      <c r="AQ4773" s="19"/>
      <c r="AR4773" s="19"/>
      <c r="AS4773" s="19"/>
      <c r="AT4773" s="19"/>
      <c r="AU4773" s="19"/>
    </row>
    <row r="4774" spans="3:47">
      <c r="C4774" s="20"/>
      <c r="Z4774" s="20"/>
      <c r="AG4774" s="20"/>
      <c r="AQ4774" s="19"/>
      <c r="AR4774" s="19"/>
      <c r="AS4774" s="19"/>
      <c r="AT4774" s="19"/>
      <c r="AU4774" s="19"/>
    </row>
    <row r="4775" spans="3:47">
      <c r="C4775" s="20"/>
      <c r="Z4775" s="20"/>
      <c r="AG4775" s="20"/>
      <c r="AQ4775" s="19"/>
      <c r="AR4775" s="19"/>
      <c r="AS4775" s="19"/>
      <c r="AT4775" s="19"/>
      <c r="AU4775" s="19"/>
    </row>
    <row r="4776" spans="3:47">
      <c r="C4776" s="20"/>
      <c r="Z4776" s="20"/>
      <c r="AG4776" s="20"/>
      <c r="AQ4776" s="19"/>
      <c r="AR4776" s="19"/>
      <c r="AS4776" s="19"/>
      <c r="AT4776" s="19"/>
      <c r="AU4776" s="19"/>
    </row>
    <row r="4777" spans="3:47">
      <c r="C4777" s="20"/>
      <c r="Z4777" s="20"/>
      <c r="AG4777" s="20"/>
      <c r="AQ4777" s="19"/>
      <c r="AR4777" s="19"/>
      <c r="AS4777" s="19"/>
      <c r="AT4777" s="19"/>
      <c r="AU4777" s="19"/>
    </row>
    <row r="4778" spans="3:47">
      <c r="C4778" s="20"/>
      <c r="Z4778" s="20"/>
      <c r="AG4778" s="20"/>
      <c r="AQ4778" s="19"/>
      <c r="AR4778" s="19"/>
      <c r="AS4778" s="19"/>
      <c r="AT4778" s="19"/>
      <c r="AU4778" s="19"/>
    </row>
    <row r="4779" spans="3:47">
      <c r="C4779" s="20"/>
      <c r="Z4779" s="20"/>
      <c r="AG4779" s="20"/>
      <c r="AQ4779" s="19"/>
      <c r="AR4779" s="19"/>
      <c r="AS4779" s="19"/>
      <c r="AT4779" s="19"/>
      <c r="AU4779" s="19"/>
    </row>
    <row r="4780" spans="3:47">
      <c r="C4780" s="20"/>
      <c r="Z4780" s="20"/>
      <c r="AG4780" s="20"/>
      <c r="AQ4780" s="19"/>
      <c r="AR4780" s="19"/>
      <c r="AS4780" s="19"/>
      <c r="AT4780" s="19"/>
      <c r="AU4780" s="19"/>
    </row>
    <row r="4781" spans="3:47">
      <c r="C4781" s="20"/>
      <c r="Z4781" s="20"/>
      <c r="AG4781" s="20"/>
      <c r="AQ4781" s="19"/>
      <c r="AR4781" s="19"/>
      <c r="AS4781" s="19"/>
      <c r="AT4781" s="19"/>
      <c r="AU4781" s="19"/>
    </row>
    <row r="4782" spans="3:47">
      <c r="C4782" s="20"/>
      <c r="Z4782" s="20"/>
      <c r="AG4782" s="20"/>
      <c r="AQ4782" s="19"/>
      <c r="AR4782" s="19"/>
      <c r="AS4782" s="19"/>
      <c r="AT4782" s="19"/>
      <c r="AU4782" s="19"/>
    </row>
    <row r="4783" spans="3:47">
      <c r="C4783" s="20"/>
      <c r="Z4783" s="20"/>
      <c r="AG4783" s="20"/>
      <c r="AQ4783" s="19"/>
      <c r="AR4783" s="19"/>
      <c r="AS4783" s="19"/>
      <c r="AT4783" s="19"/>
      <c r="AU4783" s="19"/>
    </row>
    <row r="4784" spans="3:47">
      <c r="C4784" s="20"/>
      <c r="Z4784" s="20"/>
      <c r="AG4784" s="20"/>
      <c r="AQ4784" s="19"/>
      <c r="AR4784" s="19"/>
      <c r="AS4784" s="19"/>
      <c r="AT4784" s="19"/>
      <c r="AU4784" s="19"/>
    </row>
    <row r="4785" spans="3:47">
      <c r="C4785" s="20"/>
      <c r="Z4785" s="20"/>
      <c r="AG4785" s="20"/>
      <c r="AQ4785" s="19"/>
      <c r="AR4785" s="19"/>
      <c r="AS4785" s="19"/>
      <c r="AT4785" s="19"/>
      <c r="AU4785" s="19"/>
    </row>
    <row r="4786" spans="3:47">
      <c r="C4786" s="20"/>
      <c r="Z4786" s="20"/>
      <c r="AG4786" s="20"/>
      <c r="AQ4786" s="19"/>
      <c r="AR4786" s="19"/>
      <c r="AS4786" s="19"/>
      <c r="AT4786" s="19"/>
      <c r="AU4786" s="19"/>
    </row>
    <row r="4787" spans="3:47">
      <c r="C4787" s="20"/>
      <c r="Z4787" s="20"/>
      <c r="AG4787" s="20"/>
      <c r="AQ4787" s="19"/>
      <c r="AR4787" s="19"/>
      <c r="AS4787" s="19"/>
      <c r="AT4787" s="19"/>
      <c r="AU4787" s="19"/>
    </row>
    <row r="4788" spans="3:47">
      <c r="C4788" s="20"/>
      <c r="Z4788" s="20"/>
      <c r="AG4788" s="20"/>
      <c r="AQ4788" s="19"/>
      <c r="AR4788" s="19"/>
      <c r="AS4788" s="19"/>
      <c r="AT4788" s="19"/>
      <c r="AU4788" s="19"/>
    </row>
    <row r="4789" spans="3:47">
      <c r="C4789" s="20"/>
      <c r="Z4789" s="20"/>
      <c r="AG4789" s="20"/>
      <c r="AQ4789" s="19"/>
      <c r="AR4789" s="19"/>
      <c r="AS4789" s="19"/>
      <c r="AT4789" s="19"/>
      <c r="AU4789" s="19"/>
    </row>
    <row r="4790" spans="3:47">
      <c r="C4790" s="20"/>
      <c r="Z4790" s="20"/>
      <c r="AG4790" s="20"/>
      <c r="AQ4790" s="19"/>
      <c r="AR4790" s="19"/>
      <c r="AS4790" s="19"/>
      <c r="AT4790" s="19"/>
      <c r="AU4790" s="19"/>
    </row>
    <row r="4791" spans="3:47">
      <c r="C4791" s="20"/>
      <c r="Z4791" s="20"/>
      <c r="AG4791" s="20"/>
      <c r="AQ4791" s="19"/>
      <c r="AR4791" s="19"/>
      <c r="AS4791" s="19"/>
      <c r="AT4791" s="19"/>
      <c r="AU4791" s="19"/>
    </row>
    <row r="4792" spans="3:47">
      <c r="C4792" s="20"/>
      <c r="Z4792" s="20"/>
      <c r="AG4792" s="20"/>
      <c r="AQ4792" s="19"/>
      <c r="AR4792" s="19"/>
      <c r="AS4792" s="19"/>
      <c r="AT4792" s="19"/>
      <c r="AU4792" s="19"/>
    </row>
    <row r="4793" spans="3:47">
      <c r="C4793" s="20"/>
      <c r="Z4793" s="20"/>
      <c r="AG4793" s="20"/>
      <c r="AQ4793" s="19"/>
      <c r="AR4793" s="19"/>
      <c r="AS4793" s="19"/>
      <c r="AT4793" s="19"/>
      <c r="AU4793" s="19"/>
    </row>
    <row r="4794" spans="3:47">
      <c r="C4794" s="20"/>
      <c r="Z4794" s="20"/>
      <c r="AG4794" s="20"/>
      <c r="AQ4794" s="19"/>
      <c r="AR4794" s="19"/>
      <c r="AS4794" s="19"/>
      <c r="AT4794" s="19"/>
      <c r="AU4794" s="19"/>
    </row>
    <row r="4795" spans="3:47">
      <c r="C4795" s="20"/>
      <c r="Z4795" s="20"/>
      <c r="AG4795" s="20"/>
      <c r="AQ4795" s="19"/>
      <c r="AR4795" s="19"/>
      <c r="AS4795" s="19"/>
      <c r="AT4795" s="19"/>
      <c r="AU4795" s="19"/>
    </row>
    <row r="4796" spans="3:47">
      <c r="C4796" s="20"/>
      <c r="Z4796" s="20"/>
      <c r="AG4796" s="20"/>
      <c r="AQ4796" s="19"/>
      <c r="AR4796" s="19"/>
      <c r="AS4796" s="19"/>
      <c r="AT4796" s="19"/>
      <c r="AU4796" s="19"/>
    </row>
    <row r="4797" spans="3:47">
      <c r="C4797" s="20"/>
      <c r="Z4797" s="20"/>
      <c r="AG4797" s="20"/>
      <c r="AQ4797" s="19"/>
      <c r="AR4797" s="19"/>
      <c r="AS4797" s="19"/>
      <c r="AT4797" s="19"/>
      <c r="AU4797" s="19"/>
    </row>
    <row r="4798" spans="3:47">
      <c r="C4798" s="20"/>
      <c r="Z4798" s="20"/>
      <c r="AG4798" s="20"/>
      <c r="AQ4798" s="19"/>
      <c r="AR4798" s="19"/>
      <c r="AS4798" s="19"/>
      <c r="AT4798" s="19"/>
      <c r="AU4798" s="19"/>
    </row>
    <row r="4799" spans="3:47">
      <c r="C4799" s="20"/>
      <c r="Z4799" s="20"/>
      <c r="AG4799" s="20"/>
      <c r="AQ4799" s="19"/>
      <c r="AR4799" s="19"/>
      <c r="AS4799" s="19"/>
      <c r="AT4799" s="19"/>
      <c r="AU4799" s="19"/>
    </row>
    <row r="4800" spans="3:47">
      <c r="C4800" s="20"/>
      <c r="Z4800" s="20"/>
      <c r="AG4800" s="20"/>
      <c r="AQ4800" s="19"/>
      <c r="AR4800" s="19"/>
      <c r="AS4800" s="19"/>
      <c r="AT4800" s="19"/>
      <c r="AU4800" s="19"/>
    </row>
    <row r="4801" spans="3:47">
      <c r="C4801" s="20"/>
      <c r="Z4801" s="20"/>
      <c r="AG4801" s="20"/>
      <c r="AQ4801" s="19"/>
      <c r="AR4801" s="19"/>
      <c r="AS4801" s="19"/>
      <c r="AT4801" s="19"/>
      <c r="AU4801" s="19"/>
    </row>
    <row r="4802" spans="3:47">
      <c r="C4802" s="20"/>
      <c r="Z4802" s="20"/>
      <c r="AG4802" s="20"/>
      <c r="AQ4802" s="19"/>
      <c r="AR4802" s="19"/>
      <c r="AS4802" s="19"/>
      <c r="AT4802" s="19"/>
      <c r="AU4802" s="19"/>
    </row>
    <row r="4803" spans="3:47">
      <c r="C4803" s="20"/>
      <c r="Z4803" s="20"/>
      <c r="AG4803" s="20"/>
      <c r="AQ4803" s="19"/>
      <c r="AR4803" s="19"/>
      <c r="AS4803" s="19"/>
      <c r="AT4803" s="19"/>
      <c r="AU4803" s="19"/>
    </row>
    <row r="4804" spans="3:47">
      <c r="C4804" s="20"/>
      <c r="Z4804" s="20"/>
      <c r="AG4804" s="20"/>
      <c r="AQ4804" s="19"/>
      <c r="AR4804" s="19"/>
      <c r="AS4804" s="19"/>
      <c r="AT4804" s="19"/>
      <c r="AU4804" s="19"/>
    </row>
    <row r="4805" spans="3:47">
      <c r="C4805" s="20"/>
      <c r="Z4805" s="20"/>
      <c r="AG4805" s="20"/>
      <c r="AQ4805" s="19"/>
      <c r="AR4805" s="19"/>
      <c r="AS4805" s="19"/>
      <c r="AT4805" s="19"/>
      <c r="AU4805" s="19"/>
    </row>
    <row r="4806" spans="3:47">
      <c r="C4806" s="20"/>
      <c r="Z4806" s="20"/>
      <c r="AG4806" s="20"/>
      <c r="AQ4806" s="19"/>
      <c r="AR4806" s="19"/>
      <c r="AS4806" s="19"/>
      <c r="AT4806" s="19"/>
      <c r="AU4806" s="19"/>
    </row>
    <row r="4807" spans="3:47">
      <c r="C4807" s="20"/>
      <c r="Z4807" s="20"/>
      <c r="AG4807" s="20"/>
      <c r="AQ4807" s="19"/>
      <c r="AR4807" s="19"/>
      <c r="AS4807" s="19"/>
      <c r="AT4807" s="19"/>
      <c r="AU4807" s="19"/>
    </row>
    <row r="4808" spans="3:47">
      <c r="C4808" s="20"/>
      <c r="Z4808" s="20"/>
      <c r="AG4808" s="20"/>
      <c r="AQ4808" s="19"/>
      <c r="AR4808" s="19"/>
      <c r="AS4808" s="19"/>
      <c r="AT4808" s="19"/>
      <c r="AU4808" s="19"/>
    </row>
    <row r="4809" spans="3:47">
      <c r="C4809" s="20"/>
      <c r="Z4809" s="20"/>
      <c r="AG4809" s="20"/>
      <c r="AQ4809" s="19"/>
      <c r="AR4809" s="19"/>
      <c r="AS4809" s="19"/>
      <c r="AT4809" s="19"/>
      <c r="AU4809" s="19"/>
    </row>
    <row r="4810" spans="3:47">
      <c r="C4810" s="20"/>
      <c r="Z4810" s="20"/>
      <c r="AG4810" s="20"/>
      <c r="AQ4810" s="19"/>
      <c r="AR4810" s="19"/>
      <c r="AS4810" s="19"/>
      <c r="AT4810" s="19"/>
      <c r="AU4810" s="19"/>
    </row>
    <row r="4811" spans="3:47">
      <c r="C4811" s="20"/>
      <c r="Z4811" s="20"/>
      <c r="AG4811" s="20"/>
      <c r="AQ4811" s="19"/>
      <c r="AR4811" s="19"/>
      <c r="AS4811" s="19"/>
      <c r="AT4811" s="19"/>
      <c r="AU4811" s="19"/>
    </row>
    <row r="4812" spans="3:47">
      <c r="C4812" s="20"/>
      <c r="Z4812" s="20"/>
      <c r="AG4812" s="20"/>
      <c r="AQ4812" s="19"/>
      <c r="AR4812" s="19"/>
      <c r="AS4812" s="19"/>
      <c r="AT4812" s="19"/>
      <c r="AU4812" s="19"/>
    </row>
    <row r="4813" spans="3:47">
      <c r="C4813" s="20"/>
      <c r="Z4813" s="20"/>
      <c r="AG4813" s="20"/>
      <c r="AQ4813" s="19"/>
      <c r="AR4813" s="19"/>
      <c r="AS4813" s="19"/>
      <c r="AT4813" s="19"/>
      <c r="AU4813" s="19"/>
    </row>
    <row r="4814" spans="3:47">
      <c r="C4814" s="20"/>
      <c r="Z4814" s="20"/>
      <c r="AG4814" s="20"/>
      <c r="AQ4814" s="19"/>
      <c r="AR4814" s="19"/>
      <c r="AS4814" s="19"/>
      <c r="AT4814" s="19"/>
      <c r="AU4814" s="19"/>
    </row>
    <row r="4815" spans="3:47">
      <c r="C4815" s="20"/>
      <c r="Z4815" s="20"/>
      <c r="AG4815" s="20"/>
      <c r="AQ4815" s="19"/>
      <c r="AR4815" s="19"/>
      <c r="AS4815" s="19"/>
      <c r="AT4815" s="19"/>
      <c r="AU4815" s="19"/>
    </row>
    <row r="4816" spans="3:47">
      <c r="C4816" s="20"/>
      <c r="Z4816" s="20"/>
      <c r="AG4816" s="20"/>
      <c r="AQ4816" s="19"/>
      <c r="AR4816" s="19"/>
      <c r="AS4816" s="19"/>
      <c r="AT4816" s="19"/>
      <c r="AU4816" s="19"/>
    </row>
    <row r="4817" spans="3:47">
      <c r="C4817" s="20"/>
      <c r="Z4817" s="20"/>
      <c r="AG4817" s="20"/>
      <c r="AQ4817" s="19"/>
      <c r="AR4817" s="19"/>
      <c r="AS4817" s="19"/>
      <c r="AT4817" s="19"/>
      <c r="AU4817" s="19"/>
    </row>
    <row r="4818" spans="3:47">
      <c r="C4818" s="20"/>
      <c r="Z4818" s="20"/>
      <c r="AG4818" s="20"/>
      <c r="AQ4818" s="19"/>
      <c r="AR4818" s="19"/>
      <c r="AS4818" s="19"/>
      <c r="AT4818" s="19"/>
      <c r="AU4818" s="19"/>
    </row>
    <row r="4819" spans="3:47">
      <c r="C4819" s="20"/>
      <c r="Z4819" s="20"/>
      <c r="AG4819" s="20"/>
      <c r="AQ4819" s="19"/>
      <c r="AR4819" s="19"/>
      <c r="AS4819" s="19"/>
      <c r="AT4819" s="19"/>
      <c r="AU4819" s="19"/>
    </row>
    <row r="4820" spans="3:47">
      <c r="C4820" s="20"/>
      <c r="Z4820" s="20"/>
      <c r="AG4820" s="20"/>
      <c r="AQ4820" s="19"/>
      <c r="AR4820" s="19"/>
      <c r="AS4820" s="19"/>
      <c r="AT4820" s="19"/>
      <c r="AU4820" s="19"/>
    </row>
    <row r="4821" spans="3:47">
      <c r="C4821" s="20"/>
      <c r="Z4821" s="20"/>
      <c r="AG4821" s="20"/>
      <c r="AQ4821" s="19"/>
      <c r="AR4821" s="19"/>
      <c r="AS4821" s="19"/>
      <c r="AT4821" s="19"/>
      <c r="AU4821" s="19"/>
    </row>
    <row r="4822" spans="3:47">
      <c r="C4822" s="20"/>
      <c r="Z4822" s="20"/>
      <c r="AG4822" s="20"/>
      <c r="AQ4822" s="19"/>
      <c r="AR4822" s="19"/>
      <c r="AS4822" s="19"/>
      <c r="AT4822" s="19"/>
      <c r="AU4822" s="19"/>
    </row>
    <row r="4823" spans="3:47">
      <c r="C4823" s="20"/>
      <c r="Z4823" s="20"/>
      <c r="AG4823" s="20"/>
      <c r="AQ4823" s="19"/>
      <c r="AR4823" s="19"/>
      <c r="AS4823" s="19"/>
      <c r="AT4823" s="19"/>
      <c r="AU4823" s="19"/>
    </row>
    <row r="4824" spans="3:47">
      <c r="C4824" s="20"/>
      <c r="Z4824" s="20"/>
      <c r="AG4824" s="20"/>
      <c r="AQ4824" s="19"/>
      <c r="AR4824" s="19"/>
      <c r="AS4824" s="19"/>
      <c r="AT4824" s="19"/>
      <c r="AU4824" s="19"/>
    </row>
    <row r="4825" spans="3:47">
      <c r="C4825" s="20"/>
      <c r="Z4825" s="20"/>
      <c r="AG4825" s="20"/>
      <c r="AQ4825" s="19"/>
      <c r="AR4825" s="19"/>
      <c r="AS4825" s="19"/>
      <c r="AT4825" s="19"/>
      <c r="AU4825" s="19"/>
    </row>
    <row r="4826" spans="3:47">
      <c r="C4826" s="20"/>
      <c r="Z4826" s="20"/>
      <c r="AG4826" s="20"/>
      <c r="AQ4826" s="19"/>
      <c r="AR4826" s="19"/>
      <c r="AS4826" s="19"/>
      <c r="AT4826" s="19"/>
      <c r="AU4826" s="19"/>
    </row>
    <row r="4827" spans="3:47">
      <c r="C4827" s="20"/>
      <c r="Z4827" s="20"/>
      <c r="AG4827" s="20"/>
      <c r="AQ4827" s="19"/>
      <c r="AR4827" s="19"/>
      <c r="AS4827" s="19"/>
      <c r="AT4827" s="19"/>
      <c r="AU4827" s="19"/>
    </row>
    <row r="4828" spans="3:47">
      <c r="C4828" s="20"/>
      <c r="Z4828" s="20"/>
      <c r="AG4828" s="20"/>
      <c r="AQ4828" s="19"/>
      <c r="AR4828" s="19"/>
      <c r="AS4828" s="19"/>
      <c r="AT4828" s="19"/>
      <c r="AU4828" s="19"/>
    </row>
    <row r="4829" spans="3:47">
      <c r="C4829" s="20"/>
      <c r="Z4829" s="20"/>
      <c r="AG4829" s="20"/>
      <c r="AQ4829" s="19"/>
      <c r="AR4829" s="19"/>
      <c r="AS4829" s="19"/>
      <c r="AT4829" s="19"/>
      <c r="AU4829" s="19"/>
    </row>
    <row r="4830" spans="3:47">
      <c r="C4830" s="20"/>
      <c r="Z4830" s="20"/>
      <c r="AG4830" s="20"/>
      <c r="AQ4830" s="19"/>
      <c r="AR4830" s="19"/>
      <c r="AS4830" s="19"/>
      <c r="AT4830" s="19"/>
      <c r="AU4830" s="19"/>
    </row>
    <row r="4831" spans="3:47">
      <c r="C4831" s="20"/>
      <c r="Z4831" s="20"/>
      <c r="AG4831" s="20"/>
      <c r="AQ4831" s="19"/>
      <c r="AR4831" s="19"/>
      <c r="AS4831" s="19"/>
      <c r="AT4831" s="19"/>
      <c r="AU4831" s="19"/>
    </row>
    <row r="4832" spans="3:47">
      <c r="C4832" s="20"/>
      <c r="Z4832" s="20"/>
      <c r="AG4832" s="20"/>
      <c r="AQ4832" s="19"/>
      <c r="AR4832" s="19"/>
      <c r="AS4832" s="19"/>
      <c r="AT4832" s="19"/>
      <c r="AU4832" s="19"/>
    </row>
    <row r="4833" spans="3:47">
      <c r="C4833" s="20"/>
      <c r="Z4833" s="20"/>
      <c r="AG4833" s="20"/>
      <c r="AQ4833" s="19"/>
      <c r="AR4833" s="19"/>
      <c r="AS4833" s="19"/>
      <c r="AT4833" s="19"/>
      <c r="AU4833" s="19"/>
    </row>
    <row r="4834" spans="3:47">
      <c r="C4834" s="20"/>
      <c r="Z4834" s="20"/>
      <c r="AG4834" s="20"/>
      <c r="AQ4834" s="19"/>
      <c r="AR4834" s="19"/>
      <c r="AS4834" s="19"/>
      <c r="AT4834" s="19"/>
      <c r="AU4834" s="19"/>
    </row>
    <row r="4835" spans="3:47">
      <c r="C4835" s="20"/>
      <c r="Z4835" s="20"/>
      <c r="AG4835" s="20"/>
      <c r="AQ4835" s="19"/>
      <c r="AR4835" s="19"/>
      <c r="AS4835" s="19"/>
      <c r="AT4835" s="19"/>
      <c r="AU4835" s="19"/>
    </row>
    <row r="4836" spans="3:47">
      <c r="C4836" s="20"/>
      <c r="Z4836" s="20"/>
      <c r="AG4836" s="20"/>
      <c r="AQ4836" s="19"/>
      <c r="AR4836" s="19"/>
      <c r="AS4836" s="19"/>
      <c r="AT4836" s="19"/>
      <c r="AU4836" s="19"/>
    </row>
    <row r="4837" spans="3:47">
      <c r="C4837" s="20"/>
      <c r="Z4837" s="20"/>
      <c r="AG4837" s="20"/>
      <c r="AQ4837" s="19"/>
      <c r="AR4837" s="19"/>
      <c r="AS4837" s="19"/>
      <c r="AT4837" s="19"/>
      <c r="AU4837" s="19"/>
    </row>
    <row r="4838" spans="3:47">
      <c r="C4838" s="20"/>
      <c r="Z4838" s="20"/>
      <c r="AG4838" s="20"/>
      <c r="AQ4838" s="19"/>
      <c r="AR4838" s="19"/>
      <c r="AS4838" s="19"/>
      <c r="AT4838" s="19"/>
      <c r="AU4838" s="19"/>
    </row>
    <row r="4839" spans="3:47">
      <c r="C4839" s="20"/>
      <c r="Z4839" s="20"/>
      <c r="AG4839" s="20"/>
      <c r="AQ4839" s="19"/>
      <c r="AR4839" s="19"/>
      <c r="AS4839" s="19"/>
      <c r="AT4839" s="19"/>
      <c r="AU4839" s="19"/>
    </row>
    <row r="4840" spans="3:47">
      <c r="C4840" s="20"/>
      <c r="Z4840" s="20"/>
      <c r="AG4840" s="20"/>
      <c r="AQ4840" s="19"/>
      <c r="AR4840" s="19"/>
      <c r="AS4840" s="19"/>
      <c r="AT4840" s="19"/>
      <c r="AU4840" s="19"/>
    </row>
    <row r="4841" spans="3:47">
      <c r="C4841" s="20"/>
      <c r="Z4841" s="20"/>
      <c r="AG4841" s="20"/>
      <c r="AQ4841" s="19"/>
      <c r="AR4841" s="19"/>
      <c r="AS4841" s="19"/>
      <c r="AT4841" s="19"/>
      <c r="AU4841" s="19"/>
    </row>
    <row r="4842" spans="3:47">
      <c r="C4842" s="20"/>
      <c r="Z4842" s="20"/>
      <c r="AG4842" s="20"/>
      <c r="AQ4842" s="19"/>
      <c r="AR4842" s="19"/>
      <c r="AS4842" s="19"/>
      <c r="AT4842" s="19"/>
      <c r="AU4842" s="19"/>
    </row>
    <row r="4843" spans="3:47">
      <c r="C4843" s="20"/>
      <c r="Z4843" s="20"/>
      <c r="AG4843" s="20"/>
      <c r="AQ4843" s="19"/>
      <c r="AR4843" s="19"/>
      <c r="AS4843" s="19"/>
      <c r="AT4843" s="19"/>
      <c r="AU4843" s="19"/>
    </row>
    <row r="4844" spans="3:47">
      <c r="C4844" s="20"/>
      <c r="Z4844" s="20"/>
      <c r="AG4844" s="20"/>
      <c r="AQ4844" s="19"/>
      <c r="AR4844" s="19"/>
      <c r="AS4844" s="19"/>
      <c r="AT4844" s="19"/>
      <c r="AU4844" s="19"/>
    </row>
    <row r="4845" spans="3:47">
      <c r="C4845" s="20"/>
      <c r="Z4845" s="20"/>
      <c r="AG4845" s="20"/>
      <c r="AQ4845" s="19"/>
      <c r="AR4845" s="19"/>
      <c r="AS4845" s="19"/>
      <c r="AT4845" s="19"/>
      <c r="AU4845" s="19"/>
    </row>
    <row r="4846" spans="3:47">
      <c r="C4846" s="20"/>
      <c r="Z4846" s="20"/>
      <c r="AG4846" s="20"/>
      <c r="AQ4846" s="19"/>
      <c r="AR4846" s="19"/>
      <c r="AS4846" s="19"/>
      <c r="AT4846" s="19"/>
      <c r="AU4846" s="19"/>
    </row>
    <row r="4847" spans="3:47">
      <c r="C4847" s="20"/>
      <c r="Z4847" s="20"/>
      <c r="AG4847" s="20"/>
      <c r="AQ4847" s="19"/>
      <c r="AR4847" s="19"/>
      <c r="AS4847" s="19"/>
      <c r="AT4847" s="19"/>
      <c r="AU4847" s="19"/>
    </row>
    <row r="4848" spans="3:47">
      <c r="C4848" s="20"/>
      <c r="Z4848" s="20"/>
      <c r="AG4848" s="20"/>
      <c r="AQ4848" s="19"/>
      <c r="AR4848" s="19"/>
      <c r="AS4848" s="19"/>
      <c r="AT4848" s="19"/>
      <c r="AU4848" s="19"/>
    </row>
    <row r="4849" spans="3:47">
      <c r="C4849" s="20"/>
      <c r="Z4849" s="20"/>
      <c r="AG4849" s="20"/>
      <c r="AQ4849" s="19"/>
      <c r="AR4849" s="19"/>
      <c r="AS4849" s="19"/>
      <c r="AT4849" s="19"/>
      <c r="AU4849" s="19"/>
    </row>
    <row r="4850" spans="3:47">
      <c r="C4850" s="20"/>
      <c r="Z4850" s="20"/>
      <c r="AG4850" s="20"/>
      <c r="AQ4850" s="19"/>
      <c r="AR4850" s="19"/>
      <c r="AS4850" s="19"/>
      <c r="AT4850" s="19"/>
      <c r="AU4850" s="19"/>
    </row>
    <row r="4851" spans="3:47">
      <c r="C4851" s="20"/>
      <c r="Z4851" s="20"/>
      <c r="AG4851" s="20"/>
      <c r="AQ4851" s="19"/>
      <c r="AR4851" s="19"/>
      <c r="AS4851" s="19"/>
      <c r="AT4851" s="19"/>
      <c r="AU4851" s="19"/>
    </row>
    <row r="4852" spans="3:47">
      <c r="C4852" s="20"/>
      <c r="Z4852" s="20"/>
      <c r="AG4852" s="20"/>
      <c r="AQ4852" s="19"/>
      <c r="AR4852" s="19"/>
      <c r="AS4852" s="19"/>
      <c r="AT4852" s="19"/>
      <c r="AU4852" s="19"/>
    </row>
    <row r="4853" spans="3:47">
      <c r="C4853" s="20"/>
      <c r="Z4853" s="20"/>
      <c r="AG4853" s="20"/>
      <c r="AQ4853" s="19"/>
      <c r="AR4853" s="19"/>
      <c r="AS4853" s="19"/>
      <c r="AT4853" s="19"/>
      <c r="AU4853" s="19"/>
    </row>
    <row r="4854" spans="3:47">
      <c r="C4854" s="20"/>
      <c r="Z4854" s="20"/>
      <c r="AG4854" s="20"/>
      <c r="AQ4854" s="19"/>
      <c r="AR4854" s="19"/>
      <c r="AS4854" s="19"/>
      <c r="AT4854" s="19"/>
      <c r="AU4854" s="19"/>
    </row>
    <row r="4855" spans="3:47">
      <c r="C4855" s="20"/>
      <c r="Z4855" s="20"/>
      <c r="AG4855" s="20"/>
      <c r="AQ4855" s="19"/>
      <c r="AR4855" s="19"/>
      <c r="AS4855" s="19"/>
      <c r="AT4855" s="19"/>
      <c r="AU4855" s="19"/>
    </row>
    <row r="4856" spans="3:47">
      <c r="C4856" s="20"/>
      <c r="Z4856" s="20"/>
      <c r="AG4856" s="20"/>
      <c r="AQ4856" s="19"/>
      <c r="AR4856" s="19"/>
      <c r="AS4856" s="19"/>
      <c r="AT4856" s="19"/>
      <c r="AU4856" s="19"/>
    </row>
    <row r="4857" spans="3:47">
      <c r="C4857" s="20"/>
      <c r="Z4857" s="20"/>
      <c r="AG4857" s="20"/>
      <c r="AQ4857" s="19"/>
      <c r="AR4857" s="19"/>
      <c r="AS4857" s="19"/>
      <c r="AT4857" s="19"/>
      <c r="AU4857" s="19"/>
    </row>
    <row r="4858" spans="3:47">
      <c r="C4858" s="20"/>
      <c r="Z4858" s="20"/>
      <c r="AG4858" s="20"/>
      <c r="AQ4858" s="19"/>
      <c r="AR4858" s="19"/>
      <c r="AS4858" s="19"/>
      <c r="AT4858" s="19"/>
      <c r="AU4858" s="19"/>
    </row>
    <row r="4859" spans="3:47">
      <c r="C4859" s="20"/>
      <c r="Z4859" s="20"/>
      <c r="AG4859" s="20"/>
      <c r="AQ4859" s="19"/>
      <c r="AR4859" s="19"/>
      <c r="AS4859" s="19"/>
      <c r="AT4859" s="19"/>
      <c r="AU4859" s="19"/>
    </row>
    <row r="4860" spans="3:47">
      <c r="C4860" s="20"/>
      <c r="Z4860" s="20"/>
      <c r="AG4860" s="20"/>
      <c r="AQ4860" s="19"/>
      <c r="AR4860" s="19"/>
      <c r="AS4860" s="19"/>
      <c r="AT4860" s="19"/>
      <c r="AU4860" s="19"/>
    </row>
    <row r="4861" spans="3:47">
      <c r="C4861" s="20"/>
      <c r="Z4861" s="20"/>
      <c r="AG4861" s="20"/>
      <c r="AQ4861" s="19"/>
      <c r="AR4861" s="19"/>
      <c r="AS4861" s="19"/>
      <c r="AT4861" s="19"/>
      <c r="AU4861" s="19"/>
    </row>
    <row r="4862" spans="3:47">
      <c r="C4862" s="20"/>
      <c r="Z4862" s="20"/>
      <c r="AG4862" s="20"/>
      <c r="AQ4862" s="19"/>
      <c r="AR4862" s="19"/>
      <c r="AS4862" s="19"/>
      <c r="AT4862" s="19"/>
      <c r="AU4862" s="19"/>
    </row>
    <row r="4863" spans="3:47">
      <c r="C4863" s="20"/>
      <c r="Z4863" s="20"/>
      <c r="AG4863" s="20"/>
      <c r="AQ4863" s="19"/>
      <c r="AR4863" s="19"/>
      <c r="AS4863" s="19"/>
      <c r="AT4863" s="19"/>
      <c r="AU4863" s="19"/>
    </row>
    <row r="4864" spans="3:47">
      <c r="C4864" s="20"/>
      <c r="Z4864" s="20"/>
      <c r="AG4864" s="20"/>
      <c r="AQ4864" s="19"/>
      <c r="AR4864" s="19"/>
      <c r="AS4864" s="19"/>
      <c r="AT4864" s="19"/>
      <c r="AU4864" s="19"/>
    </row>
    <row r="4865" spans="3:47">
      <c r="C4865" s="20"/>
      <c r="Z4865" s="20"/>
      <c r="AG4865" s="20"/>
      <c r="AQ4865" s="19"/>
      <c r="AR4865" s="19"/>
      <c r="AS4865" s="19"/>
      <c r="AT4865" s="19"/>
      <c r="AU4865" s="19"/>
    </row>
    <row r="4866" spans="3:47">
      <c r="C4866" s="20"/>
      <c r="Z4866" s="20"/>
      <c r="AG4866" s="20"/>
      <c r="AQ4866" s="19"/>
      <c r="AR4866" s="19"/>
      <c r="AS4866" s="19"/>
      <c r="AT4866" s="19"/>
      <c r="AU4866" s="19"/>
    </row>
    <row r="4867" spans="3:47">
      <c r="C4867" s="20"/>
      <c r="Z4867" s="20"/>
      <c r="AG4867" s="20"/>
      <c r="AQ4867" s="19"/>
      <c r="AR4867" s="19"/>
      <c r="AS4867" s="19"/>
      <c r="AT4867" s="19"/>
      <c r="AU4867" s="19"/>
    </row>
    <row r="4868" spans="3:47">
      <c r="C4868" s="20"/>
      <c r="Z4868" s="20"/>
      <c r="AG4868" s="20"/>
      <c r="AQ4868" s="19"/>
      <c r="AR4868" s="19"/>
      <c r="AS4868" s="19"/>
      <c r="AT4868" s="19"/>
      <c r="AU4868" s="19"/>
    </row>
    <row r="4869" spans="3:47">
      <c r="C4869" s="20"/>
      <c r="Z4869" s="20"/>
      <c r="AG4869" s="20"/>
      <c r="AQ4869" s="19"/>
      <c r="AR4869" s="19"/>
      <c r="AS4869" s="19"/>
      <c r="AT4869" s="19"/>
      <c r="AU4869" s="19"/>
    </row>
    <row r="4870" spans="3:47">
      <c r="C4870" s="20"/>
      <c r="Z4870" s="20"/>
      <c r="AG4870" s="20"/>
      <c r="AQ4870" s="19"/>
      <c r="AR4870" s="19"/>
      <c r="AS4870" s="19"/>
      <c r="AT4870" s="19"/>
      <c r="AU4870" s="19"/>
    </row>
    <row r="4871" spans="3:47">
      <c r="C4871" s="20"/>
      <c r="Z4871" s="20"/>
      <c r="AG4871" s="20"/>
      <c r="AQ4871" s="19"/>
      <c r="AR4871" s="19"/>
      <c r="AS4871" s="19"/>
      <c r="AT4871" s="19"/>
      <c r="AU4871" s="19"/>
    </row>
    <row r="4872" spans="3:47">
      <c r="C4872" s="20"/>
      <c r="Z4872" s="20"/>
      <c r="AG4872" s="20"/>
      <c r="AQ4872" s="19"/>
      <c r="AR4872" s="19"/>
      <c r="AS4872" s="19"/>
      <c r="AT4872" s="19"/>
      <c r="AU4872" s="19"/>
    </row>
    <row r="4873" spans="3:47">
      <c r="C4873" s="20"/>
      <c r="Z4873" s="20"/>
      <c r="AG4873" s="20"/>
      <c r="AQ4873" s="19"/>
      <c r="AR4873" s="19"/>
      <c r="AS4873" s="19"/>
      <c r="AT4873" s="19"/>
      <c r="AU4873" s="19"/>
    </row>
    <row r="4874" spans="3:47">
      <c r="C4874" s="20"/>
      <c r="Z4874" s="20"/>
      <c r="AG4874" s="20"/>
      <c r="AQ4874" s="19"/>
      <c r="AR4874" s="19"/>
      <c r="AS4874" s="19"/>
      <c r="AT4874" s="19"/>
      <c r="AU4874" s="19"/>
    </row>
    <row r="4875" spans="3:47">
      <c r="C4875" s="20"/>
      <c r="Z4875" s="20"/>
      <c r="AG4875" s="20"/>
      <c r="AQ4875" s="19"/>
      <c r="AR4875" s="19"/>
      <c r="AS4875" s="19"/>
      <c r="AT4875" s="19"/>
      <c r="AU4875" s="19"/>
    </row>
    <row r="4876" spans="3:47">
      <c r="C4876" s="20"/>
      <c r="Z4876" s="20"/>
      <c r="AG4876" s="20"/>
      <c r="AQ4876" s="19"/>
      <c r="AR4876" s="19"/>
      <c r="AS4876" s="19"/>
      <c r="AT4876" s="19"/>
      <c r="AU4876" s="19"/>
    </row>
    <row r="4877" spans="3:47">
      <c r="C4877" s="20"/>
      <c r="Z4877" s="20"/>
      <c r="AG4877" s="20"/>
      <c r="AQ4877" s="19"/>
      <c r="AR4877" s="19"/>
      <c r="AS4877" s="19"/>
      <c r="AT4877" s="19"/>
      <c r="AU4877" s="19"/>
    </row>
    <row r="4878" spans="3:47">
      <c r="C4878" s="20"/>
      <c r="Z4878" s="20"/>
      <c r="AG4878" s="20"/>
      <c r="AQ4878" s="19"/>
      <c r="AR4878" s="19"/>
      <c r="AS4878" s="19"/>
      <c r="AT4878" s="19"/>
      <c r="AU4878" s="19"/>
    </row>
    <row r="4879" spans="3:47">
      <c r="C4879" s="20"/>
      <c r="Z4879" s="20"/>
      <c r="AG4879" s="20"/>
      <c r="AQ4879" s="19"/>
      <c r="AR4879" s="19"/>
      <c r="AS4879" s="19"/>
      <c r="AT4879" s="19"/>
      <c r="AU4879" s="19"/>
    </row>
    <row r="4880" spans="3:47">
      <c r="C4880" s="20"/>
      <c r="Z4880" s="20"/>
      <c r="AG4880" s="20"/>
      <c r="AQ4880" s="19"/>
      <c r="AR4880" s="19"/>
      <c r="AS4880" s="19"/>
      <c r="AT4880" s="19"/>
      <c r="AU4880" s="19"/>
    </row>
    <row r="4881" spans="3:47">
      <c r="C4881" s="20"/>
      <c r="Z4881" s="20"/>
      <c r="AG4881" s="20"/>
      <c r="AQ4881" s="19"/>
      <c r="AR4881" s="19"/>
      <c r="AS4881" s="19"/>
      <c r="AT4881" s="19"/>
      <c r="AU4881" s="19"/>
    </row>
    <row r="4882" spans="3:47">
      <c r="C4882" s="20"/>
      <c r="Z4882" s="20"/>
      <c r="AG4882" s="20"/>
      <c r="AQ4882" s="19"/>
      <c r="AR4882" s="19"/>
      <c r="AS4882" s="19"/>
      <c r="AT4882" s="19"/>
      <c r="AU4882" s="19"/>
    </row>
    <row r="4883" spans="3:47">
      <c r="C4883" s="20"/>
      <c r="Z4883" s="20"/>
      <c r="AG4883" s="20"/>
      <c r="AQ4883" s="19"/>
      <c r="AR4883" s="19"/>
      <c r="AS4883" s="19"/>
      <c r="AT4883" s="19"/>
      <c r="AU4883" s="19"/>
    </row>
    <row r="4884" spans="3:47">
      <c r="C4884" s="20"/>
      <c r="Z4884" s="20"/>
      <c r="AG4884" s="20"/>
      <c r="AQ4884" s="19"/>
      <c r="AR4884" s="19"/>
      <c r="AS4884" s="19"/>
      <c r="AT4884" s="19"/>
      <c r="AU4884" s="19"/>
    </row>
    <row r="4885" spans="3:47">
      <c r="C4885" s="20"/>
      <c r="Z4885" s="20"/>
      <c r="AG4885" s="20"/>
      <c r="AQ4885" s="19"/>
      <c r="AR4885" s="19"/>
      <c r="AS4885" s="19"/>
      <c r="AT4885" s="19"/>
      <c r="AU4885" s="19"/>
    </row>
    <row r="4886" spans="3:47">
      <c r="C4886" s="20"/>
      <c r="Z4886" s="20"/>
      <c r="AG4886" s="20"/>
      <c r="AQ4886" s="19"/>
      <c r="AR4886" s="19"/>
      <c r="AS4886" s="19"/>
      <c r="AT4886" s="19"/>
      <c r="AU4886" s="19"/>
    </row>
    <row r="4887" spans="3:47">
      <c r="C4887" s="20"/>
      <c r="Z4887" s="20"/>
      <c r="AG4887" s="20"/>
      <c r="AQ4887" s="19"/>
      <c r="AR4887" s="19"/>
      <c r="AS4887" s="19"/>
      <c r="AT4887" s="19"/>
      <c r="AU4887" s="19"/>
    </row>
    <row r="4888" spans="3:47">
      <c r="C4888" s="20"/>
      <c r="Z4888" s="20"/>
      <c r="AG4888" s="20"/>
      <c r="AQ4888" s="19"/>
      <c r="AR4888" s="19"/>
      <c r="AS4888" s="19"/>
      <c r="AT4888" s="19"/>
      <c r="AU4888" s="19"/>
    </row>
    <row r="4889" spans="3:47">
      <c r="C4889" s="20"/>
      <c r="Z4889" s="20"/>
      <c r="AG4889" s="20"/>
      <c r="AQ4889" s="19"/>
      <c r="AR4889" s="19"/>
      <c r="AS4889" s="19"/>
      <c r="AT4889" s="19"/>
      <c r="AU4889" s="19"/>
    </row>
    <row r="4890" spans="3:47">
      <c r="C4890" s="20"/>
      <c r="Z4890" s="20"/>
      <c r="AG4890" s="20"/>
      <c r="AQ4890" s="19"/>
      <c r="AR4890" s="19"/>
      <c r="AS4890" s="19"/>
      <c r="AT4890" s="19"/>
      <c r="AU4890" s="19"/>
    </row>
    <row r="4891" spans="3:47">
      <c r="C4891" s="20"/>
      <c r="Z4891" s="20"/>
      <c r="AG4891" s="20"/>
      <c r="AQ4891" s="19"/>
      <c r="AR4891" s="19"/>
      <c r="AS4891" s="19"/>
      <c r="AT4891" s="19"/>
      <c r="AU4891" s="19"/>
    </row>
    <row r="4892" spans="3:47">
      <c r="C4892" s="20"/>
      <c r="Z4892" s="20"/>
      <c r="AG4892" s="20"/>
      <c r="AQ4892" s="19"/>
      <c r="AR4892" s="19"/>
      <c r="AS4892" s="19"/>
      <c r="AT4892" s="19"/>
      <c r="AU4892" s="19"/>
    </row>
    <row r="4893" spans="3:47">
      <c r="C4893" s="20"/>
      <c r="Z4893" s="20"/>
      <c r="AG4893" s="20"/>
      <c r="AQ4893" s="19"/>
      <c r="AR4893" s="19"/>
      <c r="AS4893" s="19"/>
      <c r="AT4893" s="19"/>
      <c r="AU4893" s="19"/>
    </row>
    <row r="4894" spans="3:47">
      <c r="C4894" s="20"/>
      <c r="Z4894" s="20"/>
      <c r="AG4894" s="20"/>
      <c r="AQ4894" s="19"/>
      <c r="AR4894" s="19"/>
      <c r="AS4894" s="19"/>
      <c r="AT4894" s="19"/>
      <c r="AU4894" s="19"/>
    </row>
    <row r="4895" spans="3:47">
      <c r="C4895" s="20"/>
      <c r="Z4895" s="20"/>
      <c r="AG4895" s="20"/>
      <c r="AQ4895" s="19"/>
      <c r="AR4895" s="19"/>
      <c r="AS4895" s="19"/>
      <c r="AT4895" s="19"/>
      <c r="AU4895" s="19"/>
    </row>
    <row r="4896" spans="3:47">
      <c r="C4896" s="20"/>
      <c r="Z4896" s="20"/>
      <c r="AG4896" s="20"/>
      <c r="AQ4896" s="19"/>
      <c r="AR4896" s="19"/>
      <c r="AS4896" s="19"/>
      <c r="AT4896" s="19"/>
      <c r="AU4896" s="19"/>
    </row>
    <row r="4897" spans="3:47">
      <c r="C4897" s="20"/>
      <c r="Z4897" s="20"/>
      <c r="AG4897" s="20"/>
      <c r="AQ4897" s="19"/>
      <c r="AR4897" s="19"/>
      <c r="AS4897" s="19"/>
      <c r="AT4897" s="19"/>
      <c r="AU4897" s="19"/>
    </row>
    <row r="4898" spans="3:47">
      <c r="C4898" s="20"/>
      <c r="Z4898" s="20"/>
      <c r="AG4898" s="20"/>
      <c r="AQ4898" s="19"/>
      <c r="AR4898" s="19"/>
      <c r="AS4898" s="19"/>
      <c r="AT4898" s="19"/>
      <c r="AU4898" s="19"/>
    </row>
    <row r="4899" spans="3:47">
      <c r="C4899" s="20"/>
      <c r="Z4899" s="20"/>
      <c r="AG4899" s="20"/>
      <c r="AQ4899" s="19"/>
      <c r="AR4899" s="19"/>
      <c r="AS4899" s="19"/>
      <c r="AT4899" s="19"/>
      <c r="AU4899" s="19"/>
    </row>
    <row r="4900" spans="3:47">
      <c r="C4900" s="20"/>
      <c r="Z4900" s="20"/>
      <c r="AG4900" s="20"/>
      <c r="AQ4900" s="19"/>
      <c r="AR4900" s="19"/>
      <c r="AS4900" s="19"/>
      <c r="AT4900" s="19"/>
      <c r="AU4900" s="19"/>
    </row>
    <row r="4901" spans="3:47">
      <c r="C4901" s="20"/>
      <c r="Z4901" s="20"/>
      <c r="AG4901" s="20"/>
      <c r="AQ4901" s="19"/>
      <c r="AR4901" s="19"/>
      <c r="AS4901" s="19"/>
      <c r="AT4901" s="19"/>
      <c r="AU4901" s="19"/>
    </row>
    <row r="4902" spans="3:47">
      <c r="C4902" s="20"/>
      <c r="Z4902" s="20"/>
      <c r="AG4902" s="20"/>
      <c r="AQ4902" s="19"/>
      <c r="AR4902" s="19"/>
      <c r="AS4902" s="19"/>
      <c r="AT4902" s="19"/>
      <c r="AU4902" s="19"/>
    </row>
    <row r="4903" spans="3:47">
      <c r="C4903" s="20"/>
      <c r="Z4903" s="20"/>
      <c r="AG4903" s="20"/>
      <c r="AQ4903" s="19"/>
      <c r="AR4903" s="19"/>
      <c r="AS4903" s="19"/>
      <c r="AT4903" s="19"/>
      <c r="AU4903" s="19"/>
    </row>
    <row r="4904" spans="3:47">
      <c r="C4904" s="20"/>
      <c r="Z4904" s="20"/>
      <c r="AG4904" s="20"/>
      <c r="AQ4904" s="19"/>
      <c r="AR4904" s="19"/>
      <c r="AS4904" s="19"/>
      <c r="AT4904" s="19"/>
      <c r="AU4904" s="19"/>
    </row>
    <row r="4905" spans="3:47">
      <c r="C4905" s="20"/>
      <c r="Z4905" s="20"/>
      <c r="AG4905" s="20"/>
      <c r="AQ4905" s="19"/>
      <c r="AR4905" s="19"/>
      <c r="AS4905" s="19"/>
      <c r="AT4905" s="19"/>
      <c r="AU4905" s="19"/>
    </row>
    <row r="4906" spans="3:47">
      <c r="C4906" s="20"/>
      <c r="Z4906" s="20"/>
      <c r="AG4906" s="20"/>
      <c r="AQ4906" s="19"/>
      <c r="AR4906" s="19"/>
      <c r="AS4906" s="19"/>
      <c r="AT4906" s="19"/>
      <c r="AU4906" s="19"/>
    </row>
    <row r="4907" spans="3:47">
      <c r="C4907" s="20"/>
      <c r="Z4907" s="20"/>
      <c r="AG4907" s="20"/>
      <c r="AQ4907" s="19"/>
      <c r="AR4907" s="19"/>
      <c r="AS4907" s="19"/>
      <c r="AT4907" s="19"/>
      <c r="AU4907" s="19"/>
    </row>
    <row r="4908" spans="3:47">
      <c r="C4908" s="20"/>
      <c r="Z4908" s="20"/>
      <c r="AG4908" s="20"/>
      <c r="AQ4908" s="19"/>
      <c r="AR4908" s="19"/>
      <c r="AS4908" s="19"/>
      <c r="AT4908" s="19"/>
      <c r="AU4908" s="19"/>
    </row>
    <row r="4909" spans="3:47">
      <c r="C4909" s="20"/>
      <c r="Z4909" s="20"/>
      <c r="AG4909" s="20"/>
      <c r="AQ4909" s="19"/>
      <c r="AR4909" s="19"/>
      <c r="AS4909" s="19"/>
      <c r="AT4909" s="19"/>
      <c r="AU4909" s="19"/>
    </row>
    <row r="4910" spans="3:47">
      <c r="C4910" s="20"/>
      <c r="Z4910" s="20"/>
      <c r="AG4910" s="20"/>
      <c r="AQ4910" s="19"/>
      <c r="AR4910" s="19"/>
      <c r="AS4910" s="19"/>
      <c r="AT4910" s="19"/>
      <c r="AU4910" s="19"/>
    </row>
    <row r="4911" spans="3:47">
      <c r="C4911" s="20"/>
      <c r="Z4911" s="20"/>
      <c r="AG4911" s="20"/>
      <c r="AQ4911" s="19"/>
      <c r="AR4911" s="19"/>
      <c r="AS4911" s="19"/>
      <c r="AT4911" s="19"/>
      <c r="AU4911" s="19"/>
    </row>
    <row r="4912" spans="3:47">
      <c r="C4912" s="20"/>
      <c r="Z4912" s="20"/>
      <c r="AG4912" s="20"/>
      <c r="AQ4912" s="19"/>
      <c r="AR4912" s="19"/>
      <c r="AS4912" s="19"/>
      <c r="AT4912" s="19"/>
      <c r="AU4912" s="19"/>
    </row>
    <row r="4913" spans="3:47">
      <c r="C4913" s="20"/>
      <c r="Z4913" s="20"/>
      <c r="AG4913" s="20"/>
      <c r="AQ4913" s="19"/>
      <c r="AR4913" s="19"/>
      <c r="AS4913" s="19"/>
      <c r="AT4913" s="19"/>
      <c r="AU4913" s="19"/>
    </row>
    <row r="4914" spans="3:47">
      <c r="C4914" s="20"/>
      <c r="Z4914" s="20"/>
      <c r="AG4914" s="20"/>
      <c r="AQ4914" s="19"/>
      <c r="AR4914" s="19"/>
      <c r="AS4914" s="19"/>
      <c r="AT4914" s="19"/>
      <c r="AU4914" s="19"/>
    </row>
    <row r="4915" spans="3:47">
      <c r="C4915" s="20"/>
      <c r="Z4915" s="20"/>
      <c r="AG4915" s="20"/>
      <c r="AQ4915" s="19"/>
      <c r="AR4915" s="19"/>
      <c r="AS4915" s="19"/>
      <c r="AT4915" s="19"/>
      <c r="AU4915" s="19"/>
    </row>
    <row r="4916" spans="3:47">
      <c r="C4916" s="20"/>
      <c r="Z4916" s="20"/>
      <c r="AG4916" s="20"/>
      <c r="AQ4916" s="19"/>
      <c r="AR4916" s="19"/>
      <c r="AS4916" s="19"/>
      <c r="AT4916" s="19"/>
      <c r="AU4916" s="19"/>
    </row>
    <row r="4917" spans="3:47">
      <c r="C4917" s="20"/>
      <c r="Z4917" s="20"/>
      <c r="AG4917" s="20"/>
      <c r="AQ4917" s="19"/>
      <c r="AR4917" s="19"/>
      <c r="AS4917" s="19"/>
      <c r="AT4917" s="19"/>
      <c r="AU4917" s="19"/>
    </row>
    <row r="4918" spans="3:47">
      <c r="C4918" s="20"/>
      <c r="Z4918" s="20"/>
      <c r="AG4918" s="20"/>
      <c r="AQ4918" s="19"/>
      <c r="AR4918" s="19"/>
      <c r="AS4918" s="19"/>
      <c r="AT4918" s="19"/>
      <c r="AU4918" s="19"/>
    </row>
    <row r="4919" spans="3:47">
      <c r="C4919" s="20"/>
      <c r="Z4919" s="20"/>
      <c r="AG4919" s="20"/>
      <c r="AQ4919" s="19"/>
      <c r="AR4919" s="19"/>
      <c r="AS4919" s="19"/>
      <c r="AT4919" s="19"/>
      <c r="AU4919" s="19"/>
    </row>
    <row r="4920" spans="3:47">
      <c r="C4920" s="20"/>
      <c r="Z4920" s="20"/>
      <c r="AG4920" s="20"/>
      <c r="AQ4920" s="19"/>
      <c r="AR4920" s="19"/>
      <c r="AS4920" s="19"/>
      <c r="AT4920" s="19"/>
      <c r="AU4920" s="19"/>
    </row>
    <row r="4921" spans="3:47">
      <c r="C4921" s="20"/>
      <c r="Z4921" s="20"/>
      <c r="AG4921" s="20"/>
      <c r="AQ4921" s="19"/>
      <c r="AR4921" s="19"/>
      <c r="AS4921" s="19"/>
      <c r="AT4921" s="19"/>
      <c r="AU4921" s="19"/>
    </row>
    <row r="4922" spans="3:47">
      <c r="C4922" s="20"/>
      <c r="Z4922" s="20"/>
      <c r="AG4922" s="20"/>
      <c r="AQ4922" s="19"/>
      <c r="AR4922" s="19"/>
      <c r="AS4922" s="19"/>
      <c r="AT4922" s="19"/>
      <c r="AU4922" s="19"/>
    </row>
    <row r="4923" spans="3:47">
      <c r="C4923" s="20"/>
      <c r="Z4923" s="20"/>
      <c r="AG4923" s="20"/>
      <c r="AQ4923" s="19"/>
      <c r="AR4923" s="19"/>
      <c r="AS4923" s="19"/>
      <c r="AT4923" s="19"/>
      <c r="AU4923" s="19"/>
    </row>
    <row r="4924" spans="3:47">
      <c r="C4924" s="20"/>
      <c r="Z4924" s="20"/>
      <c r="AG4924" s="20"/>
      <c r="AQ4924" s="19"/>
      <c r="AR4924" s="19"/>
      <c r="AS4924" s="19"/>
      <c r="AT4924" s="19"/>
      <c r="AU4924" s="19"/>
    </row>
    <row r="4925" spans="3:47">
      <c r="C4925" s="20"/>
      <c r="Z4925" s="20"/>
      <c r="AG4925" s="20"/>
      <c r="AQ4925" s="19"/>
      <c r="AR4925" s="19"/>
      <c r="AS4925" s="19"/>
      <c r="AT4925" s="19"/>
      <c r="AU4925" s="19"/>
    </row>
    <row r="4926" spans="3:47">
      <c r="C4926" s="20"/>
      <c r="Z4926" s="20"/>
      <c r="AG4926" s="20"/>
      <c r="AQ4926" s="19"/>
      <c r="AR4926" s="19"/>
      <c r="AS4926" s="19"/>
      <c r="AT4926" s="19"/>
      <c r="AU4926" s="19"/>
    </row>
    <row r="4927" spans="3:47">
      <c r="C4927" s="20"/>
      <c r="Z4927" s="20"/>
      <c r="AG4927" s="20"/>
      <c r="AQ4927" s="19"/>
      <c r="AR4927" s="19"/>
      <c r="AS4927" s="19"/>
      <c r="AT4927" s="19"/>
      <c r="AU4927" s="19"/>
    </row>
    <row r="4928" spans="3:47">
      <c r="C4928" s="20"/>
      <c r="Z4928" s="20"/>
      <c r="AG4928" s="20"/>
      <c r="AQ4928" s="19"/>
      <c r="AR4928" s="19"/>
      <c r="AS4928" s="19"/>
      <c r="AT4928" s="19"/>
      <c r="AU4928" s="19"/>
    </row>
    <row r="4929" spans="3:47">
      <c r="C4929" s="20"/>
      <c r="Z4929" s="20"/>
      <c r="AG4929" s="20"/>
      <c r="AQ4929" s="19"/>
      <c r="AR4929" s="19"/>
      <c r="AS4929" s="19"/>
      <c r="AT4929" s="19"/>
      <c r="AU4929" s="19"/>
    </row>
    <row r="4930" spans="3:47">
      <c r="C4930" s="20"/>
      <c r="Z4930" s="20"/>
      <c r="AG4930" s="20"/>
      <c r="AQ4930" s="19"/>
      <c r="AR4930" s="19"/>
      <c r="AS4930" s="19"/>
      <c r="AT4930" s="19"/>
      <c r="AU4930" s="19"/>
    </row>
    <row r="4931" spans="3:47">
      <c r="C4931" s="20"/>
      <c r="Z4931" s="20"/>
      <c r="AG4931" s="20"/>
      <c r="AQ4931" s="19"/>
      <c r="AR4931" s="19"/>
      <c r="AS4931" s="19"/>
      <c r="AT4931" s="19"/>
      <c r="AU4931" s="19"/>
    </row>
    <row r="4932" spans="3:47">
      <c r="C4932" s="20"/>
      <c r="Z4932" s="20"/>
      <c r="AG4932" s="20"/>
      <c r="AQ4932" s="19"/>
      <c r="AR4932" s="19"/>
      <c r="AS4932" s="19"/>
      <c r="AT4932" s="19"/>
      <c r="AU4932" s="19"/>
    </row>
    <row r="4933" spans="3:47">
      <c r="C4933" s="20"/>
      <c r="Z4933" s="20"/>
      <c r="AG4933" s="20"/>
      <c r="AQ4933" s="19"/>
      <c r="AR4933" s="19"/>
      <c r="AS4933" s="19"/>
      <c r="AT4933" s="19"/>
      <c r="AU4933" s="19"/>
    </row>
    <row r="4934" spans="3:47">
      <c r="C4934" s="20"/>
      <c r="Z4934" s="20"/>
      <c r="AG4934" s="20"/>
      <c r="AQ4934" s="19"/>
      <c r="AR4934" s="19"/>
      <c r="AS4934" s="19"/>
      <c r="AT4934" s="19"/>
      <c r="AU4934" s="19"/>
    </row>
    <row r="4935" spans="3:47">
      <c r="C4935" s="20"/>
      <c r="Z4935" s="20"/>
      <c r="AG4935" s="20"/>
      <c r="AQ4935" s="19"/>
      <c r="AR4935" s="19"/>
      <c r="AS4935" s="19"/>
      <c r="AT4935" s="19"/>
      <c r="AU4935" s="19"/>
    </row>
    <row r="4936" spans="3:47">
      <c r="C4936" s="20"/>
      <c r="Z4936" s="20"/>
      <c r="AG4936" s="20"/>
      <c r="AQ4936" s="19"/>
      <c r="AR4936" s="19"/>
      <c r="AS4936" s="19"/>
      <c r="AT4936" s="19"/>
      <c r="AU4936" s="19"/>
    </row>
    <row r="4937" spans="3:47">
      <c r="C4937" s="20"/>
      <c r="Z4937" s="20"/>
      <c r="AG4937" s="20"/>
      <c r="AQ4937" s="19"/>
      <c r="AR4937" s="19"/>
      <c r="AS4937" s="19"/>
      <c r="AT4937" s="19"/>
      <c r="AU4937" s="19"/>
    </row>
    <row r="4938" spans="3:47">
      <c r="C4938" s="20"/>
      <c r="Z4938" s="20"/>
      <c r="AG4938" s="20"/>
      <c r="AQ4938" s="19"/>
      <c r="AR4938" s="19"/>
      <c r="AS4938" s="19"/>
      <c r="AT4938" s="19"/>
      <c r="AU4938" s="19"/>
    </row>
    <row r="4939" spans="3:47">
      <c r="C4939" s="20"/>
      <c r="Z4939" s="20"/>
      <c r="AG4939" s="20"/>
      <c r="AQ4939" s="19"/>
      <c r="AR4939" s="19"/>
      <c r="AS4939" s="19"/>
      <c r="AT4939" s="19"/>
      <c r="AU4939" s="19"/>
    </row>
    <row r="4940" spans="3:47">
      <c r="C4940" s="20"/>
      <c r="Z4940" s="20"/>
      <c r="AG4940" s="20"/>
      <c r="AQ4940" s="19"/>
      <c r="AR4940" s="19"/>
      <c r="AS4940" s="19"/>
      <c r="AT4940" s="19"/>
      <c r="AU4940" s="19"/>
    </row>
    <row r="4941" spans="3:47">
      <c r="C4941" s="20"/>
      <c r="Z4941" s="20"/>
      <c r="AG4941" s="20"/>
      <c r="AQ4941" s="19"/>
      <c r="AR4941" s="19"/>
      <c r="AS4941" s="19"/>
      <c r="AT4941" s="19"/>
      <c r="AU4941" s="19"/>
    </row>
    <row r="4942" spans="3:47">
      <c r="C4942" s="20"/>
      <c r="Z4942" s="20"/>
      <c r="AG4942" s="20"/>
      <c r="AQ4942" s="19"/>
      <c r="AR4942" s="19"/>
      <c r="AS4942" s="19"/>
      <c r="AT4942" s="19"/>
      <c r="AU4942" s="19"/>
    </row>
    <row r="4943" spans="3:47">
      <c r="C4943" s="20"/>
      <c r="Z4943" s="20"/>
      <c r="AG4943" s="20"/>
      <c r="AQ4943" s="19"/>
      <c r="AR4943" s="19"/>
      <c r="AS4943" s="19"/>
      <c r="AT4943" s="19"/>
      <c r="AU4943" s="19"/>
    </row>
    <row r="4944" spans="3:47">
      <c r="C4944" s="20"/>
      <c r="Z4944" s="20"/>
      <c r="AG4944" s="20"/>
      <c r="AQ4944" s="19"/>
      <c r="AR4944" s="19"/>
      <c r="AS4944" s="19"/>
      <c r="AT4944" s="19"/>
      <c r="AU4944" s="19"/>
    </row>
    <row r="4945" spans="3:47">
      <c r="C4945" s="20"/>
      <c r="Z4945" s="20"/>
      <c r="AG4945" s="20"/>
      <c r="AQ4945" s="19"/>
      <c r="AR4945" s="19"/>
      <c r="AS4945" s="19"/>
      <c r="AT4945" s="19"/>
      <c r="AU4945" s="19"/>
    </row>
    <row r="4946" spans="3:47">
      <c r="C4946" s="20"/>
      <c r="Z4946" s="20"/>
      <c r="AG4946" s="20"/>
      <c r="AQ4946" s="19"/>
      <c r="AR4946" s="19"/>
      <c r="AS4946" s="19"/>
      <c r="AT4946" s="19"/>
      <c r="AU4946" s="19"/>
    </row>
    <row r="4947" spans="3:47">
      <c r="C4947" s="20"/>
      <c r="Z4947" s="20"/>
      <c r="AG4947" s="20"/>
      <c r="AQ4947" s="19"/>
      <c r="AR4947" s="19"/>
      <c r="AS4947" s="19"/>
      <c r="AT4947" s="19"/>
      <c r="AU4947" s="19"/>
    </row>
    <row r="4948" spans="3:47">
      <c r="C4948" s="20"/>
      <c r="Z4948" s="20"/>
      <c r="AG4948" s="20"/>
      <c r="AQ4948" s="19"/>
      <c r="AR4948" s="19"/>
      <c r="AS4948" s="19"/>
      <c r="AT4948" s="19"/>
      <c r="AU4948" s="19"/>
    </row>
    <row r="4949" spans="3:47">
      <c r="C4949" s="20"/>
      <c r="Z4949" s="20"/>
      <c r="AG4949" s="20"/>
      <c r="AQ4949" s="19"/>
      <c r="AR4949" s="19"/>
      <c r="AS4949" s="19"/>
      <c r="AT4949" s="19"/>
      <c r="AU4949" s="19"/>
    </row>
    <row r="4950" spans="3:47">
      <c r="C4950" s="20"/>
      <c r="Z4950" s="20"/>
      <c r="AG4950" s="20"/>
      <c r="AQ4950" s="19"/>
      <c r="AR4950" s="19"/>
      <c r="AS4950" s="19"/>
      <c r="AT4950" s="19"/>
      <c r="AU4950" s="19"/>
    </row>
    <row r="4951" spans="3:47">
      <c r="C4951" s="20"/>
      <c r="Z4951" s="20"/>
      <c r="AG4951" s="20"/>
      <c r="AQ4951" s="19"/>
      <c r="AR4951" s="19"/>
      <c r="AS4951" s="19"/>
      <c r="AT4951" s="19"/>
      <c r="AU4951" s="19"/>
    </row>
    <row r="4952" spans="3:47">
      <c r="C4952" s="20"/>
      <c r="Z4952" s="20"/>
      <c r="AG4952" s="20"/>
      <c r="AQ4952" s="19"/>
      <c r="AR4952" s="19"/>
      <c r="AS4952" s="19"/>
      <c r="AT4952" s="19"/>
      <c r="AU4952" s="19"/>
    </row>
    <row r="4953" spans="3:47">
      <c r="C4953" s="20"/>
      <c r="Z4953" s="20"/>
      <c r="AG4953" s="20"/>
      <c r="AQ4953" s="19"/>
      <c r="AR4953" s="19"/>
      <c r="AS4953" s="19"/>
      <c r="AT4953" s="19"/>
      <c r="AU4953" s="19"/>
    </row>
    <row r="4954" spans="3:47">
      <c r="C4954" s="20"/>
      <c r="Z4954" s="20"/>
      <c r="AG4954" s="20"/>
      <c r="AQ4954" s="19"/>
      <c r="AR4954" s="19"/>
      <c r="AS4954" s="19"/>
      <c r="AT4954" s="19"/>
      <c r="AU4954" s="19"/>
    </row>
    <row r="4955" spans="3:47">
      <c r="C4955" s="20"/>
      <c r="Z4955" s="20"/>
      <c r="AG4955" s="20"/>
      <c r="AQ4955" s="19"/>
      <c r="AR4955" s="19"/>
      <c r="AS4955" s="19"/>
      <c r="AT4955" s="19"/>
      <c r="AU4955" s="19"/>
    </row>
    <row r="4956" spans="3:47">
      <c r="C4956" s="20"/>
      <c r="Z4956" s="20"/>
      <c r="AG4956" s="20"/>
      <c r="AQ4956" s="19"/>
      <c r="AR4956" s="19"/>
      <c r="AS4956" s="19"/>
      <c r="AT4956" s="19"/>
      <c r="AU4956" s="19"/>
    </row>
    <row r="4957" spans="3:47">
      <c r="C4957" s="20"/>
      <c r="Z4957" s="20"/>
      <c r="AG4957" s="20"/>
      <c r="AQ4957" s="19"/>
      <c r="AR4957" s="19"/>
      <c r="AS4957" s="19"/>
      <c r="AT4957" s="19"/>
      <c r="AU4957" s="19"/>
    </row>
    <row r="4958" spans="3:47">
      <c r="C4958" s="20"/>
      <c r="Z4958" s="20"/>
      <c r="AG4958" s="20"/>
      <c r="AQ4958" s="19"/>
      <c r="AR4958" s="19"/>
      <c r="AS4958" s="19"/>
      <c r="AT4958" s="19"/>
      <c r="AU4958" s="19"/>
    </row>
    <row r="4959" spans="3:47">
      <c r="C4959" s="20"/>
      <c r="Z4959" s="20"/>
      <c r="AG4959" s="20"/>
      <c r="AQ4959" s="19"/>
      <c r="AR4959" s="19"/>
      <c r="AS4959" s="19"/>
      <c r="AT4959" s="19"/>
      <c r="AU4959" s="19"/>
    </row>
    <row r="4960" spans="3:47">
      <c r="C4960" s="20"/>
      <c r="Z4960" s="20"/>
      <c r="AG4960" s="20"/>
      <c r="AQ4960" s="19"/>
      <c r="AR4960" s="19"/>
      <c r="AS4960" s="19"/>
      <c r="AT4960" s="19"/>
      <c r="AU4960" s="19"/>
    </row>
    <row r="4961" spans="3:47">
      <c r="C4961" s="20"/>
      <c r="Z4961" s="20"/>
      <c r="AG4961" s="20"/>
      <c r="AQ4961" s="19"/>
      <c r="AR4961" s="19"/>
      <c r="AS4961" s="19"/>
      <c r="AT4961" s="19"/>
      <c r="AU4961" s="19"/>
    </row>
    <row r="4962" spans="3:47">
      <c r="C4962" s="20"/>
      <c r="Z4962" s="20"/>
      <c r="AG4962" s="20"/>
      <c r="AQ4962" s="19"/>
      <c r="AR4962" s="19"/>
      <c r="AS4962" s="19"/>
      <c r="AT4962" s="19"/>
      <c r="AU4962" s="19"/>
    </row>
    <row r="4963" spans="3:47">
      <c r="C4963" s="20"/>
      <c r="Z4963" s="20"/>
      <c r="AG4963" s="20"/>
      <c r="AQ4963" s="19"/>
      <c r="AR4963" s="19"/>
      <c r="AS4963" s="19"/>
      <c r="AT4963" s="19"/>
      <c r="AU4963" s="19"/>
    </row>
    <row r="4964" spans="3:47">
      <c r="C4964" s="20"/>
      <c r="Z4964" s="20"/>
      <c r="AG4964" s="20"/>
      <c r="AQ4964" s="19"/>
      <c r="AR4964" s="19"/>
      <c r="AS4964" s="19"/>
      <c r="AT4964" s="19"/>
      <c r="AU4964" s="19"/>
    </row>
    <row r="4965" spans="3:47">
      <c r="C4965" s="20"/>
      <c r="Z4965" s="20"/>
      <c r="AG4965" s="20"/>
      <c r="AQ4965" s="19"/>
      <c r="AR4965" s="19"/>
      <c r="AS4965" s="19"/>
      <c r="AT4965" s="19"/>
      <c r="AU4965" s="19"/>
    </row>
    <row r="4966" spans="3:47">
      <c r="C4966" s="20"/>
      <c r="Z4966" s="20"/>
      <c r="AG4966" s="20"/>
      <c r="AQ4966" s="19"/>
      <c r="AR4966" s="19"/>
      <c r="AS4966" s="19"/>
      <c r="AT4966" s="19"/>
      <c r="AU4966" s="19"/>
    </row>
    <row r="4967" spans="3:47">
      <c r="C4967" s="20"/>
      <c r="Z4967" s="20"/>
      <c r="AG4967" s="20"/>
      <c r="AQ4967" s="19"/>
      <c r="AR4967" s="19"/>
      <c r="AS4967" s="19"/>
      <c r="AT4967" s="19"/>
      <c r="AU4967" s="19"/>
    </row>
    <row r="4968" spans="3:47">
      <c r="C4968" s="20"/>
      <c r="Z4968" s="20"/>
      <c r="AG4968" s="20"/>
      <c r="AQ4968" s="19"/>
      <c r="AR4968" s="19"/>
      <c r="AS4968" s="19"/>
      <c r="AT4968" s="19"/>
      <c r="AU4968" s="19"/>
    </row>
    <row r="4969" spans="3:47">
      <c r="C4969" s="20"/>
      <c r="Z4969" s="20"/>
      <c r="AG4969" s="20"/>
      <c r="AQ4969" s="19"/>
      <c r="AR4969" s="19"/>
      <c r="AS4969" s="19"/>
      <c r="AT4969" s="19"/>
      <c r="AU4969" s="19"/>
    </row>
    <row r="4970" spans="3:47">
      <c r="C4970" s="20"/>
      <c r="Z4970" s="20"/>
      <c r="AG4970" s="20"/>
      <c r="AQ4970" s="19"/>
      <c r="AR4970" s="19"/>
      <c r="AS4970" s="19"/>
      <c r="AT4970" s="19"/>
      <c r="AU4970" s="19"/>
    </row>
    <row r="4971" spans="3:47">
      <c r="C4971" s="20"/>
      <c r="Z4971" s="20"/>
      <c r="AG4971" s="20"/>
      <c r="AQ4971" s="19"/>
      <c r="AR4971" s="19"/>
      <c r="AS4971" s="19"/>
      <c r="AT4971" s="19"/>
      <c r="AU4971" s="19"/>
    </row>
    <row r="4972" spans="3:47">
      <c r="C4972" s="20"/>
      <c r="Z4972" s="20"/>
      <c r="AG4972" s="20"/>
      <c r="AQ4972" s="19"/>
      <c r="AR4972" s="19"/>
      <c r="AS4972" s="19"/>
      <c r="AT4972" s="19"/>
      <c r="AU4972" s="19"/>
    </row>
    <row r="4973" spans="3:47">
      <c r="C4973" s="20"/>
      <c r="Z4973" s="20"/>
      <c r="AG4973" s="20"/>
      <c r="AQ4973" s="19"/>
      <c r="AR4973" s="19"/>
      <c r="AS4973" s="19"/>
      <c r="AT4973" s="19"/>
      <c r="AU4973" s="19"/>
    </row>
    <row r="4974" spans="3:47">
      <c r="C4974" s="20"/>
      <c r="Z4974" s="20"/>
      <c r="AG4974" s="20"/>
      <c r="AQ4974" s="19"/>
      <c r="AR4974" s="19"/>
      <c r="AS4974" s="19"/>
      <c r="AT4974" s="19"/>
      <c r="AU4974" s="19"/>
    </row>
    <row r="4975" spans="3:47">
      <c r="C4975" s="20"/>
      <c r="Z4975" s="20"/>
      <c r="AG4975" s="20"/>
      <c r="AQ4975" s="19"/>
      <c r="AR4975" s="19"/>
      <c r="AS4975" s="19"/>
      <c r="AT4975" s="19"/>
      <c r="AU4975" s="19"/>
    </row>
    <row r="4976" spans="3:47">
      <c r="C4976" s="20"/>
      <c r="Z4976" s="20"/>
      <c r="AG4976" s="20"/>
      <c r="AQ4976" s="19"/>
      <c r="AR4976" s="19"/>
      <c r="AS4976" s="19"/>
      <c r="AT4976" s="19"/>
      <c r="AU4976" s="19"/>
    </row>
    <row r="4977" spans="3:47">
      <c r="C4977" s="20"/>
      <c r="Z4977" s="20"/>
      <c r="AG4977" s="20"/>
      <c r="AQ4977" s="19"/>
      <c r="AR4977" s="19"/>
      <c r="AS4977" s="19"/>
      <c r="AT4977" s="19"/>
      <c r="AU4977" s="19"/>
    </row>
    <row r="4978" spans="3:47">
      <c r="C4978" s="20"/>
      <c r="Z4978" s="20"/>
      <c r="AG4978" s="20"/>
      <c r="AQ4978" s="19"/>
      <c r="AR4978" s="19"/>
      <c r="AS4978" s="19"/>
      <c r="AT4978" s="19"/>
      <c r="AU4978" s="19"/>
    </row>
    <row r="4979" spans="3:47">
      <c r="C4979" s="20"/>
      <c r="Z4979" s="20"/>
      <c r="AG4979" s="20"/>
      <c r="AQ4979" s="19"/>
      <c r="AR4979" s="19"/>
      <c r="AS4979" s="19"/>
      <c r="AT4979" s="19"/>
      <c r="AU4979" s="19"/>
    </row>
    <row r="4980" spans="3:47">
      <c r="C4980" s="20"/>
      <c r="Z4980" s="20"/>
      <c r="AG4980" s="20"/>
      <c r="AQ4980" s="19"/>
      <c r="AR4980" s="19"/>
      <c r="AS4980" s="19"/>
      <c r="AT4980" s="19"/>
      <c r="AU4980" s="19"/>
    </row>
    <row r="4981" spans="3:47">
      <c r="C4981" s="20"/>
      <c r="Z4981" s="20"/>
      <c r="AG4981" s="20"/>
      <c r="AQ4981" s="19"/>
      <c r="AR4981" s="19"/>
      <c r="AS4981" s="19"/>
      <c r="AT4981" s="19"/>
      <c r="AU4981" s="19"/>
    </row>
    <row r="4982" spans="3:47">
      <c r="C4982" s="20"/>
      <c r="Z4982" s="20"/>
      <c r="AG4982" s="20"/>
      <c r="AQ4982" s="19"/>
      <c r="AR4982" s="19"/>
      <c r="AS4982" s="19"/>
      <c r="AT4982" s="19"/>
      <c r="AU4982" s="19"/>
    </row>
    <row r="4983" spans="3:47">
      <c r="C4983" s="20"/>
      <c r="Z4983" s="20"/>
      <c r="AG4983" s="20"/>
      <c r="AQ4983" s="19"/>
      <c r="AR4983" s="19"/>
      <c r="AS4983" s="19"/>
      <c r="AT4983" s="19"/>
      <c r="AU4983" s="19"/>
    </row>
    <row r="4984" spans="3:47">
      <c r="C4984" s="20"/>
      <c r="Z4984" s="20"/>
      <c r="AG4984" s="20"/>
      <c r="AQ4984" s="19"/>
      <c r="AR4984" s="19"/>
      <c r="AS4984" s="19"/>
      <c r="AT4984" s="19"/>
      <c r="AU4984" s="19"/>
    </row>
    <row r="4985" spans="3:47">
      <c r="C4985" s="20"/>
      <c r="Z4985" s="20"/>
      <c r="AG4985" s="20"/>
      <c r="AQ4985" s="19"/>
      <c r="AR4985" s="19"/>
      <c r="AS4985" s="19"/>
      <c r="AT4985" s="19"/>
      <c r="AU4985" s="19"/>
    </row>
    <row r="4986" spans="3:47">
      <c r="C4986" s="20"/>
      <c r="Z4986" s="20"/>
      <c r="AG4986" s="20"/>
      <c r="AQ4986" s="19"/>
      <c r="AR4986" s="19"/>
      <c r="AS4986" s="19"/>
      <c r="AT4986" s="19"/>
      <c r="AU4986" s="19"/>
    </row>
    <row r="4987" spans="3:47">
      <c r="C4987" s="20"/>
      <c r="Z4987" s="20"/>
      <c r="AG4987" s="20"/>
      <c r="AQ4987" s="19"/>
      <c r="AR4987" s="19"/>
      <c r="AS4987" s="19"/>
      <c r="AT4987" s="19"/>
      <c r="AU4987" s="19"/>
    </row>
    <row r="4988" spans="3:47">
      <c r="C4988" s="20"/>
      <c r="Z4988" s="20"/>
      <c r="AG4988" s="20"/>
      <c r="AQ4988" s="19"/>
      <c r="AR4988" s="19"/>
      <c r="AS4988" s="19"/>
      <c r="AT4988" s="19"/>
      <c r="AU4988" s="19"/>
    </row>
    <row r="4989" spans="3:47">
      <c r="C4989" s="20"/>
      <c r="Z4989" s="20"/>
      <c r="AG4989" s="20"/>
      <c r="AQ4989" s="19"/>
      <c r="AR4989" s="19"/>
      <c r="AS4989" s="19"/>
      <c r="AT4989" s="19"/>
      <c r="AU4989" s="19"/>
    </row>
    <row r="4990" spans="3:47">
      <c r="C4990" s="20"/>
      <c r="Z4990" s="20"/>
      <c r="AG4990" s="20"/>
      <c r="AQ4990" s="19"/>
      <c r="AR4990" s="19"/>
      <c r="AS4990" s="19"/>
      <c r="AT4990" s="19"/>
      <c r="AU4990" s="19"/>
    </row>
    <row r="4991" spans="3:47">
      <c r="C4991" s="20"/>
      <c r="Z4991" s="20"/>
      <c r="AG4991" s="20"/>
      <c r="AQ4991" s="19"/>
      <c r="AR4991" s="19"/>
      <c r="AS4991" s="19"/>
      <c r="AT4991" s="19"/>
      <c r="AU4991" s="19"/>
    </row>
    <row r="4992" spans="3:47">
      <c r="C4992" s="20"/>
      <c r="Z4992" s="20"/>
      <c r="AG4992" s="20"/>
      <c r="AQ4992" s="19"/>
      <c r="AR4992" s="19"/>
      <c r="AS4992" s="19"/>
      <c r="AT4992" s="19"/>
      <c r="AU4992" s="19"/>
    </row>
    <row r="4993" spans="3:47">
      <c r="C4993" s="20"/>
      <c r="Z4993" s="20"/>
      <c r="AG4993" s="20"/>
      <c r="AQ4993" s="19"/>
      <c r="AR4993" s="19"/>
      <c r="AS4993" s="19"/>
      <c r="AT4993" s="19"/>
      <c r="AU4993" s="19"/>
    </row>
    <row r="4994" spans="3:47">
      <c r="C4994" s="20"/>
      <c r="Z4994" s="20"/>
      <c r="AG4994" s="20"/>
      <c r="AQ4994" s="19"/>
      <c r="AR4994" s="19"/>
      <c r="AS4994" s="19"/>
      <c r="AT4994" s="19"/>
      <c r="AU4994" s="19"/>
    </row>
    <row r="4995" spans="3:47">
      <c r="C4995" s="20"/>
      <c r="Z4995" s="20"/>
      <c r="AG4995" s="20"/>
      <c r="AQ4995" s="19"/>
      <c r="AR4995" s="19"/>
      <c r="AS4995" s="19"/>
      <c r="AT4995" s="19"/>
      <c r="AU4995" s="19"/>
    </row>
    <row r="4996" spans="3:47">
      <c r="C4996" s="20"/>
      <c r="Z4996" s="20"/>
      <c r="AG4996" s="20"/>
      <c r="AQ4996" s="19"/>
      <c r="AR4996" s="19"/>
      <c r="AS4996" s="19"/>
      <c r="AT4996" s="19"/>
      <c r="AU4996" s="19"/>
    </row>
    <row r="4997" spans="3:47">
      <c r="C4997" s="20"/>
      <c r="Z4997" s="20"/>
      <c r="AG4997" s="20"/>
      <c r="AQ4997" s="19"/>
      <c r="AR4997" s="19"/>
      <c r="AS4997" s="19"/>
      <c r="AT4997" s="19"/>
      <c r="AU4997" s="19"/>
    </row>
    <row r="4998" spans="3:47">
      <c r="C4998" s="20"/>
      <c r="Z4998" s="20"/>
      <c r="AG4998" s="20"/>
      <c r="AQ4998" s="19"/>
      <c r="AR4998" s="19"/>
      <c r="AS4998" s="19"/>
      <c r="AT4998" s="19"/>
      <c r="AU4998" s="19"/>
    </row>
    <row r="4999" spans="3:47">
      <c r="C4999" s="20"/>
      <c r="Z4999" s="20"/>
      <c r="AG4999" s="20"/>
      <c r="AQ4999" s="19"/>
      <c r="AR4999" s="19"/>
      <c r="AS4999" s="19"/>
      <c r="AT4999" s="19"/>
      <c r="AU4999" s="19"/>
    </row>
    <row r="5000" spans="3:47">
      <c r="C5000" s="20"/>
      <c r="Z5000" s="20"/>
      <c r="AG5000" s="20"/>
      <c r="AQ5000" s="19"/>
      <c r="AR5000" s="19"/>
      <c r="AS5000" s="19"/>
      <c r="AT5000" s="19"/>
      <c r="AU5000" s="19"/>
    </row>
    <row r="5001" spans="3:47">
      <c r="C5001" s="20"/>
      <c r="Z5001" s="20"/>
      <c r="AG5001" s="20"/>
      <c r="AQ5001" s="19"/>
      <c r="AR5001" s="19"/>
      <c r="AS5001" s="19"/>
      <c r="AT5001" s="19"/>
      <c r="AU5001" s="19"/>
    </row>
    <row r="5002" spans="3:47">
      <c r="C5002" s="20"/>
      <c r="Z5002" s="20"/>
      <c r="AG5002" s="20"/>
      <c r="AQ5002" s="19"/>
      <c r="AR5002" s="19"/>
      <c r="AS5002" s="19"/>
      <c r="AT5002" s="19"/>
      <c r="AU5002" s="19"/>
    </row>
    <row r="5003" spans="3:47">
      <c r="C5003" s="20"/>
      <c r="Z5003" s="20"/>
      <c r="AG5003" s="20"/>
      <c r="AQ5003" s="19"/>
      <c r="AR5003" s="19"/>
      <c r="AS5003" s="19"/>
      <c r="AT5003" s="19"/>
      <c r="AU5003" s="19"/>
    </row>
    <row r="5004" spans="3:47">
      <c r="C5004" s="20"/>
      <c r="Z5004" s="20"/>
      <c r="AG5004" s="20"/>
      <c r="AQ5004" s="19"/>
      <c r="AR5004" s="19"/>
      <c r="AS5004" s="19"/>
      <c r="AT5004" s="19"/>
      <c r="AU5004" s="19"/>
    </row>
    <row r="5005" spans="3:47">
      <c r="C5005" s="20"/>
      <c r="Z5005" s="20"/>
      <c r="AG5005" s="20"/>
      <c r="AQ5005" s="19"/>
      <c r="AR5005" s="19"/>
      <c r="AS5005" s="19"/>
      <c r="AT5005" s="19"/>
      <c r="AU5005" s="19"/>
    </row>
    <row r="5006" spans="3:47">
      <c r="C5006" s="20"/>
      <c r="Z5006" s="20"/>
      <c r="AG5006" s="20"/>
      <c r="AQ5006" s="19"/>
      <c r="AR5006" s="19"/>
      <c r="AS5006" s="19"/>
      <c r="AT5006" s="19"/>
      <c r="AU5006" s="19"/>
    </row>
    <row r="5007" spans="3:47">
      <c r="C5007" s="20"/>
      <c r="Z5007" s="20"/>
      <c r="AG5007" s="20"/>
      <c r="AQ5007" s="19"/>
      <c r="AR5007" s="19"/>
      <c r="AS5007" s="19"/>
      <c r="AT5007" s="19"/>
      <c r="AU5007" s="19"/>
    </row>
    <row r="5008" spans="3:47">
      <c r="C5008" s="20"/>
      <c r="Z5008" s="20"/>
      <c r="AG5008" s="20"/>
      <c r="AQ5008" s="19"/>
      <c r="AR5008" s="19"/>
      <c r="AS5008" s="19"/>
      <c r="AT5008" s="19"/>
      <c r="AU5008" s="19"/>
    </row>
    <row r="5009" spans="3:47">
      <c r="C5009" s="20"/>
      <c r="Z5009" s="20"/>
      <c r="AG5009" s="20"/>
      <c r="AQ5009" s="19"/>
      <c r="AR5009" s="19"/>
      <c r="AS5009" s="19"/>
      <c r="AT5009" s="19"/>
      <c r="AU5009" s="19"/>
    </row>
    <row r="5010" spans="3:47">
      <c r="C5010" s="20"/>
      <c r="Z5010" s="20"/>
      <c r="AG5010" s="20"/>
      <c r="AQ5010" s="19"/>
      <c r="AR5010" s="19"/>
      <c r="AS5010" s="19"/>
      <c r="AT5010" s="19"/>
      <c r="AU5010" s="19"/>
    </row>
    <row r="5011" spans="3:47">
      <c r="C5011" s="20"/>
      <c r="Z5011" s="20"/>
      <c r="AG5011" s="20"/>
      <c r="AQ5011" s="19"/>
      <c r="AR5011" s="19"/>
      <c r="AS5011" s="19"/>
      <c r="AT5011" s="19"/>
      <c r="AU5011" s="19"/>
    </row>
    <row r="5012" spans="3:47">
      <c r="C5012" s="20"/>
      <c r="Z5012" s="20"/>
      <c r="AG5012" s="20"/>
      <c r="AQ5012" s="19"/>
      <c r="AR5012" s="19"/>
      <c r="AS5012" s="19"/>
      <c r="AT5012" s="19"/>
      <c r="AU5012" s="19"/>
    </row>
    <row r="5013" spans="3:47">
      <c r="C5013" s="20"/>
      <c r="Z5013" s="20"/>
      <c r="AG5013" s="20"/>
      <c r="AQ5013" s="19"/>
      <c r="AR5013" s="19"/>
      <c r="AS5013" s="19"/>
      <c r="AT5013" s="19"/>
      <c r="AU5013" s="19"/>
    </row>
    <row r="5014" spans="3:47">
      <c r="C5014" s="20"/>
      <c r="Z5014" s="20"/>
      <c r="AG5014" s="20"/>
      <c r="AQ5014" s="19"/>
      <c r="AR5014" s="19"/>
      <c r="AS5014" s="19"/>
      <c r="AT5014" s="19"/>
      <c r="AU5014" s="19"/>
    </row>
    <row r="5015" spans="3:47">
      <c r="C5015" s="20"/>
      <c r="Z5015" s="20"/>
      <c r="AG5015" s="20"/>
      <c r="AQ5015" s="19"/>
      <c r="AR5015" s="19"/>
      <c r="AS5015" s="19"/>
      <c r="AT5015" s="19"/>
      <c r="AU5015" s="19"/>
    </row>
    <row r="5016" spans="3:47">
      <c r="C5016" s="20"/>
      <c r="Z5016" s="20"/>
      <c r="AG5016" s="20"/>
      <c r="AQ5016" s="19"/>
      <c r="AR5016" s="19"/>
      <c r="AS5016" s="19"/>
      <c r="AT5016" s="19"/>
      <c r="AU5016" s="19"/>
    </row>
    <row r="5017" spans="3:47">
      <c r="C5017" s="20"/>
      <c r="Z5017" s="20"/>
      <c r="AG5017" s="20"/>
      <c r="AQ5017" s="19"/>
      <c r="AR5017" s="19"/>
      <c r="AS5017" s="19"/>
      <c r="AT5017" s="19"/>
      <c r="AU5017" s="19"/>
    </row>
    <row r="5018" spans="3:47">
      <c r="C5018" s="20"/>
      <c r="Z5018" s="20"/>
      <c r="AG5018" s="20"/>
      <c r="AQ5018" s="19"/>
      <c r="AR5018" s="19"/>
      <c r="AS5018" s="19"/>
      <c r="AT5018" s="19"/>
      <c r="AU5018" s="19"/>
    </row>
    <row r="5019" spans="3:47">
      <c r="C5019" s="20"/>
      <c r="Z5019" s="20"/>
      <c r="AG5019" s="20"/>
      <c r="AQ5019" s="19"/>
      <c r="AR5019" s="19"/>
      <c r="AS5019" s="19"/>
      <c r="AT5019" s="19"/>
      <c r="AU5019" s="19"/>
    </row>
    <row r="5020" spans="3:47">
      <c r="C5020" s="20"/>
      <c r="Z5020" s="20"/>
      <c r="AG5020" s="20"/>
      <c r="AQ5020" s="19"/>
      <c r="AR5020" s="19"/>
      <c r="AS5020" s="19"/>
      <c r="AT5020" s="19"/>
      <c r="AU5020" s="19"/>
    </row>
    <row r="5021" spans="3:47">
      <c r="C5021" s="20"/>
      <c r="Z5021" s="20"/>
      <c r="AG5021" s="20"/>
      <c r="AQ5021" s="19"/>
      <c r="AR5021" s="19"/>
      <c r="AS5021" s="19"/>
      <c r="AT5021" s="19"/>
      <c r="AU5021" s="19"/>
    </row>
    <row r="5022" spans="3:47">
      <c r="C5022" s="20"/>
      <c r="Z5022" s="20"/>
      <c r="AG5022" s="20"/>
      <c r="AQ5022" s="19"/>
      <c r="AR5022" s="19"/>
      <c r="AS5022" s="19"/>
      <c r="AT5022" s="19"/>
      <c r="AU5022" s="19"/>
    </row>
    <row r="5023" spans="3:47">
      <c r="C5023" s="20"/>
      <c r="Z5023" s="20"/>
      <c r="AG5023" s="20"/>
      <c r="AQ5023" s="19"/>
      <c r="AR5023" s="19"/>
      <c r="AS5023" s="19"/>
      <c r="AT5023" s="19"/>
      <c r="AU5023" s="19"/>
    </row>
    <row r="5024" spans="3:47">
      <c r="C5024" s="20"/>
      <c r="Z5024" s="20"/>
      <c r="AG5024" s="20"/>
      <c r="AQ5024" s="19"/>
      <c r="AR5024" s="19"/>
      <c r="AS5024" s="19"/>
      <c r="AT5024" s="19"/>
      <c r="AU5024" s="19"/>
    </row>
    <row r="5025" spans="3:47">
      <c r="C5025" s="20"/>
      <c r="Z5025" s="20"/>
      <c r="AG5025" s="20"/>
      <c r="AQ5025" s="19"/>
      <c r="AR5025" s="19"/>
      <c r="AS5025" s="19"/>
      <c r="AT5025" s="19"/>
      <c r="AU5025" s="19"/>
    </row>
    <row r="5026" spans="3:47">
      <c r="C5026" s="20"/>
      <c r="Z5026" s="20"/>
      <c r="AG5026" s="20"/>
      <c r="AQ5026" s="19"/>
      <c r="AR5026" s="19"/>
      <c r="AS5026" s="19"/>
      <c r="AT5026" s="19"/>
      <c r="AU5026" s="19"/>
    </row>
    <row r="5027" spans="3:47">
      <c r="C5027" s="20"/>
      <c r="Z5027" s="20"/>
      <c r="AG5027" s="20"/>
      <c r="AQ5027" s="19"/>
      <c r="AR5027" s="19"/>
      <c r="AS5027" s="19"/>
      <c r="AT5027" s="19"/>
      <c r="AU5027" s="19"/>
    </row>
    <row r="5028" spans="3:47">
      <c r="C5028" s="20"/>
      <c r="Z5028" s="20"/>
      <c r="AG5028" s="20"/>
      <c r="AQ5028" s="19"/>
      <c r="AR5028" s="19"/>
      <c r="AS5028" s="19"/>
      <c r="AT5028" s="19"/>
      <c r="AU5028" s="19"/>
    </row>
    <row r="5029" spans="3:47">
      <c r="C5029" s="20"/>
      <c r="Z5029" s="20"/>
      <c r="AG5029" s="20"/>
      <c r="AQ5029" s="19"/>
      <c r="AR5029" s="19"/>
      <c r="AS5029" s="19"/>
      <c r="AT5029" s="19"/>
      <c r="AU5029" s="19"/>
    </row>
    <row r="5030" spans="3:47">
      <c r="C5030" s="20"/>
      <c r="Z5030" s="20"/>
      <c r="AG5030" s="20"/>
      <c r="AQ5030" s="19"/>
      <c r="AR5030" s="19"/>
      <c r="AS5030" s="19"/>
      <c r="AT5030" s="19"/>
      <c r="AU5030" s="19"/>
    </row>
    <row r="5031" spans="3:47">
      <c r="C5031" s="20"/>
      <c r="Z5031" s="20"/>
      <c r="AG5031" s="20"/>
      <c r="AQ5031" s="19"/>
      <c r="AR5031" s="19"/>
      <c r="AS5031" s="19"/>
      <c r="AT5031" s="19"/>
      <c r="AU5031" s="19"/>
    </row>
    <row r="5032" spans="3:47">
      <c r="C5032" s="20"/>
      <c r="Z5032" s="20"/>
      <c r="AG5032" s="20"/>
      <c r="AQ5032" s="19"/>
      <c r="AR5032" s="19"/>
      <c r="AS5032" s="19"/>
      <c r="AT5032" s="19"/>
      <c r="AU5032" s="19"/>
    </row>
    <row r="5033" spans="3:47">
      <c r="C5033" s="20"/>
      <c r="Z5033" s="20"/>
      <c r="AG5033" s="20"/>
      <c r="AQ5033" s="19"/>
      <c r="AR5033" s="19"/>
      <c r="AS5033" s="19"/>
      <c r="AT5033" s="19"/>
      <c r="AU5033" s="19"/>
    </row>
    <row r="5034" spans="3:47">
      <c r="C5034" s="20"/>
      <c r="Z5034" s="20"/>
      <c r="AG5034" s="20"/>
      <c r="AQ5034" s="19"/>
      <c r="AR5034" s="19"/>
      <c r="AS5034" s="19"/>
      <c r="AT5034" s="19"/>
      <c r="AU5034" s="19"/>
    </row>
    <row r="5035" spans="3:47">
      <c r="C5035" s="20"/>
      <c r="Z5035" s="20"/>
      <c r="AG5035" s="20"/>
      <c r="AQ5035" s="19"/>
      <c r="AR5035" s="19"/>
      <c r="AS5035" s="19"/>
      <c r="AT5035" s="19"/>
      <c r="AU5035" s="19"/>
    </row>
    <row r="5036" spans="3:47">
      <c r="C5036" s="20"/>
      <c r="Z5036" s="20"/>
      <c r="AG5036" s="20"/>
      <c r="AQ5036" s="19"/>
      <c r="AR5036" s="19"/>
      <c r="AS5036" s="19"/>
      <c r="AT5036" s="19"/>
      <c r="AU5036" s="19"/>
    </row>
    <row r="5037" spans="3:47">
      <c r="C5037" s="20"/>
      <c r="Z5037" s="20"/>
      <c r="AG5037" s="20"/>
      <c r="AQ5037" s="19"/>
      <c r="AR5037" s="19"/>
      <c r="AS5037" s="19"/>
      <c r="AT5037" s="19"/>
      <c r="AU5037" s="19"/>
    </row>
    <row r="5038" spans="3:47">
      <c r="C5038" s="20"/>
      <c r="Z5038" s="20"/>
      <c r="AG5038" s="20"/>
      <c r="AQ5038" s="19"/>
      <c r="AR5038" s="19"/>
      <c r="AS5038" s="19"/>
      <c r="AT5038" s="19"/>
      <c r="AU5038" s="19"/>
    </row>
    <row r="5039" spans="3:47">
      <c r="C5039" s="20"/>
      <c r="Z5039" s="20"/>
      <c r="AG5039" s="20"/>
      <c r="AQ5039" s="19"/>
      <c r="AR5039" s="19"/>
      <c r="AS5039" s="19"/>
      <c r="AT5039" s="19"/>
      <c r="AU5039" s="19"/>
    </row>
    <row r="5040" spans="3:47">
      <c r="C5040" s="20"/>
      <c r="Z5040" s="20"/>
      <c r="AG5040" s="20"/>
      <c r="AQ5040" s="19"/>
      <c r="AR5040" s="19"/>
      <c r="AS5040" s="19"/>
      <c r="AT5040" s="19"/>
      <c r="AU5040" s="19"/>
    </row>
    <row r="5041" spans="3:47">
      <c r="C5041" s="20"/>
      <c r="Z5041" s="20"/>
      <c r="AG5041" s="20"/>
      <c r="AQ5041" s="19"/>
      <c r="AR5041" s="19"/>
      <c r="AS5041" s="19"/>
      <c r="AT5041" s="19"/>
      <c r="AU5041" s="19"/>
    </row>
    <row r="5042" spans="3:47">
      <c r="C5042" s="20"/>
      <c r="Z5042" s="20"/>
      <c r="AG5042" s="20"/>
      <c r="AQ5042" s="19"/>
      <c r="AR5042" s="19"/>
      <c r="AS5042" s="19"/>
      <c r="AT5042" s="19"/>
      <c r="AU5042" s="19"/>
    </row>
    <row r="5043" spans="3:47">
      <c r="C5043" s="20"/>
      <c r="Z5043" s="20"/>
      <c r="AG5043" s="20"/>
      <c r="AQ5043" s="19"/>
      <c r="AR5043" s="19"/>
      <c r="AS5043" s="19"/>
      <c r="AT5043" s="19"/>
      <c r="AU5043" s="19"/>
    </row>
    <row r="5044" spans="3:47">
      <c r="C5044" s="20"/>
      <c r="Z5044" s="20"/>
      <c r="AG5044" s="20"/>
      <c r="AQ5044" s="19"/>
      <c r="AR5044" s="19"/>
      <c r="AS5044" s="19"/>
      <c r="AT5044" s="19"/>
      <c r="AU5044" s="19"/>
    </row>
    <row r="5045" spans="3:47">
      <c r="C5045" s="20"/>
      <c r="Z5045" s="20"/>
      <c r="AG5045" s="20"/>
      <c r="AQ5045" s="19"/>
      <c r="AR5045" s="19"/>
      <c r="AS5045" s="19"/>
      <c r="AT5045" s="19"/>
      <c r="AU5045" s="19"/>
    </row>
    <row r="5046" spans="3:47">
      <c r="C5046" s="20"/>
      <c r="Z5046" s="20"/>
      <c r="AG5046" s="20"/>
      <c r="AQ5046" s="19"/>
      <c r="AR5046" s="19"/>
      <c r="AS5046" s="19"/>
      <c r="AT5046" s="19"/>
      <c r="AU5046" s="19"/>
    </row>
    <row r="5047" spans="3:47">
      <c r="C5047" s="20"/>
      <c r="Z5047" s="20"/>
      <c r="AG5047" s="20"/>
      <c r="AQ5047" s="19"/>
      <c r="AR5047" s="19"/>
      <c r="AS5047" s="19"/>
      <c r="AT5047" s="19"/>
      <c r="AU5047" s="19"/>
    </row>
    <row r="5048" spans="3:47">
      <c r="C5048" s="20"/>
      <c r="Z5048" s="20"/>
      <c r="AG5048" s="20"/>
      <c r="AQ5048" s="19"/>
      <c r="AR5048" s="19"/>
      <c r="AS5048" s="19"/>
      <c r="AT5048" s="19"/>
      <c r="AU5048" s="19"/>
    </row>
    <row r="5049" spans="3:47">
      <c r="C5049" s="20"/>
      <c r="Z5049" s="20"/>
      <c r="AG5049" s="20"/>
      <c r="AQ5049" s="19"/>
      <c r="AR5049" s="19"/>
      <c r="AS5049" s="19"/>
      <c r="AT5049" s="19"/>
      <c r="AU5049" s="19"/>
    </row>
    <row r="5050" spans="3:47">
      <c r="C5050" s="20"/>
      <c r="Z5050" s="20"/>
      <c r="AG5050" s="20"/>
      <c r="AQ5050" s="19"/>
      <c r="AR5050" s="19"/>
      <c r="AS5050" s="19"/>
      <c r="AT5050" s="19"/>
      <c r="AU5050" s="19"/>
    </row>
    <row r="5051" spans="3:47">
      <c r="C5051" s="20"/>
      <c r="Z5051" s="20"/>
      <c r="AG5051" s="20"/>
      <c r="AQ5051" s="19"/>
      <c r="AR5051" s="19"/>
      <c r="AS5051" s="19"/>
      <c r="AT5051" s="19"/>
      <c r="AU5051" s="19"/>
    </row>
    <row r="5052" spans="3:47">
      <c r="C5052" s="20"/>
      <c r="Z5052" s="20"/>
      <c r="AG5052" s="20"/>
      <c r="AQ5052" s="19"/>
      <c r="AR5052" s="19"/>
      <c r="AS5052" s="19"/>
      <c r="AT5052" s="19"/>
      <c r="AU5052" s="19"/>
    </row>
    <row r="5053" spans="3:47">
      <c r="C5053" s="20"/>
      <c r="Z5053" s="20"/>
      <c r="AG5053" s="20"/>
      <c r="AQ5053" s="19"/>
      <c r="AR5053" s="19"/>
      <c r="AS5053" s="19"/>
      <c r="AT5053" s="19"/>
      <c r="AU5053" s="19"/>
    </row>
    <row r="5054" spans="3:47">
      <c r="C5054" s="20"/>
      <c r="Z5054" s="20"/>
      <c r="AG5054" s="20"/>
      <c r="AQ5054" s="19"/>
      <c r="AR5054" s="19"/>
      <c r="AS5054" s="19"/>
      <c r="AT5054" s="19"/>
      <c r="AU5054" s="19"/>
    </row>
    <row r="5055" spans="3:47">
      <c r="C5055" s="20"/>
      <c r="Z5055" s="20"/>
      <c r="AG5055" s="20"/>
      <c r="AQ5055" s="19"/>
      <c r="AR5055" s="19"/>
      <c r="AS5055" s="19"/>
      <c r="AT5055" s="19"/>
      <c r="AU5055" s="19"/>
    </row>
    <row r="5056" spans="3:47">
      <c r="C5056" s="20"/>
      <c r="Z5056" s="20"/>
      <c r="AG5056" s="20"/>
      <c r="AQ5056" s="19"/>
      <c r="AR5056" s="19"/>
      <c r="AS5056" s="19"/>
      <c r="AT5056" s="19"/>
      <c r="AU5056" s="19"/>
    </row>
    <row r="5057" spans="3:47">
      <c r="C5057" s="20"/>
      <c r="Z5057" s="20"/>
      <c r="AG5057" s="20"/>
      <c r="AQ5057" s="19"/>
      <c r="AR5057" s="19"/>
      <c r="AS5057" s="19"/>
      <c r="AT5057" s="19"/>
      <c r="AU5057" s="19"/>
    </row>
    <row r="5058" spans="3:47">
      <c r="C5058" s="20"/>
      <c r="Z5058" s="20"/>
      <c r="AG5058" s="20"/>
      <c r="AQ5058" s="19"/>
      <c r="AR5058" s="19"/>
      <c r="AS5058" s="19"/>
      <c r="AT5058" s="19"/>
      <c r="AU5058" s="19"/>
    </row>
    <row r="5059" spans="3:47">
      <c r="C5059" s="20"/>
      <c r="Z5059" s="20"/>
      <c r="AG5059" s="20"/>
      <c r="AQ5059" s="19"/>
      <c r="AR5059" s="19"/>
      <c r="AS5059" s="19"/>
      <c r="AT5059" s="19"/>
      <c r="AU5059" s="19"/>
    </row>
    <row r="5060" spans="3:47">
      <c r="C5060" s="20"/>
      <c r="Z5060" s="20"/>
      <c r="AG5060" s="20"/>
      <c r="AQ5060" s="19"/>
      <c r="AR5060" s="19"/>
      <c r="AS5060" s="19"/>
      <c r="AT5060" s="19"/>
      <c r="AU5060" s="19"/>
    </row>
    <row r="5061" spans="3:47">
      <c r="C5061" s="20"/>
      <c r="Z5061" s="20"/>
      <c r="AG5061" s="20"/>
      <c r="AQ5061" s="19"/>
      <c r="AR5061" s="19"/>
      <c r="AS5061" s="19"/>
      <c r="AT5061" s="19"/>
      <c r="AU5061" s="19"/>
    </row>
    <row r="5062" spans="3:47">
      <c r="C5062" s="20"/>
      <c r="Z5062" s="20"/>
      <c r="AG5062" s="20"/>
      <c r="AQ5062" s="19"/>
      <c r="AR5062" s="19"/>
      <c r="AS5062" s="19"/>
      <c r="AT5062" s="19"/>
      <c r="AU5062" s="19"/>
    </row>
    <row r="5063" spans="3:47">
      <c r="C5063" s="20"/>
      <c r="Z5063" s="20"/>
      <c r="AG5063" s="20"/>
      <c r="AQ5063" s="19"/>
      <c r="AR5063" s="19"/>
      <c r="AS5063" s="19"/>
      <c r="AT5063" s="19"/>
      <c r="AU5063" s="19"/>
    </row>
    <row r="5064" spans="3:47">
      <c r="C5064" s="20"/>
      <c r="Z5064" s="20"/>
      <c r="AG5064" s="20"/>
      <c r="AQ5064" s="19"/>
      <c r="AR5064" s="19"/>
      <c r="AS5064" s="19"/>
      <c r="AT5064" s="19"/>
      <c r="AU5064" s="19"/>
    </row>
    <row r="5065" spans="3:47">
      <c r="C5065" s="20"/>
      <c r="Z5065" s="20"/>
      <c r="AG5065" s="20"/>
      <c r="AQ5065" s="19"/>
      <c r="AR5065" s="19"/>
      <c r="AS5065" s="19"/>
      <c r="AT5065" s="19"/>
      <c r="AU5065" s="19"/>
    </row>
    <row r="5066" spans="3:47">
      <c r="C5066" s="20"/>
      <c r="Z5066" s="20"/>
      <c r="AG5066" s="20"/>
      <c r="AQ5066" s="19"/>
      <c r="AR5066" s="19"/>
      <c r="AS5066" s="19"/>
      <c r="AT5066" s="19"/>
      <c r="AU5066" s="19"/>
    </row>
    <row r="5067" spans="3:47">
      <c r="C5067" s="20"/>
      <c r="Z5067" s="20"/>
      <c r="AG5067" s="20"/>
      <c r="AQ5067" s="19"/>
      <c r="AR5067" s="19"/>
      <c r="AS5067" s="19"/>
      <c r="AT5067" s="19"/>
      <c r="AU5067" s="19"/>
    </row>
    <row r="5068" spans="3:47">
      <c r="C5068" s="20"/>
      <c r="Z5068" s="20"/>
      <c r="AG5068" s="20"/>
      <c r="AQ5068" s="19"/>
      <c r="AR5068" s="19"/>
      <c r="AS5068" s="19"/>
      <c r="AT5068" s="19"/>
      <c r="AU5068" s="19"/>
    </row>
    <row r="5069" spans="3:47">
      <c r="C5069" s="20"/>
      <c r="Z5069" s="20"/>
      <c r="AG5069" s="20"/>
      <c r="AQ5069" s="19"/>
      <c r="AR5069" s="19"/>
      <c r="AS5069" s="19"/>
      <c r="AT5069" s="19"/>
      <c r="AU5069" s="19"/>
    </row>
    <row r="5070" spans="3:47">
      <c r="C5070" s="20"/>
      <c r="Z5070" s="20"/>
      <c r="AG5070" s="20"/>
      <c r="AQ5070" s="19"/>
      <c r="AR5070" s="19"/>
      <c r="AS5070" s="19"/>
      <c r="AT5070" s="19"/>
      <c r="AU5070" s="19"/>
    </row>
    <row r="5071" spans="3:47">
      <c r="C5071" s="20"/>
      <c r="Z5071" s="20"/>
      <c r="AG5071" s="20"/>
      <c r="AQ5071" s="19"/>
      <c r="AR5071" s="19"/>
      <c r="AS5071" s="19"/>
      <c r="AT5071" s="19"/>
      <c r="AU5071" s="19"/>
    </row>
    <row r="5072" spans="3:47">
      <c r="C5072" s="20"/>
      <c r="Z5072" s="20"/>
      <c r="AG5072" s="20"/>
      <c r="AQ5072" s="19"/>
      <c r="AR5072" s="19"/>
      <c r="AS5072" s="19"/>
      <c r="AT5072" s="19"/>
      <c r="AU5072" s="19"/>
    </row>
    <row r="5073" spans="3:47">
      <c r="C5073" s="20"/>
      <c r="Z5073" s="20"/>
      <c r="AG5073" s="20"/>
      <c r="AQ5073" s="19"/>
      <c r="AR5073" s="19"/>
      <c r="AS5073" s="19"/>
      <c r="AT5073" s="19"/>
      <c r="AU5073" s="19"/>
    </row>
    <row r="5074" spans="3:47">
      <c r="C5074" s="20"/>
      <c r="Z5074" s="20"/>
      <c r="AG5074" s="20"/>
      <c r="AQ5074" s="19"/>
      <c r="AR5074" s="19"/>
      <c r="AS5074" s="19"/>
      <c r="AT5074" s="19"/>
      <c r="AU5074" s="19"/>
    </row>
    <row r="5075" spans="3:47">
      <c r="C5075" s="20"/>
      <c r="Z5075" s="20"/>
      <c r="AG5075" s="20"/>
      <c r="AQ5075" s="19"/>
      <c r="AR5075" s="19"/>
      <c r="AS5075" s="19"/>
      <c r="AT5075" s="19"/>
      <c r="AU5075" s="19"/>
    </row>
    <row r="5076" spans="3:47">
      <c r="C5076" s="20"/>
      <c r="Z5076" s="20"/>
      <c r="AG5076" s="20"/>
      <c r="AQ5076" s="19"/>
      <c r="AR5076" s="19"/>
      <c r="AS5076" s="19"/>
      <c r="AT5076" s="19"/>
      <c r="AU5076" s="19"/>
    </row>
    <row r="5077" spans="3:47">
      <c r="C5077" s="20"/>
      <c r="Z5077" s="20"/>
      <c r="AG5077" s="20"/>
      <c r="AQ5077" s="19"/>
      <c r="AR5077" s="19"/>
      <c r="AS5077" s="19"/>
      <c r="AT5077" s="19"/>
      <c r="AU5077" s="19"/>
    </row>
    <row r="5078" spans="3:47">
      <c r="C5078" s="20"/>
      <c r="Z5078" s="20"/>
      <c r="AG5078" s="20"/>
      <c r="AQ5078" s="19"/>
      <c r="AR5078" s="19"/>
      <c r="AS5078" s="19"/>
      <c r="AT5078" s="19"/>
      <c r="AU5078" s="19"/>
    </row>
    <row r="5079" spans="3:47">
      <c r="C5079" s="20"/>
      <c r="Z5079" s="20"/>
      <c r="AG5079" s="20"/>
      <c r="AQ5079" s="19"/>
      <c r="AR5079" s="19"/>
      <c r="AS5079" s="19"/>
      <c r="AT5079" s="19"/>
      <c r="AU5079" s="19"/>
    </row>
    <row r="5080" spans="3:47">
      <c r="C5080" s="20"/>
      <c r="Z5080" s="20"/>
      <c r="AG5080" s="20"/>
      <c r="AQ5080" s="19"/>
      <c r="AR5080" s="19"/>
      <c r="AS5080" s="19"/>
      <c r="AT5080" s="19"/>
      <c r="AU5080" s="19"/>
    </row>
    <row r="5081" spans="3:47">
      <c r="C5081" s="20"/>
      <c r="Z5081" s="20"/>
      <c r="AG5081" s="20"/>
      <c r="AQ5081" s="19"/>
      <c r="AR5081" s="19"/>
      <c r="AS5081" s="19"/>
      <c r="AT5081" s="19"/>
      <c r="AU5081" s="19"/>
    </row>
    <row r="5082" spans="3:47">
      <c r="C5082" s="20"/>
      <c r="Z5082" s="20"/>
      <c r="AG5082" s="20"/>
      <c r="AQ5082" s="19"/>
      <c r="AR5082" s="19"/>
      <c r="AS5082" s="19"/>
      <c r="AT5082" s="19"/>
      <c r="AU5082" s="19"/>
    </row>
    <row r="5083" spans="3:47">
      <c r="C5083" s="20"/>
      <c r="Z5083" s="20"/>
      <c r="AG5083" s="20"/>
      <c r="AQ5083" s="19"/>
      <c r="AR5083" s="19"/>
      <c r="AS5083" s="19"/>
      <c r="AT5083" s="19"/>
      <c r="AU5083" s="19"/>
    </row>
    <row r="5084" spans="3:47">
      <c r="C5084" s="20"/>
      <c r="Z5084" s="20"/>
      <c r="AG5084" s="20"/>
      <c r="AQ5084" s="19"/>
      <c r="AR5084" s="19"/>
      <c r="AS5084" s="19"/>
      <c r="AT5084" s="19"/>
      <c r="AU5084" s="19"/>
    </row>
    <row r="5085" spans="3:47">
      <c r="C5085" s="20"/>
      <c r="Z5085" s="20"/>
      <c r="AG5085" s="20"/>
      <c r="AQ5085" s="19"/>
      <c r="AR5085" s="19"/>
      <c r="AS5085" s="19"/>
      <c r="AT5085" s="19"/>
      <c r="AU5085" s="19"/>
    </row>
    <row r="5086" spans="3:47">
      <c r="C5086" s="20"/>
      <c r="Z5086" s="20"/>
      <c r="AG5086" s="20"/>
      <c r="AQ5086" s="19"/>
      <c r="AR5086" s="19"/>
      <c r="AS5086" s="19"/>
      <c r="AT5086" s="19"/>
      <c r="AU5086" s="19"/>
    </row>
    <row r="5087" spans="3:47">
      <c r="C5087" s="20"/>
      <c r="Z5087" s="20"/>
      <c r="AG5087" s="20"/>
      <c r="AQ5087" s="19"/>
      <c r="AR5087" s="19"/>
      <c r="AS5087" s="19"/>
      <c r="AT5087" s="19"/>
      <c r="AU5087" s="19"/>
    </row>
    <row r="5088" spans="3:47">
      <c r="C5088" s="20"/>
      <c r="Z5088" s="20"/>
      <c r="AG5088" s="20"/>
      <c r="AQ5088" s="19"/>
      <c r="AR5088" s="19"/>
      <c r="AS5088" s="19"/>
      <c r="AT5088" s="19"/>
      <c r="AU5088" s="19"/>
    </row>
    <row r="5089" spans="3:47">
      <c r="C5089" s="20"/>
      <c r="Z5089" s="20"/>
      <c r="AG5089" s="20"/>
      <c r="AQ5089" s="19"/>
      <c r="AR5089" s="19"/>
      <c r="AS5089" s="19"/>
      <c r="AT5089" s="19"/>
      <c r="AU5089" s="19"/>
    </row>
    <row r="5090" spans="3:47">
      <c r="C5090" s="20"/>
      <c r="Z5090" s="20"/>
      <c r="AG5090" s="20"/>
      <c r="AQ5090" s="19"/>
      <c r="AR5090" s="19"/>
      <c r="AS5090" s="19"/>
      <c r="AT5090" s="19"/>
      <c r="AU5090" s="19"/>
    </row>
    <row r="5091" spans="3:47">
      <c r="C5091" s="20"/>
      <c r="Z5091" s="20"/>
      <c r="AG5091" s="20"/>
      <c r="AQ5091" s="19"/>
      <c r="AR5091" s="19"/>
      <c r="AS5091" s="19"/>
      <c r="AT5091" s="19"/>
      <c r="AU5091" s="19"/>
    </row>
    <row r="5092" spans="3:47">
      <c r="C5092" s="20"/>
      <c r="Z5092" s="20"/>
      <c r="AG5092" s="20"/>
      <c r="AQ5092" s="19"/>
      <c r="AR5092" s="19"/>
      <c r="AS5092" s="19"/>
      <c r="AT5092" s="19"/>
      <c r="AU5092" s="19"/>
    </row>
    <row r="5093" spans="3:47">
      <c r="C5093" s="20"/>
      <c r="Z5093" s="20"/>
      <c r="AG5093" s="20"/>
      <c r="AQ5093" s="19"/>
      <c r="AR5093" s="19"/>
      <c r="AS5093" s="19"/>
      <c r="AT5093" s="19"/>
      <c r="AU5093" s="19"/>
    </row>
    <row r="5094" spans="3:47">
      <c r="C5094" s="20"/>
      <c r="Z5094" s="20"/>
      <c r="AG5094" s="20"/>
      <c r="AQ5094" s="19"/>
      <c r="AR5094" s="19"/>
      <c r="AS5094" s="19"/>
      <c r="AT5094" s="19"/>
      <c r="AU5094" s="19"/>
    </row>
    <row r="5095" spans="3:47">
      <c r="C5095" s="20"/>
      <c r="Z5095" s="20"/>
      <c r="AG5095" s="20"/>
      <c r="AQ5095" s="19"/>
      <c r="AR5095" s="19"/>
      <c r="AS5095" s="19"/>
      <c r="AT5095" s="19"/>
      <c r="AU5095" s="19"/>
    </row>
    <row r="5096" spans="3:47">
      <c r="C5096" s="20"/>
      <c r="Z5096" s="20"/>
      <c r="AG5096" s="20"/>
      <c r="AQ5096" s="19"/>
      <c r="AR5096" s="19"/>
      <c r="AS5096" s="19"/>
      <c r="AT5096" s="19"/>
      <c r="AU5096" s="19"/>
    </row>
    <row r="5097" spans="3:47">
      <c r="C5097" s="20"/>
      <c r="Z5097" s="20"/>
      <c r="AG5097" s="20"/>
      <c r="AQ5097" s="19"/>
      <c r="AR5097" s="19"/>
      <c r="AS5097" s="19"/>
      <c r="AT5097" s="19"/>
      <c r="AU5097" s="19"/>
    </row>
    <row r="5098" spans="3:47">
      <c r="C5098" s="20"/>
      <c r="Z5098" s="20"/>
      <c r="AG5098" s="20"/>
      <c r="AQ5098" s="19"/>
      <c r="AR5098" s="19"/>
      <c r="AS5098" s="19"/>
      <c r="AT5098" s="19"/>
      <c r="AU5098" s="19"/>
    </row>
    <row r="5099" spans="3:47">
      <c r="C5099" s="20"/>
      <c r="Z5099" s="20"/>
      <c r="AG5099" s="20"/>
      <c r="AQ5099" s="19"/>
      <c r="AR5099" s="19"/>
      <c r="AS5099" s="19"/>
      <c r="AT5099" s="19"/>
      <c r="AU5099" s="19"/>
    </row>
    <row r="5100" spans="3:47">
      <c r="C5100" s="20"/>
      <c r="Z5100" s="20"/>
      <c r="AG5100" s="20"/>
      <c r="AQ5100" s="19"/>
      <c r="AR5100" s="19"/>
      <c r="AS5100" s="19"/>
      <c r="AT5100" s="19"/>
      <c r="AU5100" s="19"/>
    </row>
    <row r="5101" spans="3:47">
      <c r="C5101" s="20"/>
      <c r="Z5101" s="20"/>
      <c r="AG5101" s="20"/>
      <c r="AQ5101" s="19"/>
      <c r="AR5101" s="19"/>
      <c r="AS5101" s="19"/>
      <c r="AT5101" s="19"/>
      <c r="AU5101" s="19"/>
    </row>
    <row r="5102" spans="3:47">
      <c r="C5102" s="20"/>
      <c r="Z5102" s="20"/>
      <c r="AG5102" s="20"/>
      <c r="AQ5102" s="19"/>
      <c r="AR5102" s="19"/>
      <c r="AS5102" s="19"/>
      <c r="AT5102" s="19"/>
      <c r="AU5102" s="19"/>
    </row>
    <row r="5103" spans="3:47">
      <c r="C5103" s="20"/>
      <c r="Z5103" s="20"/>
      <c r="AG5103" s="20"/>
      <c r="AQ5103" s="19"/>
      <c r="AR5103" s="19"/>
      <c r="AS5103" s="19"/>
      <c r="AT5103" s="19"/>
      <c r="AU5103" s="19"/>
    </row>
    <row r="5104" spans="3:47">
      <c r="C5104" s="20"/>
      <c r="Z5104" s="20"/>
      <c r="AG5104" s="20"/>
      <c r="AQ5104" s="19"/>
      <c r="AR5104" s="19"/>
      <c r="AS5104" s="19"/>
      <c r="AT5104" s="19"/>
      <c r="AU5104" s="19"/>
    </row>
    <row r="5105" spans="3:47">
      <c r="C5105" s="20"/>
      <c r="Z5105" s="20"/>
      <c r="AG5105" s="20"/>
      <c r="AQ5105" s="19"/>
      <c r="AR5105" s="19"/>
      <c r="AS5105" s="19"/>
      <c r="AT5105" s="19"/>
      <c r="AU5105" s="19"/>
    </row>
    <row r="5106" spans="3:47">
      <c r="C5106" s="20"/>
      <c r="Z5106" s="20"/>
      <c r="AG5106" s="20"/>
      <c r="AQ5106" s="19"/>
      <c r="AR5106" s="19"/>
      <c r="AS5106" s="19"/>
      <c r="AT5106" s="19"/>
      <c r="AU5106" s="19"/>
    </row>
    <row r="5107" spans="3:47">
      <c r="C5107" s="20"/>
      <c r="Z5107" s="20"/>
      <c r="AG5107" s="20"/>
      <c r="AQ5107" s="19"/>
      <c r="AR5107" s="19"/>
      <c r="AS5107" s="19"/>
      <c r="AT5107" s="19"/>
      <c r="AU5107" s="19"/>
    </row>
    <row r="5108" spans="3:47">
      <c r="C5108" s="20"/>
      <c r="Z5108" s="20"/>
      <c r="AG5108" s="20"/>
      <c r="AQ5108" s="19"/>
      <c r="AR5108" s="19"/>
      <c r="AS5108" s="19"/>
      <c r="AT5108" s="19"/>
      <c r="AU5108" s="19"/>
    </row>
    <row r="5109" spans="3:47">
      <c r="C5109" s="20"/>
      <c r="Z5109" s="20"/>
      <c r="AG5109" s="20"/>
      <c r="AQ5109" s="19"/>
      <c r="AR5109" s="19"/>
      <c r="AS5109" s="19"/>
      <c r="AT5109" s="19"/>
      <c r="AU5109" s="19"/>
    </row>
    <row r="5110" spans="3:47">
      <c r="C5110" s="20"/>
      <c r="Z5110" s="20"/>
      <c r="AG5110" s="20"/>
      <c r="AQ5110" s="19"/>
      <c r="AR5110" s="19"/>
      <c r="AS5110" s="19"/>
      <c r="AT5110" s="19"/>
      <c r="AU5110" s="19"/>
    </row>
    <row r="5111" spans="3:47">
      <c r="C5111" s="20"/>
      <c r="Z5111" s="20"/>
      <c r="AG5111" s="20"/>
      <c r="AQ5111" s="19"/>
      <c r="AR5111" s="19"/>
      <c r="AS5111" s="19"/>
      <c r="AT5111" s="19"/>
      <c r="AU5111" s="19"/>
    </row>
    <row r="5112" spans="3:47">
      <c r="C5112" s="20"/>
      <c r="Z5112" s="20"/>
      <c r="AG5112" s="20"/>
      <c r="AQ5112" s="19"/>
      <c r="AR5112" s="19"/>
      <c r="AS5112" s="19"/>
      <c r="AT5112" s="19"/>
      <c r="AU5112" s="19"/>
    </row>
    <row r="5113" spans="3:47">
      <c r="C5113" s="20"/>
      <c r="Z5113" s="20"/>
      <c r="AG5113" s="20"/>
      <c r="AQ5113" s="19"/>
      <c r="AR5113" s="19"/>
      <c r="AS5113" s="19"/>
      <c r="AT5113" s="19"/>
      <c r="AU5113" s="19"/>
    </row>
    <row r="5114" spans="3:47">
      <c r="C5114" s="20"/>
      <c r="Z5114" s="20"/>
      <c r="AG5114" s="20"/>
      <c r="AQ5114" s="19"/>
      <c r="AR5114" s="19"/>
      <c r="AS5114" s="19"/>
      <c r="AT5114" s="19"/>
      <c r="AU5114" s="19"/>
    </row>
    <row r="5115" spans="3:47">
      <c r="C5115" s="20"/>
      <c r="Z5115" s="20"/>
      <c r="AG5115" s="20"/>
      <c r="AQ5115" s="19"/>
      <c r="AR5115" s="19"/>
      <c r="AS5115" s="19"/>
      <c r="AT5115" s="19"/>
      <c r="AU5115" s="19"/>
    </row>
    <row r="5116" spans="3:47">
      <c r="C5116" s="20"/>
      <c r="Z5116" s="20"/>
      <c r="AG5116" s="20"/>
      <c r="AQ5116" s="19"/>
      <c r="AR5116" s="19"/>
      <c r="AS5116" s="19"/>
      <c r="AT5116" s="19"/>
      <c r="AU5116" s="19"/>
    </row>
    <row r="5117" spans="3:47">
      <c r="C5117" s="20"/>
      <c r="Z5117" s="20"/>
      <c r="AG5117" s="20"/>
      <c r="AQ5117" s="19"/>
      <c r="AR5117" s="19"/>
      <c r="AS5117" s="19"/>
      <c r="AT5117" s="19"/>
      <c r="AU5117" s="19"/>
    </row>
    <row r="5118" spans="3:47">
      <c r="C5118" s="20"/>
      <c r="Z5118" s="20"/>
      <c r="AG5118" s="20"/>
      <c r="AQ5118" s="19"/>
      <c r="AR5118" s="19"/>
      <c r="AS5118" s="19"/>
      <c r="AT5118" s="19"/>
      <c r="AU5118" s="19"/>
    </row>
    <row r="5119" spans="3:47">
      <c r="C5119" s="20"/>
      <c r="Z5119" s="20"/>
      <c r="AG5119" s="20"/>
      <c r="AQ5119" s="19"/>
      <c r="AR5119" s="19"/>
      <c r="AS5119" s="19"/>
      <c r="AT5119" s="19"/>
      <c r="AU5119" s="19"/>
    </row>
    <row r="5120" spans="3:47">
      <c r="C5120" s="20"/>
      <c r="Z5120" s="20"/>
      <c r="AG5120" s="20"/>
      <c r="AQ5120" s="19"/>
      <c r="AR5120" s="19"/>
      <c r="AS5120" s="19"/>
      <c r="AT5120" s="19"/>
      <c r="AU5120" s="19"/>
    </row>
    <row r="5121" spans="3:47">
      <c r="C5121" s="20"/>
      <c r="Z5121" s="20"/>
      <c r="AG5121" s="20"/>
      <c r="AQ5121" s="19"/>
      <c r="AR5121" s="19"/>
      <c r="AS5121" s="19"/>
      <c r="AT5121" s="19"/>
      <c r="AU5121" s="19"/>
    </row>
    <row r="5122" spans="3:47">
      <c r="C5122" s="20"/>
      <c r="Z5122" s="20"/>
      <c r="AG5122" s="20"/>
      <c r="AQ5122" s="19"/>
      <c r="AR5122" s="19"/>
      <c r="AS5122" s="19"/>
      <c r="AT5122" s="19"/>
      <c r="AU5122" s="19"/>
    </row>
    <row r="5123" spans="3:47">
      <c r="C5123" s="20"/>
      <c r="Z5123" s="20"/>
      <c r="AG5123" s="20"/>
      <c r="AQ5123" s="19"/>
      <c r="AR5123" s="19"/>
      <c r="AS5123" s="19"/>
      <c r="AT5123" s="19"/>
      <c r="AU5123" s="19"/>
    </row>
    <row r="5124" spans="3:47">
      <c r="C5124" s="20"/>
      <c r="Z5124" s="20"/>
      <c r="AG5124" s="20"/>
      <c r="AQ5124" s="19"/>
      <c r="AR5124" s="19"/>
      <c r="AS5124" s="19"/>
      <c r="AT5124" s="19"/>
      <c r="AU5124" s="19"/>
    </row>
    <row r="5125" spans="3:47">
      <c r="C5125" s="20"/>
      <c r="Z5125" s="20"/>
      <c r="AG5125" s="20"/>
      <c r="AQ5125" s="19"/>
      <c r="AR5125" s="19"/>
      <c r="AS5125" s="19"/>
      <c r="AT5125" s="19"/>
      <c r="AU5125" s="19"/>
    </row>
    <row r="5126" spans="3:47">
      <c r="C5126" s="20"/>
      <c r="Z5126" s="20"/>
      <c r="AG5126" s="20"/>
      <c r="AQ5126" s="19"/>
      <c r="AR5126" s="19"/>
      <c r="AS5126" s="19"/>
      <c r="AT5126" s="19"/>
      <c r="AU5126" s="19"/>
    </row>
    <row r="5127" spans="3:47">
      <c r="C5127" s="20"/>
      <c r="Z5127" s="20"/>
      <c r="AG5127" s="20"/>
      <c r="AQ5127" s="19"/>
      <c r="AR5127" s="19"/>
      <c r="AS5127" s="19"/>
      <c r="AT5127" s="19"/>
      <c r="AU5127" s="19"/>
    </row>
    <row r="5128" spans="3:47">
      <c r="C5128" s="20"/>
      <c r="Z5128" s="20"/>
      <c r="AG5128" s="20"/>
      <c r="AQ5128" s="19"/>
      <c r="AR5128" s="19"/>
      <c r="AS5128" s="19"/>
      <c r="AT5128" s="19"/>
      <c r="AU5128" s="19"/>
    </row>
    <row r="5129" spans="3:47">
      <c r="C5129" s="20"/>
      <c r="Z5129" s="20"/>
      <c r="AG5129" s="20"/>
      <c r="AQ5129" s="19"/>
      <c r="AR5129" s="19"/>
      <c r="AS5129" s="19"/>
      <c r="AT5129" s="19"/>
      <c r="AU5129" s="19"/>
    </row>
    <row r="5130" spans="3:47">
      <c r="C5130" s="20"/>
      <c r="Z5130" s="20"/>
      <c r="AG5130" s="20"/>
      <c r="AQ5130" s="19"/>
      <c r="AR5130" s="19"/>
      <c r="AS5130" s="19"/>
      <c r="AT5130" s="19"/>
      <c r="AU5130" s="19"/>
    </row>
    <row r="5131" spans="3:47">
      <c r="C5131" s="20"/>
      <c r="Z5131" s="20"/>
      <c r="AG5131" s="20"/>
      <c r="AQ5131" s="19"/>
      <c r="AR5131" s="19"/>
      <c r="AS5131" s="19"/>
      <c r="AT5131" s="19"/>
      <c r="AU5131" s="19"/>
    </row>
    <row r="5132" spans="3:47">
      <c r="C5132" s="20"/>
      <c r="Z5132" s="20"/>
      <c r="AG5132" s="20"/>
      <c r="AQ5132" s="19"/>
      <c r="AR5132" s="19"/>
      <c r="AS5132" s="19"/>
      <c r="AT5132" s="19"/>
      <c r="AU5132" s="19"/>
    </row>
    <row r="5133" spans="3:47">
      <c r="C5133" s="20"/>
      <c r="Z5133" s="20"/>
      <c r="AG5133" s="20"/>
      <c r="AQ5133" s="19"/>
      <c r="AR5133" s="19"/>
      <c r="AS5133" s="19"/>
      <c r="AT5133" s="19"/>
      <c r="AU5133" s="19"/>
    </row>
    <row r="5134" spans="3:47">
      <c r="C5134" s="20"/>
      <c r="Z5134" s="20"/>
      <c r="AG5134" s="20"/>
      <c r="AQ5134" s="19"/>
      <c r="AR5134" s="19"/>
      <c r="AS5134" s="19"/>
      <c r="AT5134" s="19"/>
      <c r="AU5134" s="19"/>
    </row>
    <row r="5135" spans="3:47">
      <c r="C5135" s="20"/>
      <c r="Z5135" s="20"/>
      <c r="AG5135" s="20"/>
      <c r="AQ5135" s="19"/>
      <c r="AR5135" s="19"/>
      <c r="AS5135" s="19"/>
      <c r="AT5135" s="19"/>
      <c r="AU5135" s="19"/>
    </row>
    <row r="5136" spans="3:47">
      <c r="C5136" s="20"/>
      <c r="Z5136" s="20"/>
      <c r="AG5136" s="20"/>
      <c r="AQ5136" s="19"/>
      <c r="AR5136" s="19"/>
      <c r="AS5136" s="19"/>
      <c r="AT5136" s="19"/>
      <c r="AU5136" s="19"/>
    </row>
    <row r="5137" spans="3:47">
      <c r="C5137" s="20"/>
      <c r="Z5137" s="20"/>
      <c r="AG5137" s="20"/>
      <c r="AQ5137" s="19"/>
      <c r="AR5137" s="19"/>
      <c r="AS5137" s="19"/>
      <c r="AT5137" s="19"/>
      <c r="AU5137" s="19"/>
    </row>
    <row r="5138" spans="3:47">
      <c r="C5138" s="20"/>
      <c r="Z5138" s="20"/>
      <c r="AG5138" s="20"/>
      <c r="AQ5138" s="19"/>
      <c r="AR5138" s="19"/>
      <c r="AS5138" s="19"/>
      <c r="AT5138" s="19"/>
      <c r="AU5138" s="19"/>
    </row>
    <row r="5139" spans="3:47">
      <c r="C5139" s="20"/>
      <c r="Z5139" s="20"/>
      <c r="AG5139" s="20"/>
      <c r="AQ5139" s="19"/>
      <c r="AR5139" s="19"/>
      <c r="AS5139" s="19"/>
      <c r="AT5139" s="19"/>
      <c r="AU5139" s="19"/>
    </row>
    <row r="5140" spans="3:47">
      <c r="C5140" s="20"/>
      <c r="Z5140" s="20"/>
      <c r="AG5140" s="20"/>
      <c r="AQ5140" s="19"/>
      <c r="AR5140" s="19"/>
      <c r="AS5140" s="19"/>
      <c r="AT5140" s="19"/>
      <c r="AU5140" s="19"/>
    </row>
    <row r="5141" spans="3:47">
      <c r="C5141" s="20"/>
      <c r="Z5141" s="20"/>
      <c r="AG5141" s="20"/>
      <c r="AQ5141" s="19"/>
      <c r="AR5141" s="19"/>
      <c r="AS5141" s="19"/>
      <c r="AT5141" s="19"/>
      <c r="AU5141" s="19"/>
    </row>
    <row r="5142" spans="3:47">
      <c r="C5142" s="20"/>
      <c r="Z5142" s="20"/>
      <c r="AG5142" s="20"/>
      <c r="AQ5142" s="19"/>
      <c r="AR5142" s="19"/>
      <c r="AS5142" s="19"/>
      <c r="AT5142" s="19"/>
      <c r="AU5142" s="19"/>
    </row>
    <row r="5143" spans="3:47">
      <c r="C5143" s="20"/>
      <c r="Z5143" s="20"/>
      <c r="AG5143" s="20"/>
      <c r="AQ5143" s="19"/>
      <c r="AR5143" s="19"/>
      <c r="AS5143" s="19"/>
      <c r="AT5143" s="19"/>
      <c r="AU5143" s="19"/>
    </row>
    <row r="5144" spans="3:47">
      <c r="C5144" s="20"/>
      <c r="Z5144" s="20"/>
      <c r="AG5144" s="20"/>
      <c r="AQ5144" s="19"/>
      <c r="AR5144" s="19"/>
      <c r="AS5144" s="19"/>
      <c r="AT5144" s="19"/>
      <c r="AU5144" s="19"/>
    </row>
    <row r="5145" spans="3:47">
      <c r="C5145" s="20"/>
      <c r="Z5145" s="20"/>
      <c r="AG5145" s="20"/>
      <c r="AQ5145" s="19"/>
      <c r="AR5145" s="19"/>
      <c r="AS5145" s="19"/>
      <c r="AT5145" s="19"/>
      <c r="AU5145" s="19"/>
    </row>
    <row r="5146" spans="3:47">
      <c r="C5146" s="20"/>
      <c r="Z5146" s="20"/>
      <c r="AG5146" s="20"/>
      <c r="AQ5146" s="19"/>
      <c r="AR5146" s="19"/>
      <c r="AS5146" s="19"/>
      <c r="AT5146" s="19"/>
      <c r="AU5146" s="19"/>
    </row>
    <row r="5147" spans="3:47">
      <c r="C5147" s="20"/>
      <c r="Z5147" s="20"/>
      <c r="AG5147" s="20"/>
      <c r="AQ5147" s="19"/>
      <c r="AR5147" s="19"/>
      <c r="AS5147" s="19"/>
      <c r="AT5147" s="19"/>
      <c r="AU5147" s="19"/>
    </row>
    <row r="5148" spans="3:47">
      <c r="C5148" s="20"/>
      <c r="Z5148" s="20"/>
      <c r="AG5148" s="20"/>
      <c r="AQ5148" s="19"/>
      <c r="AR5148" s="19"/>
      <c r="AS5148" s="19"/>
      <c r="AT5148" s="19"/>
      <c r="AU5148" s="19"/>
    </row>
    <row r="5149" spans="3:47">
      <c r="C5149" s="20"/>
      <c r="Z5149" s="20"/>
      <c r="AG5149" s="20"/>
      <c r="AQ5149" s="19"/>
      <c r="AR5149" s="19"/>
      <c r="AS5149" s="19"/>
      <c r="AT5149" s="19"/>
      <c r="AU5149" s="19"/>
    </row>
    <row r="5150" spans="3:47">
      <c r="C5150" s="20"/>
      <c r="Z5150" s="20"/>
      <c r="AG5150" s="20"/>
      <c r="AQ5150" s="19"/>
      <c r="AR5150" s="19"/>
      <c r="AS5150" s="19"/>
      <c r="AT5150" s="19"/>
      <c r="AU5150" s="19"/>
    </row>
    <row r="5151" spans="3:47">
      <c r="C5151" s="20"/>
      <c r="Z5151" s="20"/>
      <c r="AG5151" s="20"/>
      <c r="AQ5151" s="19"/>
      <c r="AR5151" s="19"/>
      <c r="AS5151" s="19"/>
      <c r="AT5151" s="19"/>
      <c r="AU5151" s="19"/>
    </row>
    <row r="5152" spans="3:47">
      <c r="C5152" s="20"/>
      <c r="Z5152" s="20"/>
      <c r="AG5152" s="20"/>
      <c r="AQ5152" s="19"/>
      <c r="AR5152" s="19"/>
      <c r="AS5152" s="19"/>
      <c r="AT5152" s="19"/>
      <c r="AU5152" s="19"/>
    </row>
    <row r="5153" spans="3:47">
      <c r="C5153" s="20"/>
      <c r="Z5153" s="20"/>
      <c r="AG5153" s="20"/>
      <c r="AQ5153" s="19"/>
      <c r="AR5153" s="19"/>
      <c r="AS5153" s="19"/>
      <c r="AT5153" s="19"/>
      <c r="AU5153" s="19"/>
    </row>
    <row r="5154" spans="3:47">
      <c r="C5154" s="20"/>
      <c r="Z5154" s="20"/>
      <c r="AG5154" s="20"/>
      <c r="AQ5154" s="19"/>
      <c r="AR5154" s="19"/>
      <c r="AS5154" s="19"/>
      <c r="AT5154" s="19"/>
      <c r="AU5154" s="19"/>
    </row>
    <row r="5155" spans="3:47">
      <c r="C5155" s="20"/>
      <c r="Z5155" s="20"/>
      <c r="AG5155" s="20"/>
      <c r="AQ5155" s="19"/>
      <c r="AR5155" s="19"/>
      <c r="AS5155" s="19"/>
      <c r="AT5155" s="19"/>
      <c r="AU5155" s="19"/>
    </row>
    <row r="5156" spans="3:47">
      <c r="C5156" s="20"/>
      <c r="Z5156" s="20"/>
      <c r="AG5156" s="20"/>
      <c r="AQ5156" s="19"/>
      <c r="AR5156" s="19"/>
      <c r="AS5156" s="19"/>
      <c r="AT5156" s="19"/>
      <c r="AU5156" s="19"/>
    </row>
    <row r="5157" spans="3:47">
      <c r="C5157" s="20"/>
      <c r="Z5157" s="20"/>
      <c r="AG5157" s="20"/>
      <c r="AQ5157" s="19"/>
      <c r="AR5157" s="19"/>
      <c r="AS5157" s="19"/>
      <c r="AT5157" s="19"/>
      <c r="AU5157" s="19"/>
    </row>
    <row r="5158" spans="3:47">
      <c r="C5158" s="20"/>
      <c r="Z5158" s="20"/>
      <c r="AG5158" s="20"/>
      <c r="AQ5158" s="19"/>
      <c r="AR5158" s="19"/>
      <c r="AS5158" s="19"/>
      <c r="AT5158" s="19"/>
      <c r="AU5158" s="19"/>
    </row>
    <row r="5159" spans="3:47">
      <c r="C5159" s="20"/>
      <c r="Z5159" s="20"/>
      <c r="AG5159" s="20"/>
      <c r="AQ5159" s="19"/>
      <c r="AR5159" s="19"/>
      <c r="AS5159" s="19"/>
      <c r="AT5159" s="19"/>
      <c r="AU5159" s="19"/>
    </row>
    <row r="5160" spans="3:47">
      <c r="C5160" s="20"/>
      <c r="Z5160" s="20"/>
      <c r="AG5160" s="20"/>
      <c r="AQ5160" s="19"/>
      <c r="AR5160" s="19"/>
      <c r="AS5160" s="19"/>
      <c r="AT5160" s="19"/>
      <c r="AU5160" s="19"/>
    </row>
    <row r="5161" spans="3:47">
      <c r="C5161" s="20"/>
      <c r="Z5161" s="20"/>
      <c r="AG5161" s="20"/>
      <c r="AQ5161" s="19"/>
      <c r="AR5161" s="19"/>
      <c r="AS5161" s="19"/>
      <c r="AT5161" s="19"/>
      <c r="AU5161" s="19"/>
    </row>
    <row r="5162" spans="3:47">
      <c r="C5162" s="20"/>
      <c r="Z5162" s="20"/>
      <c r="AG5162" s="20"/>
      <c r="AQ5162" s="19"/>
      <c r="AR5162" s="19"/>
      <c r="AS5162" s="19"/>
      <c r="AT5162" s="19"/>
      <c r="AU5162" s="19"/>
    </row>
    <row r="5163" spans="3:47">
      <c r="C5163" s="20"/>
      <c r="Z5163" s="20"/>
      <c r="AG5163" s="20"/>
      <c r="AQ5163" s="19"/>
      <c r="AR5163" s="19"/>
      <c r="AS5163" s="19"/>
      <c r="AT5163" s="19"/>
      <c r="AU5163" s="19"/>
    </row>
    <row r="5164" spans="3:47">
      <c r="C5164" s="20"/>
      <c r="Z5164" s="20"/>
      <c r="AG5164" s="20"/>
      <c r="AQ5164" s="19"/>
      <c r="AR5164" s="19"/>
      <c r="AS5164" s="19"/>
      <c r="AT5164" s="19"/>
      <c r="AU5164" s="19"/>
    </row>
    <row r="5165" spans="3:47">
      <c r="C5165" s="20"/>
      <c r="Z5165" s="20"/>
      <c r="AG5165" s="20"/>
      <c r="AQ5165" s="19"/>
      <c r="AR5165" s="19"/>
      <c r="AS5165" s="19"/>
      <c r="AT5165" s="19"/>
      <c r="AU5165" s="19"/>
    </row>
    <row r="5166" spans="3:47">
      <c r="C5166" s="20"/>
      <c r="Z5166" s="20"/>
      <c r="AG5166" s="20"/>
      <c r="AQ5166" s="19"/>
      <c r="AR5166" s="19"/>
      <c r="AS5166" s="19"/>
      <c r="AT5166" s="19"/>
      <c r="AU5166" s="19"/>
    </row>
    <row r="5167" spans="3:47">
      <c r="C5167" s="20"/>
      <c r="Z5167" s="20"/>
      <c r="AG5167" s="20"/>
      <c r="AQ5167" s="19"/>
      <c r="AR5167" s="19"/>
      <c r="AS5167" s="19"/>
      <c r="AT5167" s="19"/>
      <c r="AU5167" s="19"/>
    </row>
    <row r="5168" spans="3:47">
      <c r="C5168" s="20"/>
      <c r="Z5168" s="20"/>
      <c r="AG5168" s="20"/>
      <c r="AQ5168" s="19"/>
      <c r="AR5168" s="19"/>
      <c r="AS5168" s="19"/>
      <c r="AT5168" s="19"/>
      <c r="AU5168" s="19"/>
    </row>
    <row r="5169" spans="3:47">
      <c r="C5169" s="20"/>
      <c r="Z5169" s="20"/>
      <c r="AG5169" s="20"/>
      <c r="AQ5169" s="19"/>
      <c r="AR5169" s="19"/>
      <c r="AS5169" s="19"/>
      <c r="AT5169" s="19"/>
      <c r="AU5169" s="19"/>
    </row>
    <row r="5170" spans="3:47">
      <c r="C5170" s="20"/>
      <c r="Z5170" s="20"/>
      <c r="AG5170" s="20"/>
      <c r="AQ5170" s="19"/>
      <c r="AR5170" s="19"/>
      <c r="AS5170" s="19"/>
      <c r="AT5170" s="19"/>
      <c r="AU5170" s="19"/>
    </row>
    <row r="5171" spans="3:47">
      <c r="C5171" s="20"/>
      <c r="Z5171" s="20"/>
      <c r="AG5171" s="20"/>
      <c r="AQ5171" s="19"/>
      <c r="AR5171" s="19"/>
      <c r="AS5171" s="19"/>
      <c r="AT5171" s="19"/>
      <c r="AU5171" s="19"/>
    </row>
    <row r="5172" spans="3:47">
      <c r="C5172" s="20"/>
      <c r="Z5172" s="20"/>
      <c r="AG5172" s="20"/>
      <c r="AQ5172" s="19"/>
      <c r="AR5172" s="19"/>
      <c r="AS5172" s="19"/>
      <c r="AT5172" s="19"/>
      <c r="AU5172" s="19"/>
    </row>
    <row r="5173" spans="3:47">
      <c r="C5173" s="20"/>
      <c r="Z5173" s="20"/>
      <c r="AG5173" s="20"/>
      <c r="AQ5173" s="19"/>
      <c r="AR5173" s="19"/>
      <c r="AS5173" s="19"/>
      <c r="AT5173" s="19"/>
      <c r="AU5173" s="19"/>
    </row>
    <row r="5174" spans="3:47">
      <c r="C5174" s="20"/>
      <c r="Z5174" s="20"/>
      <c r="AG5174" s="20"/>
      <c r="AQ5174" s="19"/>
      <c r="AR5174" s="19"/>
      <c r="AS5174" s="19"/>
      <c r="AT5174" s="19"/>
      <c r="AU5174" s="19"/>
    </row>
    <row r="5175" spans="3:47">
      <c r="C5175" s="20"/>
      <c r="Z5175" s="20"/>
      <c r="AG5175" s="20"/>
      <c r="AQ5175" s="19"/>
      <c r="AR5175" s="19"/>
      <c r="AS5175" s="19"/>
      <c r="AT5175" s="19"/>
      <c r="AU5175" s="19"/>
    </row>
    <row r="5176" spans="3:47">
      <c r="C5176" s="20"/>
      <c r="Z5176" s="20"/>
      <c r="AG5176" s="20"/>
      <c r="AQ5176" s="19"/>
      <c r="AR5176" s="19"/>
      <c r="AS5176" s="19"/>
      <c r="AT5176" s="19"/>
      <c r="AU5176" s="19"/>
    </row>
    <row r="5177" spans="3:47">
      <c r="C5177" s="20"/>
      <c r="Z5177" s="20"/>
      <c r="AG5177" s="20"/>
      <c r="AQ5177" s="19"/>
      <c r="AR5177" s="19"/>
      <c r="AS5177" s="19"/>
      <c r="AT5177" s="19"/>
      <c r="AU5177" s="19"/>
    </row>
    <row r="5178" spans="3:47">
      <c r="C5178" s="20"/>
      <c r="Z5178" s="20"/>
      <c r="AG5178" s="20"/>
      <c r="AQ5178" s="19"/>
      <c r="AR5178" s="19"/>
      <c r="AS5178" s="19"/>
      <c r="AT5178" s="19"/>
      <c r="AU5178" s="19"/>
    </row>
    <row r="5179" spans="3:47">
      <c r="C5179" s="20"/>
      <c r="Z5179" s="20"/>
      <c r="AG5179" s="20"/>
      <c r="AQ5179" s="19"/>
      <c r="AR5179" s="19"/>
      <c r="AS5179" s="19"/>
      <c r="AT5179" s="19"/>
      <c r="AU5179" s="19"/>
    </row>
    <row r="5180" spans="3:47">
      <c r="C5180" s="20"/>
      <c r="Z5180" s="20"/>
      <c r="AG5180" s="20"/>
      <c r="AQ5180" s="19"/>
      <c r="AR5180" s="19"/>
      <c r="AS5180" s="19"/>
      <c r="AT5180" s="19"/>
      <c r="AU5180" s="19"/>
    </row>
    <row r="5181" spans="3:47">
      <c r="C5181" s="20"/>
      <c r="Z5181" s="20"/>
      <c r="AG5181" s="20"/>
      <c r="AQ5181" s="19"/>
      <c r="AR5181" s="19"/>
      <c r="AS5181" s="19"/>
      <c r="AT5181" s="19"/>
      <c r="AU5181" s="19"/>
    </row>
    <row r="5182" spans="3:47">
      <c r="C5182" s="20"/>
      <c r="Z5182" s="20"/>
      <c r="AG5182" s="20"/>
      <c r="AQ5182" s="19"/>
      <c r="AR5182" s="19"/>
      <c r="AS5182" s="19"/>
      <c r="AT5182" s="19"/>
      <c r="AU5182" s="19"/>
    </row>
    <row r="5183" spans="3:47">
      <c r="C5183" s="20"/>
      <c r="Z5183" s="20"/>
      <c r="AG5183" s="20"/>
      <c r="AQ5183" s="19"/>
      <c r="AR5183" s="19"/>
      <c r="AS5183" s="19"/>
      <c r="AT5183" s="19"/>
      <c r="AU5183" s="19"/>
    </row>
    <row r="5184" spans="3:47">
      <c r="C5184" s="20"/>
      <c r="Z5184" s="20"/>
      <c r="AG5184" s="20"/>
      <c r="AQ5184" s="19"/>
      <c r="AR5184" s="19"/>
      <c r="AS5184" s="19"/>
      <c r="AT5184" s="19"/>
      <c r="AU5184" s="19"/>
    </row>
    <row r="5185" spans="3:47">
      <c r="C5185" s="20"/>
      <c r="Z5185" s="20"/>
      <c r="AG5185" s="20"/>
      <c r="AQ5185" s="19"/>
      <c r="AR5185" s="19"/>
      <c r="AS5185" s="19"/>
      <c r="AT5185" s="19"/>
      <c r="AU5185" s="19"/>
    </row>
    <row r="5186" spans="3:47">
      <c r="C5186" s="20"/>
      <c r="Z5186" s="20"/>
      <c r="AG5186" s="20"/>
      <c r="AQ5186" s="19"/>
      <c r="AR5186" s="19"/>
      <c r="AS5186" s="19"/>
      <c r="AT5186" s="19"/>
      <c r="AU5186" s="19"/>
    </row>
    <row r="5187" spans="3:47">
      <c r="C5187" s="20"/>
      <c r="Z5187" s="20"/>
      <c r="AG5187" s="20"/>
      <c r="AQ5187" s="19"/>
      <c r="AR5187" s="19"/>
      <c r="AS5187" s="19"/>
      <c r="AT5187" s="19"/>
      <c r="AU5187" s="19"/>
    </row>
    <row r="5188" spans="3:47">
      <c r="C5188" s="20"/>
      <c r="Z5188" s="20"/>
      <c r="AG5188" s="20"/>
      <c r="AQ5188" s="19"/>
      <c r="AR5188" s="19"/>
      <c r="AS5188" s="19"/>
      <c r="AT5188" s="19"/>
      <c r="AU5188" s="19"/>
    </row>
    <row r="5189" spans="3:47">
      <c r="C5189" s="20"/>
      <c r="Z5189" s="20"/>
      <c r="AG5189" s="20"/>
      <c r="AQ5189" s="19"/>
      <c r="AR5189" s="19"/>
      <c r="AS5189" s="19"/>
      <c r="AT5189" s="19"/>
      <c r="AU5189" s="19"/>
    </row>
    <row r="5190" spans="3:47">
      <c r="C5190" s="20"/>
      <c r="Z5190" s="20"/>
      <c r="AG5190" s="20"/>
      <c r="AQ5190" s="19"/>
      <c r="AR5190" s="19"/>
      <c r="AS5190" s="19"/>
      <c r="AT5190" s="19"/>
      <c r="AU5190" s="19"/>
    </row>
    <row r="5191" spans="3:47">
      <c r="C5191" s="20"/>
      <c r="Z5191" s="20"/>
      <c r="AG5191" s="20"/>
      <c r="AQ5191" s="19"/>
      <c r="AR5191" s="19"/>
      <c r="AS5191" s="19"/>
      <c r="AT5191" s="19"/>
      <c r="AU5191" s="19"/>
    </row>
    <row r="5192" spans="3:47">
      <c r="C5192" s="20"/>
      <c r="Z5192" s="20"/>
      <c r="AG5192" s="20"/>
      <c r="AQ5192" s="19"/>
      <c r="AR5192" s="19"/>
      <c r="AS5192" s="19"/>
      <c r="AT5192" s="19"/>
      <c r="AU5192" s="19"/>
    </row>
    <row r="5193" spans="3:47">
      <c r="C5193" s="20"/>
      <c r="Z5193" s="20"/>
      <c r="AG5193" s="20"/>
      <c r="AQ5193" s="19"/>
      <c r="AR5193" s="19"/>
      <c r="AS5193" s="19"/>
      <c r="AT5193" s="19"/>
      <c r="AU5193" s="19"/>
    </row>
    <row r="5194" spans="3:47">
      <c r="C5194" s="20"/>
      <c r="Z5194" s="20"/>
      <c r="AG5194" s="20"/>
      <c r="AQ5194" s="19"/>
      <c r="AR5194" s="19"/>
      <c r="AS5194" s="19"/>
      <c r="AT5194" s="19"/>
      <c r="AU5194" s="19"/>
    </row>
    <row r="5195" spans="3:47">
      <c r="C5195" s="20"/>
      <c r="Z5195" s="20"/>
      <c r="AG5195" s="20"/>
      <c r="AQ5195" s="19"/>
      <c r="AR5195" s="19"/>
      <c r="AS5195" s="19"/>
      <c r="AT5195" s="19"/>
      <c r="AU5195" s="19"/>
    </row>
    <row r="5196" spans="3:47">
      <c r="C5196" s="20"/>
      <c r="Z5196" s="20"/>
      <c r="AG5196" s="20"/>
      <c r="AQ5196" s="19"/>
      <c r="AR5196" s="19"/>
      <c r="AS5196" s="19"/>
      <c r="AT5196" s="19"/>
      <c r="AU5196" s="19"/>
    </row>
    <row r="5197" spans="3:47">
      <c r="C5197" s="20"/>
      <c r="Z5197" s="20"/>
      <c r="AG5197" s="20"/>
      <c r="AQ5197" s="19"/>
      <c r="AR5197" s="19"/>
      <c r="AS5197" s="19"/>
      <c r="AT5197" s="19"/>
      <c r="AU5197" s="19"/>
    </row>
    <row r="5198" spans="3:47">
      <c r="C5198" s="20"/>
      <c r="Z5198" s="20"/>
      <c r="AG5198" s="20"/>
      <c r="AQ5198" s="19"/>
      <c r="AR5198" s="19"/>
      <c r="AS5198" s="19"/>
      <c r="AT5198" s="19"/>
      <c r="AU5198" s="19"/>
    </row>
    <row r="5199" spans="3:47">
      <c r="C5199" s="20"/>
      <c r="Z5199" s="20"/>
      <c r="AG5199" s="20"/>
      <c r="AQ5199" s="19"/>
      <c r="AR5199" s="19"/>
      <c r="AS5199" s="19"/>
      <c r="AT5199" s="19"/>
      <c r="AU5199" s="19"/>
    </row>
    <row r="5200" spans="3:47">
      <c r="C5200" s="20"/>
      <c r="Z5200" s="20"/>
      <c r="AG5200" s="20"/>
      <c r="AQ5200" s="19"/>
      <c r="AR5200" s="19"/>
      <c r="AS5200" s="19"/>
      <c r="AT5200" s="19"/>
      <c r="AU5200" s="19"/>
    </row>
    <row r="5201" spans="3:47">
      <c r="C5201" s="20"/>
      <c r="Z5201" s="20"/>
      <c r="AG5201" s="20"/>
      <c r="AQ5201" s="19"/>
      <c r="AR5201" s="19"/>
      <c r="AS5201" s="19"/>
      <c r="AT5201" s="19"/>
      <c r="AU5201" s="19"/>
    </row>
    <row r="5202" spans="3:47">
      <c r="C5202" s="20"/>
      <c r="Z5202" s="20"/>
      <c r="AG5202" s="20"/>
      <c r="AQ5202" s="19"/>
      <c r="AR5202" s="19"/>
      <c r="AS5202" s="19"/>
      <c r="AT5202" s="19"/>
      <c r="AU5202" s="19"/>
    </row>
    <row r="5203" spans="3:47">
      <c r="C5203" s="20"/>
      <c r="Z5203" s="20"/>
      <c r="AG5203" s="20"/>
      <c r="AQ5203" s="19"/>
      <c r="AR5203" s="19"/>
      <c r="AS5203" s="19"/>
      <c r="AT5203" s="19"/>
      <c r="AU5203" s="19"/>
    </row>
    <row r="5204" spans="3:47">
      <c r="C5204" s="20"/>
      <c r="Z5204" s="20"/>
      <c r="AG5204" s="20"/>
      <c r="AQ5204" s="19"/>
      <c r="AR5204" s="19"/>
      <c r="AS5204" s="19"/>
      <c r="AT5204" s="19"/>
      <c r="AU5204" s="19"/>
    </row>
    <row r="5205" spans="3:47">
      <c r="C5205" s="20"/>
      <c r="Z5205" s="20"/>
      <c r="AG5205" s="20"/>
      <c r="AQ5205" s="19"/>
      <c r="AR5205" s="19"/>
      <c r="AS5205" s="19"/>
      <c r="AT5205" s="19"/>
      <c r="AU5205" s="19"/>
    </row>
    <row r="5206" spans="3:47">
      <c r="C5206" s="20"/>
      <c r="Z5206" s="20"/>
      <c r="AG5206" s="20"/>
      <c r="AQ5206" s="19"/>
      <c r="AR5206" s="19"/>
      <c r="AS5206" s="19"/>
      <c r="AT5206" s="19"/>
      <c r="AU5206" s="19"/>
    </row>
    <row r="5207" spans="3:47">
      <c r="C5207" s="20"/>
      <c r="Z5207" s="20"/>
      <c r="AG5207" s="20"/>
      <c r="AQ5207" s="19"/>
      <c r="AR5207" s="19"/>
      <c r="AS5207" s="19"/>
      <c r="AT5207" s="19"/>
      <c r="AU5207" s="19"/>
    </row>
    <row r="5208" spans="3:47">
      <c r="C5208" s="20"/>
      <c r="Z5208" s="20"/>
      <c r="AG5208" s="20"/>
      <c r="AQ5208" s="19"/>
      <c r="AR5208" s="19"/>
      <c r="AS5208" s="19"/>
      <c r="AT5208" s="19"/>
      <c r="AU5208" s="19"/>
    </row>
    <row r="5209" spans="3:47">
      <c r="C5209" s="20"/>
      <c r="Z5209" s="20"/>
      <c r="AG5209" s="20"/>
      <c r="AQ5209" s="19"/>
      <c r="AR5209" s="19"/>
      <c r="AS5209" s="19"/>
      <c r="AT5209" s="19"/>
      <c r="AU5209" s="19"/>
    </row>
    <row r="5210" spans="3:47">
      <c r="C5210" s="20"/>
      <c r="Z5210" s="20"/>
      <c r="AG5210" s="20"/>
      <c r="AQ5210" s="19"/>
      <c r="AR5210" s="19"/>
      <c r="AS5210" s="19"/>
      <c r="AT5210" s="19"/>
      <c r="AU5210" s="19"/>
    </row>
    <row r="5211" spans="3:47">
      <c r="C5211" s="20"/>
      <c r="Z5211" s="20"/>
      <c r="AG5211" s="20"/>
      <c r="AQ5211" s="19"/>
      <c r="AR5211" s="19"/>
      <c r="AS5211" s="19"/>
      <c r="AT5211" s="19"/>
      <c r="AU5211" s="19"/>
    </row>
    <row r="5212" spans="3:47">
      <c r="C5212" s="20"/>
      <c r="Z5212" s="20"/>
      <c r="AG5212" s="20"/>
      <c r="AQ5212" s="19"/>
      <c r="AR5212" s="19"/>
      <c r="AS5212" s="19"/>
      <c r="AT5212" s="19"/>
      <c r="AU5212" s="19"/>
    </row>
    <row r="5213" spans="3:47">
      <c r="C5213" s="20"/>
      <c r="Z5213" s="20"/>
      <c r="AG5213" s="20"/>
      <c r="AQ5213" s="19"/>
      <c r="AR5213" s="19"/>
      <c r="AS5213" s="19"/>
      <c r="AT5213" s="19"/>
      <c r="AU5213" s="19"/>
    </row>
    <row r="5214" spans="3:47">
      <c r="C5214" s="20"/>
      <c r="Z5214" s="20"/>
      <c r="AG5214" s="20"/>
      <c r="AQ5214" s="19"/>
      <c r="AR5214" s="19"/>
      <c r="AS5214" s="19"/>
      <c r="AT5214" s="19"/>
      <c r="AU5214" s="19"/>
    </row>
    <row r="5215" spans="3:47">
      <c r="C5215" s="20"/>
      <c r="Z5215" s="20"/>
      <c r="AG5215" s="20"/>
      <c r="AQ5215" s="19"/>
      <c r="AR5215" s="19"/>
      <c r="AS5215" s="19"/>
      <c r="AT5215" s="19"/>
      <c r="AU5215" s="19"/>
    </row>
    <row r="5216" spans="3:47">
      <c r="C5216" s="20"/>
      <c r="Z5216" s="20"/>
      <c r="AG5216" s="20"/>
      <c r="AQ5216" s="19"/>
      <c r="AR5216" s="19"/>
      <c r="AS5216" s="19"/>
      <c r="AT5216" s="19"/>
      <c r="AU5216" s="19"/>
    </row>
    <row r="5217" spans="3:47">
      <c r="C5217" s="20"/>
      <c r="Z5217" s="20"/>
      <c r="AG5217" s="20"/>
      <c r="AQ5217" s="19"/>
      <c r="AR5217" s="19"/>
      <c r="AS5217" s="19"/>
      <c r="AT5217" s="19"/>
      <c r="AU5217" s="19"/>
    </row>
    <row r="5218" spans="3:47">
      <c r="C5218" s="20"/>
      <c r="Z5218" s="20"/>
      <c r="AG5218" s="20"/>
      <c r="AQ5218" s="19"/>
      <c r="AR5218" s="19"/>
      <c r="AS5218" s="19"/>
      <c r="AT5218" s="19"/>
      <c r="AU5218" s="19"/>
    </row>
    <row r="5219" spans="3:47">
      <c r="C5219" s="20"/>
      <c r="Z5219" s="20"/>
      <c r="AG5219" s="20"/>
      <c r="AQ5219" s="19"/>
      <c r="AR5219" s="19"/>
      <c r="AS5219" s="19"/>
      <c r="AT5219" s="19"/>
      <c r="AU5219" s="19"/>
    </row>
    <row r="5220" spans="3:47">
      <c r="C5220" s="20"/>
      <c r="Z5220" s="20"/>
      <c r="AG5220" s="20"/>
      <c r="AQ5220" s="19"/>
      <c r="AR5220" s="19"/>
      <c r="AS5220" s="19"/>
      <c r="AT5220" s="19"/>
      <c r="AU5220" s="19"/>
    </row>
    <row r="5221" spans="3:47">
      <c r="C5221" s="20"/>
      <c r="Z5221" s="20"/>
      <c r="AG5221" s="20"/>
      <c r="AQ5221" s="19"/>
      <c r="AR5221" s="19"/>
      <c r="AS5221" s="19"/>
      <c r="AT5221" s="19"/>
      <c r="AU5221" s="19"/>
    </row>
    <row r="5222" spans="3:47">
      <c r="C5222" s="20"/>
      <c r="Z5222" s="20"/>
      <c r="AG5222" s="20"/>
      <c r="AQ5222" s="19"/>
      <c r="AR5222" s="19"/>
      <c r="AS5222" s="19"/>
      <c r="AT5222" s="19"/>
      <c r="AU5222" s="19"/>
    </row>
    <row r="5223" spans="3:47">
      <c r="C5223" s="20"/>
      <c r="Z5223" s="20"/>
      <c r="AG5223" s="20"/>
      <c r="AQ5223" s="19"/>
      <c r="AR5223" s="19"/>
      <c r="AS5223" s="19"/>
      <c r="AT5223" s="19"/>
      <c r="AU5223" s="19"/>
    </row>
    <row r="5224" spans="3:47">
      <c r="C5224" s="20"/>
      <c r="Z5224" s="20"/>
      <c r="AG5224" s="20"/>
      <c r="AQ5224" s="19"/>
      <c r="AR5224" s="19"/>
      <c r="AS5224" s="19"/>
      <c r="AT5224" s="19"/>
      <c r="AU5224" s="19"/>
    </row>
    <row r="5225" spans="3:47">
      <c r="C5225" s="20"/>
      <c r="Z5225" s="20"/>
      <c r="AG5225" s="20"/>
      <c r="AQ5225" s="19"/>
      <c r="AR5225" s="19"/>
      <c r="AS5225" s="19"/>
      <c r="AT5225" s="19"/>
      <c r="AU5225" s="19"/>
    </row>
    <row r="5226" spans="3:47">
      <c r="C5226" s="20"/>
      <c r="Z5226" s="20"/>
      <c r="AG5226" s="20"/>
      <c r="AQ5226" s="19"/>
      <c r="AR5226" s="19"/>
      <c r="AS5226" s="19"/>
      <c r="AT5226" s="19"/>
      <c r="AU5226" s="19"/>
    </row>
    <row r="5227" spans="3:47">
      <c r="C5227" s="20"/>
      <c r="Z5227" s="20"/>
      <c r="AG5227" s="20"/>
      <c r="AQ5227" s="19"/>
      <c r="AR5227" s="19"/>
      <c r="AS5227" s="19"/>
      <c r="AT5227" s="19"/>
      <c r="AU5227" s="19"/>
    </row>
    <row r="5228" spans="3:47">
      <c r="C5228" s="20"/>
      <c r="Z5228" s="20"/>
      <c r="AG5228" s="20"/>
      <c r="AQ5228" s="19"/>
      <c r="AR5228" s="19"/>
      <c r="AS5228" s="19"/>
      <c r="AT5228" s="19"/>
      <c r="AU5228" s="19"/>
    </row>
    <row r="5229" spans="3:47">
      <c r="C5229" s="20"/>
      <c r="Z5229" s="20"/>
      <c r="AG5229" s="20"/>
      <c r="AQ5229" s="19"/>
      <c r="AR5229" s="19"/>
      <c r="AS5229" s="19"/>
      <c r="AT5229" s="19"/>
      <c r="AU5229" s="19"/>
    </row>
    <row r="5230" spans="3:47">
      <c r="C5230" s="20"/>
      <c r="Z5230" s="20"/>
      <c r="AG5230" s="20"/>
      <c r="AQ5230" s="19"/>
      <c r="AR5230" s="19"/>
      <c r="AS5230" s="19"/>
      <c r="AT5230" s="19"/>
      <c r="AU5230" s="19"/>
    </row>
    <row r="5231" spans="3:47">
      <c r="C5231" s="20"/>
      <c r="Z5231" s="20"/>
      <c r="AG5231" s="20"/>
      <c r="AQ5231" s="19"/>
      <c r="AR5231" s="19"/>
      <c r="AS5231" s="19"/>
      <c r="AT5231" s="19"/>
      <c r="AU5231" s="19"/>
    </row>
    <row r="5232" spans="3:47">
      <c r="C5232" s="20"/>
      <c r="Z5232" s="20"/>
      <c r="AG5232" s="20"/>
      <c r="AQ5232" s="19"/>
      <c r="AR5232" s="19"/>
      <c r="AS5232" s="19"/>
      <c r="AT5232" s="19"/>
      <c r="AU5232" s="19"/>
    </row>
    <row r="5233" spans="3:47">
      <c r="C5233" s="20"/>
      <c r="Z5233" s="20"/>
      <c r="AG5233" s="20"/>
      <c r="AQ5233" s="19"/>
      <c r="AR5233" s="19"/>
      <c r="AS5233" s="19"/>
      <c r="AT5233" s="19"/>
      <c r="AU5233" s="19"/>
    </row>
    <row r="5234" spans="3:47">
      <c r="C5234" s="20"/>
      <c r="Z5234" s="20"/>
      <c r="AG5234" s="20"/>
      <c r="AQ5234" s="19"/>
      <c r="AR5234" s="19"/>
      <c r="AS5234" s="19"/>
      <c r="AT5234" s="19"/>
      <c r="AU5234" s="19"/>
    </row>
    <row r="5235" spans="3:47">
      <c r="C5235" s="20"/>
      <c r="Z5235" s="20"/>
      <c r="AG5235" s="20"/>
      <c r="AQ5235" s="19"/>
      <c r="AR5235" s="19"/>
      <c r="AS5235" s="19"/>
      <c r="AT5235" s="19"/>
      <c r="AU5235" s="19"/>
    </row>
    <row r="5236" spans="3:47">
      <c r="C5236" s="20"/>
      <c r="Z5236" s="20"/>
      <c r="AG5236" s="20"/>
      <c r="AQ5236" s="19"/>
      <c r="AR5236" s="19"/>
      <c r="AS5236" s="19"/>
      <c r="AT5236" s="19"/>
      <c r="AU5236" s="19"/>
    </row>
    <row r="5237" spans="3:47">
      <c r="C5237" s="20"/>
      <c r="Z5237" s="20"/>
      <c r="AG5237" s="20"/>
      <c r="AQ5237" s="19"/>
      <c r="AR5237" s="19"/>
      <c r="AS5237" s="19"/>
      <c r="AT5237" s="19"/>
      <c r="AU5237" s="19"/>
    </row>
    <row r="5238" spans="3:47">
      <c r="C5238" s="20"/>
      <c r="Z5238" s="20"/>
      <c r="AG5238" s="20"/>
      <c r="AQ5238" s="19"/>
      <c r="AR5238" s="19"/>
      <c r="AS5238" s="19"/>
      <c r="AT5238" s="19"/>
      <c r="AU5238" s="19"/>
    </row>
    <row r="5239" spans="3:47">
      <c r="C5239" s="20"/>
      <c r="Z5239" s="20"/>
      <c r="AG5239" s="20"/>
      <c r="AQ5239" s="19"/>
      <c r="AR5239" s="19"/>
      <c r="AS5239" s="19"/>
      <c r="AT5239" s="19"/>
      <c r="AU5239" s="19"/>
    </row>
    <row r="5240" spans="3:47">
      <c r="C5240" s="20"/>
      <c r="Z5240" s="20"/>
      <c r="AG5240" s="20"/>
      <c r="AQ5240" s="19"/>
      <c r="AR5240" s="19"/>
      <c r="AS5240" s="19"/>
      <c r="AT5240" s="19"/>
      <c r="AU5240" s="19"/>
    </row>
    <row r="5241" spans="3:47">
      <c r="C5241" s="20"/>
      <c r="Z5241" s="20"/>
      <c r="AG5241" s="20"/>
      <c r="AQ5241" s="19"/>
      <c r="AR5241" s="19"/>
      <c r="AS5241" s="19"/>
      <c r="AT5241" s="19"/>
      <c r="AU5241" s="19"/>
    </row>
    <row r="5242" spans="3:47">
      <c r="C5242" s="20"/>
      <c r="Z5242" s="20"/>
      <c r="AG5242" s="20"/>
      <c r="AQ5242" s="19"/>
      <c r="AR5242" s="19"/>
      <c r="AS5242" s="19"/>
      <c r="AT5242" s="19"/>
      <c r="AU5242" s="19"/>
    </row>
    <row r="5243" spans="3:47">
      <c r="C5243" s="20"/>
      <c r="Z5243" s="20"/>
      <c r="AG5243" s="20"/>
      <c r="AQ5243" s="19"/>
      <c r="AR5243" s="19"/>
      <c r="AS5243" s="19"/>
      <c r="AT5243" s="19"/>
      <c r="AU5243" s="19"/>
    </row>
    <row r="5244" spans="3:47">
      <c r="C5244" s="20"/>
      <c r="Z5244" s="20"/>
      <c r="AG5244" s="20"/>
      <c r="AQ5244" s="19"/>
      <c r="AR5244" s="19"/>
      <c r="AS5244" s="19"/>
      <c r="AT5244" s="19"/>
      <c r="AU5244" s="19"/>
    </row>
    <row r="5245" spans="3:47">
      <c r="C5245" s="20"/>
      <c r="Z5245" s="20"/>
      <c r="AG5245" s="20"/>
      <c r="AQ5245" s="19"/>
      <c r="AR5245" s="19"/>
      <c r="AS5245" s="19"/>
      <c r="AT5245" s="19"/>
      <c r="AU5245" s="19"/>
    </row>
    <row r="5246" spans="3:47">
      <c r="C5246" s="20"/>
      <c r="Z5246" s="20"/>
      <c r="AG5246" s="20"/>
      <c r="AQ5246" s="19"/>
      <c r="AR5246" s="19"/>
      <c r="AS5246" s="19"/>
      <c r="AT5246" s="19"/>
      <c r="AU5246" s="19"/>
    </row>
    <row r="5247" spans="3:47">
      <c r="C5247" s="20"/>
      <c r="Z5247" s="20"/>
      <c r="AG5247" s="20"/>
      <c r="AQ5247" s="19"/>
      <c r="AR5247" s="19"/>
      <c r="AS5247" s="19"/>
      <c r="AT5247" s="19"/>
      <c r="AU5247" s="19"/>
    </row>
    <row r="5248" spans="3:47">
      <c r="C5248" s="20"/>
      <c r="Z5248" s="20"/>
      <c r="AG5248" s="20"/>
      <c r="AQ5248" s="19"/>
      <c r="AR5248" s="19"/>
      <c r="AS5248" s="19"/>
      <c r="AT5248" s="19"/>
      <c r="AU5248" s="19"/>
    </row>
    <row r="5249" spans="3:47">
      <c r="C5249" s="20"/>
      <c r="Z5249" s="20"/>
      <c r="AG5249" s="20"/>
      <c r="AQ5249" s="19"/>
      <c r="AR5249" s="19"/>
      <c r="AS5249" s="19"/>
      <c r="AT5249" s="19"/>
      <c r="AU5249" s="19"/>
    </row>
    <row r="5250" spans="3:47">
      <c r="C5250" s="20"/>
      <c r="Z5250" s="20"/>
      <c r="AG5250" s="20"/>
      <c r="AQ5250" s="19"/>
      <c r="AR5250" s="19"/>
      <c r="AS5250" s="19"/>
      <c r="AT5250" s="19"/>
      <c r="AU5250" s="19"/>
    </row>
    <row r="5251" spans="3:47">
      <c r="C5251" s="20"/>
      <c r="Z5251" s="20"/>
      <c r="AG5251" s="20"/>
      <c r="AQ5251" s="19"/>
      <c r="AR5251" s="19"/>
      <c r="AS5251" s="19"/>
      <c r="AT5251" s="19"/>
      <c r="AU5251" s="19"/>
    </row>
    <row r="5252" spans="3:47">
      <c r="C5252" s="20"/>
      <c r="Z5252" s="20"/>
      <c r="AG5252" s="20"/>
      <c r="AQ5252" s="19"/>
      <c r="AR5252" s="19"/>
      <c r="AS5252" s="19"/>
      <c r="AT5252" s="19"/>
      <c r="AU5252" s="19"/>
    </row>
    <row r="5253" spans="3:47">
      <c r="C5253" s="20"/>
      <c r="Z5253" s="20"/>
      <c r="AG5253" s="20"/>
      <c r="AQ5253" s="19"/>
      <c r="AR5253" s="19"/>
      <c r="AS5253" s="19"/>
      <c r="AT5253" s="19"/>
      <c r="AU5253" s="19"/>
    </row>
    <row r="5254" spans="3:47">
      <c r="C5254" s="20"/>
      <c r="Z5254" s="20"/>
      <c r="AG5254" s="20"/>
      <c r="AQ5254" s="19"/>
      <c r="AR5254" s="19"/>
      <c r="AS5254" s="19"/>
      <c r="AT5254" s="19"/>
      <c r="AU5254" s="19"/>
    </row>
    <row r="5255" spans="3:47">
      <c r="C5255" s="20"/>
      <c r="Z5255" s="20"/>
      <c r="AG5255" s="20"/>
      <c r="AQ5255" s="19"/>
      <c r="AR5255" s="19"/>
      <c r="AS5255" s="19"/>
      <c r="AT5255" s="19"/>
      <c r="AU5255" s="19"/>
    </row>
    <row r="5256" spans="3:47">
      <c r="C5256" s="20"/>
      <c r="Z5256" s="20"/>
      <c r="AG5256" s="20"/>
      <c r="AQ5256" s="19"/>
      <c r="AR5256" s="19"/>
      <c r="AS5256" s="19"/>
      <c r="AT5256" s="19"/>
      <c r="AU5256" s="19"/>
    </row>
    <row r="5257" spans="3:47">
      <c r="C5257" s="20"/>
      <c r="Z5257" s="20"/>
      <c r="AG5257" s="20"/>
      <c r="AQ5257" s="19"/>
      <c r="AR5257" s="19"/>
      <c r="AS5257" s="19"/>
      <c r="AT5257" s="19"/>
      <c r="AU5257" s="19"/>
    </row>
    <row r="5258" spans="3:47">
      <c r="C5258" s="20"/>
      <c r="Z5258" s="20"/>
      <c r="AG5258" s="20"/>
      <c r="AQ5258" s="19"/>
      <c r="AR5258" s="19"/>
      <c r="AS5258" s="19"/>
      <c r="AT5258" s="19"/>
      <c r="AU5258" s="19"/>
    </row>
    <row r="5259" spans="3:47">
      <c r="C5259" s="20"/>
      <c r="Z5259" s="20"/>
      <c r="AG5259" s="20"/>
      <c r="AQ5259" s="19"/>
      <c r="AR5259" s="19"/>
      <c r="AS5259" s="19"/>
      <c r="AT5259" s="19"/>
      <c r="AU5259" s="19"/>
    </row>
    <row r="5260" spans="3:47">
      <c r="C5260" s="20"/>
      <c r="Z5260" s="20"/>
      <c r="AG5260" s="20"/>
      <c r="AQ5260" s="19"/>
      <c r="AR5260" s="19"/>
      <c r="AS5260" s="19"/>
      <c r="AT5260" s="19"/>
      <c r="AU5260" s="19"/>
    </row>
    <row r="5261" spans="3:47">
      <c r="C5261" s="20"/>
      <c r="Z5261" s="20"/>
      <c r="AG5261" s="20"/>
      <c r="AQ5261" s="19"/>
      <c r="AR5261" s="19"/>
      <c r="AS5261" s="19"/>
      <c r="AT5261" s="19"/>
      <c r="AU5261" s="19"/>
    </row>
    <row r="5262" spans="3:47">
      <c r="C5262" s="20"/>
      <c r="Z5262" s="20"/>
      <c r="AG5262" s="20"/>
      <c r="AQ5262" s="19"/>
      <c r="AR5262" s="19"/>
      <c r="AS5262" s="19"/>
      <c r="AT5262" s="19"/>
      <c r="AU5262" s="19"/>
    </row>
    <row r="5263" spans="3:47">
      <c r="C5263" s="20"/>
      <c r="Z5263" s="20"/>
      <c r="AG5263" s="20"/>
      <c r="AQ5263" s="19"/>
      <c r="AR5263" s="19"/>
      <c r="AS5263" s="19"/>
      <c r="AT5263" s="19"/>
      <c r="AU5263" s="19"/>
    </row>
    <row r="5264" spans="3:47">
      <c r="C5264" s="20"/>
      <c r="Z5264" s="20"/>
      <c r="AG5264" s="20"/>
      <c r="AQ5264" s="19"/>
      <c r="AR5264" s="19"/>
      <c r="AS5264" s="19"/>
      <c r="AT5264" s="19"/>
      <c r="AU5264" s="19"/>
    </row>
    <row r="5265" spans="3:47">
      <c r="C5265" s="20"/>
      <c r="Z5265" s="20"/>
      <c r="AG5265" s="20"/>
      <c r="AQ5265" s="19"/>
      <c r="AR5265" s="19"/>
      <c r="AS5265" s="19"/>
      <c r="AT5265" s="19"/>
      <c r="AU5265" s="19"/>
    </row>
    <row r="5266" spans="3:47">
      <c r="C5266" s="20"/>
      <c r="Z5266" s="20"/>
      <c r="AG5266" s="20"/>
      <c r="AQ5266" s="19"/>
      <c r="AR5266" s="19"/>
      <c r="AS5266" s="19"/>
      <c r="AT5266" s="19"/>
      <c r="AU5266" s="19"/>
    </row>
    <row r="5267" spans="3:47">
      <c r="C5267" s="20"/>
      <c r="Z5267" s="20"/>
      <c r="AG5267" s="20"/>
      <c r="AQ5267" s="19"/>
      <c r="AR5267" s="19"/>
      <c r="AS5267" s="19"/>
      <c r="AT5267" s="19"/>
      <c r="AU5267" s="19"/>
    </row>
    <row r="5268" spans="3:47">
      <c r="C5268" s="20"/>
      <c r="Z5268" s="20"/>
      <c r="AG5268" s="20"/>
      <c r="AQ5268" s="19"/>
      <c r="AR5268" s="19"/>
      <c r="AS5268" s="19"/>
      <c r="AT5268" s="19"/>
      <c r="AU5268" s="19"/>
    </row>
    <row r="5269" spans="3:47">
      <c r="C5269" s="20"/>
      <c r="Z5269" s="20"/>
      <c r="AG5269" s="20"/>
      <c r="AQ5269" s="19"/>
      <c r="AR5269" s="19"/>
      <c r="AS5269" s="19"/>
      <c r="AT5269" s="19"/>
      <c r="AU5269" s="19"/>
    </row>
    <row r="5270" spans="3:47">
      <c r="C5270" s="20"/>
      <c r="Z5270" s="20"/>
      <c r="AG5270" s="20"/>
      <c r="AQ5270" s="19"/>
      <c r="AR5270" s="19"/>
      <c r="AS5270" s="19"/>
      <c r="AT5270" s="19"/>
      <c r="AU5270" s="19"/>
    </row>
    <row r="5271" spans="3:47">
      <c r="C5271" s="20"/>
      <c r="Z5271" s="20"/>
      <c r="AG5271" s="20"/>
      <c r="AQ5271" s="19"/>
      <c r="AR5271" s="19"/>
      <c r="AS5271" s="19"/>
      <c r="AT5271" s="19"/>
      <c r="AU5271" s="19"/>
    </row>
    <row r="5272" spans="3:47">
      <c r="C5272" s="20"/>
      <c r="Z5272" s="20"/>
      <c r="AG5272" s="20"/>
      <c r="AQ5272" s="19"/>
      <c r="AR5272" s="19"/>
      <c r="AS5272" s="19"/>
      <c r="AT5272" s="19"/>
      <c r="AU5272" s="19"/>
    </row>
    <row r="5273" spans="3:47">
      <c r="C5273" s="20"/>
      <c r="Z5273" s="20"/>
      <c r="AG5273" s="20"/>
      <c r="AQ5273" s="19"/>
      <c r="AR5273" s="19"/>
      <c r="AS5273" s="19"/>
      <c r="AT5273" s="19"/>
      <c r="AU5273" s="19"/>
    </row>
    <row r="5274" spans="3:47">
      <c r="C5274" s="20"/>
      <c r="Z5274" s="20"/>
      <c r="AG5274" s="20"/>
      <c r="AQ5274" s="19"/>
      <c r="AR5274" s="19"/>
      <c r="AS5274" s="19"/>
      <c r="AT5274" s="19"/>
      <c r="AU5274" s="19"/>
    </row>
    <row r="5275" spans="3:47">
      <c r="C5275" s="20"/>
      <c r="Z5275" s="20"/>
      <c r="AG5275" s="20"/>
      <c r="AQ5275" s="19"/>
      <c r="AR5275" s="19"/>
      <c r="AS5275" s="19"/>
      <c r="AT5275" s="19"/>
      <c r="AU5275" s="19"/>
    </row>
    <row r="5276" spans="3:47">
      <c r="C5276" s="20"/>
      <c r="Z5276" s="20"/>
      <c r="AG5276" s="20"/>
      <c r="AQ5276" s="19"/>
      <c r="AR5276" s="19"/>
      <c r="AS5276" s="19"/>
      <c r="AT5276" s="19"/>
      <c r="AU5276" s="19"/>
    </row>
    <row r="5277" spans="3:47">
      <c r="C5277" s="20"/>
      <c r="Z5277" s="20"/>
      <c r="AG5277" s="20"/>
      <c r="AQ5277" s="19"/>
      <c r="AR5277" s="19"/>
      <c r="AS5277" s="19"/>
      <c r="AT5277" s="19"/>
      <c r="AU5277" s="19"/>
    </row>
    <row r="5278" spans="3:47">
      <c r="C5278" s="20"/>
      <c r="Z5278" s="20"/>
      <c r="AG5278" s="20"/>
      <c r="AQ5278" s="19"/>
      <c r="AR5278" s="19"/>
      <c r="AS5278" s="19"/>
      <c r="AT5278" s="19"/>
      <c r="AU5278" s="19"/>
    </row>
    <row r="5279" spans="3:47">
      <c r="C5279" s="20"/>
      <c r="Z5279" s="20"/>
      <c r="AG5279" s="20"/>
      <c r="AQ5279" s="19"/>
      <c r="AR5279" s="19"/>
      <c r="AS5279" s="19"/>
      <c r="AT5279" s="19"/>
      <c r="AU5279" s="19"/>
    </row>
    <row r="5280" spans="3:47">
      <c r="C5280" s="20"/>
      <c r="Z5280" s="20"/>
      <c r="AG5280" s="20"/>
      <c r="AQ5280" s="19"/>
      <c r="AR5280" s="19"/>
      <c r="AS5280" s="19"/>
      <c r="AT5280" s="19"/>
      <c r="AU5280" s="19"/>
    </row>
    <row r="5281" spans="3:47">
      <c r="C5281" s="20"/>
      <c r="Z5281" s="20"/>
      <c r="AG5281" s="20"/>
      <c r="AQ5281" s="19"/>
      <c r="AR5281" s="19"/>
      <c r="AS5281" s="19"/>
      <c r="AT5281" s="19"/>
      <c r="AU5281" s="19"/>
    </row>
    <row r="5282" spans="3:47">
      <c r="C5282" s="20"/>
      <c r="Z5282" s="20"/>
      <c r="AG5282" s="20"/>
      <c r="AQ5282" s="19"/>
      <c r="AR5282" s="19"/>
      <c r="AS5282" s="19"/>
      <c r="AT5282" s="19"/>
      <c r="AU5282" s="19"/>
    </row>
    <row r="5283" spans="3:47">
      <c r="C5283" s="20"/>
      <c r="Z5283" s="20"/>
      <c r="AG5283" s="20"/>
      <c r="AQ5283" s="19"/>
      <c r="AR5283" s="19"/>
      <c r="AS5283" s="19"/>
      <c r="AT5283" s="19"/>
      <c r="AU5283" s="19"/>
    </row>
    <row r="5284" spans="3:47">
      <c r="C5284" s="20"/>
      <c r="Z5284" s="20"/>
      <c r="AG5284" s="20"/>
      <c r="AQ5284" s="19"/>
      <c r="AR5284" s="19"/>
      <c r="AS5284" s="19"/>
      <c r="AT5284" s="19"/>
      <c r="AU5284" s="19"/>
    </row>
    <row r="5285" spans="3:47">
      <c r="C5285" s="20"/>
      <c r="Z5285" s="20"/>
      <c r="AG5285" s="20"/>
      <c r="AQ5285" s="19"/>
      <c r="AR5285" s="19"/>
      <c r="AS5285" s="19"/>
      <c r="AT5285" s="19"/>
      <c r="AU5285" s="19"/>
    </row>
    <row r="5286" spans="3:47">
      <c r="C5286" s="20"/>
      <c r="Z5286" s="20"/>
      <c r="AG5286" s="20"/>
      <c r="AQ5286" s="19"/>
      <c r="AR5286" s="19"/>
      <c r="AS5286" s="19"/>
      <c r="AT5286" s="19"/>
      <c r="AU5286" s="19"/>
    </row>
    <row r="5287" spans="3:47">
      <c r="C5287" s="20"/>
      <c r="Z5287" s="20"/>
      <c r="AG5287" s="20"/>
      <c r="AQ5287" s="19"/>
      <c r="AR5287" s="19"/>
      <c r="AS5287" s="19"/>
      <c r="AT5287" s="19"/>
      <c r="AU5287" s="19"/>
    </row>
    <row r="5288" spans="3:47">
      <c r="C5288" s="20"/>
      <c r="Z5288" s="20"/>
      <c r="AG5288" s="20"/>
      <c r="AQ5288" s="19"/>
      <c r="AR5288" s="19"/>
      <c r="AS5288" s="19"/>
      <c r="AT5288" s="19"/>
      <c r="AU5288" s="19"/>
    </row>
    <row r="5289" spans="3:47">
      <c r="C5289" s="20"/>
      <c r="Z5289" s="20"/>
      <c r="AG5289" s="20"/>
      <c r="AQ5289" s="19"/>
      <c r="AR5289" s="19"/>
      <c r="AS5289" s="19"/>
      <c r="AT5289" s="19"/>
      <c r="AU5289" s="19"/>
    </row>
    <row r="5290" spans="3:47">
      <c r="C5290" s="20"/>
      <c r="Z5290" s="20"/>
      <c r="AG5290" s="20"/>
      <c r="AQ5290" s="19"/>
      <c r="AR5290" s="19"/>
      <c r="AS5290" s="19"/>
      <c r="AT5290" s="19"/>
      <c r="AU5290" s="19"/>
    </row>
    <row r="5291" spans="3:47">
      <c r="C5291" s="20"/>
      <c r="Z5291" s="20"/>
      <c r="AG5291" s="20"/>
      <c r="AQ5291" s="19"/>
      <c r="AR5291" s="19"/>
      <c r="AS5291" s="19"/>
      <c r="AT5291" s="19"/>
      <c r="AU5291" s="19"/>
    </row>
    <row r="5292" spans="3:47">
      <c r="C5292" s="20"/>
      <c r="Z5292" s="20"/>
      <c r="AG5292" s="20"/>
      <c r="AQ5292" s="19"/>
      <c r="AR5292" s="19"/>
      <c r="AS5292" s="19"/>
      <c r="AT5292" s="19"/>
      <c r="AU5292" s="19"/>
    </row>
    <row r="5293" spans="3:47">
      <c r="C5293" s="20"/>
      <c r="Z5293" s="20"/>
      <c r="AG5293" s="20"/>
      <c r="AQ5293" s="19"/>
      <c r="AR5293" s="19"/>
      <c r="AS5293" s="19"/>
      <c r="AT5293" s="19"/>
      <c r="AU5293" s="19"/>
    </row>
    <row r="5294" spans="3:47">
      <c r="C5294" s="20"/>
      <c r="Z5294" s="20"/>
      <c r="AG5294" s="20"/>
      <c r="AQ5294" s="19"/>
      <c r="AR5294" s="19"/>
      <c r="AS5294" s="19"/>
      <c r="AT5294" s="19"/>
      <c r="AU5294" s="19"/>
    </row>
    <row r="5295" spans="3:47">
      <c r="C5295" s="20"/>
      <c r="Z5295" s="20"/>
      <c r="AG5295" s="20"/>
      <c r="AQ5295" s="19"/>
      <c r="AR5295" s="19"/>
      <c r="AS5295" s="19"/>
      <c r="AT5295" s="19"/>
      <c r="AU5295" s="19"/>
    </row>
    <row r="5296" spans="3:47">
      <c r="C5296" s="20"/>
      <c r="Z5296" s="20"/>
      <c r="AG5296" s="20"/>
      <c r="AQ5296" s="19"/>
      <c r="AR5296" s="19"/>
      <c r="AS5296" s="19"/>
      <c r="AT5296" s="19"/>
      <c r="AU5296" s="19"/>
    </row>
    <row r="5297" spans="3:47">
      <c r="C5297" s="20"/>
      <c r="Z5297" s="20"/>
      <c r="AG5297" s="20"/>
      <c r="AQ5297" s="19"/>
      <c r="AR5297" s="19"/>
      <c r="AS5297" s="19"/>
      <c r="AT5297" s="19"/>
      <c r="AU5297" s="19"/>
    </row>
    <row r="5298" spans="3:47">
      <c r="C5298" s="20"/>
      <c r="Z5298" s="20"/>
      <c r="AG5298" s="20"/>
      <c r="AQ5298" s="19"/>
      <c r="AR5298" s="19"/>
      <c r="AS5298" s="19"/>
      <c r="AT5298" s="19"/>
      <c r="AU5298" s="19"/>
    </row>
    <row r="5299" spans="3:47">
      <c r="C5299" s="20"/>
      <c r="Z5299" s="20"/>
      <c r="AG5299" s="20"/>
      <c r="AQ5299" s="19"/>
      <c r="AR5299" s="19"/>
      <c r="AS5299" s="19"/>
      <c r="AT5299" s="19"/>
      <c r="AU5299" s="19"/>
    </row>
    <row r="5300" spans="3:47">
      <c r="C5300" s="20"/>
      <c r="Z5300" s="20"/>
      <c r="AG5300" s="20"/>
      <c r="AQ5300" s="19"/>
      <c r="AR5300" s="19"/>
      <c r="AS5300" s="19"/>
      <c r="AT5300" s="19"/>
      <c r="AU5300" s="19"/>
    </row>
    <row r="5301" spans="3:47">
      <c r="C5301" s="20"/>
      <c r="Z5301" s="20"/>
      <c r="AG5301" s="20"/>
      <c r="AQ5301" s="19"/>
      <c r="AR5301" s="19"/>
      <c r="AS5301" s="19"/>
      <c r="AT5301" s="19"/>
      <c r="AU5301" s="19"/>
    </row>
    <row r="5302" spans="3:47">
      <c r="C5302" s="20"/>
      <c r="Z5302" s="20"/>
      <c r="AG5302" s="20"/>
      <c r="AQ5302" s="19"/>
      <c r="AR5302" s="19"/>
      <c r="AS5302" s="19"/>
      <c r="AT5302" s="19"/>
      <c r="AU5302" s="19"/>
    </row>
    <row r="5303" spans="3:47">
      <c r="C5303" s="20"/>
      <c r="Z5303" s="20"/>
      <c r="AG5303" s="20"/>
      <c r="AQ5303" s="19"/>
      <c r="AR5303" s="19"/>
      <c r="AS5303" s="19"/>
      <c r="AT5303" s="19"/>
      <c r="AU5303" s="19"/>
    </row>
    <row r="5304" spans="3:47">
      <c r="C5304" s="20"/>
      <c r="Z5304" s="20"/>
      <c r="AG5304" s="20"/>
      <c r="AQ5304" s="19"/>
      <c r="AR5304" s="19"/>
      <c r="AS5304" s="19"/>
      <c r="AT5304" s="19"/>
      <c r="AU5304" s="19"/>
    </row>
    <row r="5305" spans="3:47">
      <c r="C5305" s="20"/>
      <c r="Z5305" s="20"/>
      <c r="AG5305" s="20"/>
      <c r="AQ5305" s="19"/>
      <c r="AR5305" s="19"/>
      <c r="AS5305" s="19"/>
      <c r="AT5305" s="19"/>
      <c r="AU5305" s="19"/>
    </row>
    <row r="5306" spans="3:47">
      <c r="C5306" s="20"/>
      <c r="Z5306" s="20"/>
      <c r="AG5306" s="20"/>
      <c r="AQ5306" s="19"/>
      <c r="AR5306" s="19"/>
      <c r="AS5306" s="19"/>
      <c r="AT5306" s="19"/>
      <c r="AU5306" s="19"/>
    </row>
    <row r="5307" spans="3:47">
      <c r="C5307" s="20"/>
      <c r="Z5307" s="20"/>
      <c r="AG5307" s="20"/>
      <c r="AQ5307" s="19"/>
      <c r="AR5307" s="19"/>
      <c r="AS5307" s="19"/>
      <c r="AT5307" s="19"/>
      <c r="AU5307" s="19"/>
    </row>
    <row r="5308" spans="3:47">
      <c r="C5308" s="20"/>
      <c r="Z5308" s="20"/>
      <c r="AG5308" s="20"/>
      <c r="AQ5308" s="19"/>
      <c r="AR5308" s="19"/>
      <c r="AS5308" s="19"/>
      <c r="AT5308" s="19"/>
      <c r="AU5308" s="19"/>
    </row>
    <row r="5309" spans="3:47">
      <c r="C5309" s="20"/>
      <c r="Z5309" s="20"/>
      <c r="AG5309" s="20"/>
      <c r="AQ5309" s="19"/>
      <c r="AR5309" s="19"/>
      <c r="AS5309" s="19"/>
      <c r="AT5309" s="19"/>
      <c r="AU5309" s="19"/>
    </row>
    <row r="5310" spans="3:47">
      <c r="C5310" s="20"/>
      <c r="Z5310" s="20"/>
      <c r="AG5310" s="20"/>
      <c r="AQ5310" s="19"/>
      <c r="AR5310" s="19"/>
      <c r="AS5310" s="19"/>
      <c r="AT5310" s="19"/>
      <c r="AU5310" s="19"/>
    </row>
    <row r="5311" spans="3:47">
      <c r="C5311" s="20"/>
      <c r="Z5311" s="20"/>
      <c r="AG5311" s="20"/>
      <c r="AQ5311" s="19"/>
      <c r="AR5311" s="19"/>
      <c r="AS5311" s="19"/>
      <c r="AT5311" s="19"/>
      <c r="AU5311" s="19"/>
    </row>
    <row r="5312" spans="3:47">
      <c r="C5312" s="20"/>
      <c r="Z5312" s="20"/>
      <c r="AG5312" s="20"/>
      <c r="AQ5312" s="19"/>
      <c r="AR5312" s="19"/>
      <c r="AS5312" s="19"/>
      <c r="AT5312" s="19"/>
      <c r="AU5312" s="19"/>
    </row>
    <row r="5313" spans="3:47">
      <c r="C5313" s="20"/>
      <c r="Z5313" s="20"/>
      <c r="AG5313" s="20"/>
      <c r="AQ5313" s="19"/>
      <c r="AR5313" s="19"/>
      <c r="AS5313" s="19"/>
      <c r="AT5313" s="19"/>
      <c r="AU5313" s="19"/>
    </row>
    <row r="5314" spans="3:47">
      <c r="C5314" s="20"/>
      <c r="Z5314" s="20"/>
      <c r="AG5314" s="20"/>
      <c r="AQ5314" s="19"/>
      <c r="AR5314" s="19"/>
      <c r="AS5314" s="19"/>
      <c r="AT5314" s="19"/>
      <c r="AU5314" s="19"/>
    </row>
    <row r="5315" spans="3:47">
      <c r="C5315" s="20"/>
      <c r="Z5315" s="20"/>
      <c r="AG5315" s="20"/>
      <c r="AQ5315" s="19"/>
      <c r="AR5315" s="19"/>
      <c r="AS5315" s="19"/>
      <c r="AT5315" s="19"/>
      <c r="AU5315" s="19"/>
    </row>
    <row r="5316" spans="3:47">
      <c r="C5316" s="20"/>
      <c r="Z5316" s="20"/>
      <c r="AG5316" s="20"/>
      <c r="AQ5316" s="19"/>
      <c r="AR5316" s="19"/>
      <c r="AS5316" s="19"/>
      <c r="AT5316" s="19"/>
      <c r="AU5316" s="19"/>
    </row>
    <row r="5317" spans="3:47">
      <c r="C5317" s="20"/>
      <c r="Z5317" s="20"/>
      <c r="AG5317" s="20"/>
      <c r="AQ5317" s="19"/>
      <c r="AR5317" s="19"/>
      <c r="AS5317" s="19"/>
      <c r="AT5317" s="19"/>
      <c r="AU5317" s="19"/>
    </row>
    <row r="5318" spans="3:47">
      <c r="C5318" s="20"/>
      <c r="Z5318" s="20"/>
      <c r="AG5318" s="20"/>
      <c r="AQ5318" s="19"/>
      <c r="AR5318" s="19"/>
      <c r="AS5318" s="19"/>
      <c r="AT5318" s="19"/>
      <c r="AU5318" s="19"/>
    </row>
    <row r="5319" spans="3:47">
      <c r="C5319" s="20"/>
      <c r="Z5319" s="20"/>
      <c r="AG5319" s="20"/>
      <c r="AQ5319" s="19"/>
      <c r="AR5319" s="19"/>
      <c r="AS5319" s="19"/>
      <c r="AT5319" s="19"/>
      <c r="AU5319" s="19"/>
    </row>
    <row r="5320" spans="3:47">
      <c r="C5320" s="20"/>
      <c r="Z5320" s="20"/>
      <c r="AG5320" s="20"/>
      <c r="AQ5320" s="19"/>
      <c r="AR5320" s="19"/>
      <c r="AS5320" s="19"/>
      <c r="AT5320" s="19"/>
      <c r="AU5320" s="19"/>
    </row>
    <row r="5321" spans="3:47">
      <c r="C5321" s="20"/>
      <c r="Z5321" s="20"/>
      <c r="AG5321" s="20"/>
      <c r="AQ5321" s="19"/>
      <c r="AR5321" s="19"/>
      <c r="AS5321" s="19"/>
      <c r="AT5321" s="19"/>
      <c r="AU5321" s="19"/>
    </row>
    <row r="5322" spans="3:47">
      <c r="C5322" s="20"/>
      <c r="Z5322" s="20"/>
      <c r="AG5322" s="20"/>
      <c r="AQ5322" s="19"/>
      <c r="AR5322" s="19"/>
      <c r="AS5322" s="19"/>
      <c r="AT5322" s="19"/>
      <c r="AU5322" s="19"/>
    </row>
    <row r="5323" spans="3:47">
      <c r="C5323" s="20"/>
      <c r="Z5323" s="20"/>
      <c r="AG5323" s="20"/>
      <c r="AQ5323" s="19"/>
      <c r="AR5323" s="19"/>
      <c r="AS5323" s="19"/>
      <c r="AT5323" s="19"/>
      <c r="AU5323" s="19"/>
    </row>
    <row r="5324" spans="3:47">
      <c r="C5324" s="20"/>
      <c r="Z5324" s="20"/>
      <c r="AG5324" s="20"/>
      <c r="AQ5324" s="19"/>
      <c r="AR5324" s="19"/>
      <c r="AS5324" s="19"/>
      <c r="AT5324" s="19"/>
      <c r="AU5324" s="19"/>
    </row>
    <row r="5325" spans="3:47">
      <c r="C5325" s="20"/>
      <c r="Z5325" s="20"/>
      <c r="AG5325" s="20"/>
      <c r="AQ5325" s="19"/>
      <c r="AR5325" s="19"/>
      <c r="AS5325" s="19"/>
      <c r="AT5325" s="19"/>
      <c r="AU5325" s="19"/>
    </row>
    <row r="5326" spans="3:47">
      <c r="C5326" s="20"/>
      <c r="Z5326" s="20"/>
      <c r="AG5326" s="20"/>
      <c r="AQ5326" s="19"/>
      <c r="AR5326" s="19"/>
      <c r="AS5326" s="19"/>
      <c r="AT5326" s="19"/>
      <c r="AU5326" s="19"/>
    </row>
    <row r="5327" spans="3:47">
      <c r="C5327" s="20"/>
      <c r="Z5327" s="20"/>
      <c r="AG5327" s="20"/>
      <c r="AQ5327" s="19"/>
      <c r="AR5327" s="19"/>
      <c r="AS5327" s="19"/>
      <c r="AT5327" s="19"/>
      <c r="AU5327" s="19"/>
    </row>
    <row r="5328" spans="3:47">
      <c r="C5328" s="20"/>
      <c r="Z5328" s="20"/>
      <c r="AG5328" s="20"/>
      <c r="AQ5328" s="19"/>
      <c r="AR5328" s="19"/>
      <c r="AS5328" s="19"/>
      <c r="AT5328" s="19"/>
      <c r="AU5328" s="19"/>
    </row>
    <row r="5329" spans="3:47">
      <c r="C5329" s="20"/>
      <c r="Z5329" s="20"/>
      <c r="AG5329" s="20"/>
      <c r="AQ5329" s="19"/>
      <c r="AR5329" s="19"/>
      <c r="AS5329" s="19"/>
      <c r="AT5329" s="19"/>
      <c r="AU5329" s="19"/>
    </row>
    <row r="5330" spans="3:47">
      <c r="C5330" s="20"/>
      <c r="Z5330" s="20"/>
      <c r="AG5330" s="20"/>
      <c r="AQ5330" s="19"/>
      <c r="AR5330" s="19"/>
      <c r="AS5330" s="19"/>
      <c r="AT5330" s="19"/>
      <c r="AU5330" s="19"/>
    </row>
    <row r="5331" spans="3:47">
      <c r="C5331" s="20"/>
      <c r="Z5331" s="20"/>
      <c r="AG5331" s="20"/>
      <c r="AQ5331" s="19"/>
      <c r="AR5331" s="19"/>
      <c r="AS5331" s="19"/>
      <c r="AT5331" s="19"/>
      <c r="AU5331" s="19"/>
    </row>
    <row r="5332" spans="3:47">
      <c r="C5332" s="20"/>
      <c r="Z5332" s="20"/>
      <c r="AG5332" s="20"/>
      <c r="AQ5332" s="19"/>
      <c r="AR5332" s="19"/>
      <c r="AS5332" s="19"/>
      <c r="AT5332" s="19"/>
      <c r="AU5332" s="19"/>
    </row>
    <row r="5333" spans="3:47">
      <c r="C5333" s="20"/>
      <c r="Z5333" s="20"/>
      <c r="AG5333" s="20"/>
      <c r="AQ5333" s="19"/>
      <c r="AR5333" s="19"/>
      <c r="AS5333" s="19"/>
      <c r="AT5333" s="19"/>
      <c r="AU5333" s="19"/>
    </row>
    <row r="5334" spans="3:47">
      <c r="C5334" s="20"/>
      <c r="Z5334" s="20"/>
      <c r="AG5334" s="20"/>
      <c r="AQ5334" s="19"/>
      <c r="AR5334" s="19"/>
      <c r="AS5334" s="19"/>
      <c r="AT5334" s="19"/>
      <c r="AU5334" s="19"/>
    </row>
    <row r="5335" spans="3:47">
      <c r="C5335" s="20"/>
      <c r="Z5335" s="20"/>
      <c r="AG5335" s="20"/>
      <c r="AQ5335" s="19"/>
      <c r="AR5335" s="19"/>
      <c r="AS5335" s="19"/>
      <c r="AT5335" s="19"/>
      <c r="AU5335" s="19"/>
    </row>
    <row r="5336" spans="3:47">
      <c r="C5336" s="20"/>
      <c r="Z5336" s="20"/>
      <c r="AG5336" s="20"/>
      <c r="AQ5336" s="19"/>
      <c r="AR5336" s="19"/>
      <c r="AS5336" s="19"/>
      <c r="AT5336" s="19"/>
      <c r="AU5336" s="19"/>
    </row>
    <row r="5337" spans="3:47">
      <c r="C5337" s="20"/>
      <c r="Z5337" s="20"/>
      <c r="AG5337" s="20"/>
      <c r="AQ5337" s="19"/>
      <c r="AR5337" s="19"/>
      <c r="AS5337" s="19"/>
      <c r="AT5337" s="19"/>
      <c r="AU5337" s="19"/>
    </row>
    <row r="5338" spans="3:47">
      <c r="C5338" s="20"/>
      <c r="Z5338" s="20"/>
      <c r="AG5338" s="20"/>
      <c r="AQ5338" s="19"/>
      <c r="AR5338" s="19"/>
      <c r="AS5338" s="19"/>
      <c r="AT5338" s="19"/>
      <c r="AU5338" s="19"/>
    </row>
    <row r="5339" spans="3:47">
      <c r="C5339" s="20"/>
      <c r="Z5339" s="20"/>
      <c r="AG5339" s="20"/>
      <c r="AQ5339" s="19"/>
      <c r="AR5339" s="19"/>
      <c r="AS5339" s="19"/>
      <c r="AT5339" s="19"/>
      <c r="AU5339" s="19"/>
    </row>
    <row r="5340" spans="3:47">
      <c r="C5340" s="20"/>
      <c r="Z5340" s="20"/>
      <c r="AG5340" s="20"/>
      <c r="AQ5340" s="19"/>
      <c r="AR5340" s="19"/>
      <c r="AS5340" s="19"/>
      <c r="AT5340" s="19"/>
      <c r="AU5340" s="19"/>
    </row>
    <row r="5341" spans="3:47">
      <c r="C5341" s="20"/>
      <c r="Z5341" s="20"/>
      <c r="AG5341" s="20"/>
      <c r="AQ5341" s="19"/>
      <c r="AR5341" s="19"/>
      <c r="AS5341" s="19"/>
      <c r="AT5341" s="19"/>
      <c r="AU5341" s="19"/>
    </row>
    <row r="5342" spans="3:47">
      <c r="C5342" s="20"/>
      <c r="Z5342" s="20"/>
      <c r="AG5342" s="20"/>
      <c r="AQ5342" s="19"/>
      <c r="AR5342" s="19"/>
      <c r="AS5342" s="19"/>
      <c r="AT5342" s="19"/>
      <c r="AU5342" s="19"/>
    </row>
    <row r="5343" spans="3:47">
      <c r="C5343" s="20"/>
      <c r="Z5343" s="20"/>
      <c r="AG5343" s="20"/>
      <c r="AQ5343" s="19"/>
      <c r="AR5343" s="19"/>
      <c r="AS5343" s="19"/>
      <c r="AT5343" s="19"/>
      <c r="AU5343" s="19"/>
    </row>
    <row r="5344" spans="3:47">
      <c r="C5344" s="20"/>
      <c r="Z5344" s="20"/>
      <c r="AG5344" s="20"/>
      <c r="AQ5344" s="19"/>
      <c r="AR5344" s="19"/>
      <c r="AS5344" s="19"/>
      <c r="AT5344" s="19"/>
      <c r="AU5344" s="19"/>
    </row>
    <row r="5345" spans="3:47">
      <c r="C5345" s="20"/>
      <c r="Z5345" s="20"/>
      <c r="AG5345" s="20"/>
      <c r="AQ5345" s="19"/>
      <c r="AR5345" s="19"/>
      <c r="AS5345" s="19"/>
      <c r="AT5345" s="19"/>
      <c r="AU5345" s="19"/>
    </row>
    <row r="5346" spans="3:47">
      <c r="C5346" s="20"/>
      <c r="Z5346" s="20"/>
      <c r="AG5346" s="20"/>
      <c r="AQ5346" s="19"/>
      <c r="AR5346" s="19"/>
      <c r="AS5346" s="19"/>
      <c r="AT5346" s="19"/>
      <c r="AU5346" s="19"/>
    </row>
    <row r="5347" spans="3:47">
      <c r="C5347" s="20"/>
      <c r="Z5347" s="20"/>
      <c r="AG5347" s="20"/>
      <c r="AQ5347" s="19"/>
      <c r="AR5347" s="19"/>
      <c r="AS5347" s="19"/>
      <c r="AT5347" s="19"/>
      <c r="AU5347" s="19"/>
    </row>
    <row r="5348" spans="3:47">
      <c r="C5348" s="20"/>
      <c r="Z5348" s="20"/>
      <c r="AG5348" s="20"/>
      <c r="AQ5348" s="19"/>
      <c r="AR5348" s="19"/>
      <c r="AS5348" s="19"/>
      <c r="AT5348" s="19"/>
      <c r="AU5348" s="19"/>
    </row>
    <row r="5349" spans="3:47">
      <c r="C5349" s="20"/>
      <c r="Z5349" s="20"/>
      <c r="AG5349" s="20"/>
      <c r="AQ5349" s="19"/>
      <c r="AR5349" s="19"/>
      <c r="AS5349" s="19"/>
      <c r="AT5349" s="19"/>
      <c r="AU5349" s="19"/>
    </row>
    <row r="5350" spans="3:47">
      <c r="C5350" s="20"/>
      <c r="Z5350" s="20"/>
      <c r="AG5350" s="20"/>
      <c r="AQ5350" s="19"/>
      <c r="AR5350" s="19"/>
      <c r="AS5350" s="19"/>
      <c r="AT5350" s="19"/>
      <c r="AU5350" s="19"/>
    </row>
    <row r="5351" spans="3:47">
      <c r="C5351" s="20"/>
      <c r="Z5351" s="20"/>
      <c r="AG5351" s="20"/>
      <c r="AQ5351" s="19"/>
      <c r="AR5351" s="19"/>
      <c r="AS5351" s="19"/>
      <c r="AT5351" s="19"/>
      <c r="AU5351" s="19"/>
    </row>
    <row r="5352" spans="3:47">
      <c r="C5352" s="20"/>
      <c r="Z5352" s="20"/>
      <c r="AG5352" s="20"/>
      <c r="AQ5352" s="19"/>
      <c r="AR5352" s="19"/>
      <c r="AS5352" s="19"/>
      <c r="AT5352" s="19"/>
      <c r="AU5352" s="19"/>
    </row>
    <row r="5353" spans="3:47">
      <c r="C5353" s="20"/>
      <c r="Z5353" s="20"/>
      <c r="AG5353" s="20"/>
      <c r="AQ5353" s="19"/>
      <c r="AR5353" s="19"/>
      <c r="AS5353" s="19"/>
      <c r="AT5353" s="19"/>
      <c r="AU5353" s="19"/>
    </row>
    <row r="5354" spans="3:47">
      <c r="C5354" s="20"/>
      <c r="Z5354" s="20"/>
      <c r="AG5354" s="20"/>
      <c r="AQ5354" s="19"/>
      <c r="AR5354" s="19"/>
      <c r="AS5354" s="19"/>
      <c r="AT5354" s="19"/>
      <c r="AU5354" s="19"/>
    </row>
    <row r="5355" spans="3:47">
      <c r="C5355" s="20"/>
      <c r="Z5355" s="20"/>
      <c r="AG5355" s="20"/>
      <c r="AQ5355" s="19"/>
      <c r="AR5355" s="19"/>
      <c r="AS5355" s="19"/>
      <c r="AT5355" s="19"/>
      <c r="AU5355" s="19"/>
    </row>
    <row r="5356" spans="3:47">
      <c r="C5356" s="20"/>
      <c r="Z5356" s="20"/>
      <c r="AG5356" s="20"/>
      <c r="AQ5356" s="19"/>
      <c r="AR5356" s="19"/>
      <c r="AS5356" s="19"/>
      <c r="AT5356" s="19"/>
      <c r="AU5356" s="19"/>
    </row>
    <row r="5357" spans="3:47">
      <c r="C5357" s="20"/>
      <c r="Z5357" s="20"/>
      <c r="AG5357" s="20"/>
      <c r="AQ5357" s="19"/>
      <c r="AR5357" s="19"/>
      <c r="AS5357" s="19"/>
      <c r="AT5357" s="19"/>
      <c r="AU5357" s="19"/>
    </row>
    <row r="5358" spans="3:47">
      <c r="C5358" s="20"/>
      <c r="Z5358" s="20"/>
      <c r="AG5358" s="20"/>
      <c r="AQ5358" s="19"/>
      <c r="AR5358" s="19"/>
      <c r="AS5358" s="19"/>
      <c r="AT5358" s="19"/>
      <c r="AU5358" s="19"/>
    </row>
    <row r="5359" spans="3:47">
      <c r="C5359" s="20"/>
      <c r="Z5359" s="20"/>
      <c r="AG5359" s="20"/>
      <c r="AQ5359" s="19"/>
      <c r="AR5359" s="19"/>
      <c r="AS5359" s="19"/>
      <c r="AT5359" s="19"/>
      <c r="AU5359" s="19"/>
    </row>
    <row r="5360" spans="3:47">
      <c r="C5360" s="20"/>
      <c r="Z5360" s="20"/>
      <c r="AG5360" s="20"/>
      <c r="AQ5360" s="19"/>
      <c r="AR5360" s="19"/>
      <c r="AS5360" s="19"/>
      <c r="AT5360" s="19"/>
      <c r="AU5360" s="19"/>
    </row>
    <row r="5361" spans="3:47">
      <c r="C5361" s="20"/>
      <c r="Z5361" s="20"/>
      <c r="AG5361" s="20"/>
      <c r="AQ5361" s="19"/>
      <c r="AR5361" s="19"/>
      <c r="AS5361" s="19"/>
      <c r="AT5361" s="19"/>
      <c r="AU5361" s="19"/>
    </row>
    <row r="5362" spans="3:47">
      <c r="C5362" s="20"/>
      <c r="Z5362" s="20"/>
      <c r="AG5362" s="20"/>
      <c r="AQ5362" s="19"/>
      <c r="AR5362" s="19"/>
      <c r="AS5362" s="19"/>
      <c r="AT5362" s="19"/>
      <c r="AU5362" s="19"/>
    </row>
    <row r="5363" spans="3:47">
      <c r="C5363" s="20"/>
      <c r="Z5363" s="20"/>
      <c r="AG5363" s="20"/>
      <c r="AQ5363" s="19"/>
      <c r="AR5363" s="19"/>
      <c r="AS5363" s="19"/>
      <c r="AT5363" s="19"/>
      <c r="AU5363" s="19"/>
    </row>
    <row r="5364" spans="3:47">
      <c r="C5364" s="20"/>
      <c r="Z5364" s="20"/>
      <c r="AG5364" s="20"/>
      <c r="AQ5364" s="19"/>
      <c r="AR5364" s="19"/>
      <c r="AS5364" s="19"/>
      <c r="AT5364" s="19"/>
      <c r="AU5364" s="19"/>
    </row>
    <row r="5365" spans="3:47">
      <c r="C5365" s="20"/>
      <c r="Z5365" s="20"/>
      <c r="AG5365" s="20"/>
      <c r="AQ5365" s="19"/>
      <c r="AR5365" s="19"/>
      <c r="AS5365" s="19"/>
      <c r="AT5365" s="19"/>
      <c r="AU5365" s="19"/>
    </row>
    <row r="5366" spans="3:47">
      <c r="C5366" s="20"/>
      <c r="Z5366" s="20"/>
      <c r="AG5366" s="20"/>
      <c r="AQ5366" s="19"/>
      <c r="AR5366" s="19"/>
      <c r="AS5366" s="19"/>
      <c r="AT5366" s="19"/>
      <c r="AU5366" s="19"/>
    </row>
    <row r="5367" spans="3:47">
      <c r="C5367" s="20"/>
      <c r="Z5367" s="20"/>
      <c r="AG5367" s="20"/>
      <c r="AQ5367" s="19"/>
      <c r="AR5367" s="19"/>
      <c r="AS5367" s="19"/>
      <c r="AT5367" s="19"/>
      <c r="AU5367" s="19"/>
    </row>
    <row r="5368" spans="3:47">
      <c r="C5368" s="20"/>
      <c r="Z5368" s="20"/>
      <c r="AG5368" s="20"/>
      <c r="AQ5368" s="19"/>
      <c r="AR5368" s="19"/>
      <c r="AS5368" s="19"/>
      <c r="AT5368" s="19"/>
      <c r="AU5368" s="19"/>
    </row>
    <row r="5369" spans="3:47">
      <c r="C5369" s="20"/>
      <c r="Z5369" s="20"/>
      <c r="AG5369" s="20"/>
      <c r="AQ5369" s="19"/>
      <c r="AR5369" s="19"/>
      <c r="AS5369" s="19"/>
      <c r="AT5369" s="19"/>
      <c r="AU5369" s="19"/>
    </row>
    <row r="5370" spans="3:47">
      <c r="C5370" s="20"/>
      <c r="Z5370" s="20"/>
      <c r="AG5370" s="20"/>
      <c r="AQ5370" s="19"/>
      <c r="AR5370" s="19"/>
      <c r="AS5370" s="19"/>
      <c r="AT5370" s="19"/>
      <c r="AU5370" s="19"/>
    </row>
    <row r="5371" spans="3:47">
      <c r="C5371" s="20"/>
      <c r="Z5371" s="20"/>
      <c r="AG5371" s="20"/>
      <c r="AQ5371" s="19"/>
      <c r="AR5371" s="19"/>
      <c r="AS5371" s="19"/>
      <c r="AT5371" s="19"/>
      <c r="AU5371" s="19"/>
    </row>
    <row r="5372" spans="3:47">
      <c r="C5372" s="20"/>
      <c r="Z5372" s="20"/>
      <c r="AG5372" s="20"/>
      <c r="AQ5372" s="19"/>
      <c r="AR5372" s="19"/>
      <c r="AS5372" s="19"/>
      <c r="AT5372" s="19"/>
      <c r="AU5372" s="19"/>
    </row>
    <row r="5373" spans="3:47">
      <c r="C5373" s="20"/>
      <c r="Z5373" s="20"/>
      <c r="AG5373" s="20"/>
      <c r="AQ5373" s="19"/>
      <c r="AR5373" s="19"/>
      <c r="AS5373" s="19"/>
      <c r="AT5373" s="19"/>
      <c r="AU5373" s="19"/>
    </row>
    <row r="5374" spans="3:47">
      <c r="C5374" s="20"/>
      <c r="Z5374" s="20"/>
      <c r="AG5374" s="20"/>
      <c r="AQ5374" s="19"/>
      <c r="AR5374" s="19"/>
      <c r="AS5374" s="19"/>
      <c r="AT5374" s="19"/>
      <c r="AU5374" s="19"/>
    </row>
    <row r="5375" spans="3:47">
      <c r="C5375" s="20"/>
      <c r="Z5375" s="20"/>
      <c r="AG5375" s="20"/>
      <c r="AQ5375" s="19"/>
      <c r="AR5375" s="19"/>
      <c r="AS5375" s="19"/>
      <c r="AT5375" s="19"/>
      <c r="AU5375" s="19"/>
    </row>
    <row r="5376" spans="3:47">
      <c r="C5376" s="20"/>
      <c r="Z5376" s="20"/>
      <c r="AG5376" s="20"/>
      <c r="AQ5376" s="19"/>
      <c r="AR5376" s="19"/>
      <c r="AS5376" s="19"/>
      <c r="AT5376" s="19"/>
      <c r="AU5376" s="19"/>
    </row>
    <row r="5377" spans="3:47">
      <c r="C5377" s="20"/>
      <c r="Z5377" s="20"/>
      <c r="AG5377" s="20"/>
      <c r="AQ5377" s="19"/>
      <c r="AR5377" s="19"/>
      <c r="AS5377" s="19"/>
      <c r="AT5377" s="19"/>
      <c r="AU5377" s="19"/>
    </row>
    <row r="5378" spans="3:47">
      <c r="C5378" s="20"/>
      <c r="Z5378" s="20"/>
      <c r="AG5378" s="20"/>
      <c r="AQ5378" s="19"/>
      <c r="AR5378" s="19"/>
      <c r="AS5378" s="19"/>
      <c r="AT5378" s="19"/>
      <c r="AU5378" s="19"/>
    </row>
    <row r="5379" spans="3:47">
      <c r="C5379" s="20"/>
      <c r="Z5379" s="20"/>
      <c r="AG5379" s="20"/>
      <c r="AQ5379" s="19"/>
      <c r="AR5379" s="19"/>
      <c r="AS5379" s="19"/>
      <c r="AT5379" s="19"/>
      <c r="AU5379" s="19"/>
    </row>
    <row r="5380" spans="3:47">
      <c r="C5380" s="20"/>
      <c r="Z5380" s="20"/>
      <c r="AG5380" s="20"/>
      <c r="AQ5380" s="19"/>
      <c r="AR5380" s="19"/>
      <c r="AS5380" s="19"/>
      <c r="AT5380" s="19"/>
      <c r="AU5380" s="19"/>
    </row>
    <row r="5381" spans="3:47">
      <c r="C5381" s="20"/>
      <c r="Z5381" s="20"/>
      <c r="AG5381" s="20"/>
      <c r="AQ5381" s="19"/>
      <c r="AR5381" s="19"/>
      <c r="AS5381" s="19"/>
      <c r="AT5381" s="19"/>
      <c r="AU5381" s="19"/>
    </row>
    <row r="5382" spans="3:47">
      <c r="C5382" s="20"/>
      <c r="Z5382" s="20"/>
      <c r="AG5382" s="20"/>
      <c r="AQ5382" s="19"/>
      <c r="AR5382" s="19"/>
      <c r="AS5382" s="19"/>
      <c r="AT5382" s="19"/>
      <c r="AU5382" s="19"/>
    </row>
    <row r="5383" spans="3:47">
      <c r="C5383" s="20"/>
      <c r="Z5383" s="20"/>
      <c r="AG5383" s="20"/>
      <c r="AQ5383" s="19"/>
      <c r="AR5383" s="19"/>
      <c r="AS5383" s="19"/>
      <c r="AT5383" s="19"/>
      <c r="AU5383" s="19"/>
    </row>
    <row r="5384" spans="3:47">
      <c r="C5384" s="20"/>
      <c r="Z5384" s="20"/>
      <c r="AG5384" s="20"/>
      <c r="AQ5384" s="19"/>
      <c r="AR5384" s="19"/>
      <c r="AS5384" s="19"/>
      <c r="AT5384" s="19"/>
      <c r="AU5384" s="19"/>
    </row>
    <row r="5385" spans="3:47">
      <c r="C5385" s="20"/>
      <c r="Z5385" s="20"/>
      <c r="AG5385" s="20"/>
      <c r="AQ5385" s="19"/>
      <c r="AR5385" s="19"/>
      <c r="AS5385" s="19"/>
      <c r="AT5385" s="19"/>
      <c r="AU5385" s="19"/>
    </row>
    <row r="5386" spans="3:47">
      <c r="C5386" s="20"/>
      <c r="Z5386" s="20"/>
      <c r="AG5386" s="20"/>
      <c r="AQ5386" s="19"/>
      <c r="AR5386" s="19"/>
      <c r="AS5386" s="19"/>
      <c r="AT5386" s="19"/>
      <c r="AU5386" s="19"/>
    </row>
    <row r="5387" spans="3:47">
      <c r="C5387" s="20"/>
      <c r="Z5387" s="20"/>
      <c r="AG5387" s="20"/>
      <c r="AQ5387" s="19"/>
      <c r="AR5387" s="19"/>
      <c r="AS5387" s="19"/>
      <c r="AT5387" s="19"/>
      <c r="AU5387" s="19"/>
    </row>
    <row r="5388" spans="3:47">
      <c r="C5388" s="20"/>
      <c r="Z5388" s="20"/>
      <c r="AG5388" s="20"/>
      <c r="AQ5388" s="19"/>
      <c r="AR5388" s="19"/>
      <c r="AS5388" s="19"/>
      <c r="AT5388" s="19"/>
      <c r="AU5388" s="19"/>
    </row>
    <row r="5389" spans="3:47">
      <c r="C5389" s="20"/>
      <c r="Z5389" s="20"/>
      <c r="AG5389" s="20"/>
      <c r="AQ5389" s="19"/>
      <c r="AR5389" s="19"/>
      <c r="AS5389" s="19"/>
      <c r="AT5389" s="19"/>
      <c r="AU5389" s="19"/>
    </row>
    <row r="5390" spans="3:47">
      <c r="C5390" s="20"/>
      <c r="Z5390" s="20"/>
      <c r="AG5390" s="20"/>
      <c r="AQ5390" s="19"/>
      <c r="AR5390" s="19"/>
      <c r="AS5390" s="19"/>
      <c r="AT5390" s="19"/>
      <c r="AU5390" s="19"/>
    </row>
    <row r="5391" spans="3:47">
      <c r="C5391" s="20"/>
      <c r="Z5391" s="20"/>
      <c r="AG5391" s="20"/>
      <c r="AQ5391" s="19"/>
      <c r="AR5391" s="19"/>
      <c r="AS5391" s="19"/>
      <c r="AT5391" s="19"/>
      <c r="AU5391" s="19"/>
    </row>
    <row r="5392" spans="3:47">
      <c r="C5392" s="20"/>
      <c r="Z5392" s="20"/>
      <c r="AG5392" s="20"/>
      <c r="AQ5392" s="19"/>
      <c r="AR5392" s="19"/>
      <c r="AS5392" s="19"/>
      <c r="AT5392" s="19"/>
      <c r="AU5392" s="19"/>
    </row>
    <row r="5393" spans="3:47">
      <c r="C5393" s="20"/>
      <c r="Z5393" s="20"/>
      <c r="AG5393" s="20"/>
      <c r="AQ5393" s="19"/>
      <c r="AR5393" s="19"/>
      <c r="AS5393" s="19"/>
      <c r="AT5393" s="19"/>
      <c r="AU5393" s="19"/>
    </row>
    <row r="5394" spans="3:47">
      <c r="C5394" s="20"/>
      <c r="Z5394" s="20"/>
      <c r="AG5394" s="20"/>
      <c r="AQ5394" s="19"/>
      <c r="AR5394" s="19"/>
      <c r="AS5394" s="19"/>
      <c r="AT5394" s="19"/>
      <c r="AU5394" s="19"/>
    </row>
    <row r="5395" spans="3:47">
      <c r="C5395" s="20"/>
      <c r="Z5395" s="20"/>
      <c r="AG5395" s="20"/>
      <c r="AQ5395" s="19"/>
      <c r="AR5395" s="19"/>
      <c r="AS5395" s="19"/>
      <c r="AT5395" s="19"/>
      <c r="AU5395" s="19"/>
    </row>
    <row r="5396" spans="3:47">
      <c r="C5396" s="20"/>
      <c r="Z5396" s="20"/>
      <c r="AG5396" s="20"/>
      <c r="AQ5396" s="19"/>
      <c r="AR5396" s="19"/>
      <c r="AS5396" s="19"/>
      <c r="AT5396" s="19"/>
      <c r="AU5396" s="19"/>
    </row>
    <row r="5397" spans="3:47">
      <c r="C5397" s="20"/>
      <c r="Z5397" s="20"/>
      <c r="AG5397" s="20"/>
      <c r="AQ5397" s="19"/>
      <c r="AR5397" s="19"/>
      <c r="AS5397" s="19"/>
      <c r="AT5397" s="19"/>
      <c r="AU5397" s="19"/>
    </row>
    <row r="5398" spans="3:47">
      <c r="C5398" s="20"/>
      <c r="Z5398" s="20"/>
      <c r="AG5398" s="20"/>
      <c r="AQ5398" s="19"/>
      <c r="AR5398" s="19"/>
      <c r="AS5398" s="19"/>
      <c r="AT5398" s="19"/>
      <c r="AU5398" s="19"/>
    </row>
    <row r="5399" spans="3:47">
      <c r="C5399" s="20"/>
      <c r="Z5399" s="20"/>
      <c r="AG5399" s="20"/>
      <c r="AQ5399" s="19"/>
      <c r="AR5399" s="19"/>
      <c r="AS5399" s="19"/>
      <c r="AT5399" s="19"/>
      <c r="AU5399" s="19"/>
    </row>
    <row r="5400" spans="3:47">
      <c r="C5400" s="20"/>
      <c r="Z5400" s="20"/>
      <c r="AG5400" s="20"/>
      <c r="AQ5400" s="19"/>
      <c r="AR5400" s="19"/>
      <c r="AS5400" s="19"/>
      <c r="AT5400" s="19"/>
      <c r="AU5400" s="19"/>
    </row>
    <row r="5401" spans="3:47">
      <c r="C5401" s="20"/>
      <c r="Z5401" s="20"/>
      <c r="AG5401" s="20"/>
      <c r="AQ5401" s="19"/>
      <c r="AR5401" s="19"/>
      <c r="AS5401" s="19"/>
      <c r="AT5401" s="19"/>
      <c r="AU5401" s="19"/>
    </row>
    <row r="5402" spans="3:47">
      <c r="C5402" s="20"/>
      <c r="Z5402" s="20"/>
      <c r="AG5402" s="20"/>
      <c r="AQ5402" s="19"/>
      <c r="AR5402" s="19"/>
      <c r="AS5402" s="19"/>
      <c r="AT5402" s="19"/>
      <c r="AU5402" s="19"/>
    </row>
    <row r="5403" spans="3:47">
      <c r="C5403" s="20"/>
      <c r="Z5403" s="20"/>
      <c r="AG5403" s="20"/>
      <c r="AQ5403" s="19"/>
      <c r="AR5403" s="19"/>
      <c r="AS5403" s="19"/>
      <c r="AT5403" s="19"/>
      <c r="AU5403" s="19"/>
    </row>
    <row r="5404" spans="3:47">
      <c r="C5404" s="20"/>
      <c r="Z5404" s="20"/>
      <c r="AG5404" s="20"/>
      <c r="AQ5404" s="19"/>
      <c r="AR5404" s="19"/>
      <c r="AS5404" s="19"/>
      <c r="AT5404" s="19"/>
      <c r="AU5404" s="19"/>
    </row>
    <row r="5405" spans="3:47">
      <c r="C5405" s="20"/>
      <c r="Z5405" s="20"/>
      <c r="AG5405" s="20"/>
      <c r="AQ5405" s="19"/>
      <c r="AR5405" s="19"/>
      <c r="AS5405" s="19"/>
      <c r="AT5405" s="19"/>
      <c r="AU5405" s="19"/>
    </row>
    <row r="5406" spans="3:47">
      <c r="C5406" s="20"/>
      <c r="Z5406" s="20"/>
      <c r="AG5406" s="20"/>
      <c r="AQ5406" s="19"/>
      <c r="AR5406" s="19"/>
      <c r="AS5406" s="19"/>
      <c r="AT5406" s="19"/>
      <c r="AU5406" s="19"/>
    </row>
    <row r="5407" spans="3:47">
      <c r="C5407" s="20"/>
      <c r="Z5407" s="20"/>
      <c r="AG5407" s="20"/>
      <c r="AQ5407" s="19"/>
      <c r="AR5407" s="19"/>
      <c r="AS5407" s="19"/>
      <c r="AT5407" s="19"/>
      <c r="AU5407" s="19"/>
    </row>
    <row r="5408" spans="3:47">
      <c r="C5408" s="20"/>
      <c r="Z5408" s="20"/>
      <c r="AG5408" s="20"/>
      <c r="AQ5408" s="19"/>
      <c r="AR5408" s="19"/>
      <c r="AS5408" s="19"/>
      <c r="AT5408" s="19"/>
      <c r="AU5408" s="19"/>
    </row>
    <row r="5409" spans="3:47">
      <c r="C5409" s="20"/>
      <c r="Z5409" s="20"/>
      <c r="AG5409" s="20"/>
      <c r="AQ5409" s="19"/>
      <c r="AR5409" s="19"/>
      <c r="AS5409" s="19"/>
      <c r="AT5409" s="19"/>
      <c r="AU5409" s="19"/>
    </row>
    <row r="5410" spans="3:47">
      <c r="C5410" s="20"/>
      <c r="Z5410" s="20"/>
      <c r="AG5410" s="20"/>
      <c r="AQ5410" s="19"/>
      <c r="AR5410" s="19"/>
      <c r="AS5410" s="19"/>
      <c r="AT5410" s="19"/>
      <c r="AU5410" s="19"/>
    </row>
    <row r="5411" spans="3:47">
      <c r="C5411" s="20"/>
      <c r="Z5411" s="20"/>
      <c r="AG5411" s="20"/>
      <c r="AQ5411" s="19"/>
      <c r="AR5411" s="19"/>
      <c r="AS5411" s="19"/>
      <c r="AT5411" s="19"/>
      <c r="AU5411" s="19"/>
    </row>
    <row r="5412" spans="3:47">
      <c r="C5412" s="20"/>
      <c r="Z5412" s="20"/>
      <c r="AG5412" s="20"/>
      <c r="AQ5412" s="19"/>
      <c r="AR5412" s="19"/>
      <c r="AS5412" s="19"/>
      <c r="AT5412" s="19"/>
      <c r="AU5412" s="19"/>
    </row>
    <row r="5413" spans="3:47">
      <c r="C5413" s="20"/>
      <c r="Z5413" s="20"/>
      <c r="AG5413" s="20"/>
      <c r="AQ5413" s="19"/>
      <c r="AR5413" s="19"/>
      <c r="AS5413" s="19"/>
      <c r="AT5413" s="19"/>
      <c r="AU5413" s="19"/>
    </row>
    <row r="5414" spans="3:47">
      <c r="C5414" s="20"/>
      <c r="Z5414" s="20"/>
      <c r="AG5414" s="20"/>
      <c r="AQ5414" s="19"/>
      <c r="AR5414" s="19"/>
      <c r="AS5414" s="19"/>
      <c r="AT5414" s="19"/>
      <c r="AU5414" s="19"/>
    </row>
    <row r="5415" spans="3:47">
      <c r="C5415" s="20"/>
      <c r="Z5415" s="20"/>
      <c r="AG5415" s="20"/>
      <c r="AQ5415" s="19"/>
      <c r="AR5415" s="19"/>
      <c r="AS5415" s="19"/>
      <c r="AT5415" s="19"/>
      <c r="AU5415" s="19"/>
    </row>
    <row r="5416" spans="3:47">
      <c r="C5416" s="20"/>
      <c r="Z5416" s="20"/>
      <c r="AG5416" s="20"/>
      <c r="AQ5416" s="19"/>
      <c r="AR5416" s="19"/>
      <c r="AS5416" s="19"/>
      <c r="AT5416" s="19"/>
      <c r="AU5416" s="19"/>
    </row>
    <row r="5417" spans="3:47">
      <c r="C5417" s="20"/>
      <c r="Z5417" s="20"/>
      <c r="AG5417" s="20"/>
      <c r="AQ5417" s="19"/>
      <c r="AR5417" s="19"/>
      <c r="AS5417" s="19"/>
      <c r="AT5417" s="19"/>
      <c r="AU5417" s="19"/>
    </row>
    <row r="5418" spans="3:47">
      <c r="C5418" s="20"/>
      <c r="Z5418" s="20"/>
      <c r="AG5418" s="20"/>
      <c r="AQ5418" s="19"/>
      <c r="AR5418" s="19"/>
      <c r="AS5418" s="19"/>
      <c r="AT5418" s="19"/>
      <c r="AU5418" s="19"/>
    </row>
    <row r="5419" spans="3:47">
      <c r="C5419" s="20"/>
      <c r="Z5419" s="20"/>
      <c r="AG5419" s="20"/>
      <c r="AQ5419" s="19"/>
      <c r="AR5419" s="19"/>
      <c r="AS5419" s="19"/>
      <c r="AT5419" s="19"/>
      <c r="AU5419" s="19"/>
    </row>
    <row r="5420" spans="3:47">
      <c r="C5420" s="20"/>
      <c r="Z5420" s="20"/>
      <c r="AG5420" s="20"/>
      <c r="AQ5420" s="19"/>
      <c r="AR5420" s="19"/>
      <c r="AS5420" s="19"/>
      <c r="AT5420" s="19"/>
      <c r="AU5420" s="19"/>
    </row>
    <row r="5421" spans="3:47">
      <c r="C5421" s="20"/>
      <c r="Z5421" s="20"/>
      <c r="AG5421" s="20"/>
      <c r="AQ5421" s="19"/>
      <c r="AR5421" s="19"/>
      <c r="AS5421" s="19"/>
      <c r="AT5421" s="19"/>
      <c r="AU5421" s="19"/>
    </row>
    <row r="5422" spans="3:47">
      <c r="C5422" s="20"/>
      <c r="Z5422" s="20"/>
      <c r="AG5422" s="20"/>
      <c r="AQ5422" s="19"/>
      <c r="AR5422" s="19"/>
      <c r="AS5422" s="19"/>
      <c r="AT5422" s="19"/>
      <c r="AU5422" s="19"/>
    </row>
    <row r="5423" spans="3:47">
      <c r="C5423" s="20"/>
      <c r="Z5423" s="20"/>
      <c r="AG5423" s="20"/>
      <c r="AQ5423" s="19"/>
      <c r="AR5423" s="19"/>
      <c r="AS5423" s="19"/>
      <c r="AT5423" s="19"/>
      <c r="AU5423" s="19"/>
    </row>
    <row r="5424" spans="3:47">
      <c r="C5424" s="20"/>
      <c r="Z5424" s="20"/>
      <c r="AG5424" s="20"/>
      <c r="AQ5424" s="19"/>
      <c r="AR5424" s="19"/>
      <c r="AS5424" s="19"/>
      <c r="AT5424" s="19"/>
      <c r="AU5424" s="19"/>
    </row>
    <row r="5425" spans="3:47">
      <c r="C5425" s="20"/>
      <c r="Z5425" s="20"/>
      <c r="AG5425" s="20"/>
      <c r="AQ5425" s="19"/>
      <c r="AR5425" s="19"/>
      <c r="AS5425" s="19"/>
      <c r="AT5425" s="19"/>
      <c r="AU5425" s="19"/>
    </row>
    <row r="5426" spans="3:47">
      <c r="C5426" s="20"/>
      <c r="Z5426" s="20"/>
      <c r="AG5426" s="20"/>
      <c r="AQ5426" s="19"/>
      <c r="AR5426" s="19"/>
      <c r="AS5426" s="19"/>
      <c r="AT5426" s="19"/>
      <c r="AU5426" s="19"/>
    </row>
    <row r="5427" spans="3:47">
      <c r="C5427" s="20"/>
      <c r="Z5427" s="20"/>
      <c r="AG5427" s="20"/>
      <c r="AQ5427" s="19"/>
      <c r="AR5427" s="19"/>
      <c r="AS5427" s="19"/>
      <c r="AT5427" s="19"/>
      <c r="AU5427" s="19"/>
    </row>
    <row r="5428" spans="3:47">
      <c r="C5428" s="20"/>
      <c r="Z5428" s="20"/>
      <c r="AG5428" s="20"/>
      <c r="AQ5428" s="19"/>
      <c r="AR5428" s="19"/>
      <c r="AS5428" s="19"/>
      <c r="AT5428" s="19"/>
      <c r="AU5428" s="19"/>
    </row>
    <row r="5429" spans="3:47">
      <c r="C5429" s="20"/>
      <c r="Z5429" s="20"/>
      <c r="AG5429" s="20"/>
      <c r="AQ5429" s="19"/>
      <c r="AR5429" s="19"/>
      <c r="AS5429" s="19"/>
      <c r="AT5429" s="19"/>
      <c r="AU5429" s="19"/>
    </row>
    <row r="5430" spans="3:47">
      <c r="C5430" s="20"/>
      <c r="Z5430" s="20"/>
      <c r="AG5430" s="20"/>
      <c r="AQ5430" s="19"/>
      <c r="AR5430" s="19"/>
      <c r="AS5430" s="19"/>
      <c r="AT5430" s="19"/>
      <c r="AU5430" s="19"/>
    </row>
    <row r="5431" spans="3:47">
      <c r="C5431" s="20"/>
      <c r="Z5431" s="20"/>
      <c r="AG5431" s="20"/>
      <c r="AQ5431" s="19"/>
      <c r="AR5431" s="19"/>
      <c r="AS5431" s="19"/>
      <c r="AT5431" s="19"/>
      <c r="AU5431" s="19"/>
    </row>
    <row r="5432" spans="3:47">
      <c r="C5432" s="20"/>
      <c r="Z5432" s="20"/>
      <c r="AG5432" s="20"/>
      <c r="AQ5432" s="19"/>
      <c r="AR5432" s="19"/>
      <c r="AS5432" s="19"/>
      <c r="AT5432" s="19"/>
      <c r="AU5432" s="19"/>
    </row>
    <row r="5433" spans="3:47">
      <c r="C5433" s="20"/>
      <c r="Z5433" s="20"/>
      <c r="AG5433" s="20"/>
      <c r="AQ5433" s="19"/>
      <c r="AR5433" s="19"/>
      <c r="AS5433" s="19"/>
      <c r="AT5433" s="19"/>
      <c r="AU5433" s="19"/>
    </row>
    <row r="5434" spans="3:47">
      <c r="C5434" s="20"/>
      <c r="Z5434" s="20"/>
      <c r="AG5434" s="20"/>
      <c r="AQ5434" s="19"/>
      <c r="AR5434" s="19"/>
      <c r="AS5434" s="19"/>
      <c r="AT5434" s="19"/>
      <c r="AU5434" s="19"/>
    </row>
    <row r="5435" spans="3:47">
      <c r="C5435" s="20"/>
      <c r="Z5435" s="20"/>
      <c r="AG5435" s="20"/>
      <c r="AQ5435" s="19"/>
      <c r="AR5435" s="19"/>
      <c r="AS5435" s="19"/>
      <c r="AT5435" s="19"/>
      <c r="AU5435" s="19"/>
    </row>
    <row r="5436" spans="3:47">
      <c r="C5436" s="20"/>
      <c r="Z5436" s="20"/>
      <c r="AG5436" s="20"/>
      <c r="AQ5436" s="19"/>
      <c r="AR5436" s="19"/>
      <c r="AS5436" s="19"/>
      <c r="AT5436" s="19"/>
      <c r="AU5436" s="19"/>
    </row>
    <row r="5437" spans="3:47">
      <c r="C5437" s="20"/>
      <c r="Z5437" s="20"/>
      <c r="AG5437" s="20"/>
      <c r="AQ5437" s="19"/>
      <c r="AR5437" s="19"/>
      <c r="AS5437" s="19"/>
      <c r="AT5437" s="19"/>
      <c r="AU5437" s="19"/>
    </row>
    <row r="5438" spans="3:47">
      <c r="C5438" s="20"/>
      <c r="Z5438" s="20"/>
      <c r="AG5438" s="20"/>
      <c r="AQ5438" s="19"/>
      <c r="AR5438" s="19"/>
      <c r="AS5438" s="19"/>
      <c r="AT5438" s="19"/>
      <c r="AU5438" s="19"/>
    </row>
    <row r="5439" spans="3:47">
      <c r="C5439" s="20"/>
      <c r="Z5439" s="20"/>
      <c r="AG5439" s="20"/>
      <c r="AQ5439" s="19"/>
      <c r="AR5439" s="19"/>
      <c r="AS5439" s="19"/>
      <c r="AT5439" s="19"/>
      <c r="AU5439" s="19"/>
    </row>
    <row r="5440" spans="3:47">
      <c r="C5440" s="20"/>
      <c r="Z5440" s="20"/>
      <c r="AG5440" s="20"/>
      <c r="AQ5440" s="19"/>
      <c r="AR5440" s="19"/>
      <c r="AS5440" s="19"/>
      <c r="AT5440" s="19"/>
      <c r="AU5440" s="19"/>
    </row>
    <row r="5441" spans="3:47">
      <c r="C5441" s="20"/>
      <c r="Z5441" s="20"/>
      <c r="AG5441" s="20"/>
      <c r="AQ5441" s="19"/>
      <c r="AR5441" s="19"/>
      <c r="AS5441" s="19"/>
      <c r="AT5441" s="19"/>
      <c r="AU5441" s="19"/>
    </row>
    <row r="5442" spans="3:47">
      <c r="C5442" s="20"/>
      <c r="Z5442" s="20"/>
      <c r="AG5442" s="20"/>
      <c r="AQ5442" s="19"/>
      <c r="AR5442" s="19"/>
      <c r="AS5442" s="19"/>
      <c r="AT5442" s="19"/>
      <c r="AU5442" s="19"/>
    </row>
    <row r="5443" spans="3:47">
      <c r="C5443" s="20"/>
      <c r="Z5443" s="20"/>
      <c r="AG5443" s="20"/>
      <c r="AQ5443" s="19"/>
      <c r="AR5443" s="19"/>
      <c r="AS5443" s="19"/>
      <c r="AT5443" s="19"/>
      <c r="AU5443" s="19"/>
    </row>
    <row r="5444" spans="3:47">
      <c r="C5444" s="20"/>
      <c r="Z5444" s="20"/>
      <c r="AG5444" s="20"/>
      <c r="AQ5444" s="19"/>
      <c r="AR5444" s="19"/>
      <c r="AS5444" s="19"/>
      <c r="AT5444" s="19"/>
      <c r="AU5444" s="19"/>
    </row>
    <row r="5445" spans="3:47">
      <c r="C5445" s="20"/>
      <c r="Z5445" s="20"/>
      <c r="AG5445" s="20"/>
      <c r="AQ5445" s="19"/>
      <c r="AR5445" s="19"/>
      <c r="AS5445" s="19"/>
      <c r="AT5445" s="19"/>
      <c r="AU5445" s="19"/>
    </row>
    <row r="5446" spans="3:47">
      <c r="C5446" s="20"/>
      <c r="Z5446" s="20"/>
      <c r="AG5446" s="20"/>
      <c r="AQ5446" s="19"/>
      <c r="AR5446" s="19"/>
      <c r="AS5446" s="19"/>
      <c r="AT5446" s="19"/>
      <c r="AU5446" s="19"/>
    </row>
    <row r="5447" spans="3:47">
      <c r="C5447" s="20"/>
      <c r="Z5447" s="20"/>
      <c r="AG5447" s="20"/>
      <c r="AQ5447" s="19"/>
      <c r="AR5447" s="19"/>
      <c r="AS5447" s="19"/>
      <c r="AT5447" s="19"/>
      <c r="AU5447" s="19"/>
    </row>
    <row r="5448" spans="3:47">
      <c r="C5448" s="20"/>
      <c r="Z5448" s="20"/>
      <c r="AG5448" s="20"/>
      <c r="AQ5448" s="19"/>
      <c r="AR5448" s="19"/>
      <c r="AS5448" s="19"/>
      <c r="AT5448" s="19"/>
      <c r="AU5448" s="19"/>
    </row>
    <row r="5449" spans="3:47">
      <c r="C5449" s="20"/>
      <c r="Z5449" s="20"/>
      <c r="AG5449" s="20"/>
      <c r="AQ5449" s="19"/>
      <c r="AR5449" s="19"/>
      <c r="AS5449" s="19"/>
      <c r="AT5449" s="19"/>
      <c r="AU5449" s="19"/>
    </row>
    <row r="5450" spans="3:47">
      <c r="C5450" s="20"/>
      <c r="Z5450" s="20"/>
      <c r="AG5450" s="20"/>
      <c r="AQ5450" s="19"/>
      <c r="AR5450" s="19"/>
      <c r="AS5450" s="19"/>
      <c r="AT5450" s="19"/>
      <c r="AU5450" s="19"/>
    </row>
    <row r="5451" spans="3:47">
      <c r="C5451" s="20"/>
      <c r="Z5451" s="20"/>
      <c r="AG5451" s="20"/>
      <c r="AQ5451" s="19"/>
      <c r="AR5451" s="19"/>
      <c r="AS5451" s="19"/>
      <c r="AT5451" s="19"/>
      <c r="AU5451" s="19"/>
    </row>
    <row r="5452" spans="3:47">
      <c r="C5452" s="20"/>
      <c r="Z5452" s="20"/>
      <c r="AG5452" s="20"/>
      <c r="AQ5452" s="19"/>
      <c r="AR5452" s="19"/>
      <c r="AS5452" s="19"/>
      <c r="AT5452" s="19"/>
      <c r="AU5452" s="19"/>
    </row>
    <row r="5453" spans="3:47">
      <c r="C5453" s="20"/>
      <c r="Z5453" s="20"/>
      <c r="AG5453" s="20"/>
      <c r="AQ5453" s="19"/>
      <c r="AR5453" s="19"/>
      <c r="AS5453" s="19"/>
      <c r="AT5453" s="19"/>
      <c r="AU5453" s="19"/>
    </row>
    <row r="5454" spans="3:47">
      <c r="C5454" s="20"/>
      <c r="Z5454" s="20"/>
      <c r="AG5454" s="20"/>
      <c r="AQ5454" s="19"/>
      <c r="AR5454" s="19"/>
      <c r="AS5454" s="19"/>
      <c r="AT5454" s="19"/>
      <c r="AU5454" s="19"/>
    </row>
    <row r="5455" spans="3:47">
      <c r="C5455" s="20"/>
      <c r="Z5455" s="20"/>
      <c r="AG5455" s="20"/>
      <c r="AQ5455" s="19"/>
      <c r="AR5455" s="19"/>
      <c r="AS5455" s="19"/>
      <c r="AT5455" s="19"/>
      <c r="AU5455" s="19"/>
    </row>
    <row r="5456" spans="3:47">
      <c r="C5456" s="20"/>
      <c r="Z5456" s="20"/>
      <c r="AG5456" s="20"/>
      <c r="AQ5456" s="19"/>
      <c r="AR5456" s="19"/>
      <c r="AS5456" s="19"/>
      <c r="AT5456" s="19"/>
      <c r="AU5456" s="19"/>
    </row>
    <row r="5457" spans="3:47">
      <c r="C5457" s="20"/>
      <c r="Z5457" s="20"/>
      <c r="AG5457" s="20"/>
      <c r="AQ5457" s="19"/>
      <c r="AR5457" s="19"/>
      <c r="AS5457" s="19"/>
      <c r="AT5457" s="19"/>
      <c r="AU5457" s="19"/>
    </row>
    <row r="5458" spans="3:47">
      <c r="C5458" s="20"/>
      <c r="Z5458" s="20"/>
      <c r="AG5458" s="20"/>
      <c r="AQ5458" s="19"/>
      <c r="AR5458" s="19"/>
      <c r="AS5458" s="19"/>
      <c r="AT5458" s="19"/>
      <c r="AU5458" s="19"/>
    </row>
    <row r="5459" spans="3:47">
      <c r="C5459" s="20"/>
      <c r="Z5459" s="20"/>
      <c r="AG5459" s="20"/>
      <c r="AQ5459" s="19"/>
      <c r="AR5459" s="19"/>
      <c r="AS5459" s="19"/>
      <c r="AT5459" s="19"/>
      <c r="AU5459" s="19"/>
    </row>
    <row r="5460" spans="3:47">
      <c r="C5460" s="20"/>
      <c r="Z5460" s="20"/>
      <c r="AG5460" s="20"/>
      <c r="AQ5460" s="19"/>
      <c r="AR5460" s="19"/>
      <c r="AS5460" s="19"/>
      <c r="AT5460" s="19"/>
      <c r="AU5460" s="19"/>
    </row>
    <row r="5461" spans="3:47">
      <c r="C5461" s="20"/>
      <c r="Z5461" s="20"/>
      <c r="AG5461" s="20"/>
      <c r="AQ5461" s="19"/>
      <c r="AR5461" s="19"/>
      <c r="AS5461" s="19"/>
      <c r="AT5461" s="19"/>
      <c r="AU5461" s="19"/>
    </row>
    <row r="5462" spans="3:47">
      <c r="C5462" s="20"/>
      <c r="Z5462" s="20"/>
      <c r="AG5462" s="20"/>
      <c r="AQ5462" s="19"/>
      <c r="AR5462" s="19"/>
      <c r="AS5462" s="19"/>
      <c r="AT5462" s="19"/>
      <c r="AU5462" s="19"/>
    </row>
    <row r="5463" spans="3:47">
      <c r="C5463" s="20"/>
      <c r="Z5463" s="20"/>
      <c r="AG5463" s="20"/>
      <c r="AQ5463" s="19"/>
      <c r="AR5463" s="19"/>
      <c r="AS5463" s="19"/>
      <c r="AT5463" s="19"/>
      <c r="AU5463" s="19"/>
    </row>
    <row r="5464" spans="3:47">
      <c r="C5464" s="20"/>
      <c r="Z5464" s="20"/>
      <c r="AG5464" s="20"/>
      <c r="AQ5464" s="19"/>
      <c r="AR5464" s="19"/>
      <c r="AS5464" s="19"/>
      <c r="AT5464" s="19"/>
      <c r="AU5464" s="19"/>
    </row>
    <row r="5465" spans="3:47">
      <c r="C5465" s="20"/>
      <c r="Z5465" s="20"/>
      <c r="AG5465" s="20"/>
      <c r="AQ5465" s="19"/>
      <c r="AR5465" s="19"/>
      <c r="AS5465" s="19"/>
      <c r="AT5465" s="19"/>
      <c r="AU5465" s="19"/>
    </row>
    <row r="5466" spans="3:47">
      <c r="C5466" s="20"/>
      <c r="Z5466" s="20"/>
      <c r="AG5466" s="20"/>
      <c r="AQ5466" s="19"/>
      <c r="AR5466" s="19"/>
      <c r="AS5466" s="19"/>
      <c r="AT5466" s="19"/>
      <c r="AU5466" s="19"/>
    </row>
    <row r="5467" spans="3:47">
      <c r="C5467" s="20"/>
      <c r="Z5467" s="20"/>
      <c r="AG5467" s="20"/>
      <c r="AQ5467" s="19"/>
      <c r="AR5467" s="19"/>
      <c r="AS5467" s="19"/>
      <c r="AT5467" s="19"/>
      <c r="AU5467" s="19"/>
    </row>
    <row r="5468" spans="3:47">
      <c r="C5468" s="20"/>
      <c r="Z5468" s="20"/>
      <c r="AG5468" s="20"/>
      <c r="AQ5468" s="19"/>
      <c r="AR5468" s="19"/>
      <c r="AS5468" s="19"/>
      <c r="AT5468" s="19"/>
      <c r="AU5468" s="19"/>
    </row>
    <row r="5469" spans="3:47">
      <c r="C5469" s="20"/>
      <c r="Z5469" s="20"/>
      <c r="AG5469" s="20"/>
      <c r="AQ5469" s="19"/>
      <c r="AR5469" s="19"/>
      <c r="AS5469" s="19"/>
      <c r="AT5469" s="19"/>
      <c r="AU5469" s="19"/>
    </row>
    <row r="5470" spans="3:47">
      <c r="C5470" s="20"/>
      <c r="Z5470" s="20"/>
      <c r="AG5470" s="20"/>
      <c r="AQ5470" s="19"/>
      <c r="AR5470" s="19"/>
      <c r="AS5470" s="19"/>
      <c r="AT5470" s="19"/>
      <c r="AU5470" s="19"/>
    </row>
    <row r="5471" spans="3:47">
      <c r="C5471" s="20"/>
      <c r="Z5471" s="20"/>
      <c r="AG5471" s="20"/>
      <c r="AQ5471" s="19"/>
      <c r="AR5471" s="19"/>
      <c r="AS5471" s="19"/>
      <c r="AT5471" s="19"/>
      <c r="AU5471" s="19"/>
    </row>
    <row r="5472" spans="3:47">
      <c r="C5472" s="20"/>
      <c r="Z5472" s="20"/>
      <c r="AG5472" s="20"/>
      <c r="AQ5472" s="19"/>
      <c r="AR5472" s="19"/>
      <c r="AS5472" s="19"/>
      <c r="AT5472" s="19"/>
      <c r="AU5472" s="19"/>
    </row>
    <row r="5473" spans="3:47">
      <c r="C5473" s="20"/>
      <c r="Z5473" s="20"/>
      <c r="AG5473" s="20"/>
      <c r="AQ5473" s="19"/>
      <c r="AR5473" s="19"/>
      <c r="AS5473" s="19"/>
      <c r="AT5473" s="19"/>
      <c r="AU5473" s="19"/>
    </row>
    <row r="5474" spans="3:47">
      <c r="C5474" s="20"/>
      <c r="Z5474" s="20"/>
      <c r="AG5474" s="20"/>
      <c r="AQ5474" s="19"/>
      <c r="AR5474" s="19"/>
      <c r="AS5474" s="19"/>
      <c r="AT5474" s="19"/>
      <c r="AU5474" s="19"/>
    </row>
    <row r="5475" spans="3:47">
      <c r="C5475" s="20"/>
      <c r="Z5475" s="20"/>
      <c r="AG5475" s="20"/>
      <c r="AQ5475" s="19"/>
      <c r="AR5475" s="19"/>
      <c r="AS5475" s="19"/>
      <c r="AT5475" s="19"/>
      <c r="AU5475" s="19"/>
    </row>
    <row r="5476" spans="3:47">
      <c r="C5476" s="20"/>
      <c r="Z5476" s="20"/>
      <c r="AG5476" s="20"/>
      <c r="AQ5476" s="19"/>
      <c r="AR5476" s="19"/>
      <c r="AS5476" s="19"/>
      <c r="AT5476" s="19"/>
      <c r="AU5476" s="19"/>
    </row>
    <row r="5477" spans="3:47">
      <c r="C5477" s="20"/>
      <c r="Z5477" s="20"/>
      <c r="AG5477" s="20"/>
      <c r="AQ5477" s="19"/>
      <c r="AR5477" s="19"/>
      <c r="AS5477" s="19"/>
      <c r="AT5477" s="19"/>
      <c r="AU5477" s="19"/>
    </row>
    <row r="5478" spans="3:47">
      <c r="C5478" s="20"/>
      <c r="Z5478" s="20"/>
      <c r="AG5478" s="20"/>
      <c r="AQ5478" s="19"/>
      <c r="AR5478" s="19"/>
      <c r="AS5478" s="19"/>
      <c r="AT5478" s="19"/>
      <c r="AU5478" s="19"/>
    </row>
    <row r="5479" spans="3:47">
      <c r="C5479" s="20"/>
      <c r="Z5479" s="20"/>
      <c r="AG5479" s="20"/>
      <c r="AQ5479" s="19"/>
      <c r="AR5479" s="19"/>
      <c r="AS5479" s="19"/>
      <c r="AT5479" s="19"/>
      <c r="AU5479" s="19"/>
    </row>
    <row r="5480" spans="3:47">
      <c r="C5480" s="20"/>
      <c r="Z5480" s="20"/>
      <c r="AG5480" s="20"/>
      <c r="AQ5480" s="19"/>
      <c r="AR5480" s="19"/>
      <c r="AS5480" s="19"/>
      <c r="AT5480" s="19"/>
      <c r="AU5480" s="19"/>
    </row>
    <row r="5481" spans="3:47">
      <c r="C5481" s="20"/>
      <c r="Z5481" s="20"/>
      <c r="AG5481" s="20"/>
      <c r="AQ5481" s="19"/>
      <c r="AR5481" s="19"/>
      <c r="AS5481" s="19"/>
      <c r="AT5481" s="19"/>
      <c r="AU5481" s="19"/>
    </row>
    <row r="5482" spans="3:47">
      <c r="C5482" s="20"/>
      <c r="Z5482" s="20"/>
      <c r="AG5482" s="20"/>
      <c r="AQ5482" s="19"/>
      <c r="AR5482" s="19"/>
      <c r="AS5482" s="19"/>
      <c r="AT5482" s="19"/>
      <c r="AU5482" s="19"/>
    </row>
    <row r="5483" spans="3:47">
      <c r="C5483" s="20"/>
      <c r="Z5483" s="20"/>
      <c r="AG5483" s="20"/>
      <c r="AQ5483" s="19"/>
      <c r="AR5483" s="19"/>
      <c r="AS5483" s="19"/>
      <c r="AT5483" s="19"/>
      <c r="AU5483" s="19"/>
    </row>
    <row r="5484" spans="3:47">
      <c r="C5484" s="20"/>
      <c r="Z5484" s="20"/>
      <c r="AG5484" s="20"/>
      <c r="AQ5484" s="19"/>
      <c r="AR5484" s="19"/>
      <c r="AS5484" s="19"/>
      <c r="AT5484" s="19"/>
      <c r="AU5484" s="19"/>
    </row>
    <row r="5485" spans="3:47">
      <c r="C5485" s="20"/>
      <c r="Z5485" s="20"/>
      <c r="AG5485" s="20"/>
      <c r="AQ5485" s="19"/>
      <c r="AR5485" s="19"/>
      <c r="AS5485" s="19"/>
      <c r="AT5485" s="19"/>
      <c r="AU5485" s="19"/>
    </row>
    <row r="5486" spans="3:47">
      <c r="C5486" s="20"/>
      <c r="Z5486" s="20"/>
      <c r="AG5486" s="20"/>
      <c r="AQ5486" s="19"/>
      <c r="AR5486" s="19"/>
      <c r="AS5486" s="19"/>
      <c r="AT5486" s="19"/>
      <c r="AU5486" s="19"/>
    </row>
    <row r="5487" spans="3:47">
      <c r="C5487" s="20"/>
      <c r="Z5487" s="20"/>
      <c r="AG5487" s="20"/>
      <c r="AQ5487" s="19"/>
      <c r="AR5487" s="19"/>
      <c r="AS5487" s="19"/>
      <c r="AT5487" s="19"/>
      <c r="AU5487" s="19"/>
    </row>
    <row r="5488" spans="3:47">
      <c r="C5488" s="20"/>
      <c r="Z5488" s="20"/>
      <c r="AG5488" s="20"/>
      <c r="AQ5488" s="19"/>
      <c r="AR5488" s="19"/>
      <c r="AS5488" s="19"/>
      <c r="AT5488" s="19"/>
      <c r="AU5488" s="19"/>
    </row>
    <row r="5489" spans="3:47">
      <c r="C5489" s="20"/>
      <c r="Z5489" s="20"/>
      <c r="AG5489" s="20"/>
      <c r="AQ5489" s="19"/>
      <c r="AR5489" s="19"/>
      <c r="AS5489" s="19"/>
      <c r="AT5489" s="19"/>
      <c r="AU5489" s="19"/>
    </row>
    <row r="5490" spans="3:47">
      <c r="C5490" s="20"/>
      <c r="Z5490" s="20"/>
      <c r="AG5490" s="20"/>
      <c r="AQ5490" s="19"/>
      <c r="AR5490" s="19"/>
      <c r="AS5490" s="19"/>
      <c r="AT5490" s="19"/>
      <c r="AU5490" s="19"/>
    </row>
    <row r="5491" spans="3:47">
      <c r="C5491" s="20"/>
      <c r="Z5491" s="20"/>
      <c r="AG5491" s="20"/>
      <c r="AQ5491" s="19"/>
      <c r="AR5491" s="19"/>
      <c r="AS5491" s="19"/>
      <c r="AT5491" s="19"/>
      <c r="AU5491" s="19"/>
    </row>
    <row r="5492" spans="3:47">
      <c r="C5492" s="20"/>
      <c r="Z5492" s="20"/>
      <c r="AG5492" s="20"/>
      <c r="AQ5492" s="19"/>
      <c r="AR5492" s="19"/>
      <c r="AS5492" s="19"/>
      <c r="AT5492" s="19"/>
      <c r="AU5492" s="19"/>
    </row>
    <row r="5493" spans="3:47">
      <c r="C5493" s="20"/>
      <c r="Z5493" s="20"/>
      <c r="AG5493" s="20"/>
      <c r="AQ5493" s="19"/>
      <c r="AR5493" s="19"/>
      <c r="AS5493" s="19"/>
      <c r="AT5493" s="19"/>
      <c r="AU5493" s="19"/>
    </row>
    <row r="5494" spans="3:47">
      <c r="C5494" s="20"/>
      <c r="Z5494" s="20"/>
      <c r="AG5494" s="20"/>
      <c r="AQ5494" s="19"/>
      <c r="AR5494" s="19"/>
      <c r="AS5494" s="19"/>
      <c r="AT5494" s="19"/>
      <c r="AU5494" s="19"/>
    </row>
    <row r="5495" spans="3:47">
      <c r="C5495" s="20"/>
      <c r="Z5495" s="20"/>
      <c r="AG5495" s="20"/>
      <c r="AQ5495" s="19"/>
      <c r="AR5495" s="19"/>
      <c r="AS5495" s="19"/>
      <c r="AT5495" s="19"/>
      <c r="AU5495" s="19"/>
    </row>
    <row r="5496" spans="3:47">
      <c r="C5496" s="20"/>
      <c r="Z5496" s="20"/>
      <c r="AG5496" s="20"/>
      <c r="AQ5496" s="19"/>
      <c r="AR5496" s="19"/>
      <c r="AS5496" s="19"/>
      <c r="AT5496" s="19"/>
      <c r="AU5496" s="19"/>
    </row>
    <row r="5497" spans="3:47">
      <c r="C5497" s="20"/>
      <c r="Z5497" s="20"/>
      <c r="AG5497" s="20"/>
      <c r="AQ5497" s="19"/>
      <c r="AR5497" s="19"/>
      <c r="AS5497" s="19"/>
      <c r="AT5497" s="19"/>
      <c r="AU5497" s="19"/>
    </row>
    <row r="5498" spans="3:47">
      <c r="C5498" s="20"/>
      <c r="Z5498" s="20"/>
      <c r="AG5498" s="20"/>
      <c r="AQ5498" s="19"/>
      <c r="AR5498" s="19"/>
      <c r="AS5498" s="19"/>
      <c r="AT5498" s="19"/>
      <c r="AU5498" s="19"/>
    </row>
    <row r="5499" spans="3:47">
      <c r="C5499" s="20"/>
      <c r="Z5499" s="20"/>
      <c r="AG5499" s="20"/>
      <c r="AQ5499" s="19"/>
      <c r="AR5499" s="19"/>
      <c r="AS5499" s="19"/>
      <c r="AT5499" s="19"/>
      <c r="AU5499" s="19"/>
    </row>
    <row r="5500" spans="3:47">
      <c r="C5500" s="20"/>
      <c r="Z5500" s="20"/>
      <c r="AG5500" s="20"/>
      <c r="AQ5500" s="19"/>
      <c r="AR5500" s="19"/>
      <c r="AS5500" s="19"/>
      <c r="AT5500" s="19"/>
      <c r="AU5500" s="19"/>
    </row>
    <row r="5501" spans="3:47">
      <c r="C5501" s="20"/>
      <c r="Z5501" s="20"/>
      <c r="AG5501" s="20"/>
      <c r="AQ5501" s="19"/>
      <c r="AR5501" s="19"/>
      <c r="AS5501" s="19"/>
      <c r="AT5501" s="19"/>
      <c r="AU5501" s="19"/>
    </row>
    <row r="5502" spans="3:47">
      <c r="C5502" s="20"/>
      <c r="Z5502" s="20"/>
      <c r="AG5502" s="20"/>
      <c r="AQ5502" s="19"/>
      <c r="AR5502" s="19"/>
      <c r="AS5502" s="19"/>
      <c r="AT5502" s="19"/>
      <c r="AU5502" s="19"/>
    </row>
    <row r="5503" spans="3:47">
      <c r="C5503" s="20"/>
      <c r="Z5503" s="20"/>
      <c r="AG5503" s="20"/>
      <c r="AQ5503" s="19"/>
      <c r="AR5503" s="19"/>
      <c r="AS5503" s="19"/>
      <c r="AT5503" s="19"/>
      <c r="AU5503" s="19"/>
    </row>
    <row r="5504" spans="3:47">
      <c r="C5504" s="20"/>
      <c r="Z5504" s="20"/>
      <c r="AG5504" s="20"/>
      <c r="AQ5504" s="19"/>
      <c r="AR5504" s="19"/>
      <c r="AS5504" s="19"/>
      <c r="AT5504" s="19"/>
      <c r="AU5504" s="19"/>
    </row>
    <row r="5505" spans="3:47">
      <c r="C5505" s="20"/>
      <c r="Z5505" s="20"/>
      <c r="AG5505" s="20"/>
      <c r="AQ5505" s="19"/>
      <c r="AR5505" s="19"/>
      <c r="AS5505" s="19"/>
      <c r="AT5505" s="19"/>
      <c r="AU5505" s="19"/>
    </row>
    <row r="5506" spans="3:47">
      <c r="C5506" s="20"/>
      <c r="Z5506" s="20"/>
      <c r="AG5506" s="20"/>
      <c r="AQ5506" s="19"/>
      <c r="AR5506" s="19"/>
      <c r="AS5506" s="19"/>
      <c r="AT5506" s="19"/>
      <c r="AU5506" s="19"/>
    </row>
    <row r="5507" spans="3:47">
      <c r="C5507" s="20"/>
      <c r="Z5507" s="20"/>
      <c r="AG5507" s="20"/>
      <c r="AQ5507" s="19"/>
      <c r="AR5507" s="19"/>
      <c r="AS5507" s="19"/>
      <c r="AT5507" s="19"/>
      <c r="AU5507" s="19"/>
    </row>
    <row r="5508" spans="3:47">
      <c r="C5508" s="20"/>
      <c r="Z5508" s="20"/>
      <c r="AG5508" s="20"/>
      <c r="AQ5508" s="19"/>
      <c r="AR5508" s="19"/>
      <c r="AS5508" s="19"/>
      <c r="AT5508" s="19"/>
      <c r="AU5508" s="19"/>
    </row>
    <row r="5509" spans="3:47">
      <c r="C5509" s="20"/>
      <c r="Z5509" s="20"/>
      <c r="AG5509" s="20"/>
      <c r="AQ5509" s="19"/>
      <c r="AR5509" s="19"/>
      <c r="AS5509" s="19"/>
      <c r="AT5509" s="19"/>
      <c r="AU5509" s="19"/>
    </row>
    <row r="5510" spans="3:47">
      <c r="C5510" s="20"/>
      <c r="Z5510" s="20"/>
      <c r="AG5510" s="20"/>
      <c r="AQ5510" s="19"/>
      <c r="AR5510" s="19"/>
      <c r="AS5510" s="19"/>
      <c r="AT5510" s="19"/>
      <c r="AU5510" s="19"/>
    </row>
    <row r="5511" spans="3:47">
      <c r="C5511" s="20"/>
      <c r="Z5511" s="20"/>
      <c r="AG5511" s="20"/>
      <c r="AQ5511" s="19"/>
      <c r="AR5511" s="19"/>
      <c r="AS5511" s="19"/>
      <c r="AT5511" s="19"/>
      <c r="AU5511" s="19"/>
    </row>
    <row r="5512" spans="3:47">
      <c r="C5512" s="20"/>
      <c r="Z5512" s="20"/>
      <c r="AG5512" s="20"/>
      <c r="AQ5512" s="19"/>
      <c r="AR5512" s="19"/>
      <c r="AS5512" s="19"/>
      <c r="AT5512" s="19"/>
      <c r="AU5512" s="19"/>
    </row>
    <row r="5513" spans="3:47">
      <c r="C5513" s="20"/>
      <c r="Z5513" s="20"/>
      <c r="AG5513" s="20"/>
      <c r="AQ5513" s="19"/>
      <c r="AR5513" s="19"/>
      <c r="AS5513" s="19"/>
      <c r="AT5513" s="19"/>
      <c r="AU5513" s="19"/>
    </row>
    <row r="5514" spans="3:47">
      <c r="C5514" s="20"/>
      <c r="Z5514" s="20"/>
      <c r="AG5514" s="20"/>
      <c r="AQ5514" s="19"/>
      <c r="AR5514" s="19"/>
      <c r="AS5514" s="19"/>
      <c r="AT5514" s="19"/>
      <c r="AU5514" s="19"/>
    </row>
    <row r="5515" spans="3:47">
      <c r="C5515" s="20"/>
      <c r="Z5515" s="20"/>
      <c r="AG5515" s="20"/>
      <c r="AQ5515" s="19"/>
      <c r="AR5515" s="19"/>
      <c r="AS5515" s="19"/>
      <c r="AT5515" s="19"/>
      <c r="AU5515" s="19"/>
    </row>
    <row r="5516" spans="3:47">
      <c r="C5516" s="20"/>
      <c r="Z5516" s="20"/>
      <c r="AG5516" s="20"/>
      <c r="AQ5516" s="19"/>
      <c r="AR5516" s="19"/>
      <c r="AS5516" s="19"/>
      <c r="AT5516" s="19"/>
      <c r="AU5516" s="19"/>
    </row>
    <row r="5517" spans="3:47">
      <c r="C5517" s="20"/>
      <c r="Z5517" s="20"/>
      <c r="AG5517" s="20"/>
      <c r="AQ5517" s="19"/>
      <c r="AR5517" s="19"/>
      <c r="AS5517" s="19"/>
      <c r="AT5517" s="19"/>
      <c r="AU5517" s="19"/>
    </row>
    <row r="5518" spans="3:47">
      <c r="C5518" s="20"/>
      <c r="Z5518" s="20"/>
      <c r="AG5518" s="20"/>
      <c r="AQ5518" s="19"/>
      <c r="AR5518" s="19"/>
      <c r="AS5518" s="19"/>
      <c r="AT5518" s="19"/>
      <c r="AU5518" s="19"/>
    </row>
    <row r="5519" spans="3:47">
      <c r="C5519" s="20"/>
      <c r="Z5519" s="20"/>
      <c r="AG5519" s="20"/>
      <c r="AQ5519" s="19"/>
      <c r="AR5519" s="19"/>
      <c r="AS5519" s="19"/>
      <c r="AT5519" s="19"/>
      <c r="AU5519" s="19"/>
    </row>
    <row r="5520" spans="3:47">
      <c r="C5520" s="20"/>
      <c r="Z5520" s="20"/>
      <c r="AG5520" s="20"/>
      <c r="AQ5520" s="19"/>
      <c r="AR5520" s="19"/>
      <c r="AS5520" s="19"/>
      <c r="AT5520" s="19"/>
      <c r="AU5520" s="19"/>
    </row>
    <row r="5521" spans="3:47">
      <c r="C5521" s="20"/>
      <c r="Z5521" s="20"/>
      <c r="AG5521" s="20"/>
      <c r="AQ5521" s="19"/>
      <c r="AR5521" s="19"/>
      <c r="AS5521" s="19"/>
      <c r="AT5521" s="19"/>
      <c r="AU5521" s="19"/>
    </row>
    <row r="5522" spans="3:47">
      <c r="C5522" s="20"/>
      <c r="Z5522" s="20"/>
      <c r="AG5522" s="20"/>
      <c r="AQ5522" s="19"/>
      <c r="AR5522" s="19"/>
      <c r="AS5522" s="19"/>
      <c r="AT5522" s="19"/>
      <c r="AU5522" s="19"/>
    </row>
    <row r="5523" spans="3:47">
      <c r="C5523" s="20"/>
      <c r="Z5523" s="20"/>
      <c r="AG5523" s="20"/>
      <c r="AQ5523" s="19"/>
      <c r="AR5523" s="19"/>
      <c r="AS5523" s="19"/>
      <c r="AT5523" s="19"/>
      <c r="AU5523" s="19"/>
    </row>
    <row r="5524" spans="3:47">
      <c r="C5524" s="20"/>
      <c r="Z5524" s="20"/>
      <c r="AG5524" s="20"/>
      <c r="AQ5524" s="19"/>
      <c r="AR5524" s="19"/>
      <c r="AS5524" s="19"/>
      <c r="AT5524" s="19"/>
      <c r="AU5524" s="19"/>
    </row>
    <row r="5525" spans="3:47">
      <c r="C5525" s="20"/>
      <c r="Z5525" s="20"/>
      <c r="AG5525" s="20"/>
      <c r="AQ5525" s="19"/>
      <c r="AR5525" s="19"/>
      <c r="AS5525" s="19"/>
      <c r="AT5525" s="19"/>
      <c r="AU5525" s="19"/>
    </row>
    <row r="5526" spans="3:47">
      <c r="C5526" s="20"/>
      <c r="Z5526" s="20"/>
      <c r="AG5526" s="20"/>
      <c r="AQ5526" s="19"/>
      <c r="AR5526" s="19"/>
      <c r="AS5526" s="19"/>
      <c r="AT5526" s="19"/>
      <c r="AU5526" s="19"/>
    </row>
    <row r="5527" spans="3:47">
      <c r="C5527" s="20"/>
      <c r="Z5527" s="20"/>
      <c r="AG5527" s="20"/>
      <c r="AQ5527" s="19"/>
      <c r="AR5527" s="19"/>
      <c r="AS5527" s="19"/>
      <c r="AT5527" s="19"/>
      <c r="AU5527" s="19"/>
    </row>
    <row r="5528" spans="3:47">
      <c r="C5528" s="20"/>
      <c r="Z5528" s="20"/>
      <c r="AG5528" s="20"/>
      <c r="AQ5528" s="19"/>
      <c r="AR5528" s="19"/>
      <c r="AS5528" s="19"/>
      <c r="AT5528" s="19"/>
      <c r="AU5528" s="19"/>
    </row>
    <row r="5529" spans="3:47">
      <c r="C5529" s="20"/>
      <c r="Z5529" s="20"/>
      <c r="AG5529" s="20"/>
      <c r="AQ5529" s="19"/>
      <c r="AR5529" s="19"/>
      <c r="AS5529" s="19"/>
      <c r="AT5529" s="19"/>
      <c r="AU5529" s="19"/>
    </row>
    <row r="5530" spans="3:47">
      <c r="C5530" s="20"/>
      <c r="Z5530" s="20"/>
      <c r="AG5530" s="20"/>
      <c r="AQ5530" s="19"/>
      <c r="AR5530" s="19"/>
      <c r="AS5530" s="19"/>
      <c r="AT5530" s="19"/>
      <c r="AU5530" s="19"/>
    </row>
    <row r="5531" spans="3:47">
      <c r="C5531" s="20"/>
      <c r="Z5531" s="20"/>
      <c r="AG5531" s="20"/>
      <c r="AQ5531" s="19"/>
      <c r="AR5531" s="19"/>
      <c r="AS5531" s="19"/>
      <c r="AT5531" s="19"/>
      <c r="AU5531" s="19"/>
    </row>
    <row r="5532" spans="3:47">
      <c r="C5532" s="20"/>
      <c r="Z5532" s="20"/>
      <c r="AG5532" s="20"/>
      <c r="AQ5532" s="19"/>
      <c r="AR5532" s="19"/>
      <c r="AS5532" s="19"/>
      <c r="AT5532" s="19"/>
      <c r="AU5532" s="19"/>
    </row>
    <row r="5533" spans="3:47">
      <c r="C5533" s="20"/>
      <c r="Z5533" s="20"/>
      <c r="AG5533" s="20"/>
      <c r="AQ5533" s="19"/>
      <c r="AR5533" s="19"/>
      <c r="AS5533" s="19"/>
      <c r="AT5533" s="19"/>
      <c r="AU5533" s="19"/>
    </row>
    <row r="5534" spans="3:47">
      <c r="C5534" s="20"/>
      <c r="Z5534" s="20"/>
      <c r="AG5534" s="20"/>
      <c r="AQ5534" s="19"/>
      <c r="AR5534" s="19"/>
      <c r="AS5534" s="19"/>
      <c r="AT5534" s="19"/>
      <c r="AU5534" s="19"/>
    </row>
    <row r="5535" spans="3:47">
      <c r="C5535" s="20"/>
      <c r="Z5535" s="20"/>
      <c r="AG5535" s="20"/>
      <c r="AQ5535" s="19"/>
      <c r="AR5535" s="19"/>
      <c r="AS5535" s="19"/>
      <c r="AT5535" s="19"/>
      <c r="AU5535" s="19"/>
    </row>
    <row r="5536" spans="3:47">
      <c r="C5536" s="20"/>
      <c r="Z5536" s="20"/>
      <c r="AG5536" s="20"/>
      <c r="AQ5536" s="19"/>
      <c r="AR5536" s="19"/>
      <c r="AS5536" s="19"/>
      <c r="AT5536" s="19"/>
      <c r="AU5536" s="19"/>
    </row>
    <row r="5537" spans="3:47">
      <c r="C5537" s="20"/>
      <c r="Z5537" s="20"/>
      <c r="AG5537" s="20"/>
      <c r="AQ5537" s="19"/>
      <c r="AR5537" s="19"/>
      <c r="AS5537" s="19"/>
      <c r="AT5537" s="19"/>
      <c r="AU5537" s="19"/>
    </row>
    <row r="5538" spans="3:47">
      <c r="C5538" s="20"/>
      <c r="Z5538" s="20"/>
      <c r="AG5538" s="20"/>
      <c r="AQ5538" s="19"/>
      <c r="AR5538" s="19"/>
      <c r="AS5538" s="19"/>
      <c r="AT5538" s="19"/>
      <c r="AU5538" s="19"/>
    </row>
    <row r="5539" spans="3:47">
      <c r="C5539" s="20"/>
      <c r="Z5539" s="20"/>
      <c r="AG5539" s="20"/>
      <c r="AQ5539" s="19"/>
      <c r="AR5539" s="19"/>
      <c r="AS5539" s="19"/>
      <c r="AT5539" s="19"/>
      <c r="AU5539" s="19"/>
    </row>
    <row r="5540" spans="3:47">
      <c r="C5540" s="20"/>
      <c r="Z5540" s="20"/>
      <c r="AG5540" s="20"/>
      <c r="AQ5540" s="19"/>
      <c r="AR5540" s="19"/>
      <c r="AS5540" s="19"/>
      <c r="AT5540" s="19"/>
      <c r="AU5540" s="19"/>
    </row>
    <row r="5541" spans="3:47">
      <c r="C5541" s="20"/>
      <c r="Z5541" s="20"/>
      <c r="AG5541" s="20"/>
      <c r="AQ5541" s="19"/>
      <c r="AR5541" s="19"/>
      <c r="AS5541" s="19"/>
      <c r="AT5541" s="19"/>
      <c r="AU5541" s="19"/>
    </row>
    <row r="5542" spans="3:47">
      <c r="C5542" s="20"/>
      <c r="Z5542" s="20"/>
      <c r="AG5542" s="20"/>
      <c r="AQ5542" s="19"/>
      <c r="AR5542" s="19"/>
      <c r="AS5542" s="19"/>
      <c r="AT5542" s="19"/>
      <c r="AU5542" s="19"/>
    </row>
    <row r="5543" spans="3:47">
      <c r="C5543" s="20"/>
      <c r="Z5543" s="20"/>
      <c r="AG5543" s="20"/>
      <c r="AQ5543" s="19"/>
      <c r="AR5543" s="19"/>
      <c r="AS5543" s="19"/>
      <c r="AT5543" s="19"/>
      <c r="AU5543" s="19"/>
    </row>
    <row r="5544" spans="3:47">
      <c r="C5544" s="20"/>
      <c r="Z5544" s="20"/>
      <c r="AG5544" s="20"/>
      <c r="AQ5544" s="19"/>
      <c r="AR5544" s="19"/>
      <c r="AS5544" s="19"/>
      <c r="AT5544" s="19"/>
      <c r="AU5544" s="19"/>
    </row>
    <row r="5545" spans="3:47">
      <c r="C5545" s="20"/>
      <c r="Z5545" s="20"/>
      <c r="AG5545" s="20"/>
      <c r="AQ5545" s="19"/>
      <c r="AR5545" s="19"/>
      <c r="AS5545" s="19"/>
      <c r="AT5545" s="19"/>
      <c r="AU5545" s="19"/>
    </row>
    <row r="5546" spans="3:47">
      <c r="C5546" s="20"/>
      <c r="Z5546" s="20"/>
      <c r="AG5546" s="20"/>
      <c r="AQ5546" s="19"/>
      <c r="AR5546" s="19"/>
      <c r="AS5546" s="19"/>
      <c r="AT5546" s="19"/>
      <c r="AU5546" s="19"/>
    </row>
    <row r="5547" spans="3:47">
      <c r="C5547" s="20"/>
      <c r="Z5547" s="20"/>
      <c r="AG5547" s="20"/>
      <c r="AQ5547" s="19"/>
      <c r="AR5547" s="19"/>
      <c r="AS5547" s="19"/>
      <c r="AT5547" s="19"/>
      <c r="AU5547" s="19"/>
    </row>
    <row r="5548" spans="3:47">
      <c r="C5548" s="20"/>
      <c r="Z5548" s="20"/>
      <c r="AG5548" s="20"/>
      <c r="AQ5548" s="19"/>
      <c r="AR5548" s="19"/>
      <c r="AS5548" s="19"/>
      <c r="AT5548" s="19"/>
      <c r="AU5548" s="19"/>
    </row>
    <row r="5549" spans="3:47">
      <c r="C5549" s="20"/>
      <c r="Z5549" s="20"/>
      <c r="AG5549" s="20"/>
      <c r="AQ5549" s="19"/>
      <c r="AR5549" s="19"/>
      <c r="AS5549" s="19"/>
      <c r="AT5549" s="19"/>
      <c r="AU5549" s="19"/>
    </row>
    <row r="5550" spans="3:47">
      <c r="C5550" s="20"/>
      <c r="Z5550" s="20"/>
      <c r="AG5550" s="20"/>
      <c r="AQ5550" s="19"/>
      <c r="AR5550" s="19"/>
      <c r="AS5550" s="19"/>
      <c r="AT5550" s="19"/>
      <c r="AU5550" s="19"/>
    </row>
    <row r="5551" spans="3:47">
      <c r="C5551" s="20"/>
      <c r="Z5551" s="20"/>
      <c r="AG5551" s="20"/>
      <c r="AQ5551" s="19"/>
      <c r="AR5551" s="19"/>
      <c r="AS5551" s="19"/>
      <c r="AT5551" s="19"/>
      <c r="AU5551" s="19"/>
    </row>
    <row r="5552" spans="3:47">
      <c r="C5552" s="20"/>
      <c r="Z5552" s="20"/>
      <c r="AG5552" s="20"/>
      <c r="AQ5552" s="19"/>
      <c r="AR5552" s="19"/>
      <c r="AS5552" s="19"/>
      <c r="AT5552" s="19"/>
      <c r="AU5552" s="19"/>
    </row>
    <row r="5553" spans="3:47">
      <c r="C5553" s="20"/>
      <c r="Z5553" s="20"/>
      <c r="AG5553" s="20"/>
      <c r="AQ5553" s="19"/>
      <c r="AR5553" s="19"/>
      <c r="AS5553" s="19"/>
      <c r="AT5553" s="19"/>
      <c r="AU5553" s="19"/>
    </row>
    <row r="5554" spans="3:47">
      <c r="C5554" s="20"/>
      <c r="Z5554" s="20"/>
      <c r="AG5554" s="20"/>
      <c r="AQ5554" s="19"/>
      <c r="AR5554" s="19"/>
      <c r="AS5554" s="19"/>
      <c r="AT5554" s="19"/>
      <c r="AU5554" s="19"/>
    </row>
    <row r="5555" spans="3:47">
      <c r="C5555" s="20"/>
      <c r="Z5555" s="20"/>
      <c r="AG5555" s="20"/>
      <c r="AQ5555" s="19"/>
      <c r="AR5555" s="19"/>
      <c r="AS5555" s="19"/>
      <c r="AT5555" s="19"/>
      <c r="AU5555" s="19"/>
    </row>
    <row r="5556" spans="3:47">
      <c r="C5556" s="20"/>
      <c r="Z5556" s="20"/>
      <c r="AG5556" s="20"/>
      <c r="AQ5556" s="19"/>
      <c r="AR5556" s="19"/>
      <c r="AS5556" s="19"/>
      <c r="AT5556" s="19"/>
      <c r="AU5556" s="19"/>
    </row>
    <row r="5557" spans="3:47">
      <c r="C5557" s="20"/>
      <c r="Z5557" s="20"/>
      <c r="AG5557" s="20"/>
      <c r="AQ5557" s="19"/>
      <c r="AR5557" s="19"/>
      <c r="AS5557" s="19"/>
      <c r="AT5557" s="19"/>
      <c r="AU5557" s="19"/>
    </row>
    <row r="5558" spans="3:47">
      <c r="C5558" s="20"/>
      <c r="Z5558" s="20"/>
      <c r="AG5558" s="20"/>
      <c r="AQ5558" s="19"/>
      <c r="AR5558" s="19"/>
      <c r="AS5558" s="19"/>
      <c r="AT5558" s="19"/>
      <c r="AU5558" s="19"/>
    </row>
    <row r="5559" spans="3:47">
      <c r="C5559" s="20"/>
      <c r="Z5559" s="20"/>
      <c r="AG5559" s="20"/>
      <c r="AQ5559" s="19"/>
      <c r="AR5559" s="19"/>
      <c r="AS5559" s="19"/>
      <c r="AT5559" s="19"/>
      <c r="AU5559" s="19"/>
    </row>
    <row r="5560" spans="3:47">
      <c r="C5560" s="20"/>
      <c r="Z5560" s="20"/>
      <c r="AG5560" s="20"/>
      <c r="AQ5560" s="19"/>
      <c r="AR5560" s="19"/>
      <c r="AS5560" s="19"/>
      <c r="AT5560" s="19"/>
      <c r="AU5560" s="19"/>
    </row>
    <row r="5561" spans="3:47">
      <c r="C5561" s="20"/>
      <c r="Z5561" s="20"/>
      <c r="AG5561" s="20"/>
      <c r="AQ5561" s="19"/>
      <c r="AR5561" s="19"/>
      <c r="AS5561" s="19"/>
      <c r="AT5561" s="19"/>
      <c r="AU5561" s="19"/>
    </row>
    <row r="5562" spans="3:47">
      <c r="C5562" s="20"/>
      <c r="Z5562" s="20"/>
      <c r="AG5562" s="20"/>
      <c r="AQ5562" s="19"/>
      <c r="AR5562" s="19"/>
      <c r="AS5562" s="19"/>
      <c r="AT5562" s="19"/>
      <c r="AU5562" s="19"/>
    </row>
    <row r="5563" spans="3:47">
      <c r="C5563" s="20"/>
      <c r="Z5563" s="20"/>
      <c r="AG5563" s="20"/>
      <c r="AQ5563" s="19"/>
      <c r="AR5563" s="19"/>
      <c r="AS5563" s="19"/>
      <c r="AT5563" s="19"/>
      <c r="AU5563" s="19"/>
    </row>
    <row r="5564" spans="3:47">
      <c r="C5564" s="20"/>
      <c r="Z5564" s="20"/>
      <c r="AG5564" s="20"/>
      <c r="AQ5564" s="19"/>
      <c r="AR5564" s="19"/>
      <c r="AS5564" s="19"/>
      <c r="AT5564" s="19"/>
      <c r="AU5564" s="19"/>
    </row>
    <row r="5565" spans="3:47">
      <c r="C5565" s="20"/>
      <c r="Z5565" s="20"/>
      <c r="AG5565" s="20"/>
      <c r="AQ5565" s="19"/>
      <c r="AR5565" s="19"/>
      <c r="AS5565" s="19"/>
      <c r="AT5565" s="19"/>
      <c r="AU5565" s="19"/>
    </row>
    <row r="5566" spans="3:47">
      <c r="C5566" s="20"/>
      <c r="Z5566" s="20"/>
      <c r="AG5566" s="20"/>
      <c r="AQ5566" s="19"/>
      <c r="AR5566" s="19"/>
      <c r="AS5566" s="19"/>
      <c r="AT5566" s="19"/>
      <c r="AU5566" s="19"/>
    </row>
    <row r="5567" spans="3:47">
      <c r="C5567" s="20"/>
      <c r="Z5567" s="20"/>
      <c r="AG5567" s="20"/>
      <c r="AQ5567" s="19"/>
      <c r="AR5567" s="19"/>
      <c r="AS5567" s="19"/>
      <c r="AT5567" s="19"/>
      <c r="AU5567" s="19"/>
    </row>
    <row r="5568" spans="3:47">
      <c r="C5568" s="20"/>
      <c r="Z5568" s="20"/>
      <c r="AG5568" s="20"/>
      <c r="AQ5568" s="19"/>
      <c r="AR5568" s="19"/>
      <c r="AS5568" s="19"/>
      <c r="AT5568" s="19"/>
      <c r="AU5568" s="19"/>
    </row>
    <row r="5569" spans="3:47">
      <c r="C5569" s="20"/>
      <c r="Z5569" s="20"/>
      <c r="AG5569" s="20"/>
      <c r="AQ5569" s="19"/>
      <c r="AR5569" s="19"/>
      <c r="AS5569" s="19"/>
      <c r="AT5569" s="19"/>
      <c r="AU5569" s="19"/>
    </row>
    <row r="5570" spans="3:47">
      <c r="C5570" s="20"/>
      <c r="Z5570" s="20"/>
      <c r="AG5570" s="20"/>
      <c r="AQ5570" s="19"/>
      <c r="AR5570" s="19"/>
      <c r="AS5570" s="19"/>
      <c r="AT5570" s="19"/>
      <c r="AU5570" s="19"/>
    </row>
    <row r="5571" spans="3:47">
      <c r="C5571" s="20"/>
      <c r="Z5571" s="20"/>
      <c r="AG5571" s="20"/>
      <c r="AQ5571" s="19"/>
      <c r="AR5571" s="19"/>
      <c r="AS5571" s="19"/>
      <c r="AT5571" s="19"/>
      <c r="AU5571" s="19"/>
    </row>
    <row r="5572" spans="3:47">
      <c r="C5572" s="20"/>
      <c r="Z5572" s="20"/>
      <c r="AG5572" s="20"/>
      <c r="AQ5572" s="19"/>
      <c r="AR5572" s="19"/>
      <c r="AS5572" s="19"/>
      <c r="AT5572" s="19"/>
      <c r="AU5572" s="19"/>
    </row>
    <row r="5573" spans="3:47">
      <c r="C5573" s="20"/>
      <c r="Z5573" s="20"/>
      <c r="AG5573" s="20"/>
      <c r="AQ5573" s="19"/>
      <c r="AR5573" s="19"/>
      <c r="AS5573" s="19"/>
      <c r="AT5573" s="19"/>
      <c r="AU5573" s="19"/>
    </row>
    <row r="5574" spans="3:47">
      <c r="C5574" s="20"/>
      <c r="Z5574" s="20"/>
      <c r="AG5574" s="20"/>
      <c r="AQ5574" s="19"/>
      <c r="AR5574" s="19"/>
      <c r="AS5574" s="19"/>
      <c r="AT5574" s="19"/>
      <c r="AU5574" s="19"/>
    </row>
    <row r="5575" spans="3:47">
      <c r="C5575" s="20"/>
      <c r="Z5575" s="20"/>
      <c r="AG5575" s="20"/>
      <c r="AQ5575" s="19"/>
      <c r="AR5575" s="19"/>
      <c r="AS5575" s="19"/>
      <c r="AT5575" s="19"/>
      <c r="AU5575" s="19"/>
    </row>
    <row r="5576" spans="3:47">
      <c r="C5576" s="20"/>
      <c r="Z5576" s="20"/>
      <c r="AG5576" s="20"/>
      <c r="AQ5576" s="19"/>
      <c r="AR5576" s="19"/>
      <c r="AS5576" s="19"/>
      <c r="AT5576" s="19"/>
      <c r="AU5576" s="19"/>
    </row>
    <row r="5577" spans="3:47">
      <c r="C5577" s="20"/>
      <c r="Z5577" s="20"/>
      <c r="AG5577" s="20"/>
      <c r="AQ5577" s="19"/>
      <c r="AR5577" s="19"/>
      <c r="AS5577" s="19"/>
      <c r="AT5577" s="19"/>
      <c r="AU5577" s="19"/>
    </row>
    <row r="5578" spans="3:47">
      <c r="C5578" s="20"/>
      <c r="Z5578" s="20"/>
      <c r="AG5578" s="20"/>
      <c r="AQ5578" s="19"/>
      <c r="AR5578" s="19"/>
      <c r="AS5578" s="19"/>
      <c r="AT5578" s="19"/>
      <c r="AU5578" s="19"/>
    </row>
    <row r="5579" spans="3:47">
      <c r="C5579" s="20"/>
      <c r="Z5579" s="20"/>
      <c r="AG5579" s="20"/>
      <c r="AQ5579" s="19"/>
      <c r="AR5579" s="19"/>
      <c r="AS5579" s="19"/>
      <c r="AT5579" s="19"/>
      <c r="AU5579" s="19"/>
    </row>
    <row r="5580" spans="3:47">
      <c r="C5580" s="20"/>
      <c r="Z5580" s="20"/>
      <c r="AG5580" s="20"/>
      <c r="AQ5580" s="19"/>
      <c r="AR5580" s="19"/>
      <c r="AS5580" s="19"/>
      <c r="AT5580" s="19"/>
      <c r="AU5580" s="19"/>
    </row>
    <row r="5581" spans="3:47">
      <c r="C5581" s="20"/>
      <c r="Z5581" s="20"/>
      <c r="AG5581" s="20"/>
      <c r="AQ5581" s="19"/>
      <c r="AR5581" s="19"/>
      <c r="AS5581" s="19"/>
      <c r="AT5581" s="19"/>
      <c r="AU5581" s="19"/>
    </row>
    <row r="5582" spans="3:47">
      <c r="C5582" s="20"/>
      <c r="Z5582" s="20"/>
      <c r="AG5582" s="20"/>
      <c r="AQ5582" s="19"/>
      <c r="AR5582" s="19"/>
      <c r="AS5582" s="19"/>
      <c r="AT5582" s="19"/>
      <c r="AU5582" s="19"/>
    </row>
    <row r="5583" spans="3:47">
      <c r="C5583" s="20"/>
      <c r="Z5583" s="20"/>
      <c r="AG5583" s="20"/>
      <c r="AQ5583" s="19"/>
      <c r="AR5583" s="19"/>
      <c r="AS5583" s="19"/>
      <c r="AT5583" s="19"/>
      <c r="AU5583" s="19"/>
    </row>
    <row r="5584" spans="3:47">
      <c r="C5584" s="20"/>
      <c r="Z5584" s="20"/>
      <c r="AG5584" s="20"/>
      <c r="AQ5584" s="19"/>
      <c r="AR5584" s="19"/>
      <c r="AS5584" s="19"/>
      <c r="AT5584" s="19"/>
      <c r="AU5584" s="19"/>
    </row>
    <row r="5585" spans="3:47">
      <c r="C5585" s="20"/>
      <c r="Z5585" s="20"/>
      <c r="AG5585" s="20"/>
      <c r="AQ5585" s="19"/>
      <c r="AR5585" s="19"/>
      <c r="AS5585" s="19"/>
      <c r="AT5585" s="19"/>
      <c r="AU5585" s="19"/>
    </row>
    <row r="5586" spans="3:47">
      <c r="C5586" s="20"/>
      <c r="Z5586" s="20"/>
      <c r="AG5586" s="20"/>
      <c r="AQ5586" s="19"/>
      <c r="AR5586" s="19"/>
      <c r="AS5586" s="19"/>
      <c r="AT5586" s="19"/>
      <c r="AU5586" s="19"/>
    </row>
    <row r="5587" spans="3:47">
      <c r="C5587" s="20"/>
      <c r="Z5587" s="20"/>
      <c r="AG5587" s="20"/>
      <c r="AQ5587" s="19"/>
      <c r="AR5587" s="19"/>
      <c r="AS5587" s="19"/>
      <c r="AT5587" s="19"/>
      <c r="AU5587" s="19"/>
    </row>
    <row r="5588" spans="3:47">
      <c r="C5588" s="20"/>
      <c r="Z5588" s="20"/>
      <c r="AG5588" s="20"/>
      <c r="AQ5588" s="19"/>
      <c r="AR5588" s="19"/>
      <c r="AS5588" s="19"/>
      <c r="AT5588" s="19"/>
      <c r="AU5588" s="19"/>
    </row>
    <row r="5589" spans="3:47">
      <c r="C5589" s="20"/>
      <c r="Z5589" s="20"/>
      <c r="AG5589" s="20"/>
      <c r="AQ5589" s="19"/>
      <c r="AR5589" s="19"/>
      <c r="AS5589" s="19"/>
      <c r="AT5589" s="19"/>
      <c r="AU5589" s="19"/>
    </row>
    <row r="5590" spans="3:47">
      <c r="C5590" s="20"/>
      <c r="Z5590" s="20"/>
      <c r="AG5590" s="20"/>
      <c r="AQ5590" s="19"/>
      <c r="AR5590" s="19"/>
      <c r="AS5590" s="19"/>
      <c r="AT5590" s="19"/>
      <c r="AU5590" s="19"/>
    </row>
    <row r="5591" spans="3:47">
      <c r="C5591" s="20"/>
      <c r="Z5591" s="20"/>
      <c r="AG5591" s="20"/>
      <c r="AQ5591" s="19"/>
      <c r="AR5591" s="19"/>
      <c r="AS5591" s="19"/>
      <c r="AT5591" s="19"/>
      <c r="AU5591" s="19"/>
    </row>
    <row r="5592" spans="3:47">
      <c r="C5592" s="20"/>
      <c r="Z5592" s="20"/>
      <c r="AG5592" s="20"/>
      <c r="AQ5592" s="19"/>
      <c r="AR5592" s="19"/>
      <c r="AS5592" s="19"/>
      <c r="AT5592" s="19"/>
      <c r="AU5592" s="19"/>
    </row>
    <row r="5593" spans="3:47">
      <c r="C5593" s="20"/>
      <c r="Z5593" s="20"/>
      <c r="AG5593" s="20"/>
      <c r="AQ5593" s="19"/>
      <c r="AR5593" s="19"/>
      <c r="AS5593" s="19"/>
      <c r="AT5593" s="19"/>
      <c r="AU5593" s="19"/>
    </row>
    <row r="5594" spans="3:47">
      <c r="C5594" s="20"/>
      <c r="Z5594" s="20"/>
      <c r="AG5594" s="20"/>
      <c r="AQ5594" s="19"/>
      <c r="AR5594" s="19"/>
      <c r="AS5594" s="19"/>
      <c r="AT5594" s="19"/>
      <c r="AU5594" s="19"/>
    </row>
    <row r="5595" spans="3:47">
      <c r="C5595" s="20"/>
      <c r="Z5595" s="20"/>
      <c r="AG5595" s="20"/>
      <c r="AQ5595" s="19"/>
      <c r="AR5595" s="19"/>
      <c r="AS5595" s="19"/>
      <c r="AT5595" s="19"/>
      <c r="AU5595" s="19"/>
    </row>
    <row r="5596" spans="3:47">
      <c r="C5596" s="20"/>
      <c r="Z5596" s="20"/>
      <c r="AG5596" s="20"/>
      <c r="AQ5596" s="19"/>
      <c r="AR5596" s="19"/>
      <c r="AS5596" s="19"/>
      <c r="AT5596" s="19"/>
      <c r="AU5596" s="19"/>
    </row>
    <row r="5597" spans="3:47">
      <c r="C5597" s="20"/>
      <c r="Z5597" s="20"/>
      <c r="AG5597" s="20"/>
      <c r="AQ5597" s="19"/>
      <c r="AR5597" s="19"/>
      <c r="AS5597" s="19"/>
      <c r="AT5597" s="19"/>
      <c r="AU5597" s="19"/>
    </row>
    <row r="5598" spans="3:47">
      <c r="C5598" s="20"/>
      <c r="Z5598" s="20"/>
      <c r="AG5598" s="20"/>
      <c r="AQ5598" s="19"/>
      <c r="AR5598" s="19"/>
      <c r="AS5598" s="19"/>
      <c r="AT5598" s="19"/>
      <c r="AU5598" s="19"/>
    </row>
    <row r="5599" spans="3:47">
      <c r="C5599" s="20"/>
      <c r="Z5599" s="20"/>
      <c r="AG5599" s="20"/>
      <c r="AQ5599" s="19"/>
      <c r="AR5599" s="19"/>
      <c r="AS5599" s="19"/>
      <c r="AT5599" s="19"/>
      <c r="AU5599" s="19"/>
    </row>
    <row r="5600" spans="3:47">
      <c r="C5600" s="20"/>
      <c r="Z5600" s="20"/>
      <c r="AG5600" s="20"/>
      <c r="AQ5600" s="19"/>
      <c r="AR5600" s="19"/>
      <c r="AS5600" s="19"/>
      <c r="AT5600" s="19"/>
      <c r="AU5600" s="19"/>
    </row>
    <row r="5601" spans="3:47">
      <c r="C5601" s="20"/>
      <c r="Z5601" s="20"/>
      <c r="AG5601" s="20"/>
      <c r="AQ5601" s="19"/>
      <c r="AR5601" s="19"/>
      <c r="AS5601" s="19"/>
      <c r="AT5601" s="19"/>
      <c r="AU5601" s="19"/>
    </row>
    <row r="5602" spans="3:47">
      <c r="C5602" s="20"/>
      <c r="Z5602" s="20"/>
      <c r="AG5602" s="20"/>
      <c r="AQ5602" s="19"/>
      <c r="AR5602" s="19"/>
      <c r="AS5602" s="19"/>
      <c r="AT5602" s="19"/>
      <c r="AU5602" s="19"/>
    </row>
    <row r="5603" spans="3:47">
      <c r="C5603" s="20"/>
      <c r="Z5603" s="20"/>
      <c r="AG5603" s="20"/>
      <c r="AQ5603" s="19"/>
      <c r="AR5603" s="19"/>
      <c r="AS5603" s="19"/>
      <c r="AT5603" s="19"/>
      <c r="AU5603" s="19"/>
    </row>
    <row r="5604" spans="3:47">
      <c r="C5604" s="20"/>
      <c r="Z5604" s="20"/>
      <c r="AG5604" s="20"/>
      <c r="AQ5604" s="19"/>
      <c r="AR5604" s="19"/>
      <c r="AS5604" s="19"/>
      <c r="AT5604" s="19"/>
      <c r="AU5604" s="19"/>
    </row>
    <row r="5605" spans="3:47">
      <c r="C5605" s="20"/>
      <c r="Z5605" s="20"/>
      <c r="AG5605" s="20"/>
      <c r="AQ5605" s="19"/>
      <c r="AR5605" s="19"/>
      <c r="AS5605" s="19"/>
      <c r="AT5605" s="19"/>
      <c r="AU5605" s="19"/>
    </row>
    <row r="5606" spans="3:47">
      <c r="C5606" s="20"/>
      <c r="Z5606" s="20"/>
      <c r="AG5606" s="20"/>
      <c r="AQ5606" s="19"/>
      <c r="AR5606" s="19"/>
      <c r="AS5606" s="19"/>
      <c r="AT5606" s="19"/>
      <c r="AU5606" s="19"/>
    </row>
    <row r="5607" spans="3:47">
      <c r="C5607" s="20"/>
      <c r="Z5607" s="20"/>
      <c r="AG5607" s="20"/>
      <c r="AQ5607" s="19"/>
      <c r="AR5607" s="19"/>
      <c r="AS5607" s="19"/>
      <c r="AT5607" s="19"/>
      <c r="AU5607" s="19"/>
    </row>
    <row r="5608" spans="3:47">
      <c r="C5608" s="20"/>
      <c r="Z5608" s="20"/>
      <c r="AG5608" s="20"/>
      <c r="AQ5608" s="19"/>
      <c r="AR5608" s="19"/>
      <c r="AS5608" s="19"/>
      <c r="AT5608" s="19"/>
      <c r="AU5608" s="19"/>
    </row>
    <row r="5609" spans="3:47">
      <c r="C5609" s="20"/>
      <c r="Z5609" s="20"/>
      <c r="AG5609" s="20"/>
      <c r="AQ5609" s="19"/>
      <c r="AR5609" s="19"/>
      <c r="AS5609" s="19"/>
      <c r="AT5609" s="19"/>
      <c r="AU5609" s="19"/>
    </row>
    <row r="5610" spans="3:47">
      <c r="C5610" s="20"/>
      <c r="Z5610" s="20"/>
      <c r="AG5610" s="20"/>
      <c r="AQ5610" s="19"/>
      <c r="AR5610" s="19"/>
      <c r="AS5610" s="19"/>
      <c r="AT5610" s="19"/>
      <c r="AU5610" s="19"/>
    </row>
    <row r="5611" spans="3:47">
      <c r="C5611" s="20"/>
      <c r="Z5611" s="20"/>
      <c r="AG5611" s="20"/>
      <c r="AQ5611" s="19"/>
      <c r="AR5611" s="19"/>
      <c r="AS5611" s="19"/>
      <c r="AT5611" s="19"/>
      <c r="AU5611" s="19"/>
    </row>
    <row r="5612" spans="3:47">
      <c r="C5612" s="20"/>
      <c r="Z5612" s="20"/>
      <c r="AG5612" s="20"/>
      <c r="AQ5612" s="19"/>
      <c r="AR5612" s="19"/>
      <c r="AS5612" s="19"/>
      <c r="AT5612" s="19"/>
      <c r="AU5612" s="19"/>
    </row>
    <row r="5613" spans="3:47">
      <c r="C5613" s="20"/>
      <c r="Z5613" s="20"/>
      <c r="AG5613" s="20"/>
      <c r="AQ5613" s="19"/>
      <c r="AR5613" s="19"/>
      <c r="AS5613" s="19"/>
      <c r="AT5613" s="19"/>
      <c r="AU5613" s="19"/>
    </row>
    <row r="5614" spans="3:47">
      <c r="C5614" s="20"/>
      <c r="Z5614" s="20"/>
      <c r="AG5614" s="20"/>
      <c r="AQ5614" s="19"/>
      <c r="AR5614" s="19"/>
      <c r="AS5614" s="19"/>
      <c r="AT5614" s="19"/>
      <c r="AU5614" s="19"/>
    </row>
    <row r="5615" spans="3:47">
      <c r="C5615" s="20"/>
      <c r="Z5615" s="20"/>
      <c r="AG5615" s="20"/>
      <c r="AQ5615" s="19"/>
      <c r="AR5615" s="19"/>
      <c r="AS5615" s="19"/>
      <c r="AT5615" s="19"/>
      <c r="AU5615" s="19"/>
    </row>
    <row r="5616" spans="3:47">
      <c r="C5616" s="20"/>
      <c r="Z5616" s="20"/>
      <c r="AG5616" s="20"/>
      <c r="AQ5616" s="19"/>
      <c r="AR5616" s="19"/>
      <c r="AS5616" s="19"/>
      <c r="AT5616" s="19"/>
      <c r="AU5616" s="19"/>
    </row>
    <row r="5617" spans="3:47">
      <c r="C5617" s="20"/>
      <c r="Z5617" s="20"/>
      <c r="AG5617" s="20"/>
      <c r="AQ5617" s="19"/>
      <c r="AR5617" s="19"/>
      <c r="AS5617" s="19"/>
      <c r="AT5617" s="19"/>
      <c r="AU5617" s="19"/>
    </row>
    <row r="5618" spans="3:47">
      <c r="C5618" s="20"/>
      <c r="Z5618" s="20"/>
      <c r="AG5618" s="20"/>
      <c r="AQ5618" s="19"/>
      <c r="AR5618" s="19"/>
      <c r="AS5618" s="19"/>
      <c r="AT5618" s="19"/>
      <c r="AU5618" s="19"/>
    </row>
    <row r="5619" spans="3:47">
      <c r="C5619" s="20"/>
      <c r="Z5619" s="20"/>
      <c r="AG5619" s="20"/>
      <c r="AQ5619" s="19"/>
      <c r="AR5619" s="19"/>
      <c r="AS5619" s="19"/>
      <c r="AT5619" s="19"/>
      <c r="AU5619" s="19"/>
    </row>
    <row r="5620" spans="3:47">
      <c r="C5620" s="20"/>
      <c r="Z5620" s="20"/>
      <c r="AG5620" s="20"/>
      <c r="AQ5620" s="19"/>
      <c r="AR5620" s="19"/>
      <c r="AS5620" s="19"/>
      <c r="AT5620" s="19"/>
      <c r="AU5620" s="19"/>
    </row>
    <row r="5621" spans="3:47">
      <c r="C5621" s="20"/>
      <c r="Z5621" s="20"/>
      <c r="AG5621" s="20"/>
      <c r="AQ5621" s="19"/>
      <c r="AR5621" s="19"/>
      <c r="AS5621" s="19"/>
      <c r="AT5621" s="19"/>
      <c r="AU5621" s="19"/>
    </row>
    <row r="5622" spans="3:47">
      <c r="C5622" s="20"/>
      <c r="Z5622" s="20"/>
      <c r="AG5622" s="20"/>
      <c r="AQ5622" s="19"/>
      <c r="AR5622" s="19"/>
      <c r="AS5622" s="19"/>
      <c r="AT5622" s="19"/>
      <c r="AU5622" s="19"/>
    </row>
    <row r="5623" spans="3:47">
      <c r="C5623" s="20"/>
      <c r="Z5623" s="20"/>
      <c r="AG5623" s="20"/>
      <c r="AQ5623" s="19"/>
      <c r="AR5623" s="19"/>
      <c r="AS5623" s="19"/>
      <c r="AT5623" s="19"/>
      <c r="AU5623" s="19"/>
    </row>
    <row r="5624" spans="3:47">
      <c r="C5624" s="20"/>
      <c r="Z5624" s="20"/>
      <c r="AG5624" s="20"/>
      <c r="AQ5624" s="19"/>
      <c r="AR5624" s="19"/>
      <c r="AS5624" s="19"/>
      <c r="AT5624" s="19"/>
      <c r="AU5624" s="19"/>
    </row>
    <row r="5625" spans="3:47">
      <c r="C5625" s="20"/>
      <c r="Z5625" s="20"/>
      <c r="AG5625" s="20"/>
      <c r="AQ5625" s="19"/>
      <c r="AR5625" s="19"/>
      <c r="AS5625" s="19"/>
      <c r="AT5625" s="19"/>
      <c r="AU5625" s="19"/>
    </row>
    <row r="5626" spans="3:47">
      <c r="C5626" s="20"/>
      <c r="Z5626" s="20"/>
      <c r="AG5626" s="20"/>
      <c r="AQ5626" s="19"/>
      <c r="AR5626" s="19"/>
      <c r="AS5626" s="19"/>
      <c r="AT5626" s="19"/>
      <c r="AU5626" s="19"/>
    </row>
    <row r="5627" spans="3:47">
      <c r="C5627" s="20"/>
      <c r="Z5627" s="20"/>
      <c r="AG5627" s="20"/>
      <c r="AQ5627" s="19"/>
      <c r="AR5627" s="19"/>
      <c r="AS5627" s="19"/>
      <c r="AT5627" s="19"/>
      <c r="AU5627" s="19"/>
    </row>
    <row r="5628" spans="3:47">
      <c r="C5628" s="20"/>
      <c r="Z5628" s="20"/>
      <c r="AG5628" s="20"/>
      <c r="AQ5628" s="19"/>
      <c r="AR5628" s="19"/>
      <c r="AS5628" s="19"/>
      <c r="AT5628" s="19"/>
      <c r="AU5628" s="19"/>
    </row>
    <row r="5629" spans="3:47">
      <c r="C5629" s="20"/>
      <c r="Z5629" s="20"/>
      <c r="AG5629" s="20"/>
      <c r="AQ5629" s="19"/>
      <c r="AR5629" s="19"/>
      <c r="AS5629" s="19"/>
      <c r="AT5629" s="19"/>
      <c r="AU5629" s="19"/>
    </row>
    <row r="5630" spans="3:47">
      <c r="C5630" s="20"/>
      <c r="Z5630" s="20"/>
      <c r="AG5630" s="20"/>
      <c r="AQ5630" s="19"/>
      <c r="AR5630" s="19"/>
      <c r="AS5630" s="19"/>
      <c r="AT5630" s="19"/>
      <c r="AU5630" s="19"/>
    </row>
    <row r="5631" spans="3:47">
      <c r="C5631" s="20"/>
      <c r="Z5631" s="20"/>
      <c r="AG5631" s="20"/>
      <c r="AQ5631" s="19"/>
      <c r="AR5631" s="19"/>
      <c r="AS5631" s="19"/>
      <c r="AT5631" s="19"/>
      <c r="AU5631" s="19"/>
    </row>
    <row r="5632" spans="3:47">
      <c r="C5632" s="20"/>
      <c r="Z5632" s="20"/>
      <c r="AG5632" s="20"/>
      <c r="AQ5632" s="19"/>
      <c r="AR5632" s="19"/>
      <c r="AS5632" s="19"/>
      <c r="AT5632" s="19"/>
      <c r="AU5632" s="19"/>
    </row>
    <row r="5633" spans="3:47">
      <c r="C5633" s="20"/>
      <c r="Z5633" s="20"/>
      <c r="AG5633" s="20"/>
      <c r="AQ5633" s="19"/>
      <c r="AR5633" s="19"/>
      <c r="AS5633" s="19"/>
      <c r="AT5633" s="19"/>
      <c r="AU5633" s="19"/>
    </row>
    <row r="5634" spans="3:47">
      <c r="C5634" s="20"/>
      <c r="Z5634" s="20"/>
      <c r="AG5634" s="20"/>
      <c r="AQ5634" s="19"/>
      <c r="AR5634" s="19"/>
      <c r="AS5634" s="19"/>
      <c r="AT5634" s="19"/>
      <c r="AU5634" s="19"/>
    </row>
    <row r="5635" spans="3:47">
      <c r="C5635" s="20"/>
      <c r="Z5635" s="20"/>
      <c r="AG5635" s="20"/>
      <c r="AQ5635" s="19"/>
      <c r="AR5635" s="19"/>
      <c r="AS5635" s="19"/>
      <c r="AT5635" s="19"/>
      <c r="AU5635" s="19"/>
    </row>
    <row r="5636" spans="3:47">
      <c r="C5636" s="20"/>
      <c r="Z5636" s="20"/>
      <c r="AG5636" s="20"/>
      <c r="AQ5636" s="19"/>
      <c r="AR5636" s="19"/>
      <c r="AS5636" s="19"/>
      <c r="AT5636" s="19"/>
      <c r="AU5636" s="19"/>
    </row>
    <row r="5637" spans="3:47">
      <c r="C5637" s="20"/>
      <c r="Z5637" s="20"/>
      <c r="AG5637" s="20"/>
      <c r="AQ5637" s="19"/>
      <c r="AR5637" s="19"/>
      <c r="AS5637" s="19"/>
      <c r="AT5637" s="19"/>
      <c r="AU5637" s="19"/>
    </row>
    <row r="5638" spans="3:47">
      <c r="C5638" s="20"/>
      <c r="Z5638" s="20"/>
      <c r="AG5638" s="20"/>
      <c r="AQ5638" s="19"/>
      <c r="AR5638" s="19"/>
      <c r="AS5638" s="19"/>
      <c r="AT5638" s="19"/>
      <c r="AU5638" s="19"/>
    </row>
    <row r="5639" spans="3:47">
      <c r="C5639" s="20"/>
      <c r="Z5639" s="20"/>
      <c r="AG5639" s="20"/>
      <c r="AQ5639" s="19"/>
      <c r="AR5639" s="19"/>
      <c r="AS5639" s="19"/>
      <c r="AT5639" s="19"/>
      <c r="AU5639" s="19"/>
    </row>
    <row r="5640" spans="3:47">
      <c r="C5640" s="20"/>
      <c r="Z5640" s="20"/>
      <c r="AG5640" s="20"/>
      <c r="AQ5640" s="19"/>
      <c r="AR5640" s="19"/>
      <c r="AS5640" s="19"/>
      <c r="AT5640" s="19"/>
      <c r="AU5640" s="19"/>
    </row>
    <row r="5641" spans="3:47">
      <c r="C5641" s="20"/>
      <c r="Z5641" s="20"/>
      <c r="AG5641" s="20"/>
      <c r="AQ5641" s="19"/>
      <c r="AR5641" s="19"/>
      <c r="AS5641" s="19"/>
      <c r="AT5641" s="19"/>
      <c r="AU5641" s="19"/>
    </row>
    <row r="5642" spans="3:47">
      <c r="C5642" s="20"/>
      <c r="Z5642" s="20"/>
      <c r="AG5642" s="20"/>
      <c r="AQ5642" s="19"/>
      <c r="AR5642" s="19"/>
      <c r="AS5642" s="19"/>
      <c r="AT5642" s="19"/>
      <c r="AU5642" s="19"/>
    </row>
    <row r="5643" spans="3:47">
      <c r="C5643" s="20"/>
      <c r="Z5643" s="20"/>
      <c r="AG5643" s="20"/>
      <c r="AQ5643" s="19"/>
      <c r="AR5643" s="19"/>
      <c r="AS5643" s="19"/>
      <c r="AT5643" s="19"/>
      <c r="AU5643" s="19"/>
    </row>
    <row r="5644" spans="3:47">
      <c r="C5644" s="20"/>
      <c r="Z5644" s="20"/>
      <c r="AG5644" s="20"/>
      <c r="AQ5644" s="19"/>
      <c r="AR5644" s="19"/>
      <c r="AS5644" s="19"/>
      <c r="AT5644" s="19"/>
      <c r="AU5644" s="19"/>
    </row>
    <row r="5645" spans="3:47">
      <c r="C5645" s="20"/>
      <c r="Z5645" s="20"/>
      <c r="AG5645" s="20"/>
      <c r="AQ5645" s="19"/>
      <c r="AR5645" s="19"/>
      <c r="AS5645" s="19"/>
      <c r="AT5645" s="19"/>
      <c r="AU5645" s="19"/>
    </row>
    <row r="5646" spans="3:47">
      <c r="C5646" s="20"/>
      <c r="Z5646" s="20"/>
      <c r="AG5646" s="20"/>
      <c r="AQ5646" s="19"/>
      <c r="AR5646" s="19"/>
      <c r="AS5646" s="19"/>
      <c r="AT5646" s="19"/>
      <c r="AU5646" s="19"/>
    </row>
    <row r="5647" spans="3:47">
      <c r="C5647" s="20"/>
      <c r="Z5647" s="20"/>
      <c r="AG5647" s="20"/>
      <c r="AQ5647" s="19"/>
      <c r="AR5647" s="19"/>
      <c r="AS5647" s="19"/>
      <c r="AT5647" s="19"/>
      <c r="AU5647" s="19"/>
    </row>
    <row r="5648" spans="3:47">
      <c r="C5648" s="20"/>
      <c r="Z5648" s="20"/>
      <c r="AG5648" s="20"/>
      <c r="AQ5648" s="19"/>
      <c r="AR5648" s="19"/>
      <c r="AS5648" s="19"/>
      <c r="AT5648" s="19"/>
      <c r="AU5648" s="19"/>
    </row>
    <row r="5649" spans="3:47">
      <c r="C5649" s="20"/>
      <c r="Z5649" s="20"/>
      <c r="AG5649" s="20"/>
      <c r="AQ5649" s="19"/>
      <c r="AR5649" s="19"/>
      <c r="AS5649" s="19"/>
      <c r="AT5649" s="19"/>
      <c r="AU5649" s="19"/>
    </row>
    <row r="5650" spans="3:47">
      <c r="C5650" s="20"/>
      <c r="Z5650" s="20"/>
      <c r="AG5650" s="20"/>
      <c r="AQ5650" s="19"/>
      <c r="AR5650" s="19"/>
      <c r="AS5650" s="19"/>
      <c r="AT5650" s="19"/>
      <c r="AU5650" s="19"/>
    </row>
    <row r="5651" spans="3:47">
      <c r="C5651" s="20"/>
      <c r="Z5651" s="20"/>
      <c r="AG5651" s="20"/>
      <c r="AQ5651" s="19"/>
      <c r="AR5651" s="19"/>
      <c r="AS5651" s="19"/>
      <c r="AT5651" s="19"/>
      <c r="AU5651" s="19"/>
    </row>
    <row r="5652" spans="3:47">
      <c r="C5652" s="20"/>
      <c r="Z5652" s="20"/>
      <c r="AG5652" s="20"/>
      <c r="AQ5652" s="19"/>
      <c r="AR5652" s="19"/>
      <c r="AS5652" s="19"/>
      <c r="AT5652" s="19"/>
      <c r="AU5652" s="19"/>
    </row>
    <row r="5653" spans="3:47">
      <c r="C5653" s="20"/>
      <c r="Z5653" s="20"/>
      <c r="AG5653" s="20"/>
      <c r="AQ5653" s="19"/>
      <c r="AR5653" s="19"/>
      <c r="AS5653" s="19"/>
      <c r="AT5653" s="19"/>
      <c r="AU5653" s="19"/>
    </row>
    <row r="5654" spans="3:47">
      <c r="C5654" s="20"/>
      <c r="Z5654" s="20"/>
      <c r="AG5654" s="20"/>
      <c r="AQ5654" s="19"/>
      <c r="AR5654" s="19"/>
      <c r="AS5654" s="19"/>
      <c r="AT5654" s="19"/>
      <c r="AU5654" s="19"/>
    </row>
    <row r="5655" spans="3:47">
      <c r="C5655" s="20"/>
      <c r="Z5655" s="20"/>
      <c r="AG5655" s="20"/>
      <c r="AQ5655" s="19"/>
      <c r="AR5655" s="19"/>
      <c r="AS5655" s="19"/>
      <c r="AT5655" s="19"/>
      <c r="AU5655" s="19"/>
    </row>
    <row r="5656" spans="3:47">
      <c r="C5656" s="20"/>
      <c r="Z5656" s="20"/>
      <c r="AG5656" s="20"/>
      <c r="AQ5656" s="19"/>
      <c r="AR5656" s="19"/>
      <c r="AS5656" s="19"/>
      <c r="AT5656" s="19"/>
      <c r="AU5656" s="19"/>
    </row>
    <row r="5657" spans="3:47">
      <c r="C5657" s="20"/>
      <c r="Z5657" s="20"/>
      <c r="AG5657" s="20"/>
      <c r="AQ5657" s="19"/>
      <c r="AR5657" s="19"/>
      <c r="AS5657" s="19"/>
      <c r="AT5657" s="19"/>
      <c r="AU5657" s="19"/>
    </row>
    <row r="5658" spans="3:47">
      <c r="C5658" s="20"/>
      <c r="Z5658" s="20"/>
      <c r="AG5658" s="20"/>
      <c r="AQ5658" s="19"/>
      <c r="AR5658" s="19"/>
      <c r="AS5658" s="19"/>
      <c r="AT5658" s="19"/>
      <c r="AU5658" s="19"/>
    </row>
    <row r="5659" spans="3:47">
      <c r="C5659" s="20"/>
      <c r="Z5659" s="20"/>
      <c r="AG5659" s="20"/>
      <c r="AQ5659" s="19"/>
      <c r="AR5659" s="19"/>
      <c r="AS5659" s="19"/>
      <c r="AT5659" s="19"/>
      <c r="AU5659" s="19"/>
    </row>
    <row r="5660" spans="3:47">
      <c r="C5660" s="20"/>
      <c r="Z5660" s="20"/>
      <c r="AG5660" s="20"/>
      <c r="AQ5660" s="19"/>
      <c r="AR5660" s="19"/>
      <c r="AS5660" s="19"/>
      <c r="AT5660" s="19"/>
      <c r="AU5660" s="19"/>
    </row>
    <row r="5661" spans="3:47">
      <c r="C5661" s="20"/>
      <c r="Z5661" s="20"/>
      <c r="AG5661" s="20"/>
      <c r="AQ5661" s="19"/>
      <c r="AR5661" s="19"/>
      <c r="AS5661" s="19"/>
      <c r="AT5661" s="19"/>
      <c r="AU5661" s="19"/>
    </row>
    <row r="5662" spans="3:47">
      <c r="C5662" s="20"/>
      <c r="Z5662" s="20"/>
      <c r="AG5662" s="20"/>
      <c r="AQ5662" s="19"/>
      <c r="AR5662" s="19"/>
      <c r="AS5662" s="19"/>
      <c r="AT5662" s="19"/>
      <c r="AU5662" s="19"/>
    </row>
    <row r="5663" spans="3:47">
      <c r="C5663" s="20"/>
      <c r="Z5663" s="20"/>
      <c r="AG5663" s="20"/>
      <c r="AQ5663" s="19"/>
      <c r="AR5663" s="19"/>
      <c r="AS5663" s="19"/>
      <c r="AT5663" s="19"/>
      <c r="AU5663" s="19"/>
    </row>
    <row r="5664" spans="3:47">
      <c r="C5664" s="20"/>
      <c r="Z5664" s="20"/>
      <c r="AG5664" s="20"/>
      <c r="AQ5664" s="19"/>
      <c r="AR5664" s="19"/>
      <c r="AS5664" s="19"/>
      <c r="AT5664" s="19"/>
      <c r="AU5664" s="19"/>
    </row>
    <row r="5665" spans="3:47">
      <c r="C5665" s="20"/>
      <c r="Z5665" s="20"/>
      <c r="AG5665" s="20"/>
      <c r="AQ5665" s="19"/>
      <c r="AR5665" s="19"/>
      <c r="AS5665" s="19"/>
      <c r="AT5665" s="19"/>
      <c r="AU5665" s="19"/>
    </row>
    <row r="5666" spans="3:47">
      <c r="C5666" s="20"/>
      <c r="Z5666" s="20"/>
      <c r="AG5666" s="20"/>
      <c r="AQ5666" s="19"/>
      <c r="AR5666" s="19"/>
      <c r="AS5666" s="19"/>
      <c r="AT5666" s="19"/>
      <c r="AU5666" s="19"/>
    </row>
    <row r="5667" spans="3:47">
      <c r="C5667" s="20"/>
      <c r="Z5667" s="20"/>
      <c r="AG5667" s="20"/>
      <c r="AQ5667" s="19"/>
      <c r="AR5667" s="19"/>
      <c r="AS5667" s="19"/>
      <c r="AT5667" s="19"/>
      <c r="AU5667" s="19"/>
    </row>
    <row r="5668" spans="3:47">
      <c r="C5668" s="20"/>
      <c r="Z5668" s="20"/>
      <c r="AG5668" s="20"/>
      <c r="AQ5668" s="19"/>
      <c r="AR5668" s="19"/>
      <c r="AS5668" s="19"/>
      <c r="AT5668" s="19"/>
      <c r="AU5668" s="19"/>
    </row>
    <row r="5669" spans="3:47">
      <c r="C5669" s="20"/>
      <c r="Z5669" s="20"/>
      <c r="AG5669" s="20"/>
      <c r="AQ5669" s="19"/>
      <c r="AR5669" s="19"/>
      <c r="AS5669" s="19"/>
      <c r="AT5669" s="19"/>
      <c r="AU5669" s="19"/>
    </row>
    <row r="5670" spans="3:47">
      <c r="C5670" s="20"/>
      <c r="Z5670" s="20"/>
      <c r="AG5670" s="20"/>
      <c r="AQ5670" s="19"/>
      <c r="AR5670" s="19"/>
      <c r="AS5670" s="19"/>
      <c r="AT5670" s="19"/>
      <c r="AU5670" s="19"/>
    </row>
    <row r="5671" spans="3:47">
      <c r="C5671" s="20"/>
      <c r="Z5671" s="20"/>
      <c r="AG5671" s="20"/>
      <c r="AQ5671" s="19"/>
      <c r="AR5671" s="19"/>
      <c r="AS5671" s="19"/>
      <c r="AT5671" s="19"/>
      <c r="AU5671" s="19"/>
    </row>
    <row r="5672" spans="3:47">
      <c r="C5672" s="20"/>
      <c r="Z5672" s="20"/>
      <c r="AG5672" s="20"/>
      <c r="AQ5672" s="19"/>
      <c r="AR5672" s="19"/>
      <c r="AS5672" s="19"/>
      <c r="AT5672" s="19"/>
      <c r="AU5672" s="19"/>
    </row>
    <row r="5673" spans="3:47">
      <c r="C5673" s="20"/>
      <c r="Z5673" s="20"/>
      <c r="AG5673" s="20"/>
      <c r="AQ5673" s="19"/>
      <c r="AR5673" s="19"/>
      <c r="AS5673" s="19"/>
      <c r="AT5673" s="19"/>
      <c r="AU5673" s="19"/>
    </row>
    <row r="5674" spans="3:47">
      <c r="C5674" s="20"/>
      <c r="Z5674" s="20"/>
      <c r="AG5674" s="20"/>
      <c r="AQ5674" s="19"/>
      <c r="AR5674" s="19"/>
      <c r="AS5674" s="19"/>
      <c r="AT5674" s="19"/>
      <c r="AU5674" s="19"/>
    </row>
    <row r="5675" spans="3:47">
      <c r="C5675" s="20"/>
      <c r="Z5675" s="20"/>
      <c r="AG5675" s="20"/>
      <c r="AQ5675" s="19"/>
      <c r="AR5675" s="19"/>
      <c r="AS5675" s="19"/>
      <c r="AT5675" s="19"/>
      <c r="AU5675" s="19"/>
    </row>
    <row r="5676" spans="3:47">
      <c r="C5676" s="20"/>
      <c r="Z5676" s="20"/>
      <c r="AG5676" s="20"/>
      <c r="AQ5676" s="19"/>
      <c r="AR5676" s="19"/>
      <c r="AS5676" s="19"/>
      <c r="AT5676" s="19"/>
      <c r="AU5676" s="19"/>
    </row>
    <row r="5677" spans="3:47">
      <c r="C5677" s="20"/>
      <c r="Z5677" s="20"/>
      <c r="AG5677" s="20"/>
      <c r="AQ5677" s="19"/>
      <c r="AR5677" s="19"/>
      <c r="AS5677" s="19"/>
      <c r="AT5677" s="19"/>
      <c r="AU5677" s="19"/>
    </row>
    <row r="5678" spans="3:47">
      <c r="C5678" s="20"/>
      <c r="Z5678" s="20"/>
      <c r="AG5678" s="20"/>
      <c r="AQ5678" s="19"/>
      <c r="AR5678" s="19"/>
      <c r="AS5678" s="19"/>
      <c r="AT5678" s="19"/>
      <c r="AU5678" s="19"/>
    </row>
    <row r="5679" spans="3:47">
      <c r="C5679" s="20"/>
      <c r="Z5679" s="20"/>
      <c r="AG5679" s="20"/>
      <c r="AQ5679" s="19"/>
      <c r="AR5679" s="19"/>
      <c r="AS5679" s="19"/>
      <c r="AT5679" s="19"/>
      <c r="AU5679" s="19"/>
    </row>
    <row r="5680" spans="3:47">
      <c r="C5680" s="20"/>
      <c r="Z5680" s="20"/>
      <c r="AG5680" s="20"/>
      <c r="AQ5680" s="19"/>
      <c r="AR5680" s="19"/>
      <c r="AS5680" s="19"/>
      <c r="AT5680" s="19"/>
      <c r="AU5680" s="19"/>
    </row>
    <row r="5681" spans="3:47">
      <c r="C5681" s="20"/>
      <c r="Z5681" s="20"/>
      <c r="AG5681" s="20"/>
      <c r="AQ5681" s="19"/>
      <c r="AR5681" s="19"/>
      <c r="AS5681" s="19"/>
      <c r="AT5681" s="19"/>
      <c r="AU5681" s="19"/>
    </row>
    <row r="5682" spans="3:47">
      <c r="C5682" s="20"/>
      <c r="Z5682" s="20"/>
      <c r="AG5682" s="20"/>
      <c r="AQ5682" s="19"/>
      <c r="AR5682" s="19"/>
      <c r="AS5682" s="19"/>
      <c r="AT5682" s="19"/>
      <c r="AU5682" s="19"/>
    </row>
    <row r="5683" spans="3:47">
      <c r="C5683" s="20"/>
      <c r="Z5683" s="20"/>
      <c r="AG5683" s="20"/>
      <c r="AQ5683" s="19"/>
      <c r="AR5683" s="19"/>
      <c r="AS5683" s="19"/>
      <c r="AT5683" s="19"/>
      <c r="AU5683" s="19"/>
    </row>
    <row r="5684" spans="3:47">
      <c r="C5684" s="20"/>
      <c r="Z5684" s="20"/>
      <c r="AG5684" s="20"/>
      <c r="AQ5684" s="19"/>
      <c r="AR5684" s="19"/>
      <c r="AS5684" s="19"/>
      <c r="AT5684" s="19"/>
      <c r="AU5684" s="19"/>
    </row>
    <row r="5685" spans="3:47">
      <c r="C5685" s="20"/>
      <c r="Z5685" s="20"/>
      <c r="AG5685" s="20"/>
      <c r="AQ5685" s="19"/>
      <c r="AR5685" s="19"/>
      <c r="AS5685" s="19"/>
      <c r="AT5685" s="19"/>
      <c r="AU5685" s="19"/>
    </row>
    <row r="5686" spans="3:47">
      <c r="C5686" s="20"/>
      <c r="Z5686" s="20"/>
      <c r="AG5686" s="20"/>
      <c r="AQ5686" s="19"/>
      <c r="AR5686" s="19"/>
      <c r="AS5686" s="19"/>
      <c r="AT5686" s="19"/>
      <c r="AU5686" s="19"/>
    </row>
    <row r="5687" spans="3:47">
      <c r="C5687" s="20"/>
      <c r="Z5687" s="20"/>
      <c r="AG5687" s="20"/>
      <c r="AQ5687" s="19"/>
      <c r="AR5687" s="19"/>
      <c r="AS5687" s="19"/>
      <c r="AT5687" s="19"/>
      <c r="AU5687" s="19"/>
    </row>
    <row r="5688" spans="3:47">
      <c r="C5688" s="20"/>
      <c r="Z5688" s="20"/>
      <c r="AG5688" s="20"/>
      <c r="AQ5688" s="19"/>
      <c r="AR5688" s="19"/>
      <c r="AS5688" s="19"/>
      <c r="AT5688" s="19"/>
      <c r="AU5688" s="19"/>
    </row>
    <row r="5689" spans="3:47">
      <c r="C5689" s="20"/>
      <c r="Z5689" s="20"/>
      <c r="AG5689" s="20"/>
      <c r="AQ5689" s="19"/>
      <c r="AR5689" s="19"/>
      <c r="AS5689" s="19"/>
      <c r="AT5689" s="19"/>
      <c r="AU5689" s="19"/>
    </row>
    <row r="5690" spans="3:47">
      <c r="C5690" s="20"/>
      <c r="Z5690" s="20"/>
      <c r="AG5690" s="20"/>
      <c r="AQ5690" s="19"/>
      <c r="AR5690" s="19"/>
      <c r="AS5690" s="19"/>
      <c r="AT5690" s="19"/>
      <c r="AU5690" s="19"/>
    </row>
    <row r="5691" spans="3:47">
      <c r="C5691" s="20"/>
      <c r="Z5691" s="20"/>
      <c r="AG5691" s="20"/>
      <c r="AQ5691" s="19"/>
      <c r="AR5691" s="19"/>
      <c r="AS5691" s="19"/>
      <c r="AT5691" s="19"/>
      <c r="AU5691" s="19"/>
    </row>
    <row r="5692" spans="3:47">
      <c r="C5692" s="20"/>
      <c r="Z5692" s="20"/>
      <c r="AG5692" s="20"/>
      <c r="AQ5692" s="19"/>
      <c r="AR5692" s="19"/>
      <c r="AS5692" s="19"/>
      <c r="AT5692" s="19"/>
      <c r="AU5692" s="19"/>
    </row>
    <row r="5693" spans="3:47">
      <c r="C5693" s="20"/>
      <c r="Z5693" s="20"/>
      <c r="AG5693" s="20"/>
      <c r="AQ5693" s="19"/>
      <c r="AR5693" s="19"/>
      <c r="AS5693" s="19"/>
      <c r="AT5693" s="19"/>
      <c r="AU5693" s="19"/>
    </row>
    <row r="5694" spans="3:47">
      <c r="C5694" s="20"/>
      <c r="Z5694" s="20"/>
      <c r="AG5694" s="20"/>
      <c r="AQ5694" s="19"/>
      <c r="AR5694" s="19"/>
      <c r="AS5694" s="19"/>
      <c r="AT5694" s="19"/>
      <c r="AU5694" s="19"/>
    </row>
    <row r="5695" spans="3:47">
      <c r="C5695" s="20"/>
      <c r="Z5695" s="20"/>
      <c r="AG5695" s="20"/>
      <c r="AQ5695" s="19"/>
      <c r="AR5695" s="19"/>
      <c r="AS5695" s="19"/>
      <c r="AT5695" s="19"/>
      <c r="AU5695" s="19"/>
    </row>
    <row r="5696" spans="3:47">
      <c r="C5696" s="20"/>
      <c r="Z5696" s="20"/>
      <c r="AG5696" s="20"/>
      <c r="AQ5696" s="19"/>
      <c r="AR5696" s="19"/>
      <c r="AS5696" s="19"/>
      <c r="AT5696" s="19"/>
      <c r="AU5696" s="19"/>
    </row>
    <row r="5697" spans="3:47">
      <c r="C5697" s="20"/>
      <c r="Z5697" s="20"/>
      <c r="AG5697" s="20"/>
      <c r="AQ5697" s="19"/>
      <c r="AR5697" s="19"/>
      <c r="AS5697" s="19"/>
      <c r="AT5697" s="19"/>
      <c r="AU5697" s="19"/>
    </row>
    <row r="5698" spans="3:47">
      <c r="C5698" s="20"/>
      <c r="Z5698" s="20"/>
      <c r="AG5698" s="20"/>
      <c r="AQ5698" s="19"/>
      <c r="AR5698" s="19"/>
      <c r="AS5698" s="19"/>
      <c r="AT5698" s="19"/>
      <c r="AU5698" s="19"/>
    </row>
    <row r="5699" spans="3:47">
      <c r="C5699" s="20"/>
      <c r="Z5699" s="20"/>
      <c r="AG5699" s="20"/>
      <c r="AQ5699" s="19"/>
      <c r="AR5699" s="19"/>
      <c r="AS5699" s="19"/>
      <c r="AT5699" s="19"/>
      <c r="AU5699" s="19"/>
    </row>
    <row r="5700" spans="3:47">
      <c r="C5700" s="20"/>
      <c r="Z5700" s="20"/>
      <c r="AG5700" s="20"/>
      <c r="AQ5700" s="19"/>
      <c r="AR5700" s="19"/>
      <c r="AS5700" s="19"/>
      <c r="AT5700" s="19"/>
      <c r="AU5700" s="19"/>
    </row>
    <row r="5701" spans="3:47">
      <c r="C5701" s="20"/>
      <c r="Z5701" s="20"/>
      <c r="AG5701" s="20"/>
      <c r="AQ5701" s="19"/>
      <c r="AR5701" s="19"/>
      <c r="AS5701" s="19"/>
      <c r="AT5701" s="19"/>
      <c r="AU5701" s="19"/>
    </row>
    <row r="5702" spans="3:47">
      <c r="C5702" s="20"/>
      <c r="Z5702" s="20"/>
      <c r="AG5702" s="20"/>
      <c r="AQ5702" s="19"/>
      <c r="AR5702" s="19"/>
      <c r="AS5702" s="19"/>
      <c r="AT5702" s="19"/>
      <c r="AU5702" s="19"/>
    </row>
    <row r="5703" spans="3:47">
      <c r="C5703" s="20"/>
      <c r="Z5703" s="20"/>
      <c r="AG5703" s="20"/>
      <c r="AQ5703" s="19"/>
      <c r="AR5703" s="19"/>
      <c r="AS5703" s="19"/>
      <c r="AT5703" s="19"/>
      <c r="AU5703" s="19"/>
    </row>
    <row r="5704" spans="3:47">
      <c r="C5704" s="20"/>
      <c r="Z5704" s="20"/>
      <c r="AG5704" s="20"/>
      <c r="AQ5704" s="19"/>
      <c r="AR5704" s="19"/>
      <c r="AS5704" s="19"/>
      <c r="AT5704" s="19"/>
      <c r="AU5704" s="19"/>
    </row>
    <row r="5705" spans="3:47">
      <c r="C5705" s="20"/>
      <c r="Z5705" s="20"/>
      <c r="AG5705" s="20"/>
      <c r="AQ5705" s="19"/>
      <c r="AR5705" s="19"/>
      <c r="AS5705" s="19"/>
      <c r="AT5705" s="19"/>
      <c r="AU5705" s="19"/>
    </row>
    <row r="5706" spans="3:47">
      <c r="C5706" s="20"/>
      <c r="Z5706" s="20"/>
      <c r="AG5706" s="20"/>
      <c r="AQ5706" s="19"/>
      <c r="AR5706" s="19"/>
      <c r="AS5706" s="19"/>
      <c r="AT5706" s="19"/>
      <c r="AU5706" s="19"/>
    </row>
    <row r="5707" spans="3:47">
      <c r="C5707" s="20"/>
      <c r="Z5707" s="20"/>
      <c r="AG5707" s="20"/>
      <c r="AQ5707" s="19"/>
      <c r="AR5707" s="19"/>
      <c r="AS5707" s="19"/>
      <c r="AT5707" s="19"/>
      <c r="AU5707" s="19"/>
    </row>
    <row r="5708" spans="3:47">
      <c r="C5708" s="20"/>
      <c r="Z5708" s="20"/>
      <c r="AG5708" s="20"/>
      <c r="AQ5708" s="19"/>
      <c r="AR5708" s="19"/>
      <c r="AS5708" s="19"/>
      <c r="AT5708" s="19"/>
      <c r="AU5708" s="19"/>
    </row>
    <row r="5709" spans="3:47">
      <c r="C5709" s="20"/>
      <c r="Z5709" s="20"/>
      <c r="AG5709" s="20"/>
      <c r="AQ5709" s="19"/>
      <c r="AR5709" s="19"/>
      <c r="AS5709" s="19"/>
      <c r="AT5709" s="19"/>
      <c r="AU5709" s="19"/>
    </row>
    <row r="5710" spans="3:47">
      <c r="C5710" s="20"/>
      <c r="Z5710" s="20"/>
      <c r="AG5710" s="20"/>
      <c r="AQ5710" s="19"/>
      <c r="AR5710" s="19"/>
      <c r="AS5710" s="19"/>
      <c r="AT5710" s="19"/>
      <c r="AU5710" s="19"/>
    </row>
    <row r="5711" spans="3:47">
      <c r="C5711" s="20"/>
      <c r="Z5711" s="20"/>
      <c r="AG5711" s="20"/>
      <c r="AQ5711" s="19"/>
      <c r="AR5711" s="19"/>
      <c r="AS5711" s="19"/>
      <c r="AT5711" s="19"/>
      <c r="AU5711" s="19"/>
    </row>
    <row r="5712" spans="3:47">
      <c r="C5712" s="20"/>
      <c r="Z5712" s="20"/>
      <c r="AG5712" s="20"/>
      <c r="AQ5712" s="19"/>
      <c r="AR5712" s="19"/>
      <c r="AS5712" s="19"/>
      <c r="AT5712" s="19"/>
      <c r="AU5712" s="19"/>
    </row>
    <row r="5713" spans="3:47">
      <c r="C5713" s="20"/>
      <c r="Z5713" s="20"/>
      <c r="AG5713" s="20"/>
      <c r="AQ5713" s="19"/>
      <c r="AR5713" s="19"/>
      <c r="AS5713" s="19"/>
      <c r="AT5713" s="19"/>
      <c r="AU5713" s="19"/>
    </row>
    <row r="5714" spans="3:47">
      <c r="C5714" s="20"/>
      <c r="Z5714" s="20"/>
      <c r="AG5714" s="20"/>
      <c r="AQ5714" s="19"/>
      <c r="AR5714" s="19"/>
      <c r="AS5714" s="19"/>
      <c r="AT5714" s="19"/>
      <c r="AU5714" s="19"/>
    </row>
    <row r="5715" spans="3:47">
      <c r="C5715" s="20"/>
      <c r="Z5715" s="20"/>
      <c r="AG5715" s="20"/>
      <c r="AQ5715" s="19"/>
      <c r="AR5715" s="19"/>
      <c r="AS5715" s="19"/>
      <c r="AT5715" s="19"/>
      <c r="AU5715" s="19"/>
    </row>
    <row r="5716" spans="3:47">
      <c r="C5716" s="20"/>
      <c r="Z5716" s="20"/>
      <c r="AG5716" s="20"/>
      <c r="AQ5716" s="19"/>
      <c r="AR5716" s="19"/>
      <c r="AS5716" s="19"/>
      <c r="AT5716" s="19"/>
      <c r="AU5716" s="19"/>
    </row>
    <row r="5717" spans="3:47">
      <c r="C5717" s="20"/>
      <c r="Z5717" s="20"/>
      <c r="AG5717" s="20"/>
      <c r="AQ5717" s="19"/>
      <c r="AR5717" s="19"/>
      <c r="AS5717" s="19"/>
      <c r="AT5717" s="19"/>
      <c r="AU5717" s="19"/>
    </row>
    <row r="5718" spans="3:47">
      <c r="C5718" s="20"/>
      <c r="Z5718" s="20"/>
      <c r="AG5718" s="20"/>
      <c r="AQ5718" s="19"/>
      <c r="AR5718" s="19"/>
      <c r="AS5718" s="19"/>
      <c r="AT5718" s="19"/>
      <c r="AU5718" s="19"/>
    </row>
    <row r="5719" spans="3:47">
      <c r="C5719" s="20"/>
      <c r="Z5719" s="20"/>
      <c r="AG5719" s="20"/>
      <c r="AQ5719" s="19"/>
      <c r="AR5719" s="19"/>
      <c r="AS5719" s="19"/>
      <c r="AT5719" s="19"/>
      <c r="AU5719" s="19"/>
    </row>
    <row r="5720" spans="3:47">
      <c r="C5720" s="20"/>
      <c r="Z5720" s="20"/>
      <c r="AG5720" s="20"/>
      <c r="AQ5720" s="19"/>
      <c r="AR5720" s="19"/>
      <c r="AS5720" s="19"/>
      <c r="AT5720" s="19"/>
      <c r="AU5720" s="19"/>
    </row>
    <row r="5721" spans="3:47">
      <c r="C5721" s="20"/>
      <c r="Z5721" s="20"/>
      <c r="AG5721" s="20"/>
      <c r="AQ5721" s="19"/>
      <c r="AR5721" s="19"/>
      <c r="AS5721" s="19"/>
      <c r="AT5721" s="19"/>
      <c r="AU5721" s="19"/>
    </row>
    <row r="5722" spans="3:47">
      <c r="C5722" s="20"/>
      <c r="Z5722" s="20"/>
      <c r="AG5722" s="20"/>
      <c r="AQ5722" s="19"/>
      <c r="AR5722" s="19"/>
      <c r="AS5722" s="19"/>
      <c r="AT5722" s="19"/>
      <c r="AU5722" s="19"/>
    </row>
    <row r="5723" spans="3:47">
      <c r="C5723" s="20"/>
      <c r="Z5723" s="20"/>
      <c r="AG5723" s="20"/>
      <c r="AQ5723" s="19"/>
      <c r="AR5723" s="19"/>
      <c r="AS5723" s="19"/>
      <c r="AT5723" s="19"/>
      <c r="AU5723" s="19"/>
    </row>
    <row r="5724" spans="3:47">
      <c r="C5724" s="20"/>
      <c r="Z5724" s="20"/>
      <c r="AG5724" s="20"/>
      <c r="AQ5724" s="19"/>
      <c r="AR5724" s="19"/>
      <c r="AS5724" s="19"/>
      <c r="AT5724" s="19"/>
      <c r="AU5724" s="19"/>
    </row>
    <row r="5725" spans="3:47">
      <c r="C5725" s="20"/>
      <c r="Z5725" s="20"/>
      <c r="AG5725" s="20"/>
      <c r="AQ5725" s="19"/>
      <c r="AR5725" s="19"/>
      <c r="AS5725" s="19"/>
      <c r="AT5725" s="19"/>
      <c r="AU5725" s="19"/>
    </row>
    <row r="5726" spans="3:47">
      <c r="C5726" s="20"/>
      <c r="Z5726" s="20"/>
      <c r="AG5726" s="20"/>
      <c r="AQ5726" s="19"/>
      <c r="AR5726" s="19"/>
      <c r="AS5726" s="19"/>
      <c r="AT5726" s="19"/>
      <c r="AU5726" s="19"/>
    </row>
    <row r="5727" spans="3:47">
      <c r="C5727" s="20"/>
      <c r="Z5727" s="20"/>
      <c r="AG5727" s="20"/>
      <c r="AQ5727" s="19"/>
      <c r="AR5727" s="19"/>
      <c r="AS5727" s="19"/>
      <c r="AT5727" s="19"/>
      <c r="AU5727" s="19"/>
    </row>
    <row r="5728" spans="3:47">
      <c r="C5728" s="20"/>
      <c r="Z5728" s="20"/>
      <c r="AG5728" s="20"/>
      <c r="AQ5728" s="19"/>
      <c r="AR5728" s="19"/>
      <c r="AS5728" s="19"/>
      <c r="AT5728" s="19"/>
      <c r="AU5728" s="19"/>
    </row>
    <row r="5729" spans="3:47">
      <c r="C5729" s="20"/>
      <c r="Z5729" s="20"/>
      <c r="AG5729" s="20"/>
      <c r="AQ5729" s="19"/>
      <c r="AR5729" s="19"/>
      <c r="AS5729" s="19"/>
      <c r="AT5729" s="19"/>
      <c r="AU5729" s="19"/>
    </row>
    <row r="5730" spans="3:47">
      <c r="C5730" s="20"/>
      <c r="Z5730" s="20"/>
      <c r="AG5730" s="20"/>
      <c r="AQ5730" s="19"/>
      <c r="AR5730" s="19"/>
      <c r="AS5730" s="19"/>
      <c r="AT5730" s="19"/>
      <c r="AU5730" s="19"/>
    </row>
    <row r="5731" spans="3:47">
      <c r="C5731" s="20"/>
      <c r="Z5731" s="20"/>
      <c r="AG5731" s="20"/>
      <c r="AQ5731" s="19"/>
      <c r="AR5731" s="19"/>
      <c r="AS5731" s="19"/>
      <c r="AT5731" s="19"/>
      <c r="AU5731" s="19"/>
    </row>
    <row r="5732" spans="3:47">
      <c r="C5732" s="20"/>
      <c r="Z5732" s="20"/>
      <c r="AG5732" s="20"/>
      <c r="AQ5732" s="19"/>
      <c r="AR5732" s="19"/>
      <c r="AS5732" s="19"/>
      <c r="AT5732" s="19"/>
      <c r="AU5732" s="19"/>
    </row>
    <row r="5733" spans="3:47">
      <c r="C5733" s="20"/>
      <c r="Z5733" s="20"/>
      <c r="AG5733" s="20"/>
      <c r="AQ5733" s="19"/>
      <c r="AR5733" s="19"/>
      <c r="AS5733" s="19"/>
      <c r="AT5733" s="19"/>
      <c r="AU5733" s="19"/>
    </row>
    <row r="5734" spans="3:47">
      <c r="C5734" s="20"/>
      <c r="Z5734" s="20"/>
      <c r="AG5734" s="20"/>
      <c r="AQ5734" s="19"/>
      <c r="AR5734" s="19"/>
      <c r="AS5734" s="19"/>
      <c r="AT5734" s="19"/>
      <c r="AU5734" s="19"/>
    </row>
    <row r="5735" spans="3:47">
      <c r="C5735" s="20"/>
      <c r="Z5735" s="20"/>
      <c r="AG5735" s="20"/>
      <c r="AQ5735" s="19"/>
      <c r="AR5735" s="19"/>
      <c r="AS5735" s="19"/>
      <c r="AT5735" s="19"/>
      <c r="AU5735" s="19"/>
    </row>
    <row r="5736" spans="3:47">
      <c r="C5736" s="20"/>
      <c r="Z5736" s="20"/>
      <c r="AG5736" s="20"/>
      <c r="AQ5736" s="19"/>
      <c r="AR5736" s="19"/>
      <c r="AS5736" s="19"/>
      <c r="AT5736" s="19"/>
      <c r="AU5736" s="19"/>
    </row>
    <row r="5737" spans="3:47">
      <c r="C5737" s="20"/>
      <c r="Z5737" s="20"/>
      <c r="AG5737" s="20"/>
      <c r="AQ5737" s="19"/>
      <c r="AR5737" s="19"/>
      <c r="AS5737" s="19"/>
      <c r="AT5737" s="19"/>
      <c r="AU5737" s="19"/>
    </row>
    <row r="5738" spans="3:47">
      <c r="C5738" s="20"/>
      <c r="Z5738" s="20"/>
      <c r="AG5738" s="20"/>
      <c r="AQ5738" s="19"/>
      <c r="AR5738" s="19"/>
      <c r="AS5738" s="19"/>
      <c r="AT5738" s="19"/>
      <c r="AU5738" s="19"/>
    </row>
    <row r="5739" spans="3:47">
      <c r="C5739" s="20"/>
      <c r="Z5739" s="20"/>
      <c r="AG5739" s="20"/>
      <c r="AQ5739" s="19"/>
      <c r="AR5739" s="19"/>
      <c r="AS5739" s="19"/>
      <c r="AT5739" s="19"/>
      <c r="AU5739" s="19"/>
    </row>
    <row r="5740" spans="3:47">
      <c r="C5740" s="20"/>
      <c r="Z5740" s="20"/>
      <c r="AG5740" s="20"/>
      <c r="AQ5740" s="19"/>
      <c r="AR5740" s="19"/>
      <c r="AS5740" s="19"/>
      <c r="AT5740" s="19"/>
      <c r="AU5740" s="19"/>
    </row>
    <row r="5741" spans="3:47">
      <c r="C5741" s="20"/>
      <c r="Z5741" s="20"/>
      <c r="AG5741" s="20"/>
      <c r="AQ5741" s="19"/>
      <c r="AR5741" s="19"/>
      <c r="AS5741" s="19"/>
      <c r="AT5741" s="19"/>
      <c r="AU5741" s="19"/>
    </row>
    <row r="5742" spans="3:47">
      <c r="C5742" s="20"/>
      <c r="Z5742" s="20"/>
      <c r="AG5742" s="20"/>
      <c r="AQ5742" s="19"/>
      <c r="AR5742" s="19"/>
      <c r="AS5742" s="19"/>
      <c r="AT5742" s="19"/>
      <c r="AU5742" s="19"/>
    </row>
    <row r="5743" spans="3:47">
      <c r="C5743" s="20"/>
      <c r="Z5743" s="20"/>
      <c r="AG5743" s="20"/>
      <c r="AQ5743" s="19"/>
      <c r="AR5743" s="19"/>
      <c r="AS5743" s="19"/>
      <c r="AT5743" s="19"/>
      <c r="AU5743" s="19"/>
    </row>
    <row r="5744" spans="3:47">
      <c r="C5744" s="20"/>
      <c r="Z5744" s="20"/>
      <c r="AG5744" s="20"/>
      <c r="AQ5744" s="19"/>
      <c r="AR5744" s="19"/>
      <c r="AS5744" s="19"/>
      <c r="AT5744" s="19"/>
      <c r="AU5744" s="19"/>
    </row>
    <row r="5745" spans="3:47">
      <c r="C5745" s="20"/>
      <c r="Z5745" s="20"/>
      <c r="AG5745" s="20"/>
      <c r="AQ5745" s="19"/>
      <c r="AR5745" s="19"/>
      <c r="AS5745" s="19"/>
      <c r="AT5745" s="19"/>
      <c r="AU5745" s="19"/>
    </row>
    <row r="5746" spans="3:47">
      <c r="C5746" s="20"/>
      <c r="Z5746" s="20"/>
      <c r="AG5746" s="20"/>
      <c r="AQ5746" s="19"/>
      <c r="AR5746" s="19"/>
      <c r="AS5746" s="19"/>
      <c r="AT5746" s="19"/>
      <c r="AU5746" s="19"/>
    </row>
    <row r="5747" spans="3:47">
      <c r="C5747" s="20"/>
      <c r="Z5747" s="20"/>
      <c r="AG5747" s="20"/>
      <c r="AQ5747" s="19"/>
      <c r="AR5747" s="19"/>
      <c r="AS5747" s="19"/>
      <c r="AT5747" s="19"/>
      <c r="AU5747" s="19"/>
    </row>
    <row r="5748" spans="3:47">
      <c r="C5748" s="20"/>
      <c r="Z5748" s="20"/>
      <c r="AG5748" s="20"/>
      <c r="AQ5748" s="19"/>
      <c r="AR5748" s="19"/>
      <c r="AS5748" s="19"/>
      <c r="AT5748" s="19"/>
      <c r="AU5748" s="19"/>
    </row>
    <row r="5749" spans="3:47">
      <c r="C5749" s="20"/>
      <c r="Z5749" s="20"/>
      <c r="AG5749" s="20"/>
      <c r="AQ5749" s="19"/>
      <c r="AR5749" s="19"/>
      <c r="AS5749" s="19"/>
      <c r="AT5749" s="19"/>
      <c r="AU5749" s="19"/>
    </row>
    <row r="5750" spans="3:47">
      <c r="C5750" s="20"/>
      <c r="Z5750" s="20"/>
      <c r="AG5750" s="20"/>
      <c r="AQ5750" s="19"/>
      <c r="AR5750" s="19"/>
      <c r="AS5750" s="19"/>
      <c r="AT5750" s="19"/>
      <c r="AU5750" s="19"/>
    </row>
    <row r="5751" spans="3:47">
      <c r="C5751" s="20"/>
      <c r="Z5751" s="20"/>
      <c r="AG5751" s="20"/>
      <c r="AQ5751" s="19"/>
      <c r="AR5751" s="19"/>
      <c r="AS5751" s="19"/>
      <c r="AT5751" s="19"/>
      <c r="AU5751" s="19"/>
    </row>
    <row r="5752" spans="3:47">
      <c r="C5752" s="20"/>
      <c r="Z5752" s="20"/>
      <c r="AG5752" s="20"/>
      <c r="AQ5752" s="19"/>
      <c r="AR5752" s="19"/>
      <c r="AS5752" s="19"/>
      <c r="AT5752" s="19"/>
      <c r="AU5752" s="19"/>
    </row>
    <row r="5753" spans="3:47">
      <c r="C5753" s="20"/>
      <c r="Z5753" s="20"/>
      <c r="AG5753" s="20"/>
      <c r="AQ5753" s="19"/>
      <c r="AR5753" s="19"/>
      <c r="AS5753" s="19"/>
      <c r="AT5753" s="19"/>
      <c r="AU5753" s="19"/>
    </row>
    <row r="5754" spans="3:47">
      <c r="C5754" s="20"/>
      <c r="Z5754" s="20"/>
      <c r="AG5754" s="20"/>
      <c r="AQ5754" s="19"/>
      <c r="AR5754" s="19"/>
      <c r="AS5754" s="19"/>
      <c r="AT5754" s="19"/>
      <c r="AU5754" s="19"/>
    </row>
    <row r="5755" spans="3:47">
      <c r="C5755" s="20"/>
      <c r="Z5755" s="20"/>
      <c r="AG5755" s="20"/>
      <c r="AQ5755" s="19"/>
      <c r="AR5755" s="19"/>
      <c r="AS5755" s="19"/>
      <c r="AT5755" s="19"/>
      <c r="AU5755" s="19"/>
    </row>
    <row r="5756" spans="3:47">
      <c r="C5756" s="20"/>
      <c r="Z5756" s="20"/>
      <c r="AG5756" s="20"/>
      <c r="AQ5756" s="19"/>
      <c r="AR5756" s="19"/>
      <c r="AS5756" s="19"/>
      <c r="AT5756" s="19"/>
      <c r="AU5756" s="19"/>
    </row>
    <row r="5757" spans="3:47">
      <c r="C5757" s="20"/>
      <c r="Z5757" s="20"/>
      <c r="AG5757" s="20"/>
      <c r="AQ5757" s="19"/>
      <c r="AR5757" s="19"/>
      <c r="AS5757" s="19"/>
      <c r="AT5757" s="19"/>
      <c r="AU5757" s="19"/>
    </row>
    <row r="5758" spans="3:47">
      <c r="C5758" s="20"/>
      <c r="Z5758" s="20"/>
      <c r="AG5758" s="20"/>
      <c r="AQ5758" s="19"/>
      <c r="AR5758" s="19"/>
      <c r="AS5758" s="19"/>
      <c r="AT5758" s="19"/>
      <c r="AU5758" s="19"/>
    </row>
    <row r="5759" spans="3:47">
      <c r="C5759" s="20"/>
      <c r="Z5759" s="20"/>
      <c r="AG5759" s="20"/>
      <c r="AQ5759" s="19"/>
      <c r="AR5759" s="19"/>
      <c r="AS5759" s="19"/>
      <c r="AT5759" s="19"/>
      <c r="AU5759" s="19"/>
    </row>
    <row r="5760" spans="3:47">
      <c r="C5760" s="20"/>
      <c r="Z5760" s="20"/>
      <c r="AG5760" s="20"/>
      <c r="AQ5760" s="19"/>
      <c r="AR5760" s="19"/>
      <c r="AS5760" s="19"/>
      <c r="AT5760" s="19"/>
      <c r="AU5760" s="19"/>
    </row>
    <row r="5761" spans="3:47">
      <c r="C5761" s="20"/>
      <c r="Z5761" s="20"/>
      <c r="AG5761" s="20"/>
      <c r="AQ5761" s="19"/>
      <c r="AR5761" s="19"/>
      <c r="AS5761" s="19"/>
      <c r="AT5761" s="19"/>
      <c r="AU5761" s="19"/>
    </row>
    <row r="5762" spans="3:47">
      <c r="C5762" s="20"/>
      <c r="Z5762" s="20"/>
      <c r="AG5762" s="20"/>
      <c r="AQ5762" s="19"/>
      <c r="AR5762" s="19"/>
      <c r="AS5762" s="19"/>
      <c r="AT5762" s="19"/>
      <c r="AU5762" s="19"/>
    </row>
    <row r="5763" spans="3:47">
      <c r="C5763" s="20"/>
      <c r="Z5763" s="20"/>
      <c r="AG5763" s="20"/>
      <c r="AQ5763" s="19"/>
      <c r="AR5763" s="19"/>
      <c r="AS5763" s="19"/>
      <c r="AT5763" s="19"/>
      <c r="AU5763" s="19"/>
    </row>
    <row r="5764" spans="3:47">
      <c r="C5764" s="20"/>
      <c r="Z5764" s="20"/>
      <c r="AG5764" s="20"/>
      <c r="AQ5764" s="19"/>
      <c r="AR5764" s="19"/>
      <c r="AS5764" s="19"/>
      <c r="AT5764" s="19"/>
      <c r="AU5764" s="19"/>
    </row>
    <row r="5765" spans="3:47">
      <c r="C5765" s="20"/>
      <c r="Z5765" s="20"/>
      <c r="AG5765" s="20"/>
      <c r="AQ5765" s="19"/>
      <c r="AR5765" s="19"/>
      <c r="AS5765" s="19"/>
      <c r="AT5765" s="19"/>
      <c r="AU5765" s="19"/>
    </row>
    <row r="5766" spans="3:47">
      <c r="C5766" s="20"/>
      <c r="Z5766" s="20"/>
      <c r="AG5766" s="20"/>
      <c r="AQ5766" s="19"/>
      <c r="AR5766" s="19"/>
      <c r="AS5766" s="19"/>
      <c r="AT5766" s="19"/>
      <c r="AU5766" s="19"/>
    </row>
    <row r="5767" spans="3:47">
      <c r="C5767" s="20"/>
      <c r="Z5767" s="20"/>
      <c r="AG5767" s="20"/>
      <c r="AQ5767" s="19"/>
      <c r="AR5767" s="19"/>
      <c r="AS5767" s="19"/>
      <c r="AT5767" s="19"/>
      <c r="AU5767" s="19"/>
    </row>
    <row r="5768" spans="3:47">
      <c r="C5768" s="20"/>
      <c r="Z5768" s="20"/>
      <c r="AG5768" s="20"/>
      <c r="AQ5768" s="19"/>
      <c r="AR5768" s="19"/>
      <c r="AS5768" s="19"/>
      <c r="AT5768" s="19"/>
      <c r="AU5768" s="19"/>
    </row>
    <row r="5769" spans="3:47">
      <c r="C5769" s="20"/>
      <c r="Z5769" s="20"/>
      <c r="AG5769" s="20"/>
      <c r="AQ5769" s="19"/>
      <c r="AR5769" s="19"/>
      <c r="AS5769" s="19"/>
      <c r="AT5769" s="19"/>
      <c r="AU5769" s="19"/>
    </row>
    <row r="5770" spans="3:47">
      <c r="C5770" s="20"/>
      <c r="Z5770" s="20"/>
      <c r="AG5770" s="20"/>
      <c r="AQ5770" s="19"/>
      <c r="AR5770" s="19"/>
      <c r="AS5770" s="19"/>
      <c r="AT5770" s="19"/>
      <c r="AU5770" s="19"/>
    </row>
    <row r="5771" spans="3:47">
      <c r="C5771" s="20"/>
      <c r="Z5771" s="20"/>
      <c r="AG5771" s="20"/>
      <c r="AQ5771" s="19"/>
      <c r="AR5771" s="19"/>
      <c r="AS5771" s="19"/>
      <c r="AT5771" s="19"/>
      <c r="AU5771" s="19"/>
    </row>
    <row r="5772" spans="3:47">
      <c r="C5772" s="20"/>
      <c r="Z5772" s="20"/>
      <c r="AG5772" s="20"/>
      <c r="AQ5772" s="19"/>
      <c r="AR5772" s="19"/>
      <c r="AS5772" s="19"/>
      <c r="AT5772" s="19"/>
      <c r="AU5772" s="19"/>
    </row>
    <row r="5773" spans="3:47">
      <c r="C5773" s="20"/>
      <c r="Z5773" s="20"/>
      <c r="AG5773" s="20"/>
      <c r="AQ5773" s="19"/>
      <c r="AR5773" s="19"/>
      <c r="AS5773" s="19"/>
      <c r="AT5773" s="19"/>
      <c r="AU5773" s="19"/>
    </row>
    <row r="5774" spans="3:47">
      <c r="C5774" s="20"/>
      <c r="Z5774" s="20"/>
      <c r="AG5774" s="20"/>
      <c r="AQ5774" s="19"/>
      <c r="AR5774" s="19"/>
      <c r="AS5774" s="19"/>
      <c r="AT5774" s="19"/>
      <c r="AU5774" s="19"/>
    </row>
    <row r="5775" spans="3:47">
      <c r="C5775" s="20"/>
      <c r="Z5775" s="20"/>
      <c r="AG5775" s="20"/>
      <c r="AQ5775" s="19"/>
      <c r="AR5775" s="19"/>
      <c r="AS5775" s="19"/>
      <c r="AT5775" s="19"/>
      <c r="AU5775" s="19"/>
    </row>
    <row r="5776" spans="3:47">
      <c r="C5776" s="20"/>
      <c r="Z5776" s="20"/>
      <c r="AG5776" s="20"/>
      <c r="AQ5776" s="19"/>
      <c r="AR5776" s="19"/>
      <c r="AS5776" s="19"/>
      <c r="AT5776" s="19"/>
      <c r="AU5776" s="19"/>
    </row>
    <row r="5777" spans="3:47">
      <c r="C5777" s="20"/>
      <c r="Z5777" s="20"/>
      <c r="AG5777" s="20"/>
      <c r="AQ5777" s="19"/>
      <c r="AR5777" s="19"/>
      <c r="AS5777" s="19"/>
      <c r="AT5777" s="19"/>
      <c r="AU5777" s="19"/>
    </row>
    <row r="5778" spans="3:47">
      <c r="C5778" s="20"/>
      <c r="Z5778" s="20"/>
      <c r="AG5778" s="20"/>
      <c r="AQ5778" s="19"/>
      <c r="AR5778" s="19"/>
      <c r="AS5778" s="19"/>
      <c r="AT5778" s="19"/>
      <c r="AU5778" s="19"/>
    </row>
    <row r="5779" spans="3:47">
      <c r="C5779" s="20"/>
      <c r="Z5779" s="20"/>
      <c r="AG5779" s="20"/>
      <c r="AQ5779" s="19"/>
      <c r="AR5779" s="19"/>
      <c r="AS5779" s="19"/>
      <c r="AT5779" s="19"/>
      <c r="AU5779" s="19"/>
    </row>
    <row r="5780" spans="3:47">
      <c r="C5780" s="20"/>
      <c r="Z5780" s="20"/>
      <c r="AG5780" s="20"/>
      <c r="AQ5780" s="19"/>
      <c r="AR5780" s="19"/>
      <c r="AS5780" s="19"/>
      <c r="AT5780" s="19"/>
      <c r="AU5780" s="19"/>
    </row>
    <row r="5781" spans="3:47">
      <c r="C5781" s="20"/>
      <c r="Z5781" s="20"/>
      <c r="AG5781" s="20"/>
      <c r="AQ5781" s="19"/>
      <c r="AR5781" s="19"/>
      <c r="AS5781" s="19"/>
      <c r="AT5781" s="19"/>
      <c r="AU5781" s="19"/>
    </row>
    <row r="5782" spans="3:47">
      <c r="C5782" s="20"/>
      <c r="Z5782" s="20"/>
      <c r="AG5782" s="20"/>
      <c r="AQ5782" s="19"/>
      <c r="AR5782" s="19"/>
      <c r="AS5782" s="19"/>
      <c r="AT5782" s="19"/>
      <c r="AU5782" s="19"/>
    </row>
    <row r="5783" spans="3:47">
      <c r="C5783" s="20"/>
      <c r="Z5783" s="20"/>
      <c r="AG5783" s="20"/>
      <c r="AQ5783" s="19"/>
      <c r="AR5783" s="19"/>
      <c r="AS5783" s="19"/>
      <c r="AT5783" s="19"/>
      <c r="AU5783" s="19"/>
    </row>
    <row r="5784" spans="3:47">
      <c r="C5784" s="20"/>
      <c r="Z5784" s="20"/>
      <c r="AG5784" s="20"/>
      <c r="AQ5784" s="19"/>
      <c r="AR5784" s="19"/>
      <c r="AS5784" s="19"/>
      <c r="AT5784" s="19"/>
      <c r="AU5784" s="19"/>
    </row>
    <row r="5785" spans="3:47">
      <c r="C5785" s="20"/>
      <c r="Z5785" s="20"/>
      <c r="AG5785" s="20"/>
      <c r="AQ5785" s="19"/>
      <c r="AR5785" s="19"/>
      <c r="AS5785" s="19"/>
      <c r="AT5785" s="19"/>
      <c r="AU5785" s="19"/>
    </row>
    <row r="5786" spans="3:47">
      <c r="C5786" s="20"/>
      <c r="Z5786" s="20"/>
      <c r="AG5786" s="20"/>
      <c r="AQ5786" s="19"/>
      <c r="AR5786" s="19"/>
      <c r="AS5786" s="19"/>
      <c r="AT5786" s="19"/>
      <c r="AU5786" s="19"/>
    </row>
    <row r="5787" spans="3:47">
      <c r="C5787" s="20"/>
      <c r="Z5787" s="20"/>
      <c r="AG5787" s="20"/>
      <c r="AQ5787" s="19"/>
      <c r="AR5787" s="19"/>
      <c r="AS5787" s="19"/>
      <c r="AT5787" s="19"/>
      <c r="AU5787" s="19"/>
    </row>
    <row r="5788" spans="3:47">
      <c r="C5788" s="20"/>
      <c r="Z5788" s="20"/>
      <c r="AG5788" s="20"/>
      <c r="AQ5788" s="19"/>
      <c r="AR5788" s="19"/>
      <c r="AS5788" s="19"/>
      <c r="AT5788" s="19"/>
      <c r="AU5788" s="19"/>
    </row>
    <row r="5789" spans="3:47">
      <c r="C5789" s="20"/>
      <c r="Z5789" s="20"/>
      <c r="AG5789" s="20"/>
      <c r="AQ5789" s="19"/>
      <c r="AR5789" s="19"/>
      <c r="AS5789" s="19"/>
      <c r="AT5789" s="19"/>
      <c r="AU5789" s="19"/>
    </row>
    <row r="5790" spans="3:47">
      <c r="C5790" s="20"/>
      <c r="Z5790" s="20"/>
      <c r="AG5790" s="20"/>
      <c r="AQ5790" s="19"/>
      <c r="AR5790" s="19"/>
      <c r="AS5790" s="19"/>
      <c r="AT5790" s="19"/>
      <c r="AU5790" s="19"/>
    </row>
    <row r="5791" spans="3:47">
      <c r="C5791" s="20"/>
      <c r="Z5791" s="20"/>
      <c r="AG5791" s="20"/>
      <c r="AQ5791" s="19"/>
      <c r="AR5791" s="19"/>
      <c r="AS5791" s="19"/>
      <c r="AT5791" s="19"/>
      <c r="AU5791" s="19"/>
    </row>
    <row r="5792" spans="3:47">
      <c r="C5792" s="20"/>
      <c r="Z5792" s="20"/>
      <c r="AG5792" s="20"/>
      <c r="AQ5792" s="19"/>
      <c r="AR5792" s="19"/>
      <c r="AS5792" s="19"/>
      <c r="AT5792" s="19"/>
      <c r="AU5792" s="19"/>
    </row>
    <row r="5793" spans="3:47">
      <c r="C5793" s="20"/>
      <c r="Z5793" s="20"/>
      <c r="AG5793" s="20"/>
      <c r="AQ5793" s="19"/>
      <c r="AR5793" s="19"/>
      <c r="AS5793" s="19"/>
      <c r="AT5793" s="19"/>
      <c r="AU5793" s="19"/>
    </row>
    <row r="5794" spans="3:47">
      <c r="C5794" s="20"/>
      <c r="Z5794" s="20"/>
      <c r="AG5794" s="20"/>
      <c r="AQ5794" s="19"/>
      <c r="AR5794" s="19"/>
      <c r="AS5794" s="19"/>
      <c r="AT5794" s="19"/>
      <c r="AU5794" s="19"/>
    </row>
    <row r="5795" spans="3:47">
      <c r="C5795" s="20"/>
      <c r="Z5795" s="20"/>
      <c r="AG5795" s="20"/>
      <c r="AQ5795" s="19"/>
      <c r="AR5795" s="19"/>
      <c r="AS5795" s="19"/>
      <c r="AT5795" s="19"/>
      <c r="AU5795" s="19"/>
    </row>
    <row r="5796" spans="3:47">
      <c r="C5796" s="20"/>
      <c r="Z5796" s="20"/>
      <c r="AG5796" s="20"/>
      <c r="AQ5796" s="19"/>
      <c r="AR5796" s="19"/>
      <c r="AS5796" s="19"/>
      <c r="AT5796" s="19"/>
      <c r="AU5796" s="19"/>
    </row>
    <row r="5797" spans="3:47">
      <c r="C5797" s="20"/>
      <c r="Z5797" s="20"/>
      <c r="AG5797" s="20"/>
      <c r="AQ5797" s="19"/>
      <c r="AR5797" s="19"/>
      <c r="AS5797" s="19"/>
      <c r="AT5797" s="19"/>
      <c r="AU5797" s="19"/>
    </row>
    <row r="5798" spans="3:47">
      <c r="C5798" s="20"/>
      <c r="Z5798" s="20"/>
      <c r="AG5798" s="20"/>
      <c r="AQ5798" s="19"/>
      <c r="AR5798" s="19"/>
      <c r="AS5798" s="19"/>
      <c r="AT5798" s="19"/>
      <c r="AU5798" s="19"/>
    </row>
    <row r="5799" spans="3:47">
      <c r="C5799" s="20"/>
      <c r="Z5799" s="20"/>
      <c r="AG5799" s="20"/>
      <c r="AQ5799" s="19"/>
      <c r="AR5799" s="19"/>
      <c r="AS5799" s="19"/>
      <c r="AT5799" s="19"/>
      <c r="AU5799" s="19"/>
    </row>
    <row r="5800" spans="3:47">
      <c r="C5800" s="20"/>
      <c r="Z5800" s="20"/>
      <c r="AG5800" s="20"/>
      <c r="AQ5800" s="19"/>
      <c r="AR5800" s="19"/>
      <c r="AS5800" s="19"/>
      <c r="AT5800" s="19"/>
      <c r="AU5800" s="19"/>
    </row>
    <row r="5801" spans="3:47">
      <c r="C5801" s="20"/>
      <c r="Z5801" s="20"/>
      <c r="AG5801" s="20"/>
      <c r="AQ5801" s="19"/>
      <c r="AR5801" s="19"/>
      <c r="AS5801" s="19"/>
      <c r="AT5801" s="19"/>
      <c r="AU5801" s="19"/>
    </row>
    <row r="5802" spans="3:47">
      <c r="C5802" s="20"/>
      <c r="Z5802" s="20"/>
      <c r="AG5802" s="20"/>
      <c r="AQ5802" s="19"/>
      <c r="AR5802" s="19"/>
      <c r="AS5802" s="19"/>
      <c r="AT5802" s="19"/>
      <c r="AU5802" s="19"/>
    </row>
    <row r="5803" spans="3:47">
      <c r="C5803" s="20"/>
      <c r="Z5803" s="20"/>
      <c r="AG5803" s="20"/>
      <c r="AQ5803" s="19"/>
      <c r="AR5803" s="19"/>
      <c r="AS5803" s="19"/>
      <c r="AT5803" s="19"/>
      <c r="AU5803" s="19"/>
    </row>
    <row r="5804" spans="3:47">
      <c r="C5804" s="20"/>
      <c r="Z5804" s="20"/>
      <c r="AG5804" s="20"/>
      <c r="AQ5804" s="19"/>
      <c r="AR5804" s="19"/>
      <c r="AS5804" s="19"/>
      <c r="AT5804" s="19"/>
      <c r="AU5804" s="19"/>
    </row>
    <row r="5805" spans="3:47">
      <c r="C5805" s="20"/>
      <c r="Z5805" s="20"/>
      <c r="AG5805" s="20"/>
      <c r="AQ5805" s="19"/>
      <c r="AR5805" s="19"/>
      <c r="AS5805" s="19"/>
      <c r="AT5805" s="19"/>
      <c r="AU5805" s="19"/>
    </row>
    <row r="5806" spans="3:47">
      <c r="C5806" s="20"/>
      <c r="Z5806" s="20"/>
      <c r="AG5806" s="20"/>
      <c r="AQ5806" s="19"/>
      <c r="AR5806" s="19"/>
      <c r="AS5806" s="19"/>
      <c r="AT5806" s="19"/>
      <c r="AU5806" s="19"/>
    </row>
    <row r="5807" spans="3:47">
      <c r="C5807" s="20"/>
      <c r="Z5807" s="20"/>
      <c r="AG5807" s="20"/>
      <c r="AQ5807" s="19"/>
      <c r="AR5807" s="19"/>
      <c r="AS5807" s="19"/>
      <c r="AT5807" s="19"/>
      <c r="AU5807" s="19"/>
    </row>
    <row r="5808" spans="3:47">
      <c r="C5808" s="20"/>
      <c r="Z5808" s="20"/>
      <c r="AG5808" s="20"/>
      <c r="AQ5808" s="19"/>
      <c r="AR5808" s="19"/>
      <c r="AS5808" s="19"/>
      <c r="AT5808" s="19"/>
      <c r="AU5808" s="19"/>
    </row>
    <row r="5809" spans="3:47">
      <c r="C5809" s="20"/>
      <c r="Z5809" s="20"/>
      <c r="AG5809" s="20"/>
      <c r="AQ5809" s="19"/>
      <c r="AR5809" s="19"/>
      <c r="AS5809" s="19"/>
      <c r="AT5809" s="19"/>
      <c r="AU5809" s="19"/>
    </row>
    <row r="5810" spans="3:47">
      <c r="C5810" s="20"/>
      <c r="Z5810" s="20"/>
      <c r="AG5810" s="20"/>
      <c r="AQ5810" s="19"/>
      <c r="AR5810" s="19"/>
      <c r="AS5810" s="19"/>
      <c r="AT5810" s="19"/>
      <c r="AU5810" s="19"/>
    </row>
    <row r="5811" spans="3:47">
      <c r="C5811" s="20"/>
      <c r="Z5811" s="20"/>
      <c r="AG5811" s="20"/>
      <c r="AQ5811" s="19"/>
      <c r="AR5811" s="19"/>
      <c r="AS5811" s="19"/>
      <c r="AT5811" s="19"/>
      <c r="AU5811" s="19"/>
    </row>
    <row r="5812" spans="3:47">
      <c r="C5812" s="20"/>
      <c r="Z5812" s="20"/>
      <c r="AG5812" s="20"/>
      <c r="AQ5812" s="19"/>
      <c r="AR5812" s="19"/>
      <c r="AS5812" s="19"/>
      <c r="AT5812" s="19"/>
      <c r="AU5812" s="19"/>
    </row>
    <row r="5813" spans="3:47">
      <c r="C5813" s="20"/>
      <c r="Z5813" s="20"/>
      <c r="AG5813" s="20"/>
      <c r="AQ5813" s="19"/>
      <c r="AR5813" s="19"/>
      <c r="AS5813" s="19"/>
      <c r="AT5813" s="19"/>
      <c r="AU5813" s="19"/>
    </row>
    <row r="5814" spans="3:47">
      <c r="C5814" s="20"/>
      <c r="Z5814" s="20"/>
      <c r="AG5814" s="20"/>
      <c r="AQ5814" s="19"/>
      <c r="AR5814" s="19"/>
      <c r="AS5814" s="19"/>
      <c r="AT5814" s="19"/>
      <c r="AU5814" s="19"/>
    </row>
    <row r="5815" spans="3:47">
      <c r="C5815" s="20"/>
      <c r="Z5815" s="20"/>
      <c r="AG5815" s="20"/>
      <c r="AQ5815" s="19"/>
      <c r="AR5815" s="19"/>
      <c r="AS5815" s="19"/>
      <c r="AT5815" s="19"/>
      <c r="AU5815" s="19"/>
    </row>
    <row r="5816" spans="3:47">
      <c r="C5816" s="20"/>
      <c r="Z5816" s="20"/>
      <c r="AG5816" s="20"/>
      <c r="AQ5816" s="19"/>
      <c r="AR5816" s="19"/>
      <c r="AS5816" s="19"/>
      <c r="AT5816" s="19"/>
      <c r="AU5816" s="19"/>
    </row>
    <row r="5817" spans="3:47">
      <c r="C5817" s="20"/>
      <c r="Z5817" s="20"/>
      <c r="AG5817" s="20"/>
      <c r="AQ5817" s="19"/>
      <c r="AR5817" s="19"/>
      <c r="AS5817" s="19"/>
      <c r="AT5817" s="19"/>
      <c r="AU5817" s="19"/>
    </row>
    <row r="5818" spans="3:47">
      <c r="C5818" s="20"/>
      <c r="Z5818" s="20"/>
      <c r="AG5818" s="20"/>
      <c r="AQ5818" s="19"/>
      <c r="AR5818" s="19"/>
      <c r="AS5818" s="19"/>
      <c r="AT5818" s="19"/>
      <c r="AU5818" s="19"/>
    </row>
    <row r="5819" spans="3:47">
      <c r="C5819" s="20"/>
      <c r="Z5819" s="20"/>
      <c r="AG5819" s="20"/>
      <c r="AQ5819" s="19"/>
      <c r="AR5819" s="19"/>
      <c r="AS5819" s="19"/>
      <c r="AT5819" s="19"/>
      <c r="AU5819" s="19"/>
    </row>
    <row r="5820" spans="3:47">
      <c r="C5820" s="20"/>
      <c r="Z5820" s="20"/>
      <c r="AG5820" s="20"/>
      <c r="AQ5820" s="19"/>
      <c r="AR5820" s="19"/>
      <c r="AS5820" s="19"/>
      <c r="AT5820" s="19"/>
      <c r="AU5820" s="19"/>
    </row>
    <row r="5821" spans="3:47">
      <c r="C5821" s="20"/>
      <c r="Z5821" s="20"/>
      <c r="AG5821" s="20"/>
      <c r="AQ5821" s="19"/>
      <c r="AR5821" s="19"/>
      <c r="AS5821" s="19"/>
      <c r="AT5821" s="19"/>
      <c r="AU5821" s="19"/>
    </row>
    <row r="5822" spans="3:47">
      <c r="C5822" s="20"/>
      <c r="Z5822" s="20"/>
      <c r="AG5822" s="20"/>
      <c r="AQ5822" s="19"/>
      <c r="AR5822" s="19"/>
      <c r="AS5822" s="19"/>
      <c r="AT5822" s="19"/>
      <c r="AU5822" s="19"/>
    </row>
    <row r="5823" spans="3:47">
      <c r="C5823" s="20"/>
      <c r="Z5823" s="20"/>
      <c r="AG5823" s="20"/>
      <c r="AQ5823" s="19"/>
      <c r="AR5823" s="19"/>
      <c r="AS5823" s="19"/>
      <c r="AT5823" s="19"/>
      <c r="AU5823" s="19"/>
    </row>
    <row r="5824" spans="3:47">
      <c r="C5824" s="20"/>
      <c r="Z5824" s="20"/>
      <c r="AG5824" s="20"/>
      <c r="AQ5824" s="19"/>
      <c r="AR5824" s="19"/>
      <c r="AS5824" s="19"/>
      <c r="AT5824" s="19"/>
      <c r="AU5824" s="19"/>
    </row>
    <row r="5825" spans="3:47">
      <c r="C5825" s="20"/>
      <c r="Z5825" s="20"/>
      <c r="AG5825" s="20"/>
      <c r="AQ5825" s="19"/>
      <c r="AR5825" s="19"/>
      <c r="AS5825" s="19"/>
      <c r="AT5825" s="19"/>
      <c r="AU5825" s="19"/>
    </row>
    <row r="5826" spans="3:47">
      <c r="C5826" s="20"/>
      <c r="Z5826" s="20"/>
      <c r="AG5826" s="20"/>
      <c r="AQ5826" s="19"/>
      <c r="AR5826" s="19"/>
      <c r="AS5826" s="19"/>
      <c r="AT5826" s="19"/>
      <c r="AU5826" s="19"/>
    </row>
    <row r="5827" spans="3:47">
      <c r="C5827" s="20"/>
      <c r="Z5827" s="20"/>
      <c r="AG5827" s="20"/>
      <c r="AQ5827" s="19"/>
      <c r="AR5827" s="19"/>
      <c r="AS5827" s="19"/>
      <c r="AT5827" s="19"/>
      <c r="AU5827" s="19"/>
    </row>
    <row r="5828" spans="3:47">
      <c r="C5828" s="20"/>
      <c r="Z5828" s="20"/>
      <c r="AG5828" s="20"/>
      <c r="AQ5828" s="19"/>
      <c r="AR5828" s="19"/>
      <c r="AS5828" s="19"/>
      <c r="AT5828" s="19"/>
      <c r="AU5828" s="19"/>
    </row>
    <row r="5829" spans="3:47">
      <c r="C5829" s="20"/>
      <c r="Z5829" s="20"/>
      <c r="AG5829" s="20"/>
      <c r="AQ5829" s="19"/>
      <c r="AR5829" s="19"/>
      <c r="AS5829" s="19"/>
      <c r="AT5829" s="19"/>
      <c r="AU5829" s="19"/>
    </row>
    <row r="5830" spans="3:47">
      <c r="C5830" s="20"/>
      <c r="Z5830" s="20"/>
      <c r="AG5830" s="20"/>
      <c r="AQ5830" s="19"/>
      <c r="AR5830" s="19"/>
      <c r="AS5830" s="19"/>
      <c r="AT5830" s="19"/>
      <c r="AU5830" s="19"/>
    </row>
    <row r="5831" spans="3:47">
      <c r="C5831" s="20"/>
      <c r="Z5831" s="20"/>
      <c r="AG5831" s="20"/>
      <c r="AQ5831" s="19"/>
      <c r="AR5831" s="19"/>
      <c r="AS5831" s="19"/>
      <c r="AT5831" s="19"/>
      <c r="AU5831" s="19"/>
    </row>
    <row r="5832" spans="3:47">
      <c r="C5832" s="20"/>
      <c r="Z5832" s="20"/>
      <c r="AG5832" s="20"/>
      <c r="AQ5832" s="19"/>
      <c r="AR5832" s="19"/>
      <c r="AS5832" s="19"/>
      <c r="AT5832" s="19"/>
      <c r="AU5832" s="19"/>
    </row>
    <row r="5833" spans="3:47">
      <c r="C5833" s="20"/>
      <c r="Z5833" s="20"/>
      <c r="AG5833" s="20"/>
      <c r="AQ5833" s="19"/>
      <c r="AR5833" s="19"/>
      <c r="AS5833" s="19"/>
      <c r="AT5833" s="19"/>
      <c r="AU5833" s="19"/>
    </row>
    <row r="5834" spans="3:47">
      <c r="C5834" s="20"/>
      <c r="Z5834" s="20"/>
      <c r="AG5834" s="20"/>
      <c r="AQ5834" s="19"/>
      <c r="AR5834" s="19"/>
      <c r="AS5834" s="19"/>
      <c r="AT5834" s="19"/>
      <c r="AU5834" s="19"/>
    </row>
    <row r="5835" spans="3:47">
      <c r="C5835" s="20"/>
      <c r="Z5835" s="20"/>
      <c r="AG5835" s="20"/>
      <c r="AQ5835" s="19"/>
      <c r="AR5835" s="19"/>
      <c r="AS5835" s="19"/>
      <c r="AT5835" s="19"/>
      <c r="AU5835" s="19"/>
    </row>
    <row r="5836" spans="3:47">
      <c r="C5836" s="20"/>
      <c r="Z5836" s="20"/>
      <c r="AG5836" s="20"/>
      <c r="AQ5836" s="19"/>
      <c r="AR5836" s="19"/>
      <c r="AS5836" s="19"/>
      <c r="AT5836" s="19"/>
      <c r="AU5836" s="19"/>
    </row>
    <row r="5837" spans="3:47">
      <c r="C5837" s="20"/>
      <c r="Z5837" s="20"/>
      <c r="AG5837" s="20"/>
      <c r="AQ5837" s="19"/>
      <c r="AR5837" s="19"/>
      <c r="AS5837" s="19"/>
      <c r="AT5837" s="19"/>
      <c r="AU5837" s="19"/>
    </row>
    <row r="5838" spans="3:47">
      <c r="C5838" s="20"/>
      <c r="Z5838" s="20"/>
      <c r="AG5838" s="20"/>
      <c r="AQ5838" s="19"/>
      <c r="AR5838" s="19"/>
      <c r="AS5838" s="19"/>
      <c r="AT5838" s="19"/>
      <c r="AU5838" s="19"/>
    </row>
    <row r="5839" spans="3:47">
      <c r="C5839" s="20"/>
      <c r="Z5839" s="20"/>
      <c r="AG5839" s="20"/>
      <c r="AQ5839" s="19"/>
      <c r="AR5839" s="19"/>
      <c r="AS5839" s="19"/>
      <c r="AT5839" s="19"/>
      <c r="AU5839" s="19"/>
    </row>
    <row r="5840" spans="3:47">
      <c r="C5840" s="20"/>
      <c r="Z5840" s="20"/>
      <c r="AG5840" s="20"/>
      <c r="AQ5840" s="19"/>
      <c r="AR5840" s="19"/>
      <c r="AS5840" s="19"/>
      <c r="AT5840" s="19"/>
      <c r="AU5840" s="19"/>
    </row>
    <row r="5841" spans="3:47">
      <c r="C5841" s="20"/>
      <c r="Z5841" s="20"/>
      <c r="AG5841" s="20"/>
      <c r="AQ5841" s="19"/>
      <c r="AR5841" s="19"/>
      <c r="AS5841" s="19"/>
      <c r="AT5841" s="19"/>
      <c r="AU5841" s="19"/>
    </row>
    <row r="5842" spans="3:47">
      <c r="C5842" s="20"/>
      <c r="Z5842" s="20"/>
      <c r="AG5842" s="20"/>
      <c r="AQ5842" s="19"/>
      <c r="AR5842" s="19"/>
      <c r="AS5842" s="19"/>
      <c r="AT5842" s="19"/>
      <c r="AU5842" s="19"/>
    </row>
    <row r="5843" spans="3:47">
      <c r="C5843" s="20"/>
      <c r="Z5843" s="20"/>
      <c r="AG5843" s="20"/>
      <c r="AQ5843" s="19"/>
      <c r="AR5843" s="19"/>
      <c r="AS5843" s="19"/>
      <c r="AT5843" s="19"/>
      <c r="AU5843" s="19"/>
    </row>
    <row r="5844" spans="3:47">
      <c r="C5844" s="20"/>
      <c r="Z5844" s="20"/>
      <c r="AG5844" s="20"/>
      <c r="AQ5844" s="19"/>
      <c r="AR5844" s="19"/>
      <c r="AS5844" s="19"/>
      <c r="AT5844" s="19"/>
      <c r="AU5844" s="19"/>
    </row>
    <row r="5845" spans="3:47">
      <c r="C5845" s="20"/>
      <c r="Z5845" s="20"/>
      <c r="AG5845" s="20"/>
      <c r="AQ5845" s="19"/>
      <c r="AR5845" s="19"/>
      <c r="AS5845" s="19"/>
      <c r="AT5845" s="19"/>
      <c r="AU5845" s="19"/>
    </row>
    <row r="5846" spans="3:47">
      <c r="C5846" s="20"/>
      <c r="Z5846" s="20"/>
      <c r="AG5846" s="20"/>
      <c r="AQ5846" s="19"/>
      <c r="AR5846" s="19"/>
      <c r="AS5846" s="19"/>
      <c r="AT5846" s="19"/>
      <c r="AU5846" s="19"/>
    </row>
    <row r="5847" spans="3:47">
      <c r="C5847" s="20"/>
      <c r="Z5847" s="20"/>
      <c r="AG5847" s="20"/>
      <c r="AQ5847" s="19"/>
      <c r="AR5847" s="19"/>
      <c r="AS5847" s="19"/>
      <c r="AT5847" s="19"/>
      <c r="AU5847" s="19"/>
    </row>
    <row r="5848" spans="3:47">
      <c r="C5848" s="20"/>
      <c r="Z5848" s="20"/>
      <c r="AG5848" s="20"/>
      <c r="AQ5848" s="19"/>
      <c r="AR5848" s="19"/>
      <c r="AS5848" s="19"/>
      <c r="AT5848" s="19"/>
      <c r="AU5848" s="19"/>
    </row>
    <row r="5849" spans="3:47">
      <c r="C5849" s="20"/>
      <c r="Z5849" s="20"/>
      <c r="AG5849" s="20"/>
      <c r="AQ5849" s="19"/>
      <c r="AR5849" s="19"/>
      <c r="AS5849" s="19"/>
      <c r="AT5849" s="19"/>
      <c r="AU5849" s="19"/>
    </row>
    <row r="5850" spans="3:47">
      <c r="C5850" s="20"/>
      <c r="Z5850" s="20"/>
      <c r="AG5850" s="20"/>
      <c r="AQ5850" s="19"/>
      <c r="AR5850" s="19"/>
      <c r="AS5850" s="19"/>
      <c r="AT5850" s="19"/>
      <c r="AU5850" s="19"/>
    </row>
    <row r="5851" spans="3:47">
      <c r="C5851" s="20"/>
      <c r="Z5851" s="20"/>
      <c r="AG5851" s="20"/>
      <c r="AQ5851" s="19"/>
      <c r="AR5851" s="19"/>
      <c r="AS5851" s="19"/>
      <c r="AT5851" s="19"/>
      <c r="AU5851" s="19"/>
    </row>
    <row r="5852" spans="3:47">
      <c r="C5852" s="20"/>
      <c r="Z5852" s="20"/>
      <c r="AG5852" s="20"/>
      <c r="AQ5852" s="19"/>
      <c r="AR5852" s="19"/>
      <c r="AS5852" s="19"/>
      <c r="AT5852" s="19"/>
      <c r="AU5852" s="19"/>
    </row>
    <row r="5853" spans="3:47">
      <c r="C5853" s="20"/>
      <c r="Z5853" s="20"/>
      <c r="AG5853" s="20"/>
      <c r="AQ5853" s="19"/>
      <c r="AR5853" s="19"/>
      <c r="AS5853" s="19"/>
      <c r="AT5853" s="19"/>
      <c r="AU5853" s="19"/>
    </row>
    <row r="5854" spans="3:47">
      <c r="C5854" s="20"/>
      <c r="Z5854" s="20"/>
      <c r="AG5854" s="20"/>
      <c r="AQ5854" s="19"/>
      <c r="AR5854" s="19"/>
      <c r="AS5854" s="19"/>
      <c r="AT5854" s="19"/>
      <c r="AU5854" s="19"/>
    </row>
    <row r="5855" spans="3:47">
      <c r="C5855" s="20"/>
      <c r="Z5855" s="20"/>
      <c r="AG5855" s="20"/>
      <c r="AQ5855" s="19"/>
      <c r="AR5855" s="19"/>
      <c r="AS5855" s="19"/>
      <c r="AT5855" s="19"/>
      <c r="AU5855" s="19"/>
    </row>
    <row r="5856" spans="3:47">
      <c r="C5856" s="20"/>
      <c r="Z5856" s="20"/>
      <c r="AG5856" s="20"/>
      <c r="AQ5856" s="19"/>
      <c r="AR5856" s="19"/>
      <c r="AS5856" s="19"/>
      <c r="AT5856" s="19"/>
      <c r="AU5856" s="19"/>
    </row>
    <row r="5857" spans="3:47">
      <c r="C5857" s="20"/>
      <c r="Z5857" s="20"/>
      <c r="AG5857" s="20"/>
      <c r="AQ5857" s="19"/>
      <c r="AR5857" s="19"/>
      <c r="AS5857" s="19"/>
      <c r="AT5857" s="19"/>
      <c r="AU5857" s="19"/>
    </row>
    <row r="5858" spans="3:47">
      <c r="C5858" s="20"/>
      <c r="Z5858" s="20"/>
      <c r="AG5858" s="20"/>
      <c r="AQ5858" s="19"/>
      <c r="AR5858" s="19"/>
      <c r="AS5858" s="19"/>
      <c r="AT5858" s="19"/>
      <c r="AU5858" s="19"/>
    </row>
    <row r="5859" spans="3:47">
      <c r="C5859" s="20"/>
      <c r="Z5859" s="20"/>
      <c r="AG5859" s="20"/>
      <c r="AQ5859" s="19"/>
      <c r="AR5859" s="19"/>
      <c r="AS5859" s="19"/>
      <c r="AT5859" s="19"/>
      <c r="AU5859" s="19"/>
    </row>
    <row r="5860" spans="3:47">
      <c r="C5860" s="20"/>
      <c r="Z5860" s="20"/>
      <c r="AG5860" s="20"/>
      <c r="AQ5860" s="19"/>
      <c r="AR5860" s="19"/>
      <c r="AS5860" s="19"/>
      <c r="AT5860" s="19"/>
      <c r="AU5860" s="19"/>
    </row>
    <row r="5861" spans="3:47">
      <c r="C5861" s="20"/>
      <c r="Z5861" s="20"/>
      <c r="AG5861" s="20"/>
      <c r="AQ5861" s="19"/>
      <c r="AR5861" s="19"/>
      <c r="AS5861" s="19"/>
      <c r="AT5861" s="19"/>
      <c r="AU5861" s="19"/>
    </row>
    <row r="5862" spans="3:47">
      <c r="C5862" s="20"/>
      <c r="Z5862" s="20"/>
      <c r="AG5862" s="20"/>
      <c r="AQ5862" s="19"/>
      <c r="AR5862" s="19"/>
      <c r="AS5862" s="19"/>
      <c r="AT5862" s="19"/>
      <c r="AU5862" s="19"/>
    </row>
    <row r="5863" spans="3:47">
      <c r="C5863" s="20"/>
      <c r="Z5863" s="20"/>
      <c r="AG5863" s="20"/>
      <c r="AQ5863" s="19"/>
      <c r="AR5863" s="19"/>
      <c r="AS5863" s="19"/>
      <c r="AT5863" s="19"/>
      <c r="AU5863" s="19"/>
    </row>
    <row r="5864" spans="3:47">
      <c r="C5864" s="20"/>
      <c r="Z5864" s="20"/>
      <c r="AG5864" s="20"/>
      <c r="AQ5864" s="19"/>
      <c r="AR5864" s="19"/>
      <c r="AS5864" s="19"/>
      <c r="AT5864" s="19"/>
      <c r="AU5864" s="19"/>
    </row>
    <row r="5865" spans="3:47">
      <c r="C5865" s="20"/>
      <c r="Z5865" s="20"/>
      <c r="AG5865" s="20"/>
      <c r="AQ5865" s="19"/>
      <c r="AR5865" s="19"/>
      <c r="AS5865" s="19"/>
      <c r="AT5865" s="19"/>
      <c r="AU5865" s="19"/>
    </row>
    <row r="5866" spans="3:47">
      <c r="C5866" s="20"/>
      <c r="Z5866" s="20"/>
      <c r="AG5866" s="20"/>
      <c r="AQ5866" s="19"/>
      <c r="AR5866" s="19"/>
      <c r="AS5866" s="19"/>
      <c r="AT5866" s="19"/>
      <c r="AU5866" s="19"/>
    </row>
    <row r="5867" spans="3:47">
      <c r="C5867" s="20"/>
      <c r="Z5867" s="20"/>
      <c r="AG5867" s="20"/>
      <c r="AQ5867" s="19"/>
      <c r="AR5867" s="19"/>
      <c r="AS5867" s="19"/>
      <c r="AT5867" s="19"/>
      <c r="AU5867" s="19"/>
    </row>
    <row r="5868" spans="3:47">
      <c r="C5868" s="20"/>
      <c r="Z5868" s="20"/>
      <c r="AG5868" s="20"/>
      <c r="AQ5868" s="19"/>
      <c r="AR5868" s="19"/>
      <c r="AS5868" s="19"/>
      <c r="AT5868" s="19"/>
      <c r="AU5868" s="19"/>
    </row>
    <row r="5869" spans="3:47">
      <c r="C5869" s="20"/>
      <c r="Z5869" s="20"/>
      <c r="AG5869" s="20"/>
      <c r="AQ5869" s="19"/>
      <c r="AR5869" s="19"/>
      <c r="AS5869" s="19"/>
      <c r="AT5869" s="19"/>
      <c r="AU5869" s="19"/>
    </row>
    <row r="5870" spans="3:47">
      <c r="C5870" s="20"/>
      <c r="Z5870" s="20"/>
      <c r="AG5870" s="20"/>
      <c r="AQ5870" s="19"/>
      <c r="AR5870" s="19"/>
      <c r="AS5870" s="19"/>
      <c r="AT5870" s="19"/>
      <c r="AU5870" s="19"/>
    </row>
    <row r="5871" spans="3:47">
      <c r="C5871" s="20"/>
      <c r="Z5871" s="20"/>
      <c r="AG5871" s="20"/>
      <c r="AQ5871" s="19"/>
      <c r="AR5871" s="19"/>
      <c r="AS5871" s="19"/>
      <c r="AT5871" s="19"/>
      <c r="AU5871" s="19"/>
    </row>
    <row r="5872" spans="3:47">
      <c r="C5872" s="20"/>
      <c r="Z5872" s="20"/>
      <c r="AG5872" s="20"/>
      <c r="AQ5872" s="19"/>
      <c r="AR5872" s="19"/>
      <c r="AS5872" s="19"/>
      <c r="AT5872" s="19"/>
      <c r="AU5872" s="19"/>
    </row>
    <row r="5873" spans="3:47">
      <c r="C5873" s="20"/>
      <c r="Z5873" s="20"/>
      <c r="AG5873" s="20"/>
      <c r="AQ5873" s="19"/>
      <c r="AR5873" s="19"/>
      <c r="AS5873" s="19"/>
      <c r="AT5873" s="19"/>
      <c r="AU5873" s="19"/>
    </row>
    <row r="5874" spans="3:47">
      <c r="C5874" s="20"/>
      <c r="Z5874" s="20"/>
      <c r="AG5874" s="20"/>
      <c r="AQ5874" s="19"/>
      <c r="AR5874" s="19"/>
      <c r="AS5874" s="19"/>
      <c r="AT5874" s="19"/>
      <c r="AU5874" s="19"/>
    </row>
    <row r="5875" spans="3:47">
      <c r="C5875" s="20"/>
      <c r="Z5875" s="20"/>
      <c r="AG5875" s="20"/>
      <c r="AQ5875" s="19"/>
      <c r="AR5875" s="19"/>
      <c r="AS5875" s="19"/>
      <c r="AT5875" s="19"/>
      <c r="AU5875" s="19"/>
    </row>
    <row r="5876" spans="3:47">
      <c r="C5876" s="20"/>
      <c r="Z5876" s="20"/>
      <c r="AG5876" s="20"/>
      <c r="AQ5876" s="19"/>
      <c r="AR5876" s="19"/>
      <c r="AS5876" s="19"/>
      <c r="AT5876" s="19"/>
      <c r="AU5876" s="19"/>
    </row>
    <row r="5877" spans="3:47">
      <c r="C5877" s="20"/>
      <c r="Z5877" s="20"/>
      <c r="AG5877" s="20"/>
      <c r="AQ5877" s="19"/>
      <c r="AR5877" s="19"/>
      <c r="AS5877" s="19"/>
      <c r="AT5877" s="19"/>
      <c r="AU5877" s="19"/>
    </row>
    <row r="5878" spans="3:47">
      <c r="C5878" s="20"/>
      <c r="Z5878" s="20"/>
      <c r="AG5878" s="20"/>
      <c r="AQ5878" s="19"/>
      <c r="AR5878" s="19"/>
      <c r="AS5878" s="19"/>
      <c r="AT5878" s="19"/>
      <c r="AU5878" s="19"/>
    </row>
    <row r="5879" spans="3:47">
      <c r="C5879" s="20"/>
      <c r="Z5879" s="20"/>
      <c r="AG5879" s="20"/>
      <c r="AQ5879" s="19"/>
      <c r="AR5879" s="19"/>
      <c r="AS5879" s="19"/>
      <c r="AT5879" s="19"/>
      <c r="AU5879" s="19"/>
    </row>
    <row r="5880" spans="3:47">
      <c r="C5880" s="20"/>
      <c r="Z5880" s="20"/>
      <c r="AG5880" s="20"/>
      <c r="AQ5880" s="19"/>
      <c r="AR5880" s="19"/>
      <c r="AS5880" s="19"/>
      <c r="AT5880" s="19"/>
      <c r="AU5880" s="19"/>
    </row>
    <row r="5881" spans="3:47">
      <c r="C5881" s="20"/>
      <c r="Z5881" s="20"/>
      <c r="AG5881" s="20"/>
      <c r="AQ5881" s="19"/>
      <c r="AR5881" s="19"/>
      <c r="AS5881" s="19"/>
      <c r="AT5881" s="19"/>
      <c r="AU5881" s="19"/>
    </row>
    <row r="5882" spans="3:47">
      <c r="C5882" s="20"/>
      <c r="Z5882" s="20"/>
      <c r="AG5882" s="20"/>
      <c r="AQ5882" s="19"/>
      <c r="AR5882" s="19"/>
      <c r="AS5882" s="19"/>
      <c r="AT5882" s="19"/>
      <c r="AU5882" s="19"/>
    </row>
    <row r="5883" spans="3:47">
      <c r="C5883" s="20"/>
      <c r="Z5883" s="20"/>
      <c r="AG5883" s="20"/>
      <c r="AQ5883" s="19"/>
      <c r="AR5883" s="19"/>
      <c r="AS5883" s="19"/>
      <c r="AT5883" s="19"/>
      <c r="AU5883" s="19"/>
    </row>
    <row r="5884" spans="3:47">
      <c r="C5884" s="20"/>
      <c r="Z5884" s="20"/>
      <c r="AG5884" s="20"/>
      <c r="AQ5884" s="19"/>
      <c r="AR5884" s="19"/>
      <c r="AS5884" s="19"/>
      <c r="AT5884" s="19"/>
      <c r="AU5884" s="19"/>
    </row>
    <row r="5885" spans="3:47">
      <c r="C5885" s="20"/>
      <c r="Z5885" s="20"/>
      <c r="AG5885" s="20"/>
      <c r="AQ5885" s="19"/>
      <c r="AR5885" s="19"/>
      <c r="AS5885" s="19"/>
      <c r="AT5885" s="19"/>
      <c r="AU5885" s="19"/>
    </row>
    <row r="5886" spans="3:47">
      <c r="C5886" s="20"/>
      <c r="Z5886" s="20"/>
      <c r="AG5886" s="20"/>
      <c r="AQ5886" s="19"/>
      <c r="AR5886" s="19"/>
      <c r="AS5886" s="19"/>
      <c r="AT5886" s="19"/>
      <c r="AU5886" s="19"/>
    </row>
    <row r="5887" spans="3:47">
      <c r="C5887" s="20"/>
      <c r="Z5887" s="20"/>
      <c r="AG5887" s="20"/>
      <c r="AQ5887" s="19"/>
      <c r="AR5887" s="19"/>
      <c r="AS5887" s="19"/>
      <c r="AT5887" s="19"/>
      <c r="AU5887" s="19"/>
    </row>
    <row r="5888" spans="3:47">
      <c r="C5888" s="20"/>
      <c r="Z5888" s="20"/>
      <c r="AG5888" s="20"/>
      <c r="AQ5888" s="19"/>
      <c r="AR5888" s="19"/>
      <c r="AS5888" s="19"/>
      <c r="AT5888" s="19"/>
      <c r="AU5888" s="19"/>
    </row>
    <row r="5889" spans="3:47">
      <c r="C5889" s="20"/>
      <c r="Z5889" s="20"/>
      <c r="AG5889" s="20"/>
      <c r="AQ5889" s="19"/>
      <c r="AR5889" s="19"/>
      <c r="AS5889" s="19"/>
      <c r="AT5889" s="19"/>
      <c r="AU5889" s="19"/>
    </row>
    <row r="5890" spans="3:47">
      <c r="C5890" s="20"/>
      <c r="Z5890" s="20"/>
      <c r="AG5890" s="20"/>
      <c r="AQ5890" s="19"/>
      <c r="AR5890" s="19"/>
      <c r="AS5890" s="19"/>
      <c r="AT5890" s="19"/>
      <c r="AU5890" s="19"/>
    </row>
    <row r="5891" spans="3:47">
      <c r="C5891" s="20"/>
      <c r="Z5891" s="20"/>
      <c r="AG5891" s="20"/>
      <c r="AQ5891" s="19"/>
      <c r="AR5891" s="19"/>
      <c r="AS5891" s="19"/>
      <c r="AT5891" s="19"/>
      <c r="AU5891" s="19"/>
    </row>
    <row r="5892" spans="3:47">
      <c r="C5892" s="20"/>
      <c r="Z5892" s="20"/>
      <c r="AG5892" s="20"/>
      <c r="AQ5892" s="19"/>
      <c r="AR5892" s="19"/>
      <c r="AS5892" s="19"/>
      <c r="AT5892" s="19"/>
      <c r="AU5892" s="19"/>
    </row>
    <row r="5893" spans="3:47">
      <c r="C5893" s="20"/>
      <c r="Z5893" s="20"/>
      <c r="AG5893" s="20"/>
      <c r="AQ5893" s="19"/>
      <c r="AR5893" s="19"/>
      <c r="AS5893" s="19"/>
      <c r="AT5893" s="19"/>
      <c r="AU5893" s="19"/>
    </row>
    <row r="5894" spans="3:47">
      <c r="C5894" s="20"/>
      <c r="Z5894" s="20"/>
      <c r="AG5894" s="20"/>
      <c r="AQ5894" s="19"/>
      <c r="AR5894" s="19"/>
      <c r="AS5894" s="19"/>
      <c r="AT5894" s="19"/>
      <c r="AU5894" s="19"/>
    </row>
    <row r="5895" spans="3:47">
      <c r="C5895" s="20"/>
      <c r="Z5895" s="20"/>
      <c r="AG5895" s="20"/>
      <c r="AQ5895" s="19"/>
      <c r="AR5895" s="19"/>
      <c r="AS5895" s="19"/>
      <c r="AT5895" s="19"/>
      <c r="AU5895" s="19"/>
    </row>
    <row r="5896" spans="3:47">
      <c r="C5896" s="20"/>
      <c r="Z5896" s="20"/>
      <c r="AG5896" s="20"/>
      <c r="AQ5896" s="19"/>
      <c r="AR5896" s="19"/>
      <c r="AS5896" s="19"/>
      <c r="AT5896" s="19"/>
      <c r="AU5896" s="19"/>
    </row>
    <row r="5897" spans="3:47">
      <c r="C5897" s="20"/>
      <c r="Z5897" s="20"/>
      <c r="AG5897" s="20"/>
      <c r="AQ5897" s="19"/>
      <c r="AR5897" s="19"/>
      <c r="AS5897" s="19"/>
      <c r="AT5897" s="19"/>
      <c r="AU5897" s="19"/>
    </row>
    <row r="5898" spans="3:47">
      <c r="C5898" s="20"/>
      <c r="Z5898" s="20"/>
      <c r="AG5898" s="20"/>
      <c r="AQ5898" s="19"/>
      <c r="AR5898" s="19"/>
      <c r="AS5898" s="19"/>
      <c r="AT5898" s="19"/>
      <c r="AU5898" s="19"/>
    </row>
    <row r="5899" spans="3:47">
      <c r="C5899" s="20"/>
      <c r="Z5899" s="20"/>
      <c r="AG5899" s="20"/>
      <c r="AQ5899" s="19"/>
      <c r="AR5899" s="19"/>
      <c r="AS5899" s="19"/>
      <c r="AT5899" s="19"/>
      <c r="AU5899" s="19"/>
    </row>
    <row r="5900" spans="3:47">
      <c r="C5900" s="20"/>
      <c r="Z5900" s="20"/>
      <c r="AG5900" s="20"/>
      <c r="AQ5900" s="19"/>
      <c r="AR5900" s="19"/>
      <c r="AS5900" s="19"/>
      <c r="AT5900" s="19"/>
      <c r="AU5900" s="19"/>
    </row>
    <row r="5901" spans="3:47">
      <c r="C5901" s="20"/>
      <c r="Z5901" s="20"/>
      <c r="AG5901" s="20"/>
      <c r="AQ5901" s="19"/>
      <c r="AR5901" s="19"/>
      <c r="AS5901" s="19"/>
      <c r="AT5901" s="19"/>
      <c r="AU5901" s="19"/>
    </row>
    <row r="5902" spans="3:47">
      <c r="C5902" s="20"/>
      <c r="Z5902" s="20"/>
      <c r="AG5902" s="20"/>
      <c r="AQ5902" s="19"/>
      <c r="AR5902" s="19"/>
      <c r="AS5902" s="19"/>
      <c r="AT5902" s="19"/>
      <c r="AU5902" s="19"/>
    </row>
    <row r="5903" spans="3:47">
      <c r="C5903" s="20"/>
      <c r="Z5903" s="20"/>
      <c r="AG5903" s="20"/>
      <c r="AQ5903" s="19"/>
      <c r="AR5903" s="19"/>
      <c r="AS5903" s="19"/>
      <c r="AT5903" s="19"/>
      <c r="AU5903" s="19"/>
    </row>
    <row r="5904" spans="3:47">
      <c r="C5904" s="20"/>
      <c r="Z5904" s="20"/>
      <c r="AG5904" s="20"/>
      <c r="AQ5904" s="19"/>
      <c r="AR5904" s="19"/>
      <c r="AS5904" s="19"/>
      <c r="AT5904" s="19"/>
      <c r="AU5904" s="19"/>
    </row>
    <row r="5905" spans="3:47">
      <c r="C5905" s="20"/>
      <c r="Z5905" s="20"/>
      <c r="AG5905" s="20"/>
      <c r="AQ5905" s="19"/>
      <c r="AR5905" s="19"/>
      <c r="AS5905" s="19"/>
      <c r="AT5905" s="19"/>
      <c r="AU5905" s="19"/>
    </row>
    <row r="5906" spans="3:47">
      <c r="C5906" s="20"/>
      <c r="Z5906" s="20"/>
      <c r="AG5906" s="20"/>
      <c r="AQ5906" s="19"/>
      <c r="AR5906" s="19"/>
      <c r="AS5906" s="19"/>
      <c r="AT5906" s="19"/>
      <c r="AU5906" s="19"/>
    </row>
    <row r="5907" spans="3:47">
      <c r="C5907" s="20"/>
      <c r="Z5907" s="20"/>
      <c r="AG5907" s="20"/>
      <c r="AQ5907" s="19"/>
      <c r="AR5907" s="19"/>
      <c r="AS5907" s="19"/>
      <c r="AT5907" s="19"/>
      <c r="AU5907" s="19"/>
    </row>
    <row r="5908" spans="3:47">
      <c r="C5908" s="20"/>
      <c r="Z5908" s="20"/>
      <c r="AG5908" s="20"/>
      <c r="AQ5908" s="19"/>
      <c r="AR5908" s="19"/>
      <c r="AS5908" s="19"/>
      <c r="AT5908" s="19"/>
      <c r="AU5908" s="19"/>
    </row>
    <row r="5909" spans="3:47">
      <c r="C5909" s="20"/>
      <c r="Z5909" s="20"/>
      <c r="AG5909" s="20"/>
      <c r="AQ5909" s="19"/>
      <c r="AR5909" s="19"/>
      <c r="AS5909" s="19"/>
      <c r="AT5909" s="19"/>
      <c r="AU5909" s="19"/>
    </row>
    <row r="5910" spans="3:47">
      <c r="C5910" s="20"/>
      <c r="Z5910" s="20"/>
      <c r="AG5910" s="20"/>
      <c r="AQ5910" s="19"/>
      <c r="AR5910" s="19"/>
      <c r="AS5910" s="19"/>
      <c r="AT5910" s="19"/>
      <c r="AU5910" s="19"/>
    </row>
    <row r="5911" spans="3:47">
      <c r="C5911" s="20"/>
      <c r="Z5911" s="20"/>
      <c r="AG5911" s="20"/>
      <c r="AQ5911" s="19"/>
      <c r="AR5911" s="19"/>
      <c r="AS5911" s="19"/>
      <c r="AT5911" s="19"/>
      <c r="AU5911" s="19"/>
    </row>
    <row r="5912" spans="3:47">
      <c r="C5912" s="20"/>
      <c r="Z5912" s="20"/>
      <c r="AG5912" s="20"/>
      <c r="AQ5912" s="19"/>
      <c r="AR5912" s="19"/>
      <c r="AS5912" s="19"/>
      <c r="AT5912" s="19"/>
      <c r="AU5912" s="19"/>
    </row>
    <row r="5913" spans="3:47">
      <c r="C5913" s="20"/>
      <c r="Z5913" s="20"/>
      <c r="AG5913" s="20"/>
      <c r="AQ5913" s="19"/>
      <c r="AR5913" s="19"/>
      <c r="AS5913" s="19"/>
      <c r="AT5913" s="19"/>
      <c r="AU5913" s="19"/>
    </row>
    <row r="5914" spans="3:47">
      <c r="C5914" s="20"/>
      <c r="Z5914" s="20"/>
      <c r="AG5914" s="20"/>
      <c r="AQ5914" s="19"/>
      <c r="AR5914" s="19"/>
      <c r="AS5914" s="19"/>
      <c r="AT5914" s="19"/>
      <c r="AU5914" s="19"/>
    </row>
    <row r="5915" spans="3:47">
      <c r="C5915" s="20"/>
      <c r="Z5915" s="20"/>
      <c r="AG5915" s="20"/>
      <c r="AQ5915" s="19"/>
      <c r="AR5915" s="19"/>
      <c r="AS5915" s="19"/>
      <c r="AT5915" s="19"/>
      <c r="AU5915" s="19"/>
    </row>
    <row r="5916" spans="3:47">
      <c r="C5916" s="20"/>
      <c r="Z5916" s="20"/>
      <c r="AG5916" s="20"/>
      <c r="AQ5916" s="19"/>
      <c r="AR5916" s="19"/>
      <c r="AS5916" s="19"/>
      <c r="AT5916" s="19"/>
      <c r="AU5916" s="19"/>
    </row>
    <row r="5917" spans="3:47">
      <c r="C5917" s="20"/>
      <c r="Z5917" s="20"/>
      <c r="AG5917" s="20"/>
      <c r="AQ5917" s="19"/>
      <c r="AR5917" s="19"/>
      <c r="AS5917" s="19"/>
      <c r="AT5917" s="19"/>
      <c r="AU5917" s="19"/>
    </row>
    <row r="5918" spans="3:47">
      <c r="C5918" s="20"/>
      <c r="Z5918" s="20"/>
      <c r="AG5918" s="20"/>
      <c r="AQ5918" s="19"/>
      <c r="AR5918" s="19"/>
      <c r="AS5918" s="19"/>
      <c r="AT5918" s="19"/>
      <c r="AU5918" s="19"/>
    </row>
    <row r="5919" spans="3:47">
      <c r="C5919" s="20"/>
      <c r="Z5919" s="20"/>
      <c r="AG5919" s="20"/>
      <c r="AQ5919" s="19"/>
      <c r="AR5919" s="19"/>
      <c r="AS5919" s="19"/>
      <c r="AT5919" s="19"/>
      <c r="AU5919" s="19"/>
    </row>
    <row r="5920" spans="3:47">
      <c r="C5920" s="20"/>
      <c r="Z5920" s="20"/>
      <c r="AG5920" s="20"/>
      <c r="AQ5920" s="19"/>
      <c r="AR5920" s="19"/>
      <c r="AS5920" s="19"/>
      <c r="AT5920" s="19"/>
      <c r="AU5920" s="19"/>
    </row>
    <row r="5921" spans="3:47">
      <c r="C5921" s="20"/>
      <c r="Z5921" s="20"/>
      <c r="AG5921" s="20"/>
      <c r="AQ5921" s="19"/>
      <c r="AR5921" s="19"/>
      <c r="AS5921" s="19"/>
      <c r="AT5921" s="19"/>
      <c r="AU5921" s="19"/>
    </row>
    <row r="5922" spans="3:47">
      <c r="C5922" s="20"/>
      <c r="Z5922" s="20"/>
      <c r="AG5922" s="20"/>
      <c r="AQ5922" s="19"/>
      <c r="AR5922" s="19"/>
      <c r="AS5922" s="19"/>
      <c r="AT5922" s="19"/>
      <c r="AU5922" s="19"/>
    </row>
    <row r="5923" spans="3:47">
      <c r="C5923" s="20"/>
      <c r="Z5923" s="20"/>
      <c r="AG5923" s="20"/>
      <c r="AQ5923" s="19"/>
      <c r="AR5923" s="19"/>
      <c r="AS5923" s="19"/>
      <c r="AT5923" s="19"/>
      <c r="AU5923" s="19"/>
    </row>
    <row r="5924" spans="3:47">
      <c r="C5924" s="20"/>
      <c r="Z5924" s="20"/>
      <c r="AG5924" s="20"/>
      <c r="AQ5924" s="19"/>
      <c r="AR5924" s="19"/>
      <c r="AS5924" s="19"/>
      <c r="AT5924" s="19"/>
      <c r="AU5924" s="19"/>
    </row>
    <row r="5925" spans="3:47">
      <c r="C5925" s="20"/>
      <c r="Z5925" s="20"/>
      <c r="AG5925" s="20"/>
      <c r="AQ5925" s="19"/>
      <c r="AR5925" s="19"/>
      <c r="AS5925" s="19"/>
      <c r="AT5925" s="19"/>
      <c r="AU5925" s="19"/>
    </row>
    <row r="5926" spans="3:47">
      <c r="C5926" s="20"/>
      <c r="Z5926" s="20"/>
      <c r="AG5926" s="20"/>
      <c r="AQ5926" s="19"/>
      <c r="AR5926" s="19"/>
      <c r="AS5926" s="19"/>
      <c r="AT5926" s="19"/>
      <c r="AU5926" s="19"/>
    </row>
    <row r="5927" spans="3:47">
      <c r="C5927" s="20"/>
      <c r="Z5927" s="20"/>
      <c r="AG5927" s="20"/>
      <c r="AQ5927" s="19"/>
      <c r="AR5927" s="19"/>
      <c r="AS5927" s="19"/>
      <c r="AT5927" s="19"/>
      <c r="AU5927" s="19"/>
    </row>
    <row r="5928" spans="3:47">
      <c r="C5928" s="20"/>
      <c r="Z5928" s="20"/>
      <c r="AG5928" s="20"/>
      <c r="AQ5928" s="19"/>
      <c r="AR5928" s="19"/>
      <c r="AS5928" s="19"/>
      <c r="AT5928" s="19"/>
      <c r="AU5928" s="19"/>
    </row>
    <row r="5929" spans="3:47">
      <c r="C5929" s="20"/>
      <c r="Z5929" s="20"/>
      <c r="AG5929" s="20"/>
      <c r="AQ5929" s="19"/>
      <c r="AR5929" s="19"/>
      <c r="AS5929" s="19"/>
      <c r="AT5929" s="19"/>
      <c r="AU5929" s="19"/>
    </row>
    <row r="5930" spans="3:47">
      <c r="C5930" s="20"/>
      <c r="Z5930" s="20"/>
      <c r="AG5930" s="20"/>
      <c r="AQ5930" s="19"/>
      <c r="AR5930" s="19"/>
      <c r="AS5930" s="19"/>
      <c r="AT5930" s="19"/>
      <c r="AU5930" s="19"/>
    </row>
    <row r="5931" spans="3:47">
      <c r="C5931" s="20"/>
      <c r="Z5931" s="20"/>
      <c r="AG5931" s="20"/>
      <c r="AQ5931" s="19"/>
      <c r="AR5931" s="19"/>
      <c r="AS5931" s="19"/>
      <c r="AT5931" s="19"/>
      <c r="AU5931" s="19"/>
    </row>
    <row r="5932" spans="3:47">
      <c r="C5932" s="20"/>
      <c r="Z5932" s="20"/>
      <c r="AG5932" s="20"/>
      <c r="AQ5932" s="19"/>
      <c r="AR5932" s="19"/>
      <c r="AS5932" s="19"/>
      <c r="AT5932" s="19"/>
      <c r="AU5932" s="19"/>
    </row>
    <row r="5933" spans="3:47">
      <c r="C5933" s="20"/>
      <c r="Z5933" s="20"/>
      <c r="AG5933" s="20"/>
      <c r="AQ5933" s="19"/>
      <c r="AR5933" s="19"/>
      <c r="AS5933" s="19"/>
      <c r="AT5933" s="19"/>
      <c r="AU5933" s="19"/>
    </row>
    <row r="5934" spans="3:47">
      <c r="C5934" s="20"/>
      <c r="Z5934" s="20"/>
      <c r="AG5934" s="20"/>
      <c r="AQ5934" s="19"/>
      <c r="AR5934" s="19"/>
      <c r="AS5934" s="19"/>
      <c r="AT5934" s="19"/>
      <c r="AU5934" s="19"/>
    </row>
    <row r="5935" spans="3:47">
      <c r="C5935" s="20"/>
      <c r="Z5935" s="20"/>
      <c r="AG5935" s="20"/>
      <c r="AQ5935" s="19"/>
      <c r="AR5935" s="19"/>
      <c r="AS5935" s="19"/>
      <c r="AT5935" s="19"/>
      <c r="AU5935" s="19"/>
    </row>
    <row r="5936" spans="3:47">
      <c r="C5936" s="20"/>
      <c r="Z5936" s="20"/>
      <c r="AG5936" s="20"/>
      <c r="AQ5936" s="19"/>
      <c r="AR5936" s="19"/>
      <c r="AS5936" s="19"/>
      <c r="AT5936" s="19"/>
      <c r="AU5936" s="19"/>
    </row>
    <row r="5937" spans="3:47">
      <c r="C5937" s="20"/>
      <c r="Z5937" s="20"/>
      <c r="AG5937" s="20"/>
      <c r="AQ5937" s="19"/>
      <c r="AR5937" s="19"/>
      <c r="AS5937" s="19"/>
      <c r="AT5937" s="19"/>
      <c r="AU5937" s="19"/>
    </row>
    <row r="5938" spans="3:47">
      <c r="C5938" s="20"/>
      <c r="Z5938" s="20"/>
      <c r="AG5938" s="20"/>
      <c r="AQ5938" s="19"/>
      <c r="AR5938" s="19"/>
      <c r="AS5938" s="19"/>
      <c r="AT5938" s="19"/>
      <c r="AU5938" s="19"/>
    </row>
    <row r="5939" spans="3:47">
      <c r="C5939" s="20"/>
      <c r="Z5939" s="20"/>
      <c r="AG5939" s="20"/>
      <c r="AQ5939" s="19"/>
      <c r="AR5939" s="19"/>
      <c r="AS5939" s="19"/>
      <c r="AT5939" s="19"/>
      <c r="AU5939" s="19"/>
    </row>
    <row r="5940" spans="3:47">
      <c r="C5940" s="20"/>
      <c r="Z5940" s="20"/>
      <c r="AG5940" s="20"/>
      <c r="AQ5940" s="19"/>
      <c r="AR5940" s="19"/>
      <c r="AS5940" s="19"/>
      <c r="AT5940" s="19"/>
      <c r="AU5940" s="19"/>
    </row>
    <row r="5941" spans="3:47">
      <c r="C5941" s="20"/>
      <c r="Z5941" s="20"/>
      <c r="AG5941" s="20"/>
      <c r="AQ5941" s="19"/>
      <c r="AR5941" s="19"/>
      <c r="AS5941" s="19"/>
      <c r="AT5941" s="19"/>
      <c r="AU5941" s="19"/>
    </row>
    <row r="5942" spans="3:47">
      <c r="C5942" s="20"/>
      <c r="Z5942" s="20"/>
      <c r="AG5942" s="20"/>
      <c r="AQ5942" s="19"/>
      <c r="AR5942" s="19"/>
      <c r="AS5942" s="19"/>
      <c r="AT5942" s="19"/>
      <c r="AU5942" s="19"/>
    </row>
    <row r="5943" spans="3:47">
      <c r="C5943" s="20"/>
      <c r="Z5943" s="20"/>
      <c r="AG5943" s="20"/>
      <c r="AQ5943" s="19"/>
      <c r="AR5943" s="19"/>
      <c r="AS5943" s="19"/>
      <c r="AT5943" s="19"/>
      <c r="AU5943" s="19"/>
    </row>
    <row r="5944" spans="3:47">
      <c r="C5944" s="20"/>
      <c r="Z5944" s="20"/>
      <c r="AG5944" s="20"/>
      <c r="AQ5944" s="19"/>
      <c r="AR5944" s="19"/>
      <c r="AS5944" s="19"/>
      <c r="AT5944" s="19"/>
      <c r="AU5944" s="19"/>
    </row>
    <row r="5945" spans="3:47">
      <c r="C5945" s="20"/>
      <c r="Z5945" s="20"/>
      <c r="AG5945" s="20"/>
      <c r="AQ5945" s="19"/>
      <c r="AR5945" s="19"/>
      <c r="AS5945" s="19"/>
      <c r="AT5945" s="19"/>
      <c r="AU5945" s="19"/>
    </row>
    <row r="5946" spans="3:47">
      <c r="C5946" s="20"/>
      <c r="Z5946" s="20"/>
      <c r="AG5946" s="20"/>
      <c r="AQ5946" s="19"/>
      <c r="AR5946" s="19"/>
      <c r="AS5946" s="19"/>
      <c r="AT5946" s="19"/>
      <c r="AU5946" s="19"/>
    </row>
    <row r="5947" spans="3:47">
      <c r="C5947" s="20"/>
      <c r="Z5947" s="20"/>
      <c r="AG5947" s="20"/>
      <c r="AQ5947" s="19"/>
      <c r="AR5947" s="19"/>
      <c r="AS5947" s="19"/>
      <c r="AT5947" s="19"/>
      <c r="AU5947" s="19"/>
    </row>
    <row r="5948" spans="3:47">
      <c r="C5948" s="20"/>
      <c r="Z5948" s="20"/>
      <c r="AG5948" s="20"/>
      <c r="AQ5948" s="19"/>
      <c r="AR5948" s="19"/>
      <c r="AS5948" s="19"/>
      <c r="AT5948" s="19"/>
      <c r="AU5948" s="19"/>
    </row>
    <row r="5949" spans="3:47">
      <c r="C5949" s="20"/>
      <c r="Z5949" s="20"/>
      <c r="AG5949" s="20"/>
      <c r="AQ5949" s="19"/>
      <c r="AR5949" s="19"/>
      <c r="AS5949" s="19"/>
      <c r="AT5949" s="19"/>
      <c r="AU5949" s="19"/>
    </row>
    <row r="5950" spans="3:47">
      <c r="C5950" s="20"/>
      <c r="Z5950" s="20"/>
      <c r="AG5950" s="20"/>
      <c r="AQ5950" s="19"/>
      <c r="AR5950" s="19"/>
      <c r="AS5950" s="19"/>
      <c r="AT5950" s="19"/>
      <c r="AU5950" s="19"/>
    </row>
    <row r="5951" spans="3:47">
      <c r="C5951" s="20"/>
      <c r="Z5951" s="20"/>
      <c r="AG5951" s="20"/>
      <c r="AQ5951" s="19"/>
      <c r="AR5951" s="19"/>
      <c r="AS5951" s="19"/>
      <c r="AT5951" s="19"/>
      <c r="AU5951" s="19"/>
    </row>
    <row r="5952" spans="3:47">
      <c r="C5952" s="20"/>
      <c r="Z5952" s="20"/>
      <c r="AG5952" s="20"/>
      <c r="AQ5952" s="19"/>
      <c r="AR5952" s="19"/>
      <c r="AS5952" s="19"/>
      <c r="AT5952" s="19"/>
      <c r="AU5952" s="19"/>
    </row>
    <row r="5953" spans="3:47">
      <c r="C5953" s="20"/>
      <c r="Z5953" s="20"/>
      <c r="AG5953" s="20"/>
      <c r="AQ5953" s="19"/>
      <c r="AR5953" s="19"/>
      <c r="AS5953" s="19"/>
      <c r="AT5953" s="19"/>
      <c r="AU5953" s="19"/>
    </row>
    <row r="5954" spans="3:47">
      <c r="C5954" s="20"/>
      <c r="Z5954" s="20"/>
      <c r="AG5954" s="20"/>
      <c r="AQ5954" s="19"/>
      <c r="AR5954" s="19"/>
      <c r="AS5954" s="19"/>
      <c r="AT5954" s="19"/>
      <c r="AU5954" s="19"/>
    </row>
    <row r="5955" spans="3:47">
      <c r="C5955" s="20"/>
      <c r="Z5955" s="20"/>
      <c r="AG5955" s="20"/>
      <c r="AQ5955" s="19"/>
      <c r="AR5955" s="19"/>
      <c r="AS5955" s="19"/>
      <c r="AT5955" s="19"/>
      <c r="AU5955" s="19"/>
    </row>
    <row r="5956" spans="3:47">
      <c r="C5956" s="20"/>
      <c r="Z5956" s="20"/>
      <c r="AG5956" s="20"/>
      <c r="AQ5956" s="19"/>
      <c r="AR5956" s="19"/>
      <c r="AS5956" s="19"/>
      <c r="AT5956" s="19"/>
      <c r="AU5956" s="19"/>
    </row>
    <row r="5957" spans="3:47">
      <c r="C5957" s="20"/>
      <c r="Z5957" s="20"/>
      <c r="AG5957" s="20"/>
      <c r="AQ5957" s="19"/>
      <c r="AR5957" s="19"/>
      <c r="AS5957" s="19"/>
      <c r="AT5957" s="19"/>
      <c r="AU5957" s="19"/>
    </row>
    <row r="5958" spans="3:47">
      <c r="C5958" s="20"/>
      <c r="Z5958" s="20"/>
      <c r="AG5958" s="20"/>
      <c r="AQ5958" s="19"/>
      <c r="AR5958" s="19"/>
      <c r="AS5958" s="19"/>
      <c r="AT5958" s="19"/>
      <c r="AU5958" s="19"/>
    </row>
    <row r="5959" spans="3:47">
      <c r="C5959" s="20"/>
      <c r="Z5959" s="20"/>
      <c r="AG5959" s="20"/>
      <c r="AQ5959" s="19"/>
      <c r="AR5959" s="19"/>
      <c r="AS5959" s="19"/>
      <c r="AT5959" s="19"/>
      <c r="AU5959" s="19"/>
    </row>
    <row r="5960" spans="3:47">
      <c r="C5960" s="20"/>
      <c r="Z5960" s="20"/>
      <c r="AG5960" s="20"/>
      <c r="AQ5960" s="19"/>
      <c r="AR5960" s="19"/>
      <c r="AS5960" s="19"/>
      <c r="AT5960" s="19"/>
      <c r="AU5960" s="19"/>
    </row>
    <row r="5961" spans="3:47">
      <c r="C5961" s="20"/>
      <c r="Z5961" s="20"/>
      <c r="AG5961" s="20"/>
      <c r="AQ5961" s="19"/>
      <c r="AR5961" s="19"/>
      <c r="AS5961" s="19"/>
      <c r="AT5961" s="19"/>
      <c r="AU5961" s="19"/>
    </row>
    <row r="5962" spans="3:47">
      <c r="C5962" s="20"/>
      <c r="Z5962" s="20"/>
      <c r="AG5962" s="20"/>
      <c r="AQ5962" s="19"/>
      <c r="AR5962" s="19"/>
      <c r="AS5962" s="19"/>
      <c r="AT5962" s="19"/>
      <c r="AU5962" s="19"/>
    </row>
    <row r="5963" spans="3:47">
      <c r="C5963" s="20"/>
      <c r="Z5963" s="20"/>
      <c r="AG5963" s="20"/>
      <c r="AQ5963" s="19"/>
      <c r="AR5963" s="19"/>
      <c r="AS5963" s="19"/>
      <c r="AT5963" s="19"/>
      <c r="AU5963" s="19"/>
    </row>
    <row r="5964" spans="3:47">
      <c r="C5964" s="20"/>
      <c r="Z5964" s="20"/>
      <c r="AG5964" s="20"/>
      <c r="AQ5964" s="19"/>
      <c r="AR5964" s="19"/>
      <c r="AS5964" s="19"/>
      <c r="AT5964" s="19"/>
      <c r="AU5964" s="19"/>
    </row>
    <row r="5965" spans="3:47">
      <c r="C5965" s="20"/>
      <c r="Z5965" s="20"/>
      <c r="AG5965" s="20"/>
      <c r="AQ5965" s="19"/>
      <c r="AR5965" s="19"/>
      <c r="AS5965" s="19"/>
      <c r="AT5965" s="19"/>
      <c r="AU5965" s="19"/>
    </row>
    <row r="5966" spans="3:47">
      <c r="C5966" s="20"/>
      <c r="Z5966" s="20"/>
      <c r="AG5966" s="20"/>
      <c r="AQ5966" s="19"/>
      <c r="AR5966" s="19"/>
      <c r="AS5966" s="19"/>
      <c r="AT5966" s="19"/>
      <c r="AU5966" s="19"/>
    </row>
    <row r="5967" spans="3:47">
      <c r="C5967" s="20"/>
      <c r="Z5967" s="20"/>
      <c r="AG5967" s="20"/>
      <c r="AQ5967" s="19"/>
      <c r="AR5967" s="19"/>
      <c r="AS5967" s="19"/>
      <c r="AT5967" s="19"/>
      <c r="AU5967" s="19"/>
    </row>
    <row r="5968" spans="3:47">
      <c r="C5968" s="20"/>
      <c r="Z5968" s="20"/>
      <c r="AG5968" s="20"/>
      <c r="AQ5968" s="19"/>
      <c r="AR5968" s="19"/>
      <c r="AS5968" s="19"/>
      <c r="AT5968" s="19"/>
      <c r="AU5968" s="19"/>
    </row>
    <row r="5969" spans="3:47">
      <c r="C5969" s="20"/>
      <c r="Z5969" s="20"/>
      <c r="AG5969" s="20"/>
      <c r="AQ5969" s="19"/>
      <c r="AR5969" s="19"/>
      <c r="AS5969" s="19"/>
      <c r="AT5969" s="19"/>
      <c r="AU5969" s="19"/>
    </row>
    <row r="5970" spans="3:47">
      <c r="C5970" s="20"/>
      <c r="Z5970" s="20"/>
      <c r="AG5970" s="20"/>
      <c r="AQ5970" s="19"/>
      <c r="AR5970" s="19"/>
      <c r="AS5970" s="19"/>
      <c r="AT5970" s="19"/>
      <c r="AU5970" s="19"/>
    </row>
    <row r="5971" spans="3:47">
      <c r="C5971" s="20"/>
      <c r="Z5971" s="20"/>
      <c r="AG5971" s="20"/>
      <c r="AQ5971" s="19"/>
      <c r="AR5971" s="19"/>
      <c r="AS5971" s="19"/>
      <c r="AT5971" s="19"/>
      <c r="AU5971" s="19"/>
    </row>
    <row r="5972" spans="3:47">
      <c r="C5972" s="20"/>
      <c r="Z5972" s="20"/>
      <c r="AG5972" s="20"/>
      <c r="AQ5972" s="19"/>
      <c r="AR5972" s="19"/>
      <c r="AS5972" s="19"/>
      <c r="AT5972" s="19"/>
      <c r="AU5972" s="19"/>
    </row>
    <row r="5973" spans="3:47">
      <c r="C5973" s="20"/>
      <c r="Z5973" s="20"/>
      <c r="AG5973" s="20"/>
      <c r="AQ5973" s="19"/>
      <c r="AR5973" s="19"/>
      <c r="AS5973" s="19"/>
      <c r="AT5973" s="19"/>
      <c r="AU5973" s="19"/>
    </row>
    <row r="5974" spans="3:47">
      <c r="C5974" s="20"/>
      <c r="Z5974" s="20"/>
      <c r="AG5974" s="20"/>
      <c r="AQ5974" s="19"/>
      <c r="AR5974" s="19"/>
      <c r="AS5974" s="19"/>
      <c r="AT5974" s="19"/>
      <c r="AU5974" s="19"/>
    </row>
    <row r="5975" spans="3:47">
      <c r="C5975" s="20"/>
      <c r="Z5975" s="20"/>
      <c r="AG5975" s="20"/>
      <c r="AQ5975" s="19"/>
      <c r="AR5975" s="19"/>
      <c r="AS5975" s="19"/>
      <c r="AT5975" s="19"/>
      <c r="AU5975" s="19"/>
    </row>
    <row r="5976" spans="3:47">
      <c r="C5976" s="20"/>
      <c r="Z5976" s="20"/>
      <c r="AG5976" s="20"/>
      <c r="AQ5976" s="19"/>
      <c r="AR5976" s="19"/>
      <c r="AS5976" s="19"/>
      <c r="AT5976" s="19"/>
      <c r="AU5976" s="19"/>
    </row>
    <row r="5977" spans="3:47">
      <c r="C5977" s="20"/>
      <c r="Z5977" s="20"/>
      <c r="AG5977" s="20"/>
      <c r="AQ5977" s="19"/>
      <c r="AR5977" s="19"/>
      <c r="AS5977" s="19"/>
      <c r="AT5977" s="19"/>
      <c r="AU5977" s="19"/>
    </row>
    <row r="5978" spans="3:47">
      <c r="C5978" s="20"/>
      <c r="Z5978" s="20"/>
      <c r="AG5978" s="20"/>
      <c r="AQ5978" s="19"/>
      <c r="AR5978" s="19"/>
      <c r="AS5978" s="19"/>
      <c r="AT5978" s="19"/>
      <c r="AU5978" s="19"/>
    </row>
    <row r="5979" spans="3:47">
      <c r="C5979" s="20"/>
      <c r="Z5979" s="20"/>
      <c r="AG5979" s="20"/>
      <c r="AQ5979" s="19"/>
      <c r="AR5979" s="19"/>
      <c r="AS5979" s="19"/>
      <c r="AT5979" s="19"/>
      <c r="AU5979" s="19"/>
    </row>
    <row r="5980" spans="3:47">
      <c r="C5980" s="20"/>
      <c r="Z5980" s="20"/>
      <c r="AG5980" s="20"/>
      <c r="AQ5980" s="19"/>
      <c r="AR5980" s="19"/>
      <c r="AS5980" s="19"/>
      <c r="AT5980" s="19"/>
      <c r="AU5980" s="19"/>
    </row>
    <row r="5981" spans="3:47">
      <c r="C5981" s="20"/>
      <c r="Z5981" s="20"/>
      <c r="AG5981" s="20"/>
      <c r="AQ5981" s="19"/>
      <c r="AR5981" s="19"/>
      <c r="AS5981" s="19"/>
      <c r="AT5981" s="19"/>
      <c r="AU5981" s="19"/>
    </row>
    <row r="5982" spans="3:47">
      <c r="C5982" s="20"/>
      <c r="Z5982" s="20"/>
      <c r="AG5982" s="20"/>
      <c r="AQ5982" s="19"/>
      <c r="AR5982" s="19"/>
      <c r="AS5982" s="19"/>
      <c r="AT5982" s="19"/>
      <c r="AU5982" s="19"/>
    </row>
    <row r="5983" spans="3:47">
      <c r="C5983" s="20"/>
      <c r="Z5983" s="20"/>
      <c r="AG5983" s="20"/>
      <c r="AQ5983" s="19"/>
      <c r="AR5983" s="19"/>
      <c r="AS5983" s="19"/>
      <c r="AT5983" s="19"/>
      <c r="AU5983" s="19"/>
    </row>
    <row r="5984" spans="3:47">
      <c r="C5984" s="20"/>
      <c r="Z5984" s="20"/>
      <c r="AG5984" s="20"/>
      <c r="AQ5984" s="19"/>
      <c r="AR5984" s="19"/>
      <c r="AS5984" s="19"/>
      <c r="AT5984" s="19"/>
      <c r="AU5984" s="19"/>
    </row>
    <row r="5985" spans="3:47">
      <c r="C5985" s="20"/>
      <c r="Z5985" s="20"/>
      <c r="AG5985" s="20"/>
      <c r="AQ5985" s="19"/>
      <c r="AR5985" s="19"/>
      <c r="AS5985" s="19"/>
      <c r="AT5985" s="19"/>
      <c r="AU5985" s="19"/>
    </row>
    <row r="5986" spans="3:47">
      <c r="C5986" s="20"/>
      <c r="Z5986" s="20"/>
      <c r="AG5986" s="20"/>
      <c r="AQ5986" s="19"/>
      <c r="AR5986" s="19"/>
      <c r="AS5986" s="19"/>
      <c r="AT5986" s="19"/>
      <c r="AU5986" s="19"/>
    </row>
    <row r="5987" spans="3:47">
      <c r="C5987" s="20"/>
      <c r="Z5987" s="20"/>
      <c r="AG5987" s="20"/>
      <c r="AQ5987" s="19"/>
      <c r="AR5987" s="19"/>
      <c r="AS5987" s="19"/>
      <c r="AT5987" s="19"/>
      <c r="AU5987" s="19"/>
    </row>
    <row r="5988" spans="3:47">
      <c r="C5988" s="20"/>
      <c r="Z5988" s="20"/>
      <c r="AG5988" s="20"/>
      <c r="AQ5988" s="19"/>
      <c r="AR5988" s="19"/>
      <c r="AS5988" s="19"/>
      <c r="AT5988" s="19"/>
      <c r="AU5988" s="19"/>
    </row>
    <row r="5989" spans="3:47">
      <c r="C5989" s="20"/>
      <c r="Z5989" s="20"/>
      <c r="AG5989" s="20"/>
      <c r="AQ5989" s="19"/>
      <c r="AR5989" s="19"/>
      <c r="AS5989" s="19"/>
      <c r="AT5989" s="19"/>
      <c r="AU5989" s="19"/>
    </row>
    <row r="5990" spans="3:47">
      <c r="C5990" s="20"/>
      <c r="Z5990" s="20"/>
      <c r="AG5990" s="20"/>
      <c r="AQ5990" s="19"/>
      <c r="AR5990" s="19"/>
      <c r="AS5990" s="19"/>
      <c r="AT5990" s="19"/>
      <c r="AU5990" s="19"/>
    </row>
    <row r="5991" spans="3:47">
      <c r="C5991" s="20"/>
      <c r="Z5991" s="20"/>
      <c r="AG5991" s="20"/>
      <c r="AQ5991" s="19"/>
      <c r="AR5991" s="19"/>
      <c r="AS5991" s="19"/>
      <c r="AT5991" s="19"/>
      <c r="AU5991" s="19"/>
    </row>
    <row r="5992" spans="3:47">
      <c r="C5992" s="20"/>
      <c r="Z5992" s="20"/>
      <c r="AG5992" s="20"/>
      <c r="AQ5992" s="19"/>
      <c r="AR5992" s="19"/>
      <c r="AS5992" s="19"/>
      <c r="AT5992" s="19"/>
      <c r="AU5992" s="19"/>
    </row>
    <row r="5993" spans="3:47">
      <c r="C5993" s="20"/>
      <c r="Z5993" s="20"/>
      <c r="AG5993" s="20"/>
      <c r="AQ5993" s="19"/>
      <c r="AR5993" s="19"/>
      <c r="AS5993" s="19"/>
      <c r="AT5993" s="19"/>
      <c r="AU5993" s="19"/>
    </row>
    <row r="5994" spans="3:47">
      <c r="C5994" s="20"/>
      <c r="Z5994" s="20"/>
      <c r="AG5994" s="20"/>
      <c r="AQ5994" s="19"/>
      <c r="AR5994" s="19"/>
      <c r="AS5994" s="19"/>
      <c r="AT5994" s="19"/>
      <c r="AU5994" s="19"/>
    </row>
    <row r="5995" spans="3:47">
      <c r="C5995" s="20"/>
      <c r="Z5995" s="20"/>
      <c r="AG5995" s="20"/>
      <c r="AQ5995" s="19"/>
      <c r="AR5995" s="19"/>
      <c r="AS5995" s="19"/>
      <c r="AT5995" s="19"/>
      <c r="AU5995" s="19"/>
    </row>
    <row r="5996" spans="3:47">
      <c r="C5996" s="20"/>
      <c r="Z5996" s="20"/>
      <c r="AG5996" s="20"/>
      <c r="AQ5996" s="19"/>
      <c r="AR5996" s="19"/>
      <c r="AS5996" s="19"/>
      <c r="AT5996" s="19"/>
      <c r="AU5996" s="19"/>
    </row>
    <row r="5997" spans="3:47">
      <c r="C5997" s="20"/>
      <c r="Z5997" s="20"/>
      <c r="AG5997" s="20"/>
      <c r="AQ5997" s="19"/>
      <c r="AR5997" s="19"/>
      <c r="AS5997" s="19"/>
      <c r="AT5997" s="19"/>
      <c r="AU5997" s="19"/>
    </row>
    <row r="5998" spans="3:47">
      <c r="C5998" s="20"/>
      <c r="Z5998" s="20"/>
      <c r="AG5998" s="20"/>
      <c r="AQ5998" s="19"/>
      <c r="AR5998" s="19"/>
      <c r="AS5998" s="19"/>
      <c r="AT5998" s="19"/>
      <c r="AU5998" s="19"/>
    </row>
    <row r="5999" spans="3:47">
      <c r="C5999" s="20"/>
      <c r="Z5999" s="20"/>
      <c r="AG5999" s="20"/>
      <c r="AQ5999" s="19"/>
      <c r="AR5999" s="19"/>
      <c r="AS5999" s="19"/>
      <c r="AT5999" s="19"/>
      <c r="AU5999" s="19"/>
    </row>
    <row r="6000" spans="3:47">
      <c r="C6000" s="20"/>
      <c r="Z6000" s="20"/>
      <c r="AG6000" s="20"/>
      <c r="AQ6000" s="19"/>
      <c r="AR6000" s="19"/>
      <c r="AS6000" s="19"/>
      <c r="AT6000" s="19"/>
      <c r="AU6000" s="19"/>
    </row>
    <row r="6001" spans="3:47">
      <c r="C6001" s="20"/>
      <c r="Z6001" s="20"/>
      <c r="AG6001" s="20"/>
      <c r="AQ6001" s="19"/>
      <c r="AR6001" s="19"/>
      <c r="AS6001" s="19"/>
      <c r="AT6001" s="19"/>
      <c r="AU6001" s="19"/>
    </row>
    <row r="6002" spans="3:47">
      <c r="C6002" s="20"/>
      <c r="Z6002" s="20"/>
      <c r="AG6002" s="20"/>
      <c r="AQ6002" s="19"/>
      <c r="AR6002" s="19"/>
      <c r="AS6002" s="19"/>
      <c r="AT6002" s="19"/>
      <c r="AU6002" s="19"/>
    </row>
    <row r="6003" spans="3:47">
      <c r="C6003" s="20"/>
      <c r="Z6003" s="20"/>
      <c r="AG6003" s="20"/>
      <c r="AQ6003" s="19"/>
      <c r="AR6003" s="19"/>
      <c r="AS6003" s="19"/>
      <c r="AT6003" s="19"/>
      <c r="AU6003" s="19"/>
    </row>
    <row r="6004" spans="3:47">
      <c r="C6004" s="20"/>
      <c r="Z6004" s="20"/>
      <c r="AG6004" s="20"/>
      <c r="AQ6004" s="19"/>
      <c r="AR6004" s="19"/>
      <c r="AS6004" s="19"/>
      <c r="AT6004" s="19"/>
      <c r="AU6004" s="19"/>
    </row>
    <row r="6005" spans="3:47">
      <c r="C6005" s="20"/>
      <c r="Z6005" s="20"/>
      <c r="AG6005" s="20"/>
      <c r="AQ6005" s="19"/>
      <c r="AR6005" s="19"/>
      <c r="AS6005" s="19"/>
      <c r="AT6005" s="19"/>
      <c r="AU6005" s="19"/>
    </row>
    <row r="6006" spans="3:47">
      <c r="C6006" s="20"/>
      <c r="Z6006" s="20"/>
      <c r="AG6006" s="20"/>
      <c r="AQ6006" s="19"/>
      <c r="AR6006" s="19"/>
      <c r="AS6006" s="19"/>
      <c r="AT6006" s="19"/>
      <c r="AU6006" s="19"/>
    </row>
    <row r="6007" spans="3:47">
      <c r="C6007" s="20"/>
      <c r="Z6007" s="20"/>
      <c r="AG6007" s="20"/>
      <c r="AQ6007" s="19"/>
      <c r="AR6007" s="19"/>
      <c r="AS6007" s="19"/>
      <c r="AT6007" s="19"/>
      <c r="AU6007" s="19"/>
    </row>
    <row r="6008" spans="3:47">
      <c r="C6008" s="20"/>
      <c r="Z6008" s="20"/>
      <c r="AG6008" s="20"/>
      <c r="AQ6008" s="19"/>
      <c r="AR6008" s="19"/>
      <c r="AS6008" s="19"/>
      <c r="AT6008" s="19"/>
      <c r="AU6008" s="19"/>
    </row>
    <row r="6009" spans="3:47">
      <c r="C6009" s="20"/>
      <c r="Z6009" s="20"/>
      <c r="AG6009" s="20"/>
      <c r="AQ6009" s="19"/>
      <c r="AR6009" s="19"/>
      <c r="AS6009" s="19"/>
      <c r="AT6009" s="19"/>
      <c r="AU6009" s="19"/>
    </row>
    <row r="6010" spans="3:47">
      <c r="C6010" s="20"/>
      <c r="Z6010" s="20"/>
      <c r="AG6010" s="20"/>
      <c r="AQ6010" s="19"/>
      <c r="AR6010" s="19"/>
      <c r="AS6010" s="19"/>
      <c r="AT6010" s="19"/>
      <c r="AU6010" s="19"/>
    </row>
    <row r="6011" spans="3:47">
      <c r="C6011" s="20"/>
      <c r="Z6011" s="20"/>
      <c r="AG6011" s="20"/>
      <c r="AQ6011" s="19"/>
      <c r="AR6011" s="19"/>
      <c r="AS6011" s="19"/>
      <c r="AT6011" s="19"/>
      <c r="AU6011" s="19"/>
    </row>
    <row r="6012" spans="3:47">
      <c r="C6012" s="20"/>
      <c r="Z6012" s="20"/>
      <c r="AG6012" s="20"/>
      <c r="AQ6012" s="19"/>
      <c r="AR6012" s="19"/>
      <c r="AS6012" s="19"/>
      <c r="AT6012" s="19"/>
      <c r="AU6012" s="19"/>
    </row>
    <row r="6013" spans="3:47">
      <c r="C6013" s="20"/>
      <c r="Z6013" s="20"/>
      <c r="AG6013" s="20"/>
      <c r="AQ6013" s="19"/>
      <c r="AR6013" s="19"/>
      <c r="AS6013" s="19"/>
      <c r="AT6013" s="19"/>
      <c r="AU6013" s="19"/>
    </row>
    <row r="6014" spans="3:47">
      <c r="C6014" s="20"/>
      <c r="Z6014" s="20"/>
      <c r="AG6014" s="20"/>
      <c r="AQ6014" s="19"/>
      <c r="AR6014" s="19"/>
      <c r="AS6014" s="19"/>
      <c r="AT6014" s="19"/>
      <c r="AU6014" s="19"/>
    </row>
    <row r="6015" spans="3:47">
      <c r="C6015" s="20"/>
      <c r="Z6015" s="20"/>
      <c r="AG6015" s="20"/>
      <c r="AQ6015" s="19"/>
      <c r="AR6015" s="19"/>
      <c r="AS6015" s="19"/>
      <c r="AT6015" s="19"/>
      <c r="AU6015" s="19"/>
    </row>
    <row r="6016" spans="3:47">
      <c r="C6016" s="20"/>
      <c r="Z6016" s="20"/>
      <c r="AG6016" s="20"/>
      <c r="AQ6016" s="19"/>
      <c r="AR6016" s="19"/>
      <c r="AS6016" s="19"/>
      <c r="AT6016" s="19"/>
      <c r="AU6016" s="19"/>
    </row>
    <row r="6017" spans="3:47">
      <c r="C6017" s="20"/>
      <c r="Z6017" s="20"/>
      <c r="AG6017" s="20"/>
      <c r="AQ6017" s="19"/>
      <c r="AR6017" s="19"/>
      <c r="AS6017" s="19"/>
      <c r="AT6017" s="19"/>
      <c r="AU6017" s="19"/>
    </row>
    <row r="6018" spans="3:47">
      <c r="C6018" s="20"/>
      <c r="Z6018" s="20"/>
      <c r="AG6018" s="20"/>
      <c r="AQ6018" s="19"/>
      <c r="AR6018" s="19"/>
      <c r="AS6018" s="19"/>
      <c r="AT6018" s="19"/>
      <c r="AU6018" s="19"/>
    </row>
    <row r="6019" spans="3:47">
      <c r="C6019" s="20"/>
      <c r="Z6019" s="20"/>
      <c r="AG6019" s="20"/>
      <c r="AQ6019" s="19"/>
      <c r="AR6019" s="19"/>
      <c r="AS6019" s="19"/>
      <c r="AT6019" s="19"/>
      <c r="AU6019" s="19"/>
    </row>
    <row r="6020" spans="3:47">
      <c r="C6020" s="20"/>
      <c r="Z6020" s="20"/>
      <c r="AG6020" s="20"/>
      <c r="AQ6020" s="19"/>
      <c r="AR6020" s="19"/>
      <c r="AS6020" s="19"/>
      <c r="AT6020" s="19"/>
      <c r="AU6020" s="19"/>
    </row>
    <row r="6021" spans="3:47">
      <c r="C6021" s="20"/>
      <c r="Z6021" s="20"/>
      <c r="AG6021" s="20"/>
      <c r="AQ6021" s="19"/>
      <c r="AR6021" s="19"/>
      <c r="AS6021" s="19"/>
      <c r="AT6021" s="19"/>
      <c r="AU6021" s="19"/>
    </row>
    <row r="6022" spans="3:47">
      <c r="C6022" s="20"/>
      <c r="Z6022" s="20"/>
      <c r="AG6022" s="20"/>
      <c r="AQ6022" s="19"/>
      <c r="AR6022" s="19"/>
      <c r="AS6022" s="19"/>
      <c r="AT6022" s="19"/>
      <c r="AU6022" s="19"/>
    </row>
    <row r="6023" spans="3:47">
      <c r="C6023" s="20"/>
      <c r="Z6023" s="20"/>
      <c r="AG6023" s="20"/>
      <c r="AQ6023" s="19"/>
      <c r="AR6023" s="19"/>
      <c r="AS6023" s="19"/>
      <c r="AT6023" s="19"/>
      <c r="AU6023" s="19"/>
    </row>
    <row r="6024" spans="3:47">
      <c r="C6024" s="20"/>
      <c r="Z6024" s="20"/>
      <c r="AG6024" s="20"/>
      <c r="AQ6024" s="19"/>
      <c r="AR6024" s="19"/>
      <c r="AS6024" s="19"/>
      <c r="AT6024" s="19"/>
      <c r="AU6024" s="19"/>
    </row>
    <row r="6025" spans="3:47">
      <c r="C6025" s="20"/>
      <c r="Z6025" s="20"/>
      <c r="AG6025" s="20"/>
      <c r="AQ6025" s="19"/>
      <c r="AR6025" s="19"/>
      <c r="AS6025" s="19"/>
      <c r="AT6025" s="19"/>
      <c r="AU6025" s="19"/>
    </row>
    <row r="6026" spans="3:47">
      <c r="C6026" s="20"/>
      <c r="Z6026" s="20"/>
      <c r="AG6026" s="20"/>
      <c r="AQ6026" s="19"/>
      <c r="AR6026" s="19"/>
      <c r="AS6026" s="19"/>
      <c r="AT6026" s="19"/>
      <c r="AU6026" s="19"/>
    </row>
    <row r="6027" spans="3:47">
      <c r="C6027" s="20"/>
      <c r="Z6027" s="20"/>
      <c r="AG6027" s="20"/>
      <c r="AQ6027" s="19"/>
      <c r="AR6027" s="19"/>
      <c r="AS6027" s="19"/>
      <c r="AT6027" s="19"/>
      <c r="AU6027" s="19"/>
    </row>
    <row r="6028" spans="3:47">
      <c r="C6028" s="20"/>
      <c r="Z6028" s="20"/>
      <c r="AG6028" s="20"/>
      <c r="AQ6028" s="19"/>
      <c r="AR6028" s="19"/>
      <c r="AS6028" s="19"/>
      <c r="AT6028" s="19"/>
      <c r="AU6028" s="19"/>
    </row>
    <row r="6029" spans="3:47">
      <c r="C6029" s="20"/>
      <c r="Z6029" s="20"/>
      <c r="AG6029" s="20"/>
      <c r="AQ6029" s="19"/>
      <c r="AR6029" s="19"/>
      <c r="AS6029" s="19"/>
      <c r="AT6029" s="19"/>
      <c r="AU6029" s="19"/>
    </row>
    <row r="6030" spans="3:47">
      <c r="C6030" s="20"/>
      <c r="Z6030" s="20"/>
      <c r="AG6030" s="20"/>
      <c r="AQ6030" s="19"/>
      <c r="AR6030" s="19"/>
      <c r="AS6030" s="19"/>
      <c r="AT6030" s="19"/>
      <c r="AU6030" s="19"/>
    </row>
    <row r="6031" spans="3:47">
      <c r="C6031" s="20"/>
      <c r="Z6031" s="20"/>
      <c r="AG6031" s="20"/>
      <c r="AQ6031" s="19"/>
      <c r="AR6031" s="19"/>
      <c r="AS6031" s="19"/>
      <c r="AT6031" s="19"/>
      <c r="AU6031" s="19"/>
    </row>
    <row r="6032" spans="3:47">
      <c r="C6032" s="20"/>
      <c r="Z6032" s="20"/>
      <c r="AG6032" s="20"/>
      <c r="AQ6032" s="19"/>
      <c r="AR6032" s="19"/>
      <c r="AS6032" s="19"/>
      <c r="AT6032" s="19"/>
      <c r="AU6032" s="19"/>
    </row>
    <row r="6033" spans="3:47">
      <c r="C6033" s="20"/>
      <c r="Z6033" s="20"/>
      <c r="AG6033" s="20"/>
      <c r="AQ6033" s="19"/>
      <c r="AR6033" s="19"/>
      <c r="AS6033" s="19"/>
      <c r="AT6033" s="19"/>
      <c r="AU6033" s="19"/>
    </row>
    <row r="6034" spans="3:47">
      <c r="C6034" s="20"/>
      <c r="Z6034" s="20"/>
      <c r="AG6034" s="20"/>
      <c r="AQ6034" s="19"/>
      <c r="AR6034" s="19"/>
      <c r="AS6034" s="19"/>
      <c r="AT6034" s="19"/>
      <c r="AU6034" s="19"/>
    </row>
    <row r="6035" spans="3:47">
      <c r="C6035" s="20"/>
      <c r="Z6035" s="20"/>
      <c r="AG6035" s="20"/>
      <c r="AQ6035" s="19"/>
      <c r="AR6035" s="19"/>
      <c r="AS6035" s="19"/>
      <c r="AT6035" s="19"/>
      <c r="AU6035" s="19"/>
    </row>
    <row r="6036" spans="3:47">
      <c r="C6036" s="20"/>
      <c r="Z6036" s="20"/>
      <c r="AG6036" s="20"/>
      <c r="AQ6036" s="19"/>
      <c r="AR6036" s="19"/>
      <c r="AS6036" s="19"/>
      <c r="AT6036" s="19"/>
      <c r="AU6036" s="19"/>
    </row>
    <row r="6037" spans="3:47">
      <c r="C6037" s="20"/>
      <c r="Z6037" s="20"/>
      <c r="AG6037" s="20"/>
      <c r="AQ6037" s="19"/>
      <c r="AR6037" s="19"/>
      <c r="AS6037" s="19"/>
      <c r="AT6037" s="19"/>
      <c r="AU6037" s="19"/>
    </row>
    <row r="6038" spans="3:47">
      <c r="C6038" s="20"/>
      <c r="Z6038" s="20"/>
      <c r="AG6038" s="20"/>
      <c r="AQ6038" s="19"/>
      <c r="AR6038" s="19"/>
      <c r="AS6038" s="19"/>
      <c r="AT6038" s="19"/>
      <c r="AU6038" s="19"/>
    </row>
    <row r="6039" spans="3:47">
      <c r="C6039" s="20"/>
      <c r="Z6039" s="20"/>
      <c r="AG6039" s="20"/>
      <c r="AQ6039" s="19"/>
      <c r="AR6039" s="19"/>
      <c r="AS6039" s="19"/>
      <c r="AT6039" s="19"/>
      <c r="AU6039" s="19"/>
    </row>
    <row r="6040" spans="3:47">
      <c r="C6040" s="20"/>
      <c r="Z6040" s="20"/>
      <c r="AG6040" s="20"/>
      <c r="AQ6040" s="19"/>
      <c r="AR6040" s="19"/>
      <c r="AS6040" s="19"/>
      <c r="AT6040" s="19"/>
      <c r="AU6040" s="19"/>
    </row>
    <row r="6041" spans="3:47">
      <c r="C6041" s="20"/>
      <c r="Z6041" s="20"/>
      <c r="AG6041" s="20"/>
      <c r="AQ6041" s="19"/>
      <c r="AR6041" s="19"/>
      <c r="AS6041" s="19"/>
      <c r="AT6041" s="19"/>
      <c r="AU6041" s="19"/>
    </row>
    <row r="6042" spans="3:47">
      <c r="C6042" s="20"/>
      <c r="Z6042" s="20"/>
      <c r="AG6042" s="20"/>
      <c r="AQ6042" s="19"/>
      <c r="AR6042" s="19"/>
      <c r="AS6042" s="19"/>
      <c r="AT6042" s="19"/>
      <c r="AU6042" s="19"/>
    </row>
    <row r="6043" spans="3:47">
      <c r="C6043" s="20"/>
      <c r="Z6043" s="20"/>
      <c r="AG6043" s="20"/>
      <c r="AQ6043" s="19"/>
      <c r="AR6043" s="19"/>
      <c r="AS6043" s="19"/>
      <c r="AT6043" s="19"/>
      <c r="AU6043" s="19"/>
    </row>
    <row r="6044" spans="3:47">
      <c r="C6044" s="20"/>
      <c r="Z6044" s="20"/>
      <c r="AG6044" s="20"/>
      <c r="AQ6044" s="19"/>
      <c r="AR6044" s="19"/>
      <c r="AS6044" s="19"/>
      <c r="AT6044" s="19"/>
      <c r="AU6044" s="19"/>
    </row>
    <row r="6045" spans="3:47">
      <c r="C6045" s="20"/>
      <c r="Z6045" s="20"/>
      <c r="AG6045" s="20"/>
      <c r="AQ6045" s="19"/>
      <c r="AR6045" s="19"/>
      <c r="AS6045" s="19"/>
      <c r="AT6045" s="19"/>
      <c r="AU6045" s="19"/>
    </row>
    <row r="6046" spans="3:47">
      <c r="C6046" s="20"/>
      <c r="Z6046" s="20"/>
      <c r="AG6046" s="20"/>
      <c r="AQ6046" s="19"/>
      <c r="AR6046" s="19"/>
      <c r="AS6046" s="19"/>
      <c r="AT6046" s="19"/>
      <c r="AU6046" s="19"/>
    </row>
    <row r="6047" spans="3:47">
      <c r="C6047" s="20"/>
      <c r="Z6047" s="20"/>
      <c r="AG6047" s="20"/>
      <c r="AQ6047" s="19"/>
      <c r="AR6047" s="19"/>
      <c r="AS6047" s="19"/>
      <c r="AT6047" s="19"/>
      <c r="AU6047" s="19"/>
    </row>
    <row r="6048" spans="3:47">
      <c r="C6048" s="20"/>
      <c r="Z6048" s="20"/>
      <c r="AG6048" s="20"/>
      <c r="AQ6048" s="19"/>
      <c r="AR6048" s="19"/>
      <c r="AS6048" s="19"/>
      <c r="AT6048" s="19"/>
      <c r="AU6048" s="19"/>
    </row>
    <row r="6049" spans="3:47">
      <c r="C6049" s="20"/>
      <c r="Z6049" s="20"/>
      <c r="AG6049" s="20"/>
      <c r="AQ6049" s="19"/>
      <c r="AR6049" s="19"/>
      <c r="AS6049" s="19"/>
      <c r="AT6049" s="19"/>
      <c r="AU6049" s="19"/>
    </row>
    <row r="6050" spans="3:47">
      <c r="C6050" s="20"/>
      <c r="Z6050" s="20"/>
      <c r="AG6050" s="20"/>
      <c r="AQ6050" s="19"/>
      <c r="AR6050" s="19"/>
      <c r="AS6050" s="19"/>
      <c r="AT6050" s="19"/>
      <c r="AU6050" s="19"/>
    </row>
    <row r="6051" spans="3:47">
      <c r="C6051" s="20"/>
      <c r="Z6051" s="20"/>
      <c r="AG6051" s="20"/>
      <c r="AQ6051" s="19"/>
      <c r="AR6051" s="19"/>
      <c r="AS6051" s="19"/>
      <c r="AT6051" s="19"/>
      <c r="AU6051" s="19"/>
    </row>
    <row r="6052" spans="3:47">
      <c r="C6052" s="20"/>
      <c r="Z6052" s="20"/>
      <c r="AG6052" s="20"/>
      <c r="AQ6052" s="19"/>
      <c r="AR6052" s="19"/>
      <c r="AS6052" s="19"/>
      <c r="AT6052" s="19"/>
      <c r="AU6052" s="19"/>
    </row>
    <row r="6053" spans="3:47">
      <c r="C6053" s="20"/>
      <c r="Z6053" s="20"/>
      <c r="AG6053" s="20"/>
      <c r="AQ6053" s="19"/>
      <c r="AR6053" s="19"/>
      <c r="AS6053" s="19"/>
      <c r="AT6053" s="19"/>
      <c r="AU6053" s="19"/>
    </row>
    <row r="6054" spans="3:47">
      <c r="C6054" s="20"/>
      <c r="Z6054" s="20"/>
      <c r="AG6054" s="20"/>
      <c r="AQ6054" s="19"/>
      <c r="AR6054" s="19"/>
      <c r="AS6054" s="19"/>
      <c r="AT6054" s="19"/>
      <c r="AU6054" s="19"/>
    </row>
    <row r="6055" spans="3:47">
      <c r="C6055" s="20"/>
      <c r="Z6055" s="20"/>
      <c r="AG6055" s="20"/>
      <c r="AQ6055" s="19"/>
      <c r="AR6055" s="19"/>
      <c r="AS6055" s="19"/>
      <c r="AT6055" s="19"/>
      <c r="AU6055" s="19"/>
    </row>
    <row r="6056" spans="3:47">
      <c r="C6056" s="20"/>
      <c r="Z6056" s="20"/>
      <c r="AG6056" s="20"/>
      <c r="AQ6056" s="19"/>
      <c r="AR6056" s="19"/>
      <c r="AS6056" s="19"/>
      <c r="AT6056" s="19"/>
      <c r="AU6056" s="19"/>
    </row>
    <row r="6057" spans="3:47">
      <c r="C6057" s="20"/>
      <c r="Z6057" s="20"/>
      <c r="AG6057" s="20"/>
      <c r="AQ6057" s="19"/>
      <c r="AR6057" s="19"/>
      <c r="AS6057" s="19"/>
      <c r="AT6057" s="19"/>
      <c r="AU6057" s="19"/>
    </row>
    <row r="6058" spans="3:47">
      <c r="C6058" s="20"/>
      <c r="Z6058" s="20"/>
      <c r="AG6058" s="20"/>
      <c r="AQ6058" s="19"/>
      <c r="AR6058" s="19"/>
      <c r="AS6058" s="19"/>
      <c r="AT6058" s="19"/>
      <c r="AU6058" s="19"/>
    </row>
    <row r="6059" spans="3:47">
      <c r="C6059" s="20"/>
      <c r="Z6059" s="20"/>
      <c r="AG6059" s="20"/>
      <c r="AQ6059" s="19"/>
      <c r="AR6059" s="19"/>
      <c r="AS6059" s="19"/>
      <c r="AT6059" s="19"/>
      <c r="AU6059" s="19"/>
    </row>
    <row r="6060" spans="3:47">
      <c r="C6060" s="20"/>
      <c r="Z6060" s="20"/>
      <c r="AG6060" s="20"/>
      <c r="AQ6060" s="19"/>
      <c r="AR6060" s="19"/>
      <c r="AS6060" s="19"/>
      <c r="AT6060" s="19"/>
      <c r="AU6060" s="19"/>
    </row>
    <row r="6061" spans="3:47">
      <c r="C6061" s="20"/>
      <c r="Z6061" s="20"/>
      <c r="AG6061" s="20"/>
      <c r="AQ6061" s="19"/>
      <c r="AR6061" s="19"/>
      <c r="AS6061" s="19"/>
      <c r="AT6061" s="19"/>
      <c r="AU6061" s="19"/>
    </row>
    <row r="6062" spans="3:47">
      <c r="C6062" s="20"/>
      <c r="Z6062" s="20"/>
      <c r="AG6062" s="20"/>
      <c r="AQ6062" s="19"/>
      <c r="AR6062" s="19"/>
      <c r="AS6062" s="19"/>
      <c r="AT6062" s="19"/>
      <c r="AU6062" s="19"/>
    </row>
    <row r="6063" spans="3:47">
      <c r="C6063" s="20"/>
      <c r="Z6063" s="20"/>
      <c r="AG6063" s="20"/>
      <c r="AQ6063" s="19"/>
      <c r="AR6063" s="19"/>
      <c r="AS6063" s="19"/>
      <c r="AT6063" s="19"/>
      <c r="AU6063" s="19"/>
    </row>
    <row r="6064" spans="3:47">
      <c r="C6064" s="20"/>
      <c r="Z6064" s="20"/>
      <c r="AG6064" s="20"/>
      <c r="AQ6064" s="19"/>
      <c r="AR6064" s="19"/>
      <c r="AS6064" s="19"/>
      <c r="AT6064" s="19"/>
      <c r="AU6064" s="19"/>
    </row>
    <row r="6065" spans="3:47">
      <c r="C6065" s="20"/>
      <c r="Z6065" s="20"/>
      <c r="AG6065" s="20"/>
      <c r="AQ6065" s="19"/>
      <c r="AR6065" s="19"/>
      <c r="AS6065" s="19"/>
      <c r="AT6065" s="19"/>
      <c r="AU6065" s="19"/>
    </row>
    <row r="6066" spans="3:47">
      <c r="C6066" s="20"/>
      <c r="Z6066" s="20"/>
      <c r="AG6066" s="20"/>
      <c r="AQ6066" s="19"/>
      <c r="AR6066" s="19"/>
      <c r="AS6066" s="19"/>
      <c r="AT6066" s="19"/>
      <c r="AU6066" s="19"/>
    </row>
    <row r="6067" spans="3:47">
      <c r="C6067" s="20"/>
      <c r="Z6067" s="20"/>
      <c r="AG6067" s="20"/>
      <c r="AQ6067" s="19"/>
      <c r="AR6067" s="19"/>
      <c r="AS6067" s="19"/>
      <c r="AT6067" s="19"/>
      <c r="AU6067" s="19"/>
    </row>
    <row r="6068" spans="3:47">
      <c r="C6068" s="20"/>
      <c r="Z6068" s="20"/>
      <c r="AG6068" s="20"/>
      <c r="AQ6068" s="19"/>
      <c r="AR6068" s="19"/>
      <c r="AS6068" s="19"/>
      <c r="AT6068" s="19"/>
      <c r="AU6068" s="19"/>
    </row>
    <row r="6069" spans="3:47">
      <c r="C6069" s="20"/>
      <c r="Z6069" s="20"/>
      <c r="AG6069" s="20"/>
      <c r="AQ6069" s="19"/>
      <c r="AR6069" s="19"/>
      <c r="AS6069" s="19"/>
      <c r="AT6069" s="19"/>
      <c r="AU6069" s="19"/>
    </row>
    <row r="6070" spans="3:47">
      <c r="C6070" s="20"/>
      <c r="Z6070" s="20"/>
      <c r="AG6070" s="20"/>
      <c r="AQ6070" s="19"/>
      <c r="AR6070" s="19"/>
      <c r="AS6070" s="19"/>
      <c r="AT6070" s="19"/>
      <c r="AU6070" s="19"/>
    </row>
    <row r="6071" spans="3:47">
      <c r="C6071" s="20"/>
      <c r="Z6071" s="20"/>
      <c r="AG6071" s="20"/>
      <c r="AQ6071" s="19"/>
      <c r="AR6071" s="19"/>
      <c r="AS6071" s="19"/>
      <c r="AT6071" s="19"/>
      <c r="AU6071" s="19"/>
    </row>
    <row r="6072" spans="3:47">
      <c r="C6072" s="20"/>
      <c r="Z6072" s="20"/>
      <c r="AG6072" s="20"/>
      <c r="AQ6072" s="19"/>
      <c r="AR6072" s="19"/>
      <c r="AS6072" s="19"/>
      <c r="AT6072" s="19"/>
      <c r="AU6072" s="19"/>
    </row>
    <row r="6073" spans="3:47">
      <c r="C6073" s="20"/>
      <c r="Z6073" s="20"/>
      <c r="AG6073" s="20"/>
      <c r="AQ6073" s="19"/>
      <c r="AR6073" s="19"/>
      <c r="AS6073" s="19"/>
      <c r="AT6073" s="19"/>
      <c r="AU6073" s="19"/>
    </row>
    <row r="6074" spans="3:47">
      <c r="C6074" s="20"/>
      <c r="Z6074" s="20"/>
      <c r="AG6074" s="20"/>
      <c r="AQ6074" s="19"/>
      <c r="AR6074" s="19"/>
      <c r="AS6074" s="19"/>
      <c r="AT6074" s="19"/>
      <c r="AU6074" s="19"/>
    </row>
    <row r="6075" spans="3:47">
      <c r="C6075" s="20"/>
      <c r="Z6075" s="20"/>
      <c r="AG6075" s="20"/>
      <c r="AQ6075" s="19"/>
      <c r="AR6075" s="19"/>
      <c r="AS6075" s="19"/>
      <c r="AT6075" s="19"/>
      <c r="AU6075" s="19"/>
    </row>
    <row r="6076" spans="3:47">
      <c r="C6076" s="20"/>
      <c r="Z6076" s="20"/>
      <c r="AG6076" s="20"/>
      <c r="AQ6076" s="19"/>
      <c r="AR6076" s="19"/>
      <c r="AS6076" s="19"/>
      <c r="AT6076" s="19"/>
      <c r="AU6076" s="19"/>
    </row>
    <row r="6077" spans="3:47">
      <c r="C6077" s="20"/>
      <c r="Z6077" s="20"/>
      <c r="AG6077" s="20"/>
      <c r="AQ6077" s="19"/>
      <c r="AR6077" s="19"/>
      <c r="AS6077" s="19"/>
      <c r="AT6077" s="19"/>
      <c r="AU6077" s="19"/>
    </row>
    <row r="6078" spans="3:47">
      <c r="C6078" s="20"/>
      <c r="Z6078" s="20"/>
      <c r="AG6078" s="20"/>
      <c r="AQ6078" s="19"/>
      <c r="AR6078" s="19"/>
      <c r="AS6078" s="19"/>
      <c r="AT6078" s="19"/>
      <c r="AU6078" s="19"/>
    </row>
    <row r="6079" spans="3:47">
      <c r="C6079" s="20"/>
      <c r="Z6079" s="20"/>
      <c r="AG6079" s="20"/>
      <c r="AQ6079" s="19"/>
      <c r="AR6079" s="19"/>
      <c r="AS6079" s="19"/>
      <c r="AT6079" s="19"/>
      <c r="AU6079" s="19"/>
    </row>
    <row r="6080" spans="3:47">
      <c r="C6080" s="20"/>
      <c r="Z6080" s="20"/>
      <c r="AG6080" s="20"/>
      <c r="AQ6080" s="19"/>
      <c r="AR6080" s="19"/>
      <c r="AS6080" s="19"/>
      <c r="AT6080" s="19"/>
      <c r="AU6080" s="19"/>
    </row>
    <row r="6081" spans="3:47">
      <c r="C6081" s="20"/>
      <c r="Z6081" s="20"/>
      <c r="AG6081" s="20"/>
      <c r="AQ6081" s="19"/>
      <c r="AR6081" s="19"/>
      <c r="AS6081" s="19"/>
      <c r="AT6081" s="19"/>
      <c r="AU6081" s="19"/>
    </row>
    <row r="6082" spans="3:47">
      <c r="C6082" s="20"/>
      <c r="Z6082" s="20"/>
      <c r="AG6082" s="20"/>
      <c r="AQ6082" s="19"/>
      <c r="AR6082" s="19"/>
      <c r="AS6082" s="19"/>
      <c r="AT6082" s="19"/>
      <c r="AU6082" s="19"/>
    </row>
    <row r="6083" spans="3:47">
      <c r="C6083" s="20"/>
      <c r="Z6083" s="20"/>
      <c r="AG6083" s="20"/>
      <c r="AQ6083" s="19"/>
      <c r="AR6083" s="19"/>
      <c r="AS6083" s="19"/>
      <c r="AT6083" s="19"/>
      <c r="AU6083" s="19"/>
    </row>
    <row r="6084" spans="3:47">
      <c r="C6084" s="20"/>
      <c r="Z6084" s="20"/>
      <c r="AG6084" s="20"/>
      <c r="AQ6084" s="19"/>
      <c r="AR6084" s="19"/>
      <c r="AS6084" s="19"/>
      <c r="AT6084" s="19"/>
      <c r="AU6084" s="19"/>
    </row>
    <row r="6085" spans="3:47">
      <c r="C6085" s="20"/>
      <c r="Z6085" s="20"/>
      <c r="AG6085" s="20"/>
      <c r="AQ6085" s="19"/>
      <c r="AR6085" s="19"/>
      <c r="AS6085" s="19"/>
      <c r="AT6085" s="19"/>
      <c r="AU6085" s="19"/>
    </row>
    <row r="6086" spans="3:47">
      <c r="C6086" s="20"/>
      <c r="Z6086" s="20"/>
      <c r="AG6086" s="20"/>
      <c r="AQ6086" s="19"/>
      <c r="AR6086" s="19"/>
      <c r="AS6086" s="19"/>
      <c r="AT6086" s="19"/>
      <c r="AU6086" s="19"/>
    </row>
    <row r="6087" spans="3:47">
      <c r="C6087" s="20"/>
      <c r="Z6087" s="20"/>
      <c r="AG6087" s="20"/>
      <c r="AQ6087" s="19"/>
      <c r="AR6087" s="19"/>
      <c r="AS6087" s="19"/>
      <c r="AT6087" s="19"/>
      <c r="AU6087" s="19"/>
    </row>
    <row r="6088" spans="3:47">
      <c r="C6088" s="20"/>
      <c r="Z6088" s="20"/>
      <c r="AG6088" s="20"/>
      <c r="AQ6088" s="19"/>
      <c r="AR6088" s="19"/>
      <c r="AS6088" s="19"/>
      <c r="AT6088" s="19"/>
      <c r="AU6088" s="19"/>
    </row>
    <row r="6089" spans="3:47">
      <c r="C6089" s="20"/>
      <c r="Z6089" s="20"/>
      <c r="AG6089" s="20"/>
      <c r="AQ6089" s="19"/>
      <c r="AR6089" s="19"/>
      <c r="AS6089" s="19"/>
      <c r="AT6089" s="19"/>
      <c r="AU6089" s="19"/>
    </row>
    <row r="6090" spans="3:47">
      <c r="C6090" s="20"/>
      <c r="Z6090" s="20"/>
      <c r="AG6090" s="20"/>
      <c r="AQ6090" s="19"/>
      <c r="AR6090" s="19"/>
      <c r="AS6090" s="19"/>
      <c r="AT6090" s="19"/>
      <c r="AU6090" s="19"/>
    </row>
    <row r="6091" spans="3:47">
      <c r="C6091" s="20"/>
      <c r="Z6091" s="20"/>
      <c r="AG6091" s="20"/>
      <c r="AQ6091" s="19"/>
      <c r="AR6091" s="19"/>
      <c r="AS6091" s="19"/>
      <c r="AT6091" s="19"/>
      <c r="AU6091" s="19"/>
    </row>
    <row r="6092" spans="3:47">
      <c r="C6092" s="20"/>
      <c r="Z6092" s="20"/>
      <c r="AG6092" s="20"/>
      <c r="AQ6092" s="19"/>
      <c r="AR6092" s="19"/>
      <c r="AS6092" s="19"/>
      <c r="AT6092" s="19"/>
      <c r="AU6092" s="19"/>
    </row>
    <row r="6093" spans="3:47">
      <c r="C6093" s="20"/>
      <c r="Z6093" s="20"/>
      <c r="AG6093" s="20"/>
      <c r="AQ6093" s="19"/>
      <c r="AR6093" s="19"/>
      <c r="AS6093" s="19"/>
      <c r="AT6093" s="19"/>
      <c r="AU6093" s="19"/>
    </row>
    <row r="6094" spans="3:47">
      <c r="C6094" s="20"/>
      <c r="Z6094" s="20"/>
      <c r="AG6094" s="20"/>
      <c r="AQ6094" s="19"/>
      <c r="AR6094" s="19"/>
      <c r="AS6094" s="19"/>
      <c r="AT6094" s="19"/>
      <c r="AU6094" s="19"/>
    </row>
    <row r="6095" spans="3:47">
      <c r="C6095" s="20"/>
      <c r="Z6095" s="20"/>
      <c r="AG6095" s="20"/>
      <c r="AQ6095" s="19"/>
      <c r="AR6095" s="19"/>
      <c r="AS6095" s="19"/>
      <c r="AT6095" s="19"/>
      <c r="AU6095" s="19"/>
    </row>
    <row r="6096" spans="3:47">
      <c r="C6096" s="20"/>
      <c r="Z6096" s="20"/>
      <c r="AG6096" s="20"/>
      <c r="AQ6096" s="19"/>
      <c r="AR6096" s="19"/>
      <c r="AS6096" s="19"/>
      <c r="AT6096" s="19"/>
      <c r="AU6096" s="19"/>
    </row>
    <row r="6097" spans="3:47">
      <c r="C6097" s="20"/>
      <c r="Z6097" s="20"/>
      <c r="AG6097" s="20"/>
      <c r="AQ6097" s="19"/>
      <c r="AR6097" s="19"/>
      <c r="AS6097" s="19"/>
      <c r="AT6097" s="19"/>
      <c r="AU6097" s="19"/>
    </row>
    <row r="6098" spans="3:47">
      <c r="C6098" s="20"/>
      <c r="Z6098" s="20"/>
      <c r="AG6098" s="20"/>
      <c r="AQ6098" s="19"/>
      <c r="AR6098" s="19"/>
      <c r="AS6098" s="19"/>
      <c r="AT6098" s="19"/>
      <c r="AU6098" s="19"/>
    </row>
    <row r="6099" spans="3:47">
      <c r="C6099" s="20"/>
      <c r="Z6099" s="20"/>
      <c r="AG6099" s="20"/>
      <c r="AQ6099" s="19"/>
      <c r="AR6099" s="19"/>
      <c r="AS6099" s="19"/>
      <c r="AT6099" s="19"/>
      <c r="AU6099" s="19"/>
    </row>
    <row r="6100" spans="3:47">
      <c r="C6100" s="20"/>
      <c r="Z6100" s="20"/>
      <c r="AG6100" s="20"/>
      <c r="AQ6100" s="19"/>
      <c r="AR6100" s="19"/>
      <c r="AS6100" s="19"/>
      <c r="AT6100" s="19"/>
      <c r="AU6100" s="19"/>
    </row>
    <row r="6101" spans="3:47">
      <c r="C6101" s="20"/>
      <c r="Z6101" s="20"/>
      <c r="AG6101" s="20"/>
      <c r="AQ6101" s="19"/>
      <c r="AR6101" s="19"/>
      <c r="AS6101" s="19"/>
      <c r="AT6101" s="19"/>
      <c r="AU6101" s="19"/>
    </row>
    <row r="6102" spans="3:47">
      <c r="C6102" s="20"/>
      <c r="Z6102" s="20"/>
      <c r="AG6102" s="20"/>
      <c r="AQ6102" s="19"/>
      <c r="AR6102" s="19"/>
      <c r="AS6102" s="19"/>
      <c r="AT6102" s="19"/>
      <c r="AU6102" s="19"/>
    </row>
    <row r="6103" spans="3:47">
      <c r="C6103" s="20"/>
      <c r="Z6103" s="20"/>
      <c r="AG6103" s="20"/>
      <c r="AQ6103" s="19"/>
      <c r="AR6103" s="19"/>
      <c r="AS6103" s="19"/>
      <c r="AT6103" s="19"/>
      <c r="AU6103" s="19"/>
    </row>
    <row r="6104" spans="3:47">
      <c r="C6104" s="20"/>
      <c r="Z6104" s="20"/>
      <c r="AG6104" s="20"/>
      <c r="AQ6104" s="19"/>
      <c r="AR6104" s="19"/>
      <c r="AS6104" s="19"/>
      <c r="AT6104" s="19"/>
      <c r="AU6104" s="19"/>
    </row>
    <row r="6105" spans="3:47">
      <c r="C6105" s="20"/>
      <c r="Z6105" s="20"/>
      <c r="AG6105" s="20"/>
      <c r="AQ6105" s="19"/>
      <c r="AR6105" s="19"/>
      <c r="AS6105" s="19"/>
      <c r="AT6105" s="19"/>
      <c r="AU6105" s="19"/>
    </row>
    <row r="6106" spans="3:47">
      <c r="C6106" s="20"/>
      <c r="Z6106" s="20"/>
      <c r="AG6106" s="20"/>
      <c r="AQ6106" s="19"/>
      <c r="AR6106" s="19"/>
      <c r="AS6106" s="19"/>
      <c r="AT6106" s="19"/>
      <c r="AU6106" s="19"/>
    </row>
    <row r="6107" spans="3:47">
      <c r="C6107" s="20"/>
      <c r="Z6107" s="20"/>
      <c r="AG6107" s="20"/>
      <c r="AQ6107" s="19"/>
      <c r="AR6107" s="19"/>
      <c r="AS6107" s="19"/>
      <c r="AT6107" s="19"/>
      <c r="AU6107" s="19"/>
    </row>
    <row r="6108" spans="3:47">
      <c r="C6108" s="20"/>
      <c r="Z6108" s="20"/>
      <c r="AG6108" s="20"/>
      <c r="AQ6108" s="19"/>
      <c r="AR6108" s="19"/>
      <c r="AS6108" s="19"/>
      <c r="AT6108" s="19"/>
      <c r="AU6108" s="19"/>
    </row>
    <row r="6109" spans="3:47">
      <c r="C6109" s="20"/>
      <c r="Z6109" s="20"/>
      <c r="AG6109" s="20"/>
      <c r="AQ6109" s="19"/>
      <c r="AR6109" s="19"/>
      <c r="AS6109" s="19"/>
      <c r="AT6109" s="19"/>
      <c r="AU6109" s="19"/>
    </row>
    <row r="6110" spans="3:47">
      <c r="C6110" s="20"/>
      <c r="Z6110" s="20"/>
      <c r="AG6110" s="20"/>
      <c r="AQ6110" s="19"/>
      <c r="AR6110" s="19"/>
      <c r="AS6110" s="19"/>
      <c r="AT6110" s="19"/>
      <c r="AU6110" s="19"/>
    </row>
    <row r="6111" spans="3:47">
      <c r="C6111" s="20"/>
      <c r="Z6111" s="20"/>
      <c r="AG6111" s="20"/>
      <c r="AQ6111" s="19"/>
      <c r="AR6111" s="19"/>
      <c r="AS6111" s="19"/>
      <c r="AT6111" s="19"/>
      <c r="AU6111" s="19"/>
    </row>
    <row r="6112" spans="3:47">
      <c r="C6112" s="20"/>
      <c r="Z6112" s="20"/>
      <c r="AG6112" s="20"/>
      <c r="AQ6112" s="19"/>
      <c r="AR6112" s="19"/>
      <c r="AS6112" s="19"/>
      <c r="AT6112" s="19"/>
      <c r="AU6112" s="19"/>
    </row>
    <row r="6113" spans="3:47">
      <c r="C6113" s="20"/>
      <c r="Z6113" s="20"/>
      <c r="AG6113" s="20"/>
      <c r="AQ6113" s="19"/>
      <c r="AR6113" s="19"/>
      <c r="AS6113" s="19"/>
      <c r="AT6113" s="19"/>
      <c r="AU6113" s="19"/>
    </row>
    <row r="6114" spans="3:47">
      <c r="C6114" s="20"/>
      <c r="Z6114" s="20"/>
      <c r="AG6114" s="20"/>
      <c r="AQ6114" s="19"/>
      <c r="AR6114" s="19"/>
      <c r="AS6114" s="19"/>
      <c r="AT6114" s="19"/>
      <c r="AU6114" s="19"/>
    </row>
    <row r="6115" spans="3:47">
      <c r="C6115" s="20"/>
      <c r="Z6115" s="20"/>
      <c r="AG6115" s="20"/>
      <c r="AQ6115" s="19"/>
      <c r="AR6115" s="19"/>
      <c r="AS6115" s="19"/>
      <c r="AT6115" s="19"/>
      <c r="AU6115" s="19"/>
    </row>
    <row r="6116" spans="3:47">
      <c r="C6116" s="20"/>
      <c r="Z6116" s="20"/>
      <c r="AG6116" s="20"/>
      <c r="AQ6116" s="19"/>
      <c r="AR6116" s="19"/>
      <c r="AS6116" s="19"/>
      <c r="AT6116" s="19"/>
      <c r="AU6116" s="19"/>
    </row>
    <row r="6117" spans="3:47">
      <c r="C6117" s="20"/>
      <c r="Z6117" s="20"/>
      <c r="AG6117" s="20"/>
      <c r="AQ6117" s="19"/>
      <c r="AR6117" s="19"/>
      <c r="AS6117" s="19"/>
      <c r="AT6117" s="19"/>
      <c r="AU6117" s="19"/>
    </row>
    <row r="6118" spans="3:47">
      <c r="C6118" s="20"/>
      <c r="Z6118" s="20"/>
      <c r="AG6118" s="20"/>
      <c r="AQ6118" s="19"/>
      <c r="AR6118" s="19"/>
      <c r="AS6118" s="19"/>
      <c r="AT6118" s="19"/>
      <c r="AU6118" s="19"/>
    </row>
    <row r="6119" spans="3:47">
      <c r="C6119" s="20"/>
      <c r="Z6119" s="20"/>
      <c r="AG6119" s="20"/>
      <c r="AQ6119" s="19"/>
      <c r="AR6119" s="19"/>
      <c r="AS6119" s="19"/>
      <c r="AT6119" s="19"/>
      <c r="AU6119" s="19"/>
    </row>
    <row r="6120" spans="3:47">
      <c r="C6120" s="20"/>
      <c r="Z6120" s="20"/>
      <c r="AG6120" s="20"/>
      <c r="AQ6120" s="19"/>
      <c r="AR6120" s="19"/>
      <c r="AS6120" s="19"/>
      <c r="AT6120" s="19"/>
      <c r="AU6120" s="19"/>
    </row>
    <row r="6121" spans="3:47">
      <c r="C6121" s="20"/>
      <c r="Z6121" s="20"/>
      <c r="AG6121" s="20"/>
      <c r="AQ6121" s="19"/>
      <c r="AR6121" s="19"/>
      <c r="AS6121" s="19"/>
      <c r="AT6121" s="19"/>
      <c r="AU6121" s="19"/>
    </row>
    <row r="6122" spans="3:47">
      <c r="C6122" s="20"/>
      <c r="Z6122" s="20"/>
      <c r="AG6122" s="20"/>
      <c r="AQ6122" s="19"/>
      <c r="AR6122" s="19"/>
      <c r="AS6122" s="19"/>
      <c r="AT6122" s="19"/>
      <c r="AU6122" s="19"/>
    </row>
    <row r="6123" spans="3:47">
      <c r="C6123" s="20"/>
      <c r="Z6123" s="20"/>
      <c r="AG6123" s="20"/>
      <c r="AQ6123" s="19"/>
      <c r="AR6123" s="19"/>
      <c r="AS6123" s="19"/>
      <c r="AT6123" s="19"/>
      <c r="AU6123" s="19"/>
    </row>
    <row r="6124" spans="3:47">
      <c r="C6124" s="20"/>
      <c r="Z6124" s="20"/>
      <c r="AG6124" s="20"/>
      <c r="AQ6124" s="19"/>
      <c r="AR6124" s="19"/>
      <c r="AS6124" s="19"/>
      <c r="AT6124" s="19"/>
      <c r="AU6124" s="19"/>
    </row>
    <row r="6125" spans="3:47">
      <c r="C6125" s="20"/>
      <c r="Z6125" s="20"/>
      <c r="AG6125" s="20"/>
      <c r="AQ6125" s="19"/>
      <c r="AR6125" s="19"/>
      <c r="AS6125" s="19"/>
      <c r="AT6125" s="19"/>
      <c r="AU6125" s="19"/>
    </row>
    <row r="6126" spans="3:47">
      <c r="C6126" s="20"/>
      <c r="Z6126" s="20"/>
      <c r="AG6126" s="20"/>
      <c r="AQ6126" s="19"/>
      <c r="AR6126" s="19"/>
      <c r="AS6126" s="19"/>
      <c r="AT6126" s="19"/>
      <c r="AU6126" s="19"/>
    </row>
    <row r="6127" spans="3:47">
      <c r="C6127" s="20"/>
      <c r="Z6127" s="20"/>
      <c r="AG6127" s="20"/>
      <c r="AQ6127" s="19"/>
      <c r="AR6127" s="19"/>
      <c r="AS6127" s="19"/>
      <c r="AT6127" s="19"/>
      <c r="AU6127" s="19"/>
    </row>
    <row r="6128" spans="3:47">
      <c r="C6128" s="20"/>
      <c r="Z6128" s="20"/>
      <c r="AG6128" s="20"/>
      <c r="AQ6128" s="19"/>
      <c r="AR6128" s="19"/>
      <c r="AS6128" s="19"/>
      <c r="AT6128" s="19"/>
      <c r="AU6128" s="19"/>
    </row>
    <row r="6129" spans="3:47">
      <c r="C6129" s="20"/>
      <c r="Z6129" s="20"/>
      <c r="AG6129" s="20"/>
      <c r="AQ6129" s="19"/>
      <c r="AR6129" s="19"/>
      <c r="AS6129" s="19"/>
      <c r="AT6129" s="19"/>
      <c r="AU6129" s="19"/>
    </row>
    <row r="6130" spans="3:47">
      <c r="C6130" s="20"/>
      <c r="Z6130" s="20"/>
      <c r="AG6130" s="20"/>
      <c r="AQ6130" s="19"/>
      <c r="AR6130" s="19"/>
      <c r="AS6130" s="19"/>
      <c r="AT6130" s="19"/>
      <c r="AU6130" s="19"/>
    </row>
    <row r="6131" spans="3:47">
      <c r="C6131" s="20"/>
      <c r="Z6131" s="20"/>
      <c r="AG6131" s="20"/>
      <c r="AQ6131" s="19"/>
      <c r="AR6131" s="19"/>
      <c r="AS6131" s="19"/>
      <c r="AT6131" s="19"/>
      <c r="AU6131" s="19"/>
    </row>
    <row r="6132" spans="3:47">
      <c r="C6132" s="20"/>
      <c r="Z6132" s="20"/>
      <c r="AG6132" s="20"/>
      <c r="AQ6132" s="19"/>
      <c r="AR6132" s="19"/>
      <c r="AS6132" s="19"/>
      <c r="AT6132" s="19"/>
      <c r="AU6132" s="19"/>
    </row>
    <row r="6133" spans="3:47">
      <c r="C6133" s="20"/>
      <c r="Z6133" s="20"/>
      <c r="AG6133" s="20"/>
      <c r="AQ6133" s="19"/>
      <c r="AR6133" s="19"/>
      <c r="AS6133" s="19"/>
      <c r="AT6133" s="19"/>
      <c r="AU6133" s="19"/>
    </row>
    <row r="6134" spans="3:47">
      <c r="C6134" s="20"/>
      <c r="Z6134" s="20"/>
      <c r="AG6134" s="20"/>
      <c r="AQ6134" s="19"/>
      <c r="AR6134" s="19"/>
      <c r="AS6134" s="19"/>
      <c r="AT6134" s="19"/>
      <c r="AU6134" s="19"/>
    </row>
    <row r="6135" spans="3:47">
      <c r="C6135" s="20"/>
      <c r="Z6135" s="20"/>
      <c r="AG6135" s="20"/>
      <c r="AQ6135" s="19"/>
      <c r="AR6135" s="19"/>
      <c r="AS6135" s="19"/>
      <c r="AT6135" s="19"/>
      <c r="AU6135" s="19"/>
    </row>
    <row r="6136" spans="3:47">
      <c r="C6136" s="20"/>
      <c r="Z6136" s="20"/>
      <c r="AG6136" s="20"/>
      <c r="AQ6136" s="19"/>
      <c r="AR6136" s="19"/>
      <c r="AS6136" s="19"/>
      <c r="AT6136" s="19"/>
      <c r="AU6136" s="19"/>
    </row>
    <row r="6137" spans="3:47">
      <c r="C6137" s="20"/>
      <c r="Z6137" s="20"/>
      <c r="AG6137" s="20"/>
      <c r="AQ6137" s="19"/>
      <c r="AR6137" s="19"/>
      <c r="AS6137" s="19"/>
      <c r="AT6137" s="19"/>
      <c r="AU6137" s="19"/>
    </row>
    <row r="6138" spans="3:47">
      <c r="C6138" s="20"/>
      <c r="Z6138" s="20"/>
      <c r="AG6138" s="20"/>
      <c r="AQ6138" s="19"/>
      <c r="AR6138" s="19"/>
      <c r="AS6138" s="19"/>
      <c r="AT6138" s="19"/>
      <c r="AU6138" s="19"/>
    </row>
    <row r="6139" spans="3:47">
      <c r="C6139" s="20"/>
      <c r="Z6139" s="20"/>
      <c r="AG6139" s="20"/>
      <c r="AQ6139" s="19"/>
      <c r="AR6139" s="19"/>
      <c r="AS6139" s="19"/>
      <c r="AT6139" s="19"/>
      <c r="AU6139" s="19"/>
    </row>
    <row r="6140" spans="3:47">
      <c r="C6140" s="20"/>
      <c r="Z6140" s="20"/>
      <c r="AG6140" s="20"/>
      <c r="AQ6140" s="19"/>
      <c r="AR6140" s="19"/>
      <c r="AS6140" s="19"/>
      <c r="AT6140" s="19"/>
      <c r="AU6140" s="19"/>
    </row>
    <row r="6141" spans="3:47">
      <c r="C6141" s="20"/>
      <c r="Z6141" s="20"/>
      <c r="AG6141" s="20"/>
      <c r="AQ6141" s="19"/>
      <c r="AR6141" s="19"/>
      <c r="AS6141" s="19"/>
      <c r="AT6141" s="19"/>
      <c r="AU6141" s="19"/>
    </row>
    <row r="6142" spans="3:47">
      <c r="C6142" s="20"/>
      <c r="Z6142" s="20"/>
      <c r="AG6142" s="20"/>
      <c r="AQ6142" s="19"/>
      <c r="AR6142" s="19"/>
      <c r="AS6142" s="19"/>
      <c r="AT6142" s="19"/>
      <c r="AU6142" s="19"/>
    </row>
    <row r="6143" spans="3:47">
      <c r="C6143" s="20"/>
      <c r="Z6143" s="20"/>
      <c r="AG6143" s="20"/>
      <c r="AQ6143" s="19"/>
      <c r="AR6143" s="19"/>
      <c r="AS6143" s="19"/>
      <c r="AT6143" s="19"/>
      <c r="AU6143" s="19"/>
    </row>
    <row r="6144" spans="3:47">
      <c r="C6144" s="20"/>
      <c r="Z6144" s="20"/>
      <c r="AG6144" s="20"/>
      <c r="AQ6144" s="19"/>
      <c r="AR6144" s="19"/>
      <c r="AS6144" s="19"/>
      <c r="AT6144" s="19"/>
      <c r="AU6144" s="19"/>
    </row>
    <row r="6145" spans="3:47">
      <c r="C6145" s="20"/>
      <c r="Z6145" s="20"/>
      <c r="AG6145" s="20"/>
      <c r="AQ6145" s="19"/>
      <c r="AR6145" s="19"/>
      <c r="AS6145" s="19"/>
      <c r="AT6145" s="19"/>
      <c r="AU6145" s="19"/>
    </row>
    <row r="6146" spans="3:47">
      <c r="C6146" s="20"/>
      <c r="Z6146" s="20"/>
      <c r="AG6146" s="20"/>
      <c r="AQ6146" s="19"/>
      <c r="AR6146" s="19"/>
      <c r="AS6146" s="19"/>
      <c r="AT6146" s="19"/>
      <c r="AU6146" s="19"/>
    </row>
    <row r="6147" spans="3:47">
      <c r="C6147" s="20"/>
      <c r="Z6147" s="20"/>
      <c r="AG6147" s="20"/>
      <c r="AQ6147" s="19"/>
      <c r="AR6147" s="19"/>
      <c r="AS6147" s="19"/>
      <c r="AT6147" s="19"/>
      <c r="AU6147" s="19"/>
    </row>
    <row r="6148" spans="3:47">
      <c r="C6148" s="20"/>
      <c r="Z6148" s="20"/>
      <c r="AG6148" s="20"/>
      <c r="AQ6148" s="19"/>
      <c r="AR6148" s="19"/>
      <c r="AS6148" s="19"/>
      <c r="AT6148" s="19"/>
      <c r="AU6148" s="19"/>
    </row>
    <row r="6149" spans="3:47">
      <c r="C6149" s="20"/>
      <c r="Z6149" s="20"/>
      <c r="AG6149" s="20"/>
      <c r="AQ6149" s="19"/>
      <c r="AR6149" s="19"/>
      <c r="AS6149" s="19"/>
      <c r="AT6149" s="19"/>
      <c r="AU6149" s="19"/>
    </row>
    <row r="6150" spans="3:47">
      <c r="C6150" s="20"/>
      <c r="Z6150" s="20"/>
      <c r="AG6150" s="20"/>
      <c r="AQ6150" s="19"/>
      <c r="AR6150" s="19"/>
      <c r="AS6150" s="19"/>
      <c r="AT6150" s="19"/>
      <c r="AU6150" s="19"/>
    </row>
    <row r="6151" spans="3:47">
      <c r="C6151" s="20"/>
      <c r="Z6151" s="20"/>
      <c r="AG6151" s="20"/>
      <c r="AQ6151" s="19"/>
      <c r="AR6151" s="19"/>
      <c r="AS6151" s="19"/>
      <c r="AT6151" s="19"/>
      <c r="AU6151" s="19"/>
    </row>
    <row r="6152" spans="3:47">
      <c r="C6152" s="20"/>
      <c r="Z6152" s="20"/>
      <c r="AG6152" s="20"/>
      <c r="AQ6152" s="19"/>
      <c r="AR6152" s="19"/>
      <c r="AS6152" s="19"/>
      <c r="AT6152" s="19"/>
      <c r="AU6152" s="19"/>
    </row>
    <row r="6153" spans="3:47">
      <c r="C6153" s="20"/>
      <c r="Z6153" s="20"/>
      <c r="AG6153" s="20"/>
      <c r="AQ6153" s="19"/>
      <c r="AR6153" s="19"/>
      <c r="AS6153" s="19"/>
      <c r="AT6153" s="19"/>
      <c r="AU6153" s="19"/>
    </row>
    <row r="6154" spans="3:47">
      <c r="C6154" s="20"/>
      <c r="Z6154" s="20"/>
      <c r="AG6154" s="20"/>
      <c r="AQ6154" s="19"/>
      <c r="AR6154" s="19"/>
      <c r="AS6154" s="19"/>
      <c r="AT6154" s="19"/>
      <c r="AU6154" s="19"/>
    </row>
    <row r="6155" spans="3:47">
      <c r="C6155" s="20"/>
      <c r="Z6155" s="20"/>
      <c r="AG6155" s="20"/>
      <c r="AQ6155" s="19"/>
      <c r="AR6155" s="19"/>
      <c r="AS6155" s="19"/>
      <c r="AT6155" s="19"/>
      <c r="AU6155" s="19"/>
    </row>
    <row r="6156" spans="3:47">
      <c r="C6156" s="20"/>
      <c r="Z6156" s="20"/>
      <c r="AG6156" s="20"/>
      <c r="AQ6156" s="19"/>
      <c r="AR6156" s="19"/>
      <c r="AS6156" s="19"/>
      <c r="AT6156" s="19"/>
      <c r="AU6156" s="19"/>
    </row>
    <row r="6157" spans="3:47">
      <c r="C6157" s="20"/>
      <c r="Z6157" s="20"/>
      <c r="AG6157" s="20"/>
      <c r="AQ6157" s="19"/>
      <c r="AR6157" s="19"/>
      <c r="AS6157" s="19"/>
      <c r="AT6157" s="19"/>
      <c r="AU6157" s="19"/>
    </row>
    <row r="6158" spans="3:47">
      <c r="C6158" s="20"/>
      <c r="Z6158" s="20"/>
      <c r="AG6158" s="20"/>
      <c r="AQ6158" s="19"/>
      <c r="AR6158" s="19"/>
      <c r="AS6158" s="19"/>
      <c r="AT6158" s="19"/>
      <c r="AU6158" s="19"/>
    </row>
    <row r="6159" spans="3:47">
      <c r="C6159" s="20"/>
      <c r="Z6159" s="20"/>
      <c r="AG6159" s="20"/>
      <c r="AQ6159" s="19"/>
      <c r="AR6159" s="19"/>
      <c r="AS6159" s="19"/>
      <c r="AT6159" s="19"/>
      <c r="AU6159" s="19"/>
    </row>
    <row r="6160" spans="3:47">
      <c r="C6160" s="20"/>
      <c r="Z6160" s="20"/>
      <c r="AG6160" s="20"/>
      <c r="AQ6160" s="19"/>
      <c r="AR6160" s="19"/>
      <c r="AS6160" s="19"/>
      <c r="AT6160" s="19"/>
      <c r="AU6160" s="19"/>
    </row>
    <row r="6161" spans="3:47">
      <c r="C6161" s="20"/>
      <c r="Z6161" s="20"/>
      <c r="AG6161" s="20"/>
      <c r="AQ6161" s="19"/>
      <c r="AR6161" s="19"/>
      <c r="AS6161" s="19"/>
      <c r="AT6161" s="19"/>
      <c r="AU6161" s="19"/>
    </row>
    <row r="6162" spans="3:47">
      <c r="C6162" s="20"/>
      <c r="Z6162" s="20"/>
      <c r="AG6162" s="20"/>
      <c r="AQ6162" s="19"/>
      <c r="AR6162" s="19"/>
      <c r="AS6162" s="19"/>
      <c r="AT6162" s="19"/>
      <c r="AU6162" s="19"/>
    </row>
    <row r="6163" spans="3:47">
      <c r="C6163" s="20"/>
      <c r="Z6163" s="20"/>
      <c r="AG6163" s="20"/>
      <c r="AQ6163" s="19"/>
      <c r="AR6163" s="19"/>
      <c r="AS6163" s="19"/>
      <c r="AT6163" s="19"/>
      <c r="AU6163" s="19"/>
    </row>
    <row r="6164" spans="3:47">
      <c r="C6164" s="20"/>
      <c r="Z6164" s="20"/>
      <c r="AG6164" s="20"/>
      <c r="AQ6164" s="19"/>
      <c r="AR6164" s="19"/>
      <c r="AS6164" s="19"/>
      <c r="AT6164" s="19"/>
      <c r="AU6164" s="19"/>
    </row>
    <row r="6165" spans="3:47">
      <c r="C6165" s="20"/>
      <c r="Z6165" s="20"/>
      <c r="AG6165" s="20"/>
      <c r="AQ6165" s="19"/>
      <c r="AR6165" s="19"/>
      <c r="AS6165" s="19"/>
      <c r="AT6165" s="19"/>
      <c r="AU6165" s="19"/>
    </row>
    <row r="6166" spans="3:47">
      <c r="C6166" s="20"/>
      <c r="Z6166" s="20"/>
      <c r="AG6166" s="20"/>
      <c r="AQ6166" s="19"/>
      <c r="AR6166" s="19"/>
      <c r="AS6166" s="19"/>
      <c r="AT6166" s="19"/>
      <c r="AU6166" s="19"/>
    </row>
    <row r="6167" spans="3:47">
      <c r="C6167" s="20"/>
      <c r="Z6167" s="20"/>
      <c r="AG6167" s="20"/>
      <c r="AQ6167" s="19"/>
      <c r="AR6167" s="19"/>
      <c r="AS6167" s="19"/>
      <c r="AT6167" s="19"/>
      <c r="AU6167" s="19"/>
    </row>
    <row r="6168" spans="3:47">
      <c r="C6168" s="20"/>
      <c r="Z6168" s="20"/>
      <c r="AG6168" s="20"/>
      <c r="AQ6168" s="19"/>
      <c r="AR6168" s="19"/>
      <c r="AS6168" s="19"/>
      <c r="AT6168" s="19"/>
      <c r="AU6168" s="19"/>
    </row>
    <row r="6169" spans="3:47">
      <c r="C6169" s="20"/>
      <c r="Z6169" s="20"/>
      <c r="AG6169" s="20"/>
      <c r="AQ6169" s="19"/>
      <c r="AR6169" s="19"/>
      <c r="AS6169" s="19"/>
      <c r="AT6169" s="19"/>
      <c r="AU6169" s="19"/>
    </row>
    <row r="6170" spans="3:47">
      <c r="C6170" s="20"/>
      <c r="Z6170" s="20"/>
      <c r="AG6170" s="20"/>
      <c r="AQ6170" s="19"/>
      <c r="AR6170" s="19"/>
      <c r="AS6170" s="19"/>
      <c r="AT6170" s="19"/>
      <c r="AU6170" s="19"/>
    </row>
    <row r="6171" spans="3:47">
      <c r="C6171" s="20"/>
      <c r="Z6171" s="20"/>
      <c r="AG6171" s="20"/>
      <c r="AQ6171" s="19"/>
      <c r="AR6171" s="19"/>
      <c r="AS6171" s="19"/>
      <c r="AT6171" s="19"/>
      <c r="AU6171" s="19"/>
    </row>
    <row r="6172" spans="3:47">
      <c r="C6172" s="20"/>
      <c r="Z6172" s="20"/>
      <c r="AG6172" s="20"/>
      <c r="AQ6172" s="19"/>
      <c r="AR6172" s="19"/>
      <c r="AS6172" s="19"/>
      <c r="AT6172" s="19"/>
      <c r="AU6172" s="19"/>
    </row>
    <row r="6173" spans="3:47">
      <c r="C6173" s="20"/>
      <c r="Z6173" s="20"/>
      <c r="AG6173" s="20"/>
      <c r="AQ6173" s="19"/>
      <c r="AR6173" s="19"/>
      <c r="AS6173" s="19"/>
      <c r="AT6173" s="19"/>
      <c r="AU6173" s="19"/>
    </row>
    <row r="6174" spans="3:47">
      <c r="C6174" s="20"/>
      <c r="Z6174" s="20"/>
      <c r="AG6174" s="20"/>
      <c r="AQ6174" s="19"/>
      <c r="AR6174" s="19"/>
      <c r="AS6174" s="19"/>
      <c r="AT6174" s="19"/>
      <c r="AU6174" s="19"/>
    </row>
    <row r="6175" spans="3:47">
      <c r="C6175" s="20"/>
      <c r="Z6175" s="20"/>
      <c r="AG6175" s="20"/>
      <c r="AQ6175" s="19"/>
      <c r="AR6175" s="19"/>
      <c r="AS6175" s="19"/>
      <c r="AT6175" s="19"/>
      <c r="AU6175" s="19"/>
    </row>
    <row r="6176" spans="3:47">
      <c r="C6176" s="20"/>
      <c r="Z6176" s="20"/>
      <c r="AG6176" s="20"/>
      <c r="AQ6176" s="19"/>
      <c r="AR6176" s="19"/>
      <c r="AS6176" s="19"/>
      <c r="AT6176" s="19"/>
      <c r="AU6176" s="19"/>
    </row>
    <row r="6177" spans="3:47">
      <c r="C6177" s="20"/>
      <c r="Z6177" s="20"/>
      <c r="AG6177" s="20"/>
      <c r="AQ6177" s="19"/>
      <c r="AR6177" s="19"/>
      <c r="AS6177" s="19"/>
      <c r="AT6177" s="19"/>
      <c r="AU6177" s="19"/>
    </row>
    <row r="6178" spans="3:47">
      <c r="C6178" s="20"/>
      <c r="Z6178" s="20"/>
      <c r="AG6178" s="20"/>
      <c r="AQ6178" s="19"/>
      <c r="AR6178" s="19"/>
      <c r="AS6178" s="19"/>
      <c r="AT6178" s="19"/>
      <c r="AU6178" s="19"/>
    </row>
    <row r="6179" spans="3:47">
      <c r="C6179" s="20"/>
      <c r="Z6179" s="20"/>
      <c r="AG6179" s="20"/>
      <c r="AQ6179" s="19"/>
      <c r="AR6179" s="19"/>
      <c r="AS6179" s="19"/>
      <c r="AT6179" s="19"/>
      <c r="AU6179" s="19"/>
    </row>
    <row r="6180" spans="3:47">
      <c r="C6180" s="20"/>
      <c r="Z6180" s="20"/>
      <c r="AG6180" s="20"/>
      <c r="AQ6180" s="19"/>
      <c r="AR6180" s="19"/>
      <c r="AS6180" s="19"/>
      <c r="AT6180" s="19"/>
      <c r="AU6180" s="19"/>
    </row>
    <row r="6181" spans="3:47">
      <c r="C6181" s="20"/>
      <c r="Z6181" s="20"/>
      <c r="AG6181" s="20"/>
      <c r="AQ6181" s="19"/>
      <c r="AR6181" s="19"/>
      <c r="AS6181" s="19"/>
      <c r="AT6181" s="19"/>
      <c r="AU6181" s="19"/>
    </row>
    <row r="6182" spans="3:47">
      <c r="C6182" s="20"/>
      <c r="Z6182" s="20"/>
      <c r="AG6182" s="20"/>
      <c r="AQ6182" s="19"/>
      <c r="AR6182" s="19"/>
      <c r="AS6182" s="19"/>
      <c r="AT6182" s="19"/>
      <c r="AU6182" s="19"/>
    </row>
    <row r="6183" spans="3:47">
      <c r="C6183" s="20"/>
      <c r="Z6183" s="20"/>
      <c r="AG6183" s="20"/>
      <c r="AQ6183" s="19"/>
      <c r="AR6183" s="19"/>
      <c r="AS6183" s="19"/>
      <c r="AT6183" s="19"/>
      <c r="AU6183" s="19"/>
    </row>
    <row r="6184" spans="3:47">
      <c r="C6184" s="20"/>
      <c r="Z6184" s="20"/>
      <c r="AG6184" s="20"/>
      <c r="AQ6184" s="19"/>
      <c r="AR6184" s="19"/>
      <c r="AS6184" s="19"/>
      <c r="AT6184" s="19"/>
      <c r="AU6184" s="19"/>
    </row>
    <row r="6185" spans="3:47">
      <c r="C6185" s="20"/>
      <c r="Z6185" s="20"/>
      <c r="AG6185" s="20"/>
      <c r="AQ6185" s="19"/>
      <c r="AR6185" s="19"/>
      <c r="AS6185" s="19"/>
      <c r="AT6185" s="19"/>
      <c r="AU6185" s="19"/>
    </row>
    <row r="6186" spans="3:47">
      <c r="C6186" s="20"/>
      <c r="Z6186" s="20"/>
      <c r="AG6186" s="20"/>
      <c r="AQ6186" s="19"/>
      <c r="AR6186" s="19"/>
      <c r="AS6186" s="19"/>
      <c r="AT6186" s="19"/>
      <c r="AU6186" s="19"/>
    </row>
    <row r="6187" spans="3:47">
      <c r="C6187" s="20"/>
      <c r="Z6187" s="20"/>
      <c r="AG6187" s="20"/>
      <c r="AQ6187" s="19"/>
      <c r="AR6187" s="19"/>
      <c r="AS6187" s="19"/>
      <c r="AT6187" s="19"/>
      <c r="AU6187" s="19"/>
    </row>
    <row r="6188" spans="3:47">
      <c r="C6188" s="20"/>
      <c r="Z6188" s="20"/>
      <c r="AG6188" s="20"/>
      <c r="AQ6188" s="19"/>
      <c r="AR6188" s="19"/>
      <c r="AS6188" s="19"/>
      <c r="AT6188" s="19"/>
      <c r="AU6188" s="19"/>
    </row>
    <row r="6189" spans="3:47">
      <c r="C6189" s="20"/>
      <c r="Z6189" s="20"/>
      <c r="AG6189" s="20"/>
      <c r="AQ6189" s="19"/>
      <c r="AR6189" s="19"/>
      <c r="AS6189" s="19"/>
      <c r="AT6189" s="19"/>
      <c r="AU6189" s="19"/>
    </row>
    <row r="6190" spans="3:47">
      <c r="C6190" s="20"/>
      <c r="Z6190" s="20"/>
      <c r="AG6190" s="20"/>
      <c r="AQ6190" s="19"/>
      <c r="AR6190" s="19"/>
      <c r="AS6190" s="19"/>
      <c r="AT6190" s="19"/>
      <c r="AU6190" s="19"/>
    </row>
    <row r="6191" spans="3:47">
      <c r="C6191" s="20"/>
      <c r="Z6191" s="20"/>
      <c r="AG6191" s="20"/>
      <c r="AQ6191" s="19"/>
      <c r="AR6191" s="19"/>
      <c r="AS6191" s="19"/>
      <c r="AT6191" s="19"/>
      <c r="AU6191" s="19"/>
    </row>
    <row r="6192" spans="3:47">
      <c r="C6192" s="20"/>
      <c r="Z6192" s="20"/>
      <c r="AG6192" s="20"/>
      <c r="AQ6192" s="19"/>
      <c r="AR6192" s="19"/>
      <c r="AS6192" s="19"/>
      <c r="AT6192" s="19"/>
      <c r="AU6192" s="19"/>
    </row>
    <row r="6193" spans="3:47">
      <c r="C6193" s="20"/>
      <c r="Z6193" s="20"/>
      <c r="AG6193" s="20"/>
      <c r="AQ6193" s="19"/>
      <c r="AR6193" s="19"/>
      <c r="AS6193" s="19"/>
      <c r="AT6193" s="19"/>
      <c r="AU6193" s="19"/>
    </row>
    <row r="6194" spans="3:47">
      <c r="C6194" s="20"/>
      <c r="Z6194" s="20"/>
      <c r="AG6194" s="20"/>
      <c r="AQ6194" s="19"/>
      <c r="AR6194" s="19"/>
      <c r="AS6194" s="19"/>
      <c r="AT6194" s="19"/>
      <c r="AU6194" s="19"/>
    </row>
    <row r="6195" spans="3:47">
      <c r="C6195" s="20"/>
      <c r="Z6195" s="20"/>
      <c r="AG6195" s="20"/>
      <c r="AQ6195" s="19"/>
      <c r="AR6195" s="19"/>
      <c r="AS6195" s="19"/>
      <c r="AT6195" s="19"/>
      <c r="AU6195" s="19"/>
    </row>
    <row r="6196" spans="3:47">
      <c r="C6196" s="20"/>
      <c r="Z6196" s="20"/>
      <c r="AG6196" s="20"/>
      <c r="AQ6196" s="19"/>
      <c r="AR6196" s="19"/>
      <c r="AS6196" s="19"/>
      <c r="AT6196" s="19"/>
      <c r="AU6196" s="19"/>
    </row>
    <row r="6197" spans="3:47">
      <c r="C6197" s="20"/>
      <c r="Z6197" s="20"/>
      <c r="AG6197" s="20"/>
      <c r="AQ6197" s="19"/>
      <c r="AR6197" s="19"/>
      <c r="AS6197" s="19"/>
      <c r="AT6197" s="19"/>
      <c r="AU6197" s="19"/>
    </row>
    <row r="6198" spans="3:47">
      <c r="C6198" s="20"/>
      <c r="Z6198" s="20"/>
      <c r="AG6198" s="20"/>
      <c r="AQ6198" s="19"/>
      <c r="AR6198" s="19"/>
      <c r="AS6198" s="19"/>
      <c r="AT6198" s="19"/>
      <c r="AU6198" s="19"/>
    </row>
    <row r="6199" spans="3:47">
      <c r="C6199" s="20"/>
      <c r="Z6199" s="20"/>
      <c r="AG6199" s="20"/>
      <c r="AQ6199" s="19"/>
      <c r="AR6199" s="19"/>
      <c r="AS6199" s="19"/>
      <c r="AT6199" s="19"/>
      <c r="AU6199" s="19"/>
    </row>
    <row r="6200" spans="3:47">
      <c r="C6200" s="20"/>
      <c r="Z6200" s="20"/>
      <c r="AG6200" s="20"/>
      <c r="AQ6200" s="19"/>
      <c r="AR6200" s="19"/>
      <c r="AS6200" s="19"/>
      <c r="AT6200" s="19"/>
      <c r="AU6200" s="19"/>
    </row>
    <row r="6201" spans="3:47">
      <c r="C6201" s="20"/>
      <c r="Z6201" s="20"/>
      <c r="AG6201" s="20"/>
      <c r="AQ6201" s="19"/>
      <c r="AR6201" s="19"/>
      <c r="AS6201" s="19"/>
      <c r="AT6201" s="19"/>
      <c r="AU6201" s="19"/>
    </row>
    <row r="6202" spans="3:47">
      <c r="C6202" s="20"/>
      <c r="Z6202" s="20"/>
      <c r="AG6202" s="20"/>
      <c r="AQ6202" s="19"/>
      <c r="AR6202" s="19"/>
      <c r="AS6202" s="19"/>
      <c r="AT6202" s="19"/>
      <c r="AU6202" s="19"/>
    </row>
    <row r="6203" spans="3:47">
      <c r="C6203" s="20"/>
      <c r="Z6203" s="20"/>
      <c r="AG6203" s="20"/>
      <c r="AQ6203" s="19"/>
      <c r="AR6203" s="19"/>
      <c r="AS6203" s="19"/>
      <c r="AT6203" s="19"/>
      <c r="AU6203" s="19"/>
    </row>
    <row r="6204" spans="3:47">
      <c r="C6204" s="20"/>
      <c r="Z6204" s="20"/>
      <c r="AG6204" s="20"/>
      <c r="AQ6204" s="19"/>
      <c r="AR6204" s="19"/>
      <c r="AS6204" s="19"/>
      <c r="AT6204" s="19"/>
      <c r="AU6204" s="19"/>
    </row>
    <row r="6205" spans="3:47">
      <c r="C6205" s="20"/>
      <c r="Z6205" s="20"/>
      <c r="AG6205" s="20"/>
      <c r="AQ6205" s="19"/>
      <c r="AR6205" s="19"/>
      <c r="AS6205" s="19"/>
      <c r="AT6205" s="19"/>
      <c r="AU6205" s="19"/>
    </row>
    <row r="6206" spans="3:47">
      <c r="C6206" s="20"/>
      <c r="Z6206" s="20"/>
      <c r="AG6206" s="20"/>
      <c r="AQ6206" s="19"/>
      <c r="AR6206" s="19"/>
      <c r="AS6206" s="19"/>
      <c r="AT6206" s="19"/>
      <c r="AU6206" s="19"/>
    </row>
    <row r="6207" spans="3:47">
      <c r="C6207" s="20"/>
      <c r="Z6207" s="20"/>
      <c r="AG6207" s="20"/>
      <c r="AQ6207" s="19"/>
      <c r="AR6207" s="19"/>
      <c r="AS6207" s="19"/>
      <c r="AT6207" s="19"/>
      <c r="AU6207" s="19"/>
    </row>
    <row r="6208" spans="3:47">
      <c r="C6208" s="20"/>
      <c r="Z6208" s="20"/>
      <c r="AG6208" s="20"/>
      <c r="AQ6208" s="19"/>
      <c r="AR6208" s="19"/>
      <c r="AS6208" s="19"/>
      <c r="AT6208" s="19"/>
      <c r="AU6208" s="19"/>
    </row>
    <row r="6209" spans="3:47">
      <c r="C6209" s="20"/>
      <c r="Z6209" s="20"/>
      <c r="AG6209" s="20"/>
      <c r="AQ6209" s="19"/>
      <c r="AR6209" s="19"/>
      <c r="AS6209" s="19"/>
      <c r="AT6209" s="19"/>
      <c r="AU6209" s="19"/>
    </row>
    <row r="6210" spans="3:47">
      <c r="C6210" s="20"/>
      <c r="Z6210" s="20"/>
      <c r="AG6210" s="20"/>
      <c r="AQ6210" s="19"/>
      <c r="AR6210" s="19"/>
      <c r="AS6210" s="19"/>
      <c r="AT6210" s="19"/>
      <c r="AU6210" s="19"/>
    </row>
    <row r="6211" spans="3:47">
      <c r="C6211" s="20"/>
      <c r="Z6211" s="20"/>
      <c r="AG6211" s="20"/>
      <c r="AQ6211" s="19"/>
      <c r="AR6211" s="19"/>
      <c r="AS6211" s="19"/>
      <c r="AT6211" s="19"/>
      <c r="AU6211" s="19"/>
    </row>
    <row r="6212" spans="3:47">
      <c r="C6212" s="20"/>
      <c r="Z6212" s="20"/>
      <c r="AG6212" s="20"/>
      <c r="AQ6212" s="19"/>
      <c r="AR6212" s="19"/>
      <c r="AS6212" s="19"/>
      <c r="AT6212" s="19"/>
      <c r="AU6212" s="19"/>
    </row>
    <row r="6213" spans="3:47">
      <c r="C6213" s="20"/>
      <c r="Z6213" s="20"/>
      <c r="AG6213" s="20"/>
      <c r="AQ6213" s="19"/>
      <c r="AR6213" s="19"/>
      <c r="AS6213" s="19"/>
      <c r="AT6213" s="19"/>
      <c r="AU6213" s="19"/>
    </row>
    <row r="6214" spans="3:47">
      <c r="C6214" s="20"/>
      <c r="Z6214" s="20"/>
      <c r="AG6214" s="20"/>
      <c r="AQ6214" s="19"/>
      <c r="AR6214" s="19"/>
      <c r="AS6214" s="19"/>
      <c r="AT6214" s="19"/>
      <c r="AU6214" s="19"/>
    </row>
    <row r="6215" spans="3:47">
      <c r="C6215" s="20"/>
      <c r="Z6215" s="20"/>
      <c r="AG6215" s="20"/>
      <c r="AQ6215" s="19"/>
      <c r="AR6215" s="19"/>
      <c r="AS6215" s="19"/>
      <c r="AT6215" s="19"/>
      <c r="AU6215" s="19"/>
    </row>
    <row r="6216" spans="3:47">
      <c r="C6216" s="20"/>
      <c r="Z6216" s="20"/>
      <c r="AG6216" s="20"/>
      <c r="AQ6216" s="19"/>
      <c r="AR6216" s="19"/>
      <c r="AS6216" s="19"/>
      <c r="AT6216" s="19"/>
      <c r="AU6216" s="19"/>
    </row>
    <row r="6217" spans="3:47">
      <c r="C6217" s="20"/>
      <c r="Z6217" s="20"/>
      <c r="AG6217" s="20"/>
      <c r="AQ6217" s="19"/>
      <c r="AR6217" s="19"/>
      <c r="AS6217" s="19"/>
      <c r="AT6217" s="19"/>
      <c r="AU6217" s="19"/>
    </row>
    <row r="6218" spans="3:47">
      <c r="C6218" s="20"/>
      <c r="Z6218" s="20"/>
      <c r="AG6218" s="20"/>
      <c r="AQ6218" s="19"/>
      <c r="AR6218" s="19"/>
      <c r="AS6218" s="19"/>
      <c r="AT6218" s="19"/>
      <c r="AU6218" s="19"/>
    </row>
    <row r="6219" spans="3:47">
      <c r="C6219" s="20"/>
      <c r="Z6219" s="20"/>
      <c r="AG6219" s="20"/>
      <c r="AQ6219" s="19"/>
      <c r="AR6219" s="19"/>
      <c r="AS6219" s="19"/>
      <c r="AT6219" s="19"/>
      <c r="AU6219" s="19"/>
    </row>
    <row r="6220" spans="3:47">
      <c r="C6220" s="20"/>
      <c r="Z6220" s="20"/>
      <c r="AG6220" s="20"/>
      <c r="AQ6220" s="19"/>
      <c r="AR6220" s="19"/>
      <c r="AS6220" s="19"/>
      <c r="AT6220" s="19"/>
      <c r="AU6220" s="19"/>
    </row>
    <row r="6221" spans="3:47">
      <c r="C6221" s="20"/>
      <c r="Z6221" s="20"/>
      <c r="AG6221" s="20"/>
      <c r="AQ6221" s="19"/>
      <c r="AR6221" s="19"/>
      <c r="AS6221" s="19"/>
      <c r="AT6221" s="19"/>
      <c r="AU6221" s="19"/>
    </row>
    <row r="6222" spans="3:47">
      <c r="C6222" s="20"/>
      <c r="Z6222" s="20"/>
      <c r="AG6222" s="20"/>
      <c r="AQ6222" s="19"/>
      <c r="AR6222" s="19"/>
      <c r="AS6222" s="19"/>
      <c r="AT6222" s="19"/>
      <c r="AU6222" s="19"/>
    </row>
    <row r="6223" spans="3:47">
      <c r="C6223" s="20"/>
      <c r="Z6223" s="20"/>
      <c r="AG6223" s="20"/>
      <c r="AQ6223" s="19"/>
      <c r="AR6223" s="19"/>
      <c r="AS6223" s="19"/>
      <c r="AT6223" s="19"/>
      <c r="AU6223" s="19"/>
    </row>
    <row r="6224" spans="3:47">
      <c r="C6224" s="20"/>
      <c r="Z6224" s="20"/>
      <c r="AG6224" s="20"/>
      <c r="AQ6224" s="19"/>
      <c r="AR6224" s="19"/>
      <c r="AS6224" s="19"/>
      <c r="AT6224" s="19"/>
      <c r="AU6224" s="19"/>
    </row>
    <row r="6225" spans="3:47">
      <c r="C6225" s="20"/>
      <c r="Z6225" s="20"/>
      <c r="AG6225" s="20"/>
      <c r="AQ6225" s="19"/>
      <c r="AR6225" s="19"/>
      <c r="AS6225" s="19"/>
      <c r="AT6225" s="19"/>
      <c r="AU6225" s="19"/>
    </row>
    <row r="6226" spans="3:47">
      <c r="C6226" s="20"/>
      <c r="Z6226" s="20"/>
      <c r="AG6226" s="20"/>
      <c r="AQ6226" s="19"/>
      <c r="AR6226" s="19"/>
      <c r="AS6226" s="19"/>
      <c r="AT6226" s="19"/>
      <c r="AU6226" s="19"/>
    </row>
    <row r="6227" spans="3:47">
      <c r="C6227" s="20"/>
      <c r="Z6227" s="20"/>
      <c r="AG6227" s="20"/>
      <c r="AQ6227" s="19"/>
      <c r="AR6227" s="19"/>
      <c r="AS6227" s="19"/>
      <c r="AT6227" s="19"/>
      <c r="AU6227" s="19"/>
    </row>
    <row r="6228" spans="3:47">
      <c r="C6228" s="20"/>
      <c r="Z6228" s="20"/>
      <c r="AG6228" s="20"/>
      <c r="AQ6228" s="19"/>
      <c r="AR6228" s="19"/>
      <c r="AS6228" s="19"/>
      <c r="AT6228" s="19"/>
      <c r="AU6228" s="19"/>
    </row>
    <row r="6229" spans="3:47">
      <c r="C6229" s="20"/>
      <c r="Z6229" s="20"/>
      <c r="AG6229" s="20"/>
      <c r="AQ6229" s="19"/>
      <c r="AR6229" s="19"/>
      <c r="AS6229" s="19"/>
      <c r="AT6229" s="19"/>
      <c r="AU6229" s="19"/>
    </row>
    <row r="6230" spans="3:47">
      <c r="C6230" s="20"/>
      <c r="Z6230" s="20"/>
      <c r="AG6230" s="20"/>
      <c r="AQ6230" s="19"/>
      <c r="AR6230" s="19"/>
      <c r="AS6230" s="19"/>
      <c r="AT6230" s="19"/>
      <c r="AU6230" s="19"/>
    </row>
    <row r="6231" spans="3:47">
      <c r="C6231" s="20"/>
      <c r="Z6231" s="20"/>
      <c r="AG6231" s="20"/>
      <c r="AQ6231" s="19"/>
      <c r="AR6231" s="19"/>
      <c r="AS6231" s="19"/>
      <c r="AT6231" s="19"/>
      <c r="AU6231" s="19"/>
    </row>
    <row r="6232" spans="3:47">
      <c r="C6232" s="20"/>
      <c r="Z6232" s="20"/>
      <c r="AG6232" s="20"/>
      <c r="AQ6232" s="19"/>
      <c r="AR6232" s="19"/>
      <c r="AS6232" s="19"/>
      <c r="AT6232" s="19"/>
      <c r="AU6232" s="19"/>
    </row>
    <row r="6233" spans="3:47">
      <c r="C6233" s="20"/>
      <c r="Z6233" s="20"/>
      <c r="AG6233" s="20"/>
      <c r="AQ6233" s="19"/>
      <c r="AR6233" s="19"/>
      <c r="AS6233" s="19"/>
      <c r="AT6233" s="19"/>
      <c r="AU6233" s="19"/>
    </row>
    <row r="6234" spans="3:47">
      <c r="C6234" s="20"/>
      <c r="Z6234" s="20"/>
      <c r="AG6234" s="20"/>
      <c r="AQ6234" s="19"/>
      <c r="AR6234" s="19"/>
      <c r="AS6234" s="19"/>
      <c r="AT6234" s="19"/>
      <c r="AU6234" s="19"/>
    </row>
    <row r="6235" spans="3:47">
      <c r="C6235" s="20"/>
      <c r="Z6235" s="20"/>
      <c r="AG6235" s="20"/>
      <c r="AQ6235" s="19"/>
      <c r="AR6235" s="19"/>
      <c r="AS6235" s="19"/>
      <c r="AT6235" s="19"/>
      <c r="AU6235" s="19"/>
    </row>
    <row r="6236" spans="3:47">
      <c r="C6236" s="20"/>
      <c r="Z6236" s="20"/>
      <c r="AG6236" s="20"/>
      <c r="AQ6236" s="19"/>
      <c r="AR6236" s="19"/>
      <c r="AS6236" s="19"/>
      <c r="AT6236" s="19"/>
      <c r="AU6236" s="19"/>
    </row>
    <row r="6237" spans="3:47">
      <c r="C6237" s="20"/>
      <c r="Z6237" s="20"/>
      <c r="AG6237" s="20"/>
      <c r="AQ6237" s="19"/>
      <c r="AR6237" s="19"/>
      <c r="AS6237" s="19"/>
      <c r="AT6237" s="19"/>
      <c r="AU6237" s="19"/>
    </row>
    <row r="6238" spans="3:47">
      <c r="C6238" s="20"/>
      <c r="Z6238" s="20"/>
      <c r="AG6238" s="20"/>
      <c r="AQ6238" s="19"/>
      <c r="AR6238" s="19"/>
      <c r="AS6238" s="19"/>
      <c r="AT6238" s="19"/>
      <c r="AU6238" s="19"/>
    </row>
    <row r="6239" spans="3:47">
      <c r="C6239" s="20"/>
      <c r="Z6239" s="20"/>
      <c r="AG6239" s="20"/>
      <c r="AQ6239" s="19"/>
      <c r="AR6239" s="19"/>
      <c r="AS6239" s="19"/>
      <c r="AT6239" s="19"/>
      <c r="AU6239" s="19"/>
    </row>
    <row r="6240" spans="3:47">
      <c r="C6240" s="20"/>
      <c r="Z6240" s="20"/>
      <c r="AG6240" s="20"/>
      <c r="AQ6240" s="19"/>
      <c r="AR6240" s="19"/>
      <c r="AS6240" s="19"/>
      <c r="AT6240" s="19"/>
      <c r="AU6240" s="19"/>
    </row>
    <row r="6241" spans="3:47">
      <c r="C6241" s="20"/>
      <c r="Z6241" s="20"/>
      <c r="AG6241" s="20"/>
      <c r="AQ6241" s="19"/>
      <c r="AR6241" s="19"/>
      <c r="AS6241" s="19"/>
      <c r="AT6241" s="19"/>
      <c r="AU6241" s="19"/>
    </row>
    <row r="6242" spans="3:47">
      <c r="C6242" s="20"/>
      <c r="Z6242" s="20"/>
      <c r="AG6242" s="20"/>
      <c r="AQ6242" s="19"/>
      <c r="AR6242" s="19"/>
      <c r="AS6242" s="19"/>
      <c r="AT6242" s="19"/>
      <c r="AU6242" s="19"/>
    </row>
    <row r="6243" spans="3:47">
      <c r="C6243" s="20"/>
      <c r="Z6243" s="20"/>
      <c r="AG6243" s="20"/>
      <c r="AQ6243" s="19"/>
      <c r="AR6243" s="19"/>
      <c r="AS6243" s="19"/>
      <c r="AT6243" s="19"/>
      <c r="AU6243" s="19"/>
    </row>
    <row r="6244" spans="3:47">
      <c r="C6244" s="20"/>
      <c r="Z6244" s="20"/>
      <c r="AG6244" s="20"/>
      <c r="AQ6244" s="19"/>
      <c r="AR6244" s="19"/>
      <c r="AS6244" s="19"/>
      <c r="AT6244" s="19"/>
      <c r="AU6244" s="19"/>
    </row>
    <row r="6245" spans="3:47">
      <c r="C6245" s="20"/>
      <c r="Z6245" s="20"/>
      <c r="AG6245" s="20"/>
      <c r="AQ6245" s="19"/>
      <c r="AR6245" s="19"/>
      <c r="AS6245" s="19"/>
      <c r="AT6245" s="19"/>
      <c r="AU6245" s="19"/>
    </row>
    <row r="6246" spans="3:47">
      <c r="C6246" s="20"/>
      <c r="Z6246" s="20"/>
      <c r="AG6246" s="20"/>
      <c r="AQ6246" s="19"/>
      <c r="AR6246" s="19"/>
      <c r="AS6246" s="19"/>
      <c r="AT6246" s="19"/>
      <c r="AU6246" s="19"/>
    </row>
    <row r="6247" spans="3:47">
      <c r="C6247" s="20"/>
      <c r="Z6247" s="20"/>
      <c r="AG6247" s="20"/>
      <c r="AQ6247" s="19"/>
      <c r="AR6247" s="19"/>
      <c r="AS6247" s="19"/>
      <c r="AT6247" s="19"/>
      <c r="AU6247" s="19"/>
    </row>
    <row r="6248" spans="3:47">
      <c r="C6248" s="20"/>
      <c r="Z6248" s="20"/>
      <c r="AG6248" s="20"/>
      <c r="AQ6248" s="19"/>
      <c r="AR6248" s="19"/>
      <c r="AS6248" s="19"/>
      <c r="AT6248" s="19"/>
      <c r="AU6248" s="19"/>
    </row>
    <row r="6249" spans="3:47">
      <c r="C6249" s="20"/>
      <c r="Z6249" s="20"/>
      <c r="AG6249" s="20"/>
      <c r="AQ6249" s="19"/>
      <c r="AR6249" s="19"/>
      <c r="AS6249" s="19"/>
      <c r="AT6249" s="19"/>
      <c r="AU6249" s="19"/>
    </row>
    <row r="6250" spans="3:47">
      <c r="C6250" s="20"/>
      <c r="Z6250" s="20"/>
      <c r="AG6250" s="20"/>
      <c r="AQ6250" s="19"/>
      <c r="AR6250" s="19"/>
      <c r="AS6250" s="19"/>
      <c r="AT6250" s="19"/>
      <c r="AU6250" s="19"/>
    </row>
    <row r="6251" spans="3:47">
      <c r="C6251" s="20"/>
      <c r="Z6251" s="20"/>
      <c r="AG6251" s="20"/>
      <c r="AQ6251" s="19"/>
      <c r="AR6251" s="19"/>
      <c r="AS6251" s="19"/>
      <c r="AT6251" s="19"/>
      <c r="AU6251" s="19"/>
    </row>
    <row r="6252" spans="3:47">
      <c r="C6252" s="20"/>
      <c r="Z6252" s="20"/>
      <c r="AG6252" s="20"/>
      <c r="AQ6252" s="19"/>
      <c r="AR6252" s="19"/>
      <c r="AS6252" s="19"/>
      <c r="AT6252" s="19"/>
      <c r="AU6252" s="19"/>
    </row>
    <row r="6253" spans="3:47">
      <c r="C6253" s="20"/>
      <c r="Z6253" s="20"/>
      <c r="AG6253" s="20"/>
      <c r="AQ6253" s="19"/>
      <c r="AR6253" s="19"/>
      <c r="AS6253" s="19"/>
      <c r="AT6253" s="19"/>
      <c r="AU6253" s="19"/>
    </row>
    <row r="6254" spans="3:47">
      <c r="C6254" s="20"/>
      <c r="Z6254" s="20"/>
      <c r="AG6254" s="20"/>
      <c r="AQ6254" s="19"/>
      <c r="AR6254" s="19"/>
      <c r="AS6254" s="19"/>
      <c r="AT6254" s="19"/>
      <c r="AU6254" s="19"/>
    </row>
    <row r="6255" spans="3:47">
      <c r="C6255" s="20"/>
      <c r="Z6255" s="20"/>
      <c r="AG6255" s="20"/>
      <c r="AQ6255" s="19"/>
      <c r="AR6255" s="19"/>
      <c r="AS6255" s="19"/>
      <c r="AT6255" s="19"/>
      <c r="AU6255" s="19"/>
    </row>
    <row r="6256" spans="3:47">
      <c r="C6256" s="20"/>
      <c r="Z6256" s="20"/>
      <c r="AG6256" s="20"/>
      <c r="AQ6256" s="19"/>
      <c r="AR6256" s="19"/>
      <c r="AS6256" s="19"/>
      <c r="AT6256" s="19"/>
      <c r="AU6256" s="19"/>
    </row>
    <row r="6257" spans="3:47">
      <c r="C6257" s="20"/>
      <c r="Z6257" s="20"/>
      <c r="AG6257" s="20"/>
      <c r="AQ6257" s="19"/>
      <c r="AR6257" s="19"/>
      <c r="AS6257" s="19"/>
      <c r="AT6257" s="19"/>
      <c r="AU6257" s="19"/>
    </row>
    <row r="6258" spans="3:47">
      <c r="C6258" s="20"/>
      <c r="Z6258" s="20"/>
      <c r="AG6258" s="20"/>
      <c r="AQ6258" s="19"/>
      <c r="AR6258" s="19"/>
      <c r="AS6258" s="19"/>
      <c r="AT6258" s="19"/>
      <c r="AU6258" s="19"/>
    </row>
    <row r="6259" spans="3:47">
      <c r="C6259" s="20"/>
      <c r="Z6259" s="20"/>
      <c r="AG6259" s="20"/>
      <c r="AQ6259" s="19"/>
      <c r="AR6259" s="19"/>
      <c r="AS6259" s="19"/>
      <c r="AT6259" s="19"/>
      <c r="AU6259" s="19"/>
    </row>
    <row r="6260" spans="3:47">
      <c r="C6260" s="20"/>
      <c r="Z6260" s="20"/>
      <c r="AG6260" s="20"/>
      <c r="AQ6260" s="19"/>
      <c r="AR6260" s="19"/>
      <c r="AS6260" s="19"/>
      <c r="AT6260" s="19"/>
      <c r="AU6260" s="19"/>
    </row>
    <row r="6261" spans="3:47">
      <c r="C6261" s="20"/>
      <c r="Z6261" s="20"/>
      <c r="AG6261" s="20"/>
      <c r="AQ6261" s="19"/>
      <c r="AR6261" s="19"/>
      <c r="AS6261" s="19"/>
      <c r="AT6261" s="19"/>
      <c r="AU6261" s="19"/>
    </row>
    <row r="6262" spans="3:47">
      <c r="C6262" s="20"/>
      <c r="Z6262" s="20"/>
      <c r="AG6262" s="20"/>
      <c r="AQ6262" s="19"/>
      <c r="AR6262" s="19"/>
      <c r="AS6262" s="19"/>
      <c r="AT6262" s="19"/>
      <c r="AU6262" s="19"/>
    </row>
    <row r="6263" spans="3:47">
      <c r="C6263" s="20"/>
      <c r="Z6263" s="20"/>
      <c r="AG6263" s="20"/>
      <c r="AQ6263" s="19"/>
      <c r="AR6263" s="19"/>
      <c r="AS6263" s="19"/>
      <c r="AT6263" s="19"/>
      <c r="AU6263" s="19"/>
    </row>
    <row r="6264" spans="3:47">
      <c r="C6264" s="20"/>
      <c r="Z6264" s="20"/>
      <c r="AG6264" s="20"/>
      <c r="AQ6264" s="19"/>
      <c r="AR6264" s="19"/>
      <c r="AS6264" s="19"/>
      <c r="AT6264" s="19"/>
      <c r="AU6264" s="19"/>
    </row>
    <row r="6265" spans="3:47">
      <c r="C6265" s="20"/>
      <c r="Z6265" s="20"/>
      <c r="AG6265" s="20"/>
      <c r="AQ6265" s="19"/>
      <c r="AR6265" s="19"/>
      <c r="AS6265" s="19"/>
      <c r="AT6265" s="19"/>
      <c r="AU6265" s="19"/>
    </row>
    <row r="6266" spans="3:47">
      <c r="C6266" s="20"/>
      <c r="Z6266" s="20"/>
      <c r="AG6266" s="20"/>
      <c r="AQ6266" s="19"/>
      <c r="AR6266" s="19"/>
      <c r="AS6266" s="19"/>
      <c r="AT6266" s="19"/>
      <c r="AU6266" s="19"/>
    </row>
    <row r="6267" spans="3:47">
      <c r="C6267" s="20"/>
      <c r="Z6267" s="20"/>
      <c r="AG6267" s="20"/>
      <c r="AQ6267" s="19"/>
      <c r="AR6267" s="19"/>
      <c r="AS6267" s="19"/>
      <c r="AT6267" s="19"/>
      <c r="AU6267" s="19"/>
    </row>
    <row r="6268" spans="3:47">
      <c r="C6268" s="20"/>
      <c r="Z6268" s="20"/>
      <c r="AG6268" s="20"/>
      <c r="AQ6268" s="19"/>
      <c r="AR6268" s="19"/>
      <c r="AS6268" s="19"/>
      <c r="AT6268" s="19"/>
      <c r="AU6268" s="19"/>
    </row>
    <row r="6269" spans="3:47">
      <c r="C6269" s="20"/>
      <c r="Z6269" s="20"/>
      <c r="AG6269" s="20"/>
      <c r="AQ6269" s="19"/>
      <c r="AR6269" s="19"/>
      <c r="AS6269" s="19"/>
      <c r="AT6269" s="19"/>
      <c r="AU6269" s="19"/>
    </row>
    <row r="6270" spans="3:47">
      <c r="C6270" s="20"/>
      <c r="Z6270" s="20"/>
      <c r="AG6270" s="20"/>
      <c r="AQ6270" s="19"/>
      <c r="AR6270" s="19"/>
      <c r="AS6270" s="19"/>
      <c r="AT6270" s="19"/>
      <c r="AU6270" s="19"/>
    </row>
    <row r="6271" spans="3:47">
      <c r="C6271" s="20"/>
      <c r="Z6271" s="20"/>
      <c r="AG6271" s="20"/>
      <c r="AQ6271" s="19"/>
      <c r="AR6271" s="19"/>
      <c r="AS6271" s="19"/>
      <c r="AT6271" s="19"/>
      <c r="AU6271" s="19"/>
    </row>
    <row r="6272" spans="3:47">
      <c r="C6272" s="20"/>
      <c r="Z6272" s="20"/>
      <c r="AG6272" s="20"/>
      <c r="AQ6272" s="19"/>
      <c r="AR6272" s="19"/>
      <c r="AS6272" s="19"/>
      <c r="AT6272" s="19"/>
      <c r="AU6272" s="19"/>
    </row>
    <row r="6273" spans="3:47">
      <c r="C6273" s="20"/>
      <c r="Z6273" s="20"/>
      <c r="AG6273" s="20"/>
      <c r="AQ6273" s="19"/>
      <c r="AR6273" s="19"/>
      <c r="AS6273" s="19"/>
      <c r="AT6273" s="19"/>
      <c r="AU6273" s="19"/>
    </row>
    <row r="6274" spans="3:47">
      <c r="C6274" s="20"/>
      <c r="Z6274" s="20"/>
      <c r="AG6274" s="20"/>
      <c r="AQ6274" s="19"/>
      <c r="AR6274" s="19"/>
      <c r="AS6274" s="19"/>
      <c r="AT6274" s="19"/>
      <c r="AU6274" s="19"/>
    </row>
    <row r="6275" spans="3:47">
      <c r="C6275" s="20"/>
      <c r="Z6275" s="20"/>
      <c r="AG6275" s="20"/>
      <c r="AQ6275" s="19"/>
      <c r="AR6275" s="19"/>
      <c r="AS6275" s="19"/>
      <c r="AT6275" s="19"/>
      <c r="AU6275" s="19"/>
    </row>
    <row r="6276" spans="3:47">
      <c r="C6276" s="20"/>
      <c r="Z6276" s="20"/>
      <c r="AG6276" s="20"/>
      <c r="AQ6276" s="19"/>
      <c r="AR6276" s="19"/>
      <c r="AS6276" s="19"/>
      <c r="AT6276" s="19"/>
      <c r="AU6276" s="19"/>
    </row>
    <row r="6277" spans="3:47">
      <c r="C6277" s="20"/>
      <c r="Z6277" s="20"/>
      <c r="AG6277" s="20"/>
      <c r="AQ6277" s="19"/>
      <c r="AR6277" s="19"/>
      <c r="AS6277" s="19"/>
      <c r="AT6277" s="19"/>
      <c r="AU6277" s="19"/>
    </row>
    <row r="6278" spans="3:47">
      <c r="C6278" s="20"/>
      <c r="Z6278" s="20"/>
      <c r="AG6278" s="20"/>
      <c r="AQ6278" s="19"/>
      <c r="AR6278" s="19"/>
      <c r="AS6278" s="19"/>
      <c r="AT6278" s="19"/>
      <c r="AU6278" s="19"/>
    </row>
    <row r="6279" spans="3:47">
      <c r="C6279" s="20"/>
      <c r="Z6279" s="20"/>
      <c r="AG6279" s="20"/>
      <c r="AQ6279" s="19"/>
      <c r="AR6279" s="19"/>
      <c r="AS6279" s="19"/>
      <c r="AT6279" s="19"/>
      <c r="AU6279" s="19"/>
    </row>
    <row r="6280" spans="3:47">
      <c r="C6280" s="20"/>
      <c r="Z6280" s="20"/>
      <c r="AG6280" s="20"/>
      <c r="AQ6280" s="19"/>
      <c r="AR6280" s="19"/>
      <c r="AS6280" s="19"/>
      <c r="AT6280" s="19"/>
      <c r="AU6280" s="19"/>
    </row>
    <row r="6281" spans="3:47">
      <c r="C6281" s="20"/>
      <c r="Z6281" s="20"/>
      <c r="AG6281" s="20"/>
      <c r="AQ6281" s="19"/>
      <c r="AR6281" s="19"/>
      <c r="AS6281" s="19"/>
      <c r="AT6281" s="19"/>
      <c r="AU6281" s="19"/>
    </row>
    <row r="6282" spans="3:47">
      <c r="C6282" s="20"/>
      <c r="Z6282" s="20"/>
      <c r="AG6282" s="20"/>
      <c r="AQ6282" s="19"/>
      <c r="AR6282" s="19"/>
      <c r="AS6282" s="19"/>
      <c r="AT6282" s="19"/>
      <c r="AU6282" s="19"/>
    </row>
    <row r="6283" spans="3:47">
      <c r="C6283" s="20"/>
      <c r="Z6283" s="20"/>
      <c r="AG6283" s="20"/>
      <c r="AQ6283" s="19"/>
      <c r="AR6283" s="19"/>
      <c r="AS6283" s="19"/>
      <c r="AT6283" s="19"/>
      <c r="AU6283" s="19"/>
    </row>
    <row r="6284" spans="3:47">
      <c r="C6284" s="20"/>
      <c r="Z6284" s="20"/>
      <c r="AG6284" s="20"/>
      <c r="AQ6284" s="19"/>
      <c r="AR6284" s="19"/>
      <c r="AS6284" s="19"/>
      <c r="AT6284" s="19"/>
      <c r="AU6284" s="19"/>
    </row>
    <row r="6285" spans="3:47">
      <c r="C6285" s="20"/>
      <c r="Z6285" s="20"/>
      <c r="AG6285" s="20"/>
      <c r="AQ6285" s="19"/>
      <c r="AR6285" s="19"/>
      <c r="AS6285" s="19"/>
      <c r="AT6285" s="19"/>
      <c r="AU6285" s="19"/>
    </row>
    <row r="6286" spans="3:47">
      <c r="C6286" s="20"/>
      <c r="Z6286" s="20"/>
      <c r="AG6286" s="20"/>
      <c r="AQ6286" s="19"/>
      <c r="AR6286" s="19"/>
      <c r="AS6286" s="19"/>
      <c r="AT6286" s="19"/>
      <c r="AU6286" s="19"/>
    </row>
    <row r="6287" spans="3:47">
      <c r="C6287" s="20"/>
      <c r="Z6287" s="20"/>
      <c r="AG6287" s="20"/>
      <c r="AQ6287" s="19"/>
      <c r="AR6287" s="19"/>
      <c r="AS6287" s="19"/>
      <c r="AT6287" s="19"/>
      <c r="AU6287" s="19"/>
    </row>
    <row r="6288" spans="3:47">
      <c r="C6288" s="20"/>
      <c r="Z6288" s="20"/>
      <c r="AG6288" s="20"/>
      <c r="AQ6288" s="19"/>
      <c r="AR6288" s="19"/>
      <c r="AS6288" s="19"/>
      <c r="AT6288" s="19"/>
      <c r="AU6288" s="19"/>
    </row>
    <row r="6289" spans="3:47">
      <c r="C6289" s="20"/>
      <c r="Z6289" s="20"/>
      <c r="AG6289" s="20"/>
      <c r="AQ6289" s="19"/>
      <c r="AR6289" s="19"/>
      <c r="AS6289" s="19"/>
      <c r="AT6289" s="19"/>
      <c r="AU6289" s="19"/>
    </row>
    <row r="6290" spans="3:47">
      <c r="C6290" s="20"/>
      <c r="Z6290" s="20"/>
      <c r="AG6290" s="20"/>
      <c r="AQ6290" s="19"/>
      <c r="AR6290" s="19"/>
      <c r="AS6290" s="19"/>
      <c r="AT6290" s="19"/>
      <c r="AU6290" s="19"/>
    </row>
    <row r="6291" spans="3:47">
      <c r="C6291" s="20"/>
      <c r="Z6291" s="20"/>
      <c r="AG6291" s="20"/>
      <c r="AQ6291" s="19"/>
      <c r="AR6291" s="19"/>
      <c r="AS6291" s="19"/>
      <c r="AT6291" s="19"/>
      <c r="AU6291" s="19"/>
    </row>
    <row r="6292" spans="3:47">
      <c r="C6292" s="20"/>
      <c r="Z6292" s="20"/>
      <c r="AG6292" s="20"/>
      <c r="AQ6292" s="19"/>
      <c r="AR6292" s="19"/>
      <c r="AS6292" s="19"/>
      <c r="AT6292" s="19"/>
      <c r="AU6292" s="19"/>
    </row>
    <row r="6293" spans="3:47">
      <c r="C6293" s="20"/>
      <c r="Z6293" s="20"/>
      <c r="AG6293" s="20"/>
      <c r="AQ6293" s="19"/>
      <c r="AR6293" s="19"/>
      <c r="AS6293" s="19"/>
      <c r="AT6293" s="19"/>
      <c r="AU6293" s="19"/>
    </row>
    <row r="6294" spans="3:47">
      <c r="C6294" s="20"/>
      <c r="Z6294" s="20"/>
      <c r="AG6294" s="20"/>
      <c r="AQ6294" s="19"/>
      <c r="AR6294" s="19"/>
      <c r="AS6294" s="19"/>
      <c r="AT6294" s="19"/>
      <c r="AU6294" s="19"/>
    </row>
    <row r="6295" spans="3:47">
      <c r="C6295" s="20"/>
      <c r="Z6295" s="20"/>
      <c r="AG6295" s="20"/>
      <c r="AQ6295" s="19"/>
      <c r="AR6295" s="19"/>
      <c r="AS6295" s="19"/>
      <c r="AT6295" s="19"/>
      <c r="AU6295" s="19"/>
    </row>
    <row r="6296" spans="3:47">
      <c r="C6296" s="20"/>
      <c r="Z6296" s="20"/>
      <c r="AG6296" s="20"/>
      <c r="AQ6296" s="19"/>
      <c r="AR6296" s="19"/>
      <c r="AS6296" s="19"/>
      <c r="AT6296" s="19"/>
      <c r="AU6296" s="19"/>
    </row>
    <row r="6297" spans="3:47">
      <c r="C6297" s="20"/>
      <c r="Z6297" s="20"/>
      <c r="AG6297" s="20"/>
      <c r="AQ6297" s="19"/>
      <c r="AR6297" s="19"/>
      <c r="AS6297" s="19"/>
      <c r="AT6297" s="19"/>
      <c r="AU6297" s="19"/>
    </row>
    <row r="6298" spans="3:47">
      <c r="C6298" s="20"/>
      <c r="Z6298" s="20"/>
      <c r="AG6298" s="20"/>
      <c r="AQ6298" s="19"/>
      <c r="AR6298" s="19"/>
      <c r="AS6298" s="19"/>
      <c r="AT6298" s="19"/>
      <c r="AU6298" s="19"/>
    </row>
    <row r="6299" spans="3:47">
      <c r="C6299" s="20"/>
      <c r="Z6299" s="20"/>
      <c r="AG6299" s="20"/>
      <c r="AQ6299" s="19"/>
      <c r="AR6299" s="19"/>
      <c r="AS6299" s="19"/>
      <c r="AT6299" s="19"/>
      <c r="AU6299" s="19"/>
    </row>
    <row r="6300" spans="3:47">
      <c r="C6300" s="20"/>
      <c r="Z6300" s="20"/>
      <c r="AG6300" s="20"/>
      <c r="AQ6300" s="19"/>
      <c r="AR6300" s="19"/>
      <c r="AS6300" s="19"/>
      <c r="AT6300" s="19"/>
      <c r="AU6300" s="19"/>
    </row>
    <row r="6301" spans="3:47">
      <c r="C6301" s="20"/>
      <c r="Z6301" s="20"/>
      <c r="AG6301" s="20"/>
      <c r="AQ6301" s="19"/>
      <c r="AR6301" s="19"/>
      <c r="AS6301" s="19"/>
      <c r="AT6301" s="19"/>
      <c r="AU6301" s="19"/>
    </row>
    <row r="6302" spans="3:47">
      <c r="C6302" s="20"/>
      <c r="Z6302" s="20"/>
      <c r="AG6302" s="20"/>
      <c r="AQ6302" s="19"/>
      <c r="AR6302" s="19"/>
      <c r="AS6302" s="19"/>
      <c r="AT6302" s="19"/>
      <c r="AU6302" s="19"/>
    </row>
    <row r="6303" spans="3:47">
      <c r="C6303" s="20"/>
      <c r="Z6303" s="20"/>
      <c r="AG6303" s="20"/>
      <c r="AQ6303" s="19"/>
      <c r="AR6303" s="19"/>
      <c r="AS6303" s="19"/>
      <c r="AT6303" s="19"/>
      <c r="AU6303" s="19"/>
    </row>
    <row r="6304" spans="3:47">
      <c r="C6304" s="20"/>
      <c r="Z6304" s="20"/>
      <c r="AG6304" s="20"/>
      <c r="AQ6304" s="19"/>
      <c r="AR6304" s="19"/>
      <c r="AS6304" s="19"/>
      <c r="AT6304" s="19"/>
      <c r="AU6304" s="19"/>
    </row>
    <row r="6305" spans="3:47">
      <c r="C6305" s="20"/>
      <c r="Z6305" s="20"/>
      <c r="AG6305" s="20"/>
      <c r="AQ6305" s="19"/>
      <c r="AR6305" s="19"/>
      <c r="AS6305" s="19"/>
      <c r="AT6305" s="19"/>
      <c r="AU6305" s="19"/>
    </row>
    <row r="6306" spans="3:47">
      <c r="C6306" s="20"/>
      <c r="Z6306" s="20"/>
      <c r="AG6306" s="20"/>
      <c r="AQ6306" s="19"/>
      <c r="AR6306" s="19"/>
      <c r="AS6306" s="19"/>
      <c r="AT6306" s="19"/>
      <c r="AU6306" s="19"/>
    </row>
    <row r="6307" spans="3:47">
      <c r="C6307" s="20"/>
      <c r="Z6307" s="20"/>
      <c r="AG6307" s="20"/>
      <c r="AQ6307" s="19"/>
      <c r="AR6307" s="19"/>
      <c r="AS6307" s="19"/>
      <c r="AT6307" s="19"/>
      <c r="AU6307" s="19"/>
    </row>
    <row r="6308" spans="3:47">
      <c r="C6308" s="20"/>
      <c r="Z6308" s="20"/>
      <c r="AG6308" s="20"/>
      <c r="AQ6308" s="19"/>
      <c r="AR6308" s="19"/>
      <c r="AS6308" s="19"/>
      <c r="AT6308" s="19"/>
      <c r="AU6308" s="19"/>
    </row>
    <row r="6309" spans="3:47">
      <c r="C6309" s="20"/>
      <c r="Z6309" s="20"/>
      <c r="AG6309" s="20"/>
      <c r="AQ6309" s="19"/>
      <c r="AR6309" s="19"/>
      <c r="AS6309" s="19"/>
      <c r="AT6309" s="19"/>
      <c r="AU6309" s="19"/>
    </row>
    <row r="6310" spans="3:47">
      <c r="C6310" s="20"/>
      <c r="Z6310" s="20"/>
      <c r="AG6310" s="20"/>
      <c r="AQ6310" s="19"/>
      <c r="AR6310" s="19"/>
      <c r="AS6310" s="19"/>
      <c r="AT6310" s="19"/>
      <c r="AU6310" s="19"/>
    </row>
    <row r="6311" spans="3:47">
      <c r="C6311" s="20"/>
      <c r="Z6311" s="20"/>
      <c r="AG6311" s="20"/>
      <c r="AQ6311" s="19"/>
      <c r="AR6311" s="19"/>
      <c r="AS6311" s="19"/>
      <c r="AT6311" s="19"/>
      <c r="AU6311" s="19"/>
    </row>
    <row r="6312" spans="3:47">
      <c r="C6312" s="20"/>
      <c r="Z6312" s="20"/>
      <c r="AG6312" s="20"/>
      <c r="AQ6312" s="19"/>
      <c r="AR6312" s="19"/>
      <c r="AS6312" s="19"/>
      <c r="AT6312" s="19"/>
      <c r="AU6312" s="19"/>
    </row>
    <row r="6313" spans="3:47">
      <c r="C6313" s="20"/>
      <c r="Z6313" s="20"/>
      <c r="AG6313" s="20"/>
      <c r="AQ6313" s="19"/>
      <c r="AR6313" s="19"/>
      <c r="AS6313" s="19"/>
      <c r="AT6313" s="19"/>
      <c r="AU6313" s="19"/>
    </row>
    <row r="6314" spans="3:47">
      <c r="C6314" s="20"/>
      <c r="Z6314" s="20"/>
      <c r="AG6314" s="20"/>
      <c r="AQ6314" s="19"/>
      <c r="AR6314" s="19"/>
      <c r="AS6314" s="19"/>
      <c r="AT6314" s="19"/>
      <c r="AU6314" s="19"/>
    </row>
    <row r="6315" spans="3:47">
      <c r="C6315" s="20"/>
      <c r="Z6315" s="20"/>
      <c r="AG6315" s="20"/>
      <c r="AQ6315" s="19"/>
      <c r="AR6315" s="19"/>
      <c r="AS6315" s="19"/>
      <c r="AT6315" s="19"/>
      <c r="AU6315" s="19"/>
    </row>
    <row r="6316" spans="3:47">
      <c r="C6316" s="20"/>
      <c r="Z6316" s="20"/>
      <c r="AG6316" s="20"/>
      <c r="AQ6316" s="19"/>
      <c r="AR6316" s="19"/>
      <c r="AS6316" s="19"/>
      <c r="AT6316" s="19"/>
      <c r="AU6316" s="19"/>
    </row>
    <row r="6317" spans="3:47">
      <c r="C6317" s="20"/>
      <c r="Z6317" s="20"/>
      <c r="AG6317" s="20"/>
      <c r="AQ6317" s="19"/>
      <c r="AR6317" s="19"/>
      <c r="AS6317" s="19"/>
      <c r="AT6317" s="19"/>
      <c r="AU6317" s="19"/>
    </row>
    <row r="6318" spans="3:47">
      <c r="C6318" s="20"/>
      <c r="Z6318" s="20"/>
      <c r="AG6318" s="20"/>
      <c r="AQ6318" s="19"/>
      <c r="AR6318" s="19"/>
      <c r="AS6318" s="19"/>
      <c r="AT6318" s="19"/>
      <c r="AU6318" s="19"/>
    </row>
    <row r="6319" spans="3:47">
      <c r="C6319" s="20"/>
      <c r="Z6319" s="20"/>
      <c r="AG6319" s="20"/>
      <c r="AQ6319" s="19"/>
      <c r="AR6319" s="19"/>
      <c r="AS6319" s="19"/>
      <c r="AT6319" s="19"/>
      <c r="AU6319" s="19"/>
    </row>
    <row r="6320" spans="3:47">
      <c r="C6320" s="20"/>
      <c r="Z6320" s="20"/>
      <c r="AG6320" s="20"/>
      <c r="AQ6320" s="19"/>
      <c r="AR6320" s="19"/>
      <c r="AS6320" s="19"/>
      <c r="AT6320" s="19"/>
      <c r="AU6320" s="19"/>
    </row>
    <row r="6321" spans="3:47">
      <c r="C6321" s="20"/>
      <c r="Z6321" s="20"/>
      <c r="AG6321" s="20"/>
      <c r="AQ6321" s="19"/>
      <c r="AR6321" s="19"/>
      <c r="AS6321" s="19"/>
      <c r="AT6321" s="19"/>
      <c r="AU6321" s="19"/>
    </row>
    <row r="6322" spans="3:47">
      <c r="C6322" s="20"/>
      <c r="Z6322" s="20"/>
      <c r="AG6322" s="20"/>
      <c r="AQ6322" s="19"/>
      <c r="AR6322" s="19"/>
      <c r="AS6322" s="19"/>
      <c r="AT6322" s="19"/>
      <c r="AU6322" s="19"/>
    </row>
    <row r="6323" spans="3:47">
      <c r="C6323" s="20"/>
      <c r="Z6323" s="20"/>
      <c r="AG6323" s="20"/>
      <c r="AQ6323" s="19"/>
      <c r="AR6323" s="19"/>
      <c r="AS6323" s="19"/>
      <c r="AT6323" s="19"/>
      <c r="AU6323" s="19"/>
    </row>
    <row r="6324" spans="3:47">
      <c r="C6324" s="20"/>
      <c r="Z6324" s="20"/>
      <c r="AG6324" s="20"/>
      <c r="AQ6324" s="19"/>
      <c r="AR6324" s="19"/>
      <c r="AS6324" s="19"/>
      <c r="AT6324" s="19"/>
      <c r="AU6324" s="19"/>
    </row>
    <row r="6325" spans="3:47">
      <c r="C6325" s="20"/>
      <c r="Z6325" s="20"/>
      <c r="AG6325" s="20"/>
      <c r="AQ6325" s="19"/>
      <c r="AR6325" s="19"/>
      <c r="AS6325" s="19"/>
      <c r="AT6325" s="19"/>
      <c r="AU6325" s="19"/>
    </row>
    <row r="6326" spans="3:47">
      <c r="C6326" s="20"/>
      <c r="Z6326" s="20"/>
      <c r="AG6326" s="20"/>
      <c r="AQ6326" s="19"/>
      <c r="AR6326" s="19"/>
      <c r="AS6326" s="19"/>
      <c r="AT6326" s="19"/>
      <c r="AU6326" s="19"/>
    </row>
    <row r="6327" spans="3:47">
      <c r="C6327" s="20"/>
      <c r="Z6327" s="20"/>
      <c r="AG6327" s="20"/>
      <c r="AQ6327" s="19"/>
      <c r="AR6327" s="19"/>
      <c r="AS6327" s="19"/>
      <c r="AT6327" s="19"/>
      <c r="AU6327" s="19"/>
    </row>
    <row r="6328" spans="3:47">
      <c r="C6328" s="20"/>
      <c r="Z6328" s="20"/>
      <c r="AG6328" s="20"/>
      <c r="AQ6328" s="19"/>
      <c r="AR6328" s="19"/>
      <c r="AS6328" s="19"/>
      <c r="AT6328" s="19"/>
      <c r="AU6328" s="19"/>
    </row>
    <row r="6329" spans="3:47">
      <c r="C6329" s="20"/>
      <c r="Z6329" s="20"/>
      <c r="AG6329" s="20"/>
      <c r="AQ6329" s="19"/>
      <c r="AR6329" s="19"/>
      <c r="AS6329" s="19"/>
      <c r="AT6329" s="19"/>
      <c r="AU6329" s="19"/>
    </row>
    <row r="6330" spans="3:47">
      <c r="C6330" s="20"/>
      <c r="Z6330" s="20"/>
      <c r="AG6330" s="20"/>
      <c r="AQ6330" s="19"/>
      <c r="AR6330" s="19"/>
      <c r="AS6330" s="19"/>
      <c r="AT6330" s="19"/>
      <c r="AU6330" s="19"/>
    </row>
    <row r="6331" spans="3:47">
      <c r="C6331" s="20"/>
      <c r="Z6331" s="20"/>
      <c r="AG6331" s="20"/>
      <c r="AQ6331" s="19"/>
      <c r="AR6331" s="19"/>
      <c r="AS6331" s="19"/>
      <c r="AT6331" s="19"/>
      <c r="AU6331" s="19"/>
    </row>
    <row r="6332" spans="3:47">
      <c r="C6332" s="20"/>
      <c r="Z6332" s="20"/>
      <c r="AG6332" s="20"/>
      <c r="AQ6332" s="19"/>
      <c r="AR6332" s="19"/>
      <c r="AS6332" s="19"/>
      <c r="AT6332" s="19"/>
      <c r="AU6332" s="19"/>
    </row>
    <row r="6333" spans="3:47">
      <c r="C6333" s="20"/>
      <c r="Z6333" s="20"/>
      <c r="AG6333" s="20"/>
      <c r="AQ6333" s="19"/>
      <c r="AR6333" s="19"/>
      <c r="AS6333" s="19"/>
      <c r="AT6333" s="19"/>
      <c r="AU6333" s="19"/>
    </row>
    <row r="6334" spans="3:47">
      <c r="C6334" s="20"/>
      <c r="Z6334" s="20"/>
      <c r="AG6334" s="20"/>
      <c r="AQ6334" s="19"/>
      <c r="AR6334" s="19"/>
      <c r="AS6334" s="19"/>
      <c r="AT6334" s="19"/>
      <c r="AU6334" s="19"/>
    </row>
    <row r="6335" spans="3:47">
      <c r="C6335" s="20"/>
      <c r="Z6335" s="20"/>
      <c r="AG6335" s="20"/>
      <c r="AQ6335" s="19"/>
      <c r="AR6335" s="19"/>
      <c r="AS6335" s="19"/>
      <c r="AT6335" s="19"/>
      <c r="AU6335" s="19"/>
    </row>
    <row r="6336" spans="3:47">
      <c r="C6336" s="20"/>
      <c r="Z6336" s="20"/>
      <c r="AG6336" s="20"/>
      <c r="AQ6336" s="19"/>
      <c r="AR6336" s="19"/>
      <c r="AS6336" s="19"/>
      <c r="AT6336" s="19"/>
      <c r="AU6336" s="19"/>
    </row>
    <row r="6337" spans="3:47">
      <c r="C6337" s="20"/>
      <c r="Z6337" s="20"/>
      <c r="AG6337" s="20"/>
      <c r="AQ6337" s="19"/>
      <c r="AR6337" s="19"/>
      <c r="AS6337" s="19"/>
      <c r="AT6337" s="19"/>
      <c r="AU6337" s="19"/>
    </row>
    <row r="6338" spans="3:47">
      <c r="C6338" s="20"/>
      <c r="Z6338" s="20"/>
      <c r="AG6338" s="20"/>
      <c r="AQ6338" s="19"/>
      <c r="AR6338" s="19"/>
      <c r="AS6338" s="19"/>
      <c r="AT6338" s="19"/>
      <c r="AU6338" s="19"/>
    </row>
    <row r="6339" spans="3:47">
      <c r="C6339" s="20"/>
      <c r="Z6339" s="20"/>
      <c r="AG6339" s="20"/>
      <c r="AQ6339" s="19"/>
      <c r="AR6339" s="19"/>
      <c r="AS6339" s="19"/>
      <c r="AT6339" s="19"/>
      <c r="AU6339" s="19"/>
    </row>
    <row r="6340" spans="3:47">
      <c r="C6340" s="20"/>
      <c r="Z6340" s="20"/>
      <c r="AG6340" s="20"/>
      <c r="AQ6340" s="19"/>
      <c r="AR6340" s="19"/>
      <c r="AS6340" s="19"/>
      <c r="AT6340" s="19"/>
      <c r="AU6340" s="19"/>
    </row>
    <row r="6341" spans="3:47">
      <c r="C6341" s="20"/>
      <c r="Z6341" s="20"/>
      <c r="AG6341" s="20"/>
      <c r="AQ6341" s="19"/>
      <c r="AR6341" s="19"/>
      <c r="AS6341" s="19"/>
      <c r="AT6341" s="19"/>
      <c r="AU6341" s="19"/>
    </row>
    <row r="6342" spans="3:47">
      <c r="C6342" s="20"/>
      <c r="Z6342" s="20"/>
      <c r="AG6342" s="20"/>
      <c r="AQ6342" s="19"/>
      <c r="AR6342" s="19"/>
      <c r="AS6342" s="19"/>
      <c r="AT6342" s="19"/>
      <c r="AU6342" s="19"/>
    </row>
    <row r="6343" spans="3:47">
      <c r="C6343" s="20"/>
      <c r="Z6343" s="20"/>
      <c r="AG6343" s="20"/>
      <c r="AQ6343" s="19"/>
      <c r="AR6343" s="19"/>
      <c r="AS6343" s="19"/>
      <c r="AT6343" s="19"/>
      <c r="AU6343" s="19"/>
    </row>
    <row r="6344" spans="3:47">
      <c r="C6344" s="20"/>
      <c r="Z6344" s="20"/>
      <c r="AG6344" s="20"/>
      <c r="AQ6344" s="19"/>
      <c r="AR6344" s="19"/>
      <c r="AS6344" s="19"/>
      <c r="AT6344" s="19"/>
      <c r="AU6344" s="19"/>
    </row>
    <row r="6345" spans="3:47">
      <c r="C6345" s="20"/>
      <c r="Z6345" s="20"/>
      <c r="AG6345" s="20"/>
      <c r="AQ6345" s="19"/>
      <c r="AR6345" s="19"/>
      <c r="AS6345" s="19"/>
      <c r="AT6345" s="19"/>
      <c r="AU6345" s="19"/>
    </row>
    <row r="6346" spans="3:47">
      <c r="C6346" s="20"/>
      <c r="Z6346" s="20"/>
      <c r="AG6346" s="20"/>
      <c r="AQ6346" s="19"/>
      <c r="AR6346" s="19"/>
      <c r="AS6346" s="19"/>
      <c r="AT6346" s="19"/>
      <c r="AU6346" s="19"/>
    </row>
    <row r="6347" spans="3:47">
      <c r="C6347" s="20"/>
      <c r="Z6347" s="20"/>
      <c r="AG6347" s="20"/>
      <c r="AQ6347" s="19"/>
      <c r="AR6347" s="19"/>
      <c r="AS6347" s="19"/>
      <c r="AT6347" s="19"/>
      <c r="AU6347" s="19"/>
    </row>
    <row r="6348" spans="3:47">
      <c r="C6348" s="20"/>
      <c r="Z6348" s="20"/>
      <c r="AG6348" s="20"/>
      <c r="AQ6348" s="19"/>
      <c r="AR6348" s="19"/>
      <c r="AS6348" s="19"/>
      <c r="AT6348" s="19"/>
      <c r="AU6348" s="19"/>
    </row>
    <row r="6349" spans="3:47">
      <c r="C6349" s="20"/>
      <c r="Z6349" s="20"/>
      <c r="AG6349" s="20"/>
      <c r="AQ6349" s="19"/>
      <c r="AR6349" s="19"/>
      <c r="AS6349" s="19"/>
      <c r="AT6349" s="19"/>
      <c r="AU6349" s="19"/>
    </row>
    <row r="6350" spans="3:47">
      <c r="C6350" s="20"/>
      <c r="Z6350" s="20"/>
      <c r="AG6350" s="20"/>
      <c r="AQ6350" s="19"/>
      <c r="AR6350" s="19"/>
      <c r="AS6350" s="19"/>
      <c r="AT6350" s="19"/>
      <c r="AU6350" s="19"/>
    </row>
    <row r="6351" spans="3:47">
      <c r="C6351" s="20"/>
      <c r="Z6351" s="20"/>
      <c r="AG6351" s="20"/>
      <c r="AQ6351" s="19"/>
      <c r="AR6351" s="19"/>
      <c r="AS6351" s="19"/>
      <c r="AT6351" s="19"/>
      <c r="AU6351" s="19"/>
    </row>
    <row r="6352" spans="3:47">
      <c r="C6352" s="20"/>
      <c r="Z6352" s="20"/>
      <c r="AG6352" s="20"/>
      <c r="AQ6352" s="19"/>
      <c r="AR6352" s="19"/>
      <c r="AS6352" s="19"/>
      <c r="AT6352" s="19"/>
      <c r="AU6352" s="19"/>
    </row>
    <row r="6353" spans="3:47">
      <c r="C6353" s="20"/>
      <c r="Z6353" s="20"/>
      <c r="AG6353" s="20"/>
      <c r="AQ6353" s="19"/>
      <c r="AR6353" s="19"/>
      <c r="AS6353" s="19"/>
      <c r="AT6353" s="19"/>
      <c r="AU6353" s="19"/>
    </row>
    <row r="6354" spans="3:47">
      <c r="C6354" s="20"/>
      <c r="Z6354" s="20"/>
      <c r="AG6354" s="20"/>
      <c r="AQ6354" s="19"/>
      <c r="AR6354" s="19"/>
      <c r="AS6354" s="19"/>
      <c r="AT6354" s="19"/>
      <c r="AU6354" s="19"/>
    </row>
    <row r="6355" spans="3:47">
      <c r="C6355" s="20"/>
      <c r="Z6355" s="20"/>
      <c r="AG6355" s="20"/>
      <c r="AQ6355" s="19"/>
      <c r="AR6355" s="19"/>
      <c r="AS6355" s="19"/>
      <c r="AT6355" s="19"/>
      <c r="AU6355" s="19"/>
    </row>
    <row r="6356" spans="3:47">
      <c r="C6356" s="20"/>
      <c r="Z6356" s="20"/>
      <c r="AG6356" s="20"/>
      <c r="AQ6356" s="19"/>
      <c r="AR6356" s="19"/>
      <c r="AS6356" s="19"/>
      <c r="AT6356" s="19"/>
      <c r="AU6356" s="19"/>
    </row>
    <row r="6357" spans="3:47">
      <c r="C6357" s="20"/>
      <c r="Z6357" s="20"/>
      <c r="AG6357" s="20"/>
      <c r="AQ6357" s="19"/>
      <c r="AR6357" s="19"/>
      <c r="AS6357" s="19"/>
      <c r="AT6357" s="19"/>
      <c r="AU6357" s="19"/>
    </row>
    <row r="6358" spans="3:47">
      <c r="C6358" s="20"/>
      <c r="Z6358" s="20"/>
      <c r="AG6358" s="20"/>
      <c r="AQ6358" s="19"/>
      <c r="AR6358" s="19"/>
      <c r="AS6358" s="19"/>
      <c r="AT6358" s="19"/>
      <c r="AU6358" s="19"/>
    </row>
    <row r="6359" spans="3:47">
      <c r="C6359" s="20"/>
      <c r="Z6359" s="20"/>
      <c r="AG6359" s="20"/>
      <c r="AQ6359" s="19"/>
      <c r="AR6359" s="19"/>
      <c r="AS6359" s="19"/>
      <c r="AT6359" s="19"/>
      <c r="AU6359" s="19"/>
    </row>
    <row r="6360" spans="3:47">
      <c r="C6360" s="20"/>
      <c r="Z6360" s="20"/>
      <c r="AG6360" s="20"/>
      <c r="AQ6360" s="19"/>
      <c r="AR6360" s="19"/>
      <c r="AS6360" s="19"/>
      <c r="AT6360" s="19"/>
      <c r="AU6360" s="19"/>
    </row>
    <row r="6361" spans="3:47">
      <c r="C6361" s="20"/>
      <c r="Z6361" s="20"/>
      <c r="AG6361" s="20"/>
      <c r="AQ6361" s="19"/>
      <c r="AR6361" s="19"/>
      <c r="AS6361" s="19"/>
      <c r="AT6361" s="19"/>
      <c r="AU6361" s="19"/>
    </row>
    <row r="6362" spans="3:47">
      <c r="C6362" s="20"/>
      <c r="Z6362" s="20"/>
      <c r="AG6362" s="20"/>
      <c r="AQ6362" s="19"/>
      <c r="AR6362" s="19"/>
      <c r="AS6362" s="19"/>
      <c r="AT6362" s="19"/>
      <c r="AU6362" s="19"/>
    </row>
    <row r="6363" spans="3:47">
      <c r="C6363" s="20"/>
      <c r="Z6363" s="20"/>
      <c r="AG6363" s="20"/>
      <c r="AQ6363" s="19"/>
      <c r="AR6363" s="19"/>
      <c r="AS6363" s="19"/>
      <c r="AT6363" s="19"/>
      <c r="AU6363" s="19"/>
    </row>
    <row r="6364" spans="3:47">
      <c r="C6364" s="20"/>
      <c r="Z6364" s="20"/>
      <c r="AG6364" s="20"/>
      <c r="AQ6364" s="19"/>
      <c r="AR6364" s="19"/>
      <c r="AS6364" s="19"/>
      <c r="AT6364" s="19"/>
      <c r="AU6364" s="19"/>
    </row>
    <row r="6365" spans="3:47">
      <c r="C6365" s="20"/>
      <c r="Z6365" s="20"/>
      <c r="AG6365" s="20"/>
      <c r="AQ6365" s="19"/>
      <c r="AR6365" s="19"/>
      <c r="AS6365" s="19"/>
      <c r="AT6365" s="19"/>
      <c r="AU6365" s="19"/>
    </row>
    <row r="6366" spans="3:47">
      <c r="C6366" s="20"/>
      <c r="Z6366" s="20"/>
      <c r="AG6366" s="20"/>
      <c r="AQ6366" s="19"/>
      <c r="AR6366" s="19"/>
      <c r="AS6366" s="19"/>
      <c r="AT6366" s="19"/>
      <c r="AU6366" s="19"/>
    </row>
    <row r="6367" spans="3:47">
      <c r="C6367" s="20"/>
      <c r="Z6367" s="20"/>
      <c r="AG6367" s="20"/>
      <c r="AQ6367" s="19"/>
      <c r="AR6367" s="19"/>
      <c r="AS6367" s="19"/>
      <c r="AT6367" s="19"/>
      <c r="AU6367" s="19"/>
    </row>
    <row r="6368" spans="3:47">
      <c r="C6368" s="20"/>
      <c r="Z6368" s="20"/>
      <c r="AG6368" s="20"/>
      <c r="AQ6368" s="19"/>
      <c r="AR6368" s="19"/>
      <c r="AS6368" s="19"/>
      <c r="AT6368" s="19"/>
      <c r="AU6368" s="19"/>
    </row>
    <row r="6369" spans="3:47">
      <c r="C6369" s="20"/>
      <c r="Z6369" s="20"/>
      <c r="AG6369" s="20"/>
      <c r="AQ6369" s="19"/>
      <c r="AR6369" s="19"/>
      <c r="AS6369" s="19"/>
      <c r="AT6369" s="19"/>
      <c r="AU6369" s="19"/>
    </row>
    <row r="6370" spans="3:47">
      <c r="C6370" s="20"/>
      <c r="Z6370" s="20"/>
      <c r="AG6370" s="20"/>
      <c r="AQ6370" s="19"/>
      <c r="AR6370" s="19"/>
      <c r="AS6370" s="19"/>
      <c r="AT6370" s="19"/>
      <c r="AU6370" s="19"/>
    </row>
    <row r="6371" spans="3:47">
      <c r="C6371" s="20"/>
      <c r="Z6371" s="20"/>
      <c r="AG6371" s="20"/>
      <c r="AQ6371" s="19"/>
      <c r="AR6371" s="19"/>
      <c r="AS6371" s="19"/>
      <c r="AT6371" s="19"/>
      <c r="AU6371" s="19"/>
    </row>
    <row r="6372" spans="3:47">
      <c r="C6372" s="20"/>
      <c r="Z6372" s="20"/>
      <c r="AG6372" s="20"/>
      <c r="AQ6372" s="19"/>
      <c r="AR6372" s="19"/>
      <c r="AS6372" s="19"/>
      <c r="AT6372" s="19"/>
      <c r="AU6372" s="19"/>
    </row>
    <row r="6373" spans="3:47">
      <c r="C6373" s="20"/>
      <c r="Z6373" s="20"/>
      <c r="AG6373" s="20"/>
      <c r="AQ6373" s="19"/>
      <c r="AR6373" s="19"/>
      <c r="AS6373" s="19"/>
      <c r="AT6373" s="19"/>
      <c r="AU6373" s="19"/>
    </row>
    <row r="6374" spans="3:47">
      <c r="C6374" s="20"/>
      <c r="Z6374" s="20"/>
      <c r="AG6374" s="20"/>
      <c r="AQ6374" s="19"/>
      <c r="AR6374" s="19"/>
      <c r="AS6374" s="19"/>
      <c r="AT6374" s="19"/>
      <c r="AU6374" s="19"/>
    </row>
    <row r="6375" spans="3:47">
      <c r="C6375" s="20"/>
      <c r="Z6375" s="20"/>
      <c r="AG6375" s="20"/>
      <c r="AQ6375" s="19"/>
      <c r="AR6375" s="19"/>
      <c r="AS6375" s="19"/>
      <c r="AT6375" s="19"/>
      <c r="AU6375" s="19"/>
    </row>
    <row r="6376" spans="3:47">
      <c r="C6376" s="20"/>
      <c r="Z6376" s="20"/>
      <c r="AG6376" s="20"/>
      <c r="AQ6376" s="19"/>
      <c r="AR6376" s="19"/>
      <c r="AS6376" s="19"/>
      <c r="AT6376" s="19"/>
      <c r="AU6376" s="19"/>
    </row>
    <row r="6377" spans="3:47">
      <c r="C6377" s="20"/>
      <c r="Z6377" s="20"/>
      <c r="AG6377" s="20"/>
      <c r="AQ6377" s="19"/>
      <c r="AR6377" s="19"/>
      <c r="AS6377" s="19"/>
      <c r="AT6377" s="19"/>
      <c r="AU6377" s="19"/>
    </row>
    <row r="6378" spans="3:47">
      <c r="C6378" s="20"/>
      <c r="Z6378" s="20"/>
      <c r="AG6378" s="20"/>
      <c r="AQ6378" s="19"/>
      <c r="AR6378" s="19"/>
      <c r="AS6378" s="19"/>
      <c r="AT6378" s="19"/>
      <c r="AU6378" s="19"/>
    </row>
    <row r="6379" spans="3:47">
      <c r="C6379" s="20"/>
      <c r="Z6379" s="20"/>
      <c r="AG6379" s="20"/>
      <c r="AQ6379" s="19"/>
      <c r="AR6379" s="19"/>
      <c r="AS6379" s="19"/>
      <c r="AT6379" s="19"/>
      <c r="AU6379" s="19"/>
    </row>
    <row r="6380" spans="3:47">
      <c r="C6380" s="20"/>
      <c r="Z6380" s="20"/>
      <c r="AG6380" s="20"/>
      <c r="AQ6380" s="19"/>
      <c r="AR6380" s="19"/>
      <c r="AS6380" s="19"/>
      <c r="AT6380" s="19"/>
      <c r="AU6380" s="19"/>
    </row>
    <row r="6381" spans="3:47">
      <c r="C6381" s="20"/>
      <c r="Z6381" s="20"/>
      <c r="AG6381" s="20"/>
      <c r="AQ6381" s="19"/>
      <c r="AR6381" s="19"/>
      <c r="AS6381" s="19"/>
      <c r="AT6381" s="19"/>
      <c r="AU6381" s="19"/>
    </row>
    <row r="6382" spans="3:47">
      <c r="C6382" s="20"/>
      <c r="Z6382" s="20"/>
      <c r="AG6382" s="20"/>
      <c r="AQ6382" s="19"/>
      <c r="AR6382" s="19"/>
      <c r="AS6382" s="19"/>
      <c r="AT6382" s="19"/>
      <c r="AU6382" s="19"/>
    </row>
    <row r="6383" spans="3:47">
      <c r="C6383" s="20"/>
      <c r="Z6383" s="20"/>
      <c r="AG6383" s="20"/>
      <c r="AQ6383" s="19"/>
      <c r="AR6383" s="19"/>
      <c r="AS6383" s="19"/>
      <c r="AT6383" s="19"/>
      <c r="AU6383" s="19"/>
    </row>
    <row r="6384" spans="3:47">
      <c r="C6384" s="20"/>
      <c r="Z6384" s="20"/>
      <c r="AG6384" s="20"/>
      <c r="AQ6384" s="19"/>
      <c r="AR6384" s="19"/>
      <c r="AS6384" s="19"/>
      <c r="AT6384" s="19"/>
      <c r="AU6384" s="19"/>
    </row>
    <row r="6385" spans="3:47">
      <c r="C6385" s="20"/>
      <c r="Z6385" s="20"/>
      <c r="AG6385" s="20"/>
      <c r="AQ6385" s="19"/>
      <c r="AR6385" s="19"/>
      <c r="AS6385" s="19"/>
      <c r="AT6385" s="19"/>
      <c r="AU6385" s="19"/>
    </row>
    <row r="6386" spans="3:47">
      <c r="C6386" s="20"/>
      <c r="Z6386" s="20"/>
      <c r="AG6386" s="20"/>
      <c r="AQ6386" s="19"/>
      <c r="AR6386" s="19"/>
      <c r="AS6386" s="19"/>
      <c r="AT6386" s="19"/>
      <c r="AU6386" s="19"/>
    </row>
    <row r="6387" spans="3:47">
      <c r="C6387" s="20"/>
      <c r="Z6387" s="20"/>
      <c r="AG6387" s="20"/>
      <c r="AQ6387" s="19"/>
      <c r="AR6387" s="19"/>
      <c r="AS6387" s="19"/>
      <c r="AT6387" s="19"/>
      <c r="AU6387" s="19"/>
    </row>
    <row r="6388" spans="3:47">
      <c r="C6388" s="20"/>
      <c r="Z6388" s="20"/>
      <c r="AG6388" s="20"/>
      <c r="AQ6388" s="19"/>
      <c r="AR6388" s="19"/>
      <c r="AS6388" s="19"/>
      <c r="AT6388" s="19"/>
      <c r="AU6388" s="19"/>
    </row>
    <row r="6389" spans="3:47">
      <c r="C6389" s="20"/>
      <c r="Z6389" s="20"/>
      <c r="AG6389" s="20"/>
      <c r="AQ6389" s="19"/>
      <c r="AR6389" s="19"/>
      <c r="AS6389" s="19"/>
      <c r="AT6389" s="19"/>
      <c r="AU6389" s="19"/>
    </row>
    <row r="6390" spans="3:47">
      <c r="C6390" s="20"/>
      <c r="Z6390" s="20"/>
      <c r="AG6390" s="20"/>
      <c r="AQ6390" s="19"/>
      <c r="AR6390" s="19"/>
      <c r="AS6390" s="19"/>
      <c r="AT6390" s="19"/>
      <c r="AU6390" s="19"/>
    </row>
    <row r="6391" spans="3:47">
      <c r="C6391" s="20"/>
      <c r="Z6391" s="20"/>
      <c r="AG6391" s="20"/>
      <c r="AQ6391" s="19"/>
      <c r="AR6391" s="19"/>
      <c r="AS6391" s="19"/>
      <c r="AT6391" s="19"/>
      <c r="AU6391" s="19"/>
    </row>
    <row r="6392" spans="3:47">
      <c r="C6392" s="20"/>
      <c r="Z6392" s="20"/>
      <c r="AG6392" s="20"/>
      <c r="AQ6392" s="19"/>
      <c r="AR6392" s="19"/>
      <c r="AS6392" s="19"/>
      <c r="AT6392" s="19"/>
      <c r="AU6392" s="19"/>
    </row>
    <row r="6393" spans="3:47">
      <c r="C6393" s="20"/>
      <c r="Z6393" s="20"/>
      <c r="AG6393" s="20"/>
      <c r="AQ6393" s="19"/>
      <c r="AR6393" s="19"/>
      <c r="AS6393" s="19"/>
      <c r="AT6393" s="19"/>
      <c r="AU6393" s="19"/>
    </row>
    <row r="6394" spans="3:47">
      <c r="C6394" s="20"/>
      <c r="Z6394" s="20"/>
      <c r="AG6394" s="20"/>
      <c r="AQ6394" s="19"/>
      <c r="AR6394" s="19"/>
      <c r="AS6394" s="19"/>
      <c r="AT6394" s="19"/>
      <c r="AU6394" s="19"/>
    </row>
    <row r="6395" spans="3:47">
      <c r="C6395" s="20"/>
      <c r="Z6395" s="20"/>
      <c r="AG6395" s="20"/>
      <c r="AQ6395" s="19"/>
      <c r="AR6395" s="19"/>
      <c r="AS6395" s="19"/>
      <c r="AT6395" s="19"/>
      <c r="AU6395" s="19"/>
    </row>
    <row r="6396" spans="3:47">
      <c r="C6396" s="20"/>
      <c r="Z6396" s="20"/>
      <c r="AG6396" s="20"/>
      <c r="AQ6396" s="19"/>
      <c r="AR6396" s="19"/>
      <c r="AS6396" s="19"/>
      <c r="AT6396" s="19"/>
      <c r="AU6396" s="19"/>
    </row>
    <row r="6397" spans="3:47">
      <c r="C6397" s="20"/>
      <c r="Z6397" s="20"/>
      <c r="AG6397" s="20"/>
      <c r="AQ6397" s="19"/>
      <c r="AR6397" s="19"/>
      <c r="AS6397" s="19"/>
      <c r="AT6397" s="19"/>
      <c r="AU6397" s="19"/>
    </row>
    <row r="6398" spans="3:47">
      <c r="C6398" s="20"/>
      <c r="Z6398" s="20"/>
      <c r="AG6398" s="20"/>
      <c r="AQ6398" s="19"/>
      <c r="AR6398" s="19"/>
      <c r="AS6398" s="19"/>
      <c r="AT6398" s="19"/>
      <c r="AU6398" s="19"/>
    </row>
    <row r="6399" spans="3:47">
      <c r="C6399" s="20"/>
      <c r="Z6399" s="20"/>
      <c r="AG6399" s="20"/>
      <c r="AQ6399" s="19"/>
      <c r="AR6399" s="19"/>
      <c r="AS6399" s="19"/>
      <c r="AT6399" s="19"/>
      <c r="AU6399" s="19"/>
    </row>
    <row r="6400" spans="3:47">
      <c r="C6400" s="20"/>
      <c r="Z6400" s="20"/>
      <c r="AG6400" s="20"/>
      <c r="AQ6400" s="19"/>
      <c r="AR6400" s="19"/>
      <c r="AS6400" s="19"/>
      <c r="AT6400" s="19"/>
      <c r="AU6400" s="19"/>
    </row>
    <row r="6401" spans="3:47">
      <c r="C6401" s="20"/>
      <c r="Z6401" s="20"/>
      <c r="AG6401" s="20"/>
      <c r="AQ6401" s="19"/>
      <c r="AR6401" s="19"/>
      <c r="AS6401" s="19"/>
      <c r="AT6401" s="19"/>
      <c r="AU6401" s="19"/>
    </row>
    <row r="6402" spans="3:47">
      <c r="C6402" s="20"/>
      <c r="Z6402" s="20"/>
      <c r="AG6402" s="20"/>
      <c r="AQ6402" s="19"/>
      <c r="AR6402" s="19"/>
      <c r="AS6402" s="19"/>
      <c r="AT6402" s="19"/>
      <c r="AU6402" s="19"/>
    </row>
    <row r="6403" spans="3:47">
      <c r="C6403" s="20"/>
      <c r="Z6403" s="20"/>
      <c r="AG6403" s="20"/>
      <c r="AQ6403" s="19"/>
      <c r="AR6403" s="19"/>
      <c r="AS6403" s="19"/>
      <c r="AT6403" s="19"/>
      <c r="AU6403" s="19"/>
    </row>
    <row r="6404" spans="3:47">
      <c r="C6404" s="20"/>
      <c r="Z6404" s="20"/>
      <c r="AG6404" s="20"/>
      <c r="AQ6404" s="19"/>
      <c r="AR6404" s="19"/>
      <c r="AS6404" s="19"/>
      <c r="AT6404" s="19"/>
      <c r="AU6404" s="19"/>
    </row>
    <row r="6405" spans="3:47">
      <c r="C6405" s="20"/>
      <c r="Z6405" s="20"/>
      <c r="AG6405" s="20"/>
      <c r="AQ6405" s="19"/>
      <c r="AR6405" s="19"/>
      <c r="AS6405" s="19"/>
      <c r="AT6405" s="19"/>
      <c r="AU6405" s="19"/>
    </row>
    <row r="6406" spans="3:47">
      <c r="C6406" s="20"/>
      <c r="Z6406" s="20"/>
      <c r="AG6406" s="20"/>
      <c r="AQ6406" s="19"/>
      <c r="AR6406" s="19"/>
      <c r="AS6406" s="19"/>
      <c r="AT6406" s="19"/>
      <c r="AU6406" s="19"/>
    </row>
    <row r="6407" spans="3:47">
      <c r="C6407" s="20"/>
      <c r="Z6407" s="20"/>
      <c r="AG6407" s="20"/>
      <c r="AQ6407" s="19"/>
      <c r="AR6407" s="19"/>
      <c r="AS6407" s="19"/>
      <c r="AT6407" s="19"/>
      <c r="AU6407" s="19"/>
    </row>
    <row r="6408" spans="3:47">
      <c r="C6408" s="20"/>
      <c r="Z6408" s="20"/>
      <c r="AG6408" s="20"/>
      <c r="AQ6408" s="19"/>
      <c r="AR6408" s="19"/>
      <c r="AS6408" s="19"/>
      <c r="AT6408" s="19"/>
      <c r="AU6408" s="19"/>
    </row>
    <row r="6409" spans="3:47">
      <c r="C6409" s="20"/>
      <c r="Z6409" s="20"/>
      <c r="AG6409" s="20"/>
      <c r="AQ6409" s="19"/>
      <c r="AR6409" s="19"/>
      <c r="AS6409" s="19"/>
      <c r="AT6409" s="19"/>
      <c r="AU6409" s="19"/>
    </row>
    <row r="6410" spans="3:47">
      <c r="C6410" s="20"/>
      <c r="Z6410" s="20"/>
      <c r="AG6410" s="20"/>
      <c r="AQ6410" s="19"/>
      <c r="AR6410" s="19"/>
      <c r="AS6410" s="19"/>
      <c r="AT6410" s="19"/>
      <c r="AU6410" s="19"/>
    </row>
    <row r="6411" spans="3:47">
      <c r="C6411" s="20"/>
      <c r="Z6411" s="20"/>
      <c r="AG6411" s="20"/>
      <c r="AQ6411" s="19"/>
      <c r="AR6411" s="19"/>
      <c r="AS6411" s="19"/>
      <c r="AT6411" s="19"/>
      <c r="AU6411" s="19"/>
    </row>
    <row r="6412" spans="3:47">
      <c r="C6412" s="20"/>
      <c r="Z6412" s="20"/>
      <c r="AG6412" s="20"/>
      <c r="AQ6412" s="19"/>
      <c r="AR6412" s="19"/>
      <c r="AS6412" s="19"/>
      <c r="AT6412" s="19"/>
      <c r="AU6412" s="19"/>
    </row>
    <row r="6413" spans="3:47">
      <c r="C6413" s="20"/>
      <c r="Z6413" s="20"/>
      <c r="AG6413" s="20"/>
      <c r="AQ6413" s="19"/>
      <c r="AR6413" s="19"/>
      <c r="AS6413" s="19"/>
      <c r="AT6413" s="19"/>
      <c r="AU6413" s="19"/>
    </row>
    <row r="6414" spans="3:47">
      <c r="C6414" s="20"/>
      <c r="Z6414" s="20"/>
      <c r="AG6414" s="20"/>
      <c r="AQ6414" s="19"/>
      <c r="AR6414" s="19"/>
      <c r="AS6414" s="19"/>
      <c r="AT6414" s="19"/>
      <c r="AU6414" s="19"/>
    </row>
    <row r="6415" spans="3:47">
      <c r="C6415" s="20"/>
      <c r="Z6415" s="20"/>
      <c r="AG6415" s="20"/>
      <c r="AQ6415" s="19"/>
      <c r="AR6415" s="19"/>
      <c r="AS6415" s="19"/>
      <c r="AT6415" s="19"/>
      <c r="AU6415" s="19"/>
    </row>
    <row r="6416" spans="3:47">
      <c r="C6416" s="20"/>
      <c r="Z6416" s="20"/>
      <c r="AG6416" s="20"/>
      <c r="AQ6416" s="19"/>
      <c r="AR6416" s="19"/>
      <c r="AS6416" s="19"/>
      <c r="AT6416" s="19"/>
      <c r="AU6416" s="19"/>
    </row>
    <row r="6417" spans="3:47">
      <c r="C6417" s="20"/>
      <c r="Z6417" s="20"/>
      <c r="AG6417" s="20"/>
      <c r="AQ6417" s="19"/>
      <c r="AR6417" s="19"/>
      <c r="AS6417" s="19"/>
      <c r="AT6417" s="19"/>
      <c r="AU6417" s="19"/>
    </row>
    <row r="6418" spans="3:47">
      <c r="C6418" s="20"/>
      <c r="Z6418" s="20"/>
      <c r="AG6418" s="20"/>
      <c r="AQ6418" s="19"/>
      <c r="AR6418" s="19"/>
      <c r="AS6418" s="19"/>
      <c r="AT6418" s="19"/>
      <c r="AU6418" s="19"/>
    </row>
    <row r="6419" spans="3:47">
      <c r="C6419" s="20"/>
      <c r="Z6419" s="20"/>
      <c r="AG6419" s="20"/>
      <c r="AQ6419" s="19"/>
      <c r="AR6419" s="19"/>
      <c r="AS6419" s="19"/>
      <c r="AT6419" s="19"/>
      <c r="AU6419" s="19"/>
    </row>
    <row r="6420" spans="3:47">
      <c r="C6420" s="20"/>
      <c r="Z6420" s="20"/>
      <c r="AG6420" s="20"/>
      <c r="AQ6420" s="19"/>
      <c r="AR6420" s="19"/>
      <c r="AS6420" s="19"/>
      <c r="AT6420" s="19"/>
      <c r="AU6420" s="19"/>
    </row>
    <row r="6421" spans="3:47">
      <c r="C6421" s="20"/>
      <c r="Z6421" s="20"/>
      <c r="AG6421" s="20"/>
      <c r="AQ6421" s="19"/>
      <c r="AR6421" s="19"/>
      <c r="AS6421" s="19"/>
      <c r="AT6421" s="19"/>
      <c r="AU6421" s="19"/>
    </row>
    <row r="6422" spans="3:47">
      <c r="C6422" s="20"/>
      <c r="Z6422" s="20"/>
      <c r="AG6422" s="20"/>
      <c r="AQ6422" s="19"/>
      <c r="AR6422" s="19"/>
      <c r="AS6422" s="19"/>
      <c r="AT6422" s="19"/>
      <c r="AU6422" s="19"/>
    </row>
    <row r="6423" spans="3:47">
      <c r="C6423" s="20"/>
      <c r="Z6423" s="20"/>
      <c r="AG6423" s="20"/>
      <c r="AQ6423" s="19"/>
      <c r="AR6423" s="19"/>
      <c r="AS6423" s="19"/>
      <c r="AT6423" s="19"/>
      <c r="AU6423" s="19"/>
    </row>
    <row r="6424" spans="3:47">
      <c r="C6424" s="20"/>
      <c r="Z6424" s="20"/>
      <c r="AG6424" s="20"/>
      <c r="AQ6424" s="19"/>
      <c r="AR6424" s="19"/>
      <c r="AS6424" s="19"/>
      <c r="AT6424" s="19"/>
      <c r="AU6424" s="19"/>
    </row>
    <row r="6425" spans="3:47">
      <c r="C6425" s="20"/>
      <c r="Z6425" s="20"/>
      <c r="AG6425" s="20"/>
      <c r="AQ6425" s="19"/>
      <c r="AR6425" s="19"/>
      <c r="AS6425" s="19"/>
      <c r="AT6425" s="19"/>
      <c r="AU6425" s="19"/>
    </row>
    <row r="6426" spans="3:47">
      <c r="C6426" s="20"/>
      <c r="Z6426" s="20"/>
      <c r="AG6426" s="20"/>
      <c r="AQ6426" s="19"/>
      <c r="AR6426" s="19"/>
      <c r="AS6426" s="19"/>
      <c r="AT6426" s="19"/>
      <c r="AU6426" s="19"/>
    </row>
    <row r="6427" spans="3:47">
      <c r="C6427" s="20"/>
      <c r="Z6427" s="20"/>
      <c r="AG6427" s="20"/>
      <c r="AQ6427" s="19"/>
      <c r="AR6427" s="19"/>
      <c r="AS6427" s="19"/>
      <c r="AT6427" s="19"/>
      <c r="AU6427" s="19"/>
    </row>
    <row r="6428" spans="3:47">
      <c r="C6428" s="20"/>
      <c r="Z6428" s="20"/>
      <c r="AG6428" s="20"/>
      <c r="AQ6428" s="19"/>
      <c r="AR6428" s="19"/>
      <c r="AS6428" s="19"/>
      <c r="AT6428" s="19"/>
      <c r="AU6428" s="19"/>
    </row>
    <row r="6429" spans="3:47">
      <c r="C6429" s="20"/>
      <c r="Z6429" s="20"/>
      <c r="AG6429" s="20"/>
      <c r="AQ6429" s="19"/>
      <c r="AR6429" s="19"/>
      <c r="AS6429" s="19"/>
      <c r="AT6429" s="19"/>
      <c r="AU6429" s="19"/>
    </row>
    <row r="6430" spans="3:47">
      <c r="C6430" s="20"/>
      <c r="Z6430" s="20"/>
      <c r="AG6430" s="20"/>
      <c r="AQ6430" s="19"/>
      <c r="AR6430" s="19"/>
      <c r="AS6430" s="19"/>
      <c r="AT6430" s="19"/>
      <c r="AU6430" s="19"/>
    </row>
    <row r="6431" spans="3:47">
      <c r="C6431" s="20"/>
      <c r="Z6431" s="20"/>
      <c r="AG6431" s="20"/>
      <c r="AQ6431" s="19"/>
      <c r="AR6431" s="19"/>
      <c r="AS6431" s="19"/>
      <c r="AT6431" s="19"/>
      <c r="AU6431" s="19"/>
    </row>
    <row r="6432" spans="3:47">
      <c r="C6432" s="20"/>
      <c r="Z6432" s="20"/>
      <c r="AG6432" s="20"/>
      <c r="AQ6432" s="19"/>
      <c r="AR6432" s="19"/>
      <c r="AS6432" s="19"/>
      <c r="AT6432" s="19"/>
      <c r="AU6432" s="19"/>
    </row>
    <row r="6433" spans="3:47">
      <c r="C6433" s="20"/>
      <c r="Z6433" s="20"/>
      <c r="AG6433" s="20"/>
      <c r="AQ6433" s="19"/>
      <c r="AR6433" s="19"/>
      <c r="AS6433" s="19"/>
      <c r="AT6433" s="19"/>
      <c r="AU6433" s="19"/>
    </row>
    <row r="6434" spans="3:47">
      <c r="C6434" s="20"/>
      <c r="Z6434" s="20"/>
      <c r="AG6434" s="20"/>
      <c r="AQ6434" s="19"/>
      <c r="AR6434" s="19"/>
      <c r="AS6434" s="19"/>
      <c r="AT6434" s="19"/>
      <c r="AU6434" s="19"/>
    </row>
    <row r="6435" spans="3:47">
      <c r="C6435" s="20"/>
      <c r="Z6435" s="20"/>
      <c r="AG6435" s="20"/>
      <c r="AQ6435" s="19"/>
      <c r="AR6435" s="19"/>
      <c r="AS6435" s="19"/>
      <c r="AT6435" s="19"/>
      <c r="AU6435" s="19"/>
    </row>
    <row r="6436" spans="3:47">
      <c r="C6436" s="20"/>
      <c r="Z6436" s="20"/>
      <c r="AG6436" s="20"/>
      <c r="AQ6436" s="19"/>
      <c r="AR6436" s="19"/>
      <c r="AS6436" s="19"/>
      <c r="AT6436" s="19"/>
      <c r="AU6436" s="19"/>
    </row>
    <row r="6437" spans="3:47">
      <c r="C6437" s="20"/>
      <c r="Z6437" s="20"/>
      <c r="AG6437" s="20"/>
      <c r="AQ6437" s="19"/>
      <c r="AR6437" s="19"/>
      <c r="AS6437" s="19"/>
      <c r="AT6437" s="19"/>
      <c r="AU6437" s="19"/>
    </row>
    <row r="6438" spans="3:47">
      <c r="C6438" s="20"/>
      <c r="Z6438" s="20"/>
      <c r="AG6438" s="20"/>
      <c r="AQ6438" s="19"/>
      <c r="AR6438" s="19"/>
      <c r="AS6438" s="19"/>
      <c r="AT6438" s="19"/>
      <c r="AU6438" s="19"/>
    </row>
    <row r="6439" spans="3:47">
      <c r="C6439" s="20"/>
      <c r="Z6439" s="20"/>
      <c r="AG6439" s="20"/>
      <c r="AQ6439" s="19"/>
      <c r="AR6439" s="19"/>
      <c r="AS6439" s="19"/>
      <c r="AT6439" s="19"/>
      <c r="AU6439" s="19"/>
    </row>
    <row r="6440" spans="3:47">
      <c r="C6440" s="20"/>
      <c r="Z6440" s="20"/>
      <c r="AG6440" s="20"/>
      <c r="AQ6440" s="19"/>
      <c r="AR6440" s="19"/>
      <c r="AS6440" s="19"/>
      <c r="AT6440" s="19"/>
      <c r="AU6440" s="19"/>
    </row>
    <row r="6441" spans="3:47">
      <c r="C6441" s="20"/>
      <c r="Z6441" s="20"/>
      <c r="AG6441" s="20"/>
      <c r="AQ6441" s="19"/>
      <c r="AR6441" s="19"/>
      <c r="AS6441" s="19"/>
      <c r="AT6441" s="19"/>
      <c r="AU6441" s="19"/>
    </row>
    <row r="6442" spans="3:47">
      <c r="C6442" s="20"/>
      <c r="Z6442" s="20"/>
      <c r="AG6442" s="20"/>
      <c r="AQ6442" s="19"/>
      <c r="AR6442" s="19"/>
      <c r="AS6442" s="19"/>
      <c r="AT6442" s="19"/>
      <c r="AU6442" s="19"/>
    </row>
    <row r="6443" spans="3:47">
      <c r="C6443" s="20"/>
      <c r="Z6443" s="20"/>
      <c r="AG6443" s="20"/>
      <c r="AQ6443" s="19"/>
      <c r="AR6443" s="19"/>
      <c r="AS6443" s="19"/>
      <c r="AT6443" s="19"/>
      <c r="AU6443" s="19"/>
    </row>
    <row r="6444" spans="3:47">
      <c r="C6444" s="20"/>
      <c r="Z6444" s="20"/>
      <c r="AG6444" s="20"/>
      <c r="AQ6444" s="19"/>
      <c r="AR6444" s="19"/>
      <c r="AS6444" s="19"/>
      <c r="AT6444" s="19"/>
      <c r="AU6444" s="19"/>
    </row>
    <row r="6445" spans="3:47">
      <c r="C6445" s="20"/>
      <c r="Z6445" s="20"/>
      <c r="AG6445" s="20"/>
      <c r="AQ6445" s="19"/>
      <c r="AR6445" s="19"/>
      <c r="AS6445" s="19"/>
      <c r="AT6445" s="19"/>
      <c r="AU6445" s="19"/>
    </row>
    <row r="6446" spans="3:47">
      <c r="C6446" s="20"/>
      <c r="Z6446" s="20"/>
      <c r="AG6446" s="20"/>
      <c r="AQ6446" s="19"/>
      <c r="AR6446" s="19"/>
      <c r="AS6446" s="19"/>
      <c r="AT6446" s="19"/>
      <c r="AU6446" s="19"/>
    </row>
    <row r="6447" spans="3:47">
      <c r="C6447" s="20"/>
      <c r="Z6447" s="20"/>
      <c r="AG6447" s="20"/>
      <c r="AQ6447" s="19"/>
      <c r="AR6447" s="19"/>
      <c r="AS6447" s="19"/>
      <c r="AT6447" s="19"/>
      <c r="AU6447" s="19"/>
    </row>
    <row r="6448" spans="3:47">
      <c r="C6448" s="20"/>
      <c r="Z6448" s="20"/>
      <c r="AG6448" s="20"/>
      <c r="AQ6448" s="19"/>
      <c r="AR6448" s="19"/>
      <c r="AS6448" s="19"/>
      <c r="AT6448" s="19"/>
      <c r="AU6448" s="19"/>
    </row>
    <row r="6449" spans="3:47">
      <c r="C6449" s="20"/>
      <c r="Z6449" s="20"/>
      <c r="AG6449" s="20"/>
      <c r="AQ6449" s="19"/>
      <c r="AR6449" s="19"/>
      <c r="AS6449" s="19"/>
      <c r="AT6449" s="19"/>
      <c r="AU6449" s="19"/>
    </row>
    <row r="6450" spans="3:47">
      <c r="C6450" s="20"/>
      <c r="Z6450" s="20"/>
      <c r="AG6450" s="20"/>
      <c r="AQ6450" s="19"/>
      <c r="AR6450" s="19"/>
      <c r="AS6450" s="19"/>
      <c r="AT6450" s="19"/>
      <c r="AU6450" s="19"/>
    </row>
    <row r="6451" spans="3:47">
      <c r="C6451" s="20"/>
      <c r="Z6451" s="20"/>
      <c r="AG6451" s="20"/>
      <c r="AQ6451" s="19"/>
      <c r="AR6451" s="19"/>
      <c r="AS6451" s="19"/>
      <c r="AT6451" s="19"/>
      <c r="AU6451" s="19"/>
    </row>
    <row r="6452" spans="3:47">
      <c r="C6452" s="20"/>
      <c r="Z6452" s="20"/>
      <c r="AG6452" s="20"/>
      <c r="AQ6452" s="19"/>
      <c r="AR6452" s="19"/>
      <c r="AS6452" s="19"/>
      <c r="AT6452" s="19"/>
      <c r="AU6452" s="19"/>
    </row>
    <row r="6453" spans="3:47">
      <c r="C6453" s="20"/>
      <c r="Z6453" s="20"/>
      <c r="AG6453" s="20"/>
      <c r="AQ6453" s="19"/>
      <c r="AR6453" s="19"/>
      <c r="AS6453" s="19"/>
      <c r="AT6453" s="19"/>
      <c r="AU6453" s="19"/>
    </row>
    <row r="6454" spans="3:47">
      <c r="C6454" s="20"/>
      <c r="Z6454" s="20"/>
      <c r="AG6454" s="20"/>
      <c r="AQ6454" s="19"/>
      <c r="AR6454" s="19"/>
      <c r="AS6454" s="19"/>
      <c r="AT6454" s="19"/>
      <c r="AU6454" s="19"/>
    </row>
    <row r="6455" spans="3:47">
      <c r="C6455" s="20"/>
      <c r="Z6455" s="20"/>
      <c r="AG6455" s="20"/>
      <c r="AQ6455" s="19"/>
      <c r="AR6455" s="19"/>
      <c r="AS6455" s="19"/>
      <c r="AT6455" s="19"/>
      <c r="AU6455" s="19"/>
    </row>
    <row r="6456" spans="3:47">
      <c r="C6456" s="20"/>
      <c r="Z6456" s="20"/>
      <c r="AG6456" s="20"/>
      <c r="AQ6456" s="19"/>
      <c r="AR6456" s="19"/>
      <c r="AS6456" s="19"/>
      <c r="AT6456" s="19"/>
      <c r="AU6456" s="19"/>
    </row>
    <row r="6457" spans="3:47">
      <c r="C6457" s="20"/>
      <c r="Z6457" s="20"/>
      <c r="AG6457" s="20"/>
      <c r="AQ6457" s="19"/>
      <c r="AR6457" s="19"/>
      <c r="AS6457" s="19"/>
      <c r="AT6457" s="19"/>
      <c r="AU6457" s="19"/>
    </row>
    <row r="6458" spans="3:47">
      <c r="C6458" s="20"/>
      <c r="Z6458" s="20"/>
      <c r="AG6458" s="20"/>
      <c r="AQ6458" s="19"/>
      <c r="AR6458" s="19"/>
      <c r="AS6458" s="19"/>
      <c r="AT6458" s="19"/>
      <c r="AU6458" s="19"/>
    </row>
    <row r="6459" spans="3:47">
      <c r="C6459" s="20"/>
      <c r="Z6459" s="20"/>
      <c r="AG6459" s="20"/>
      <c r="AQ6459" s="19"/>
      <c r="AR6459" s="19"/>
      <c r="AS6459" s="19"/>
      <c r="AT6459" s="19"/>
      <c r="AU6459" s="19"/>
    </row>
    <row r="6460" spans="3:47">
      <c r="C6460" s="20"/>
      <c r="Z6460" s="20"/>
      <c r="AG6460" s="20"/>
      <c r="AQ6460" s="19"/>
      <c r="AR6460" s="19"/>
      <c r="AS6460" s="19"/>
      <c r="AT6460" s="19"/>
      <c r="AU6460" s="19"/>
    </row>
    <row r="6461" spans="3:47">
      <c r="C6461" s="20"/>
      <c r="Z6461" s="20"/>
      <c r="AG6461" s="20"/>
      <c r="AQ6461" s="19"/>
      <c r="AR6461" s="19"/>
      <c r="AS6461" s="19"/>
      <c r="AT6461" s="19"/>
      <c r="AU6461" s="19"/>
    </row>
    <row r="6462" spans="3:47">
      <c r="C6462" s="20"/>
      <c r="Z6462" s="20"/>
      <c r="AG6462" s="20"/>
      <c r="AQ6462" s="19"/>
      <c r="AR6462" s="19"/>
      <c r="AS6462" s="19"/>
      <c r="AT6462" s="19"/>
      <c r="AU6462" s="19"/>
    </row>
    <row r="6463" spans="3:47">
      <c r="C6463" s="20"/>
      <c r="Z6463" s="20"/>
      <c r="AG6463" s="20"/>
      <c r="AQ6463" s="19"/>
      <c r="AR6463" s="19"/>
      <c r="AS6463" s="19"/>
      <c r="AT6463" s="19"/>
      <c r="AU6463" s="19"/>
    </row>
    <row r="6464" spans="3:47">
      <c r="C6464" s="20"/>
      <c r="Z6464" s="20"/>
      <c r="AG6464" s="20"/>
      <c r="AQ6464" s="19"/>
      <c r="AR6464" s="19"/>
      <c r="AS6464" s="19"/>
      <c r="AT6464" s="19"/>
      <c r="AU6464" s="19"/>
    </row>
    <row r="6465" spans="3:47">
      <c r="C6465" s="20"/>
      <c r="Z6465" s="20"/>
      <c r="AG6465" s="20"/>
      <c r="AQ6465" s="19"/>
      <c r="AR6465" s="19"/>
      <c r="AS6465" s="19"/>
      <c r="AT6465" s="19"/>
      <c r="AU6465" s="19"/>
    </row>
    <row r="6466" spans="3:47">
      <c r="C6466" s="20"/>
      <c r="Z6466" s="20"/>
      <c r="AG6466" s="20"/>
      <c r="AQ6466" s="19"/>
      <c r="AR6466" s="19"/>
      <c r="AS6466" s="19"/>
      <c r="AT6466" s="19"/>
      <c r="AU6466" s="19"/>
    </row>
    <row r="6467" spans="3:47">
      <c r="C6467" s="20"/>
      <c r="Z6467" s="20"/>
      <c r="AG6467" s="20"/>
      <c r="AQ6467" s="19"/>
      <c r="AR6467" s="19"/>
      <c r="AS6467" s="19"/>
      <c r="AT6467" s="19"/>
      <c r="AU6467" s="19"/>
    </row>
    <row r="6468" spans="3:47">
      <c r="C6468" s="20"/>
      <c r="Z6468" s="20"/>
      <c r="AG6468" s="20"/>
      <c r="AQ6468" s="19"/>
      <c r="AR6468" s="19"/>
      <c r="AS6468" s="19"/>
      <c r="AT6468" s="19"/>
      <c r="AU6468" s="19"/>
    </row>
    <row r="6469" spans="3:47">
      <c r="C6469" s="20"/>
      <c r="Z6469" s="20"/>
      <c r="AG6469" s="20"/>
      <c r="AQ6469" s="19"/>
      <c r="AR6469" s="19"/>
      <c r="AS6469" s="19"/>
      <c r="AT6469" s="19"/>
      <c r="AU6469" s="19"/>
    </row>
    <row r="6470" spans="3:47">
      <c r="C6470" s="20"/>
      <c r="Z6470" s="20"/>
      <c r="AG6470" s="20"/>
      <c r="AQ6470" s="19"/>
      <c r="AR6470" s="19"/>
      <c r="AS6470" s="19"/>
      <c r="AT6470" s="19"/>
      <c r="AU6470" s="19"/>
    </row>
    <row r="6471" spans="3:47">
      <c r="C6471" s="20"/>
      <c r="Z6471" s="20"/>
      <c r="AG6471" s="20"/>
      <c r="AQ6471" s="19"/>
      <c r="AR6471" s="19"/>
      <c r="AS6471" s="19"/>
      <c r="AT6471" s="19"/>
      <c r="AU6471" s="19"/>
    </row>
    <row r="6472" spans="3:47">
      <c r="C6472" s="20"/>
      <c r="Z6472" s="20"/>
      <c r="AG6472" s="20"/>
      <c r="AQ6472" s="19"/>
      <c r="AR6472" s="19"/>
      <c r="AS6472" s="19"/>
      <c r="AT6472" s="19"/>
      <c r="AU6472" s="19"/>
    </row>
    <row r="6473" spans="3:47">
      <c r="C6473" s="20"/>
      <c r="Z6473" s="20"/>
      <c r="AG6473" s="20"/>
      <c r="AQ6473" s="19"/>
      <c r="AR6473" s="19"/>
      <c r="AS6473" s="19"/>
      <c r="AT6473" s="19"/>
      <c r="AU6473" s="19"/>
    </row>
    <row r="6474" spans="3:47">
      <c r="C6474" s="20"/>
      <c r="Z6474" s="20"/>
      <c r="AG6474" s="20"/>
      <c r="AQ6474" s="19"/>
      <c r="AR6474" s="19"/>
      <c r="AS6474" s="19"/>
      <c r="AT6474" s="19"/>
      <c r="AU6474" s="19"/>
    </row>
    <row r="6475" spans="3:47">
      <c r="C6475" s="20"/>
      <c r="Z6475" s="20"/>
      <c r="AG6475" s="20"/>
      <c r="AQ6475" s="19"/>
      <c r="AR6475" s="19"/>
      <c r="AS6475" s="19"/>
      <c r="AT6475" s="19"/>
      <c r="AU6475" s="19"/>
    </row>
    <row r="6476" spans="3:47">
      <c r="C6476" s="20"/>
      <c r="Z6476" s="20"/>
      <c r="AG6476" s="20"/>
      <c r="AQ6476" s="19"/>
      <c r="AR6476" s="19"/>
      <c r="AS6476" s="19"/>
      <c r="AT6476" s="19"/>
      <c r="AU6476" s="19"/>
    </row>
    <row r="6477" spans="3:47">
      <c r="C6477" s="20"/>
      <c r="Z6477" s="20"/>
      <c r="AG6477" s="20"/>
      <c r="AQ6477" s="19"/>
      <c r="AR6477" s="19"/>
      <c r="AS6477" s="19"/>
      <c r="AT6477" s="19"/>
      <c r="AU6477" s="19"/>
    </row>
    <row r="6478" spans="3:47">
      <c r="C6478" s="20"/>
      <c r="Z6478" s="20"/>
      <c r="AG6478" s="20"/>
      <c r="AQ6478" s="19"/>
      <c r="AR6478" s="19"/>
      <c r="AS6478" s="19"/>
      <c r="AT6478" s="19"/>
      <c r="AU6478" s="19"/>
    </row>
    <row r="6479" spans="3:47">
      <c r="C6479" s="20"/>
      <c r="Z6479" s="20"/>
      <c r="AG6479" s="20"/>
      <c r="AQ6479" s="19"/>
      <c r="AR6479" s="19"/>
      <c r="AS6479" s="19"/>
      <c r="AT6479" s="19"/>
      <c r="AU6479" s="19"/>
    </row>
    <row r="6480" spans="3:47">
      <c r="C6480" s="20"/>
      <c r="Z6480" s="20"/>
      <c r="AG6480" s="20"/>
      <c r="AQ6480" s="19"/>
      <c r="AR6480" s="19"/>
      <c r="AS6480" s="19"/>
      <c r="AT6480" s="19"/>
      <c r="AU6480" s="19"/>
    </row>
    <row r="6481" spans="3:47">
      <c r="C6481" s="20"/>
      <c r="Z6481" s="20"/>
      <c r="AG6481" s="20"/>
      <c r="AQ6481" s="19"/>
      <c r="AR6481" s="19"/>
      <c r="AS6481" s="19"/>
      <c r="AT6481" s="19"/>
      <c r="AU6481" s="19"/>
    </row>
    <row r="6482" spans="3:47">
      <c r="C6482" s="20"/>
      <c r="Z6482" s="20"/>
      <c r="AG6482" s="20"/>
      <c r="AQ6482" s="19"/>
      <c r="AR6482" s="19"/>
      <c r="AS6482" s="19"/>
      <c r="AT6482" s="19"/>
      <c r="AU6482" s="19"/>
    </row>
    <row r="6483" spans="3:47">
      <c r="C6483" s="20"/>
      <c r="Z6483" s="20"/>
      <c r="AG6483" s="20"/>
      <c r="AQ6483" s="19"/>
      <c r="AR6483" s="19"/>
      <c r="AS6483" s="19"/>
      <c r="AT6483" s="19"/>
      <c r="AU6483" s="19"/>
    </row>
    <row r="6484" spans="3:47">
      <c r="C6484" s="20"/>
      <c r="Z6484" s="20"/>
      <c r="AG6484" s="20"/>
      <c r="AQ6484" s="19"/>
      <c r="AR6484" s="19"/>
      <c r="AS6484" s="19"/>
      <c r="AT6484" s="19"/>
      <c r="AU6484" s="19"/>
    </row>
    <row r="6485" spans="3:47">
      <c r="C6485" s="20"/>
      <c r="Z6485" s="20"/>
      <c r="AG6485" s="20"/>
      <c r="AQ6485" s="19"/>
      <c r="AR6485" s="19"/>
      <c r="AS6485" s="19"/>
      <c r="AT6485" s="19"/>
      <c r="AU6485" s="19"/>
    </row>
    <row r="6486" spans="3:47">
      <c r="C6486" s="20"/>
      <c r="Z6486" s="20"/>
      <c r="AG6486" s="20"/>
      <c r="AQ6486" s="19"/>
      <c r="AR6486" s="19"/>
      <c r="AS6486" s="19"/>
      <c r="AT6486" s="19"/>
      <c r="AU6486" s="19"/>
    </row>
    <row r="6487" spans="3:47">
      <c r="C6487" s="20"/>
      <c r="Z6487" s="20"/>
      <c r="AG6487" s="20"/>
      <c r="AQ6487" s="19"/>
      <c r="AR6487" s="19"/>
      <c r="AS6487" s="19"/>
      <c r="AT6487" s="19"/>
      <c r="AU6487" s="19"/>
    </row>
    <row r="6488" spans="3:47">
      <c r="C6488" s="20"/>
      <c r="Z6488" s="20"/>
      <c r="AG6488" s="20"/>
      <c r="AQ6488" s="19"/>
      <c r="AR6488" s="19"/>
      <c r="AS6488" s="19"/>
      <c r="AT6488" s="19"/>
      <c r="AU6488" s="19"/>
    </row>
    <row r="6489" spans="3:47">
      <c r="C6489" s="20"/>
      <c r="Z6489" s="20"/>
      <c r="AG6489" s="20"/>
      <c r="AQ6489" s="19"/>
      <c r="AR6489" s="19"/>
      <c r="AS6489" s="19"/>
      <c r="AT6489" s="19"/>
      <c r="AU6489" s="19"/>
    </row>
    <row r="6490" spans="3:47">
      <c r="C6490" s="20"/>
      <c r="Z6490" s="20"/>
      <c r="AG6490" s="20"/>
      <c r="AQ6490" s="19"/>
      <c r="AR6490" s="19"/>
      <c r="AS6490" s="19"/>
      <c r="AT6490" s="19"/>
      <c r="AU6490" s="19"/>
    </row>
    <row r="6491" spans="3:47">
      <c r="C6491" s="20"/>
      <c r="Z6491" s="20"/>
      <c r="AG6491" s="20"/>
      <c r="AQ6491" s="19"/>
      <c r="AR6491" s="19"/>
      <c r="AS6491" s="19"/>
      <c r="AT6491" s="19"/>
      <c r="AU6491" s="19"/>
    </row>
    <row r="6492" spans="3:47">
      <c r="C6492" s="20"/>
      <c r="Z6492" s="20"/>
      <c r="AG6492" s="20"/>
      <c r="AQ6492" s="19"/>
      <c r="AR6492" s="19"/>
      <c r="AS6492" s="19"/>
      <c r="AT6492" s="19"/>
      <c r="AU6492" s="19"/>
    </row>
    <row r="6493" spans="3:47">
      <c r="C6493" s="20"/>
      <c r="Z6493" s="20"/>
      <c r="AG6493" s="20"/>
      <c r="AQ6493" s="19"/>
      <c r="AR6493" s="19"/>
      <c r="AS6493" s="19"/>
      <c r="AT6493" s="19"/>
      <c r="AU6493" s="19"/>
    </row>
    <row r="6494" spans="3:47">
      <c r="C6494" s="20"/>
      <c r="Z6494" s="20"/>
      <c r="AG6494" s="20"/>
      <c r="AQ6494" s="19"/>
      <c r="AR6494" s="19"/>
      <c r="AS6494" s="19"/>
      <c r="AT6494" s="19"/>
      <c r="AU6494" s="19"/>
    </row>
    <row r="6495" spans="3:47">
      <c r="C6495" s="20"/>
      <c r="Z6495" s="20"/>
      <c r="AG6495" s="20"/>
      <c r="AQ6495" s="19"/>
      <c r="AR6495" s="19"/>
      <c r="AS6495" s="19"/>
      <c r="AT6495" s="19"/>
      <c r="AU6495" s="19"/>
    </row>
    <row r="6496" spans="3:47">
      <c r="C6496" s="20"/>
      <c r="Z6496" s="20"/>
      <c r="AG6496" s="20"/>
      <c r="AQ6496" s="19"/>
      <c r="AR6496" s="19"/>
      <c r="AS6496" s="19"/>
      <c r="AT6496" s="19"/>
      <c r="AU6496" s="19"/>
    </row>
    <row r="6497" spans="3:47">
      <c r="C6497" s="20"/>
      <c r="Z6497" s="20"/>
      <c r="AG6497" s="20"/>
      <c r="AQ6497" s="19"/>
      <c r="AR6497" s="19"/>
      <c r="AS6497" s="19"/>
      <c r="AT6497" s="19"/>
      <c r="AU6497" s="19"/>
    </row>
    <row r="6498" spans="3:47">
      <c r="C6498" s="20"/>
      <c r="Z6498" s="20"/>
      <c r="AG6498" s="20"/>
      <c r="AQ6498" s="19"/>
      <c r="AR6498" s="19"/>
      <c r="AS6498" s="19"/>
      <c r="AT6498" s="19"/>
      <c r="AU6498" s="19"/>
    </row>
    <row r="6499" spans="3:47">
      <c r="C6499" s="20"/>
      <c r="Z6499" s="20"/>
      <c r="AG6499" s="20"/>
      <c r="AQ6499" s="19"/>
      <c r="AR6499" s="19"/>
      <c r="AS6499" s="19"/>
      <c r="AT6499" s="19"/>
      <c r="AU6499" s="19"/>
    </row>
    <row r="6500" spans="3:47">
      <c r="C6500" s="20"/>
      <c r="Z6500" s="20"/>
      <c r="AG6500" s="20"/>
      <c r="AQ6500" s="19"/>
      <c r="AR6500" s="19"/>
      <c r="AS6500" s="19"/>
      <c r="AT6500" s="19"/>
      <c r="AU6500" s="19"/>
    </row>
    <row r="6501" spans="3:47">
      <c r="C6501" s="20"/>
      <c r="Z6501" s="20"/>
      <c r="AG6501" s="20"/>
      <c r="AQ6501" s="19"/>
      <c r="AR6501" s="19"/>
      <c r="AS6501" s="19"/>
      <c r="AT6501" s="19"/>
      <c r="AU6501" s="19"/>
    </row>
    <row r="6502" spans="3:47">
      <c r="C6502" s="20"/>
      <c r="Z6502" s="20"/>
      <c r="AG6502" s="20"/>
      <c r="AQ6502" s="19"/>
      <c r="AR6502" s="19"/>
      <c r="AS6502" s="19"/>
      <c r="AT6502" s="19"/>
      <c r="AU6502" s="19"/>
    </row>
    <row r="6503" spans="3:47">
      <c r="C6503" s="20"/>
      <c r="Z6503" s="20"/>
      <c r="AG6503" s="20"/>
      <c r="AQ6503" s="19"/>
      <c r="AR6503" s="19"/>
      <c r="AS6503" s="19"/>
      <c r="AT6503" s="19"/>
      <c r="AU6503" s="19"/>
    </row>
    <row r="6504" spans="3:47">
      <c r="C6504" s="20"/>
      <c r="Z6504" s="20"/>
      <c r="AG6504" s="20"/>
      <c r="AQ6504" s="19"/>
      <c r="AR6504" s="19"/>
      <c r="AS6504" s="19"/>
      <c r="AT6504" s="19"/>
      <c r="AU6504" s="19"/>
    </row>
    <row r="6505" spans="3:47">
      <c r="C6505" s="20"/>
      <c r="Z6505" s="20"/>
      <c r="AG6505" s="20"/>
      <c r="AQ6505" s="19"/>
      <c r="AR6505" s="19"/>
      <c r="AS6505" s="19"/>
      <c r="AT6505" s="19"/>
      <c r="AU6505" s="19"/>
    </row>
    <row r="6506" spans="3:47">
      <c r="C6506" s="20"/>
      <c r="Z6506" s="20"/>
      <c r="AG6506" s="20"/>
      <c r="AQ6506" s="19"/>
      <c r="AR6506" s="19"/>
      <c r="AS6506" s="19"/>
      <c r="AT6506" s="19"/>
      <c r="AU6506" s="19"/>
    </row>
    <row r="6507" spans="3:47">
      <c r="C6507" s="20"/>
      <c r="Z6507" s="20"/>
      <c r="AG6507" s="20"/>
      <c r="AQ6507" s="19"/>
      <c r="AR6507" s="19"/>
      <c r="AS6507" s="19"/>
      <c r="AT6507" s="19"/>
      <c r="AU6507" s="19"/>
    </row>
    <row r="6508" spans="3:47">
      <c r="C6508" s="20"/>
      <c r="Z6508" s="20"/>
      <c r="AG6508" s="20"/>
      <c r="AQ6508" s="19"/>
      <c r="AR6508" s="19"/>
      <c r="AS6508" s="19"/>
      <c r="AT6508" s="19"/>
      <c r="AU6508" s="19"/>
    </row>
    <row r="6509" spans="3:47">
      <c r="C6509" s="20"/>
      <c r="Z6509" s="20"/>
      <c r="AG6509" s="20"/>
      <c r="AQ6509" s="19"/>
      <c r="AR6509" s="19"/>
      <c r="AS6509" s="19"/>
      <c r="AT6509" s="19"/>
      <c r="AU6509" s="19"/>
    </row>
    <row r="6510" spans="3:47">
      <c r="C6510" s="20"/>
      <c r="Z6510" s="20"/>
      <c r="AG6510" s="20"/>
      <c r="AQ6510" s="19"/>
      <c r="AR6510" s="19"/>
      <c r="AS6510" s="19"/>
      <c r="AT6510" s="19"/>
      <c r="AU6510" s="19"/>
    </row>
    <row r="6511" spans="3:47">
      <c r="C6511" s="20"/>
      <c r="Z6511" s="20"/>
      <c r="AG6511" s="20"/>
      <c r="AQ6511" s="19"/>
      <c r="AR6511" s="19"/>
      <c r="AS6511" s="19"/>
      <c r="AT6511" s="19"/>
      <c r="AU6511" s="19"/>
    </row>
    <row r="6512" spans="3:47">
      <c r="C6512" s="20"/>
      <c r="Z6512" s="20"/>
      <c r="AG6512" s="20"/>
      <c r="AQ6512" s="19"/>
      <c r="AR6512" s="19"/>
      <c r="AS6512" s="19"/>
      <c r="AT6512" s="19"/>
      <c r="AU6512" s="19"/>
    </row>
    <row r="6513" spans="3:47">
      <c r="C6513" s="20"/>
      <c r="Z6513" s="20"/>
      <c r="AG6513" s="20"/>
      <c r="AQ6513" s="19"/>
      <c r="AR6513" s="19"/>
      <c r="AS6513" s="19"/>
      <c r="AT6513" s="19"/>
      <c r="AU6513" s="19"/>
    </row>
    <row r="6514" spans="3:47">
      <c r="C6514" s="20"/>
      <c r="Z6514" s="20"/>
      <c r="AG6514" s="20"/>
      <c r="AQ6514" s="19"/>
      <c r="AR6514" s="19"/>
      <c r="AS6514" s="19"/>
      <c r="AT6514" s="19"/>
      <c r="AU6514" s="19"/>
    </row>
    <row r="6515" spans="3:47">
      <c r="C6515" s="20"/>
      <c r="Z6515" s="20"/>
      <c r="AG6515" s="20"/>
      <c r="AQ6515" s="19"/>
      <c r="AR6515" s="19"/>
      <c r="AS6515" s="19"/>
      <c r="AT6515" s="19"/>
      <c r="AU6515" s="19"/>
    </row>
    <row r="6516" spans="3:47">
      <c r="C6516" s="20"/>
      <c r="Z6516" s="20"/>
      <c r="AG6516" s="20"/>
      <c r="AQ6516" s="19"/>
      <c r="AR6516" s="19"/>
      <c r="AS6516" s="19"/>
      <c r="AT6516" s="19"/>
      <c r="AU6516" s="19"/>
    </row>
    <row r="6517" spans="3:47">
      <c r="C6517" s="20"/>
      <c r="Z6517" s="20"/>
      <c r="AG6517" s="20"/>
      <c r="AQ6517" s="19"/>
      <c r="AR6517" s="19"/>
      <c r="AS6517" s="19"/>
      <c r="AT6517" s="19"/>
      <c r="AU6517" s="19"/>
    </row>
    <row r="6518" spans="3:47">
      <c r="C6518" s="20"/>
      <c r="Z6518" s="20"/>
      <c r="AG6518" s="20"/>
      <c r="AQ6518" s="19"/>
      <c r="AR6518" s="19"/>
      <c r="AS6518" s="19"/>
      <c r="AT6518" s="19"/>
      <c r="AU6518" s="19"/>
    </row>
    <row r="6519" spans="3:47">
      <c r="C6519" s="20"/>
      <c r="Z6519" s="20"/>
      <c r="AG6519" s="20"/>
      <c r="AQ6519" s="19"/>
      <c r="AR6519" s="19"/>
      <c r="AS6519" s="19"/>
      <c r="AT6519" s="19"/>
      <c r="AU6519" s="19"/>
    </row>
    <row r="6520" spans="3:47">
      <c r="C6520" s="20"/>
      <c r="Z6520" s="20"/>
      <c r="AG6520" s="20"/>
      <c r="AQ6520" s="19"/>
      <c r="AR6520" s="19"/>
      <c r="AS6520" s="19"/>
      <c r="AT6520" s="19"/>
      <c r="AU6520" s="19"/>
    </row>
    <row r="6521" spans="3:47">
      <c r="C6521" s="20"/>
      <c r="Z6521" s="20"/>
      <c r="AG6521" s="20"/>
      <c r="AQ6521" s="19"/>
      <c r="AR6521" s="19"/>
      <c r="AS6521" s="19"/>
      <c r="AT6521" s="19"/>
      <c r="AU6521" s="19"/>
    </row>
    <row r="6522" spans="3:47">
      <c r="C6522" s="20"/>
      <c r="Z6522" s="20"/>
      <c r="AG6522" s="20"/>
      <c r="AQ6522" s="19"/>
      <c r="AR6522" s="19"/>
      <c r="AS6522" s="19"/>
      <c r="AT6522" s="19"/>
      <c r="AU6522" s="19"/>
    </row>
    <row r="6523" spans="3:47">
      <c r="C6523" s="20"/>
      <c r="Z6523" s="20"/>
      <c r="AG6523" s="20"/>
      <c r="AQ6523" s="19"/>
      <c r="AR6523" s="19"/>
      <c r="AS6523" s="19"/>
      <c r="AT6523" s="19"/>
      <c r="AU6523" s="19"/>
    </row>
    <row r="6524" spans="3:47">
      <c r="C6524" s="20"/>
      <c r="Z6524" s="20"/>
      <c r="AG6524" s="20"/>
      <c r="AQ6524" s="19"/>
      <c r="AR6524" s="19"/>
      <c r="AS6524" s="19"/>
      <c r="AT6524" s="19"/>
      <c r="AU6524" s="19"/>
    </row>
    <row r="6525" spans="3:47">
      <c r="C6525" s="20"/>
      <c r="Z6525" s="20"/>
      <c r="AG6525" s="20"/>
      <c r="AQ6525" s="19"/>
      <c r="AR6525" s="19"/>
      <c r="AS6525" s="19"/>
      <c r="AT6525" s="19"/>
      <c r="AU6525" s="19"/>
    </row>
    <row r="6526" spans="3:47">
      <c r="C6526" s="20"/>
      <c r="Z6526" s="20"/>
      <c r="AG6526" s="20"/>
      <c r="AQ6526" s="19"/>
      <c r="AR6526" s="19"/>
      <c r="AS6526" s="19"/>
      <c r="AT6526" s="19"/>
      <c r="AU6526" s="19"/>
    </row>
    <row r="6527" spans="3:47">
      <c r="C6527" s="20"/>
      <c r="Z6527" s="20"/>
      <c r="AG6527" s="20"/>
      <c r="AQ6527" s="19"/>
      <c r="AR6527" s="19"/>
      <c r="AS6527" s="19"/>
      <c r="AT6527" s="19"/>
      <c r="AU6527" s="19"/>
    </row>
    <row r="6528" spans="3:47">
      <c r="C6528" s="20"/>
      <c r="Z6528" s="20"/>
      <c r="AG6528" s="20"/>
      <c r="AQ6528" s="19"/>
      <c r="AR6528" s="19"/>
      <c r="AS6528" s="19"/>
      <c r="AT6528" s="19"/>
      <c r="AU6528" s="19"/>
    </row>
    <row r="6529" spans="3:47">
      <c r="C6529" s="20"/>
      <c r="Z6529" s="20"/>
      <c r="AG6529" s="20"/>
      <c r="AQ6529" s="19"/>
      <c r="AR6529" s="19"/>
      <c r="AS6529" s="19"/>
      <c r="AT6529" s="19"/>
      <c r="AU6529" s="19"/>
    </row>
    <row r="6530" spans="3:47">
      <c r="C6530" s="20"/>
      <c r="Z6530" s="20"/>
      <c r="AG6530" s="20"/>
      <c r="AQ6530" s="19"/>
      <c r="AR6530" s="19"/>
      <c r="AS6530" s="19"/>
      <c r="AT6530" s="19"/>
      <c r="AU6530" s="19"/>
    </row>
    <row r="6531" spans="3:47">
      <c r="C6531" s="20"/>
      <c r="Z6531" s="20"/>
      <c r="AG6531" s="20"/>
      <c r="AQ6531" s="19"/>
      <c r="AR6531" s="19"/>
      <c r="AS6531" s="19"/>
      <c r="AT6531" s="19"/>
      <c r="AU6531" s="19"/>
    </row>
    <row r="6532" spans="3:47">
      <c r="C6532" s="20"/>
      <c r="Z6532" s="20"/>
      <c r="AG6532" s="20"/>
      <c r="AQ6532" s="19"/>
      <c r="AR6532" s="19"/>
      <c r="AS6532" s="19"/>
      <c r="AT6532" s="19"/>
      <c r="AU6532" s="19"/>
    </row>
    <row r="6533" spans="3:47">
      <c r="C6533" s="20"/>
      <c r="Z6533" s="20"/>
      <c r="AG6533" s="20"/>
      <c r="AQ6533" s="19"/>
      <c r="AR6533" s="19"/>
      <c r="AS6533" s="19"/>
      <c r="AT6533" s="19"/>
      <c r="AU6533" s="19"/>
    </row>
    <row r="6534" spans="3:47">
      <c r="C6534" s="20"/>
      <c r="Z6534" s="20"/>
      <c r="AG6534" s="20"/>
      <c r="AQ6534" s="19"/>
      <c r="AR6534" s="19"/>
      <c r="AS6534" s="19"/>
      <c r="AT6534" s="19"/>
      <c r="AU6534" s="19"/>
    </row>
    <row r="6535" spans="3:47">
      <c r="C6535" s="20"/>
      <c r="Z6535" s="20"/>
      <c r="AG6535" s="20"/>
      <c r="AQ6535" s="19"/>
      <c r="AR6535" s="19"/>
      <c r="AS6535" s="19"/>
      <c r="AT6535" s="19"/>
      <c r="AU6535" s="19"/>
    </row>
    <row r="6536" spans="3:47">
      <c r="C6536" s="20"/>
      <c r="Z6536" s="20"/>
      <c r="AG6536" s="20"/>
      <c r="AQ6536" s="19"/>
      <c r="AR6536" s="19"/>
      <c r="AS6536" s="19"/>
      <c r="AT6536" s="19"/>
      <c r="AU6536" s="19"/>
    </row>
    <row r="6537" spans="3:47">
      <c r="C6537" s="20"/>
      <c r="Z6537" s="20"/>
      <c r="AG6537" s="20"/>
      <c r="AQ6537" s="19"/>
      <c r="AR6537" s="19"/>
      <c r="AS6537" s="19"/>
      <c r="AT6537" s="19"/>
      <c r="AU6537" s="19"/>
    </row>
    <row r="6538" spans="3:47">
      <c r="C6538" s="20"/>
      <c r="Z6538" s="20"/>
      <c r="AG6538" s="20"/>
      <c r="AQ6538" s="19"/>
      <c r="AR6538" s="19"/>
      <c r="AS6538" s="19"/>
      <c r="AT6538" s="19"/>
      <c r="AU6538" s="19"/>
    </row>
    <row r="6539" spans="3:47">
      <c r="C6539" s="20"/>
      <c r="Z6539" s="20"/>
      <c r="AG6539" s="20"/>
      <c r="AQ6539" s="19"/>
      <c r="AR6539" s="19"/>
      <c r="AS6539" s="19"/>
      <c r="AT6539" s="19"/>
      <c r="AU6539" s="19"/>
    </row>
    <row r="6540" spans="3:47">
      <c r="C6540" s="20"/>
      <c r="Z6540" s="20"/>
      <c r="AG6540" s="20"/>
      <c r="AQ6540" s="19"/>
      <c r="AR6540" s="19"/>
      <c r="AS6540" s="19"/>
      <c r="AT6540" s="19"/>
      <c r="AU6540" s="19"/>
    </row>
    <row r="6541" spans="3:47">
      <c r="C6541" s="20"/>
      <c r="Z6541" s="20"/>
      <c r="AG6541" s="20"/>
      <c r="AQ6541" s="19"/>
      <c r="AR6541" s="19"/>
      <c r="AS6541" s="19"/>
      <c r="AT6541" s="19"/>
      <c r="AU6541" s="19"/>
    </row>
    <row r="6542" spans="3:47">
      <c r="C6542" s="20"/>
      <c r="Z6542" s="20"/>
      <c r="AG6542" s="20"/>
      <c r="AQ6542" s="19"/>
      <c r="AR6542" s="19"/>
      <c r="AS6542" s="19"/>
      <c r="AT6542" s="19"/>
      <c r="AU6542" s="19"/>
    </row>
    <row r="6543" spans="3:47">
      <c r="C6543" s="20"/>
      <c r="Z6543" s="20"/>
      <c r="AG6543" s="20"/>
      <c r="AQ6543" s="19"/>
      <c r="AR6543" s="19"/>
      <c r="AS6543" s="19"/>
      <c r="AT6543" s="19"/>
      <c r="AU6543" s="19"/>
    </row>
    <row r="6544" spans="3:47">
      <c r="C6544" s="20"/>
      <c r="Z6544" s="20"/>
      <c r="AG6544" s="20"/>
      <c r="AQ6544" s="19"/>
      <c r="AR6544" s="19"/>
      <c r="AS6544" s="19"/>
      <c r="AT6544" s="19"/>
      <c r="AU6544" s="19"/>
    </row>
    <row r="6545" spans="3:47">
      <c r="C6545" s="20"/>
      <c r="Z6545" s="20"/>
      <c r="AG6545" s="20"/>
      <c r="AQ6545" s="19"/>
      <c r="AR6545" s="19"/>
      <c r="AS6545" s="19"/>
      <c r="AT6545" s="19"/>
      <c r="AU6545" s="19"/>
    </row>
    <row r="6546" spans="3:47">
      <c r="C6546" s="20"/>
      <c r="Z6546" s="20"/>
      <c r="AG6546" s="20"/>
      <c r="AQ6546" s="19"/>
      <c r="AR6546" s="19"/>
      <c r="AS6546" s="19"/>
      <c r="AT6546" s="19"/>
      <c r="AU6546" s="19"/>
    </row>
    <row r="6547" spans="3:47">
      <c r="C6547" s="20"/>
      <c r="Z6547" s="20"/>
      <c r="AG6547" s="20"/>
      <c r="AQ6547" s="19"/>
      <c r="AR6547" s="19"/>
      <c r="AS6547" s="19"/>
      <c r="AT6547" s="19"/>
      <c r="AU6547" s="19"/>
    </row>
    <row r="6548" spans="3:47">
      <c r="C6548" s="20"/>
      <c r="Z6548" s="20"/>
      <c r="AG6548" s="20"/>
      <c r="AQ6548" s="19"/>
      <c r="AR6548" s="19"/>
      <c r="AS6548" s="19"/>
      <c r="AT6548" s="19"/>
      <c r="AU6548" s="19"/>
    </row>
    <row r="6549" spans="3:47">
      <c r="C6549" s="20"/>
      <c r="Z6549" s="20"/>
      <c r="AG6549" s="20"/>
      <c r="AQ6549" s="19"/>
      <c r="AR6549" s="19"/>
      <c r="AS6549" s="19"/>
      <c r="AT6549" s="19"/>
      <c r="AU6549" s="19"/>
    </row>
    <row r="6550" spans="3:47">
      <c r="C6550" s="20"/>
      <c r="Z6550" s="20"/>
      <c r="AG6550" s="20"/>
      <c r="AQ6550" s="19"/>
      <c r="AR6550" s="19"/>
      <c r="AS6550" s="19"/>
      <c r="AT6550" s="19"/>
      <c r="AU6550" s="19"/>
    </row>
    <row r="6551" spans="3:47">
      <c r="C6551" s="20"/>
      <c r="Z6551" s="20"/>
      <c r="AG6551" s="20"/>
      <c r="AQ6551" s="19"/>
      <c r="AR6551" s="19"/>
      <c r="AS6551" s="19"/>
      <c r="AT6551" s="19"/>
      <c r="AU6551" s="19"/>
    </row>
    <row r="6552" spans="3:47">
      <c r="C6552" s="20"/>
      <c r="Z6552" s="20"/>
      <c r="AG6552" s="20"/>
      <c r="AQ6552" s="19"/>
      <c r="AR6552" s="19"/>
      <c r="AS6552" s="19"/>
      <c r="AT6552" s="19"/>
      <c r="AU6552" s="19"/>
    </row>
    <row r="6553" spans="3:47">
      <c r="C6553" s="20"/>
      <c r="Z6553" s="20"/>
      <c r="AG6553" s="20"/>
      <c r="AQ6553" s="19"/>
      <c r="AR6553" s="19"/>
      <c r="AS6553" s="19"/>
      <c r="AT6553" s="19"/>
      <c r="AU6553" s="19"/>
    </row>
    <row r="6554" spans="3:47">
      <c r="C6554" s="20"/>
      <c r="Z6554" s="20"/>
      <c r="AG6554" s="20"/>
      <c r="AQ6554" s="19"/>
      <c r="AR6554" s="19"/>
      <c r="AS6554" s="19"/>
      <c r="AT6554" s="19"/>
      <c r="AU6554" s="19"/>
    </row>
    <row r="6555" spans="3:47">
      <c r="C6555" s="20"/>
      <c r="Z6555" s="20"/>
      <c r="AG6555" s="20"/>
      <c r="AQ6555" s="19"/>
      <c r="AR6555" s="19"/>
      <c r="AS6555" s="19"/>
      <c r="AT6555" s="19"/>
      <c r="AU6555" s="19"/>
    </row>
    <row r="6556" spans="3:47">
      <c r="C6556" s="20"/>
      <c r="Z6556" s="20"/>
      <c r="AG6556" s="20"/>
      <c r="AQ6556" s="19"/>
      <c r="AR6556" s="19"/>
      <c r="AS6556" s="19"/>
      <c r="AT6556" s="19"/>
      <c r="AU6556" s="19"/>
    </row>
    <row r="6557" spans="3:47">
      <c r="C6557" s="20"/>
      <c r="Z6557" s="20"/>
      <c r="AG6557" s="20"/>
      <c r="AQ6557" s="19"/>
      <c r="AR6557" s="19"/>
      <c r="AS6557" s="19"/>
      <c r="AT6557" s="19"/>
      <c r="AU6557" s="19"/>
    </row>
    <row r="6558" spans="3:47">
      <c r="C6558" s="20"/>
      <c r="Z6558" s="20"/>
      <c r="AG6558" s="20"/>
      <c r="AQ6558" s="19"/>
      <c r="AR6558" s="19"/>
      <c r="AS6558" s="19"/>
      <c r="AT6558" s="19"/>
      <c r="AU6558" s="19"/>
    </row>
    <row r="6559" spans="3:47">
      <c r="C6559" s="20"/>
      <c r="Z6559" s="20"/>
      <c r="AG6559" s="20"/>
      <c r="AQ6559" s="19"/>
      <c r="AR6559" s="19"/>
      <c r="AS6559" s="19"/>
      <c r="AT6559" s="19"/>
      <c r="AU6559" s="19"/>
    </row>
    <row r="6560" spans="3:47">
      <c r="C6560" s="20"/>
      <c r="Z6560" s="20"/>
      <c r="AG6560" s="20"/>
      <c r="AQ6560" s="19"/>
      <c r="AR6560" s="19"/>
      <c r="AS6560" s="19"/>
      <c r="AT6560" s="19"/>
      <c r="AU6560" s="19"/>
    </row>
    <row r="6561" spans="3:47">
      <c r="C6561" s="20"/>
      <c r="Z6561" s="20"/>
      <c r="AG6561" s="20"/>
      <c r="AQ6561" s="19"/>
      <c r="AR6561" s="19"/>
      <c r="AS6561" s="19"/>
      <c r="AT6561" s="19"/>
      <c r="AU6561" s="19"/>
    </row>
    <row r="6562" spans="3:47">
      <c r="C6562" s="20"/>
      <c r="Z6562" s="20"/>
      <c r="AG6562" s="20"/>
      <c r="AQ6562" s="19"/>
      <c r="AR6562" s="19"/>
      <c r="AS6562" s="19"/>
      <c r="AT6562" s="19"/>
      <c r="AU6562" s="19"/>
    </row>
    <row r="6563" spans="3:47">
      <c r="C6563" s="20"/>
      <c r="Z6563" s="20"/>
      <c r="AG6563" s="20"/>
      <c r="AQ6563" s="19"/>
      <c r="AR6563" s="19"/>
      <c r="AS6563" s="19"/>
      <c r="AT6563" s="19"/>
      <c r="AU6563" s="19"/>
    </row>
    <row r="6564" spans="3:47">
      <c r="C6564" s="20"/>
      <c r="Z6564" s="20"/>
      <c r="AG6564" s="20"/>
      <c r="AQ6564" s="19"/>
      <c r="AR6564" s="19"/>
      <c r="AS6564" s="19"/>
      <c r="AT6564" s="19"/>
      <c r="AU6564" s="19"/>
    </row>
    <row r="6565" spans="3:47">
      <c r="C6565" s="20"/>
      <c r="Z6565" s="20"/>
      <c r="AG6565" s="20"/>
      <c r="AQ6565" s="19"/>
      <c r="AR6565" s="19"/>
      <c r="AS6565" s="19"/>
      <c r="AT6565" s="19"/>
      <c r="AU6565" s="19"/>
    </row>
    <row r="6566" spans="3:47">
      <c r="C6566" s="20"/>
      <c r="Z6566" s="20"/>
      <c r="AG6566" s="20"/>
      <c r="AQ6566" s="19"/>
      <c r="AR6566" s="19"/>
      <c r="AS6566" s="19"/>
      <c r="AT6566" s="19"/>
      <c r="AU6566" s="19"/>
    </row>
    <row r="6567" spans="3:47">
      <c r="C6567" s="20"/>
      <c r="Z6567" s="20"/>
      <c r="AG6567" s="20"/>
      <c r="AQ6567" s="19"/>
      <c r="AR6567" s="19"/>
      <c r="AS6567" s="19"/>
      <c r="AT6567" s="19"/>
      <c r="AU6567" s="19"/>
    </row>
    <row r="6568" spans="3:47">
      <c r="C6568" s="20"/>
      <c r="Z6568" s="20"/>
      <c r="AG6568" s="20"/>
      <c r="AQ6568" s="19"/>
      <c r="AR6568" s="19"/>
      <c r="AS6568" s="19"/>
      <c r="AT6568" s="19"/>
      <c r="AU6568" s="19"/>
    </row>
    <row r="6569" spans="3:47">
      <c r="C6569" s="20"/>
      <c r="Z6569" s="20"/>
      <c r="AG6569" s="20"/>
      <c r="AQ6569" s="19"/>
      <c r="AR6569" s="19"/>
      <c r="AS6569" s="19"/>
      <c r="AT6569" s="19"/>
      <c r="AU6569" s="19"/>
    </row>
    <row r="6570" spans="3:47">
      <c r="C6570" s="20"/>
      <c r="Z6570" s="20"/>
      <c r="AG6570" s="20"/>
      <c r="AQ6570" s="19"/>
      <c r="AR6570" s="19"/>
      <c r="AS6570" s="19"/>
      <c r="AT6570" s="19"/>
      <c r="AU6570" s="19"/>
    </row>
    <row r="6571" spans="3:47">
      <c r="C6571" s="20"/>
      <c r="Z6571" s="20"/>
      <c r="AG6571" s="20"/>
      <c r="AQ6571" s="19"/>
      <c r="AR6571" s="19"/>
      <c r="AS6571" s="19"/>
      <c r="AT6571" s="19"/>
      <c r="AU6571" s="19"/>
    </row>
    <row r="6572" spans="3:47">
      <c r="C6572" s="20"/>
      <c r="Z6572" s="20"/>
      <c r="AG6572" s="20"/>
      <c r="AQ6572" s="19"/>
      <c r="AR6572" s="19"/>
      <c r="AS6572" s="19"/>
      <c r="AT6572" s="19"/>
      <c r="AU6572" s="19"/>
    </row>
    <row r="6573" spans="3:47">
      <c r="C6573" s="20"/>
      <c r="Z6573" s="20"/>
      <c r="AG6573" s="20"/>
      <c r="AQ6573" s="19"/>
      <c r="AR6573" s="19"/>
      <c r="AS6573" s="19"/>
      <c r="AT6573" s="19"/>
      <c r="AU6573" s="19"/>
    </row>
    <row r="6574" spans="3:47">
      <c r="C6574" s="20"/>
      <c r="Z6574" s="20"/>
      <c r="AG6574" s="20"/>
      <c r="AQ6574" s="19"/>
      <c r="AR6574" s="19"/>
      <c r="AS6574" s="19"/>
      <c r="AT6574" s="19"/>
      <c r="AU6574" s="19"/>
    </row>
    <row r="6575" spans="3:47">
      <c r="C6575" s="20"/>
      <c r="Z6575" s="20"/>
      <c r="AG6575" s="20"/>
      <c r="AQ6575" s="19"/>
      <c r="AR6575" s="19"/>
      <c r="AS6575" s="19"/>
      <c r="AT6575" s="19"/>
      <c r="AU6575" s="19"/>
    </row>
    <row r="6576" spans="3:47">
      <c r="C6576" s="20"/>
      <c r="Z6576" s="20"/>
      <c r="AG6576" s="20"/>
      <c r="AQ6576" s="19"/>
      <c r="AR6576" s="19"/>
      <c r="AS6576" s="19"/>
      <c r="AT6576" s="19"/>
      <c r="AU6576" s="19"/>
    </row>
    <row r="6577" spans="3:47">
      <c r="C6577" s="20"/>
      <c r="Z6577" s="20"/>
      <c r="AG6577" s="20"/>
      <c r="AQ6577" s="19"/>
      <c r="AR6577" s="19"/>
      <c r="AS6577" s="19"/>
      <c r="AT6577" s="19"/>
      <c r="AU6577" s="19"/>
    </row>
    <row r="6578" spans="3:47">
      <c r="C6578" s="20"/>
      <c r="Z6578" s="20"/>
      <c r="AG6578" s="20"/>
      <c r="AQ6578" s="19"/>
      <c r="AR6578" s="19"/>
      <c r="AS6578" s="19"/>
      <c r="AT6578" s="19"/>
      <c r="AU6578" s="19"/>
    </row>
    <row r="6579" spans="3:47">
      <c r="C6579" s="20"/>
      <c r="Z6579" s="20"/>
      <c r="AG6579" s="20"/>
      <c r="AQ6579" s="19"/>
      <c r="AR6579" s="19"/>
      <c r="AS6579" s="19"/>
      <c r="AT6579" s="19"/>
      <c r="AU6579" s="19"/>
    </row>
    <row r="6580" spans="3:47">
      <c r="C6580" s="20"/>
      <c r="Z6580" s="20"/>
      <c r="AG6580" s="20"/>
      <c r="AQ6580" s="19"/>
      <c r="AR6580" s="19"/>
      <c r="AS6580" s="19"/>
      <c r="AT6580" s="19"/>
      <c r="AU6580" s="19"/>
    </row>
    <row r="6581" spans="3:47">
      <c r="C6581" s="20"/>
      <c r="Z6581" s="20"/>
      <c r="AG6581" s="20"/>
      <c r="AQ6581" s="19"/>
      <c r="AR6581" s="19"/>
      <c r="AS6581" s="19"/>
      <c r="AT6581" s="19"/>
      <c r="AU6581" s="19"/>
    </row>
    <row r="6582" spans="3:47">
      <c r="C6582" s="20"/>
      <c r="Z6582" s="20"/>
      <c r="AG6582" s="20"/>
      <c r="AQ6582" s="19"/>
      <c r="AR6582" s="19"/>
      <c r="AS6582" s="19"/>
      <c r="AT6582" s="19"/>
      <c r="AU6582" s="19"/>
    </row>
    <row r="6583" spans="3:47">
      <c r="C6583" s="20"/>
      <c r="Z6583" s="20"/>
      <c r="AG6583" s="20"/>
      <c r="AQ6583" s="19"/>
      <c r="AR6583" s="19"/>
      <c r="AS6583" s="19"/>
      <c r="AT6583" s="19"/>
      <c r="AU6583" s="19"/>
    </row>
    <row r="6584" spans="3:47">
      <c r="C6584" s="20"/>
      <c r="Z6584" s="20"/>
      <c r="AG6584" s="20"/>
      <c r="AQ6584" s="19"/>
      <c r="AR6584" s="19"/>
      <c r="AS6584" s="19"/>
      <c r="AT6584" s="19"/>
      <c r="AU6584" s="19"/>
    </row>
    <row r="6585" spans="3:47">
      <c r="C6585" s="20"/>
      <c r="Z6585" s="20"/>
      <c r="AG6585" s="20"/>
      <c r="AQ6585" s="19"/>
      <c r="AR6585" s="19"/>
      <c r="AS6585" s="19"/>
      <c r="AT6585" s="19"/>
      <c r="AU6585" s="19"/>
    </row>
    <row r="6586" spans="3:47">
      <c r="C6586" s="20"/>
      <c r="Z6586" s="20"/>
      <c r="AG6586" s="20"/>
      <c r="AQ6586" s="19"/>
      <c r="AR6586" s="19"/>
      <c r="AS6586" s="19"/>
      <c r="AT6586" s="19"/>
      <c r="AU6586" s="19"/>
    </row>
    <row r="6587" spans="3:47">
      <c r="C6587" s="20"/>
      <c r="Z6587" s="20"/>
      <c r="AG6587" s="20"/>
      <c r="AQ6587" s="19"/>
      <c r="AR6587" s="19"/>
      <c r="AS6587" s="19"/>
      <c r="AT6587" s="19"/>
      <c r="AU6587" s="19"/>
    </row>
    <row r="6588" spans="3:47">
      <c r="C6588" s="20"/>
      <c r="Z6588" s="20"/>
      <c r="AG6588" s="20"/>
      <c r="AQ6588" s="19"/>
      <c r="AR6588" s="19"/>
      <c r="AS6588" s="19"/>
      <c r="AT6588" s="19"/>
      <c r="AU6588" s="19"/>
    </row>
    <row r="6589" spans="3:47">
      <c r="C6589" s="20"/>
      <c r="Z6589" s="20"/>
      <c r="AG6589" s="20"/>
      <c r="AQ6589" s="19"/>
      <c r="AR6589" s="19"/>
      <c r="AS6589" s="19"/>
      <c r="AT6589" s="19"/>
      <c r="AU6589" s="19"/>
    </row>
    <row r="6590" spans="3:47">
      <c r="C6590" s="20"/>
      <c r="Z6590" s="20"/>
      <c r="AG6590" s="20"/>
      <c r="AQ6590" s="19"/>
      <c r="AR6590" s="19"/>
      <c r="AS6590" s="19"/>
      <c r="AT6590" s="19"/>
      <c r="AU6590" s="19"/>
    </row>
    <row r="6591" spans="3:47">
      <c r="C6591" s="20"/>
      <c r="Z6591" s="20"/>
      <c r="AG6591" s="20"/>
      <c r="AQ6591" s="19"/>
      <c r="AR6591" s="19"/>
      <c r="AS6591" s="19"/>
      <c r="AT6591" s="19"/>
      <c r="AU6591" s="19"/>
    </row>
    <row r="6592" spans="3:47">
      <c r="C6592" s="20"/>
      <c r="Z6592" s="20"/>
      <c r="AG6592" s="20"/>
      <c r="AQ6592" s="19"/>
      <c r="AR6592" s="19"/>
      <c r="AS6592" s="19"/>
      <c r="AT6592" s="19"/>
      <c r="AU6592" s="19"/>
    </row>
    <row r="6593" spans="3:47">
      <c r="C6593" s="20"/>
      <c r="Z6593" s="20"/>
      <c r="AG6593" s="20"/>
      <c r="AQ6593" s="19"/>
      <c r="AR6593" s="19"/>
      <c r="AS6593" s="19"/>
      <c r="AT6593" s="19"/>
      <c r="AU6593" s="19"/>
    </row>
    <row r="6594" spans="3:47">
      <c r="C6594" s="20"/>
      <c r="Z6594" s="20"/>
      <c r="AG6594" s="20"/>
      <c r="AQ6594" s="19"/>
      <c r="AR6594" s="19"/>
      <c r="AS6594" s="19"/>
      <c r="AT6594" s="19"/>
      <c r="AU6594" s="19"/>
    </row>
    <row r="6595" spans="3:47">
      <c r="C6595" s="20"/>
      <c r="Z6595" s="20"/>
      <c r="AG6595" s="20"/>
      <c r="AQ6595" s="19"/>
      <c r="AR6595" s="19"/>
      <c r="AS6595" s="19"/>
      <c r="AT6595" s="19"/>
      <c r="AU6595" s="19"/>
    </row>
    <row r="6596" spans="3:47">
      <c r="C6596" s="20"/>
      <c r="Z6596" s="20"/>
      <c r="AG6596" s="20"/>
      <c r="AQ6596" s="19"/>
      <c r="AR6596" s="19"/>
      <c r="AS6596" s="19"/>
      <c r="AT6596" s="19"/>
      <c r="AU6596" s="19"/>
    </row>
    <row r="6597" spans="3:47">
      <c r="C6597" s="20"/>
      <c r="Z6597" s="20"/>
      <c r="AG6597" s="20"/>
      <c r="AQ6597" s="19"/>
      <c r="AR6597" s="19"/>
      <c r="AS6597" s="19"/>
      <c r="AT6597" s="19"/>
      <c r="AU6597" s="19"/>
    </row>
    <row r="6598" spans="3:47">
      <c r="C6598" s="20"/>
      <c r="Z6598" s="20"/>
      <c r="AG6598" s="20"/>
      <c r="AQ6598" s="19"/>
      <c r="AR6598" s="19"/>
      <c r="AS6598" s="19"/>
      <c r="AT6598" s="19"/>
      <c r="AU6598" s="19"/>
    </row>
    <row r="6599" spans="3:47">
      <c r="C6599" s="20"/>
      <c r="Z6599" s="20"/>
      <c r="AG6599" s="20"/>
      <c r="AQ6599" s="19"/>
      <c r="AR6599" s="19"/>
      <c r="AS6599" s="19"/>
      <c r="AT6599" s="19"/>
      <c r="AU6599" s="19"/>
    </row>
    <row r="6600" spans="3:47">
      <c r="C6600" s="20"/>
      <c r="Z6600" s="20"/>
      <c r="AG6600" s="20"/>
      <c r="AQ6600" s="19"/>
      <c r="AR6600" s="19"/>
      <c r="AS6600" s="19"/>
      <c r="AT6600" s="19"/>
      <c r="AU6600" s="19"/>
    </row>
    <row r="6601" spans="3:47">
      <c r="C6601" s="20"/>
      <c r="Z6601" s="20"/>
      <c r="AG6601" s="20"/>
      <c r="AQ6601" s="19"/>
      <c r="AR6601" s="19"/>
      <c r="AS6601" s="19"/>
      <c r="AT6601" s="19"/>
      <c r="AU6601" s="19"/>
    </row>
    <row r="6602" spans="3:47">
      <c r="C6602" s="20"/>
      <c r="Z6602" s="20"/>
      <c r="AG6602" s="20"/>
      <c r="AQ6602" s="19"/>
      <c r="AR6602" s="19"/>
      <c r="AS6602" s="19"/>
      <c r="AT6602" s="19"/>
      <c r="AU6602" s="19"/>
    </row>
    <row r="6603" spans="3:47">
      <c r="C6603" s="20"/>
      <c r="Z6603" s="20"/>
      <c r="AG6603" s="20"/>
      <c r="AQ6603" s="19"/>
      <c r="AR6603" s="19"/>
      <c r="AS6603" s="19"/>
      <c r="AT6603" s="19"/>
      <c r="AU6603" s="19"/>
    </row>
    <row r="6604" spans="3:47">
      <c r="C6604" s="20"/>
      <c r="Z6604" s="20"/>
      <c r="AG6604" s="20"/>
      <c r="AQ6604" s="19"/>
      <c r="AR6604" s="19"/>
      <c r="AS6604" s="19"/>
      <c r="AT6604" s="19"/>
      <c r="AU6604" s="19"/>
    </row>
    <row r="6605" spans="3:47">
      <c r="C6605" s="20"/>
      <c r="Z6605" s="20"/>
      <c r="AG6605" s="20"/>
      <c r="AQ6605" s="19"/>
      <c r="AR6605" s="19"/>
      <c r="AS6605" s="19"/>
      <c r="AT6605" s="19"/>
      <c r="AU6605" s="19"/>
    </row>
    <row r="6606" spans="3:47">
      <c r="C6606" s="20"/>
      <c r="Z6606" s="20"/>
      <c r="AG6606" s="20"/>
      <c r="AQ6606" s="19"/>
      <c r="AR6606" s="19"/>
      <c r="AS6606" s="19"/>
      <c r="AT6606" s="19"/>
      <c r="AU6606" s="19"/>
    </row>
    <row r="6607" spans="3:47">
      <c r="C6607" s="20"/>
      <c r="Z6607" s="20"/>
      <c r="AG6607" s="20"/>
      <c r="AQ6607" s="19"/>
      <c r="AR6607" s="19"/>
      <c r="AS6607" s="19"/>
      <c r="AT6607" s="19"/>
      <c r="AU6607" s="19"/>
    </row>
    <row r="6608" spans="3:47">
      <c r="C6608" s="20"/>
      <c r="Z6608" s="20"/>
      <c r="AG6608" s="20"/>
      <c r="AQ6608" s="19"/>
      <c r="AR6608" s="19"/>
      <c r="AS6608" s="19"/>
      <c r="AT6608" s="19"/>
      <c r="AU6608" s="19"/>
    </row>
    <row r="6609" spans="3:47">
      <c r="C6609" s="20"/>
      <c r="Z6609" s="20"/>
      <c r="AG6609" s="20"/>
      <c r="AQ6609" s="19"/>
      <c r="AR6609" s="19"/>
      <c r="AS6609" s="19"/>
      <c r="AT6609" s="19"/>
      <c r="AU6609" s="19"/>
    </row>
    <row r="6610" spans="3:47">
      <c r="C6610" s="20"/>
      <c r="Z6610" s="20"/>
      <c r="AG6610" s="20"/>
      <c r="AQ6610" s="19"/>
      <c r="AR6610" s="19"/>
      <c r="AS6610" s="19"/>
      <c r="AT6610" s="19"/>
      <c r="AU6610" s="19"/>
    </row>
    <row r="6611" spans="3:47">
      <c r="C6611" s="20"/>
      <c r="Z6611" s="20"/>
      <c r="AG6611" s="20"/>
      <c r="AQ6611" s="19"/>
      <c r="AR6611" s="19"/>
      <c r="AS6611" s="19"/>
      <c r="AT6611" s="19"/>
      <c r="AU6611" s="19"/>
    </row>
    <row r="6612" spans="3:47">
      <c r="C6612" s="20"/>
      <c r="Z6612" s="20"/>
      <c r="AG6612" s="20"/>
      <c r="AQ6612" s="19"/>
      <c r="AR6612" s="19"/>
      <c r="AS6612" s="19"/>
      <c r="AT6612" s="19"/>
      <c r="AU6612" s="19"/>
    </row>
    <row r="6613" spans="3:47">
      <c r="C6613" s="20"/>
      <c r="Z6613" s="20"/>
      <c r="AG6613" s="20"/>
      <c r="AQ6613" s="19"/>
      <c r="AR6613" s="19"/>
      <c r="AS6613" s="19"/>
      <c r="AT6613" s="19"/>
      <c r="AU6613" s="19"/>
    </row>
    <row r="6614" spans="3:47">
      <c r="C6614" s="20"/>
      <c r="Z6614" s="20"/>
      <c r="AG6614" s="20"/>
      <c r="AQ6614" s="19"/>
      <c r="AR6614" s="19"/>
      <c r="AS6614" s="19"/>
      <c r="AT6614" s="19"/>
      <c r="AU6614" s="19"/>
    </row>
    <row r="6615" spans="3:47">
      <c r="C6615" s="20"/>
      <c r="Z6615" s="20"/>
      <c r="AG6615" s="20"/>
      <c r="AQ6615" s="19"/>
      <c r="AR6615" s="19"/>
      <c r="AS6615" s="19"/>
      <c r="AT6615" s="19"/>
      <c r="AU6615" s="19"/>
    </row>
    <row r="6616" spans="3:47">
      <c r="C6616" s="20"/>
      <c r="Z6616" s="20"/>
      <c r="AG6616" s="20"/>
      <c r="AQ6616" s="19"/>
      <c r="AR6616" s="19"/>
      <c r="AS6616" s="19"/>
      <c r="AT6616" s="19"/>
      <c r="AU6616" s="19"/>
    </row>
    <row r="6617" spans="3:47">
      <c r="C6617" s="20"/>
      <c r="Z6617" s="20"/>
      <c r="AG6617" s="20"/>
      <c r="AQ6617" s="19"/>
      <c r="AR6617" s="19"/>
      <c r="AS6617" s="19"/>
      <c r="AT6617" s="19"/>
      <c r="AU6617" s="19"/>
    </row>
    <row r="6618" spans="3:47">
      <c r="C6618" s="20"/>
      <c r="Z6618" s="20"/>
      <c r="AG6618" s="20"/>
      <c r="AQ6618" s="19"/>
      <c r="AR6618" s="19"/>
      <c r="AS6618" s="19"/>
      <c r="AT6618" s="19"/>
      <c r="AU6618" s="19"/>
    </row>
    <row r="6619" spans="3:47">
      <c r="C6619" s="20"/>
      <c r="Z6619" s="20"/>
      <c r="AG6619" s="20"/>
      <c r="AQ6619" s="19"/>
      <c r="AR6619" s="19"/>
      <c r="AS6619" s="19"/>
      <c r="AT6619" s="19"/>
      <c r="AU6619" s="19"/>
    </row>
    <row r="6620" spans="3:47">
      <c r="C6620" s="20"/>
      <c r="Z6620" s="20"/>
      <c r="AG6620" s="20"/>
      <c r="AQ6620" s="19"/>
      <c r="AR6620" s="19"/>
      <c r="AS6620" s="19"/>
      <c r="AT6620" s="19"/>
      <c r="AU6620" s="19"/>
    </row>
    <row r="6621" spans="3:47">
      <c r="C6621" s="20"/>
      <c r="Z6621" s="20"/>
      <c r="AG6621" s="20"/>
      <c r="AQ6621" s="19"/>
      <c r="AR6621" s="19"/>
      <c r="AS6621" s="19"/>
      <c r="AT6621" s="19"/>
      <c r="AU6621" s="19"/>
    </row>
    <row r="6622" spans="3:47">
      <c r="C6622" s="20"/>
      <c r="Z6622" s="20"/>
      <c r="AG6622" s="20"/>
      <c r="AQ6622" s="19"/>
      <c r="AR6622" s="19"/>
      <c r="AS6622" s="19"/>
      <c r="AT6622" s="19"/>
      <c r="AU6622" s="19"/>
    </row>
    <row r="6623" spans="3:47">
      <c r="C6623" s="20"/>
      <c r="Z6623" s="20"/>
      <c r="AG6623" s="20"/>
      <c r="AQ6623" s="19"/>
      <c r="AR6623" s="19"/>
      <c r="AS6623" s="19"/>
      <c r="AT6623" s="19"/>
      <c r="AU6623" s="19"/>
    </row>
    <row r="6624" spans="3:47">
      <c r="C6624" s="20"/>
      <c r="Z6624" s="20"/>
      <c r="AG6624" s="20"/>
      <c r="AQ6624" s="19"/>
      <c r="AR6624" s="19"/>
      <c r="AS6624" s="19"/>
      <c r="AT6624" s="19"/>
      <c r="AU6624" s="19"/>
    </row>
    <row r="6625" spans="3:47">
      <c r="C6625" s="20"/>
      <c r="Z6625" s="20"/>
      <c r="AG6625" s="20"/>
      <c r="AQ6625" s="19"/>
      <c r="AR6625" s="19"/>
      <c r="AS6625" s="19"/>
      <c r="AT6625" s="19"/>
      <c r="AU6625" s="19"/>
    </row>
    <row r="6626" spans="3:47">
      <c r="C6626" s="20"/>
      <c r="Z6626" s="20"/>
      <c r="AG6626" s="20"/>
      <c r="AQ6626" s="19"/>
      <c r="AR6626" s="19"/>
      <c r="AS6626" s="19"/>
      <c r="AT6626" s="19"/>
      <c r="AU6626" s="19"/>
    </row>
    <row r="6627" spans="3:47">
      <c r="C6627" s="20"/>
      <c r="Z6627" s="20"/>
      <c r="AG6627" s="20"/>
      <c r="AQ6627" s="19"/>
      <c r="AR6627" s="19"/>
      <c r="AS6627" s="19"/>
      <c r="AT6627" s="19"/>
      <c r="AU6627" s="19"/>
    </row>
    <row r="6628" spans="3:47">
      <c r="C6628" s="20"/>
      <c r="Z6628" s="20"/>
      <c r="AG6628" s="20"/>
      <c r="AQ6628" s="19"/>
      <c r="AR6628" s="19"/>
      <c r="AS6628" s="19"/>
      <c r="AT6628" s="19"/>
      <c r="AU6628" s="19"/>
    </row>
    <row r="6629" spans="3:47">
      <c r="C6629" s="20"/>
      <c r="Z6629" s="20"/>
      <c r="AG6629" s="20"/>
      <c r="AQ6629" s="19"/>
      <c r="AR6629" s="19"/>
      <c r="AS6629" s="19"/>
      <c r="AT6629" s="19"/>
      <c r="AU6629" s="19"/>
    </row>
    <row r="6630" spans="3:47">
      <c r="C6630" s="20"/>
      <c r="Z6630" s="20"/>
      <c r="AG6630" s="20"/>
      <c r="AQ6630" s="19"/>
      <c r="AR6630" s="19"/>
      <c r="AS6630" s="19"/>
      <c r="AT6630" s="19"/>
      <c r="AU6630" s="19"/>
    </row>
    <row r="6631" spans="3:47">
      <c r="C6631" s="20"/>
      <c r="Z6631" s="20"/>
      <c r="AG6631" s="20"/>
      <c r="AQ6631" s="19"/>
      <c r="AR6631" s="19"/>
      <c r="AS6631" s="19"/>
      <c r="AT6631" s="19"/>
      <c r="AU6631" s="19"/>
    </row>
    <row r="6632" spans="3:47">
      <c r="C6632" s="20"/>
      <c r="Z6632" s="20"/>
      <c r="AG6632" s="20"/>
      <c r="AQ6632" s="19"/>
      <c r="AR6632" s="19"/>
      <c r="AS6632" s="19"/>
      <c r="AT6632" s="19"/>
      <c r="AU6632" s="19"/>
    </row>
    <row r="6633" spans="3:47">
      <c r="C6633" s="20"/>
      <c r="Z6633" s="20"/>
      <c r="AG6633" s="20"/>
      <c r="AQ6633" s="19"/>
      <c r="AR6633" s="19"/>
      <c r="AS6633" s="19"/>
      <c r="AT6633" s="19"/>
      <c r="AU6633" s="19"/>
    </row>
    <row r="6634" spans="3:47">
      <c r="C6634" s="20"/>
      <c r="Z6634" s="20"/>
      <c r="AG6634" s="20"/>
      <c r="AQ6634" s="19"/>
      <c r="AR6634" s="19"/>
      <c r="AS6634" s="19"/>
      <c r="AT6634" s="19"/>
      <c r="AU6634" s="19"/>
    </row>
    <row r="6635" spans="3:47">
      <c r="C6635" s="20"/>
      <c r="Z6635" s="20"/>
      <c r="AG6635" s="20"/>
      <c r="AQ6635" s="19"/>
      <c r="AR6635" s="19"/>
      <c r="AS6635" s="19"/>
      <c r="AT6635" s="19"/>
      <c r="AU6635" s="19"/>
    </row>
    <row r="6636" spans="3:47">
      <c r="C6636" s="20"/>
      <c r="Z6636" s="20"/>
      <c r="AG6636" s="20"/>
      <c r="AQ6636" s="19"/>
      <c r="AR6636" s="19"/>
      <c r="AS6636" s="19"/>
      <c r="AT6636" s="19"/>
      <c r="AU6636" s="19"/>
    </row>
    <row r="6637" spans="3:47">
      <c r="C6637" s="20"/>
      <c r="Z6637" s="20"/>
      <c r="AG6637" s="20"/>
      <c r="AQ6637" s="19"/>
      <c r="AR6637" s="19"/>
      <c r="AS6637" s="19"/>
      <c r="AT6637" s="19"/>
      <c r="AU6637" s="19"/>
    </row>
    <row r="6638" spans="3:47">
      <c r="C6638" s="20"/>
      <c r="Z6638" s="20"/>
      <c r="AG6638" s="20"/>
      <c r="AQ6638" s="19"/>
      <c r="AR6638" s="19"/>
      <c r="AS6638" s="19"/>
      <c r="AT6638" s="19"/>
      <c r="AU6638" s="19"/>
    </row>
    <row r="6639" spans="3:47">
      <c r="C6639" s="20"/>
      <c r="Z6639" s="20"/>
      <c r="AG6639" s="20"/>
      <c r="AQ6639" s="19"/>
      <c r="AR6639" s="19"/>
      <c r="AS6639" s="19"/>
      <c r="AT6639" s="19"/>
      <c r="AU6639" s="19"/>
    </row>
    <row r="6640" spans="3:47">
      <c r="C6640" s="20"/>
      <c r="Z6640" s="20"/>
      <c r="AG6640" s="20"/>
      <c r="AQ6640" s="19"/>
      <c r="AR6640" s="19"/>
      <c r="AS6640" s="19"/>
      <c r="AT6640" s="19"/>
      <c r="AU6640" s="19"/>
    </row>
    <row r="6641" spans="3:47">
      <c r="C6641" s="20"/>
      <c r="Z6641" s="20"/>
      <c r="AG6641" s="20"/>
      <c r="AQ6641" s="19"/>
      <c r="AR6641" s="19"/>
      <c r="AS6641" s="19"/>
      <c r="AT6641" s="19"/>
      <c r="AU6641" s="19"/>
    </row>
    <row r="6642" spans="3:47">
      <c r="C6642" s="20"/>
      <c r="Z6642" s="20"/>
      <c r="AG6642" s="20"/>
      <c r="AQ6642" s="19"/>
      <c r="AR6642" s="19"/>
      <c r="AS6642" s="19"/>
      <c r="AT6642" s="19"/>
      <c r="AU6642" s="19"/>
    </row>
    <row r="6643" spans="3:47">
      <c r="C6643" s="20"/>
      <c r="Z6643" s="20"/>
      <c r="AG6643" s="20"/>
      <c r="AQ6643" s="19"/>
      <c r="AR6643" s="19"/>
      <c r="AS6643" s="19"/>
      <c r="AT6643" s="19"/>
      <c r="AU6643" s="19"/>
    </row>
    <row r="6644" spans="3:47">
      <c r="C6644" s="20"/>
      <c r="Z6644" s="20"/>
      <c r="AG6644" s="20"/>
      <c r="AQ6644" s="19"/>
      <c r="AR6644" s="19"/>
      <c r="AS6644" s="19"/>
      <c r="AT6644" s="19"/>
      <c r="AU6644" s="19"/>
    </row>
    <row r="6645" spans="3:47">
      <c r="C6645" s="20"/>
      <c r="Z6645" s="20"/>
      <c r="AG6645" s="20"/>
      <c r="AQ6645" s="19"/>
      <c r="AR6645" s="19"/>
      <c r="AS6645" s="19"/>
      <c r="AT6645" s="19"/>
      <c r="AU6645" s="19"/>
    </row>
    <row r="6646" spans="3:47">
      <c r="C6646" s="20"/>
      <c r="Z6646" s="20"/>
      <c r="AG6646" s="20"/>
      <c r="AQ6646" s="19"/>
      <c r="AR6646" s="19"/>
      <c r="AS6646" s="19"/>
      <c r="AT6646" s="19"/>
      <c r="AU6646" s="19"/>
    </row>
    <row r="6647" spans="3:47">
      <c r="C6647" s="20"/>
      <c r="Z6647" s="20"/>
      <c r="AG6647" s="20"/>
      <c r="AQ6647" s="19"/>
      <c r="AR6647" s="19"/>
      <c r="AS6647" s="19"/>
      <c r="AT6647" s="19"/>
      <c r="AU6647" s="19"/>
    </row>
    <row r="6648" spans="3:47">
      <c r="C6648" s="20"/>
      <c r="Z6648" s="20"/>
      <c r="AG6648" s="20"/>
      <c r="AQ6648" s="19"/>
      <c r="AR6648" s="19"/>
      <c r="AS6648" s="19"/>
      <c r="AT6648" s="19"/>
      <c r="AU6648" s="19"/>
    </row>
    <row r="6649" spans="3:47">
      <c r="C6649" s="20"/>
      <c r="Z6649" s="20"/>
      <c r="AG6649" s="20"/>
      <c r="AQ6649" s="19"/>
      <c r="AR6649" s="19"/>
      <c r="AS6649" s="19"/>
      <c r="AT6649" s="19"/>
      <c r="AU6649" s="19"/>
    </row>
    <row r="6650" spans="3:47">
      <c r="C6650" s="20"/>
      <c r="Z6650" s="20"/>
      <c r="AG6650" s="20"/>
      <c r="AQ6650" s="19"/>
      <c r="AR6650" s="19"/>
      <c r="AS6650" s="19"/>
      <c r="AT6650" s="19"/>
      <c r="AU6650" s="19"/>
    </row>
    <row r="6651" spans="3:47">
      <c r="C6651" s="20"/>
      <c r="Z6651" s="20"/>
      <c r="AG6651" s="20"/>
      <c r="AQ6651" s="19"/>
      <c r="AR6651" s="19"/>
      <c r="AS6651" s="19"/>
      <c r="AT6651" s="19"/>
      <c r="AU6651" s="19"/>
    </row>
    <row r="6652" spans="3:47">
      <c r="C6652" s="20"/>
      <c r="Z6652" s="20"/>
      <c r="AG6652" s="20"/>
      <c r="AQ6652" s="19"/>
      <c r="AR6652" s="19"/>
      <c r="AS6652" s="19"/>
      <c r="AT6652" s="19"/>
      <c r="AU6652" s="19"/>
    </row>
    <row r="6653" spans="3:47">
      <c r="C6653" s="20"/>
      <c r="Z6653" s="20"/>
      <c r="AG6653" s="20"/>
      <c r="AQ6653" s="19"/>
      <c r="AR6653" s="19"/>
      <c r="AS6653" s="19"/>
      <c r="AT6653" s="19"/>
      <c r="AU6653" s="19"/>
    </row>
    <row r="6654" spans="3:47">
      <c r="C6654" s="20"/>
      <c r="Z6654" s="20"/>
      <c r="AG6654" s="20"/>
      <c r="AQ6654" s="19"/>
      <c r="AR6654" s="19"/>
      <c r="AS6654" s="19"/>
      <c r="AT6654" s="19"/>
      <c r="AU6654" s="19"/>
    </row>
    <row r="6655" spans="3:47">
      <c r="C6655" s="20"/>
      <c r="Z6655" s="20"/>
      <c r="AG6655" s="20"/>
      <c r="AQ6655" s="19"/>
      <c r="AR6655" s="19"/>
      <c r="AS6655" s="19"/>
      <c r="AT6655" s="19"/>
      <c r="AU6655" s="19"/>
    </row>
    <row r="6656" spans="3:47">
      <c r="C6656" s="20"/>
      <c r="Z6656" s="20"/>
      <c r="AG6656" s="20"/>
      <c r="AQ6656" s="19"/>
      <c r="AR6656" s="19"/>
      <c r="AS6656" s="19"/>
      <c r="AT6656" s="19"/>
      <c r="AU6656" s="19"/>
    </row>
    <row r="6657" spans="3:47">
      <c r="C6657" s="20"/>
      <c r="Z6657" s="20"/>
      <c r="AG6657" s="20"/>
      <c r="AQ6657" s="19"/>
      <c r="AR6657" s="19"/>
      <c r="AS6657" s="19"/>
      <c r="AT6657" s="19"/>
      <c r="AU6657" s="19"/>
    </row>
    <row r="6658" spans="3:47">
      <c r="C6658" s="20"/>
      <c r="Z6658" s="20"/>
      <c r="AG6658" s="20"/>
      <c r="AQ6658" s="19"/>
      <c r="AR6658" s="19"/>
      <c r="AS6658" s="19"/>
      <c r="AT6658" s="19"/>
      <c r="AU6658" s="19"/>
    </row>
    <row r="6659" spans="3:47">
      <c r="C6659" s="20"/>
      <c r="Z6659" s="20"/>
      <c r="AG6659" s="20"/>
      <c r="AQ6659" s="19"/>
      <c r="AR6659" s="19"/>
      <c r="AS6659" s="19"/>
      <c r="AT6659" s="19"/>
      <c r="AU6659" s="19"/>
    </row>
    <row r="6660" spans="3:47">
      <c r="C6660" s="20"/>
      <c r="Z6660" s="20"/>
      <c r="AG6660" s="20"/>
      <c r="AQ6660" s="19"/>
      <c r="AR6660" s="19"/>
      <c r="AS6660" s="19"/>
      <c r="AT6660" s="19"/>
      <c r="AU6660" s="19"/>
    </row>
    <row r="6661" spans="3:47">
      <c r="C6661" s="20"/>
      <c r="Z6661" s="20"/>
      <c r="AG6661" s="20"/>
      <c r="AQ6661" s="19"/>
      <c r="AR6661" s="19"/>
      <c r="AS6661" s="19"/>
      <c r="AT6661" s="19"/>
      <c r="AU6661" s="19"/>
    </row>
    <row r="6662" spans="3:47">
      <c r="C6662" s="20"/>
      <c r="Z6662" s="20"/>
      <c r="AG6662" s="20"/>
      <c r="AQ6662" s="19"/>
      <c r="AR6662" s="19"/>
      <c r="AS6662" s="19"/>
      <c r="AT6662" s="19"/>
      <c r="AU6662" s="19"/>
    </row>
    <row r="6663" spans="3:47">
      <c r="C6663" s="20"/>
      <c r="Z6663" s="20"/>
      <c r="AG6663" s="20"/>
      <c r="AQ6663" s="19"/>
      <c r="AR6663" s="19"/>
      <c r="AS6663" s="19"/>
      <c r="AT6663" s="19"/>
      <c r="AU6663" s="19"/>
    </row>
    <row r="6664" spans="3:47">
      <c r="C6664" s="20"/>
      <c r="Z6664" s="20"/>
      <c r="AG6664" s="20"/>
      <c r="AQ6664" s="19"/>
      <c r="AR6664" s="19"/>
      <c r="AS6664" s="19"/>
      <c r="AT6664" s="19"/>
      <c r="AU6664" s="19"/>
    </row>
    <row r="6665" spans="3:47">
      <c r="C6665" s="20"/>
      <c r="Z6665" s="20"/>
      <c r="AG6665" s="20"/>
      <c r="AQ6665" s="19"/>
      <c r="AR6665" s="19"/>
      <c r="AS6665" s="19"/>
      <c r="AT6665" s="19"/>
      <c r="AU6665" s="19"/>
    </row>
    <row r="6666" spans="3:47">
      <c r="C6666" s="20"/>
      <c r="Z6666" s="20"/>
      <c r="AG6666" s="20"/>
      <c r="AQ6666" s="19"/>
      <c r="AR6666" s="19"/>
      <c r="AS6666" s="19"/>
      <c r="AT6666" s="19"/>
      <c r="AU6666" s="19"/>
    </row>
    <row r="6667" spans="3:47">
      <c r="C6667" s="20"/>
      <c r="Z6667" s="20"/>
      <c r="AG6667" s="20"/>
      <c r="AQ6667" s="19"/>
      <c r="AR6667" s="19"/>
      <c r="AS6667" s="19"/>
      <c r="AT6667" s="19"/>
      <c r="AU6667" s="19"/>
    </row>
    <row r="6668" spans="3:47">
      <c r="C6668" s="20"/>
      <c r="Z6668" s="20"/>
      <c r="AG6668" s="20"/>
      <c r="AQ6668" s="19"/>
      <c r="AR6668" s="19"/>
      <c r="AS6668" s="19"/>
      <c r="AT6668" s="19"/>
      <c r="AU6668" s="19"/>
    </row>
    <row r="6669" spans="3:47">
      <c r="C6669" s="20"/>
      <c r="Z6669" s="20"/>
      <c r="AG6669" s="20"/>
      <c r="AQ6669" s="19"/>
      <c r="AR6669" s="19"/>
      <c r="AS6669" s="19"/>
      <c r="AT6669" s="19"/>
      <c r="AU6669" s="19"/>
    </row>
    <row r="6670" spans="3:47">
      <c r="C6670" s="20"/>
      <c r="Z6670" s="20"/>
      <c r="AG6670" s="20"/>
      <c r="AQ6670" s="19"/>
      <c r="AR6670" s="19"/>
      <c r="AS6670" s="19"/>
      <c r="AT6670" s="19"/>
      <c r="AU6670" s="19"/>
    </row>
    <row r="6671" spans="3:47">
      <c r="C6671" s="20"/>
      <c r="Z6671" s="20"/>
      <c r="AG6671" s="20"/>
      <c r="AQ6671" s="19"/>
      <c r="AR6671" s="19"/>
      <c r="AS6671" s="19"/>
      <c r="AT6671" s="19"/>
      <c r="AU6671" s="19"/>
    </row>
    <row r="6672" spans="3:47">
      <c r="C6672" s="20"/>
      <c r="Z6672" s="20"/>
      <c r="AG6672" s="20"/>
      <c r="AQ6672" s="19"/>
      <c r="AR6672" s="19"/>
      <c r="AS6672" s="19"/>
      <c r="AT6672" s="19"/>
      <c r="AU6672" s="19"/>
    </row>
    <row r="6673" spans="3:47">
      <c r="C6673" s="20"/>
      <c r="Z6673" s="20"/>
      <c r="AG6673" s="20"/>
      <c r="AQ6673" s="19"/>
      <c r="AR6673" s="19"/>
      <c r="AS6673" s="19"/>
      <c r="AT6673" s="19"/>
      <c r="AU6673" s="19"/>
    </row>
    <row r="6674" spans="3:47">
      <c r="C6674" s="20"/>
      <c r="Z6674" s="20"/>
      <c r="AG6674" s="20"/>
      <c r="AQ6674" s="19"/>
      <c r="AR6674" s="19"/>
      <c r="AS6674" s="19"/>
      <c r="AT6674" s="19"/>
      <c r="AU6674" s="19"/>
    </row>
    <row r="6675" spans="3:47">
      <c r="C6675" s="20"/>
      <c r="Z6675" s="20"/>
      <c r="AG6675" s="20"/>
      <c r="AQ6675" s="19"/>
      <c r="AR6675" s="19"/>
      <c r="AS6675" s="19"/>
      <c r="AT6675" s="19"/>
      <c r="AU6675" s="19"/>
    </row>
    <row r="6676" spans="3:47">
      <c r="C6676" s="20"/>
      <c r="Z6676" s="20"/>
      <c r="AG6676" s="20"/>
      <c r="AQ6676" s="19"/>
      <c r="AR6676" s="19"/>
      <c r="AS6676" s="19"/>
      <c r="AT6676" s="19"/>
      <c r="AU6676" s="19"/>
    </row>
    <row r="6677" spans="3:47">
      <c r="C6677" s="20"/>
      <c r="Z6677" s="20"/>
      <c r="AG6677" s="20"/>
      <c r="AQ6677" s="19"/>
      <c r="AR6677" s="19"/>
      <c r="AS6677" s="19"/>
      <c r="AT6677" s="19"/>
      <c r="AU6677" s="19"/>
    </row>
    <row r="6678" spans="3:47">
      <c r="C6678" s="20"/>
      <c r="Z6678" s="20"/>
      <c r="AG6678" s="20"/>
      <c r="AQ6678" s="19"/>
      <c r="AR6678" s="19"/>
      <c r="AS6678" s="19"/>
      <c r="AT6678" s="19"/>
      <c r="AU6678" s="19"/>
    </row>
    <row r="6679" spans="3:47">
      <c r="C6679" s="20"/>
      <c r="Z6679" s="20"/>
      <c r="AG6679" s="20"/>
      <c r="AQ6679" s="19"/>
      <c r="AR6679" s="19"/>
      <c r="AS6679" s="19"/>
      <c r="AT6679" s="19"/>
      <c r="AU6679" s="19"/>
    </row>
    <row r="6680" spans="3:47">
      <c r="C6680" s="20"/>
      <c r="Z6680" s="20"/>
      <c r="AG6680" s="20"/>
      <c r="AQ6680" s="19"/>
      <c r="AR6680" s="19"/>
      <c r="AS6680" s="19"/>
      <c r="AT6680" s="19"/>
      <c r="AU6680" s="19"/>
    </row>
    <row r="6681" spans="3:47">
      <c r="C6681" s="20"/>
      <c r="Z6681" s="20"/>
      <c r="AG6681" s="20"/>
      <c r="AQ6681" s="19"/>
      <c r="AR6681" s="19"/>
      <c r="AS6681" s="19"/>
      <c r="AT6681" s="19"/>
      <c r="AU6681" s="19"/>
    </row>
    <row r="6682" spans="3:47">
      <c r="C6682" s="20"/>
      <c r="Z6682" s="20"/>
      <c r="AG6682" s="20"/>
      <c r="AQ6682" s="19"/>
      <c r="AR6682" s="19"/>
      <c r="AS6682" s="19"/>
      <c r="AT6682" s="19"/>
      <c r="AU6682" s="19"/>
    </row>
    <row r="6683" spans="3:47">
      <c r="C6683" s="20"/>
      <c r="Z6683" s="20"/>
      <c r="AG6683" s="20"/>
      <c r="AQ6683" s="19"/>
      <c r="AR6683" s="19"/>
      <c r="AS6683" s="19"/>
      <c r="AT6683" s="19"/>
      <c r="AU6683" s="19"/>
    </row>
    <row r="6684" spans="3:47">
      <c r="C6684" s="20"/>
      <c r="Z6684" s="20"/>
      <c r="AG6684" s="20"/>
      <c r="AQ6684" s="19"/>
      <c r="AR6684" s="19"/>
      <c r="AS6684" s="19"/>
      <c r="AT6684" s="19"/>
      <c r="AU6684" s="19"/>
    </row>
    <row r="6685" spans="3:47">
      <c r="C6685" s="20"/>
      <c r="Z6685" s="20"/>
      <c r="AG6685" s="20"/>
      <c r="AQ6685" s="19"/>
      <c r="AR6685" s="19"/>
      <c r="AS6685" s="19"/>
      <c r="AT6685" s="19"/>
      <c r="AU6685" s="19"/>
    </row>
    <row r="6686" spans="3:47">
      <c r="C6686" s="20"/>
      <c r="Z6686" s="20"/>
      <c r="AG6686" s="20"/>
      <c r="AQ6686" s="19"/>
      <c r="AR6686" s="19"/>
      <c r="AS6686" s="19"/>
      <c r="AT6686" s="19"/>
      <c r="AU6686" s="19"/>
    </row>
    <row r="6687" spans="3:47">
      <c r="C6687" s="20"/>
      <c r="Z6687" s="20"/>
      <c r="AG6687" s="20"/>
      <c r="AQ6687" s="19"/>
      <c r="AR6687" s="19"/>
      <c r="AS6687" s="19"/>
      <c r="AT6687" s="19"/>
      <c r="AU6687" s="19"/>
    </row>
    <row r="6688" spans="3:47">
      <c r="C6688" s="20"/>
      <c r="Z6688" s="20"/>
      <c r="AG6688" s="20"/>
      <c r="AQ6688" s="19"/>
      <c r="AR6688" s="19"/>
      <c r="AS6688" s="19"/>
      <c r="AT6688" s="19"/>
      <c r="AU6688" s="19"/>
    </row>
    <row r="6689" spans="3:47">
      <c r="C6689" s="20"/>
      <c r="Z6689" s="20"/>
      <c r="AG6689" s="20"/>
      <c r="AQ6689" s="19"/>
      <c r="AR6689" s="19"/>
      <c r="AS6689" s="19"/>
      <c r="AT6689" s="19"/>
      <c r="AU6689" s="19"/>
    </row>
    <row r="6690" spans="3:47">
      <c r="C6690" s="20"/>
      <c r="Z6690" s="20"/>
      <c r="AG6690" s="20"/>
      <c r="AQ6690" s="19"/>
      <c r="AR6690" s="19"/>
      <c r="AS6690" s="19"/>
      <c r="AT6690" s="19"/>
      <c r="AU6690" s="19"/>
    </row>
    <row r="6691" spans="3:47">
      <c r="C6691" s="20"/>
      <c r="Z6691" s="20"/>
      <c r="AG6691" s="20"/>
      <c r="AQ6691" s="19"/>
      <c r="AR6691" s="19"/>
      <c r="AS6691" s="19"/>
      <c r="AT6691" s="19"/>
      <c r="AU6691" s="19"/>
    </row>
    <row r="6692" spans="3:47">
      <c r="C6692" s="20"/>
      <c r="Z6692" s="20"/>
      <c r="AG6692" s="20"/>
      <c r="AQ6692" s="19"/>
      <c r="AR6692" s="19"/>
      <c r="AS6692" s="19"/>
      <c r="AT6692" s="19"/>
      <c r="AU6692" s="19"/>
    </row>
    <row r="6693" spans="3:47">
      <c r="C6693" s="20"/>
      <c r="Z6693" s="20"/>
      <c r="AG6693" s="20"/>
      <c r="AQ6693" s="19"/>
      <c r="AR6693" s="19"/>
      <c r="AS6693" s="19"/>
      <c r="AT6693" s="19"/>
      <c r="AU6693" s="19"/>
    </row>
    <row r="6694" spans="3:47">
      <c r="C6694" s="20"/>
      <c r="Z6694" s="20"/>
      <c r="AG6694" s="20"/>
      <c r="AQ6694" s="19"/>
      <c r="AR6694" s="19"/>
      <c r="AS6694" s="19"/>
      <c r="AT6694" s="19"/>
      <c r="AU6694" s="19"/>
    </row>
    <row r="6695" spans="3:47">
      <c r="C6695" s="20"/>
      <c r="Z6695" s="20"/>
      <c r="AG6695" s="20"/>
      <c r="AQ6695" s="19"/>
      <c r="AR6695" s="19"/>
      <c r="AS6695" s="19"/>
      <c r="AT6695" s="19"/>
      <c r="AU6695" s="19"/>
    </row>
    <row r="6696" spans="3:47">
      <c r="C6696" s="20"/>
      <c r="Z6696" s="20"/>
      <c r="AG6696" s="20"/>
      <c r="AQ6696" s="19"/>
      <c r="AR6696" s="19"/>
      <c r="AS6696" s="19"/>
      <c r="AT6696" s="19"/>
      <c r="AU6696" s="19"/>
    </row>
    <row r="6697" spans="3:47">
      <c r="C6697" s="20"/>
      <c r="Z6697" s="20"/>
      <c r="AG6697" s="20"/>
      <c r="AQ6697" s="19"/>
      <c r="AR6697" s="19"/>
      <c r="AS6697" s="19"/>
      <c r="AT6697" s="19"/>
      <c r="AU6697" s="19"/>
    </row>
    <row r="6698" spans="3:47">
      <c r="C6698" s="20"/>
      <c r="Z6698" s="20"/>
      <c r="AG6698" s="20"/>
      <c r="AQ6698" s="19"/>
      <c r="AR6698" s="19"/>
      <c r="AS6698" s="19"/>
      <c r="AT6698" s="19"/>
      <c r="AU6698" s="19"/>
    </row>
    <row r="6699" spans="3:47">
      <c r="C6699" s="20"/>
      <c r="Z6699" s="20"/>
      <c r="AG6699" s="20"/>
      <c r="AQ6699" s="19"/>
      <c r="AR6699" s="19"/>
      <c r="AS6699" s="19"/>
      <c r="AT6699" s="19"/>
      <c r="AU6699" s="19"/>
    </row>
    <row r="6700" spans="3:47">
      <c r="C6700" s="20"/>
      <c r="Z6700" s="20"/>
      <c r="AG6700" s="20"/>
      <c r="AQ6700" s="19"/>
      <c r="AR6700" s="19"/>
      <c r="AS6700" s="19"/>
      <c r="AT6700" s="19"/>
      <c r="AU6700" s="19"/>
    </row>
    <row r="6701" spans="3:47">
      <c r="C6701" s="20"/>
      <c r="Z6701" s="20"/>
      <c r="AG6701" s="20"/>
      <c r="AQ6701" s="19"/>
      <c r="AR6701" s="19"/>
      <c r="AS6701" s="19"/>
      <c r="AT6701" s="19"/>
      <c r="AU6701" s="19"/>
    </row>
    <row r="6702" spans="3:47">
      <c r="C6702" s="20"/>
      <c r="Z6702" s="20"/>
      <c r="AG6702" s="20"/>
      <c r="AQ6702" s="19"/>
      <c r="AR6702" s="19"/>
      <c r="AS6702" s="19"/>
      <c r="AT6702" s="19"/>
      <c r="AU6702" s="19"/>
    </row>
    <row r="6703" spans="3:47">
      <c r="C6703" s="20"/>
      <c r="Z6703" s="20"/>
      <c r="AG6703" s="20"/>
      <c r="AQ6703" s="19"/>
      <c r="AR6703" s="19"/>
      <c r="AS6703" s="19"/>
      <c r="AT6703" s="19"/>
      <c r="AU6703" s="19"/>
    </row>
    <row r="6704" spans="3:47">
      <c r="C6704" s="20"/>
      <c r="Z6704" s="20"/>
      <c r="AG6704" s="20"/>
      <c r="AQ6704" s="19"/>
      <c r="AR6704" s="19"/>
      <c r="AS6704" s="19"/>
      <c r="AT6704" s="19"/>
      <c r="AU6704" s="19"/>
    </row>
    <row r="6705" spans="3:47">
      <c r="C6705" s="20"/>
      <c r="Z6705" s="20"/>
      <c r="AG6705" s="20"/>
      <c r="AQ6705" s="19"/>
      <c r="AR6705" s="19"/>
      <c r="AS6705" s="19"/>
      <c r="AT6705" s="19"/>
      <c r="AU6705" s="19"/>
    </row>
    <row r="6706" spans="3:47">
      <c r="C6706" s="20"/>
      <c r="Z6706" s="20"/>
      <c r="AG6706" s="20"/>
      <c r="AQ6706" s="19"/>
      <c r="AR6706" s="19"/>
      <c r="AS6706" s="19"/>
      <c r="AT6706" s="19"/>
      <c r="AU6706" s="19"/>
    </row>
    <row r="6707" spans="3:47">
      <c r="C6707" s="20"/>
      <c r="Z6707" s="20"/>
      <c r="AG6707" s="20"/>
      <c r="AQ6707" s="19"/>
      <c r="AR6707" s="19"/>
      <c r="AS6707" s="19"/>
      <c r="AT6707" s="19"/>
      <c r="AU6707" s="19"/>
    </row>
    <row r="6708" spans="3:47">
      <c r="C6708" s="20"/>
      <c r="Z6708" s="20"/>
      <c r="AG6708" s="20"/>
      <c r="AQ6708" s="19"/>
      <c r="AR6708" s="19"/>
      <c r="AS6708" s="19"/>
      <c r="AT6708" s="19"/>
      <c r="AU6708" s="19"/>
    </row>
    <row r="6709" spans="3:47">
      <c r="C6709" s="20"/>
      <c r="Z6709" s="20"/>
      <c r="AG6709" s="20"/>
      <c r="AQ6709" s="19"/>
      <c r="AR6709" s="19"/>
      <c r="AS6709" s="19"/>
      <c r="AT6709" s="19"/>
      <c r="AU6709" s="19"/>
    </row>
    <row r="6710" spans="3:47">
      <c r="C6710" s="20"/>
      <c r="Z6710" s="20"/>
      <c r="AG6710" s="20"/>
      <c r="AQ6710" s="19"/>
      <c r="AR6710" s="19"/>
      <c r="AS6710" s="19"/>
      <c r="AT6710" s="19"/>
      <c r="AU6710" s="19"/>
    </row>
    <row r="6711" spans="3:47">
      <c r="C6711" s="20"/>
      <c r="Z6711" s="20"/>
      <c r="AG6711" s="20"/>
      <c r="AQ6711" s="19"/>
      <c r="AR6711" s="19"/>
      <c r="AS6711" s="19"/>
      <c r="AT6711" s="19"/>
      <c r="AU6711" s="19"/>
    </row>
    <row r="6712" spans="3:47">
      <c r="C6712" s="20"/>
      <c r="Z6712" s="20"/>
      <c r="AG6712" s="20"/>
      <c r="AQ6712" s="19"/>
      <c r="AR6712" s="19"/>
      <c r="AS6712" s="19"/>
      <c r="AT6712" s="19"/>
      <c r="AU6712" s="19"/>
    </row>
    <row r="6713" spans="3:47">
      <c r="C6713" s="20"/>
      <c r="Z6713" s="20"/>
      <c r="AG6713" s="20"/>
      <c r="AQ6713" s="19"/>
      <c r="AR6713" s="19"/>
      <c r="AS6713" s="19"/>
      <c r="AT6713" s="19"/>
      <c r="AU6713" s="19"/>
    </row>
    <row r="6714" spans="3:47">
      <c r="C6714" s="20"/>
      <c r="Z6714" s="20"/>
      <c r="AG6714" s="20"/>
      <c r="AQ6714" s="19"/>
      <c r="AR6714" s="19"/>
      <c r="AS6714" s="19"/>
      <c r="AT6714" s="19"/>
      <c r="AU6714" s="19"/>
    </row>
    <row r="6715" spans="3:47">
      <c r="C6715" s="20"/>
      <c r="Z6715" s="20"/>
      <c r="AG6715" s="20"/>
      <c r="AQ6715" s="19"/>
      <c r="AR6715" s="19"/>
      <c r="AS6715" s="19"/>
      <c r="AT6715" s="19"/>
      <c r="AU6715" s="19"/>
    </row>
    <row r="6716" spans="3:47">
      <c r="C6716" s="20"/>
      <c r="Z6716" s="20"/>
      <c r="AG6716" s="20"/>
      <c r="AQ6716" s="19"/>
      <c r="AR6716" s="19"/>
      <c r="AS6716" s="19"/>
      <c r="AT6716" s="19"/>
      <c r="AU6716" s="19"/>
    </row>
    <row r="6717" spans="3:47">
      <c r="C6717" s="20"/>
      <c r="Z6717" s="20"/>
      <c r="AG6717" s="20"/>
      <c r="AQ6717" s="19"/>
      <c r="AR6717" s="19"/>
      <c r="AS6717" s="19"/>
      <c r="AT6717" s="19"/>
      <c r="AU6717" s="19"/>
    </row>
    <row r="6718" spans="3:47">
      <c r="C6718" s="20"/>
      <c r="Z6718" s="20"/>
      <c r="AG6718" s="20"/>
      <c r="AQ6718" s="19"/>
      <c r="AR6718" s="19"/>
      <c r="AS6718" s="19"/>
      <c r="AT6718" s="19"/>
      <c r="AU6718" s="19"/>
    </row>
    <row r="6719" spans="3:47">
      <c r="C6719" s="20"/>
      <c r="Z6719" s="20"/>
      <c r="AG6719" s="20"/>
      <c r="AQ6719" s="19"/>
      <c r="AR6719" s="19"/>
      <c r="AS6719" s="19"/>
      <c r="AT6719" s="19"/>
      <c r="AU6719" s="19"/>
    </row>
    <row r="6720" spans="3:47">
      <c r="C6720" s="20"/>
      <c r="Z6720" s="20"/>
      <c r="AG6720" s="20"/>
      <c r="AQ6720" s="19"/>
      <c r="AR6720" s="19"/>
      <c r="AS6720" s="19"/>
      <c r="AT6720" s="19"/>
      <c r="AU6720" s="19"/>
    </row>
    <row r="6721" spans="3:47">
      <c r="C6721" s="20"/>
      <c r="Z6721" s="20"/>
      <c r="AG6721" s="20"/>
      <c r="AQ6721" s="19"/>
      <c r="AR6721" s="19"/>
      <c r="AS6721" s="19"/>
      <c r="AT6721" s="19"/>
      <c r="AU6721" s="19"/>
    </row>
    <row r="6722" spans="3:47">
      <c r="C6722" s="20"/>
      <c r="Z6722" s="20"/>
      <c r="AG6722" s="20"/>
      <c r="AQ6722" s="19"/>
      <c r="AR6722" s="19"/>
      <c r="AS6722" s="19"/>
      <c r="AT6722" s="19"/>
      <c r="AU6722" s="19"/>
    </row>
    <row r="6723" spans="3:47">
      <c r="C6723" s="20"/>
      <c r="Z6723" s="20"/>
      <c r="AG6723" s="20"/>
      <c r="AQ6723" s="19"/>
      <c r="AR6723" s="19"/>
      <c r="AS6723" s="19"/>
      <c r="AT6723" s="19"/>
      <c r="AU6723" s="19"/>
    </row>
    <row r="6724" spans="3:47">
      <c r="C6724" s="20"/>
      <c r="Z6724" s="20"/>
      <c r="AG6724" s="20"/>
      <c r="AQ6724" s="19"/>
      <c r="AR6724" s="19"/>
      <c r="AS6724" s="19"/>
      <c r="AT6724" s="19"/>
      <c r="AU6724" s="19"/>
    </row>
    <row r="6725" spans="3:47">
      <c r="C6725" s="20"/>
      <c r="Z6725" s="20"/>
      <c r="AG6725" s="20"/>
      <c r="AQ6725" s="19"/>
      <c r="AR6725" s="19"/>
      <c r="AS6725" s="19"/>
      <c r="AT6725" s="19"/>
      <c r="AU6725" s="19"/>
    </row>
    <row r="6726" spans="3:47">
      <c r="C6726" s="20"/>
      <c r="Z6726" s="20"/>
      <c r="AG6726" s="20"/>
      <c r="AQ6726" s="19"/>
      <c r="AR6726" s="19"/>
      <c r="AS6726" s="19"/>
      <c r="AT6726" s="19"/>
      <c r="AU6726" s="19"/>
    </row>
    <row r="6727" spans="3:47">
      <c r="C6727" s="20"/>
      <c r="Z6727" s="20"/>
      <c r="AG6727" s="20"/>
      <c r="AQ6727" s="19"/>
      <c r="AR6727" s="19"/>
      <c r="AS6727" s="19"/>
      <c r="AT6727" s="19"/>
      <c r="AU6727" s="19"/>
    </row>
    <row r="6728" spans="3:47">
      <c r="C6728" s="20"/>
      <c r="Z6728" s="20"/>
      <c r="AG6728" s="20"/>
      <c r="AQ6728" s="19"/>
      <c r="AR6728" s="19"/>
      <c r="AS6728" s="19"/>
      <c r="AT6728" s="19"/>
      <c r="AU6728" s="19"/>
    </row>
    <row r="6729" spans="3:47">
      <c r="C6729" s="20"/>
      <c r="Z6729" s="20"/>
      <c r="AG6729" s="20"/>
      <c r="AQ6729" s="19"/>
      <c r="AR6729" s="19"/>
      <c r="AS6729" s="19"/>
      <c r="AT6729" s="19"/>
      <c r="AU6729" s="19"/>
    </row>
    <row r="6730" spans="3:47">
      <c r="C6730" s="20"/>
      <c r="Z6730" s="20"/>
      <c r="AG6730" s="20"/>
      <c r="AQ6730" s="19"/>
      <c r="AR6730" s="19"/>
      <c r="AS6730" s="19"/>
      <c r="AT6730" s="19"/>
      <c r="AU6730" s="19"/>
    </row>
    <row r="6731" spans="3:47">
      <c r="C6731" s="20"/>
      <c r="Z6731" s="20"/>
      <c r="AG6731" s="20"/>
      <c r="AQ6731" s="19"/>
      <c r="AR6731" s="19"/>
      <c r="AS6731" s="19"/>
      <c r="AT6731" s="19"/>
      <c r="AU6731" s="19"/>
    </row>
    <row r="6732" spans="3:47">
      <c r="C6732" s="20"/>
      <c r="Z6732" s="20"/>
      <c r="AG6732" s="20"/>
      <c r="AQ6732" s="19"/>
      <c r="AR6732" s="19"/>
      <c r="AS6732" s="19"/>
      <c r="AT6732" s="19"/>
      <c r="AU6732" s="19"/>
    </row>
    <row r="6733" spans="3:47">
      <c r="C6733" s="20"/>
      <c r="Z6733" s="20"/>
      <c r="AG6733" s="20"/>
      <c r="AQ6733" s="19"/>
      <c r="AR6733" s="19"/>
      <c r="AS6733" s="19"/>
      <c r="AT6733" s="19"/>
      <c r="AU6733" s="19"/>
    </row>
    <row r="6734" spans="3:47">
      <c r="C6734" s="20"/>
      <c r="Z6734" s="20"/>
      <c r="AG6734" s="20"/>
      <c r="AQ6734" s="19"/>
      <c r="AR6734" s="19"/>
      <c r="AS6734" s="19"/>
      <c r="AT6734" s="19"/>
      <c r="AU6734" s="19"/>
    </row>
    <row r="6735" spans="3:47">
      <c r="C6735" s="20"/>
      <c r="Z6735" s="20"/>
      <c r="AG6735" s="20"/>
      <c r="AQ6735" s="19"/>
      <c r="AR6735" s="19"/>
      <c r="AS6735" s="19"/>
      <c r="AT6735" s="19"/>
      <c r="AU6735" s="19"/>
    </row>
    <row r="6736" spans="3:47">
      <c r="C6736" s="20"/>
      <c r="Z6736" s="20"/>
      <c r="AG6736" s="20"/>
      <c r="AQ6736" s="19"/>
      <c r="AR6736" s="19"/>
      <c r="AS6736" s="19"/>
      <c r="AT6736" s="19"/>
      <c r="AU6736" s="19"/>
    </row>
    <row r="6737" spans="3:47">
      <c r="C6737" s="20"/>
      <c r="Z6737" s="20"/>
      <c r="AG6737" s="20"/>
      <c r="AQ6737" s="19"/>
      <c r="AR6737" s="19"/>
      <c r="AS6737" s="19"/>
      <c r="AT6737" s="19"/>
      <c r="AU6737" s="19"/>
    </row>
    <row r="6738" spans="3:47">
      <c r="C6738" s="20"/>
      <c r="Z6738" s="20"/>
      <c r="AG6738" s="20"/>
      <c r="AQ6738" s="19"/>
      <c r="AR6738" s="19"/>
      <c r="AS6738" s="19"/>
      <c r="AT6738" s="19"/>
      <c r="AU6738" s="19"/>
    </row>
    <row r="6739" spans="3:47">
      <c r="C6739" s="20"/>
      <c r="Z6739" s="20"/>
      <c r="AG6739" s="20"/>
      <c r="AQ6739" s="19"/>
      <c r="AR6739" s="19"/>
      <c r="AS6739" s="19"/>
      <c r="AT6739" s="19"/>
      <c r="AU6739" s="19"/>
    </row>
    <row r="6740" spans="3:47">
      <c r="C6740" s="20"/>
      <c r="Z6740" s="20"/>
      <c r="AG6740" s="20"/>
      <c r="AQ6740" s="19"/>
      <c r="AR6740" s="19"/>
      <c r="AS6740" s="19"/>
      <c r="AT6740" s="19"/>
      <c r="AU6740" s="19"/>
    </row>
    <row r="6741" spans="3:47">
      <c r="C6741" s="20"/>
      <c r="Z6741" s="20"/>
      <c r="AG6741" s="20"/>
      <c r="AQ6741" s="19"/>
      <c r="AR6741" s="19"/>
      <c r="AS6741" s="19"/>
      <c r="AT6741" s="19"/>
      <c r="AU6741" s="19"/>
    </row>
    <row r="6742" spans="3:47">
      <c r="C6742" s="20"/>
      <c r="Z6742" s="20"/>
      <c r="AG6742" s="20"/>
      <c r="AQ6742" s="19"/>
      <c r="AR6742" s="19"/>
      <c r="AS6742" s="19"/>
      <c r="AT6742" s="19"/>
      <c r="AU6742" s="19"/>
    </row>
    <row r="6743" spans="3:47">
      <c r="C6743" s="20"/>
      <c r="Z6743" s="20"/>
      <c r="AG6743" s="20"/>
      <c r="AQ6743" s="19"/>
      <c r="AR6743" s="19"/>
      <c r="AS6743" s="19"/>
      <c r="AT6743" s="19"/>
      <c r="AU6743" s="19"/>
    </row>
    <row r="6744" spans="3:47">
      <c r="C6744" s="20"/>
      <c r="Z6744" s="20"/>
      <c r="AG6744" s="20"/>
      <c r="AQ6744" s="19"/>
      <c r="AR6744" s="19"/>
      <c r="AS6744" s="19"/>
      <c r="AT6744" s="19"/>
      <c r="AU6744" s="19"/>
    </row>
    <row r="6745" spans="3:47">
      <c r="C6745" s="20"/>
      <c r="Z6745" s="20"/>
      <c r="AG6745" s="20"/>
      <c r="AQ6745" s="19"/>
      <c r="AR6745" s="19"/>
      <c r="AS6745" s="19"/>
      <c r="AT6745" s="19"/>
      <c r="AU6745" s="19"/>
    </row>
    <row r="6746" spans="3:47">
      <c r="C6746" s="20"/>
      <c r="Z6746" s="20"/>
      <c r="AG6746" s="20"/>
      <c r="AQ6746" s="19"/>
      <c r="AR6746" s="19"/>
      <c r="AS6746" s="19"/>
      <c r="AT6746" s="19"/>
      <c r="AU6746" s="19"/>
    </row>
    <row r="6747" spans="3:47">
      <c r="C6747" s="20"/>
      <c r="Z6747" s="20"/>
      <c r="AG6747" s="20"/>
      <c r="AQ6747" s="19"/>
      <c r="AR6747" s="19"/>
      <c r="AS6747" s="19"/>
      <c r="AT6747" s="19"/>
      <c r="AU6747" s="19"/>
    </row>
    <row r="6748" spans="3:47">
      <c r="C6748" s="20"/>
      <c r="Z6748" s="20"/>
      <c r="AG6748" s="20"/>
      <c r="AQ6748" s="19"/>
      <c r="AR6748" s="19"/>
      <c r="AS6748" s="19"/>
      <c r="AT6748" s="19"/>
      <c r="AU6748" s="19"/>
    </row>
    <row r="6749" spans="3:47">
      <c r="C6749" s="20"/>
      <c r="Z6749" s="20"/>
      <c r="AG6749" s="20"/>
      <c r="AQ6749" s="19"/>
      <c r="AR6749" s="19"/>
      <c r="AS6749" s="19"/>
      <c r="AT6749" s="19"/>
      <c r="AU6749" s="19"/>
    </row>
    <row r="6750" spans="3:47">
      <c r="C6750" s="20"/>
      <c r="Z6750" s="20"/>
      <c r="AG6750" s="20"/>
      <c r="AQ6750" s="19"/>
      <c r="AR6750" s="19"/>
      <c r="AS6750" s="19"/>
      <c r="AT6750" s="19"/>
      <c r="AU6750" s="19"/>
    </row>
    <row r="6751" spans="3:47">
      <c r="C6751" s="20"/>
      <c r="Z6751" s="20"/>
      <c r="AG6751" s="20"/>
      <c r="AQ6751" s="19"/>
      <c r="AR6751" s="19"/>
      <c r="AS6751" s="19"/>
      <c r="AT6751" s="19"/>
      <c r="AU6751" s="19"/>
    </row>
    <row r="6752" spans="3:47">
      <c r="C6752" s="20"/>
      <c r="Z6752" s="20"/>
      <c r="AG6752" s="20"/>
      <c r="AQ6752" s="19"/>
      <c r="AR6752" s="19"/>
      <c r="AS6752" s="19"/>
      <c r="AT6752" s="19"/>
      <c r="AU6752" s="19"/>
    </row>
    <row r="6753" spans="3:47">
      <c r="C6753" s="20"/>
      <c r="Z6753" s="20"/>
      <c r="AG6753" s="20"/>
      <c r="AQ6753" s="19"/>
      <c r="AR6753" s="19"/>
      <c r="AS6753" s="19"/>
      <c r="AT6753" s="19"/>
      <c r="AU6753" s="19"/>
    </row>
    <row r="6754" spans="3:47">
      <c r="C6754" s="20"/>
      <c r="Z6754" s="20"/>
      <c r="AG6754" s="20"/>
      <c r="AQ6754" s="19"/>
      <c r="AR6754" s="19"/>
      <c r="AS6754" s="19"/>
      <c r="AT6754" s="19"/>
      <c r="AU6754" s="19"/>
    </row>
    <row r="6755" spans="3:47">
      <c r="C6755" s="20"/>
      <c r="Z6755" s="20"/>
      <c r="AG6755" s="20"/>
      <c r="AQ6755" s="19"/>
      <c r="AR6755" s="19"/>
      <c r="AS6755" s="19"/>
      <c r="AT6755" s="19"/>
      <c r="AU6755" s="19"/>
    </row>
    <row r="6756" spans="3:47">
      <c r="C6756" s="20"/>
      <c r="Z6756" s="20"/>
      <c r="AG6756" s="20"/>
      <c r="AQ6756" s="19"/>
      <c r="AR6756" s="19"/>
      <c r="AS6756" s="19"/>
      <c r="AT6756" s="19"/>
      <c r="AU6756" s="19"/>
    </row>
    <row r="6757" spans="3:47">
      <c r="C6757" s="20"/>
      <c r="Z6757" s="20"/>
      <c r="AG6757" s="20"/>
      <c r="AQ6757" s="19"/>
      <c r="AR6757" s="19"/>
      <c r="AS6757" s="19"/>
      <c r="AT6757" s="19"/>
      <c r="AU6757" s="19"/>
    </row>
    <row r="6758" spans="3:47">
      <c r="C6758" s="20"/>
      <c r="Z6758" s="20"/>
      <c r="AG6758" s="20"/>
      <c r="AQ6758" s="19"/>
      <c r="AR6758" s="19"/>
      <c r="AS6758" s="19"/>
      <c r="AT6758" s="19"/>
      <c r="AU6758" s="19"/>
    </row>
    <row r="6759" spans="3:47">
      <c r="C6759" s="20"/>
      <c r="Z6759" s="20"/>
      <c r="AG6759" s="20"/>
      <c r="AQ6759" s="19"/>
      <c r="AR6759" s="19"/>
      <c r="AS6759" s="19"/>
      <c r="AT6759" s="19"/>
      <c r="AU6759" s="19"/>
    </row>
    <row r="6760" spans="3:47">
      <c r="C6760" s="20"/>
      <c r="Z6760" s="20"/>
      <c r="AG6760" s="20"/>
      <c r="AQ6760" s="19"/>
      <c r="AR6760" s="19"/>
      <c r="AS6760" s="19"/>
      <c r="AT6760" s="19"/>
      <c r="AU6760" s="19"/>
    </row>
    <row r="6761" spans="3:47">
      <c r="C6761" s="20"/>
      <c r="Z6761" s="20"/>
      <c r="AG6761" s="20"/>
      <c r="AQ6761" s="19"/>
      <c r="AR6761" s="19"/>
      <c r="AS6761" s="19"/>
      <c r="AT6761" s="19"/>
      <c r="AU6761" s="19"/>
    </row>
    <row r="6762" spans="3:47">
      <c r="C6762" s="20"/>
      <c r="Z6762" s="20"/>
      <c r="AG6762" s="20"/>
      <c r="AQ6762" s="19"/>
      <c r="AR6762" s="19"/>
      <c r="AS6762" s="19"/>
      <c r="AT6762" s="19"/>
      <c r="AU6762" s="19"/>
    </row>
    <row r="6763" spans="3:47">
      <c r="C6763" s="20"/>
      <c r="Z6763" s="20"/>
      <c r="AG6763" s="20"/>
      <c r="AQ6763" s="19"/>
      <c r="AR6763" s="19"/>
      <c r="AS6763" s="19"/>
      <c r="AT6763" s="19"/>
      <c r="AU6763" s="19"/>
    </row>
    <row r="6764" spans="3:47">
      <c r="C6764" s="20"/>
      <c r="Z6764" s="20"/>
      <c r="AG6764" s="20"/>
      <c r="AQ6764" s="19"/>
      <c r="AR6764" s="19"/>
      <c r="AS6764" s="19"/>
      <c r="AT6764" s="19"/>
      <c r="AU6764" s="19"/>
    </row>
    <row r="6765" spans="3:47">
      <c r="C6765" s="20"/>
      <c r="Z6765" s="20"/>
      <c r="AG6765" s="20"/>
      <c r="AQ6765" s="19"/>
      <c r="AR6765" s="19"/>
      <c r="AS6765" s="19"/>
      <c r="AT6765" s="19"/>
      <c r="AU6765" s="19"/>
    </row>
    <row r="6766" spans="3:47">
      <c r="C6766" s="20"/>
      <c r="Z6766" s="20"/>
      <c r="AG6766" s="20"/>
      <c r="AQ6766" s="19"/>
      <c r="AR6766" s="19"/>
      <c r="AS6766" s="19"/>
      <c r="AT6766" s="19"/>
      <c r="AU6766" s="19"/>
    </row>
    <row r="6767" spans="3:47">
      <c r="C6767" s="20"/>
      <c r="Z6767" s="20"/>
      <c r="AG6767" s="20"/>
      <c r="AQ6767" s="19"/>
      <c r="AR6767" s="19"/>
      <c r="AS6767" s="19"/>
      <c r="AT6767" s="19"/>
      <c r="AU6767" s="19"/>
    </row>
    <row r="6768" spans="3:47">
      <c r="C6768" s="20"/>
      <c r="Z6768" s="20"/>
      <c r="AG6768" s="20"/>
      <c r="AQ6768" s="19"/>
      <c r="AR6768" s="19"/>
      <c r="AS6768" s="19"/>
      <c r="AT6768" s="19"/>
      <c r="AU6768" s="19"/>
    </row>
    <row r="6769" spans="3:47">
      <c r="C6769" s="20"/>
      <c r="Z6769" s="20"/>
      <c r="AG6769" s="20"/>
      <c r="AQ6769" s="19"/>
      <c r="AR6769" s="19"/>
      <c r="AS6769" s="19"/>
      <c r="AT6769" s="19"/>
      <c r="AU6769" s="19"/>
    </row>
    <row r="6770" spans="3:47">
      <c r="C6770" s="20"/>
      <c r="Z6770" s="20"/>
      <c r="AG6770" s="20"/>
      <c r="AQ6770" s="19"/>
      <c r="AR6770" s="19"/>
      <c r="AS6770" s="19"/>
      <c r="AT6770" s="19"/>
      <c r="AU6770" s="19"/>
    </row>
    <row r="6771" spans="3:47">
      <c r="C6771" s="20"/>
      <c r="Z6771" s="20"/>
      <c r="AG6771" s="20"/>
      <c r="AQ6771" s="19"/>
      <c r="AR6771" s="19"/>
      <c r="AS6771" s="19"/>
      <c r="AT6771" s="19"/>
      <c r="AU6771" s="19"/>
    </row>
    <row r="6772" spans="3:47">
      <c r="C6772" s="20"/>
      <c r="Z6772" s="20"/>
      <c r="AG6772" s="20"/>
      <c r="AQ6772" s="19"/>
      <c r="AR6772" s="19"/>
      <c r="AS6772" s="19"/>
      <c r="AT6772" s="19"/>
      <c r="AU6772" s="19"/>
    </row>
    <row r="6773" spans="3:47">
      <c r="C6773" s="20"/>
      <c r="Z6773" s="20"/>
      <c r="AG6773" s="20"/>
      <c r="AQ6773" s="19"/>
      <c r="AR6773" s="19"/>
      <c r="AS6773" s="19"/>
      <c r="AT6773" s="19"/>
      <c r="AU6773" s="19"/>
    </row>
    <row r="6774" spans="3:47">
      <c r="C6774" s="20"/>
      <c r="Z6774" s="20"/>
      <c r="AG6774" s="20"/>
      <c r="AQ6774" s="19"/>
      <c r="AR6774" s="19"/>
      <c r="AS6774" s="19"/>
      <c r="AT6774" s="19"/>
      <c r="AU6774" s="19"/>
    </row>
    <row r="6775" spans="3:47">
      <c r="C6775" s="20"/>
      <c r="Z6775" s="20"/>
      <c r="AG6775" s="20"/>
      <c r="AQ6775" s="19"/>
      <c r="AR6775" s="19"/>
      <c r="AS6775" s="19"/>
      <c r="AT6775" s="19"/>
      <c r="AU6775" s="19"/>
    </row>
    <row r="6776" spans="3:47">
      <c r="C6776" s="20"/>
      <c r="Z6776" s="20"/>
      <c r="AG6776" s="20"/>
      <c r="AQ6776" s="19"/>
      <c r="AR6776" s="19"/>
      <c r="AS6776" s="19"/>
      <c r="AT6776" s="19"/>
      <c r="AU6776" s="19"/>
    </row>
    <row r="6777" spans="3:47">
      <c r="C6777" s="20"/>
      <c r="Z6777" s="20"/>
      <c r="AG6777" s="20"/>
      <c r="AQ6777" s="19"/>
      <c r="AR6777" s="19"/>
      <c r="AS6777" s="19"/>
      <c r="AT6777" s="19"/>
      <c r="AU6777" s="19"/>
    </row>
    <row r="6778" spans="3:47">
      <c r="C6778" s="20"/>
      <c r="Z6778" s="20"/>
      <c r="AG6778" s="20"/>
      <c r="AQ6778" s="19"/>
      <c r="AR6778" s="19"/>
      <c r="AS6778" s="19"/>
      <c r="AT6778" s="19"/>
      <c r="AU6778" s="19"/>
    </row>
    <row r="6779" spans="3:47">
      <c r="C6779" s="20"/>
      <c r="Z6779" s="20"/>
      <c r="AG6779" s="20"/>
      <c r="AQ6779" s="19"/>
      <c r="AR6779" s="19"/>
      <c r="AS6779" s="19"/>
      <c r="AT6779" s="19"/>
      <c r="AU6779" s="19"/>
    </row>
    <row r="6780" spans="3:47">
      <c r="C6780" s="20"/>
      <c r="Z6780" s="20"/>
      <c r="AG6780" s="20"/>
      <c r="AQ6780" s="19"/>
      <c r="AR6780" s="19"/>
      <c r="AS6780" s="19"/>
      <c r="AT6780" s="19"/>
      <c r="AU6780" s="19"/>
    </row>
    <row r="6781" spans="3:47">
      <c r="C6781" s="20"/>
      <c r="Z6781" s="20"/>
      <c r="AG6781" s="20"/>
      <c r="AQ6781" s="19"/>
      <c r="AR6781" s="19"/>
      <c r="AS6781" s="19"/>
      <c r="AT6781" s="19"/>
      <c r="AU6781" s="19"/>
    </row>
    <row r="6782" spans="3:47">
      <c r="C6782" s="20"/>
      <c r="Z6782" s="20"/>
      <c r="AG6782" s="20"/>
      <c r="AQ6782" s="19"/>
      <c r="AR6782" s="19"/>
      <c r="AS6782" s="19"/>
      <c r="AT6782" s="19"/>
      <c r="AU6782" s="19"/>
    </row>
    <row r="6783" spans="3:47">
      <c r="C6783" s="20"/>
      <c r="Z6783" s="20"/>
      <c r="AG6783" s="20"/>
      <c r="AQ6783" s="19"/>
      <c r="AR6783" s="19"/>
      <c r="AS6783" s="19"/>
      <c r="AT6783" s="19"/>
      <c r="AU6783" s="19"/>
    </row>
    <row r="6784" spans="3:47">
      <c r="C6784" s="20"/>
      <c r="Z6784" s="20"/>
      <c r="AG6784" s="20"/>
      <c r="AQ6784" s="19"/>
      <c r="AR6784" s="19"/>
      <c r="AS6784" s="19"/>
      <c r="AT6784" s="19"/>
      <c r="AU6784" s="19"/>
    </row>
    <row r="6785" spans="3:47">
      <c r="C6785" s="20"/>
      <c r="Z6785" s="20"/>
      <c r="AG6785" s="20"/>
      <c r="AQ6785" s="19"/>
      <c r="AR6785" s="19"/>
      <c r="AS6785" s="19"/>
      <c r="AT6785" s="19"/>
      <c r="AU6785" s="19"/>
    </row>
    <row r="6786" spans="3:47">
      <c r="C6786" s="20"/>
      <c r="Z6786" s="20"/>
      <c r="AG6786" s="20"/>
      <c r="AQ6786" s="19"/>
      <c r="AR6786" s="19"/>
      <c r="AS6786" s="19"/>
      <c r="AT6786" s="19"/>
      <c r="AU6786" s="19"/>
    </row>
    <row r="6787" spans="3:47">
      <c r="C6787" s="20"/>
      <c r="Z6787" s="20"/>
      <c r="AG6787" s="20"/>
      <c r="AQ6787" s="19"/>
      <c r="AR6787" s="19"/>
      <c r="AS6787" s="19"/>
      <c r="AT6787" s="19"/>
      <c r="AU6787" s="19"/>
    </row>
    <row r="6788" spans="3:47">
      <c r="C6788" s="20"/>
      <c r="Z6788" s="20"/>
      <c r="AG6788" s="20"/>
      <c r="AQ6788" s="19"/>
      <c r="AR6788" s="19"/>
      <c r="AS6788" s="19"/>
      <c r="AT6788" s="19"/>
      <c r="AU6788" s="19"/>
    </row>
    <row r="6789" spans="3:47">
      <c r="C6789" s="20"/>
      <c r="Z6789" s="20"/>
      <c r="AG6789" s="20"/>
      <c r="AQ6789" s="19"/>
      <c r="AR6789" s="19"/>
      <c r="AS6789" s="19"/>
      <c r="AT6789" s="19"/>
      <c r="AU6789" s="19"/>
    </row>
    <row r="6790" spans="3:47">
      <c r="C6790" s="20"/>
      <c r="Z6790" s="20"/>
      <c r="AG6790" s="20"/>
      <c r="AQ6790" s="19"/>
      <c r="AR6790" s="19"/>
      <c r="AS6790" s="19"/>
      <c r="AT6790" s="19"/>
      <c r="AU6790" s="19"/>
    </row>
    <row r="6791" spans="3:47">
      <c r="C6791" s="20"/>
      <c r="Z6791" s="20"/>
      <c r="AG6791" s="20"/>
      <c r="AQ6791" s="19"/>
      <c r="AR6791" s="19"/>
      <c r="AS6791" s="19"/>
      <c r="AT6791" s="19"/>
      <c r="AU6791" s="19"/>
    </row>
    <row r="6792" spans="3:47">
      <c r="C6792" s="20"/>
      <c r="Z6792" s="20"/>
      <c r="AG6792" s="20"/>
      <c r="AQ6792" s="19"/>
      <c r="AR6792" s="19"/>
      <c r="AS6792" s="19"/>
      <c r="AT6792" s="19"/>
      <c r="AU6792" s="19"/>
    </row>
    <row r="6793" spans="3:47">
      <c r="C6793" s="20"/>
      <c r="Z6793" s="20"/>
      <c r="AG6793" s="20"/>
      <c r="AQ6793" s="19"/>
      <c r="AR6793" s="19"/>
      <c r="AS6793" s="19"/>
      <c r="AT6793" s="19"/>
      <c r="AU6793" s="19"/>
    </row>
    <row r="6794" spans="3:47">
      <c r="C6794" s="20"/>
      <c r="Z6794" s="20"/>
      <c r="AG6794" s="20"/>
      <c r="AQ6794" s="19"/>
      <c r="AR6794" s="19"/>
      <c r="AS6794" s="19"/>
      <c r="AT6794" s="19"/>
      <c r="AU6794" s="19"/>
    </row>
    <row r="6795" spans="3:47">
      <c r="C6795" s="20"/>
      <c r="Z6795" s="20"/>
      <c r="AG6795" s="20"/>
      <c r="AQ6795" s="19"/>
      <c r="AR6795" s="19"/>
      <c r="AS6795" s="19"/>
      <c r="AT6795" s="19"/>
      <c r="AU6795" s="19"/>
    </row>
    <row r="6796" spans="3:47">
      <c r="C6796" s="20"/>
      <c r="Z6796" s="20"/>
      <c r="AG6796" s="20"/>
      <c r="AQ6796" s="19"/>
      <c r="AR6796" s="19"/>
      <c r="AS6796" s="19"/>
      <c r="AT6796" s="19"/>
      <c r="AU6796" s="19"/>
    </row>
    <row r="6797" spans="3:47">
      <c r="C6797" s="20"/>
      <c r="Z6797" s="20"/>
      <c r="AG6797" s="20"/>
      <c r="AQ6797" s="19"/>
      <c r="AR6797" s="19"/>
      <c r="AS6797" s="19"/>
      <c r="AT6797" s="19"/>
      <c r="AU6797" s="19"/>
    </row>
    <row r="6798" spans="3:47">
      <c r="C6798" s="20"/>
      <c r="Z6798" s="20"/>
      <c r="AG6798" s="20"/>
      <c r="AQ6798" s="19"/>
      <c r="AR6798" s="19"/>
      <c r="AS6798" s="19"/>
      <c r="AT6798" s="19"/>
      <c r="AU6798" s="19"/>
    </row>
    <row r="6799" spans="3:47">
      <c r="C6799" s="20"/>
      <c r="Z6799" s="20"/>
      <c r="AG6799" s="20"/>
      <c r="AQ6799" s="19"/>
      <c r="AR6799" s="19"/>
      <c r="AS6799" s="19"/>
      <c r="AT6799" s="19"/>
      <c r="AU6799" s="19"/>
    </row>
    <row r="6800" spans="3:47">
      <c r="C6800" s="20"/>
      <c r="Z6800" s="20"/>
      <c r="AG6800" s="20"/>
      <c r="AQ6800" s="19"/>
      <c r="AR6800" s="19"/>
      <c r="AS6800" s="19"/>
      <c r="AT6800" s="19"/>
      <c r="AU6800" s="19"/>
    </row>
    <row r="6801" spans="3:47">
      <c r="C6801" s="20"/>
      <c r="Z6801" s="20"/>
      <c r="AG6801" s="20"/>
      <c r="AQ6801" s="19"/>
      <c r="AR6801" s="19"/>
      <c r="AS6801" s="19"/>
      <c r="AT6801" s="19"/>
      <c r="AU6801" s="19"/>
    </row>
    <row r="6802" spans="3:47">
      <c r="C6802" s="20"/>
      <c r="Z6802" s="20"/>
      <c r="AG6802" s="20"/>
      <c r="AQ6802" s="19"/>
      <c r="AR6802" s="19"/>
      <c r="AS6802" s="19"/>
      <c r="AT6802" s="19"/>
      <c r="AU6802" s="19"/>
    </row>
    <row r="6803" spans="3:47">
      <c r="C6803" s="20"/>
      <c r="Z6803" s="20"/>
      <c r="AG6803" s="20"/>
      <c r="AQ6803" s="19"/>
      <c r="AR6803" s="19"/>
      <c r="AS6803" s="19"/>
      <c r="AT6803" s="19"/>
      <c r="AU6803" s="19"/>
    </row>
    <row r="6804" spans="3:47">
      <c r="C6804" s="20"/>
      <c r="Z6804" s="20"/>
      <c r="AG6804" s="20"/>
      <c r="AQ6804" s="19"/>
      <c r="AR6804" s="19"/>
      <c r="AS6804" s="19"/>
      <c r="AT6804" s="19"/>
      <c r="AU6804" s="19"/>
    </row>
    <row r="6805" spans="3:47">
      <c r="C6805" s="20"/>
      <c r="Z6805" s="20"/>
      <c r="AG6805" s="20"/>
      <c r="AQ6805" s="19"/>
      <c r="AR6805" s="19"/>
      <c r="AS6805" s="19"/>
      <c r="AT6805" s="19"/>
      <c r="AU6805" s="19"/>
    </row>
    <row r="6806" spans="3:47">
      <c r="C6806" s="20"/>
      <c r="Z6806" s="20"/>
      <c r="AG6806" s="20"/>
      <c r="AQ6806" s="19"/>
      <c r="AR6806" s="19"/>
      <c r="AS6806" s="19"/>
      <c r="AT6806" s="19"/>
      <c r="AU6806" s="19"/>
    </row>
    <row r="6807" spans="3:47">
      <c r="C6807" s="20"/>
      <c r="Z6807" s="20"/>
      <c r="AG6807" s="20"/>
      <c r="AQ6807" s="19"/>
      <c r="AR6807" s="19"/>
      <c r="AS6807" s="19"/>
      <c r="AT6807" s="19"/>
      <c r="AU6807" s="19"/>
    </row>
    <row r="6808" spans="3:47">
      <c r="C6808" s="20"/>
      <c r="Z6808" s="20"/>
      <c r="AG6808" s="20"/>
      <c r="AQ6808" s="19"/>
      <c r="AR6808" s="19"/>
      <c r="AS6808" s="19"/>
      <c r="AT6808" s="19"/>
      <c r="AU6808" s="19"/>
    </row>
    <row r="6809" spans="3:47">
      <c r="C6809" s="20"/>
      <c r="Z6809" s="20"/>
      <c r="AG6809" s="20"/>
      <c r="AQ6809" s="19"/>
      <c r="AR6809" s="19"/>
      <c r="AS6809" s="19"/>
      <c r="AT6809" s="19"/>
      <c r="AU6809" s="19"/>
    </row>
    <row r="6810" spans="3:47">
      <c r="C6810" s="20"/>
      <c r="Z6810" s="20"/>
      <c r="AG6810" s="20"/>
      <c r="AQ6810" s="19"/>
      <c r="AR6810" s="19"/>
      <c r="AS6810" s="19"/>
      <c r="AT6810" s="19"/>
      <c r="AU6810" s="19"/>
    </row>
    <row r="6811" spans="3:47">
      <c r="C6811" s="20"/>
      <c r="Z6811" s="20"/>
      <c r="AG6811" s="20"/>
      <c r="AQ6811" s="19"/>
      <c r="AR6811" s="19"/>
      <c r="AS6811" s="19"/>
      <c r="AT6811" s="19"/>
      <c r="AU6811" s="19"/>
    </row>
    <row r="6812" spans="3:47">
      <c r="C6812" s="20"/>
      <c r="Z6812" s="20"/>
      <c r="AG6812" s="20"/>
      <c r="AQ6812" s="19"/>
      <c r="AR6812" s="19"/>
      <c r="AS6812" s="19"/>
      <c r="AT6812" s="19"/>
      <c r="AU6812" s="19"/>
    </row>
    <row r="6813" spans="3:47">
      <c r="C6813" s="20"/>
      <c r="Z6813" s="20"/>
      <c r="AG6813" s="20"/>
      <c r="AQ6813" s="19"/>
      <c r="AR6813" s="19"/>
      <c r="AS6813" s="19"/>
      <c r="AT6813" s="19"/>
      <c r="AU6813" s="19"/>
    </row>
    <row r="6814" spans="3:47">
      <c r="C6814" s="20"/>
      <c r="Z6814" s="20"/>
      <c r="AG6814" s="20"/>
      <c r="AQ6814" s="19"/>
      <c r="AR6814" s="19"/>
      <c r="AS6814" s="19"/>
      <c r="AT6814" s="19"/>
      <c r="AU6814" s="19"/>
    </row>
    <row r="6815" spans="3:47">
      <c r="C6815" s="20"/>
      <c r="Z6815" s="20"/>
      <c r="AG6815" s="20"/>
      <c r="AQ6815" s="19"/>
      <c r="AR6815" s="19"/>
      <c r="AS6815" s="19"/>
      <c r="AT6815" s="19"/>
      <c r="AU6815" s="19"/>
    </row>
    <row r="6816" spans="3:47">
      <c r="C6816" s="20"/>
      <c r="Z6816" s="20"/>
      <c r="AG6816" s="20"/>
      <c r="AQ6816" s="19"/>
      <c r="AR6816" s="19"/>
      <c r="AS6816" s="19"/>
      <c r="AT6816" s="19"/>
      <c r="AU6816" s="19"/>
    </row>
    <row r="6817" spans="3:47">
      <c r="C6817" s="20"/>
      <c r="Z6817" s="20"/>
      <c r="AG6817" s="20"/>
      <c r="AQ6817" s="19"/>
      <c r="AR6817" s="19"/>
      <c r="AS6817" s="19"/>
      <c r="AT6817" s="19"/>
      <c r="AU6817" s="19"/>
    </row>
    <row r="6818" spans="3:47">
      <c r="C6818" s="20"/>
      <c r="Z6818" s="20"/>
      <c r="AG6818" s="20"/>
      <c r="AQ6818" s="19"/>
      <c r="AR6818" s="19"/>
      <c r="AS6818" s="19"/>
      <c r="AT6818" s="19"/>
      <c r="AU6818" s="19"/>
    </row>
    <row r="6819" spans="3:47">
      <c r="C6819" s="20"/>
      <c r="Z6819" s="20"/>
      <c r="AG6819" s="20"/>
      <c r="AQ6819" s="19"/>
      <c r="AR6819" s="19"/>
      <c r="AS6819" s="19"/>
      <c r="AT6819" s="19"/>
      <c r="AU6819" s="19"/>
    </row>
    <row r="6820" spans="3:47">
      <c r="C6820" s="20"/>
      <c r="Z6820" s="20"/>
      <c r="AG6820" s="20"/>
      <c r="AQ6820" s="19"/>
      <c r="AR6820" s="19"/>
      <c r="AS6820" s="19"/>
      <c r="AT6820" s="19"/>
      <c r="AU6820" s="19"/>
    </row>
    <row r="6821" spans="3:47">
      <c r="C6821" s="20"/>
      <c r="Z6821" s="20"/>
      <c r="AG6821" s="20"/>
      <c r="AQ6821" s="19"/>
      <c r="AR6821" s="19"/>
      <c r="AS6821" s="19"/>
      <c r="AT6821" s="19"/>
      <c r="AU6821" s="19"/>
    </row>
    <row r="6822" spans="3:47">
      <c r="C6822" s="20"/>
      <c r="Z6822" s="20"/>
      <c r="AG6822" s="20"/>
      <c r="AQ6822" s="19"/>
      <c r="AR6822" s="19"/>
      <c r="AS6822" s="19"/>
      <c r="AT6822" s="19"/>
      <c r="AU6822" s="19"/>
    </row>
    <row r="6823" spans="3:47">
      <c r="C6823" s="20"/>
      <c r="Z6823" s="20"/>
      <c r="AG6823" s="20"/>
      <c r="AQ6823" s="19"/>
      <c r="AR6823" s="19"/>
      <c r="AS6823" s="19"/>
      <c r="AT6823" s="19"/>
      <c r="AU6823" s="19"/>
    </row>
    <row r="6824" spans="3:47">
      <c r="C6824" s="20"/>
      <c r="Z6824" s="20"/>
      <c r="AG6824" s="20"/>
      <c r="AQ6824" s="19"/>
      <c r="AR6824" s="19"/>
      <c r="AS6824" s="19"/>
      <c r="AT6824" s="19"/>
      <c r="AU6824" s="19"/>
    </row>
    <row r="6825" spans="3:47">
      <c r="C6825" s="20"/>
      <c r="Z6825" s="20"/>
      <c r="AG6825" s="20"/>
      <c r="AQ6825" s="19"/>
      <c r="AR6825" s="19"/>
      <c r="AS6825" s="19"/>
      <c r="AT6825" s="19"/>
      <c r="AU6825" s="19"/>
    </row>
    <row r="6826" spans="3:47">
      <c r="C6826" s="20"/>
      <c r="Z6826" s="20"/>
      <c r="AG6826" s="20"/>
      <c r="AQ6826" s="19"/>
      <c r="AR6826" s="19"/>
      <c r="AS6826" s="19"/>
      <c r="AT6826" s="19"/>
      <c r="AU6826" s="19"/>
    </row>
    <row r="6827" spans="3:47">
      <c r="C6827" s="20"/>
      <c r="Z6827" s="20"/>
      <c r="AG6827" s="20"/>
      <c r="AQ6827" s="19"/>
      <c r="AR6827" s="19"/>
      <c r="AS6827" s="19"/>
      <c r="AT6827" s="19"/>
      <c r="AU6827" s="19"/>
    </row>
    <row r="6828" spans="3:47">
      <c r="C6828" s="20"/>
      <c r="Z6828" s="20"/>
      <c r="AG6828" s="20"/>
      <c r="AQ6828" s="19"/>
      <c r="AR6828" s="19"/>
      <c r="AS6828" s="19"/>
      <c r="AT6828" s="19"/>
      <c r="AU6828" s="19"/>
    </row>
    <row r="6829" spans="3:47">
      <c r="C6829" s="20"/>
      <c r="Z6829" s="20"/>
      <c r="AG6829" s="20"/>
      <c r="AQ6829" s="19"/>
      <c r="AR6829" s="19"/>
      <c r="AS6829" s="19"/>
      <c r="AT6829" s="19"/>
      <c r="AU6829" s="19"/>
    </row>
    <row r="6830" spans="3:47">
      <c r="C6830" s="20"/>
      <c r="Z6830" s="20"/>
      <c r="AG6830" s="20"/>
      <c r="AQ6830" s="19"/>
      <c r="AR6830" s="19"/>
      <c r="AS6830" s="19"/>
      <c r="AT6830" s="19"/>
      <c r="AU6830" s="19"/>
    </row>
    <row r="6831" spans="3:47">
      <c r="C6831" s="20"/>
      <c r="Z6831" s="20"/>
      <c r="AG6831" s="20"/>
      <c r="AQ6831" s="19"/>
      <c r="AR6831" s="19"/>
      <c r="AS6831" s="19"/>
      <c r="AT6831" s="19"/>
      <c r="AU6831" s="19"/>
    </row>
    <row r="6832" spans="3:47">
      <c r="C6832" s="20"/>
      <c r="Z6832" s="20"/>
      <c r="AG6832" s="20"/>
      <c r="AQ6832" s="19"/>
      <c r="AR6832" s="19"/>
      <c r="AS6832" s="19"/>
      <c r="AT6832" s="19"/>
      <c r="AU6832" s="19"/>
    </row>
    <row r="6833" spans="3:47">
      <c r="C6833" s="20"/>
      <c r="Z6833" s="20"/>
      <c r="AG6833" s="20"/>
      <c r="AQ6833" s="19"/>
      <c r="AR6833" s="19"/>
      <c r="AS6833" s="19"/>
      <c r="AT6833" s="19"/>
      <c r="AU6833" s="19"/>
    </row>
    <row r="6834" spans="3:47">
      <c r="C6834" s="20"/>
      <c r="Z6834" s="20"/>
      <c r="AG6834" s="20"/>
      <c r="AQ6834" s="19"/>
      <c r="AR6834" s="19"/>
      <c r="AS6834" s="19"/>
      <c r="AT6834" s="19"/>
      <c r="AU6834" s="19"/>
    </row>
    <row r="6835" spans="3:47">
      <c r="C6835" s="20"/>
      <c r="Z6835" s="20"/>
      <c r="AG6835" s="20"/>
      <c r="AQ6835" s="19"/>
      <c r="AR6835" s="19"/>
      <c r="AS6835" s="19"/>
      <c r="AT6835" s="19"/>
      <c r="AU6835" s="19"/>
    </row>
    <row r="6836" spans="3:47">
      <c r="C6836" s="20"/>
      <c r="Z6836" s="20"/>
      <c r="AG6836" s="20"/>
      <c r="AQ6836" s="19"/>
      <c r="AR6836" s="19"/>
      <c r="AS6836" s="19"/>
      <c r="AT6836" s="19"/>
      <c r="AU6836" s="19"/>
    </row>
    <row r="6837" spans="3:47">
      <c r="C6837" s="20"/>
      <c r="Z6837" s="20"/>
      <c r="AG6837" s="20"/>
      <c r="AQ6837" s="19"/>
      <c r="AR6837" s="19"/>
      <c r="AS6837" s="19"/>
      <c r="AT6837" s="19"/>
      <c r="AU6837" s="19"/>
    </row>
    <row r="6838" spans="3:47">
      <c r="C6838" s="20"/>
      <c r="Z6838" s="20"/>
      <c r="AG6838" s="20"/>
      <c r="AQ6838" s="19"/>
      <c r="AR6838" s="19"/>
      <c r="AS6838" s="19"/>
      <c r="AT6838" s="19"/>
      <c r="AU6838" s="19"/>
    </row>
    <row r="6839" spans="3:47">
      <c r="C6839" s="20"/>
      <c r="Z6839" s="20"/>
      <c r="AG6839" s="20"/>
      <c r="AQ6839" s="19"/>
      <c r="AR6839" s="19"/>
      <c r="AS6839" s="19"/>
      <c r="AT6839" s="19"/>
      <c r="AU6839" s="19"/>
    </row>
    <row r="6840" spans="3:47">
      <c r="C6840" s="20"/>
      <c r="Z6840" s="20"/>
      <c r="AG6840" s="20"/>
      <c r="AQ6840" s="19"/>
      <c r="AR6840" s="19"/>
      <c r="AS6840" s="19"/>
      <c r="AT6840" s="19"/>
      <c r="AU6840" s="19"/>
    </row>
    <row r="6841" spans="3:47">
      <c r="C6841" s="20"/>
      <c r="Z6841" s="20"/>
      <c r="AG6841" s="20"/>
      <c r="AQ6841" s="19"/>
      <c r="AR6841" s="19"/>
      <c r="AS6841" s="19"/>
      <c r="AT6841" s="19"/>
      <c r="AU6841" s="19"/>
    </row>
    <row r="6842" spans="3:47">
      <c r="C6842" s="20"/>
      <c r="Z6842" s="20"/>
      <c r="AG6842" s="20"/>
      <c r="AQ6842" s="19"/>
      <c r="AR6842" s="19"/>
      <c r="AS6842" s="19"/>
      <c r="AT6842" s="19"/>
      <c r="AU6842" s="19"/>
    </row>
    <row r="6843" spans="3:47">
      <c r="C6843" s="20"/>
      <c r="Z6843" s="20"/>
      <c r="AG6843" s="20"/>
      <c r="AQ6843" s="19"/>
      <c r="AR6843" s="19"/>
      <c r="AS6843" s="19"/>
      <c r="AT6843" s="19"/>
      <c r="AU6843" s="19"/>
    </row>
    <row r="6844" spans="3:47">
      <c r="C6844" s="20"/>
      <c r="Z6844" s="20"/>
      <c r="AG6844" s="20"/>
      <c r="AQ6844" s="19"/>
      <c r="AR6844" s="19"/>
      <c r="AS6844" s="19"/>
      <c r="AT6844" s="19"/>
      <c r="AU6844" s="19"/>
    </row>
    <row r="6845" spans="3:47">
      <c r="C6845" s="20"/>
      <c r="Z6845" s="20"/>
      <c r="AG6845" s="20"/>
      <c r="AQ6845" s="19"/>
      <c r="AR6845" s="19"/>
      <c r="AS6845" s="19"/>
      <c r="AT6845" s="19"/>
      <c r="AU6845" s="19"/>
    </row>
    <row r="6846" spans="3:47">
      <c r="C6846" s="20"/>
      <c r="Z6846" s="20"/>
      <c r="AG6846" s="20"/>
      <c r="AQ6846" s="19"/>
      <c r="AR6846" s="19"/>
      <c r="AS6846" s="19"/>
      <c r="AT6846" s="19"/>
      <c r="AU6846" s="19"/>
    </row>
    <row r="6847" spans="3:47">
      <c r="C6847" s="20"/>
      <c r="Z6847" s="20"/>
      <c r="AG6847" s="20"/>
      <c r="AQ6847" s="19"/>
      <c r="AR6847" s="19"/>
      <c r="AS6847" s="19"/>
      <c r="AT6847" s="19"/>
      <c r="AU6847" s="19"/>
    </row>
    <row r="6848" spans="3:47">
      <c r="C6848" s="20"/>
      <c r="Z6848" s="20"/>
      <c r="AG6848" s="20"/>
      <c r="AQ6848" s="19"/>
      <c r="AR6848" s="19"/>
      <c r="AS6848" s="19"/>
      <c r="AT6848" s="19"/>
      <c r="AU6848" s="19"/>
    </row>
    <row r="6849" spans="3:47">
      <c r="C6849" s="20"/>
      <c r="Z6849" s="20"/>
      <c r="AG6849" s="20"/>
      <c r="AQ6849" s="19"/>
      <c r="AR6849" s="19"/>
      <c r="AS6849" s="19"/>
      <c r="AT6849" s="19"/>
      <c r="AU6849" s="19"/>
    </row>
    <row r="6850" spans="3:47">
      <c r="C6850" s="20"/>
      <c r="Z6850" s="20"/>
      <c r="AG6850" s="20"/>
      <c r="AQ6850" s="19"/>
      <c r="AR6850" s="19"/>
      <c r="AS6850" s="19"/>
      <c r="AT6850" s="19"/>
      <c r="AU6850" s="19"/>
    </row>
    <row r="6851" spans="3:47">
      <c r="C6851" s="20"/>
      <c r="Z6851" s="20"/>
      <c r="AG6851" s="20"/>
      <c r="AQ6851" s="19"/>
      <c r="AR6851" s="19"/>
      <c r="AS6851" s="19"/>
      <c r="AT6851" s="19"/>
      <c r="AU6851" s="19"/>
    </row>
    <row r="6852" spans="3:47">
      <c r="C6852" s="20"/>
      <c r="Z6852" s="20"/>
      <c r="AG6852" s="20"/>
      <c r="AQ6852" s="19"/>
      <c r="AR6852" s="19"/>
      <c r="AS6852" s="19"/>
      <c r="AT6852" s="19"/>
      <c r="AU6852" s="19"/>
    </row>
    <row r="6853" spans="3:47">
      <c r="C6853" s="20"/>
      <c r="Z6853" s="20"/>
      <c r="AG6853" s="20"/>
      <c r="AQ6853" s="19"/>
      <c r="AR6853" s="19"/>
      <c r="AS6853" s="19"/>
      <c r="AT6853" s="19"/>
      <c r="AU6853" s="19"/>
    </row>
    <row r="6854" spans="3:47">
      <c r="C6854" s="20"/>
      <c r="Z6854" s="20"/>
      <c r="AG6854" s="20"/>
      <c r="AQ6854" s="19"/>
      <c r="AR6854" s="19"/>
      <c r="AS6854" s="19"/>
      <c r="AT6854" s="19"/>
      <c r="AU6854" s="19"/>
    </row>
    <row r="6855" spans="3:47">
      <c r="C6855" s="20"/>
      <c r="Z6855" s="20"/>
      <c r="AG6855" s="20"/>
      <c r="AQ6855" s="19"/>
      <c r="AR6855" s="19"/>
      <c r="AS6855" s="19"/>
      <c r="AT6855" s="19"/>
      <c r="AU6855" s="19"/>
    </row>
    <row r="6856" spans="3:47">
      <c r="C6856" s="20"/>
      <c r="Z6856" s="20"/>
      <c r="AG6856" s="20"/>
      <c r="AQ6856" s="19"/>
      <c r="AR6856" s="19"/>
      <c r="AS6856" s="19"/>
      <c r="AT6856" s="19"/>
      <c r="AU6856" s="19"/>
    </row>
    <row r="6857" spans="3:47">
      <c r="C6857" s="20"/>
      <c r="Z6857" s="20"/>
      <c r="AG6857" s="20"/>
      <c r="AQ6857" s="19"/>
      <c r="AR6857" s="19"/>
      <c r="AS6857" s="19"/>
      <c r="AT6857" s="19"/>
      <c r="AU6857" s="19"/>
    </row>
    <row r="6858" spans="3:47">
      <c r="C6858" s="20"/>
      <c r="Z6858" s="20"/>
      <c r="AG6858" s="20"/>
      <c r="AQ6858" s="19"/>
      <c r="AR6858" s="19"/>
      <c r="AS6858" s="19"/>
      <c r="AT6858" s="19"/>
      <c r="AU6858" s="19"/>
    </row>
    <row r="6859" spans="3:47">
      <c r="C6859" s="20"/>
      <c r="Z6859" s="20"/>
      <c r="AG6859" s="20"/>
      <c r="AQ6859" s="19"/>
      <c r="AR6859" s="19"/>
      <c r="AS6859" s="19"/>
      <c r="AT6859" s="19"/>
      <c r="AU6859" s="19"/>
    </row>
    <row r="6860" spans="3:47">
      <c r="C6860" s="20"/>
      <c r="Z6860" s="20"/>
      <c r="AG6860" s="20"/>
      <c r="AQ6860" s="19"/>
      <c r="AR6860" s="19"/>
      <c r="AS6860" s="19"/>
      <c r="AT6860" s="19"/>
      <c r="AU6860" s="19"/>
    </row>
    <row r="6861" spans="3:47">
      <c r="C6861" s="20"/>
      <c r="Z6861" s="20"/>
      <c r="AG6861" s="20"/>
      <c r="AQ6861" s="19"/>
      <c r="AR6861" s="19"/>
      <c r="AS6861" s="19"/>
      <c r="AT6861" s="19"/>
      <c r="AU6861" s="19"/>
    </row>
    <row r="6862" spans="3:47">
      <c r="C6862" s="20"/>
      <c r="Z6862" s="20"/>
      <c r="AG6862" s="20"/>
      <c r="AQ6862" s="19"/>
      <c r="AR6862" s="19"/>
      <c r="AS6862" s="19"/>
      <c r="AT6862" s="19"/>
      <c r="AU6862" s="19"/>
    </row>
    <row r="6863" spans="3:47">
      <c r="C6863" s="20"/>
      <c r="Z6863" s="20"/>
      <c r="AG6863" s="20"/>
      <c r="AQ6863" s="19"/>
      <c r="AR6863" s="19"/>
      <c r="AS6863" s="19"/>
      <c r="AT6863" s="19"/>
      <c r="AU6863" s="19"/>
    </row>
    <row r="6864" spans="3:47">
      <c r="C6864" s="20"/>
      <c r="Z6864" s="20"/>
      <c r="AG6864" s="20"/>
      <c r="AQ6864" s="19"/>
      <c r="AR6864" s="19"/>
      <c r="AS6864" s="19"/>
      <c r="AT6864" s="19"/>
      <c r="AU6864" s="19"/>
    </row>
    <row r="6865" spans="3:47">
      <c r="C6865" s="20"/>
      <c r="Z6865" s="20"/>
      <c r="AG6865" s="20"/>
      <c r="AQ6865" s="19"/>
      <c r="AR6865" s="19"/>
      <c r="AS6865" s="19"/>
      <c r="AT6865" s="19"/>
      <c r="AU6865" s="19"/>
    </row>
    <row r="6866" spans="3:47">
      <c r="C6866" s="20"/>
      <c r="Z6866" s="20"/>
      <c r="AG6866" s="20"/>
      <c r="AQ6866" s="19"/>
      <c r="AR6866" s="19"/>
      <c r="AS6866" s="19"/>
      <c r="AT6866" s="19"/>
      <c r="AU6866" s="19"/>
    </row>
    <row r="6867" spans="3:47">
      <c r="C6867" s="20"/>
      <c r="Z6867" s="20"/>
      <c r="AG6867" s="20"/>
      <c r="AQ6867" s="19"/>
      <c r="AR6867" s="19"/>
      <c r="AS6867" s="19"/>
      <c r="AT6867" s="19"/>
      <c r="AU6867" s="19"/>
    </row>
    <row r="6868" spans="3:47">
      <c r="C6868" s="20"/>
      <c r="Z6868" s="20"/>
      <c r="AG6868" s="20"/>
      <c r="AQ6868" s="19"/>
      <c r="AR6868" s="19"/>
      <c r="AS6868" s="19"/>
      <c r="AT6868" s="19"/>
      <c r="AU6868" s="19"/>
    </row>
    <row r="6869" spans="3:47">
      <c r="C6869" s="20"/>
      <c r="Z6869" s="20"/>
      <c r="AG6869" s="20"/>
      <c r="AQ6869" s="19"/>
      <c r="AR6869" s="19"/>
      <c r="AS6869" s="19"/>
      <c r="AT6869" s="19"/>
      <c r="AU6869" s="19"/>
    </row>
    <row r="6870" spans="3:47">
      <c r="C6870" s="20"/>
      <c r="Z6870" s="20"/>
      <c r="AG6870" s="20"/>
      <c r="AQ6870" s="19"/>
      <c r="AR6870" s="19"/>
      <c r="AS6870" s="19"/>
      <c r="AT6870" s="19"/>
      <c r="AU6870" s="19"/>
    </row>
    <row r="6871" spans="3:47">
      <c r="C6871" s="20"/>
      <c r="Z6871" s="20"/>
      <c r="AG6871" s="20"/>
      <c r="AQ6871" s="19"/>
      <c r="AR6871" s="19"/>
      <c r="AS6871" s="19"/>
      <c r="AT6871" s="19"/>
      <c r="AU6871" s="19"/>
    </row>
    <row r="6872" spans="3:47">
      <c r="C6872" s="20"/>
      <c r="Z6872" s="20"/>
      <c r="AG6872" s="20"/>
      <c r="AQ6872" s="19"/>
      <c r="AR6872" s="19"/>
      <c r="AS6872" s="19"/>
      <c r="AT6872" s="19"/>
      <c r="AU6872" s="19"/>
    </row>
    <row r="6873" spans="3:47">
      <c r="C6873" s="20"/>
      <c r="Z6873" s="20"/>
      <c r="AG6873" s="20"/>
      <c r="AQ6873" s="19"/>
      <c r="AR6873" s="19"/>
      <c r="AS6873" s="19"/>
      <c r="AT6873" s="19"/>
      <c r="AU6873" s="19"/>
    </row>
    <row r="6874" spans="3:47">
      <c r="C6874" s="20"/>
      <c r="Z6874" s="20"/>
      <c r="AG6874" s="20"/>
      <c r="AQ6874" s="19"/>
      <c r="AR6874" s="19"/>
      <c r="AS6874" s="19"/>
      <c r="AT6874" s="19"/>
      <c r="AU6874" s="19"/>
    </row>
    <row r="6875" spans="3:47">
      <c r="C6875" s="20"/>
      <c r="Z6875" s="20"/>
      <c r="AG6875" s="20"/>
      <c r="AQ6875" s="19"/>
      <c r="AR6875" s="19"/>
      <c r="AS6875" s="19"/>
      <c r="AT6875" s="19"/>
      <c r="AU6875" s="19"/>
    </row>
    <row r="6876" spans="3:47">
      <c r="C6876" s="20"/>
      <c r="Z6876" s="20"/>
      <c r="AG6876" s="20"/>
      <c r="AQ6876" s="19"/>
      <c r="AR6876" s="19"/>
      <c r="AS6876" s="19"/>
      <c r="AT6876" s="19"/>
      <c r="AU6876" s="19"/>
    </row>
    <row r="6877" spans="3:47">
      <c r="C6877" s="20"/>
      <c r="Z6877" s="20"/>
      <c r="AG6877" s="20"/>
      <c r="AQ6877" s="19"/>
      <c r="AR6877" s="19"/>
      <c r="AS6877" s="19"/>
      <c r="AT6877" s="19"/>
      <c r="AU6877" s="19"/>
    </row>
    <row r="6878" spans="3:47">
      <c r="C6878" s="20"/>
      <c r="Z6878" s="20"/>
      <c r="AG6878" s="20"/>
      <c r="AQ6878" s="19"/>
      <c r="AR6878" s="19"/>
      <c r="AS6878" s="19"/>
      <c r="AT6878" s="19"/>
      <c r="AU6878" s="19"/>
    </row>
    <row r="6879" spans="3:47">
      <c r="C6879" s="20"/>
      <c r="Z6879" s="20"/>
      <c r="AG6879" s="20"/>
      <c r="AQ6879" s="19"/>
      <c r="AR6879" s="19"/>
      <c r="AS6879" s="19"/>
      <c r="AT6879" s="19"/>
      <c r="AU6879" s="19"/>
    </row>
    <row r="6880" spans="3:47">
      <c r="C6880" s="20"/>
      <c r="Z6880" s="20"/>
      <c r="AG6880" s="20"/>
      <c r="AQ6880" s="19"/>
      <c r="AR6880" s="19"/>
      <c r="AS6880" s="19"/>
      <c r="AT6880" s="19"/>
      <c r="AU6880" s="19"/>
    </row>
    <row r="6881" spans="3:47">
      <c r="C6881" s="20"/>
      <c r="Z6881" s="20"/>
      <c r="AG6881" s="20"/>
      <c r="AQ6881" s="19"/>
      <c r="AR6881" s="19"/>
      <c r="AS6881" s="19"/>
      <c r="AT6881" s="19"/>
      <c r="AU6881" s="19"/>
    </row>
    <row r="6882" spans="3:47">
      <c r="C6882" s="20"/>
      <c r="Z6882" s="20"/>
      <c r="AG6882" s="20"/>
      <c r="AQ6882" s="19"/>
      <c r="AR6882" s="19"/>
      <c r="AS6882" s="19"/>
      <c r="AT6882" s="19"/>
      <c r="AU6882" s="19"/>
    </row>
    <row r="6883" spans="3:47">
      <c r="C6883" s="20"/>
      <c r="Z6883" s="20"/>
      <c r="AG6883" s="20"/>
      <c r="AQ6883" s="19"/>
      <c r="AR6883" s="19"/>
      <c r="AS6883" s="19"/>
      <c r="AT6883" s="19"/>
      <c r="AU6883" s="19"/>
    </row>
    <row r="6884" spans="3:47">
      <c r="C6884" s="20"/>
      <c r="Z6884" s="20"/>
      <c r="AG6884" s="20"/>
      <c r="AQ6884" s="19"/>
      <c r="AR6884" s="19"/>
      <c r="AS6884" s="19"/>
      <c r="AT6884" s="19"/>
      <c r="AU6884" s="19"/>
    </row>
    <row r="6885" spans="3:47">
      <c r="C6885" s="20"/>
      <c r="Z6885" s="20"/>
      <c r="AG6885" s="20"/>
      <c r="AQ6885" s="19"/>
      <c r="AR6885" s="19"/>
      <c r="AS6885" s="19"/>
      <c r="AT6885" s="19"/>
      <c r="AU6885" s="19"/>
    </row>
    <row r="6886" spans="3:47">
      <c r="C6886" s="20"/>
      <c r="Z6886" s="20"/>
      <c r="AG6886" s="20"/>
      <c r="AQ6886" s="19"/>
      <c r="AR6886" s="19"/>
      <c r="AS6886" s="19"/>
      <c r="AT6886" s="19"/>
      <c r="AU6886" s="19"/>
    </row>
    <row r="6887" spans="3:47">
      <c r="C6887" s="20"/>
      <c r="Z6887" s="20"/>
      <c r="AG6887" s="20"/>
      <c r="AQ6887" s="19"/>
      <c r="AR6887" s="19"/>
      <c r="AS6887" s="19"/>
      <c r="AT6887" s="19"/>
      <c r="AU6887" s="19"/>
    </row>
    <row r="6888" spans="3:47">
      <c r="C6888" s="20"/>
      <c r="Z6888" s="20"/>
      <c r="AG6888" s="20"/>
      <c r="AQ6888" s="19"/>
      <c r="AR6888" s="19"/>
      <c r="AS6888" s="19"/>
      <c r="AT6888" s="19"/>
      <c r="AU6888" s="19"/>
    </row>
    <row r="6889" spans="3:47">
      <c r="C6889" s="20"/>
      <c r="Z6889" s="20"/>
      <c r="AG6889" s="20"/>
      <c r="AQ6889" s="19"/>
      <c r="AR6889" s="19"/>
      <c r="AS6889" s="19"/>
      <c r="AT6889" s="19"/>
      <c r="AU6889" s="19"/>
    </row>
    <row r="6890" spans="3:47">
      <c r="C6890" s="20"/>
      <c r="Z6890" s="20"/>
      <c r="AG6890" s="20"/>
      <c r="AQ6890" s="19"/>
      <c r="AR6890" s="19"/>
      <c r="AS6890" s="19"/>
      <c r="AT6890" s="19"/>
      <c r="AU6890" s="19"/>
    </row>
    <row r="6891" spans="3:47">
      <c r="C6891" s="20"/>
      <c r="Z6891" s="20"/>
      <c r="AG6891" s="20"/>
      <c r="AQ6891" s="19"/>
      <c r="AR6891" s="19"/>
      <c r="AS6891" s="19"/>
      <c r="AT6891" s="19"/>
      <c r="AU6891" s="19"/>
    </row>
    <row r="6892" spans="3:47">
      <c r="C6892" s="20"/>
      <c r="Z6892" s="20"/>
      <c r="AG6892" s="20"/>
      <c r="AQ6892" s="19"/>
      <c r="AR6892" s="19"/>
      <c r="AS6892" s="19"/>
      <c r="AT6892" s="19"/>
      <c r="AU6892" s="19"/>
    </row>
    <row r="6893" spans="3:47">
      <c r="C6893" s="20"/>
      <c r="Z6893" s="20"/>
      <c r="AG6893" s="20"/>
      <c r="AQ6893" s="19"/>
      <c r="AR6893" s="19"/>
      <c r="AS6893" s="19"/>
      <c r="AT6893" s="19"/>
      <c r="AU6893" s="19"/>
    </row>
    <row r="6894" spans="3:47">
      <c r="C6894" s="20"/>
      <c r="Z6894" s="20"/>
      <c r="AG6894" s="20"/>
      <c r="AQ6894" s="19"/>
      <c r="AR6894" s="19"/>
      <c r="AS6894" s="19"/>
      <c r="AT6894" s="19"/>
      <c r="AU6894" s="19"/>
    </row>
    <row r="6895" spans="3:47">
      <c r="C6895" s="20"/>
      <c r="Z6895" s="20"/>
      <c r="AG6895" s="20"/>
      <c r="AQ6895" s="19"/>
      <c r="AR6895" s="19"/>
      <c r="AS6895" s="19"/>
      <c r="AT6895" s="19"/>
      <c r="AU6895" s="19"/>
    </row>
    <row r="6896" spans="3:47">
      <c r="C6896" s="20"/>
      <c r="Z6896" s="20"/>
      <c r="AG6896" s="20"/>
      <c r="AQ6896" s="19"/>
      <c r="AR6896" s="19"/>
      <c r="AS6896" s="19"/>
      <c r="AT6896" s="19"/>
      <c r="AU6896" s="19"/>
    </row>
    <row r="6897" spans="3:47">
      <c r="C6897" s="20"/>
      <c r="Z6897" s="20"/>
      <c r="AG6897" s="20"/>
      <c r="AQ6897" s="19"/>
      <c r="AR6897" s="19"/>
      <c r="AS6897" s="19"/>
      <c r="AT6897" s="19"/>
      <c r="AU6897" s="19"/>
    </row>
    <row r="6898" spans="3:47">
      <c r="C6898" s="20"/>
      <c r="Z6898" s="20"/>
      <c r="AG6898" s="20"/>
      <c r="AQ6898" s="19"/>
      <c r="AR6898" s="19"/>
      <c r="AS6898" s="19"/>
      <c r="AT6898" s="19"/>
      <c r="AU6898" s="19"/>
    </row>
    <row r="6899" spans="3:47">
      <c r="C6899" s="20"/>
      <c r="Z6899" s="20"/>
      <c r="AG6899" s="20"/>
      <c r="AQ6899" s="19"/>
      <c r="AR6899" s="19"/>
      <c r="AS6899" s="19"/>
      <c r="AT6899" s="19"/>
      <c r="AU6899" s="19"/>
    </row>
    <row r="6900" spans="3:47">
      <c r="C6900" s="20"/>
      <c r="Z6900" s="20"/>
      <c r="AG6900" s="20"/>
      <c r="AQ6900" s="19"/>
      <c r="AR6900" s="19"/>
      <c r="AS6900" s="19"/>
      <c r="AT6900" s="19"/>
      <c r="AU6900" s="19"/>
    </row>
    <row r="6901" spans="3:47">
      <c r="C6901" s="20"/>
      <c r="Z6901" s="20"/>
      <c r="AG6901" s="20"/>
      <c r="AQ6901" s="19"/>
      <c r="AR6901" s="19"/>
      <c r="AS6901" s="19"/>
      <c r="AT6901" s="19"/>
      <c r="AU6901" s="19"/>
    </row>
    <row r="6902" spans="3:47">
      <c r="C6902" s="20"/>
      <c r="Z6902" s="20"/>
      <c r="AG6902" s="20"/>
      <c r="AQ6902" s="19"/>
      <c r="AR6902" s="19"/>
      <c r="AS6902" s="19"/>
      <c r="AT6902" s="19"/>
      <c r="AU6902" s="19"/>
    </row>
    <row r="6903" spans="3:47">
      <c r="C6903" s="20"/>
      <c r="Z6903" s="20"/>
      <c r="AG6903" s="20"/>
      <c r="AQ6903" s="19"/>
      <c r="AR6903" s="19"/>
      <c r="AS6903" s="19"/>
      <c r="AT6903" s="19"/>
      <c r="AU6903" s="19"/>
    </row>
    <row r="6904" spans="3:47">
      <c r="C6904" s="20"/>
      <c r="Z6904" s="20"/>
      <c r="AG6904" s="20"/>
      <c r="AQ6904" s="19"/>
      <c r="AR6904" s="19"/>
      <c r="AS6904" s="19"/>
      <c r="AT6904" s="19"/>
      <c r="AU6904" s="19"/>
    </row>
    <row r="6905" spans="3:47">
      <c r="C6905" s="20"/>
      <c r="Z6905" s="20"/>
      <c r="AG6905" s="20"/>
      <c r="AQ6905" s="19"/>
      <c r="AR6905" s="19"/>
      <c r="AS6905" s="19"/>
      <c r="AT6905" s="19"/>
      <c r="AU6905" s="19"/>
    </row>
    <row r="6906" spans="3:47">
      <c r="C6906" s="20"/>
      <c r="Z6906" s="20"/>
      <c r="AG6906" s="20"/>
      <c r="AQ6906" s="19"/>
      <c r="AR6906" s="19"/>
      <c r="AS6906" s="19"/>
      <c r="AT6906" s="19"/>
      <c r="AU6906" s="19"/>
    </row>
    <row r="6907" spans="3:47">
      <c r="C6907" s="20"/>
      <c r="Z6907" s="20"/>
      <c r="AG6907" s="20"/>
      <c r="AQ6907" s="19"/>
      <c r="AR6907" s="19"/>
      <c r="AS6907" s="19"/>
      <c r="AT6907" s="19"/>
      <c r="AU6907" s="19"/>
    </row>
    <row r="6908" spans="3:47">
      <c r="C6908" s="20"/>
      <c r="Z6908" s="20"/>
      <c r="AG6908" s="20"/>
      <c r="AQ6908" s="19"/>
      <c r="AR6908" s="19"/>
      <c r="AS6908" s="19"/>
      <c r="AT6908" s="19"/>
      <c r="AU6908" s="19"/>
    </row>
    <row r="6909" spans="3:47">
      <c r="C6909" s="20"/>
      <c r="Z6909" s="20"/>
      <c r="AG6909" s="20"/>
      <c r="AQ6909" s="19"/>
      <c r="AR6909" s="19"/>
      <c r="AS6909" s="19"/>
      <c r="AT6909" s="19"/>
      <c r="AU6909" s="19"/>
    </row>
    <row r="6910" spans="3:47">
      <c r="C6910" s="20"/>
      <c r="Z6910" s="20"/>
      <c r="AG6910" s="20"/>
      <c r="AQ6910" s="19"/>
      <c r="AR6910" s="19"/>
      <c r="AS6910" s="19"/>
      <c r="AT6910" s="19"/>
      <c r="AU6910" s="19"/>
    </row>
    <row r="6911" spans="3:47">
      <c r="C6911" s="20"/>
      <c r="Z6911" s="20"/>
      <c r="AG6911" s="20"/>
      <c r="AQ6911" s="19"/>
      <c r="AR6911" s="19"/>
      <c r="AS6911" s="19"/>
      <c r="AT6911" s="19"/>
      <c r="AU6911" s="19"/>
    </row>
    <row r="6912" spans="3:47">
      <c r="C6912" s="20"/>
      <c r="Z6912" s="20"/>
      <c r="AG6912" s="20"/>
      <c r="AQ6912" s="19"/>
      <c r="AR6912" s="19"/>
      <c r="AS6912" s="19"/>
      <c r="AT6912" s="19"/>
      <c r="AU6912" s="19"/>
    </row>
    <row r="6913" spans="3:47">
      <c r="C6913" s="20"/>
      <c r="Z6913" s="20"/>
      <c r="AG6913" s="20"/>
      <c r="AQ6913" s="19"/>
      <c r="AR6913" s="19"/>
      <c r="AS6913" s="19"/>
      <c r="AT6913" s="19"/>
      <c r="AU6913" s="19"/>
    </row>
    <row r="6914" spans="3:47">
      <c r="C6914" s="20"/>
      <c r="Z6914" s="20"/>
      <c r="AG6914" s="20"/>
      <c r="AQ6914" s="19"/>
      <c r="AR6914" s="19"/>
      <c r="AS6914" s="19"/>
      <c r="AT6914" s="19"/>
      <c r="AU6914" s="19"/>
    </row>
    <row r="6915" spans="3:47">
      <c r="C6915" s="20"/>
      <c r="Z6915" s="20"/>
      <c r="AG6915" s="20"/>
      <c r="AQ6915" s="19"/>
      <c r="AR6915" s="19"/>
      <c r="AS6915" s="19"/>
      <c r="AT6915" s="19"/>
      <c r="AU6915" s="19"/>
    </row>
    <row r="6916" spans="3:47">
      <c r="C6916" s="20"/>
      <c r="Z6916" s="20"/>
      <c r="AG6916" s="20"/>
      <c r="AQ6916" s="19"/>
      <c r="AR6916" s="19"/>
      <c r="AS6916" s="19"/>
      <c r="AT6916" s="19"/>
      <c r="AU6916" s="19"/>
    </row>
    <row r="6917" spans="3:47">
      <c r="C6917" s="20"/>
      <c r="Z6917" s="20"/>
      <c r="AG6917" s="20"/>
      <c r="AQ6917" s="19"/>
      <c r="AR6917" s="19"/>
      <c r="AS6917" s="19"/>
      <c r="AT6917" s="19"/>
      <c r="AU6917" s="19"/>
    </row>
    <row r="6918" spans="3:47">
      <c r="C6918" s="20"/>
      <c r="Z6918" s="20"/>
      <c r="AG6918" s="20"/>
      <c r="AQ6918" s="19"/>
      <c r="AR6918" s="19"/>
      <c r="AS6918" s="19"/>
      <c r="AT6918" s="19"/>
      <c r="AU6918" s="19"/>
    </row>
    <row r="6919" spans="3:47">
      <c r="C6919" s="20"/>
      <c r="Z6919" s="20"/>
      <c r="AG6919" s="20"/>
      <c r="AQ6919" s="19"/>
      <c r="AR6919" s="19"/>
      <c r="AS6919" s="19"/>
      <c r="AT6919" s="19"/>
      <c r="AU6919" s="19"/>
    </row>
    <row r="6920" spans="3:47">
      <c r="C6920" s="20"/>
      <c r="Z6920" s="20"/>
      <c r="AG6920" s="20"/>
      <c r="AQ6920" s="19"/>
      <c r="AR6920" s="19"/>
      <c r="AS6920" s="19"/>
      <c r="AT6920" s="19"/>
      <c r="AU6920" s="19"/>
    </row>
    <row r="6921" spans="3:47">
      <c r="C6921" s="20"/>
      <c r="Z6921" s="20"/>
      <c r="AG6921" s="20"/>
      <c r="AQ6921" s="19"/>
      <c r="AR6921" s="19"/>
      <c r="AS6921" s="19"/>
      <c r="AT6921" s="19"/>
      <c r="AU6921" s="19"/>
    </row>
    <row r="6922" spans="3:47">
      <c r="C6922" s="20"/>
      <c r="Z6922" s="20"/>
      <c r="AG6922" s="20"/>
      <c r="AQ6922" s="19"/>
      <c r="AR6922" s="19"/>
      <c r="AS6922" s="19"/>
      <c r="AT6922" s="19"/>
      <c r="AU6922" s="19"/>
    </row>
    <row r="6923" spans="3:47">
      <c r="C6923" s="20"/>
      <c r="Z6923" s="20"/>
      <c r="AG6923" s="20"/>
      <c r="AQ6923" s="19"/>
      <c r="AR6923" s="19"/>
      <c r="AS6923" s="19"/>
      <c r="AT6923" s="19"/>
      <c r="AU6923" s="19"/>
    </row>
    <row r="6924" spans="3:47">
      <c r="C6924" s="20"/>
      <c r="Z6924" s="20"/>
      <c r="AG6924" s="20"/>
      <c r="AQ6924" s="19"/>
      <c r="AR6924" s="19"/>
      <c r="AS6924" s="19"/>
      <c r="AT6924" s="19"/>
      <c r="AU6924" s="19"/>
    </row>
    <row r="6925" spans="3:47">
      <c r="C6925" s="20"/>
      <c r="Z6925" s="20"/>
      <c r="AG6925" s="20"/>
      <c r="AQ6925" s="19"/>
      <c r="AR6925" s="19"/>
      <c r="AS6925" s="19"/>
      <c r="AT6925" s="19"/>
      <c r="AU6925" s="19"/>
    </row>
    <row r="6926" spans="3:47">
      <c r="C6926" s="20"/>
      <c r="Z6926" s="20"/>
      <c r="AG6926" s="20"/>
      <c r="AQ6926" s="19"/>
      <c r="AR6926" s="19"/>
      <c r="AS6926" s="19"/>
      <c r="AT6926" s="19"/>
      <c r="AU6926" s="19"/>
    </row>
    <row r="6927" spans="3:47">
      <c r="C6927" s="20"/>
      <c r="Z6927" s="20"/>
      <c r="AG6927" s="20"/>
      <c r="AQ6927" s="19"/>
      <c r="AR6927" s="19"/>
      <c r="AS6927" s="19"/>
      <c r="AT6927" s="19"/>
      <c r="AU6927" s="19"/>
    </row>
    <row r="6928" spans="3:47">
      <c r="C6928" s="20"/>
      <c r="Z6928" s="20"/>
      <c r="AG6928" s="20"/>
      <c r="AQ6928" s="19"/>
      <c r="AR6928" s="19"/>
      <c r="AS6928" s="19"/>
      <c r="AT6928" s="19"/>
      <c r="AU6928" s="19"/>
    </row>
    <row r="6929" spans="3:47">
      <c r="C6929" s="20"/>
      <c r="Z6929" s="20"/>
      <c r="AG6929" s="20"/>
      <c r="AQ6929" s="19"/>
      <c r="AR6929" s="19"/>
      <c r="AS6929" s="19"/>
      <c r="AT6929" s="19"/>
      <c r="AU6929" s="19"/>
    </row>
    <row r="6930" spans="3:47">
      <c r="C6930" s="20"/>
      <c r="Z6930" s="20"/>
      <c r="AG6930" s="20"/>
      <c r="AQ6930" s="19"/>
      <c r="AR6930" s="19"/>
      <c r="AS6930" s="19"/>
      <c r="AT6930" s="19"/>
      <c r="AU6930" s="19"/>
    </row>
    <row r="6931" spans="3:47">
      <c r="C6931" s="20"/>
      <c r="Z6931" s="20"/>
      <c r="AG6931" s="20"/>
      <c r="AQ6931" s="19"/>
      <c r="AR6931" s="19"/>
      <c r="AS6931" s="19"/>
      <c r="AT6931" s="19"/>
      <c r="AU6931" s="19"/>
    </row>
    <row r="6932" spans="3:47">
      <c r="C6932" s="20"/>
      <c r="Z6932" s="20"/>
      <c r="AG6932" s="20"/>
      <c r="AQ6932" s="19"/>
      <c r="AR6932" s="19"/>
      <c r="AS6932" s="19"/>
      <c r="AT6932" s="19"/>
      <c r="AU6932" s="19"/>
    </row>
    <row r="6933" spans="3:47">
      <c r="C6933" s="20"/>
      <c r="Z6933" s="20"/>
      <c r="AG6933" s="20"/>
      <c r="AQ6933" s="19"/>
      <c r="AR6933" s="19"/>
      <c r="AS6933" s="19"/>
      <c r="AT6933" s="19"/>
      <c r="AU6933" s="19"/>
    </row>
    <row r="6934" spans="3:47">
      <c r="C6934" s="20"/>
      <c r="Z6934" s="20"/>
      <c r="AG6934" s="20"/>
      <c r="AQ6934" s="19"/>
      <c r="AR6934" s="19"/>
      <c r="AS6934" s="19"/>
      <c r="AT6934" s="19"/>
      <c r="AU6934" s="19"/>
    </row>
    <row r="6935" spans="3:47">
      <c r="C6935" s="20"/>
      <c r="Z6935" s="20"/>
      <c r="AG6935" s="20"/>
      <c r="AQ6935" s="19"/>
      <c r="AR6935" s="19"/>
      <c r="AS6935" s="19"/>
      <c r="AT6935" s="19"/>
      <c r="AU6935" s="19"/>
    </row>
    <row r="6936" spans="3:47">
      <c r="C6936" s="20"/>
      <c r="Z6936" s="20"/>
      <c r="AG6936" s="20"/>
      <c r="AQ6936" s="19"/>
      <c r="AR6936" s="19"/>
      <c r="AS6936" s="19"/>
      <c r="AT6936" s="19"/>
      <c r="AU6936" s="19"/>
    </row>
    <row r="6937" spans="3:47">
      <c r="C6937" s="20"/>
      <c r="Z6937" s="20"/>
      <c r="AG6937" s="20"/>
      <c r="AQ6937" s="19"/>
      <c r="AR6937" s="19"/>
      <c r="AS6937" s="19"/>
      <c r="AT6937" s="19"/>
      <c r="AU6937" s="19"/>
    </row>
    <row r="6938" spans="3:47">
      <c r="C6938" s="20"/>
      <c r="Z6938" s="20"/>
      <c r="AG6938" s="20"/>
      <c r="AQ6938" s="19"/>
      <c r="AR6938" s="19"/>
      <c r="AS6938" s="19"/>
      <c r="AT6938" s="19"/>
      <c r="AU6938" s="19"/>
    </row>
    <row r="6939" spans="3:47">
      <c r="C6939" s="20"/>
      <c r="Z6939" s="20"/>
      <c r="AG6939" s="20"/>
      <c r="AQ6939" s="19"/>
      <c r="AR6939" s="19"/>
      <c r="AS6939" s="19"/>
      <c r="AT6939" s="19"/>
      <c r="AU6939" s="19"/>
    </row>
    <row r="6940" spans="3:47">
      <c r="C6940" s="20"/>
      <c r="Z6940" s="20"/>
      <c r="AG6940" s="20"/>
      <c r="AQ6940" s="19"/>
      <c r="AR6940" s="19"/>
      <c r="AS6940" s="19"/>
      <c r="AT6940" s="19"/>
      <c r="AU6940" s="19"/>
    </row>
    <row r="6941" spans="3:47">
      <c r="C6941" s="20"/>
      <c r="Z6941" s="20"/>
      <c r="AG6941" s="20"/>
      <c r="AQ6941" s="19"/>
      <c r="AR6941" s="19"/>
      <c r="AS6941" s="19"/>
      <c r="AT6941" s="19"/>
      <c r="AU6941" s="19"/>
    </row>
    <row r="6942" spans="3:47">
      <c r="C6942" s="20"/>
      <c r="Z6942" s="20"/>
      <c r="AG6942" s="20"/>
      <c r="AQ6942" s="19"/>
      <c r="AR6942" s="19"/>
      <c r="AS6942" s="19"/>
      <c r="AT6942" s="19"/>
      <c r="AU6942" s="19"/>
    </row>
    <row r="6943" spans="3:47">
      <c r="C6943" s="20"/>
      <c r="Z6943" s="20"/>
      <c r="AG6943" s="20"/>
      <c r="AQ6943" s="19"/>
      <c r="AR6943" s="19"/>
      <c r="AS6943" s="19"/>
      <c r="AT6943" s="19"/>
      <c r="AU6943" s="19"/>
    </row>
    <row r="6944" spans="3:47">
      <c r="C6944" s="20"/>
      <c r="Z6944" s="20"/>
      <c r="AG6944" s="20"/>
      <c r="AQ6944" s="19"/>
      <c r="AR6944" s="19"/>
      <c r="AS6944" s="19"/>
      <c r="AT6944" s="19"/>
      <c r="AU6944" s="19"/>
    </row>
    <row r="6945" spans="3:47">
      <c r="C6945" s="20"/>
      <c r="Z6945" s="20"/>
      <c r="AG6945" s="20"/>
      <c r="AQ6945" s="19"/>
      <c r="AR6945" s="19"/>
      <c r="AS6945" s="19"/>
      <c r="AT6945" s="19"/>
      <c r="AU6945" s="19"/>
    </row>
    <row r="6946" spans="3:47">
      <c r="C6946" s="20"/>
      <c r="Z6946" s="20"/>
      <c r="AG6946" s="20"/>
      <c r="AQ6946" s="19"/>
      <c r="AR6946" s="19"/>
      <c r="AS6946" s="19"/>
      <c r="AT6946" s="19"/>
      <c r="AU6946" s="19"/>
    </row>
    <row r="6947" spans="3:47">
      <c r="C6947" s="20"/>
      <c r="Z6947" s="20"/>
      <c r="AG6947" s="20"/>
      <c r="AQ6947" s="19"/>
      <c r="AR6947" s="19"/>
      <c r="AS6947" s="19"/>
      <c r="AT6947" s="19"/>
      <c r="AU6947" s="19"/>
    </row>
    <row r="6948" spans="3:47">
      <c r="C6948" s="20"/>
      <c r="Z6948" s="20"/>
      <c r="AG6948" s="20"/>
      <c r="AQ6948" s="19"/>
      <c r="AR6948" s="19"/>
      <c r="AS6948" s="19"/>
      <c r="AT6948" s="19"/>
      <c r="AU6948" s="19"/>
    </row>
    <row r="6949" spans="3:47">
      <c r="C6949" s="20"/>
      <c r="Z6949" s="20"/>
      <c r="AG6949" s="20"/>
      <c r="AQ6949" s="19"/>
      <c r="AR6949" s="19"/>
      <c r="AS6949" s="19"/>
      <c r="AT6949" s="19"/>
      <c r="AU6949" s="19"/>
    </row>
    <row r="6950" spans="3:47">
      <c r="C6950" s="20"/>
      <c r="Z6950" s="20"/>
      <c r="AG6950" s="20"/>
      <c r="AQ6950" s="19"/>
      <c r="AR6950" s="19"/>
      <c r="AS6950" s="19"/>
      <c r="AT6950" s="19"/>
      <c r="AU6950" s="19"/>
    </row>
    <row r="6951" spans="3:47">
      <c r="C6951" s="20"/>
      <c r="Z6951" s="20"/>
      <c r="AG6951" s="20"/>
      <c r="AQ6951" s="19"/>
      <c r="AR6951" s="19"/>
      <c r="AS6951" s="19"/>
      <c r="AT6951" s="19"/>
      <c r="AU6951" s="19"/>
    </row>
    <row r="6952" spans="3:47">
      <c r="C6952" s="20"/>
      <c r="Z6952" s="20"/>
      <c r="AG6952" s="20"/>
      <c r="AQ6952" s="19"/>
      <c r="AR6952" s="19"/>
      <c r="AS6952" s="19"/>
      <c r="AT6952" s="19"/>
      <c r="AU6952" s="19"/>
    </row>
    <row r="6953" spans="3:47">
      <c r="C6953" s="20"/>
      <c r="Z6953" s="20"/>
      <c r="AG6953" s="20"/>
      <c r="AQ6953" s="19"/>
      <c r="AR6953" s="19"/>
      <c r="AS6953" s="19"/>
      <c r="AT6953" s="19"/>
      <c r="AU6953" s="19"/>
    </row>
    <row r="6954" spans="3:47">
      <c r="C6954" s="20"/>
      <c r="Z6954" s="20"/>
      <c r="AG6954" s="20"/>
      <c r="AQ6954" s="19"/>
      <c r="AR6954" s="19"/>
      <c r="AS6954" s="19"/>
      <c r="AT6954" s="19"/>
      <c r="AU6954" s="19"/>
    </row>
    <row r="6955" spans="3:47">
      <c r="C6955" s="20"/>
      <c r="Z6955" s="20"/>
      <c r="AG6955" s="20"/>
      <c r="AQ6955" s="19"/>
      <c r="AR6955" s="19"/>
      <c r="AS6955" s="19"/>
      <c r="AT6955" s="19"/>
      <c r="AU6955" s="19"/>
    </row>
    <row r="6956" spans="3:47">
      <c r="C6956" s="20"/>
      <c r="Z6956" s="20"/>
      <c r="AG6956" s="20"/>
      <c r="AQ6956" s="19"/>
      <c r="AR6956" s="19"/>
      <c r="AS6956" s="19"/>
      <c r="AT6956" s="19"/>
      <c r="AU6956" s="19"/>
    </row>
    <row r="6957" spans="3:47">
      <c r="C6957" s="20"/>
      <c r="Z6957" s="20"/>
      <c r="AG6957" s="20"/>
      <c r="AQ6957" s="19"/>
      <c r="AR6957" s="19"/>
      <c r="AS6957" s="19"/>
      <c r="AT6957" s="19"/>
      <c r="AU6957" s="19"/>
    </row>
    <row r="6958" spans="3:47">
      <c r="C6958" s="20"/>
      <c r="Z6958" s="20"/>
      <c r="AG6958" s="20"/>
      <c r="AQ6958" s="19"/>
      <c r="AR6958" s="19"/>
      <c r="AS6958" s="19"/>
      <c r="AT6958" s="19"/>
      <c r="AU6958" s="19"/>
    </row>
    <row r="6959" spans="3:47">
      <c r="C6959" s="20"/>
      <c r="Z6959" s="20"/>
      <c r="AG6959" s="20"/>
      <c r="AQ6959" s="19"/>
      <c r="AR6959" s="19"/>
      <c r="AS6959" s="19"/>
      <c r="AT6959" s="19"/>
      <c r="AU6959" s="19"/>
    </row>
    <row r="6960" spans="3:47">
      <c r="C6960" s="20"/>
      <c r="Z6960" s="20"/>
      <c r="AG6960" s="20"/>
      <c r="AQ6960" s="19"/>
      <c r="AR6960" s="19"/>
      <c r="AS6960" s="19"/>
      <c r="AT6960" s="19"/>
      <c r="AU6960" s="19"/>
    </row>
    <row r="6961" spans="3:47">
      <c r="C6961" s="20"/>
      <c r="Z6961" s="20"/>
      <c r="AG6961" s="20"/>
      <c r="AQ6961" s="19"/>
      <c r="AR6961" s="19"/>
      <c r="AS6961" s="19"/>
      <c r="AT6961" s="19"/>
      <c r="AU6961" s="19"/>
    </row>
    <row r="6962" spans="3:47">
      <c r="C6962" s="20"/>
      <c r="Z6962" s="20"/>
      <c r="AG6962" s="20"/>
      <c r="AQ6962" s="19"/>
      <c r="AR6962" s="19"/>
      <c r="AS6962" s="19"/>
      <c r="AT6962" s="19"/>
      <c r="AU6962" s="19"/>
    </row>
    <row r="6963" spans="3:47">
      <c r="C6963" s="20"/>
      <c r="Z6963" s="20"/>
      <c r="AG6963" s="20"/>
      <c r="AQ6963" s="19"/>
      <c r="AR6963" s="19"/>
      <c r="AS6963" s="19"/>
      <c r="AT6963" s="19"/>
      <c r="AU6963" s="19"/>
    </row>
    <row r="6964" spans="3:47">
      <c r="C6964" s="20"/>
      <c r="Z6964" s="20"/>
      <c r="AG6964" s="20"/>
      <c r="AQ6964" s="19"/>
      <c r="AR6964" s="19"/>
      <c r="AS6964" s="19"/>
      <c r="AT6964" s="19"/>
      <c r="AU6964" s="19"/>
    </row>
    <row r="6965" spans="3:47">
      <c r="C6965" s="20"/>
      <c r="Z6965" s="20"/>
      <c r="AG6965" s="20"/>
      <c r="AQ6965" s="19"/>
      <c r="AR6965" s="19"/>
      <c r="AS6965" s="19"/>
      <c r="AT6965" s="19"/>
      <c r="AU6965" s="19"/>
    </row>
    <row r="6966" spans="3:47">
      <c r="C6966" s="20"/>
      <c r="Z6966" s="20"/>
      <c r="AG6966" s="20"/>
      <c r="AQ6966" s="19"/>
      <c r="AR6966" s="19"/>
      <c r="AS6966" s="19"/>
      <c r="AT6966" s="19"/>
      <c r="AU6966" s="19"/>
    </row>
    <row r="6967" spans="3:47">
      <c r="C6967" s="20"/>
      <c r="Z6967" s="20"/>
      <c r="AG6967" s="20"/>
      <c r="AQ6967" s="19"/>
      <c r="AR6967" s="19"/>
      <c r="AS6967" s="19"/>
      <c r="AT6967" s="19"/>
      <c r="AU6967" s="19"/>
    </row>
    <row r="6968" spans="3:47">
      <c r="C6968" s="20"/>
      <c r="Z6968" s="20"/>
      <c r="AG6968" s="20"/>
      <c r="AQ6968" s="19"/>
      <c r="AR6968" s="19"/>
      <c r="AS6968" s="19"/>
      <c r="AT6968" s="19"/>
      <c r="AU6968" s="19"/>
    </row>
    <row r="6969" spans="3:47">
      <c r="C6969" s="20"/>
      <c r="Z6969" s="20"/>
      <c r="AG6969" s="20"/>
      <c r="AQ6969" s="19"/>
      <c r="AR6969" s="19"/>
      <c r="AS6969" s="19"/>
      <c r="AT6969" s="19"/>
      <c r="AU6969" s="19"/>
    </row>
    <row r="6970" spans="3:47">
      <c r="C6970" s="20"/>
      <c r="Z6970" s="20"/>
      <c r="AG6970" s="20"/>
      <c r="AQ6970" s="19"/>
      <c r="AR6970" s="19"/>
      <c r="AS6970" s="19"/>
      <c r="AT6970" s="19"/>
      <c r="AU6970" s="19"/>
    </row>
    <row r="6971" spans="3:47">
      <c r="C6971" s="20"/>
      <c r="Z6971" s="20"/>
      <c r="AG6971" s="20"/>
      <c r="AQ6971" s="19"/>
      <c r="AR6971" s="19"/>
      <c r="AS6971" s="19"/>
      <c r="AT6971" s="19"/>
      <c r="AU6971" s="19"/>
    </row>
    <row r="6972" spans="3:47">
      <c r="C6972" s="20"/>
      <c r="Z6972" s="20"/>
      <c r="AG6972" s="20"/>
      <c r="AQ6972" s="19"/>
      <c r="AR6972" s="19"/>
      <c r="AS6972" s="19"/>
      <c r="AT6972" s="19"/>
      <c r="AU6972" s="19"/>
    </row>
    <row r="6973" spans="3:47">
      <c r="C6973" s="20"/>
      <c r="Z6973" s="20"/>
      <c r="AG6973" s="20"/>
      <c r="AQ6973" s="19"/>
      <c r="AR6973" s="19"/>
      <c r="AS6973" s="19"/>
      <c r="AT6973" s="19"/>
      <c r="AU6973" s="19"/>
    </row>
    <row r="6974" spans="3:47">
      <c r="C6974" s="20"/>
      <c r="Z6974" s="20"/>
      <c r="AG6974" s="20"/>
      <c r="AQ6974" s="19"/>
      <c r="AR6974" s="19"/>
      <c r="AS6974" s="19"/>
      <c r="AT6974" s="19"/>
      <c r="AU6974" s="19"/>
    </row>
    <row r="6975" spans="3:47">
      <c r="C6975" s="20"/>
      <c r="Z6975" s="20"/>
      <c r="AG6975" s="20"/>
      <c r="AQ6975" s="19"/>
      <c r="AR6975" s="19"/>
      <c r="AS6975" s="19"/>
      <c r="AT6975" s="19"/>
      <c r="AU6975" s="19"/>
    </row>
    <row r="6976" spans="3:47">
      <c r="C6976" s="20"/>
      <c r="Z6976" s="20"/>
      <c r="AG6976" s="20"/>
      <c r="AQ6976" s="19"/>
      <c r="AR6976" s="19"/>
      <c r="AS6976" s="19"/>
      <c r="AT6976" s="19"/>
      <c r="AU6976" s="19"/>
    </row>
    <row r="6977" spans="3:47">
      <c r="C6977" s="20"/>
      <c r="Z6977" s="20"/>
      <c r="AG6977" s="20"/>
      <c r="AQ6977" s="19"/>
      <c r="AR6977" s="19"/>
      <c r="AS6977" s="19"/>
      <c r="AT6977" s="19"/>
      <c r="AU6977" s="19"/>
    </row>
    <row r="6978" spans="3:47">
      <c r="C6978" s="20"/>
      <c r="Z6978" s="20"/>
      <c r="AG6978" s="20"/>
      <c r="AQ6978" s="19"/>
      <c r="AR6978" s="19"/>
      <c r="AS6978" s="19"/>
      <c r="AT6978" s="19"/>
      <c r="AU6978" s="19"/>
    </row>
    <row r="6979" spans="3:47">
      <c r="C6979" s="20"/>
      <c r="Z6979" s="20"/>
      <c r="AG6979" s="20"/>
      <c r="AQ6979" s="19"/>
      <c r="AR6979" s="19"/>
      <c r="AS6979" s="19"/>
      <c r="AT6979" s="19"/>
      <c r="AU6979" s="19"/>
    </row>
    <row r="6980" spans="3:47">
      <c r="C6980" s="20"/>
      <c r="Z6980" s="20"/>
      <c r="AG6980" s="20"/>
      <c r="AQ6980" s="19"/>
      <c r="AR6980" s="19"/>
      <c r="AS6980" s="19"/>
      <c r="AT6980" s="19"/>
      <c r="AU6980" s="19"/>
    </row>
    <row r="6981" spans="3:47">
      <c r="C6981" s="20"/>
      <c r="Z6981" s="20"/>
      <c r="AG6981" s="20"/>
      <c r="AQ6981" s="19"/>
      <c r="AR6981" s="19"/>
      <c r="AS6981" s="19"/>
      <c r="AT6981" s="19"/>
      <c r="AU6981" s="19"/>
    </row>
    <row r="6982" spans="3:47">
      <c r="C6982" s="20"/>
      <c r="Z6982" s="20"/>
      <c r="AG6982" s="20"/>
      <c r="AQ6982" s="19"/>
      <c r="AR6982" s="19"/>
      <c r="AS6982" s="19"/>
      <c r="AT6982" s="19"/>
      <c r="AU6982" s="19"/>
    </row>
    <row r="6983" spans="3:47">
      <c r="C6983" s="20"/>
      <c r="Z6983" s="20"/>
      <c r="AG6983" s="20"/>
      <c r="AQ6983" s="19"/>
      <c r="AR6983" s="19"/>
      <c r="AS6983" s="19"/>
      <c r="AT6983" s="19"/>
      <c r="AU6983" s="19"/>
    </row>
    <row r="6984" spans="3:47">
      <c r="C6984" s="20"/>
      <c r="Z6984" s="20"/>
      <c r="AG6984" s="20"/>
      <c r="AQ6984" s="19"/>
      <c r="AR6984" s="19"/>
      <c r="AS6984" s="19"/>
      <c r="AT6984" s="19"/>
      <c r="AU6984" s="19"/>
    </row>
    <row r="6985" spans="3:47">
      <c r="C6985" s="20"/>
      <c r="Z6985" s="20"/>
      <c r="AG6985" s="20"/>
      <c r="AQ6985" s="19"/>
      <c r="AR6985" s="19"/>
      <c r="AS6985" s="19"/>
      <c r="AT6985" s="19"/>
      <c r="AU6985" s="19"/>
    </row>
    <row r="6986" spans="3:47">
      <c r="C6986" s="20"/>
      <c r="Z6986" s="20"/>
      <c r="AG6986" s="20"/>
      <c r="AQ6986" s="19"/>
      <c r="AR6986" s="19"/>
      <c r="AS6986" s="19"/>
      <c r="AT6986" s="19"/>
      <c r="AU6986" s="19"/>
    </row>
    <row r="6987" spans="3:47">
      <c r="C6987" s="20"/>
      <c r="Z6987" s="20"/>
      <c r="AG6987" s="20"/>
      <c r="AQ6987" s="19"/>
      <c r="AR6987" s="19"/>
      <c r="AS6987" s="19"/>
      <c r="AT6987" s="19"/>
      <c r="AU6987" s="19"/>
    </row>
    <row r="6988" spans="3:47">
      <c r="C6988" s="20"/>
      <c r="Z6988" s="20"/>
      <c r="AG6988" s="20"/>
      <c r="AQ6988" s="19"/>
      <c r="AR6988" s="19"/>
      <c r="AS6988" s="19"/>
      <c r="AT6988" s="19"/>
      <c r="AU6988" s="19"/>
    </row>
    <row r="6989" spans="3:47">
      <c r="C6989" s="20"/>
      <c r="Z6989" s="20"/>
      <c r="AG6989" s="20"/>
      <c r="AQ6989" s="19"/>
      <c r="AR6989" s="19"/>
      <c r="AS6989" s="19"/>
      <c r="AT6989" s="19"/>
      <c r="AU6989" s="19"/>
    </row>
    <row r="6990" spans="3:47">
      <c r="C6990" s="20"/>
      <c r="Z6990" s="20"/>
      <c r="AG6990" s="20"/>
      <c r="AQ6990" s="19"/>
      <c r="AR6990" s="19"/>
      <c r="AS6990" s="19"/>
      <c r="AT6990" s="19"/>
      <c r="AU6990" s="19"/>
    </row>
    <row r="6991" spans="3:47">
      <c r="C6991" s="20"/>
      <c r="Z6991" s="20"/>
      <c r="AG6991" s="20"/>
      <c r="AQ6991" s="19"/>
      <c r="AR6991" s="19"/>
      <c r="AS6991" s="19"/>
      <c r="AT6991" s="19"/>
      <c r="AU6991" s="19"/>
    </row>
    <row r="6992" spans="3:47">
      <c r="C6992" s="20"/>
      <c r="Z6992" s="20"/>
      <c r="AG6992" s="20"/>
      <c r="AQ6992" s="19"/>
      <c r="AR6992" s="19"/>
      <c r="AS6992" s="19"/>
      <c r="AT6992" s="19"/>
      <c r="AU6992" s="19"/>
    </row>
    <row r="6993" spans="3:47">
      <c r="C6993" s="20"/>
      <c r="Z6993" s="20"/>
      <c r="AG6993" s="20"/>
      <c r="AQ6993" s="19"/>
      <c r="AR6993" s="19"/>
      <c r="AS6993" s="19"/>
      <c r="AT6993" s="19"/>
      <c r="AU6993" s="19"/>
    </row>
    <row r="6994" spans="3:47">
      <c r="C6994" s="20"/>
      <c r="Z6994" s="20"/>
      <c r="AG6994" s="20"/>
      <c r="AQ6994" s="19"/>
      <c r="AR6994" s="19"/>
      <c r="AS6994" s="19"/>
      <c r="AT6994" s="19"/>
      <c r="AU6994" s="19"/>
    </row>
    <row r="6995" spans="3:47">
      <c r="C6995" s="20"/>
      <c r="Z6995" s="20"/>
      <c r="AG6995" s="20"/>
      <c r="AQ6995" s="19"/>
      <c r="AR6995" s="19"/>
      <c r="AS6995" s="19"/>
      <c r="AT6995" s="19"/>
      <c r="AU6995" s="19"/>
    </row>
    <row r="6996" spans="3:47">
      <c r="C6996" s="20"/>
      <c r="Z6996" s="20"/>
      <c r="AG6996" s="20"/>
      <c r="AQ6996" s="19"/>
      <c r="AR6996" s="19"/>
      <c r="AS6996" s="19"/>
      <c r="AT6996" s="19"/>
      <c r="AU6996" s="19"/>
    </row>
    <row r="6997" spans="3:47">
      <c r="C6997" s="20"/>
      <c r="Z6997" s="20"/>
      <c r="AG6997" s="20"/>
      <c r="AQ6997" s="19"/>
      <c r="AR6997" s="19"/>
      <c r="AS6997" s="19"/>
      <c r="AT6997" s="19"/>
      <c r="AU6997" s="19"/>
    </row>
    <row r="6998" spans="3:47">
      <c r="C6998" s="20"/>
      <c r="Z6998" s="20"/>
      <c r="AG6998" s="20"/>
      <c r="AQ6998" s="19"/>
      <c r="AR6998" s="19"/>
      <c r="AS6998" s="19"/>
      <c r="AT6998" s="19"/>
      <c r="AU6998" s="19"/>
    </row>
    <row r="6999" spans="3:47">
      <c r="C6999" s="20"/>
      <c r="Z6999" s="20"/>
      <c r="AG6999" s="20"/>
      <c r="AQ6999" s="19"/>
      <c r="AR6999" s="19"/>
      <c r="AS6999" s="19"/>
      <c r="AT6999" s="19"/>
      <c r="AU6999" s="19"/>
    </row>
    <row r="7000" spans="3:47">
      <c r="C7000" s="20"/>
      <c r="Z7000" s="20"/>
      <c r="AG7000" s="20"/>
      <c r="AQ7000" s="19"/>
      <c r="AR7000" s="19"/>
      <c r="AS7000" s="19"/>
      <c r="AT7000" s="19"/>
      <c r="AU7000" s="19"/>
    </row>
    <row r="7001" spans="3:47">
      <c r="C7001" s="20"/>
      <c r="Z7001" s="20"/>
      <c r="AG7001" s="20"/>
      <c r="AQ7001" s="19"/>
      <c r="AR7001" s="19"/>
      <c r="AS7001" s="19"/>
      <c r="AT7001" s="19"/>
      <c r="AU7001" s="19"/>
    </row>
    <row r="7002" spans="3:47">
      <c r="C7002" s="20"/>
      <c r="Z7002" s="20"/>
      <c r="AG7002" s="20"/>
      <c r="AQ7002" s="19"/>
      <c r="AR7002" s="19"/>
      <c r="AS7002" s="19"/>
      <c r="AT7002" s="19"/>
      <c r="AU7002" s="19"/>
    </row>
    <row r="7003" spans="3:47">
      <c r="C7003" s="20"/>
      <c r="Z7003" s="20"/>
      <c r="AG7003" s="20"/>
      <c r="AQ7003" s="19"/>
      <c r="AR7003" s="19"/>
      <c r="AS7003" s="19"/>
      <c r="AT7003" s="19"/>
      <c r="AU7003" s="19"/>
    </row>
    <row r="7004" spans="3:47">
      <c r="C7004" s="20"/>
      <c r="Z7004" s="20"/>
      <c r="AG7004" s="20"/>
      <c r="AQ7004" s="19"/>
      <c r="AR7004" s="19"/>
      <c r="AS7004" s="19"/>
      <c r="AT7004" s="19"/>
      <c r="AU7004" s="19"/>
    </row>
    <row r="7005" spans="3:47">
      <c r="C7005" s="20"/>
      <c r="Z7005" s="20"/>
      <c r="AG7005" s="20"/>
      <c r="AQ7005" s="19"/>
      <c r="AR7005" s="19"/>
      <c r="AS7005" s="19"/>
      <c r="AT7005" s="19"/>
      <c r="AU7005" s="19"/>
    </row>
    <row r="7006" spans="3:47">
      <c r="C7006" s="20"/>
      <c r="Z7006" s="20"/>
      <c r="AG7006" s="20"/>
      <c r="AQ7006" s="19"/>
      <c r="AR7006" s="19"/>
      <c r="AS7006" s="19"/>
      <c r="AT7006" s="19"/>
      <c r="AU7006" s="19"/>
    </row>
    <row r="7007" spans="3:47">
      <c r="C7007" s="20"/>
      <c r="Z7007" s="20"/>
      <c r="AG7007" s="20"/>
      <c r="AQ7007" s="19"/>
      <c r="AR7007" s="19"/>
      <c r="AS7007" s="19"/>
      <c r="AT7007" s="19"/>
      <c r="AU7007" s="19"/>
    </row>
    <row r="7008" spans="3:47">
      <c r="C7008" s="20"/>
      <c r="Z7008" s="20"/>
      <c r="AG7008" s="20"/>
      <c r="AQ7008" s="19"/>
      <c r="AR7008" s="19"/>
      <c r="AS7008" s="19"/>
      <c r="AT7008" s="19"/>
      <c r="AU7008" s="19"/>
    </row>
    <row r="7009" spans="3:47">
      <c r="C7009" s="20"/>
      <c r="Z7009" s="20"/>
      <c r="AG7009" s="20"/>
      <c r="AQ7009" s="19"/>
      <c r="AR7009" s="19"/>
      <c r="AS7009" s="19"/>
      <c r="AT7009" s="19"/>
      <c r="AU7009" s="19"/>
    </row>
    <row r="7010" spans="3:47">
      <c r="C7010" s="20"/>
      <c r="Z7010" s="20"/>
      <c r="AG7010" s="20"/>
      <c r="AQ7010" s="19"/>
      <c r="AR7010" s="19"/>
      <c r="AS7010" s="19"/>
      <c r="AT7010" s="19"/>
      <c r="AU7010" s="19"/>
    </row>
    <row r="7011" spans="3:47">
      <c r="C7011" s="20"/>
      <c r="Z7011" s="20"/>
      <c r="AG7011" s="20"/>
      <c r="AQ7011" s="19"/>
      <c r="AR7011" s="19"/>
      <c r="AS7011" s="19"/>
      <c r="AT7011" s="19"/>
      <c r="AU7011" s="19"/>
    </row>
    <row r="7012" spans="3:47">
      <c r="C7012" s="20"/>
      <c r="Z7012" s="20"/>
      <c r="AG7012" s="20"/>
      <c r="AQ7012" s="19"/>
      <c r="AR7012" s="19"/>
      <c r="AS7012" s="19"/>
      <c r="AT7012" s="19"/>
      <c r="AU7012" s="19"/>
    </row>
    <row r="7013" spans="3:47">
      <c r="C7013" s="20"/>
      <c r="Z7013" s="20"/>
      <c r="AG7013" s="20"/>
      <c r="AQ7013" s="19"/>
      <c r="AR7013" s="19"/>
      <c r="AS7013" s="19"/>
      <c r="AT7013" s="19"/>
      <c r="AU7013" s="19"/>
    </row>
    <row r="7014" spans="3:47">
      <c r="C7014" s="20"/>
      <c r="Z7014" s="20"/>
      <c r="AG7014" s="20"/>
      <c r="AQ7014" s="19"/>
      <c r="AR7014" s="19"/>
      <c r="AS7014" s="19"/>
      <c r="AT7014" s="19"/>
      <c r="AU7014" s="19"/>
    </row>
    <row r="7015" spans="3:47">
      <c r="C7015" s="20"/>
      <c r="Z7015" s="20"/>
      <c r="AG7015" s="20"/>
      <c r="AQ7015" s="19"/>
      <c r="AR7015" s="19"/>
      <c r="AS7015" s="19"/>
      <c r="AT7015" s="19"/>
      <c r="AU7015" s="19"/>
    </row>
    <row r="7016" spans="3:47">
      <c r="C7016" s="20"/>
      <c r="Z7016" s="20"/>
      <c r="AG7016" s="20"/>
      <c r="AQ7016" s="19"/>
      <c r="AR7016" s="19"/>
      <c r="AS7016" s="19"/>
      <c r="AT7016" s="19"/>
      <c r="AU7016" s="19"/>
    </row>
    <row r="7017" spans="3:47">
      <c r="C7017" s="20"/>
      <c r="Z7017" s="20"/>
      <c r="AG7017" s="20"/>
      <c r="AQ7017" s="19"/>
      <c r="AR7017" s="19"/>
      <c r="AS7017" s="19"/>
      <c r="AT7017" s="19"/>
      <c r="AU7017" s="19"/>
    </row>
    <row r="7018" spans="3:47">
      <c r="C7018" s="20"/>
      <c r="Z7018" s="20"/>
      <c r="AG7018" s="20"/>
      <c r="AQ7018" s="19"/>
      <c r="AR7018" s="19"/>
      <c r="AS7018" s="19"/>
      <c r="AT7018" s="19"/>
      <c r="AU7018" s="19"/>
    </row>
    <row r="7019" spans="3:47">
      <c r="C7019" s="20"/>
      <c r="Z7019" s="20"/>
      <c r="AG7019" s="20"/>
      <c r="AQ7019" s="19"/>
      <c r="AR7019" s="19"/>
      <c r="AS7019" s="19"/>
      <c r="AT7019" s="19"/>
      <c r="AU7019" s="19"/>
    </row>
    <row r="7020" spans="3:47">
      <c r="C7020" s="20"/>
      <c r="Z7020" s="20"/>
      <c r="AG7020" s="20"/>
      <c r="AQ7020" s="19"/>
      <c r="AR7020" s="19"/>
      <c r="AS7020" s="19"/>
      <c r="AT7020" s="19"/>
      <c r="AU7020" s="19"/>
    </row>
    <row r="7021" spans="3:47">
      <c r="C7021" s="20"/>
      <c r="Z7021" s="20"/>
      <c r="AG7021" s="20"/>
      <c r="AQ7021" s="19"/>
      <c r="AR7021" s="19"/>
      <c r="AS7021" s="19"/>
      <c r="AT7021" s="19"/>
      <c r="AU7021" s="19"/>
    </row>
    <row r="7022" spans="3:47">
      <c r="C7022" s="20"/>
      <c r="Z7022" s="20"/>
      <c r="AG7022" s="20"/>
      <c r="AQ7022" s="19"/>
      <c r="AR7022" s="19"/>
      <c r="AS7022" s="19"/>
      <c r="AT7022" s="19"/>
      <c r="AU7022" s="19"/>
    </row>
    <row r="7023" spans="3:47">
      <c r="C7023" s="20"/>
      <c r="Z7023" s="20"/>
      <c r="AG7023" s="20"/>
      <c r="AQ7023" s="19"/>
      <c r="AR7023" s="19"/>
      <c r="AS7023" s="19"/>
      <c r="AT7023" s="19"/>
      <c r="AU7023" s="19"/>
    </row>
    <row r="7024" spans="3:47">
      <c r="C7024" s="20"/>
      <c r="Z7024" s="20"/>
      <c r="AG7024" s="20"/>
      <c r="AQ7024" s="19"/>
      <c r="AR7024" s="19"/>
      <c r="AS7024" s="19"/>
      <c r="AT7024" s="19"/>
      <c r="AU7024" s="19"/>
    </row>
    <row r="7025" spans="3:47">
      <c r="C7025" s="20"/>
      <c r="Z7025" s="20"/>
      <c r="AG7025" s="20"/>
      <c r="AQ7025" s="19"/>
      <c r="AR7025" s="19"/>
      <c r="AS7025" s="19"/>
      <c r="AT7025" s="19"/>
      <c r="AU7025" s="19"/>
    </row>
    <row r="7026" spans="3:47">
      <c r="C7026" s="20"/>
      <c r="Z7026" s="20"/>
      <c r="AG7026" s="20"/>
      <c r="AQ7026" s="19"/>
      <c r="AR7026" s="19"/>
      <c r="AS7026" s="19"/>
      <c r="AT7026" s="19"/>
      <c r="AU7026" s="19"/>
    </row>
    <row r="7027" spans="3:47">
      <c r="C7027" s="20"/>
      <c r="Z7027" s="20"/>
      <c r="AG7027" s="20"/>
      <c r="AQ7027" s="19"/>
      <c r="AR7027" s="19"/>
      <c r="AS7027" s="19"/>
      <c r="AT7027" s="19"/>
      <c r="AU7027" s="19"/>
    </row>
    <row r="7028" spans="3:47">
      <c r="C7028" s="20"/>
      <c r="Z7028" s="20"/>
      <c r="AG7028" s="20"/>
      <c r="AQ7028" s="19"/>
      <c r="AR7028" s="19"/>
      <c r="AS7028" s="19"/>
      <c r="AT7028" s="19"/>
      <c r="AU7028" s="19"/>
    </row>
    <row r="7029" spans="3:47">
      <c r="C7029" s="20"/>
      <c r="Z7029" s="20"/>
      <c r="AG7029" s="20"/>
      <c r="AQ7029" s="19"/>
      <c r="AR7029" s="19"/>
      <c r="AS7029" s="19"/>
      <c r="AT7029" s="19"/>
      <c r="AU7029" s="19"/>
    </row>
    <row r="7030" spans="3:47">
      <c r="C7030" s="20"/>
      <c r="Z7030" s="20"/>
      <c r="AG7030" s="20"/>
      <c r="AQ7030" s="19"/>
      <c r="AR7030" s="19"/>
      <c r="AS7030" s="19"/>
      <c r="AT7030" s="19"/>
      <c r="AU7030" s="19"/>
    </row>
    <row r="7031" spans="3:47">
      <c r="C7031" s="20"/>
      <c r="Z7031" s="20"/>
      <c r="AG7031" s="20"/>
      <c r="AQ7031" s="19"/>
      <c r="AR7031" s="19"/>
      <c r="AS7031" s="19"/>
      <c r="AT7031" s="19"/>
      <c r="AU7031" s="19"/>
    </row>
    <row r="7032" spans="3:47">
      <c r="C7032" s="20"/>
      <c r="Z7032" s="20"/>
      <c r="AG7032" s="20"/>
      <c r="AQ7032" s="19"/>
      <c r="AR7032" s="19"/>
      <c r="AS7032" s="19"/>
      <c r="AT7032" s="19"/>
      <c r="AU7032" s="19"/>
    </row>
    <row r="7033" spans="3:47">
      <c r="C7033" s="20"/>
      <c r="Z7033" s="20"/>
      <c r="AG7033" s="20"/>
      <c r="AQ7033" s="19"/>
      <c r="AR7033" s="19"/>
      <c r="AS7033" s="19"/>
      <c r="AT7033" s="19"/>
      <c r="AU7033" s="19"/>
    </row>
    <row r="7034" spans="3:47">
      <c r="C7034" s="20"/>
      <c r="Z7034" s="20"/>
      <c r="AG7034" s="20"/>
      <c r="AQ7034" s="19"/>
      <c r="AR7034" s="19"/>
      <c r="AS7034" s="19"/>
      <c r="AT7034" s="19"/>
      <c r="AU7034" s="19"/>
    </row>
    <row r="7035" spans="3:47">
      <c r="C7035" s="20"/>
      <c r="Z7035" s="20"/>
      <c r="AG7035" s="20"/>
      <c r="AQ7035" s="19"/>
      <c r="AR7035" s="19"/>
      <c r="AS7035" s="19"/>
      <c r="AT7035" s="19"/>
      <c r="AU7035" s="19"/>
    </row>
    <row r="7036" spans="3:47">
      <c r="C7036" s="20"/>
      <c r="Z7036" s="20"/>
      <c r="AG7036" s="20"/>
      <c r="AQ7036" s="19"/>
      <c r="AR7036" s="19"/>
      <c r="AS7036" s="19"/>
      <c r="AT7036" s="19"/>
      <c r="AU7036" s="19"/>
    </row>
    <row r="7037" spans="3:47">
      <c r="C7037" s="20"/>
      <c r="Z7037" s="20"/>
      <c r="AG7037" s="20"/>
      <c r="AQ7037" s="19"/>
      <c r="AR7037" s="19"/>
      <c r="AS7037" s="19"/>
      <c r="AT7037" s="19"/>
      <c r="AU7037" s="19"/>
    </row>
    <row r="7038" spans="3:47">
      <c r="C7038" s="20"/>
      <c r="Z7038" s="20"/>
      <c r="AG7038" s="20"/>
      <c r="AQ7038" s="19"/>
      <c r="AR7038" s="19"/>
      <c r="AS7038" s="19"/>
      <c r="AT7038" s="19"/>
      <c r="AU7038" s="19"/>
    </row>
    <row r="7039" spans="3:47">
      <c r="C7039" s="20"/>
      <c r="Z7039" s="20"/>
      <c r="AG7039" s="20"/>
      <c r="AQ7039" s="19"/>
      <c r="AR7039" s="19"/>
      <c r="AS7039" s="19"/>
      <c r="AT7039" s="19"/>
      <c r="AU7039" s="19"/>
    </row>
    <row r="7040" spans="3:47">
      <c r="C7040" s="20"/>
      <c r="Z7040" s="20"/>
      <c r="AG7040" s="20"/>
      <c r="AQ7040" s="19"/>
      <c r="AR7040" s="19"/>
      <c r="AS7040" s="19"/>
      <c r="AT7040" s="19"/>
      <c r="AU7040" s="19"/>
    </row>
    <row r="7041" spans="3:47">
      <c r="C7041" s="20"/>
      <c r="Z7041" s="20"/>
      <c r="AG7041" s="20"/>
      <c r="AQ7041" s="19"/>
      <c r="AR7041" s="19"/>
      <c r="AS7041" s="19"/>
      <c r="AT7041" s="19"/>
      <c r="AU7041" s="19"/>
    </row>
    <row r="7042" spans="3:47">
      <c r="C7042" s="20"/>
      <c r="Z7042" s="20"/>
      <c r="AG7042" s="20"/>
      <c r="AQ7042" s="19"/>
      <c r="AR7042" s="19"/>
      <c r="AS7042" s="19"/>
      <c r="AT7042" s="19"/>
      <c r="AU7042" s="19"/>
    </row>
    <row r="7043" spans="3:47">
      <c r="C7043" s="20"/>
      <c r="Z7043" s="20"/>
      <c r="AG7043" s="20"/>
      <c r="AQ7043" s="19"/>
      <c r="AR7043" s="19"/>
      <c r="AS7043" s="19"/>
      <c r="AT7043" s="19"/>
      <c r="AU7043" s="19"/>
    </row>
    <row r="7044" spans="3:47">
      <c r="C7044" s="20"/>
      <c r="Z7044" s="20"/>
      <c r="AG7044" s="20"/>
      <c r="AQ7044" s="19"/>
      <c r="AR7044" s="19"/>
      <c r="AS7044" s="19"/>
      <c r="AT7044" s="19"/>
      <c r="AU7044" s="19"/>
    </row>
    <row r="7045" spans="3:47">
      <c r="C7045" s="20"/>
      <c r="Z7045" s="20"/>
      <c r="AG7045" s="20"/>
      <c r="AQ7045" s="19"/>
      <c r="AR7045" s="19"/>
      <c r="AS7045" s="19"/>
      <c r="AT7045" s="19"/>
      <c r="AU7045" s="19"/>
    </row>
    <row r="7046" spans="3:47">
      <c r="C7046" s="20"/>
      <c r="Z7046" s="20"/>
      <c r="AG7046" s="20"/>
      <c r="AQ7046" s="19"/>
      <c r="AR7046" s="19"/>
      <c r="AS7046" s="19"/>
      <c r="AT7046" s="19"/>
      <c r="AU7046" s="19"/>
    </row>
    <row r="7047" spans="3:47">
      <c r="C7047" s="20"/>
      <c r="Z7047" s="20"/>
      <c r="AG7047" s="20"/>
      <c r="AQ7047" s="19"/>
      <c r="AR7047" s="19"/>
      <c r="AS7047" s="19"/>
      <c r="AT7047" s="19"/>
      <c r="AU7047" s="19"/>
    </row>
    <row r="7048" spans="3:47">
      <c r="C7048" s="20"/>
      <c r="Z7048" s="20"/>
      <c r="AG7048" s="20"/>
      <c r="AQ7048" s="19"/>
      <c r="AR7048" s="19"/>
      <c r="AS7048" s="19"/>
      <c r="AT7048" s="19"/>
      <c r="AU7048" s="19"/>
    </row>
    <row r="7049" spans="3:47">
      <c r="C7049" s="20"/>
      <c r="Z7049" s="20"/>
      <c r="AG7049" s="20"/>
      <c r="AQ7049" s="19"/>
      <c r="AR7049" s="19"/>
      <c r="AS7049" s="19"/>
      <c r="AT7049" s="19"/>
      <c r="AU7049" s="19"/>
    </row>
    <row r="7050" spans="3:47">
      <c r="C7050" s="20"/>
      <c r="Z7050" s="20"/>
      <c r="AG7050" s="20"/>
      <c r="AQ7050" s="19"/>
      <c r="AR7050" s="19"/>
      <c r="AS7050" s="19"/>
      <c r="AT7050" s="19"/>
      <c r="AU7050" s="19"/>
    </row>
    <row r="7051" spans="3:47">
      <c r="C7051" s="20"/>
      <c r="Z7051" s="20"/>
      <c r="AG7051" s="20"/>
      <c r="AQ7051" s="19"/>
      <c r="AR7051" s="19"/>
      <c r="AS7051" s="19"/>
      <c r="AT7051" s="19"/>
      <c r="AU7051" s="19"/>
    </row>
    <row r="7052" spans="3:47">
      <c r="C7052" s="20"/>
      <c r="Z7052" s="20"/>
      <c r="AG7052" s="20"/>
      <c r="AQ7052" s="19"/>
      <c r="AR7052" s="19"/>
      <c r="AS7052" s="19"/>
      <c r="AT7052" s="19"/>
      <c r="AU7052" s="19"/>
    </row>
    <row r="7053" spans="3:47">
      <c r="C7053" s="20"/>
      <c r="Z7053" s="20"/>
      <c r="AG7053" s="20"/>
      <c r="AQ7053" s="19"/>
      <c r="AR7053" s="19"/>
      <c r="AS7053" s="19"/>
      <c r="AT7053" s="19"/>
      <c r="AU7053" s="19"/>
    </row>
    <row r="7054" spans="3:47">
      <c r="C7054" s="20"/>
      <c r="Z7054" s="20"/>
      <c r="AG7054" s="20"/>
      <c r="AQ7054" s="19"/>
      <c r="AR7054" s="19"/>
      <c r="AS7054" s="19"/>
      <c r="AT7054" s="19"/>
      <c r="AU7054" s="19"/>
    </row>
    <row r="7055" spans="3:47">
      <c r="C7055" s="20"/>
      <c r="Z7055" s="20"/>
      <c r="AG7055" s="20"/>
      <c r="AQ7055" s="19"/>
      <c r="AR7055" s="19"/>
      <c r="AS7055" s="19"/>
      <c r="AT7055" s="19"/>
      <c r="AU7055" s="19"/>
    </row>
    <row r="7056" spans="3:47">
      <c r="C7056" s="20"/>
      <c r="Z7056" s="20"/>
      <c r="AG7056" s="20"/>
      <c r="AQ7056" s="19"/>
      <c r="AR7056" s="19"/>
      <c r="AS7056" s="19"/>
      <c r="AT7056" s="19"/>
      <c r="AU7056" s="19"/>
    </row>
    <row r="7057" spans="3:47">
      <c r="C7057" s="20"/>
      <c r="Z7057" s="20"/>
      <c r="AG7057" s="20"/>
      <c r="AQ7057" s="19"/>
      <c r="AR7057" s="19"/>
      <c r="AS7057" s="19"/>
      <c r="AT7057" s="19"/>
      <c r="AU7057" s="19"/>
    </row>
    <row r="7058" spans="3:47">
      <c r="C7058" s="20"/>
      <c r="Z7058" s="20"/>
      <c r="AG7058" s="20"/>
      <c r="AQ7058" s="19"/>
      <c r="AR7058" s="19"/>
      <c r="AS7058" s="19"/>
      <c r="AT7058" s="19"/>
      <c r="AU7058" s="19"/>
    </row>
    <row r="7059" spans="3:47">
      <c r="C7059" s="20"/>
      <c r="Z7059" s="20"/>
      <c r="AG7059" s="20"/>
      <c r="AQ7059" s="19"/>
      <c r="AR7059" s="19"/>
      <c r="AS7059" s="19"/>
      <c r="AT7059" s="19"/>
      <c r="AU7059" s="19"/>
    </row>
    <row r="7060" spans="3:47">
      <c r="C7060" s="20"/>
      <c r="Z7060" s="20"/>
      <c r="AG7060" s="20"/>
      <c r="AQ7060" s="19"/>
      <c r="AR7060" s="19"/>
      <c r="AS7060" s="19"/>
      <c r="AT7060" s="19"/>
      <c r="AU7060" s="19"/>
    </row>
    <row r="7061" spans="3:47">
      <c r="C7061" s="20"/>
      <c r="Z7061" s="20"/>
      <c r="AG7061" s="20"/>
      <c r="AQ7061" s="19"/>
      <c r="AR7061" s="19"/>
      <c r="AS7061" s="19"/>
      <c r="AT7061" s="19"/>
      <c r="AU7061" s="19"/>
    </row>
    <row r="7062" spans="3:47">
      <c r="C7062" s="20"/>
      <c r="Z7062" s="20"/>
      <c r="AG7062" s="20"/>
      <c r="AQ7062" s="19"/>
      <c r="AR7062" s="19"/>
      <c r="AS7062" s="19"/>
      <c r="AT7062" s="19"/>
      <c r="AU7062" s="19"/>
    </row>
    <row r="7063" spans="3:47">
      <c r="C7063" s="20"/>
      <c r="Z7063" s="20"/>
      <c r="AG7063" s="20"/>
      <c r="AQ7063" s="19"/>
      <c r="AR7063" s="19"/>
      <c r="AS7063" s="19"/>
      <c r="AT7063" s="19"/>
      <c r="AU7063" s="19"/>
    </row>
    <row r="7064" spans="3:47">
      <c r="C7064" s="20"/>
      <c r="Z7064" s="20"/>
      <c r="AG7064" s="20"/>
      <c r="AQ7064" s="19"/>
      <c r="AR7064" s="19"/>
      <c r="AS7064" s="19"/>
      <c r="AT7064" s="19"/>
      <c r="AU7064" s="19"/>
    </row>
    <row r="7065" spans="3:47">
      <c r="C7065" s="20"/>
      <c r="Z7065" s="20"/>
      <c r="AG7065" s="20"/>
      <c r="AQ7065" s="19"/>
      <c r="AR7065" s="19"/>
      <c r="AS7065" s="19"/>
      <c r="AT7065" s="19"/>
      <c r="AU7065" s="19"/>
    </row>
    <row r="7066" spans="3:47">
      <c r="C7066" s="20"/>
      <c r="Z7066" s="20"/>
      <c r="AG7066" s="20"/>
      <c r="AQ7066" s="19"/>
      <c r="AR7066" s="19"/>
      <c r="AS7066" s="19"/>
      <c r="AT7066" s="19"/>
      <c r="AU7066" s="19"/>
    </row>
    <row r="7067" spans="3:47">
      <c r="C7067" s="20"/>
      <c r="Z7067" s="20"/>
      <c r="AG7067" s="20"/>
      <c r="AQ7067" s="19"/>
      <c r="AR7067" s="19"/>
      <c r="AS7067" s="19"/>
      <c r="AT7067" s="19"/>
      <c r="AU7067" s="19"/>
    </row>
    <row r="7068" spans="3:47">
      <c r="C7068" s="20"/>
      <c r="Z7068" s="20"/>
      <c r="AG7068" s="20"/>
      <c r="AQ7068" s="19"/>
      <c r="AR7068" s="19"/>
      <c r="AS7068" s="19"/>
      <c r="AT7068" s="19"/>
      <c r="AU7068" s="19"/>
    </row>
    <row r="7069" spans="3:47">
      <c r="C7069" s="20"/>
      <c r="Z7069" s="20"/>
      <c r="AG7069" s="20"/>
      <c r="AQ7069" s="19"/>
      <c r="AR7069" s="19"/>
      <c r="AS7069" s="19"/>
      <c r="AT7069" s="19"/>
      <c r="AU7069" s="19"/>
    </row>
    <row r="7070" spans="3:47">
      <c r="C7070" s="20"/>
      <c r="Z7070" s="20"/>
      <c r="AG7070" s="20"/>
      <c r="AQ7070" s="19"/>
      <c r="AR7070" s="19"/>
      <c r="AS7070" s="19"/>
      <c r="AT7070" s="19"/>
      <c r="AU7070" s="19"/>
    </row>
    <row r="7071" spans="3:47">
      <c r="C7071" s="20"/>
      <c r="Z7071" s="20"/>
      <c r="AG7071" s="20"/>
      <c r="AQ7071" s="19"/>
      <c r="AR7071" s="19"/>
      <c r="AS7071" s="19"/>
      <c r="AT7071" s="19"/>
      <c r="AU7071" s="19"/>
    </row>
    <row r="7072" spans="3:47">
      <c r="C7072" s="20"/>
      <c r="Z7072" s="20"/>
      <c r="AG7072" s="20"/>
      <c r="AQ7072" s="19"/>
      <c r="AR7072" s="19"/>
      <c r="AS7072" s="19"/>
      <c r="AT7072" s="19"/>
      <c r="AU7072" s="19"/>
    </row>
    <row r="7073" spans="3:47">
      <c r="C7073" s="20"/>
      <c r="Z7073" s="20"/>
      <c r="AG7073" s="20"/>
      <c r="AQ7073" s="19"/>
      <c r="AR7073" s="19"/>
      <c r="AS7073" s="19"/>
      <c r="AT7073" s="19"/>
      <c r="AU7073" s="19"/>
    </row>
    <row r="7074" spans="3:47">
      <c r="C7074" s="20"/>
      <c r="Z7074" s="20"/>
      <c r="AG7074" s="20"/>
      <c r="AQ7074" s="19"/>
      <c r="AR7074" s="19"/>
      <c r="AS7074" s="19"/>
      <c r="AT7074" s="19"/>
      <c r="AU7074" s="19"/>
    </row>
    <row r="7075" spans="3:47">
      <c r="C7075" s="20"/>
      <c r="Z7075" s="20"/>
      <c r="AG7075" s="20"/>
      <c r="AQ7075" s="19"/>
      <c r="AR7075" s="19"/>
      <c r="AS7075" s="19"/>
      <c r="AT7075" s="19"/>
      <c r="AU7075" s="19"/>
    </row>
    <row r="7076" spans="3:47">
      <c r="C7076" s="20"/>
      <c r="Z7076" s="20"/>
      <c r="AG7076" s="20"/>
      <c r="AQ7076" s="19"/>
      <c r="AR7076" s="19"/>
      <c r="AS7076" s="19"/>
      <c r="AT7076" s="19"/>
      <c r="AU7076" s="19"/>
    </row>
    <row r="7077" spans="3:47">
      <c r="C7077" s="20"/>
      <c r="Z7077" s="20"/>
      <c r="AG7077" s="20"/>
      <c r="AQ7077" s="19"/>
      <c r="AR7077" s="19"/>
      <c r="AS7077" s="19"/>
      <c r="AT7077" s="19"/>
      <c r="AU7077" s="19"/>
    </row>
    <row r="7078" spans="3:47">
      <c r="C7078" s="20"/>
      <c r="Z7078" s="20"/>
      <c r="AG7078" s="20"/>
      <c r="AQ7078" s="19"/>
      <c r="AR7078" s="19"/>
      <c r="AS7078" s="19"/>
      <c r="AT7078" s="19"/>
      <c r="AU7078" s="19"/>
    </row>
    <row r="7079" spans="3:47">
      <c r="C7079" s="20"/>
      <c r="Z7079" s="20"/>
      <c r="AG7079" s="20"/>
      <c r="AQ7079" s="19"/>
      <c r="AR7079" s="19"/>
      <c r="AS7079" s="19"/>
      <c r="AT7079" s="19"/>
      <c r="AU7079" s="19"/>
    </row>
    <row r="7080" spans="3:47">
      <c r="C7080" s="20"/>
      <c r="Z7080" s="20"/>
      <c r="AG7080" s="20"/>
      <c r="AQ7080" s="19"/>
      <c r="AR7080" s="19"/>
      <c r="AS7080" s="19"/>
      <c r="AT7080" s="19"/>
      <c r="AU7080" s="19"/>
    </row>
    <row r="7081" spans="3:47">
      <c r="C7081" s="20"/>
      <c r="Z7081" s="20"/>
      <c r="AG7081" s="20"/>
      <c r="AQ7081" s="19"/>
      <c r="AR7081" s="19"/>
      <c r="AS7081" s="19"/>
      <c r="AT7081" s="19"/>
      <c r="AU7081" s="19"/>
    </row>
    <row r="7082" spans="3:47">
      <c r="C7082" s="20"/>
      <c r="Z7082" s="20"/>
      <c r="AG7082" s="20"/>
      <c r="AQ7082" s="19"/>
      <c r="AR7082" s="19"/>
      <c r="AS7082" s="19"/>
      <c r="AT7082" s="19"/>
      <c r="AU7082" s="19"/>
    </row>
    <row r="7083" spans="3:47">
      <c r="C7083" s="20"/>
      <c r="Z7083" s="20"/>
      <c r="AG7083" s="20"/>
      <c r="AQ7083" s="19"/>
      <c r="AR7083" s="19"/>
      <c r="AS7083" s="19"/>
      <c r="AT7083" s="19"/>
      <c r="AU7083" s="19"/>
    </row>
    <row r="7084" spans="3:47">
      <c r="C7084" s="20"/>
      <c r="Z7084" s="20"/>
      <c r="AG7084" s="20"/>
      <c r="AQ7084" s="19"/>
      <c r="AR7084" s="19"/>
      <c r="AS7084" s="19"/>
      <c r="AT7084" s="19"/>
      <c r="AU7084" s="19"/>
    </row>
    <row r="7085" spans="3:47">
      <c r="C7085" s="20"/>
      <c r="Z7085" s="20"/>
      <c r="AG7085" s="20"/>
      <c r="AQ7085" s="19"/>
      <c r="AR7085" s="19"/>
      <c r="AS7085" s="19"/>
      <c r="AT7085" s="19"/>
      <c r="AU7085" s="19"/>
    </row>
    <row r="7086" spans="3:47">
      <c r="C7086" s="20"/>
      <c r="Z7086" s="20"/>
      <c r="AG7086" s="20"/>
      <c r="AQ7086" s="19"/>
      <c r="AR7086" s="19"/>
      <c r="AS7086" s="19"/>
      <c r="AT7086" s="19"/>
      <c r="AU7086" s="19"/>
    </row>
    <row r="7087" spans="3:47">
      <c r="C7087" s="20"/>
      <c r="Z7087" s="20"/>
      <c r="AG7087" s="20"/>
      <c r="AQ7087" s="19"/>
      <c r="AR7087" s="19"/>
      <c r="AS7087" s="19"/>
      <c r="AT7087" s="19"/>
      <c r="AU7087" s="19"/>
    </row>
    <row r="7088" spans="3:47">
      <c r="C7088" s="20"/>
      <c r="Z7088" s="20"/>
      <c r="AG7088" s="20"/>
      <c r="AQ7088" s="19"/>
      <c r="AR7088" s="19"/>
      <c r="AS7088" s="19"/>
      <c r="AT7088" s="19"/>
      <c r="AU7088" s="19"/>
    </row>
    <row r="7089" spans="3:47">
      <c r="C7089" s="20"/>
      <c r="Z7089" s="20"/>
      <c r="AG7089" s="20"/>
      <c r="AQ7089" s="19"/>
      <c r="AR7089" s="19"/>
      <c r="AS7089" s="19"/>
      <c r="AT7089" s="19"/>
      <c r="AU7089" s="19"/>
    </row>
    <row r="7090" spans="3:47">
      <c r="C7090" s="20"/>
      <c r="Z7090" s="20"/>
      <c r="AG7090" s="20"/>
      <c r="AQ7090" s="19"/>
      <c r="AR7090" s="19"/>
      <c r="AS7090" s="19"/>
      <c r="AT7090" s="19"/>
      <c r="AU7090" s="19"/>
    </row>
    <row r="7091" spans="3:47">
      <c r="C7091" s="20"/>
      <c r="Z7091" s="20"/>
      <c r="AG7091" s="20"/>
      <c r="AQ7091" s="19"/>
      <c r="AR7091" s="19"/>
      <c r="AS7091" s="19"/>
      <c r="AT7091" s="19"/>
      <c r="AU7091" s="19"/>
    </row>
    <row r="7092" spans="3:47">
      <c r="C7092" s="20"/>
      <c r="Z7092" s="20"/>
      <c r="AG7092" s="20"/>
      <c r="AQ7092" s="19"/>
      <c r="AR7092" s="19"/>
      <c r="AS7092" s="19"/>
      <c r="AT7092" s="19"/>
      <c r="AU7092" s="19"/>
    </row>
    <row r="7093" spans="3:47">
      <c r="C7093" s="20"/>
      <c r="Z7093" s="20"/>
      <c r="AG7093" s="20"/>
      <c r="AQ7093" s="19"/>
      <c r="AR7093" s="19"/>
      <c r="AS7093" s="19"/>
      <c r="AT7093" s="19"/>
      <c r="AU7093" s="19"/>
    </row>
    <row r="7094" spans="3:47">
      <c r="C7094" s="20"/>
      <c r="Z7094" s="20"/>
      <c r="AG7094" s="20"/>
      <c r="AQ7094" s="19"/>
      <c r="AR7094" s="19"/>
      <c r="AS7094" s="19"/>
      <c r="AT7094" s="19"/>
      <c r="AU7094" s="19"/>
    </row>
    <row r="7095" spans="3:47">
      <c r="C7095" s="20"/>
      <c r="Z7095" s="20"/>
      <c r="AG7095" s="20"/>
      <c r="AQ7095" s="19"/>
      <c r="AR7095" s="19"/>
      <c r="AS7095" s="19"/>
      <c r="AT7095" s="19"/>
      <c r="AU7095" s="19"/>
    </row>
    <row r="7096" spans="3:47">
      <c r="C7096" s="20"/>
      <c r="Z7096" s="20"/>
      <c r="AG7096" s="20"/>
      <c r="AQ7096" s="19"/>
      <c r="AR7096" s="19"/>
      <c r="AS7096" s="19"/>
      <c r="AT7096" s="19"/>
      <c r="AU7096" s="19"/>
    </row>
    <row r="7097" spans="3:47">
      <c r="C7097" s="20"/>
      <c r="Z7097" s="20"/>
      <c r="AG7097" s="20"/>
      <c r="AQ7097" s="19"/>
      <c r="AR7097" s="19"/>
      <c r="AS7097" s="19"/>
      <c r="AT7097" s="19"/>
      <c r="AU7097" s="19"/>
    </row>
    <row r="7098" spans="3:47">
      <c r="C7098" s="20"/>
      <c r="Z7098" s="20"/>
      <c r="AG7098" s="20"/>
      <c r="AQ7098" s="19"/>
      <c r="AR7098" s="19"/>
      <c r="AS7098" s="19"/>
      <c r="AT7098" s="19"/>
      <c r="AU7098" s="19"/>
    </row>
    <row r="7099" spans="3:47">
      <c r="C7099" s="20"/>
      <c r="Z7099" s="20"/>
      <c r="AG7099" s="20"/>
      <c r="AQ7099" s="19"/>
      <c r="AR7099" s="19"/>
      <c r="AS7099" s="19"/>
      <c r="AT7099" s="19"/>
      <c r="AU7099" s="19"/>
    </row>
    <row r="7100" spans="3:47">
      <c r="C7100" s="20"/>
      <c r="Z7100" s="20"/>
      <c r="AG7100" s="20"/>
      <c r="AQ7100" s="19"/>
      <c r="AR7100" s="19"/>
      <c r="AS7100" s="19"/>
      <c r="AT7100" s="19"/>
      <c r="AU7100" s="19"/>
    </row>
    <row r="7101" spans="3:47">
      <c r="C7101" s="20"/>
      <c r="Z7101" s="20"/>
      <c r="AG7101" s="20"/>
      <c r="AQ7101" s="19"/>
      <c r="AR7101" s="19"/>
      <c r="AS7101" s="19"/>
      <c r="AT7101" s="19"/>
      <c r="AU7101" s="19"/>
    </row>
    <row r="7102" spans="3:47">
      <c r="C7102" s="20"/>
      <c r="Z7102" s="20"/>
      <c r="AG7102" s="20"/>
      <c r="AQ7102" s="19"/>
      <c r="AR7102" s="19"/>
      <c r="AS7102" s="19"/>
      <c r="AT7102" s="19"/>
      <c r="AU7102" s="19"/>
    </row>
    <row r="7103" spans="3:47">
      <c r="C7103" s="20"/>
      <c r="Z7103" s="20"/>
      <c r="AG7103" s="20"/>
      <c r="AQ7103" s="19"/>
      <c r="AR7103" s="19"/>
      <c r="AS7103" s="19"/>
      <c r="AT7103" s="19"/>
      <c r="AU7103" s="19"/>
    </row>
    <row r="7104" spans="3:47">
      <c r="C7104" s="20"/>
      <c r="Z7104" s="20"/>
      <c r="AG7104" s="20"/>
      <c r="AQ7104" s="19"/>
      <c r="AR7104" s="19"/>
      <c r="AS7104" s="19"/>
      <c r="AT7104" s="19"/>
      <c r="AU7104" s="19"/>
    </row>
    <row r="7105" spans="3:47">
      <c r="C7105" s="20"/>
      <c r="Z7105" s="20"/>
      <c r="AG7105" s="20"/>
      <c r="AQ7105" s="19"/>
      <c r="AR7105" s="19"/>
      <c r="AS7105" s="19"/>
      <c r="AT7105" s="19"/>
      <c r="AU7105" s="19"/>
    </row>
    <row r="7106" spans="3:47">
      <c r="C7106" s="20"/>
      <c r="Z7106" s="20"/>
      <c r="AG7106" s="20"/>
      <c r="AQ7106" s="19"/>
      <c r="AR7106" s="19"/>
      <c r="AS7106" s="19"/>
      <c r="AT7106" s="19"/>
      <c r="AU7106" s="19"/>
    </row>
    <row r="7107" spans="3:47">
      <c r="C7107" s="20"/>
      <c r="Z7107" s="20"/>
      <c r="AG7107" s="20"/>
      <c r="AQ7107" s="19"/>
      <c r="AR7107" s="19"/>
      <c r="AS7107" s="19"/>
      <c r="AT7107" s="19"/>
      <c r="AU7107" s="19"/>
    </row>
    <row r="7108" spans="3:47">
      <c r="C7108" s="20"/>
      <c r="Z7108" s="20"/>
      <c r="AG7108" s="20"/>
      <c r="AQ7108" s="19"/>
      <c r="AR7108" s="19"/>
      <c r="AS7108" s="19"/>
      <c r="AT7108" s="19"/>
      <c r="AU7108" s="19"/>
    </row>
    <row r="7109" spans="3:47">
      <c r="C7109" s="20"/>
      <c r="Z7109" s="20"/>
      <c r="AG7109" s="20"/>
      <c r="AQ7109" s="19"/>
      <c r="AR7109" s="19"/>
      <c r="AS7109" s="19"/>
      <c r="AT7109" s="19"/>
      <c r="AU7109" s="19"/>
    </row>
    <row r="7110" spans="3:47">
      <c r="C7110" s="20"/>
      <c r="Z7110" s="20"/>
      <c r="AG7110" s="20"/>
      <c r="AQ7110" s="19"/>
      <c r="AR7110" s="19"/>
      <c r="AS7110" s="19"/>
      <c r="AT7110" s="19"/>
      <c r="AU7110" s="19"/>
    </row>
    <row r="7111" spans="3:47">
      <c r="C7111" s="20"/>
      <c r="Z7111" s="20"/>
      <c r="AG7111" s="20"/>
      <c r="AQ7111" s="19"/>
      <c r="AR7111" s="19"/>
      <c r="AS7111" s="19"/>
      <c r="AT7111" s="19"/>
      <c r="AU7111" s="19"/>
    </row>
    <row r="7112" spans="3:47">
      <c r="C7112" s="20"/>
      <c r="Z7112" s="20"/>
      <c r="AG7112" s="20"/>
      <c r="AQ7112" s="19"/>
      <c r="AR7112" s="19"/>
      <c r="AS7112" s="19"/>
      <c r="AT7112" s="19"/>
      <c r="AU7112" s="19"/>
    </row>
    <row r="7113" spans="3:47">
      <c r="C7113" s="20"/>
      <c r="Z7113" s="20"/>
      <c r="AG7113" s="20"/>
      <c r="AQ7113" s="19"/>
      <c r="AR7113" s="19"/>
      <c r="AS7113" s="19"/>
      <c r="AT7113" s="19"/>
      <c r="AU7113" s="19"/>
    </row>
    <row r="7114" spans="3:47">
      <c r="C7114" s="20"/>
      <c r="Z7114" s="20"/>
      <c r="AG7114" s="20"/>
      <c r="AQ7114" s="19"/>
      <c r="AR7114" s="19"/>
      <c r="AS7114" s="19"/>
      <c r="AT7114" s="19"/>
      <c r="AU7114" s="19"/>
    </row>
    <row r="7115" spans="3:47">
      <c r="C7115" s="20"/>
      <c r="Z7115" s="20"/>
      <c r="AG7115" s="20"/>
      <c r="AQ7115" s="19"/>
      <c r="AR7115" s="19"/>
      <c r="AS7115" s="19"/>
      <c r="AT7115" s="19"/>
      <c r="AU7115" s="19"/>
    </row>
    <row r="7116" spans="3:47">
      <c r="C7116" s="20"/>
      <c r="Z7116" s="20"/>
      <c r="AG7116" s="20"/>
      <c r="AQ7116" s="19"/>
      <c r="AR7116" s="19"/>
      <c r="AS7116" s="19"/>
      <c r="AT7116" s="19"/>
      <c r="AU7116" s="19"/>
    </row>
    <row r="7117" spans="3:47">
      <c r="C7117" s="20"/>
      <c r="Z7117" s="20"/>
      <c r="AG7117" s="20"/>
      <c r="AQ7117" s="19"/>
      <c r="AR7117" s="19"/>
      <c r="AS7117" s="19"/>
      <c r="AT7117" s="19"/>
      <c r="AU7117" s="19"/>
    </row>
    <row r="7118" spans="3:47">
      <c r="C7118" s="20"/>
      <c r="Z7118" s="20"/>
      <c r="AG7118" s="20"/>
      <c r="AQ7118" s="19"/>
      <c r="AR7118" s="19"/>
      <c r="AS7118" s="19"/>
      <c r="AT7118" s="19"/>
      <c r="AU7118" s="19"/>
    </row>
    <row r="7119" spans="3:47">
      <c r="C7119" s="20"/>
      <c r="Z7119" s="20"/>
      <c r="AG7119" s="20"/>
      <c r="AQ7119" s="19"/>
      <c r="AR7119" s="19"/>
      <c r="AS7119" s="19"/>
      <c r="AT7119" s="19"/>
      <c r="AU7119" s="19"/>
    </row>
    <row r="7120" spans="3:47">
      <c r="C7120" s="20"/>
      <c r="Z7120" s="20"/>
      <c r="AG7120" s="20"/>
      <c r="AQ7120" s="19"/>
      <c r="AR7120" s="19"/>
      <c r="AS7120" s="19"/>
      <c r="AT7120" s="19"/>
      <c r="AU7120" s="19"/>
    </row>
    <row r="7121" spans="3:47">
      <c r="C7121" s="20"/>
      <c r="Z7121" s="20"/>
      <c r="AG7121" s="20"/>
      <c r="AQ7121" s="19"/>
      <c r="AR7121" s="19"/>
      <c r="AS7121" s="19"/>
      <c r="AT7121" s="19"/>
      <c r="AU7121" s="19"/>
    </row>
    <row r="7122" spans="3:47">
      <c r="C7122" s="20"/>
      <c r="Z7122" s="20"/>
      <c r="AG7122" s="20"/>
      <c r="AQ7122" s="19"/>
      <c r="AR7122" s="19"/>
      <c r="AS7122" s="19"/>
      <c r="AT7122" s="19"/>
      <c r="AU7122" s="19"/>
    </row>
    <row r="7123" spans="3:47">
      <c r="C7123" s="20"/>
      <c r="Z7123" s="20"/>
      <c r="AG7123" s="20"/>
      <c r="AQ7123" s="19"/>
      <c r="AR7123" s="19"/>
      <c r="AS7123" s="19"/>
      <c r="AT7123" s="19"/>
      <c r="AU7123" s="19"/>
    </row>
    <row r="7124" spans="3:47">
      <c r="C7124" s="20"/>
      <c r="Z7124" s="20"/>
      <c r="AG7124" s="20"/>
      <c r="AQ7124" s="19"/>
      <c r="AR7124" s="19"/>
      <c r="AS7124" s="19"/>
      <c r="AT7124" s="19"/>
      <c r="AU7124" s="19"/>
    </row>
    <row r="7125" spans="3:47">
      <c r="C7125" s="20"/>
      <c r="Z7125" s="20"/>
      <c r="AG7125" s="20"/>
      <c r="AQ7125" s="19"/>
      <c r="AR7125" s="19"/>
      <c r="AS7125" s="19"/>
      <c r="AT7125" s="19"/>
      <c r="AU7125" s="19"/>
    </row>
    <row r="7126" spans="3:47">
      <c r="C7126" s="20"/>
      <c r="Z7126" s="20"/>
      <c r="AG7126" s="20"/>
      <c r="AQ7126" s="19"/>
      <c r="AR7126" s="19"/>
      <c r="AS7126" s="19"/>
      <c r="AT7126" s="19"/>
      <c r="AU7126" s="19"/>
    </row>
    <row r="7127" spans="3:47">
      <c r="C7127" s="20"/>
      <c r="Z7127" s="20"/>
      <c r="AG7127" s="20"/>
      <c r="AQ7127" s="19"/>
      <c r="AR7127" s="19"/>
      <c r="AS7127" s="19"/>
      <c r="AT7127" s="19"/>
      <c r="AU7127" s="19"/>
    </row>
    <row r="7128" spans="3:47">
      <c r="C7128" s="20"/>
      <c r="Z7128" s="20"/>
      <c r="AG7128" s="20"/>
      <c r="AQ7128" s="19"/>
      <c r="AR7128" s="19"/>
      <c r="AS7128" s="19"/>
      <c r="AT7128" s="19"/>
      <c r="AU7128" s="19"/>
    </row>
    <row r="7129" spans="3:47">
      <c r="C7129" s="20"/>
      <c r="Z7129" s="20"/>
      <c r="AG7129" s="20"/>
      <c r="AQ7129" s="19"/>
      <c r="AR7129" s="19"/>
      <c r="AS7129" s="19"/>
      <c r="AT7129" s="19"/>
      <c r="AU7129" s="19"/>
    </row>
    <row r="7130" spans="3:47">
      <c r="C7130" s="20"/>
      <c r="Z7130" s="20"/>
      <c r="AG7130" s="20"/>
      <c r="AQ7130" s="19"/>
      <c r="AR7130" s="19"/>
      <c r="AS7130" s="19"/>
      <c r="AT7130" s="19"/>
      <c r="AU7130" s="19"/>
    </row>
    <row r="7131" spans="3:47">
      <c r="C7131" s="20"/>
      <c r="Z7131" s="20"/>
      <c r="AG7131" s="20"/>
      <c r="AQ7131" s="19"/>
      <c r="AR7131" s="19"/>
      <c r="AS7131" s="19"/>
      <c r="AT7131" s="19"/>
      <c r="AU7131" s="19"/>
    </row>
    <row r="7132" spans="3:47">
      <c r="C7132" s="20"/>
      <c r="Z7132" s="20"/>
      <c r="AG7132" s="20"/>
      <c r="AQ7132" s="19"/>
      <c r="AR7132" s="19"/>
      <c r="AS7132" s="19"/>
      <c r="AT7132" s="19"/>
      <c r="AU7132" s="19"/>
    </row>
    <row r="7133" spans="3:47">
      <c r="C7133" s="20"/>
      <c r="Z7133" s="20"/>
      <c r="AG7133" s="20"/>
      <c r="AQ7133" s="19"/>
      <c r="AR7133" s="19"/>
      <c r="AS7133" s="19"/>
      <c r="AT7133" s="19"/>
      <c r="AU7133" s="19"/>
    </row>
    <row r="7134" spans="3:47">
      <c r="C7134" s="20"/>
      <c r="Z7134" s="20"/>
      <c r="AG7134" s="20"/>
      <c r="AQ7134" s="19"/>
      <c r="AR7134" s="19"/>
      <c r="AS7134" s="19"/>
      <c r="AT7134" s="19"/>
      <c r="AU7134" s="19"/>
    </row>
    <row r="7135" spans="3:47">
      <c r="C7135" s="20"/>
      <c r="Z7135" s="20"/>
      <c r="AG7135" s="20"/>
      <c r="AQ7135" s="19"/>
      <c r="AR7135" s="19"/>
      <c r="AS7135" s="19"/>
      <c r="AT7135" s="19"/>
      <c r="AU7135" s="19"/>
    </row>
    <row r="7136" spans="3:47">
      <c r="C7136" s="20"/>
      <c r="Z7136" s="20"/>
      <c r="AG7136" s="20"/>
      <c r="AQ7136" s="19"/>
      <c r="AR7136" s="19"/>
      <c r="AS7136" s="19"/>
      <c r="AT7136" s="19"/>
      <c r="AU7136" s="19"/>
    </row>
    <row r="7137" spans="3:47">
      <c r="C7137" s="20"/>
      <c r="Z7137" s="20"/>
      <c r="AG7137" s="20"/>
      <c r="AQ7137" s="19"/>
      <c r="AR7137" s="19"/>
      <c r="AS7137" s="19"/>
      <c r="AT7137" s="19"/>
      <c r="AU7137" s="19"/>
    </row>
    <row r="7138" spans="3:47">
      <c r="C7138" s="20"/>
      <c r="Z7138" s="20"/>
      <c r="AG7138" s="20"/>
      <c r="AQ7138" s="19"/>
      <c r="AR7138" s="19"/>
      <c r="AS7138" s="19"/>
      <c r="AT7138" s="19"/>
      <c r="AU7138" s="19"/>
    </row>
    <row r="7139" spans="3:47">
      <c r="C7139" s="20"/>
      <c r="Z7139" s="20"/>
      <c r="AG7139" s="20"/>
      <c r="AQ7139" s="19"/>
      <c r="AR7139" s="19"/>
      <c r="AS7139" s="19"/>
      <c r="AT7139" s="19"/>
      <c r="AU7139" s="19"/>
    </row>
    <row r="7140" spans="3:47">
      <c r="C7140" s="20"/>
      <c r="Z7140" s="20"/>
      <c r="AG7140" s="20"/>
      <c r="AQ7140" s="19"/>
      <c r="AR7140" s="19"/>
      <c r="AS7140" s="19"/>
      <c r="AT7140" s="19"/>
      <c r="AU7140" s="19"/>
    </row>
    <row r="7141" spans="3:47">
      <c r="C7141" s="20"/>
      <c r="Z7141" s="20"/>
      <c r="AG7141" s="20"/>
      <c r="AQ7141" s="19"/>
      <c r="AR7141" s="19"/>
      <c r="AS7141" s="19"/>
      <c r="AT7141" s="19"/>
      <c r="AU7141" s="19"/>
    </row>
    <row r="7142" spans="3:47">
      <c r="C7142" s="20"/>
      <c r="Z7142" s="20"/>
      <c r="AG7142" s="20"/>
      <c r="AQ7142" s="19"/>
      <c r="AR7142" s="19"/>
      <c r="AS7142" s="19"/>
      <c r="AT7142" s="19"/>
      <c r="AU7142" s="19"/>
    </row>
    <row r="7143" spans="3:47">
      <c r="C7143" s="20"/>
      <c r="Z7143" s="20"/>
      <c r="AG7143" s="20"/>
      <c r="AQ7143" s="19"/>
      <c r="AR7143" s="19"/>
      <c r="AS7143" s="19"/>
      <c r="AT7143" s="19"/>
      <c r="AU7143" s="19"/>
    </row>
    <row r="7144" spans="3:47">
      <c r="C7144" s="20"/>
      <c r="Z7144" s="20"/>
      <c r="AG7144" s="20"/>
      <c r="AQ7144" s="19"/>
      <c r="AR7144" s="19"/>
      <c r="AS7144" s="19"/>
      <c r="AT7144" s="19"/>
      <c r="AU7144" s="19"/>
    </row>
    <row r="7145" spans="3:47">
      <c r="C7145" s="20"/>
      <c r="Z7145" s="20"/>
      <c r="AG7145" s="20"/>
      <c r="AQ7145" s="19"/>
      <c r="AR7145" s="19"/>
      <c r="AS7145" s="19"/>
      <c r="AT7145" s="19"/>
      <c r="AU7145" s="19"/>
    </row>
    <row r="7146" spans="3:47">
      <c r="C7146" s="20"/>
      <c r="Z7146" s="20"/>
      <c r="AG7146" s="20"/>
      <c r="AQ7146" s="19"/>
      <c r="AR7146" s="19"/>
      <c r="AS7146" s="19"/>
      <c r="AT7146" s="19"/>
      <c r="AU7146" s="19"/>
    </row>
    <row r="7147" spans="3:47">
      <c r="C7147" s="20"/>
      <c r="Z7147" s="20"/>
      <c r="AG7147" s="20"/>
      <c r="AQ7147" s="19"/>
      <c r="AR7147" s="19"/>
      <c r="AS7147" s="19"/>
      <c r="AT7147" s="19"/>
      <c r="AU7147" s="19"/>
    </row>
    <row r="7148" spans="3:47">
      <c r="C7148" s="20"/>
      <c r="Z7148" s="20"/>
      <c r="AG7148" s="20"/>
      <c r="AQ7148" s="19"/>
      <c r="AR7148" s="19"/>
      <c r="AS7148" s="19"/>
      <c r="AT7148" s="19"/>
      <c r="AU7148" s="19"/>
    </row>
    <row r="7149" spans="3:47">
      <c r="C7149" s="20"/>
      <c r="Z7149" s="20"/>
      <c r="AG7149" s="20"/>
      <c r="AQ7149" s="19"/>
      <c r="AR7149" s="19"/>
      <c r="AS7149" s="19"/>
      <c r="AT7149" s="19"/>
      <c r="AU7149" s="19"/>
    </row>
    <row r="7150" spans="3:47">
      <c r="C7150" s="20"/>
      <c r="Z7150" s="20"/>
      <c r="AG7150" s="20"/>
      <c r="AQ7150" s="19"/>
      <c r="AR7150" s="19"/>
      <c r="AS7150" s="19"/>
      <c r="AT7150" s="19"/>
      <c r="AU7150" s="19"/>
    </row>
    <row r="7151" spans="3:47">
      <c r="C7151" s="20"/>
      <c r="Z7151" s="20"/>
      <c r="AG7151" s="20"/>
      <c r="AQ7151" s="19"/>
      <c r="AR7151" s="19"/>
      <c r="AS7151" s="19"/>
      <c r="AT7151" s="19"/>
      <c r="AU7151" s="19"/>
    </row>
    <row r="7152" spans="3:47">
      <c r="C7152" s="20"/>
      <c r="Z7152" s="20"/>
      <c r="AG7152" s="20"/>
      <c r="AQ7152" s="19"/>
      <c r="AR7152" s="19"/>
      <c r="AS7152" s="19"/>
      <c r="AT7152" s="19"/>
      <c r="AU7152" s="19"/>
    </row>
    <row r="7153" spans="3:47">
      <c r="C7153" s="20"/>
      <c r="Z7153" s="20"/>
      <c r="AG7153" s="20"/>
      <c r="AQ7153" s="19"/>
      <c r="AR7153" s="19"/>
      <c r="AS7153" s="19"/>
      <c r="AT7153" s="19"/>
      <c r="AU7153" s="19"/>
    </row>
    <row r="7154" spans="3:47">
      <c r="C7154" s="20"/>
      <c r="Z7154" s="20"/>
      <c r="AG7154" s="20"/>
      <c r="AQ7154" s="19"/>
      <c r="AR7154" s="19"/>
      <c r="AS7154" s="19"/>
      <c r="AT7154" s="19"/>
      <c r="AU7154" s="19"/>
    </row>
    <row r="7155" spans="3:47">
      <c r="C7155" s="20"/>
      <c r="Z7155" s="20"/>
      <c r="AG7155" s="20"/>
      <c r="AQ7155" s="19"/>
      <c r="AR7155" s="19"/>
      <c r="AS7155" s="19"/>
      <c r="AT7155" s="19"/>
      <c r="AU7155" s="19"/>
    </row>
    <row r="7156" spans="3:47">
      <c r="C7156" s="20"/>
      <c r="Z7156" s="20"/>
      <c r="AG7156" s="20"/>
      <c r="AQ7156" s="19"/>
      <c r="AR7156" s="19"/>
      <c r="AS7156" s="19"/>
      <c r="AT7156" s="19"/>
      <c r="AU7156" s="19"/>
    </row>
    <row r="7157" spans="3:47">
      <c r="C7157" s="20"/>
      <c r="Z7157" s="20"/>
      <c r="AG7157" s="20"/>
      <c r="AQ7157" s="19"/>
      <c r="AR7157" s="19"/>
      <c r="AS7157" s="19"/>
      <c r="AT7157" s="19"/>
      <c r="AU7157" s="19"/>
    </row>
    <row r="7158" spans="3:47">
      <c r="C7158" s="20"/>
      <c r="Z7158" s="20"/>
      <c r="AG7158" s="20"/>
      <c r="AQ7158" s="19"/>
      <c r="AR7158" s="19"/>
      <c r="AS7158" s="19"/>
      <c r="AT7158" s="19"/>
      <c r="AU7158" s="19"/>
    </row>
    <row r="7159" spans="3:47">
      <c r="C7159" s="20"/>
      <c r="Z7159" s="20"/>
      <c r="AG7159" s="20"/>
      <c r="AQ7159" s="19"/>
      <c r="AR7159" s="19"/>
      <c r="AS7159" s="19"/>
      <c r="AT7159" s="19"/>
      <c r="AU7159" s="19"/>
    </row>
    <row r="7160" spans="3:47">
      <c r="C7160" s="20"/>
      <c r="Z7160" s="20"/>
      <c r="AG7160" s="20"/>
      <c r="AQ7160" s="19"/>
      <c r="AR7160" s="19"/>
      <c r="AS7160" s="19"/>
      <c r="AT7160" s="19"/>
      <c r="AU7160" s="19"/>
    </row>
    <row r="7161" spans="3:47">
      <c r="C7161" s="20"/>
      <c r="Z7161" s="20"/>
      <c r="AG7161" s="20"/>
      <c r="AQ7161" s="19"/>
      <c r="AR7161" s="19"/>
      <c r="AS7161" s="19"/>
      <c r="AT7161" s="19"/>
      <c r="AU7161" s="19"/>
    </row>
    <row r="7162" spans="3:47">
      <c r="C7162" s="20"/>
      <c r="Z7162" s="20"/>
      <c r="AG7162" s="20"/>
      <c r="AQ7162" s="19"/>
      <c r="AR7162" s="19"/>
      <c r="AS7162" s="19"/>
      <c r="AT7162" s="19"/>
      <c r="AU7162" s="19"/>
    </row>
    <row r="7163" spans="3:47">
      <c r="C7163" s="20"/>
      <c r="Z7163" s="20"/>
      <c r="AG7163" s="20"/>
      <c r="AQ7163" s="19"/>
      <c r="AR7163" s="19"/>
      <c r="AS7163" s="19"/>
      <c r="AT7163" s="19"/>
      <c r="AU7163" s="19"/>
    </row>
    <row r="7164" spans="3:47">
      <c r="C7164" s="20"/>
      <c r="Z7164" s="20"/>
      <c r="AG7164" s="20"/>
      <c r="AQ7164" s="19"/>
      <c r="AR7164" s="19"/>
      <c r="AS7164" s="19"/>
      <c r="AT7164" s="19"/>
      <c r="AU7164" s="19"/>
    </row>
    <row r="7165" spans="3:47">
      <c r="C7165" s="20"/>
      <c r="Z7165" s="20"/>
      <c r="AG7165" s="20"/>
      <c r="AQ7165" s="19"/>
      <c r="AR7165" s="19"/>
      <c r="AS7165" s="19"/>
      <c r="AT7165" s="19"/>
      <c r="AU7165" s="19"/>
    </row>
    <row r="7166" spans="3:47">
      <c r="C7166" s="20"/>
      <c r="Z7166" s="20"/>
      <c r="AG7166" s="20"/>
      <c r="AQ7166" s="19"/>
      <c r="AR7166" s="19"/>
      <c r="AS7166" s="19"/>
      <c r="AT7166" s="19"/>
      <c r="AU7166" s="19"/>
    </row>
    <row r="7167" spans="3:47">
      <c r="C7167" s="20"/>
      <c r="Z7167" s="20"/>
      <c r="AG7167" s="20"/>
      <c r="AQ7167" s="19"/>
      <c r="AR7167" s="19"/>
      <c r="AS7167" s="19"/>
      <c r="AT7167" s="19"/>
      <c r="AU7167" s="19"/>
    </row>
    <row r="7168" spans="3:47">
      <c r="C7168" s="20"/>
      <c r="Z7168" s="20"/>
      <c r="AG7168" s="20"/>
      <c r="AQ7168" s="19"/>
      <c r="AR7168" s="19"/>
      <c r="AS7168" s="19"/>
      <c r="AT7168" s="19"/>
      <c r="AU7168" s="19"/>
    </row>
    <row r="7169" spans="3:47">
      <c r="C7169" s="20"/>
      <c r="Z7169" s="20"/>
      <c r="AG7169" s="20"/>
      <c r="AQ7169" s="19"/>
      <c r="AR7169" s="19"/>
      <c r="AS7169" s="19"/>
      <c r="AT7169" s="19"/>
      <c r="AU7169" s="19"/>
    </row>
    <row r="7170" spans="3:47">
      <c r="C7170" s="20"/>
      <c r="Z7170" s="20"/>
      <c r="AG7170" s="20"/>
      <c r="AQ7170" s="19"/>
      <c r="AR7170" s="19"/>
      <c r="AS7170" s="19"/>
      <c r="AT7170" s="19"/>
      <c r="AU7170" s="19"/>
    </row>
    <row r="7171" spans="3:47">
      <c r="C7171" s="20"/>
      <c r="Z7171" s="20"/>
      <c r="AG7171" s="20"/>
      <c r="AQ7171" s="19"/>
      <c r="AR7171" s="19"/>
      <c r="AS7171" s="19"/>
      <c r="AT7171" s="19"/>
      <c r="AU7171" s="19"/>
    </row>
    <row r="7172" spans="3:47">
      <c r="C7172" s="20"/>
      <c r="Z7172" s="20"/>
      <c r="AG7172" s="20"/>
      <c r="AQ7172" s="19"/>
      <c r="AR7172" s="19"/>
      <c r="AS7172" s="19"/>
      <c r="AT7172" s="19"/>
      <c r="AU7172" s="19"/>
    </row>
    <row r="7173" spans="3:47">
      <c r="C7173" s="20"/>
      <c r="Z7173" s="20"/>
      <c r="AG7173" s="20"/>
      <c r="AQ7173" s="19"/>
      <c r="AR7173" s="19"/>
      <c r="AS7173" s="19"/>
      <c r="AT7173" s="19"/>
      <c r="AU7173" s="19"/>
    </row>
    <row r="7174" spans="3:47">
      <c r="C7174" s="20"/>
      <c r="Z7174" s="20"/>
      <c r="AG7174" s="20"/>
      <c r="AQ7174" s="19"/>
      <c r="AR7174" s="19"/>
      <c r="AS7174" s="19"/>
      <c r="AT7174" s="19"/>
      <c r="AU7174" s="19"/>
    </row>
    <row r="7175" spans="3:47">
      <c r="C7175" s="20"/>
      <c r="Z7175" s="20"/>
      <c r="AG7175" s="20"/>
      <c r="AQ7175" s="19"/>
      <c r="AR7175" s="19"/>
      <c r="AS7175" s="19"/>
      <c r="AT7175" s="19"/>
      <c r="AU7175" s="19"/>
    </row>
    <row r="7176" spans="3:47">
      <c r="C7176" s="20"/>
      <c r="Z7176" s="20"/>
      <c r="AG7176" s="20"/>
      <c r="AQ7176" s="19"/>
      <c r="AR7176" s="19"/>
      <c r="AS7176" s="19"/>
      <c r="AT7176" s="19"/>
      <c r="AU7176" s="19"/>
    </row>
    <row r="7177" spans="3:47">
      <c r="C7177" s="20"/>
      <c r="Z7177" s="20"/>
      <c r="AG7177" s="20"/>
      <c r="AQ7177" s="19"/>
      <c r="AR7177" s="19"/>
      <c r="AS7177" s="19"/>
      <c r="AT7177" s="19"/>
      <c r="AU7177" s="19"/>
    </row>
    <row r="7178" spans="3:47">
      <c r="C7178" s="20"/>
      <c r="Z7178" s="20"/>
      <c r="AG7178" s="20"/>
      <c r="AQ7178" s="19"/>
      <c r="AR7178" s="19"/>
      <c r="AS7178" s="19"/>
      <c r="AT7178" s="19"/>
      <c r="AU7178" s="19"/>
    </row>
    <row r="7179" spans="3:47">
      <c r="C7179" s="20"/>
      <c r="Z7179" s="20"/>
      <c r="AG7179" s="20"/>
      <c r="AQ7179" s="19"/>
      <c r="AR7179" s="19"/>
      <c r="AS7179" s="19"/>
      <c r="AT7179" s="19"/>
      <c r="AU7179" s="19"/>
    </row>
    <row r="7180" spans="3:47">
      <c r="C7180" s="20"/>
      <c r="Z7180" s="20"/>
      <c r="AG7180" s="20"/>
      <c r="AQ7180" s="19"/>
      <c r="AR7180" s="19"/>
      <c r="AS7180" s="19"/>
      <c r="AT7180" s="19"/>
      <c r="AU7180" s="19"/>
    </row>
    <row r="7181" spans="3:47">
      <c r="C7181" s="20"/>
      <c r="Z7181" s="20"/>
      <c r="AG7181" s="20"/>
      <c r="AQ7181" s="19"/>
      <c r="AR7181" s="19"/>
      <c r="AS7181" s="19"/>
      <c r="AT7181" s="19"/>
      <c r="AU7181" s="19"/>
    </row>
    <row r="7182" spans="3:47">
      <c r="C7182" s="20"/>
      <c r="Z7182" s="20"/>
      <c r="AG7182" s="20"/>
      <c r="AQ7182" s="19"/>
      <c r="AR7182" s="19"/>
      <c r="AS7182" s="19"/>
      <c r="AT7182" s="19"/>
      <c r="AU7182" s="19"/>
    </row>
    <row r="7183" spans="3:47">
      <c r="C7183" s="20"/>
      <c r="Z7183" s="20"/>
      <c r="AG7183" s="20"/>
      <c r="AQ7183" s="19"/>
      <c r="AR7183" s="19"/>
      <c r="AS7183" s="19"/>
      <c r="AT7183" s="19"/>
      <c r="AU7183" s="19"/>
    </row>
    <row r="7184" spans="3:47">
      <c r="C7184" s="20"/>
      <c r="Z7184" s="20"/>
      <c r="AG7184" s="20"/>
      <c r="AQ7184" s="19"/>
      <c r="AR7184" s="19"/>
      <c r="AS7184" s="19"/>
      <c r="AT7184" s="19"/>
      <c r="AU7184" s="19"/>
    </row>
    <row r="7185" spans="3:47">
      <c r="C7185" s="20"/>
      <c r="Z7185" s="20"/>
      <c r="AG7185" s="20"/>
      <c r="AQ7185" s="19"/>
      <c r="AR7185" s="19"/>
      <c r="AS7185" s="19"/>
      <c r="AT7185" s="19"/>
      <c r="AU7185" s="19"/>
    </row>
    <row r="7186" spans="3:47">
      <c r="C7186" s="20"/>
      <c r="Z7186" s="20"/>
      <c r="AG7186" s="20"/>
      <c r="AQ7186" s="19"/>
      <c r="AR7186" s="19"/>
      <c r="AS7186" s="19"/>
      <c r="AT7186" s="19"/>
      <c r="AU7186" s="19"/>
    </row>
    <row r="7187" spans="3:47">
      <c r="C7187" s="20"/>
      <c r="Z7187" s="20"/>
      <c r="AG7187" s="20"/>
      <c r="AQ7187" s="19"/>
      <c r="AR7187" s="19"/>
      <c r="AS7187" s="19"/>
      <c r="AT7187" s="19"/>
      <c r="AU7187" s="19"/>
    </row>
    <row r="7188" spans="3:47">
      <c r="C7188" s="20"/>
      <c r="Z7188" s="20"/>
      <c r="AG7188" s="20"/>
      <c r="AQ7188" s="19"/>
      <c r="AR7188" s="19"/>
      <c r="AS7188" s="19"/>
      <c r="AT7188" s="19"/>
      <c r="AU7188" s="19"/>
    </row>
    <row r="7189" spans="3:47">
      <c r="C7189" s="20"/>
      <c r="Z7189" s="20"/>
      <c r="AG7189" s="20"/>
      <c r="AQ7189" s="19"/>
      <c r="AR7189" s="19"/>
      <c r="AS7189" s="19"/>
      <c r="AT7189" s="19"/>
      <c r="AU7189" s="19"/>
    </row>
    <row r="7190" spans="3:47">
      <c r="C7190" s="20"/>
      <c r="Z7190" s="20"/>
      <c r="AG7190" s="20"/>
      <c r="AQ7190" s="19"/>
      <c r="AR7190" s="19"/>
      <c r="AS7190" s="19"/>
      <c r="AT7190" s="19"/>
      <c r="AU7190" s="19"/>
    </row>
    <row r="7191" spans="3:47">
      <c r="C7191" s="20"/>
      <c r="Z7191" s="20"/>
      <c r="AG7191" s="20"/>
      <c r="AQ7191" s="19"/>
      <c r="AR7191" s="19"/>
      <c r="AS7191" s="19"/>
      <c r="AT7191" s="19"/>
      <c r="AU7191" s="19"/>
    </row>
    <row r="7192" spans="3:47">
      <c r="C7192" s="20"/>
      <c r="Z7192" s="20"/>
      <c r="AG7192" s="20"/>
      <c r="AQ7192" s="19"/>
      <c r="AR7192" s="19"/>
      <c r="AS7192" s="19"/>
      <c r="AT7192" s="19"/>
      <c r="AU7192" s="19"/>
    </row>
    <row r="7193" spans="3:47">
      <c r="C7193" s="20"/>
      <c r="Z7193" s="20"/>
      <c r="AG7193" s="20"/>
      <c r="AQ7193" s="19"/>
      <c r="AR7193" s="19"/>
      <c r="AS7193" s="19"/>
      <c r="AT7193" s="19"/>
      <c r="AU7193" s="19"/>
    </row>
    <row r="7194" spans="3:47">
      <c r="C7194" s="20"/>
      <c r="Z7194" s="20"/>
      <c r="AG7194" s="20"/>
      <c r="AQ7194" s="19"/>
      <c r="AR7194" s="19"/>
      <c r="AS7194" s="19"/>
      <c r="AT7194" s="19"/>
      <c r="AU7194" s="19"/>
    </row>
    <row r="7195" spans="3:47">
      <c r="C7195" s="20"/>
      <c r="Z7195" s="20"/>
      <c r="AG7195" s="20"/>
      <c r="AQ7195" s="19"/>
      <c r="AR7195" s="19"/>
      <c r="AS7195" s="19"/>
      <c r="AT7195" s="19"/>
      <c r="AU7195" s="19"/>
    </row>
    <row r="7196" spans="3:47">
      <c r="C7196" s="20"/>
      <c r="Z7196" s="20"/>
      <c r="AG7196" s="20"/>
      <c r="AQ7196" s="19"/>
      <c r="AR7196" s="19"/>
      <c r="AS7196" s="19"/>
      <c r="AT7196" s="19"/>
      <c r="AU7196" s="19"/>
    </row>
    <row r="7197" spans="3:47">
      <c r="C7197" s="20"/>
      <c r="Z7197" s="20"/>
      <c r="AG7197" s="20"/>
      <c r="AQ7197" s="19"/>
      <c r="AR7197" s="19"/>
      <c r="AS7197" s="19"/>
      <c r="AT7197" s="19"/>
      <c r="AU7197" s="19"/>
    </row>
    <row r="7198" spans="3:47">
      <c r="C7198" s="20"/>
      <c r="Z7198" s="20"/>
      <c r="AG7198" s="20"/>
      <c r="AQ7198" s="19"/>
      <c r="AR7198" s="19"/>
      <c r="AS7198" s="19"/>
      <c r="AT7198" s="19"/>
      <c r="AU7198" s="19"/>
    </row>
    <row r="7199" spans="3:47">
      <c r="C7199" s="20"/>
      <c r="Z7199" s="20"/>
      <c r="AG7199" s="20"/>
      <c r="AQ7199" s="19"/>
      <c r="AR7199" s="19"/>
      <c r="AS7199" s="19"/>
      <c r="AT7199" s="19"/>
      <c r="AU7199" s="19"/>
    </row>
    <row r="7200" spans="3:47">
      <c r="C7200" s="20"/>
      <c r="Z7200" s="20"/>
      <c r="AG7200" s="20"/>
      <c r="AQ7200" s="19"/>
      <c r="AR7200" s="19"/>
      <c r="AS7200" s="19"/>
      <c r="AT7200" s="19"/>
      <c r="AU7200" s="19"/>
    </row>
    <row r="7201" spans="3:47">
      <c r="C7201" s="20"/>
      <c r="Z7201" s="20"/>
      <c r="AG7201" s="20"/>
      <c r="AQ7201" s="19"/>
      <c r="AR7201" s="19"/>
      <c r="AS7201" s="19"/>
      <c r="AT7201" s="19"/>
      <c r="AU7201" s="19"/>
    </row>
    <row r="7202" spans="3:47">
      <c r="C7202" s="20"/>
      <c r="Z7202" s="20"/>
      <c r="AG7202" s="20"/>
      <c r="AQ7202" s="19"/>
      <c r="AR7202" s="19"/>
      <c r="AS7202" s="19"/>
      <c r="AT7202" s="19"/>
      <c r="AU7202" s="19"/>
    </row>
    <row r="7203" spans="3:47">
      <c r="C7203" s="20"/>
      <c r="Z7203" s="20"/>
      <c r="AG7203" s="20"/>
      <c r="AQ7203" s="19"/>
      <c r="AR7203" s="19"/>
      <c r="AS7203" s="19"/>
      <c r="AT7203" s="19"/>
      <c r="AU7203" s="19"/>
    </row>
    <row r="7204" spans="3:47">
      <c r="C7204" s="20"/>
      <c r="Z7204" s="20"/>
      <c r="AG7204" s="20"/>
      <c r="AQ7204" s="19"/>
      <c r="AR7204" s="19"/>
      <c r="AS7204" s="19"/>
      <c r="AT7204" s="19"/>
      <c r="AU7204" s="19"/>
    </row>
    <row r="7205" spans="3:47">
      <c r="C7205" s="20"/>
      <c r="Z7205" s="20"/>
      <c r="AG7205" s="20"/>
      <c r="AQ7205" s="19"/>
      <c r="AR7205" s="19"/>
      <c r="AS7205" s="19"/>
      <c r="AT7205" s="19"/>
      <c r="AU7205" s="19"/>
    </row>
    <row r="7206" spans="3:47">
      <c r="C7206" s="20"/>
      <c r="Z7206" s="20"/>
      <c r="AG7206" s="20"/>
      <c r="AQ7206" s="19"/>
      <c r="AR7206" s="19"/>
      <c r="AS7206" s="19"/>
      <c r="AT7206" s="19"/>
      <c r="AU7206" s="19"/>
    </row>
    <row r="7207" spans="3:47">
      <c r="C7207" s="20"/>
      <c r="Z7207" s="20"/>
      <c r="AG7207" s="20"/>
      <c r="AQ7207" s="19"/>
      <c r="AR7207" s="19"/>
      <c r="AS7207" s="19"/>
      <c r="AT7207" s="19"/>
      <c r="AU7207" s="19"/>
    </row>
    <row r="7208" spans="3:47">
      <c r="C7208" s="20"/>
      <c r="Z7208" s="20"/>
      <c r="AG7208" s="20"/>
      <c r="AQ7208" s="19"/>
      <c r="AR7208" s="19"/>
      <c r="AS7208" s="19"/>
      <c r="AT7208" s="19"/>
      <c r="AU7208" s="19"/>
    </row>
    <row r="7209" spans="3:47">
      <c r="C7209" s="20"/>
      <c r="Z7209" s="20"/>
      <c r="AG7209" s="20"/>
      <c r="AQ7209" s="19"/>
      <c r="AR7209" s="19"/>
      <c r="AS7209" s="19"/>
      <c r="AT7209" s="19"/>
      <c r="AU7209" s="19"/>
    </row>
    <row r="7210" spans="3:47">
      <c r="C7210" s="20"/>
      <c r="Z7210" s="20"/>
      <c r="AG7210" s="20"/>
      <c r="AQ7210" s="19"/>
      <c r="AR7210" s="19"/>
      <c r="AS7210" s="19"/>
      <c r="AT7210" s="19"/>
      <c r="AU7210" s="19"/>
    </row>
    <row r="7211" spans="3:47">
      <c r="C7211" s="20"/>
      <c r="Z7211" s="20"/>
      <c r="AG7211" s="20"/>
      <c r="AQ7211" s="19"/>
      <c r="AR7211" s="19"/>
      <c r="AS7211" s="19"/>
      <c r="AT7211" s="19"/>
      <c r="AU7211" s="19"/>
    </row>
    <row r="7212" spans="3:47">
      <c r="C7212" s="20"/>
      <c r="Z7212" s="20"/>
      <c r="AG7212" s="20"/>
      <c r="AQ7212" s="19"/>
      <c r="AR7212" s="19"/>
      <c r="AS7212" s="19"/>
      <c r="AT7212" s="19"/>
      <c r="AU7212" s="19"/>
    </row>
    <row r="7213" spans="3:47">
      <c r="C7213" s="20"/>
      <c r="Z7213" s="20"/>
      <c r="AG7213" s="20"/>
      <c r="AQ7213" s="19"/>
      <c r="AR7213" s="19"/>
      <c r="AS7213" s="19"/>
      <c r="AT7213" s="19"/>
      <c r="AU7213" s="19"/>
    </row>
    <row r="7214" spans="3:47">
      <c r="C7214" s="20"/>
      <c r="Z7214" s="20"/>
      <c r="AG7214" s="20"/>
      <c r="AQ7214" s="19"/>
      <c r="AR7214" s="19"/>
      <c r="AS7214" s="19"/>
      <c r="AT7214" s="19"/>
      <c r="AU7214" s="19"/>
    </row>
    <row r="7215" spans="3:47">
      <c r="C7215" s="20"/>
      <c r="Z7215" s="20"/>
      <c r="AG7215" s="20"/>
      <c r="AQ7215" s="19"/>
      <c r="AR7215" s="19"/>
      <c r="AS7215" s="19"/>
      <c r="AT7215" s="19"/>
      <c r="AU7215" s="19"/>
    </row>
    <row r="7216" spans="3:47">
      <c r="C7216" s="20"/>
      <c r="Z7216" s="20"/>
      <c r="AG7216" s="20"/>
      <c r="AQ7216" s="19"/>
      <c r="AR7216" s="19"/>
      <c r="AS7216" s="19"/>
      <c r="AT7216" s="19"/>
      <c r="AU7216" s="19"/>
    </row>
    <row r="7217" spans="3:47">
      <c r="C7217" s="20"/>
      <c r="Z7217" s="20"/>
      <c r="AG7217" s="20"/>
      <c r="AQ7217" s="19"/>
      <c r="AR7217" s="19"/>
      <c r="AS7217" s="19"/>
      <c r="AT7217" s="19"/>
      <c r="AU7217" s="19"/>
    </row>
    <row r="7218" spans="3:47">
      <c r="C7218" s="20"/>
      <c r="Z7218" s="20"/>
      <c r="AG7218" s="20"/>
      <c r="AQ7218" s="19"/>
      <c r="AR7218" s="19"/>
      <c r="AS7218" s="19"/>
      <c r="AT7218" s="19"/>
      <c r="AU7218" s="19"/>
    </row>
    <row r="7219" spans="3:47">
      <c r="C7219" s="20"/>
      <c r="Z7219" s="20"/>
      <c r="AG7219" s="20"/>
      <c r="AQ7219" s="19"/>
      <c r="AR7219" s="19"/>
      <c r="AS7219" s="19"/>
      <c r="AT7219" s="19"/>
      <c r="AU7219" s="19"/>
    </row>
    <row r="7220" spans="3:47">
      <c r="C7220" s="20"/>
      <c r="Z7220" s="20"/>
      <c r="AG7220" s="20"/>
      <c r="AQ7220" s="19"/>
      <c r="AR7220" s="19"/>
      <c r="AS7220" s="19"/>
      <c r="AT7220" s="19"/>
      <c r="AU7220" s="19"/>
    </row>
    <row r="7221" spans="3:47">
      <c r="C7221" s="20"/>
      <c r="Z7221" s="20"/>
      <c r="AG7221" s="20"/>
      <c r="AQ7221" s="19"/>
      <c r="AR7221" s="19"/>
      <c r="AS7221" s="19"/>
      <c r="AT7221" s="19"/>
      <c r="AU7221" s="19"/>
    </row>
    <row r="7222" spans="3:47">
      <c r="C7222" s="20"/>
      <c r="Z7222" s="20"/>
      <c r="AG7222" s="20"/>
      <c r="AQ7222" s="19"/>
      <c r="AR7222" s="19"/>
      <c r="AS7222" s="19"/>
      <c r="AT7222" s="19"/>
      <c r="AU7222" s="19"/>
    </row>
    <row r="7223" spans="3:47">
      <c r="C7223" s="20"/>
      <c r="Z7223" s="20"/>
      <c r="AG7223" s="20"/>
      <c r="AQ7223" s="19"/>
      <c r="AR7223" s="19"/>
      <c r="AS7223" s="19"/>
      <c r="AT7223" s="19"/>
      <c r="AU7223" s="19"/>
    </row>
    <row r="7224" spans="3:47">
      <c r="C7224" s="20"/>
      <c r="Z7224" s="20"/>
      <c r="AG7224" s="20"/>
      <c r="AQ7224" s="19"/>
      <c r="AR7224" s="19"/>
      <c r="AS7224" s="19"/>
      <c r="AT7224" s="19"/>
      <c r="AU7224" s="19"/>
    </row>
    <row r="7225" spans="3:47">
      <c r="C7225" s="20"/>
      <c r="Z7225" s="20"/>
      <c r="AG7225" s="20"/>
      <c r="AQ7225" s="19"/>
      <c r="AR7225" s="19"/>
      <c r="AS7225" s="19"/>
      <c r="AT7225" s="19"/>
      <c r="AU7225" s="19"/>
    </row>
    <row r="7226" spans="3:47">
      <c r="C7226" s="20"/>
      <c r="Z7226" s="20"/>
      <c r="AG7226" s="20"/>
      <c r="AQ7226" s="19"/>
      <c r="AR7226" s="19"/>
      <c r="AS7226" s="19"/>
      <c r="AT7226" s="19"/>
      <c r="AU7226" s="19"/>
    </row>
    <row r="7227" spans="3:47">
      <c r="C7227" s="20"/>
      <c r="Z7227" s="20"/>
      <c r="AG7227" s="20"/>
      <c r="AQ7227" s="19"/>
      <c r="AR7227" s="19"/>
      <c r="AS7227" s="19"/>
      <c r="AT7227" s="19"/>
      <c r="AU7227" s="19"/>
    </row>
    <row r="7228" spans="3:47">
      <c r="C7228" s="20"/>
      <c r="Z7228" s="20"/>
      <c r="AG7228" s="20"/>
      <c r="AQ7228" s="19"/>
      <c r="AR7228" s="19"/>
      <c r="AS7228" s="19"/>
      <c r="AT7228" s="19"/>
      <c r="AU7228" s="19"/>
    </row>
    <row r="7229" spans="3:47">
      <c r="C7229" s="20"/>
      <c r="Z7229" s="20"/>
      <c r="AG7229" s="20"/>
      <c r="AQ7229" s="19"/>
      <c r="AR7229" s="19"/>
      <c r="AS7229" s="19"/>
      <c r="AT7229" s="19"/>
      <c r="AU7229" s="19"/>
    </row>
    <row r="7230" spans="3:47">
      <c r="C7230" s="20"/>
      <c r="Z7230" s="20"/>
      <c r="AG7230" s="20"/>
      <c r="AQ7230" s="19"/>
      <c r="AR7230" s="19"/>
      <c r="AS7230" s="19"/>
      <c r="AT7230" s="19"/>
      <c r="AU7230" s="19"/>
    </row>
    <row r="7231" spans="3:47">
      <c r="C7231" s="20"/>
      <c r="Z7231" s="20"/>
      <c r="AG7231" s="20"/>
      <c r="AQ7231" s="19"/>
      <c r="AR7231" s="19"/>
      <c r="AS7231" s="19"/>
      <c r="AT7231" s="19"/>
      <c r="AU7231" s="19"/>
    </row>
    <row r="7232" spans="3:47">
      <c r="C7232" s="20"/>
      <c r="Z7232" s="20"/>
      <c r="AG7232" s="20"/>
      <c r="AQ7232" s="19"/>
      <c r="AR7232" s="19"/>
      <c r="AS7232" s="19"/>
      <c r="AT7232" s="19"/>
      <c r="AU7232" s="19"/>
    </row>
    <row r="7233" spans="3:47">
      <c r="C7233" s="20"/>
      <c r="Z7233" s="20"/>
      <c r="AG7233" s="20"/>
      <c r="AQ7233" s="19"/>
      <c r="AR7233" s="19"/>
      <c r="AS7233" s="19"/>
      <c r="AT7233" s="19"/>
      <c r="AU7233" s="19"/>
    </row>
    <row r="7234" spans="3:47">
      <c r="C7234" s="20"/>
      <c r="Z7234" s="20"/>
      <c r="AG7234" s="20"/>
      <c r="AQ7234" s="19"/>
      <c r="AR7234" s="19"/>
      <c r="AS7234" s="19"/>
      <c r="AT7234" s="19"/>
      <c r="AU7234" s="19"/>
    </row>
    <row r="7235" spans="3:47">
      <c r="C7235" s="20"/>
      <c r="Z7235" s="20"/>
      <c r="AG7235" s="20"/>
      <c r="AQ7235" s="19"/>
      <c r="AR7235" s="19"/>
      <c r="AS7235" s="19"/>
      <c r="AT7235" s="19"/>
      <c r="AU7235" s="19"/>
    </row>
    <row r="7236" spans="3:47">
      <c r="C7236" s="20"/>
      <c r="Z7236" s="20"/>
      <c r="AG7236" s="20"/>
      <c r="AQ7236" s="19"/>
      <c r="AR7236" s="19"/>
      <c r="AS7236" s="19"/>
      <c r="AT7236" s="19"/>
      <c r="AU7236" s="19"/>
    </row>
    <row r="7237" spans="3:47">
      <c r="C7237" s="20"/>
      <c r="Z7237" s="20"/>
      <c r="AG7237" s="20"/>
      <c r="AQ7237" s="19"/>
      <c r="AR7237" s="19"/>
      <c r="AS7237" s="19"/>
      <c r="AT7237" s="19"/>
      <c r="AU7237" s="19"/>
    </row>
    <row r="7238" spans="3:47">
      <c r="C7238" s="20"/>
      <c r="Z7238" s="20"/>
      <c r="AG7238" s="20"/>
      <c r="AQ7238" s="19"/>
      <c r="AR7238" s="19"/>
      <c r="AS7238" s="19"/>
      <c r="AT7238" s="19"/>
      <c r="AU7238" s="19"/>
    </row>
    <row r="7239" spans="3:47">
      <c r="C7239" s="20"/>
      <c r="Z7239" s="20"/>
      <c r="AG7239" s="20"/>
      <c r="AQ7239" s="19"/>
      <c r="AR7239" s="19"/>
      <c r="AS7239" s="19"/>
      <c r="AT7239" s="19"/>
      <c r="AU7239" s="19"/>
    </row>
    <row r="7240" spans="3:47">
      <c r="C7240" s="20"/>
      <c r="Z7240" s="20"/>
      <c r="AG7240" s="20"/>
      <c r="AQ7240" s="19"/>
      <c r="AR7240" s="19"/>
      <c r="AS7240" s="19"/>
      <c r="AT7240" s="19"/>
      <c r="AU7240" s="19"/>
    </row>
    <row r="7241" spans="3:47">
      <c r="C7241" s="20"/>
      <c r="Z7241" s="20"/>
      <c r="AG7241" s="20"/>
      <c r="AQ7241" s="19"/>
      <c r="AR7241" s="19"/>
      <c r="AS7241" s="19"/>
      <c r="AT7241" s="19"/>
      <c r="AU7241" s="19"/>
    </row>
    <row r="7242" spans="3:47">
      <c r="C7242" s="20"/>
      <c r="Z7242" s="20"/>
      <c r="AG7242" s="20"/>
      <c r="AQ7242" s="19"/>
      <c r="AR7242" s="19"/>
      <c r="AS7242" s="19"/>
      <c r="AT7242" s="19"/>
      <c r="AU7242" s="19"/>
    </row>
    <row r="7243" spans="3:47">
      <c r="C7243" s="20"/>
      <c r="Z7243" s="20"/>
      <c r="AG7243" s="20"/>
      <c r="AQ7243" s="19"/>
      <c r="AR7243" s="19"/>
      <c r="AS7243" s="19"/>
      <c r="AT7243" s="19"/>
      <c r="AU7243" s="19"/>
    </row>
    <row r="7244" spans="3:47">
      <c r="C7244" s="20"/>
      <c r="Z7244" s="20"/>
      <c r="AG7244" s="20"/>
      <c r="AQ7244" s="19"/>
      <c r="AR7244" s="19"/>
      <c r="AS7244" s="19"/>
      <c r="AT7244" s="19"/>
      <c r="AU7244" s="19"/>
    </row>
    <row r="7245" spans="3:47">
      <c r="C7245" s="20"/>
      <c r="Z7245" s="20"/>
      <c r="AG7245" s="20"/>
      <c r="AQ7245" s="19"/>
      <c r="AR7245" s="19"/>
      <c r="AS7245" s="19"/>
      <c r="AT7245" s="19"/>
      <c r="AU7245" s="19"/>
    </row>
    <row r="7246" spans="3:47">
      <c r="C7246" s="20"/>
      <c r="Z7246" s="20"/>
      <c r="AG7246" s="20"/>
      <c r="AQ7246" s="19"/>
      <c r="AR7246" s="19"/>
      <c r="AS7246" s="19"/>
      <c r="AT7246" s="19"/>
      <c r="AU7246" s="19"/>
    </row>
    <row r="7247" spans="3:47">
      <c r="C7247" s="20"/>
      <c r="Z7247" s="20"/>
      <c r="AG7247" s="20"/>
      <c r="AQ7247" s="19"/>
      <c r="AR7247" s="19"/>
      <c r="AS7247" s="19"/>
      <c r="AT7247" s="19"/>
      <c r="AU7247" s="19"/>
    </row>
    <row r="7248" spans="3:47">
      <c r="C7248" s="20"/>
      <c r="Z7248" s="20"/>
      <c r="AG7248" s="20"/>
      <c r="AQ7248" s="19"/>
      <c r="AR7248" s="19"/>
      <c r="AS7248" s="19"/>
      <c r="AT7248" s="19"/>
      <c r="AU7248" s="19"/>
    </row>
    <row r="7249" spans="3:47">
      <c r="C7249" s="20"/>
      <c r="Z7249" s="20"/>
      <c r="AG7249" s="20"/>
      <c r="AQ7249" s="19"/>
      <c r="AR7249" s="19"/>
      <c r="AS7249" s="19"/>
      <c r="AT7249" s="19"/>
      <c r="AU7249" s="19"/>
    </row>
    <row r="7250" spans="3:47">
      <c r="C7250" s="20"/>
      <c r="Z7250" s="20"/>
      <c r="AG7250" s="20"/>
      <c r="AQ7250" s="19"/>
      <c r="AR7250" s="19"/>
      <c r="AS7250" s="19"/>
      <c r="AT7250" s="19"/>
      <c r="AU7250" s="19"/>
    </row>
    <row r="7251" spans="3:47">
      <c r="C7251" s="20"/>
      <c r="Z7251" s="20"/>
      <c r="AG7251" s="20"/>
      <c r="AQ7251" s="19"/>
      <c r="AR7251" s="19"/>
      <c r="AS7251" s="19"/>
      <c r="AT7251" s="19"/>
      <c r="AU7251" s="19"/>
    </row>
    <row r="7252" spans="3:47">
      <c r="C7252" s="20"/>
      <c r="Z7252" s="20"/>
      <c r="AG7252" s="20"/>
      <c r="AQ7252" s="19"/>
      <c r="AR7252" s="19"/>
      <c r="AS7252" s="19"/>
      <c r="AT7252" s="19"/>
      <c r="AU7252" s="19"/>
    </row>
    <row r="7253" spans="3:47">
      <c r="C7253" s="20"/>
      <c r="Z7253" s="20"/>
      <c r="AG7253" s="20"/>
      <c r="AQ7253" s="19"/>
      <c r="AR7253" s="19"/>
      <c r="AS7253" s="19"/>
      <c r="AT7253" s="19"/>
      <c r="AU7253" s="19"/>
    </row>
    <row r="7254" spans="3:47">
      <c r="C7254" s="20"/>
      <c r="Z7254" s="20"/>
      <c r="AG7254" s="20"/>
      <c r="AQ7254" s="19"/>
      <c r="AR7254" s="19"/>
      <c r="AS7254" s="19"/>
      <c r="AT7254" s="19"/>
      <c r="AU7254" s="19"/>
    </row>
    <row r="7255" spans="3:47">
      <c r="C7255" s="20"/>
      <c r="Z7255" s="20"/>
      <c r="AG7255" s="20"/>
      <c r="AQ7255" s="19"/>
      <c r="AR7255" s="19"/>
      <c r="AS7255" s="19"/>
      <c r="AT7255" s="19"/>
      <c r="AU7255" s="19"/>
    </row>
    <row r="7256" spans="3:47">
      <c r="C7256" s="20"/>
      <c r="Z7256" s="20"/>
      <c r="AG7256" s="20"/>
      <c r="AQ7256" s="19"/>
      <c r="AR7256" s="19"/>
      <c r="AS7256" s="19"/>
      <c r="AT7256" s="19"/>
      <c r="AU7256" s="19"/>
    </row>
    <row r="7257" spans="3:47">
      <c r="C7257" s="20"/>
      <c r="Z7257" s="20"/>
      <c r="AG7257" s="20"/>
      <c r="AQ7257" s="19"/>
      <c r="AR7257" s="19"/>
      <c r="AS7257" s="19"/>
      <c r="AT7257" s="19"/>
      <c r="AU7257" s="19"/>
    </row>
    <row r="7258" spans="3:47">
      <c r="C7258" s="20"/>
      <c r="Z7258" s="20"/>
      <c r="AG7258" s="20"/>
      <c r="AQ7258" s="19"/>
      <c r="AR7258" s="19"/>
      <c r="AS7258" s="19"/>
      <c r="AT7258" s="19"/>
      <c r="AU7258" s="19"/>
    </row>
    <row r="7259" spans="3:47">
      <c r="C7259" s="20"/>
      <c r="Z7259" s="20"/>
      <c r="AG7259" s="20"/>
      <c r="AQ7259" s="19"/>
      <c r="AR7259" s="19"/>
      <c r="AS7259" s="19"/>
      <c r="AT7259" s="19"/>
      <c r="AU7259" s="19"/>
    </row>
    <row r="7260" spans="3:47">
      <c r="C7260" s="20"/>
      <c r="Z7260" s="20"/>
      <c r="AG7260" s="20"/>
      <c r="AQ7260" s="19"/>
      <c r="AR7260" s="19"/>
      <c r="AS7260" s="19"/>
      <c r="AT7260" s="19"/>
      <c r="AU7260" s="19"/>
    </row>
    <row r="7261" spans="3:47">
      <c r="C7261" s="20"/>
      <c r="Z7261" s="20"/>
      <c r="AG7261" s="20"/>
      <c r="AQ7261" s="19"/>
      <c r="AR7261" s="19"/>
      <c r="AS7261" s="19"/>
      <c r="AT7261" s="19"/>
      <c r="AU7261" s="19"/>
    </row>
    <row r="7262" spans="3:47">
      <c r="C7262" s="20"/>
      <c r="Z7262" s="20"/>
      <c r="AG7262" s="20"/>
      <c r="AQ7262" s="19"/>
      <c r="AR7262" s="19"/>
      <c r="AS7262" s="19"/>
      <c r="AT7262" s="19"/>
      <c r="AU7262" s="19"/>
    </row>
    <row r="7263" spans="3:47">
      <c r="C7263" s="20"/>
      <c r="Z7263" s="20"/>
      <c r="AG7263" s="20"/>
      <c r="AQ7263" s="19"/>
      <c r="AR7263" s="19"/>
      <c r="AS7263" s="19"/>
      <c r="AT7263" s="19"/>
      <c r="AU7263" s="19"/>
    </row>
    <row r="7264" spans="3:47">
      <c r="C7264" s="20"/>
      <c r="Z7264" s="20"/>
      <c r="AG7264" s="20"/>
      <c r="AQ7264" s="19"/>
      <c r="AR7264" s="19"/>
      <c r="AS7264" s="19"/>
      <c r="AT7264" s="19"/>
      <c r="AU7264" s="19"/>
    </row>
    <row r="7265" spans="3:47">
      <c r="C7265" s="20"/>
      <c r="Z7265" s="20"/>
      <c r="AG7265" s="20"/>
      <c r="AQ7265" s="19"/>
      <c r="AR7265" s="19"/>
      <c r="AS7265" s="19"/>
      <c r="AT7265" s="19"/>
      <c r="AU7265" s="19"/>
    </row>
    <row r="7266" spans="3:47">
      <c r="C7266" s="20"/>
      <c r="Z7266" s="20"/>
      <c r="AG7266" s="20"/>
      <c r="AQ7266" s="19"/>
      <c r="AR7266" s="19"/>
      <c r="AS7266" s="19"/>
      <c r="AT7266" s="19"/>
      <c r="AU7266" s="19"/>
    </row>
    <row r="7267" spans="3:47">
      <c r="C7267" s="20"/>
      <c r="Z7267" s="20"/>
      <c r="AG7267" s="20"/>
      <c r="AQ7267" s="19"/>
      <c r="AR7267" s="19"/>
      <c r="AS7267" s="19"/>
      <c r="AT7267" s="19"/>
      <c r="AU7267" s="19"/>
    </row>
    <row r="7268" spans="3:47">
      <c r="C7268" s="20"/>
      <c r="Z7268" s="20"/>
      <c r="AG7268" s="20"/>
      <c r="AQ7268" s="19"/>
      <c r="AR7268" s="19"/>
      <c r="AS7268" s="19"/>
      <c r="AT7268" s="19"/>
      <c r="AU7268" s="19"/>
    </row>
    <row r="7269" spans="3:47">
      <c r="C7269" s="20"/>
      <c r="Z7269" s="20"/>
      <c r="AG7269" s="20"/>
      <c r="AQ7269" s="19"/>
      <c r="AR7269" s="19"/>
      <c r="AS7269" s="19"/>
      <c r="AT7269" s="19"/>
      <c r="AU7269" s="19"/>
    </row>
    <row r="7270" spans="3:47">
      <c r="C7270" s="20"/>
      <c r="Z7270" s="20"/>
      <c r="AG7270" s="20"/>
      <c r="AQ7270" s="19"/>
      <c r="AR7270" s="19"/>
      <c r="AS7270" s="19"/>
      <c r="AT7270" s="19"/>
      <c r="AU7270" s="19"/>
    </row>
    <row r="7271" spans="3:47">
      <c r="C7271" s="20"/>
      <c r="Z7271" s="20"/>
      <c r="AG7271" s="20"/>
      <c r="AQ7271" s="19"/>
      <c r="AR7271" s="19"/>
      <c r="AS7271" s="19"/>
      <c r="AT7271" s="19"/>
      <c r="AU7271" s="19"/>
    </row>
    <row r="7272" spans="3:47">
      <c r="C7272" s="20"/>
      <c r="Z7272" s="20"/>
      <c r="AG7272" s="20"/>
      <c r="AQ7272" s="19"/>
      <c r="AR7272" s="19"/>
      <c r="AS7272" s="19"/>
      <c r="AT7272" s="19"/>
      <c r="AU7272" s="19"/>
    </row>
    <row r="7273" spans="3:47">
      <c r="C7273" s="20"/>
      <c r="Z7273" s="20"/>
      <c r="AG7273" s="20"/>
      <c r="AQ7273" s="19"/>
      <c r="AR7273" s="19"/>
      <c r="AS7273" s="19"/>
      <c r="AT7273" s="19"/>
      <c r="AU7273" s="19"/>
    </row>
    <row r="7274" spans="3:47">
      <c r="C7274" s="20"/>
      <c r="Z7274" s="20"/>
      <c r="AG7274" s="20"/>
      <c r="AQ7274" s="19"/>
      <c r="AR7274" s="19"/>
      <c r="AS7274" s="19"/>
      <c r="AT7274" s="19"/>
      <c r="AU7274" s="19"/>
    </row>
    <row r="7275" spans="3:47">
      <c r="C7275" s="20"/>
      <c r="Z7275" s="20"/>
      <c r="AG7275" s="20"/>
      <c r="AQ7275" s="19"/>
      <c r="AR7275" s="19"/>
      <c r="AS7275" s="19"/>
      <c r="AT7275" s="19"/>
      <c r="AU7275" s="19"/>
    </row>
    <row r="7276" spans="3:47">
      <c r="C7276" s="20"/>
      <c r="Z7276" s="20"/>
      <c r="AG7276" s="20"/>
      <c r="AQ7276" s="19"/>
      <c r="AR7276" s="19"/>
      <c r="AS7276" s="19"/>
      <c r="AT7276" s="19"/>
      <c r="AU7276" s="19"/>
    </row>
    <row r="7277" spans="3:47">
      <c r="C7277" s="20"/>
      <c r="Z7277" s="20"/>
      <c r="AG7277" s="20"/>
      <c r="AQ7277" s="19"/>
      <c r="AR7277" s="19"/>
      <c r="AS7277" s="19"/>
      <c r="AT7277" s="19"/>
      <c r="AU7277" s="19"/>
    </row>
    <row r="7278" spans="3:47">
      <c r="C7278" s="20"/>
      <c r="Z7278" s="20"/>
      <c r="AG7278" s="20"/>
      <c r="AQ7278" s="19"/>
      <c r="AR7278" s="19"/>
      <c r="AS7278" s="19"/>
      <c r="AT7278" s="19"/>
      <c r="AU7278" s="19"/>
    </row>
    <row r="7279" spans="3:47">
      <c r="C7279" s="20"/>
      <c r="Z7279" s="20"/>
      <c r="AG7279" s="20"/>
      <c r="AQ7279" s="19"/>
      <c r="AR7279" s="19"/>
      <c r="AS7279" s="19"/>
      <c r="AT7279" s="19"/>
      <c r="AU7279" s="19"/>
    </row>
    <row r="7280" spans="3:47">
      <c r="C7280" s="20"/>
      <c r="Z7280" s="20"/>
      <c r="AG7280" s="20"/>
      <c r="AQ7280" s="19"/>
      <c r="AR7280" s="19"/>
      <c r="AS7280" s="19"/>
      <c r="AT7280" s="19"/>
      <c r="AU7280" s="19"/>
    </row>
    <row r="7281" spans="3:47">
      <c r="C7281" s="20"/>
      <c r="Z7281" s="20"/>
      <c r="AG7281" s="20"/>
      <c r="AQ7281" s="19"/>
      <c r="AR7281" s="19"/>
      <c r="AS7281" s="19"/>
      <c r="AT7281" s="19"/>
      <c r="AU7281" s="19"/>
    </row>
    <row r="7282" spans="3:47">
      <c r="C7282" s="20"/>
      <c r="Z7282" s="20"/>
      <c r="AG7282" s="20"/>
      <c r="AQ7282" s="19"/>
      <c r="AR7282" s="19"/>
      <c r="AS7282" s="19"/>
      <c r="AT7282" s="19"/>
      <c r="AU7282" s="19"/>
    </row>
    <row r="7283" spans="3:47">
      <c r="C7283" s="20"/>
      <c r="Z7283" s="20"/>
      <c r="AG7283" s="20"/>
      <c r="AQ7283" s="19"/>
      <c r="AR7283" s="19"/>
      <c r="AS7283" s="19"/>
      <c r="AT7283" s="19"/>
      <c r="AU7283" s="19"/>
    </row>
    <row r="7284" spans="3:47">
      <c r="C7284" s="20"/>
      <c r="Z7284" s="20"/>
      <c r="AG7284" s="20"/>
      <c r="AQ7284" s="19"/>
      <c r="AR7284" s="19"/>
      <c r="AS7284" s="19"/>
      <c r="AT7284" s="19"/>
      <c r="AU7284" s="19"/>
    </row>
    <row r="7285" spans="3:47">
      <c r="C7285" s="20"/>
      <c r="Z7285" s="20"/>
      <c r="AG7285" s="20"/>
      <c r="AQ7285" s="19"/>
      <c r="AR7285" s="19"/>
      <c r="AS7285" s="19"/>
      <c r="AT7285" s="19"/>
      <c r="AU7285" s="19"/>
    </row>
    <row r="7286" spans="3:47">
      <c r="C7286" s="20"/>
      <c r="Z7286" s="20"/>
      <c r="AG7286" s="20"/>
      <c r="AQ7286" s="19"/>
      <c r="AR7286" s="19"/>
      <c r="AS7286" s="19"/>
      <c r="AT7286" s="19"/>
      <c r="AU7286" s="19"/>
    </row>
    <row r="7287" spans="3:47">
      <c r="C7287" s="20"/>
      <c r="Z7287" s="20"/>
      <c r="AG7287" s="20"/>
      <c r="AQ7287" s="19"/>
      <c r="AR7287" s="19"/>
      <c r="AS7287" s="19"/>
      <c r="AT7287" s="19"/>
      <c r="AU7287" s="19"/>
    </row>
    <row r="7288" spans="3:47">
      <c r="C7288" s="20"/>
      <c r="Z7288" s="20"/>
      <c r="AG7288" s="20"/>
      <c r="AQ7288" s="19"/>
      <c r="AR7288" s="19"/>
      <c r="AS7288" s="19"/>
      <c r="AT7288" s="19"/>
      <c r="AU7288" s="19"/>
    </row>
    <row r="7289" spans="3:47">
      <c r="C7289" s="20"/>
      <c r="Z7289" s="20"/>
      <c r="AG7289" s="20"/>
      <c r="AQ7289" s="19"/>
      <c r="AR7289" s="19"/>
      <c r="AS7289" s="19"/>
      <c r="AT7289" s="19"/>
      <c r="AU7289" s="19"/>
    </row>
    <row r="7290" spans="3:47">
      <c r="C7290" s="20"/>
      <c r="Z7290" s="20"/>
      <c r="AG7290" s="20"/>
      <c r="AQ7290" s="19"/>
      <c r="AR7290" s="19"/>
      <c r="AS7290" s="19"/>
      <c r="AT7290" s="19"/>
      <c r="AU7290" s="19"/>
    </row>
    <row r="7291" spans="3:47">
      <c r="C7291" s="20"/>
      <c r="Z7291" s="20"/>
      <c r="AG7291" s="20"/>
      <c r="AQ7291" s="19"/>
      <c r="AR7291" s="19"/>
      <c r="AS7291" s="19"/>
      <c r="AT7291" s="19"/>
      <c r="AU7291" s="19"/>
    </row>
    <row r="7292" spans="3:47">
      <c r="C7292" s="20"/>
      <c r="Z7292" s="20"/>
      <c r="AG7292" s="20"/>
      <c r="AQ7292" s="19"/>
      <c r="AR7292" s="19"/>
      <c r="AS7292" s="19"/>
      <c r="AT7292" s="19"/>
      <c r="AU7292" s="19"/>
    </row>
    <row r="7293" spans="3:47">
      <c r="C7293" s="20"/>
      <c r="Z7293" s="20"/>
      <c r="AG7293" s="20"/>
      <c r="AQ7293" s="19"/>
      <c r="AR7293" s="19"/>
      <c r="AS7293" s="19"/>
      <c r="AT7293" s="19"/>
      <c r="AU7293" s="19"/>
    </row>
    <row r="7294" spans="3:47">
      <c r="C7294" s="20"/>
      <c r="Z7294" s="20"/>
      <c r="AG7294" s="20"/>
      <c r="AQ7294" s="19"/>
      <c r="AR7294" s="19"/>
      <c r="AS7294" s="19"/>
      <c r="AT7294" s="19"/>
      <c r="AU7294" s="19"/>
    </row>
    <row r="7295" spans="3:47">
      <c r="C7295" s="20"/>
      <c r="Z7295" s="20"/>
      <c r="AG7295" s="20"/>
      <c r="AQ7295" s="19"/>
      <c r="AR7295" s="19"/>
      <c r="AS7295" s="19"/>
      <c r="AT7295" s="19"/>
      <c r="AU7295" s="19"/>
    </row>
    <row r="7296" spans="3:47">
      <c r="C7296" s="20"/>
      <c r="Z7296" s="20"/>
      <c r="AG7296" s="20"/>
      <c r="AQ7296" s="19"/>
      <c r="AR7296" s="19"/>
      <c r="AS7296" s="19"/>
      <c r="AT7296" s="19"/>
      <c r="AU7296" s="19"/>
    </row>
    <row r="7297" spans="3:47">
      <c r="C7297" s="20"/>
      <c r="Z7297" s="20"/>
      <c r="AG7297" s="20"/>
      <c r="AQ7297" s="19"/>
      <c r="AR7297" s="19"/>
      <c r="AS7297" s="19"/>
      <c r="AT7297" s="19"/>
      <c r="AU7297" s="19"/>
    </row>
    <row r="7298" spans="3:47">
      <c r="C7298" s="20"/>
      <c r="Z7298" s="20"/>
      <c r="AG7298" s="20"/>
      <c r="AQ7298" s="19"/>
      <c r="AR7298" s="19"/>
      <c r="AS7298" s="19"/>
      <c r="AT7298" s="19"/>
      <c r="AU7298" s="19"/>
    </row>
    <row r="7299" spans="3:47">
      <c r="C7299" s="20"/>
      <c r="Z7299" s="20"/>
      <c r="AG7299" s="20"/>
      <c r="AQ7299" s="19"/>
      <c r="AR7299" s="19"/>
      <c r="AS7299" s="19"/>
      <c r="AT7299" s="19"/>
      <c r="AU7299" s="19"/>
    </row>
    <row r="7300" spans="3:47">
      <c r="C7300" s="20"/>
      <c r="Z7300" s="20"/>
      <c r="AG7300" s="20"/>
      <c r="AQ7300" s="19"/>
      <c r="AR7300" s="19"/>
      <c r="AS7300" s="19"/>
      <c r="AT7300" s="19"/>
      <c r="AU7300" s="19"/>
    </row>
    <row r="7301" spans="3:47">
      <c r="C7301" s="20"/>
      <c r="Z7301" s="20"/>
      <c r="AG7301" s="20"/>
      <c r="AQ7301" s="19"/>
      <c r="AR7301" s="19"/>
      <c r="AS7301" s="19"/>
      <c r="AT7301" s="19"/>
      <c r="AU7301" s="19"/>
    </row>
    <row r="7302" spans="3:47">
      <c r="C7302" s="20"/>
      <c r="Z7302" s="20"/>
      <c r="AG7302" s="20"/>
      <c r="AQ7302" s="19"/>
      <c r="AR7302" s="19"/>
      <c r="AS7302" s="19"/>
      <c r="AT7302" s="19"/>
      <c r="AU7302" s="19"/>
    </row>
    <row r="7303" spans="3:47">
      <c r="C7303" s="20"/>
      <c r="Z7303" s="20"/>
      <c r="AG7303" s="20"/>
      <c r="AQ7303" s="19"/>
      <c r="AR7303" s="19"/>
      <c r="AS7303" s="19"/>
      <c r="AT7303" s="19"/>
      <c r="AU7303" s="19"/>
    </row>
    <row r="7304" spans="3:47">
      <c r="C7304" s="20"/>
      <c r="Z7304" s="20"/>
      <c r="AG7304" s="20"/>
      <c r="AQ7304" s="19"/>
      <c r="AR7304" s="19"/>
      <c r="AS7304" s="19"/>
      <c r="AT7304" s="19"/>
      <c r="AU7304" s="19"/>
    </row>
    <row r="7305" spans="3:47">
      <c r="C7305" s="20"/>
      <c r="Z7305" s="20"/>
      <c r="AG7305" s="20"/>
      <c r="AQ7305" s="19"/>
      <c r="AR7305" s="19"/>
      <c r="AS7305" s="19"/>
      <c r="AT7305" s="19"/>
      <c r="AU7305" s="19"/>
    </row>
    <row r="7306" spans="3:47">
      <c r="C7306" s="20"/>
      <c r="Z7306" s="20"/>
      <c r="AG7306" s="20"/>
      <c r="AQ7306" s="19"/>
      <c r="AR7306" s="19"/>
      <c r="AS7306" s="19"/>
      <c r="AT7306" s="19"/>
      <c r="AU7306" s="19"/>
    </row>
    <row r="7307" spans="3:47">
      <c r="C7307" s="20"/>
      <c r="Z7307" s="20"/>
      <c r="AG7307" s="20"/>
      <c r="AQ7307" s="19"/>
      <c r="AR7307" s="19"/>
      <c r="AS7307" s="19"/>
      <c r="AT7307" s="19"/>
      <c r="AU7307" s="19"/>
    </row>
    <row r="7308" spans="3:47">
      <c r="C7308" s="20"/>
      <c r="Z7308" s="20"/>
      <c r="AG7308" s="20"/>
      <c r="AQ7308" s="19"/>
      <c r="AR7308" s="19"/>
      <c r="AS7308" s="19"/>
      <c r="AT7308" s="19"/>
      <c r="AU7308" s="19"/>
    </row>
    <row r="7309" spans="3:47">
      <c r="C7309" s="20"/>
      <c r="Z7309" s="20"/>
      <c r="AG7309" s="20"/>
      <c r="AQ7309" s="19"/>
      <c r="AR7309" s="19"/>
      <c r="AS7309" s="19"/>
      <c r="AT7309" s="19"/>
      <c r="AU7309" s="19"/>
    </row>
    <row r="7310" spans="3:47">
      <c r="C7310" s="20"/>
      <c r="Z7310" s="20"/>
      <c r="AG7310" s="20"/>
      <c r="AQ7310" s="19"/>
      <c r="AR7310" s="19"/>
      <c r="AS7310" s="19"/>
      <c r="AT7310" s="19"/>
      <c r="AU7310" s="19"/>
    </row>
    <row r="7311" spans="3:47">
      <c r="C7311" s="20"/>
      <c r="Z7311" s="20"/>
      <c r="AG7311" s="20"/>
      <c r="AQ7311" s="19"/>
      <c r="AR7311" s="19"/>
      <c r="AS7311" s="19"/>
      <c r="AT7311" s="19"/>
      <c r="AU7311" s="19"/>
    </row>
    <row r="7312" spans="3:47">
      <c r="C7312" s="20"/>
      <c r="Z7312" s="20"/>
      <c r="AG7312" s="20"/>
      <c r="AQ7312" s="19"/>
      <c r="AR7312" s="19"/>
      <c r="AS7312" s="19"/>
      <c r="AT7312" s="19"/>
      <c r="AU7312" s="19"/>
    </row>
    <row r="7313" spans="3:47">
      <c r="C7313" s="20"/>
      <c r="Z7313" s="20"/>
      <c r="AG7313" s="20"/>
      <c r="AQ7313" s="19"/>
      <c r="AR7313" s="19"/>
      <c r="AS7313" s="19"/>
      <c r="AT7313" s="19"/>
      <c r="AU7313" s="19"/>
    </row>
    <row r="7314" spans="3:47">
      <c r="C7314" s="20"/>
      <c r="Z7314" s="20"/>
      <c r="AG7314" s="20"/>
      <c r="AQ7314" s="19"/>
      <c r="AR7314" s="19"/>
      <c r="AS7314" s="19"/>
      <c r="AT7314" s="19"/>
      <c r="AU7314" s="19"/>
    </row>
    <row r="7315" spans="3:47">
      <c r="C7315" s="20"/>
      <c r="Z7315" s="20"/>
      <c r="AG7315" s="20"/>
      <c r="AQ7315" s="19"/>
      <c r="AR7315" s="19"/>
      <c r="AS7315" s="19"/>
      <c r="AT7315" s="19"/>
      <c r="AU7315" s="19"/>
    </row>
    <row r="7316" spans="3:47">
      <c r="C7316" s="20"/>
      <c r="Z7316" s="20"/>
      <c r="AG7316" s="20"/>
      <c r="AQ7316" s="19"/>
      <c r="AR7316" s="19"/>
      <c r="AS7316" s="19"/>
      <c r="AT7316" s="19"/>
      <c r="AU7316" s="19"/>
    </row>
    <row r="7317" spans="3:47">
      <c r="C7317" s="20"/>
      <c r="Z7317" s="20"/>
      <c r="AG7317" s="20"/>
      <c r="AQ7317" s="19"/>
      <c r="AR7317" s="19"/>
      <c r="AS7317" s="19"/>
      <c r="AT7317" s="19"/>
      <c r="AU7317" s="19"/>
    </row>
    <row r="7318" spans="3:47">
      <c r="C7318" s="20"/>
      <c r="Z7318" s="20"/>
      <c r="AG7318" s="20"/>
      <c r="AQ7318" s="19"/>
      <c r="AR7318" s="19"/>
      <c r="AS7318" s="19"/>
      <c r="AT7318" s="19"/>
      <c r="AU7318" s="19"/>
    </row>
    <row r="7319" spans="3:47">
      <c r="C7319" s="20"/>
      <c r="Z7319" s="20"/>
      <c r="AG7319" s="20"/>
      <c r="AQ7319" s="19"/>
      <c r="AR7319" s="19"/>
      <c r="AS7319" s="19"/>
      <c r="AT7319" s="19"/>
      <c r="AU7319" s="19"/>
    </row>
    <row r="7320" spans="3:47">
      <c r="C7320" s="20"/>
      <c r="Z7320" s="20"/>
      <c r="AG7320" s="20"/>
      <c r="AQ7320" s="19"/>
      <c r="AR7320" s="19"/>
      <c r="AS7320" s="19"/>
      <c r="AT7320" s="19"/>
      <c r="AU7320" s="19"/>
    </row>
    <row r="7321" spans="3:47">
      <c r="C7321" s="20"/>
      <c r="Z7321" s="20"/>
      <c r="AG7321" s="20"/>
      <c r="AQ7321" s="19"/>
      <c r="AR7321" s="19"/>
      <c r="AS7321" s="19"/>
      <c r="AT7321" s="19"/>
      <c r="AU7321" s="19"/>
    </row>
    <row r="7322" spans="3:47">
      <c r="C7322" s="20"/>
      <c r="Z7322" s="20"/>
      <c r="AG7322" s="20"/>
      <c r="AQ7322" s="19"/>
      <c r="AR7322" s="19"/>
      <c r="AS7322" s="19"/>
      <c r="AT7322" s="19"/>
      <c r="AU7322" s="19"/>
    </row>
    <row r="7323" spans="3:47">
      <c r="C7323" s="20"/>
      <c r="Z7323" s="20"/>
      <c r="AG7323" s="20"/>
      <c r="AQ7323" s="19"/>
      <c r="AR7323" s="19"/>
      <c r="AS7323" s="19"/>
      <c r="AT7323" s="19"/>
      <c r="AU7323" s="19"/>
    </row>
    <row r="7324" spans="3:47">
      <c r="C7324" s="20"/>
      <c r="Z7324" s="20"/>
      <c r="AG7324" s="20"/>
      <c r="AQ7324" s="19"/>
      <c r="AR7324" s="19"/>
      <c r="AS7324" s="19"/>
      <c r="AT7324" s="19"/>
      <c r="AU7324" s="19"/>
    </row>
    <row r="7325" spans="3:47">
      <c r="C7325" s="20"/>
      <c r="Z7325" s="20"/>
      <c r="AG7325" s="20"/>
      <c r="AQ7325" s="19"/>
      <c r="AR7325" s="19"/>
      <c r="AS7325" s="19"/>
      <c r="AT7325" s="19"/>
      <c r="AU7325" s="19"/>
    </row>
    <row r="7326" spans="3:47">
      <c r="C7326" s="20"/>
      <c r="Z7326" s="20"/>
      <c r="AG7326" s="20"/>
      <c r="AQ7326" s="19"/>
      <c r="AR7326" s="19"/>
      <c r="AS7326" s="19"/>
      <c r="AT7326" s="19"/>
      <c r="AU7326" s="19"/>
    </row>
    <row r="7327" spans="3:47">
      <c r="C7327" s="20"/>
      <c r="Z7327" s="20"/>
      <c r="AG7327" s="20"/>
      <c r="AQ7327" s="19"/>
      <c r="AR7327" s="19"/>
      <c r="AS7327" s="19"/>
      <c r="AT7327" s="19"/>
      <c r="AU7327" s="19"/>
    </row>
    <row r="7328" spans="3:47">
      <c r="C7328" s="20"/>
      <c r="Z7328" s="20"/>
      <c r="AG7328" s="20"/>
      <c r="AQ7328" s="19"/>
      <c r="AR7328" s="19"/>
      <c r="AS7328" s="19"/>
      <c r="AT7328" s="19"/>
      <c r="AU7328" s="19"/>
    </row>
    <row r="7329" spans="3:47">
      <c r="C7329" s="20"/>
      <c r="Z7329" s="20"/>
      <c r="AG7329" s="20"/>
      <c r="AQ7329" s="19"/>
      <c r="AR7329" s="19"/>
      <c r="AS7329" s="19"/>
      <c r="AT7329" s="19"/>
      <c r="AU7329" s="19"/>
    </row>
    <row r="7330" spans="3:47">
      <c r="C7330" s="20"/>
      <c r="Z7330" s="20"/>
      <c r="AG7330" s="20"/>
      <c r="AQ7330" s="19"/>
      <c r="AR7330" s="19"/>
      <c r="AS7330" s="19"/>
      <c r="AT7330" s="19"/>
      <c r="AU7330" s="19"/>
    </row>
    <row r="7331" spans="3:47">
      <c r="C7331" s="20"/>
      <c r="Z7331" s="20"/>
      <c r="AG7331" s="20"/>
      <c r="AQ7331" s="19"/>
      <c r="AR7331" s="19"/>
      <c r="AS7331" s="19"/>
      <c r="AT7331" s="19"/>
      <c r="AU7331" s="19"/>
    </row>
    <row r="7332" spans="3:47">
      <c r="C7332" s="20"/>
      <c r="Z7332" s="20"/>
      <c r="AG7332" s="20"/>
      <c r="AQ7332" s="19"/>
      <c r="AR7332" s="19"/>
      <c r="AS7332" s="19"/>
      <c r="AT7332" s="19"/>
      <c r="AU7332" s="19"/>
    </row>
    <row r="7333" spans="3:47">
      <c r="C7333" s="20"/>
      <c r="Z7333" s="20"/>
      <c r="AG7333" s="20"/>
      <c r="AQ7333" s="19"/>
      <c r="AR7333" s="19"/>
      <c r="AS7333" s="19"/>
      <c r="AT7333" s="19"/>
      <c r="AU7333" s="19"/>
    </row>
    <row r="7334" spans="3:47">
      <c r="C7334" s="20"/>
      <c r="Z7334" s="20"/>
      <c r="AG7334" s="20"/>
      <c r="AQ7334" s="19"/>
      <c r="AR7334" s="19"/>
      <c r="AS7334" s="19"/>
      <c r="AT7334" s="19"/>
      <c r="AU7334" s="19"/>
    </row>
    <row r="7335" spans="3:47">
      <c r="C7335" s="20"/>
      <c r="Z7335" s="20"/>
      <c r="AG7335" s="20"/>
      <c r="AQ7335" s="19"/>
      <c r="AR7335" s="19"/>
      <c r="AS7335" s="19"/>
      <c r="AT7335" s="19"/>
      <c r="AU7335" s="19"/>
    </row>
    <row r="7336" spans="3:47">
      <c r="C7336" s="20"/>
      <c r="Z7336" s="20"/>
      <c r="AG7336" s="20"/>
      <c r="AQ7336" s="19"/>
      <c r="AR7336" s="19"/>
      <c r="AS7336" s="19"/>
      <c r="AT7336" s="19"/>
      <c r="AU7336" s="19"/>
    </row>
    <row r="7337" spans="3:47">
      <c r="C7337" s="20"/>
      <c r="Z7337" s="20"/>
      <c r="AG7337" s="20"/>
      <c r="AQ7337" s="19"/>
      <c r="AR7337" s="19"/>
      <c r="AS7337" s="19"/>
      <c r="AT7337" s="19"/>
      <c r="AU7337" s="19"/>
    </row>
    <row r="7338" spans="3:47">
      <c r="C7338" s="20"/>
      <c r="Z7338" s="20"/>
      <c r="AG7338" s="20"/>
      <c r="AQ7338" s="19"/>
      <c r="AR7338" s="19"/>
      <c r="AS7338" s="19"/>
      <c r="AT7338" s="19"/>
      <c r="AU7338" s="19"/>
    </row>
    <row r="7339" spans="3:47">
      <c r="C7339" s="20"/>
      <c r="Z7339" s="20"/>
      <c r="AG7339" s="20"/>
      <c r="AQ7339" s="19"/>
      <c r="AR7339" s="19"/>
      <c r="AS7339" s="19"/>
      <c r="AT7339" s="19"/>
      <c r="AU7339" s="19"/>
    </row>
    <row r="7340" spans="3:47">
      <c r="C7340" s="20"/>
      <c r="Z7340" s="20"/>
      <c r="AG7340" s="20"/>
      <c r="AQ7340" s="19"/>
      <c r="AR7340" s="19"/>
      <c r="AS7340" s="19"/>
      <c r="AT7340" s="19"/>
      <c r="AU7340" s="19"/>
    </row>
    <row r="7341" spans="3:47">
      <c r="C7341" s="20"/>
      <c r="Z7341" s="20"/>
      <c r="AG7341" s="20"/>
      <c r="AQ7341" s="19"/>
      <c r="AR7341" s="19"/>
      <c r="AS7341" s="19"/>
      <c r="AT7341" s="19"/>
      <c r="AU7341" s="19"/>
    </row>
    <row r="7342" spans="3:47">
      <c r="C7342" s="20"/>
      <c r="Z7342" s="20"/>
      <c r="AG7342" s="20"/>
      <c r="AQ7342" s="19"/>
      <c r="AR7342" s="19"/>
      <c r="AS7342" s="19"/>
      <c r="AT7342" s="19"/>
      <c r="AU7342" s="19"/>
    </row>
    <row r="7343" spans="3:47">
      <c r="C7343" s="20"/>
      <c r="Z7343" s="20"/>
      <c r="AG7343" s="20"/>
      <c r="AQ7343" s="19"/>
      <c r="AR7343" s="19"/>
      <c r="AS7343" s="19"/>
      <c r="AT7343" s="19"/>
      <c r="AU7343" s="19"/>
    </row>
    <row r="7344" spans="3:47">
      <c r="C7344" s="20"/>
      <c r="Z7344" s="20"/>
      <c r="AG7344" s="20"/>
      <c r="AQ7344" s="19"/>
      <c r="AR7344" s="19"/>
      <c r="AS7344" s="19"/>
      <c r="AT7344" s="19"/>
      <c r="AU7344" s="19"/>
    </row>
    <row r="7345" spans="3:47">
      <c r="C7345" s="20"/>
      <c r="Z7345" s="20"/>
      <c r="AG7345" s="20"/>
      <c r="AQ7345" s="19"/>
      <c r="AR7345" s="19"/>
      <c r="AS7345" s="19"/>
      <c r="AT7345" s="19"/>
      <c r="AU7345" s="19"/>
    </row>
    <row r="7346" spans="3:47">
      <c r="C7346" s="20"/>
      <c r="Z7346" s="20"/>
      <c r="AG7346" s="20"/>
      <c r="AQ7346" s="19"/>
      <c r="AR7346" s="19"/>
      <c r="AS7346" s="19"/>
      <c r="AT7346" s="19"/>
      <c r="AU7346" s="19"/>
    </row>
    <row r="7347" spans="3:47">
      <c r="C7347" s="20"/>
      <c r="Z7347" s="20"/>
      <c r="AG7347" s="20"/>
      <c r="AQ7347" s="19"/>
      <c r="AR7347" s="19"/>
      <c r="AS7347" s="19"/>
      <c r="AT7347" s="19"/>
      <c r="AU7347" s="19"/>
    </row>
    <row r="7348" spans="3:47">
      <c r="C7348" s="20"/>
      <c r="Z7348" s="20"/>
      <c r="AG7348" s="20"/>
      <c r="AQ7348" s="19"/>
      <c r="AR7348" s="19"/>
      <c r="AS7348" s="19"/>
      <c r="AT7348" s="19"/>
      <c r="AU7348" s="19"/>
    </row>
    <row r="7349" spans="3:47">
      <c r="C7349" s="20"/>
      <c r="Z7349" s="20"/>
      <c r="AG7349" s="20"/>
      <c r="AQ7349" s="19"/>
      <c r="AR7349" s="19"/>
      <c r="AS7349" s="19"/>
      <c r="AT7349" s="19"/>
      <c r="AU7349" s="19"/>
    </row>
    <row r="7350" spans="3:47">
      <c r="C7350" s="20"/>
      <c r="Z7350" s="20"/>
      <c r="AG7350" s="20"/>
      <c r="AQ7350" s="19"/>
      <c r="AR7350" s="19"/>
      <c r="AS7350" s="19"/>
      <c r="AT7350" s="19"/>
      <c r="AU7350" s="19"/>
    </row>
    <row r="7351" spans="3:47">
      <c r="C7351" s="20"/>
      <c r="Z7351" s="20"/>
      <c r="AG7351" s="20"/>
      <c r="AQ7351" s="19"/>
      <c r="AR7351" s="19"/>
      <c r="AS7351" s="19"/>
      <c r="AT7351" s="19"/>
      <c r="AU7351" s="19"/>
    </row>
    <row r="7352" spans="3:47">
      <c r="C7352" s="20"/>
      <c r="Z7352" s="20"/>
      <c r="AG7352" s="20"/>
      <c r="AQ7352" s="19"/>
      <c r="AR7352" s="19"/>
      <c r="AS7352" s="19"/>
      <c r="AT7352" s="19"/>
      <c r="AU7352" s="19"/>
    </row>
    <row r="7353" spans="3:47">
      <c r="C7353" s="20"/>
      <c r="Z7353" s="20"/>
      <c r="AG7353" s="20"/>
      <c r="AQ7353" s="19"/>
      <c r="AR7353" s="19"/>
      <c r="AS7353" s="19"/>
      <c r="AT7353" s="19"/>
      <c r="AU7353" s="19"/>
    </row>
    <row r="7354" spans="3:47">
      <c r="C7354" s="20"/>
      <c r="Z7354" s="20"/>
      <c r="AG7354" s="20"/>
      <c r="AQ7354" s="19"/>
      <c r="AR7354" s="19"/>
      <c r="AS7354" s="19"/>
      <c r="AT7354" s="19"/>
      <c r="AU7354" s="19"/>
    </row>
    <row r="7355" spans="3:47">
      <c r="C7355" s="20"/>
      <c r="Z7355" s="20"/>
      <c r="AG7355" s="20"/>
      <c r="AQ7355" s="19"/>
      <c r="AR7355" s="19"/>
      <c r="AS7355" s="19"/>
      <c r="AT7355" s="19"/>
      <c r="AU7355" s="19"/>
    </row>
    <row r="7356" spans="3:47">
      <c r="C7356" s="20"/>
      <c r="Z7356" s="20"/>
      <c r="AG7356" s="20"/>
      <c r="AQ7356" s="19"/>
      <c r="AR7356" s="19"/>
      <c r="AS7356" s="19"/>
      <c r="AT7356" s="19"/>
      <c r="AU7356" s="19"/>
    </row>
    <row r="7357" spans="3:47">
      <c r="C7357" s="20"/>
      <c r="Z7357" s="20"/>
      <c r="AG7357" s="20"/>
      <c r="AQ7357" s="19"/>
      <c r="AR7357" s="19"/>
      <c r="AS7357" s="19"/>
      <c r="AT7357" s="19"/>
      <c r="AU7357" s="19"/>
    </row>
    <row r="7358" spans="3:47">
      <c r="C7358" s="20"/>
      <c r="Z7358" s="20"/>
      <c r="AG7358" s="20"/>
      <c r="AQ7358" s="19"/>
      <c r="AR7358" s="19"/>
      <c r="AS7358" s="19"/>
      <c r="AT7358" s="19"/>
      <c r="AU7358" s="19"/>
    </row>
    <row r="7359" spans="3:47">
      <c r="C7359" s="20"/>
      <c r="Z7359" s="20"/>
      <c r="AG7359" s="20"/>
      <c r="AQ7359" s="19"/>
      <c r="AR7359" s="19"/>
      <c r="AS7359" s="19"/>
      <c r="AT7359" s="19"/>
      <c r="AU7359" s="19"/>
    </row>
    <row r="7360" spans="3:47">
      <c r="C7360" s="20"/>
      <c r="Z7360" s="20"/>
      <c r="AG7360" s="20"/>
      <c r="AQ7360" s="19"/>
      <c r="AR7360" s="19"/>
      <c r="AS7360" s="19"/>
      <c r="AT7360" s="19"/>
      <c r="AU7360" s="19"/>
    </row>
    <row r="7361" spans="3:47">
      <c r="C7361" s="20"/>
      <c r="Z7361" s="20"/>
      <c r="AG7361" s="20"/>
      <c r="AQ7361" s="19"/>
      <c r="AR7361" s="19"/>
      <c r="AS7361" s="19"/>
      <c r="AT7361" s="19"/>
      <c r="AU7361" s="19"/>
    </row>
    <row r="7362" spans="3:47">
      <c r="C7362" s="20"/>
      <c r="Z7362" s="20"/>
      <c r="AG7362" s="20"/>
      <c r="AQ7362" s="19"/>
      <c r="AR7362" s="19"/>
      <c r="AS7362" s="19"/>
      <c r="AT7362" s="19"/>
      <c r="AU7362" s="19"/>
    </row>
    <row r="7363" spans="3:47">
      <c r="C7363" s="20"/>
      <c r="Z7363" s="20"/>
      <c r="AG7363" s="20"/>
      <c r="AQ7363" s="19"/>
      <c r="AR7363" s="19"/>
      <c r="AS7363" s="19"/>
      <c r="AT7363" s="19"/>
      <c r="AU7363" s="19"/>
    </row>
    <row r="7364" spans="3:47">
      <c r="C7364" s="20"/>
      <c r="Z7364" s="20"/>
      <c r="AG7364" s="20"/>
      <c r="AQ7364" s="19"/>
      <c r="AR7364" s="19"/>
      <c r="AS7364" s="19"/>
      <c r="AT7364" s="19"/>
      <c r="AU7364" s="19"/>
    </row>
    <row r="7365" spans="3:47">
      <c r="C7365" s="20"/>
      <c r="Z7365" s="20"/>
      <c r="AG7365" s="20"/>
      <c r="AQ7365" s="19"/>
      <c r="AR7365" s="19"/>
      <c r="AS7365" s="19"/>
      <c r="AT7365" s="19"/>
      <c r="AU7365" s="19"/>
    </row>
    <row r="7366" spans="3:47">
      <c r="C7366" s="20"/>
      <c r="Z7366" s="20"/>
      <c r="AG7366" s="20"/>
      <c r="AQ7366" s="19"/>
      <c r="AR7366" s="19"/>
      <c r="AS7366" s="19"/>
      <c r="AT7366" s="19"/>
      <c r="AU7366" s="19"/>
    </row>
    <row r="7367" spans="3:47">
      <c r="C7367" s="20"/>
      <c r="Z7367" s="20"/>
      <c r="AG7367" s="20"/>
      <c r="AQ7367" s="19"/>
      <c r="AR7367" s="19"/>
      <c r="AS7367" s="19"/>
      <c r="AT7367" s="19"/>
      <c r="AU7367" s="19"/>
    </row>
    <row r="7368" spans="3:47">
      <c r="C7368" s="20"/>
      <c r="Z7368" s="20"/>
      <c r="AG7368" s="20"/>
      <c r="AQ7368" s="19"/>
      <c r="AR7368" s="19"/>
      <c r="AS7368" s="19"/>
      <c r="AT7368" s="19"/>
      <c r="AU7368" s="19"/>
    </row>
    <row r="7369" spans="3:47">
      <c r="C7369" s="20"/>
      <c r="Z7369" s="20"/>
      <c r="AG7369" s="20"/>
      <c r="AQ7369" s="19"/>
      <c r="AR7369" s="19"/>
      <c r="AS7369" s="19"/>
      <c r="AT7369" s="19"/>
      <c r="AU7369" s="19"/>
    </row>
    <row r="7370" spans="3:47">
      <c r="C7370" s="20"/>
      <c r="Z7370" s="20"/>
      <c r="AG7370" s="20"/>
      <c r="AQ7370" s="19"/>
      <c r="AR7370" s="19"/>
      <c r="AS7370" s="19"/>
      <c r="AT7370" s="19"/>
      <c r="AU7370" s="19"/>
    </row>
    <row r="7371" spans="3:47">
      <c r="C7371" s="20"/>
      <c r="Z7371" s="20"/>
      <c r="AG7371" s="20"/>
      <c r="AQ7371" s="19"/>
      <c r="AR7371" s="19"/>
      <c r="AS7371" s="19"/>
      <c r="AT7371" s="19"/>
      <c r="AU7371" s="19"/>
    </row>
    <row r="7372" spans="3:47">
      <c r="C7372" s="20"/>
      <c r="Z7372" s="20"/>
      <c r="AG7372" s="20"/>
      <c r="AQ7372" s="19"/>
      <c r="AR7372" s="19"/>
      <c r="AS7372" s="19"/>
      <c r="AT7372" s="19"/>
      <c r="AU7372" s="19"/>
    </row>
    <row r="7373" spans="3:47">
      <c r="C7373" s="20"/>
      <c r="Z7373" s="20"/>
      <c r="AG7373" s="20"/>
      <c r="AQ7373" s="19"/>
      <c r="AR7373" s="19"/>
      <c r="AS7373" s="19"/>
      <c r="AT7373" s="19"/>
      <c r="AU7373" s="19"/>
    </row>
    <row r="7374" spans="3:47">
      <c r="C7374" s="20"/>
      <c r="Z7374" s="20"/>
      <c r="AG7374" s="20"/>
      <c r="AQ7374" s="19"/>
      <c r="AR7374" s="19"/>
      <c r="AS7374" s="19"/>
      <c r="AT7374" s="19"/>
      <c r="AU7374" s="19"/>
    </row>
    <row r="7375" spans="3:47">
      <c r="C7375" s="20"/>
      <c r="Z7375" s="20"/>
      <c r="AG7375" s="20"/>
      <c r="AQ7375" s="19"/>
      <c r="AR7375" s="19"/>
      <c r="AS7375" s="19"/>
      <c r="AT7375" s="19"/>
      <c r="AU7375" s="19"/>
    </row>
    <row r="7376" spans="3:47">
      <c r="C7376" s="20"/>
      <c r="Z7376" s="20"/>
      <c r="AG7376" s="20"/>
      <c r="AQ7376" s="19"/>
      <c r="AR7376" s="19"/>
      <c r="AS7376" s="19"/>
      <c r="AT7376" s="19"/>
      <c r="AU7376" s="19"/>
    </row>
    <row r="7377" spans="3:47">
      <c r="C7377" s="20"/>
      <c r="Z7377" s="20"/>
      <c r="AG7377" s="20"/>
      <c r="AQ7377" s="19"/>
      <c r="AR7377" s="19"/>
      <c r="AS7377" s="19"/>
      <c r="AT7377" s="19"/>
      <c r="AU7377" s="19"/>
    </row>
    <row r="7378" spans="3:47">
      <c r="C7378" s="20"/>
      <c r="Z7378" s="20"/>
      <c r="AG7378" s="20"/>
      <c r="AQ7378" s="19"/>
      <c r="AR7378" s="19"/>
      <c r="AS7378" s="19"/>
      <c r="AT7378" s="19"/>
      <c r="AU7378" s="19"/>
    </row>
    <row r="7379" spans="3:47">
      <c r="C7379" s="20"/>
      <c r="Z7379" s="20"/>
      <c r="AG7379" s="20"/>
      <c r="AQ7379" s="19"/>
      <c r="AR7379" s="19"/>
      <c r="AS7379" s="19"/>
      <c r="AT7379" s="19"/>
      <c r="AU7379" s="19"/>
    </row>
    <row r="7380" spans="3:47">
      <c r="C7380" s="20"/>
      <c r="Z7380" s="20"/>
      <c r="AG7380" s="20"/>
      <c r="AQ7380" s="19"/>
      <c r="AR7380" s="19"/>
      <c r="AS7380" s="19"/>
      <c r="AT7380" s="19"/>
      <c r="AU7380" s="19"/>
    </row>
    <row r="7381" spans="3:47">
      <c r="C7381" s="20"/>
      <c r="Z7381" s="20"/>
      <c r="AG7381" s="20"/>
      <c r="AQ7381" s="19"/>
      <c r="AR7381" s="19"/>
      <c r="AS7381" s="19"/>
      <c r="AT7381" s="19"/>
      <c r="AU7381" s="19"/>
    </row>
    <row r="7382" spans="3:47">
      <c r="C7382" s="20"/>
      <c r="Z7382" s="20"/>
      <c r="AG7382" s="20"/>
      <c r="AQ7382" s="19"/>
      <c r="AR7382" s="19"/>
      <c r="AS7382" s="19"/>
      <c r="AT7382" s="19"/>
      <c r="AU7382" s="19"/>
    </row>
    <row r="7383" spans="3:47">
      <c r="C7383" s="20"/>
      <c r="Z7383" s="20"/>
      <c r="AG7383" s="20"/>
      <c r="AQ7383" s="19"/>
      <c r="AR7383" s="19"/>
      <c r="AS7383" s="19"/>
      <c r="AT7383" s="19"/>
      <c r="AU7383" s="19"/>
    </row>
    <row r="7384" spans="3:47">
      <c r="C7384" s="20"/>
      <c r="Z7384" s="20"/>
      <c r="AG7384" s="20"/>
      <c r="AQ7384" s="19"/>
      <c r="AR7384" s="19"/>
      <c r="AS7384" s="19"/>
      <c r="AT7384" s="19"/>
      <c r="AU7384" s="19"/>
    </row>
    <row r="7385" spans="3:47">
      <c r="C7385" s="20"/>
      <c r="Z7385" s="20"/>
      <c r="AG7385" s="20"/>
      <c r="AQ7385" s="19"/>
      <c r="AR7385" s="19"/>
      <c r="AS7385" s="19"/>
      <c r="AT7385" s="19"/>
      <c r="AU7385" s="19"/>
    </row>
    <row r="7386" spans="3:47">
      <c r="C7386" s="20"/>
      <c r="Z7386" s="20"/>
      <c r="AG7386" s="20"/>
      <c r="AQ7386" s="19"/>
      <c r="AR7386" s="19"/>
      <c r="AS7386" s="19"/>
      <c r="AT7386" s="19"/>
      <c r="AU7386" s="19"/>
    </row>
    <row r="7387" spans="3:47">
      <c r="C7387" s="20"/>
      <c r="Z7387" s="20"/>
      <c r="AG7387" s="20"/>
      <c r="AQ7387" s="19"/>
      <c r="AR7387" s="19"/>
      <c r="AS7387" s="19"/>
      <c r="AT7387" s="19"/>
      <c r="AU7387" s="19"/>
    </row>
    <row r="7388" spans="3:47">
      <c r="C7388" s="20"/>
      <c r="Z7388" s="20"/>
      <c r="AG7388" s="20"/>
      <c r="AQ7388" s="19"/>
      <c r="AR7388" s="19"/>
      <c r="AS7388" s="19"/>
      <c r="AT7388" s="19"/>
      <c r="AU7388" s="19"/>
    </row>
    <row r="7389" spans="3:47">
      <c r="C7389" s="20"/>
      <c r="Z7389" s="20"/>
      <c r="AG7389" s="20"/>
      <c r="AQ7389" s="19"/>
      <c r="AR7389" s="19"/>
      <c r="AS7389" s="19"/>
      <c r="AT7389" s="19"/>
      <c r="AU7389" s="19"/>
    </row>
    <row r="7390" spans="3:47">
      <c r="C7390" s="20"/>
      <c r="Z7390" s="20"/>
      <c r="AG7390" s="20"/>
      <c r="AQ7390" s="19"/>
      <c r="AR7390" s="19"/>
      <c r="AS7390" s="19"/>
      <c r="AT7390" s="19"/>
      <c r="AU7390" s="19"/>
    </row>
    <row r="7391" spans="3:47">
      <c r="C7391" s="20"/>
      <c r="Z7391" s="20"/>
      <c r="AG7391" s="20"/>
      <c r="AQ7391" s="19"/>
      <c r="AR7391" s="19"/>
      <c r="AS7391" s="19"/>
      <c r="AT7391" s="19"/>
      <c r="AU7391" s="19"/>
    </row>
    <row r="7392" spans="3:47">
      <c r="C7392" s="20"/>
      <c r="Z7392" s="20"/>
      <c r="AG7392" s="20"/>
      <c r="AQ7392" s="19"/>
      <c r="AR7392" s="19"/>
      <c r="AS7392" s="19"/>
      <c r="AT7392" s="19"/>
      <c r="AU7392" s="19"/>
    </row>
    <row r="7393" spans="3:47">
      <c r="C7393" s="20"/>
      <c r="Z7393" s="20"/>
      <c r="AG7393" s="20"/>
      <c r="AQ7393" s="19"/>
      <c r="AR7393" s="19"/>
      <c r="AS7393" s="19"/>
      <c r="AT7393" s="19"/>
      <c r="AU7393" s="19"/>
    </row>
    <row r="7394" spans="3:47">
      <c r="C7394" s="20"/>
      <c r="Z7394" s="20"/>
      <c r="AG7394" s="20"/>
      <c r="AQ7394" s="19"/>
      <c r="AR7394" s="19"/>
      <c r="AS7394" s="19"/>
      <c r="AT7394" s="19"/>
      <c r="AU7394" s="19"/>
    </row>
    <row r="7395" spans="3:47">
      <c r="C7395" s="20"/>
      <c r="Z7395" s="20"/>
      <c r="AG7395" s="20"/>
      <c r="AQ7395" s="19"/>
      <c r="AR7395" s="19"/>
      <c r="AS7395" s="19"/>
      <c r="AT7395" s="19"/>
      <c r="AU7395" s="19"/>
    </row>
    <row r="7396" spans="3:47">
      <c r="C7396" s="20"/>
      <c r="Z7396" s="20"/>
      <c r="AG7396" s="20"/>
      <c r="AQ7396" s="19"/>
      <c r="AR7396" s="19"/>
      <c r="AS7396" s="19"/>
      <c r="AT7396" s="19"/>
      <c r="AU7396" s="19"/>
    </row>
    <row r="7397" spans="3:47">
      <c r="C7397" s="20"/>
      <c r="Z7397" s="20"/>
      <c r="AG7397" s="20"/>
      <c r="AQ7397" s="19"/>
      <c r="AR7397" s="19"/>
      <c r="AS7397" s="19"/>
      <c r="AT7397" s="19"/>
      <c r="AU7397" s="19"/>
    </row>
    <row r="7398" spans="3:47">
      <c r="C7398" s="20"/>
      <c r="Z7398" s="20"/>
      <c r="AG7398" s="20"/>
      <c r="AQ7398" s="19"/>
      <c r="AR7398" s="19"/>
      <c r="AS7398" s="19"/>
      <c r="AT7398" s="19"/>
      <c r="AU7398" s="19"/>
    </row>
    <row r="7399" spans="3:47">
      <c r="C7399" s="20"/>
      <c r="Z7399" s="20"/>
      <c r="AG7399" s="20"/>
      <c r="AQ7399" s="19"/>
      <c r="AR7399" s="19"/>
      <c r="AS7399" s="19"/>
      <c r="AT7399" s="19"/>
      <c r="AU7399" s="19"/>
    </row>
    <row r="7400" spans="3:47">
      <c r="C7400" s="20"/>
      <c r="Z7400" s="20"/>
      <c r="AG7400" s="20"/>
      <c r="AQ7400" s="19"/>
      <c r="AR7400" s="19"/>
      <c r="AS7400" s="19"/>
      <c r="AT7400" s="19"/>
      <c r="AU7400" s="19"/>
    </row>
    <row r="7401" spans="3:47">
      <c r="C7401" s="20"/>
      <c r="Z7401" s="20"/>
      <c r="AG7401" s="20"/>
      <c r="AQ7401" s="19"/>
      <c r="AR7401" s="19"/>
      <c r="AS7401" s="19"/>
      <c r="AT7401" s="19"/>
      <c r="AU7401" s="19"/>
    </row>
    <row r="7402" spans="3:47">
      <c r="C7402" s="20"/>
      <c r="Z7402" s="20"/>
      <c r="AG7402" s="20"/>
      <c r="AQ7402" s="19"/>
      <c r="AR7402" s="19"/>
      <c r="AS7402" s="19"/>
      <c r="AT7402" s="19"/>
      <c r="AU7402" s="19"/>
    </row>
    <row r="7403" spans="3:47">
      <c r="C7403" s="20"/>
      <c r="Z7403" s="20"/>
      <c r="AG7403" s="20"/>
      <c r="AQ7403" s="19"/>
      <c r="AR7403" s="19"/>
      <c r="AS7403" s="19"/>
      <c r="AT7403" s="19"/>
      <c r="AU7403" s="19"/>
    </row>
    <row r="7404" spans="3:47">
      <c r="C7404" s="20"/>
      <c r="Z7404" s="20"/>
      <c r="AG7404" s="20"/>
      <c r="AQ7404" s="19"/>
      <c r="AR7404" s="19"/>
      <c r="AS7404" s="19"/>
      <c r="AT7404" s="19"/>
      <c r="AU7404" s="19"/>
    </row>
    <row r="7405" spans="3:47">
      <c r="C7405" s="20"/>
      <c r="Z7405" s="20"/>
      <c r="AG7405" s="20"/>
      <c r="AQ7405" s="19"/>
      <c r="AR7405" s="19"/>
      <c r="AS7405" s="19"/>
      <c r="AT7405" s="19"/>
      <c r="AU7405" s="19"/>
    </row>
    <row r="7406" spans="3:47">
      <c r="C7406" s="20"/>
      <c r="Z7406" s="20"/>
      <c r="AG7406" s="20"/>
      <c r="AQ7406" s="19"/>
      <c r="AR7406" s="19"/>
      <c r="AS7406" s="19"/>
      <c r="AT7406" s="19"/>
      <c r="AU7406" s="19"/>
    </row>
    <row r="7407" spans="3:47">
      <c r="C7407" s="20"/>
      <c r="Z7407" s="20"/>
      <c r="AG7407" s="20"/>
      <c r="AQ7407" s="19"/>
      <c r="AR7407" s="19"/>
      <c r="AS7407" s="19"/>
      <c r="AT7407" s="19"/>
      <c r="AU7407" s="19"/>
    </row>
    <row r="7408" spans="3:47">
      <c r="C7408" s="20"/>
      <c r="Z7408" s="20"/>
      <c r="AG7408" s="20"/>
      <c r="AQ7408" s="19"/>
      <c r="AR7408" s="19"/>
      <c r="AS7408" s="19"/>
      <c r="AT7408" s="19"/>
      <c r="AU7408" s="19"/>
    </row>
    <row r="7409" spans="3:47">
      <c r="C7409" s="20"/>
      <c r="Z7409" s="20"/>
      <c r="AG7409" s="20"/>
      <c r="AQ7409" s="19"/>
      <c r="AR7409" s="19"/>
      <c r="AS7409" s="19"/>
      <c r="AT7409" s="19"/>
      <c r="AU7409" s="19"/>
    </row>
    <row r="7410" spans="3:47">
      <c r="C7410" s="20"/>
      <c r="Z7410" s="20"/>
      <c r="AG7410" s="20"/>
      <c r="AQ7410" s="19"/>
      <c r="AR7410" s="19"/>
      <c r="AS7410" s="19"/>
      <c r="AT7410" s="19"/>
      <c r="AU7410" s="19"/>
    </row>
    <row r="7411" spans="3:47">
      <c r="C7411" s="20"/>
      <c r="Z7411" s="20"/>
      <c r="AG7411" s="20"/>
      <c r="AQ7411" s="19"/>
      <c r="AR7411" s="19"/>
      <c r="AS7411" s="19"/>
      <c r="AT7411" s="19"/>
      <c r="AU7411" s="19"/>
    </row>
    <row r="7412" spans="3:47">
      <c r="C7412" s="20"/>
      <c r="Z7412" s="20"/>
      <c r="AG7412" s="20"/>
      <c r="AQ7412" s="19"/>
      <c r="AR7412" s="19"/>
      <c r="AS7412" s="19"/>
      <c r="AT7412" s="19"/>
      <c r="AU7412" s="19"/>
    </row>
    <row r="7413" spans="3:47">
      <c r="C7413" s="20"/>
      <c r="Z7413" s="20"/>
      <c r="AG7413" s="20"/>
      <c r="AQ7413" s="19"/>
      <c r="AR7413" s="19"/>
      <c r="AS7413" s="19"/>
      <c r="AT7413" s="19"/>
      <c r="AU7413" s="19"/>
    </row>
    <row r="7414" spans="3:47">
      <c r="C7414" s="20"/>
      <c r="Z7414" s="20"/>
      <c r="AG7414" s="20"/>
      <c r="AQ7414" s="19"/>
      <c r="AR7414" s="19"/>
      <c r="AS7414" s="19"/>
      <c r="AT7414" s="19"/>
      <c r="AU7414" s="19"/>
    </row>
    <row r="7415" spans="3:47">
      <c r="C7415" s="20"/>
      <c r="Z7415" s="20"/>
      <c r="AG7415" s="20"/>
      <c r="AQ7415" s="19"/>
      <c r="AR7415" s="19"/>
      <c r="AS7415" s="19"/>
      <c r="AT7415" s="19"/>
      <c r="AU7415" s="19"/>
    </row>
    <row r="7416" spans="3:47">
      <c r="C7416" s="20"/>
      <c r="Z7416" s="20"/>
      <c r="AG7416" s="20"/>
      <c r="AQ7416" s="19"/>
      <c r="AR7416" s="19"/>
      <c r="AS7416" s="19"/>
      <c r="AT7416" s="19"/>
      <c r="AU7416" s="19"/>
    </row>
    <row r="7417" spans="3:47">
      <c r="C7417" s="20"/>
      <c r="Z7417" s="20"/>
      <c r="AG7417" s="20"/>
      <c r="AQ7417" s="19"/>
      <c r="AR7417" s="19"/>
      <c r="AS7417" s="19"/>
      <c r="AT7417" s="19"/>
      <c r="AU7417" s="19"/>
    </row>
    <row r="7418" spans="3:47">
      <c r="C7418" s="20"/>
      <c r="Z7418" s="20"/>
      <c r="AG7418" s="20"/>
      <c r="AQ7418" s="19"/>
      <c r="AR7418" s="19"/>
      <c r="AS7418" s="19"/>
      <c r="AT7418" s="19"/>
      <c r="AU7418" s="19"/>
    </row>
    <row r="7419" spans="3:47">
      <c r="C7419" s="20"/>
      <c r="Z7419" s="20"/>
      <c r="AG7419" s="20"/>
      <c r="AQ7419" s="19"/>
      <c r="AR7419" s="19"/>
      <c r="AS7419" s="19"/>
      <c r="AT7419" s="19"/>
      <c r="AU7419" s="19"/>
    </row>
    <row r="7420" spans="3:47">
      <c r="C7420" s="20"/>
      <c r="Z7420" s="20"/>
      <c r="AG7420" s="20"/>
      <c r="AQ7420" s="19"/>
      <c r="AR7420" s="19"/>
      <c r="AS7420" s="19"/>
      <c r="AT7420" s="19"/>
      <c r="AU7420" s="19"/>
    </row>
    <row r="7421" spans="3:47">
      <c r="C7421" s="20"/>
      <c r="Z7421" s="20"/>
      <c r="AG7421" s="20"/>
      <c r="AQ7421" s="19"/>
      <c r="AR7421" s="19"/>
      <c r="AS7421" s="19"/>
      <c r="AT7421" s="19"/>
      <c r="AU7421" s="19"/>
    </row>
    <row r="7422" spans="3:47">
      <c r="C7422" s="20"/>
      <c r="Z7422" s="20"/>
      <c r="AG7422" s="20"/>
      <c r="AQ7422" s="19"/>
      <c r="AR7422" s="19"/>
      <c r="AS7422" s="19"/>
      <c r="AT7422" s="19"/>
      <c r="AU7422" s="19"/>
    </row>
    <row r="7423" spans="3:47">
      <c r="C7423" s="20"/>
      <c r="Z7423" s="20"/>
      <c r="AG7423" s="20"/>
      <c r="AQ7423" s="19"/>
      <c r="AR7423" s="19"/>
      <c r="AS7423" s="19"/>
      <c r="AT7423" s="19"/>
      <c r="AU7423" s="19"/>
    </row>
    <row r="7424" spans="3:47">
      <c r="C7424" s="20"/>
      <c r="Z7424" s="20"/>
      <c r="AG7424" s="20"/>
      <c r="AQ7424" s="19"/>
      <c r="AR7424" s="19"/>
      <c r="AS7424" s="19"/>
      <c r="AT7424" s="19"/>
      <c r="AU7424" s="19"/>
    </row>
    <row r="7425" spans="3:47">
      <c r="C7425" s="20"/>
      <c r="Z7425" s="20"/>
      <c r="AG7425" s="20"/>
      <c r="AQ7425" s="19"/>
      <c r="AR7425" s="19"/>
      <c r="AS7425" s="19"/>
      <c r="AT7425" s="19"/>
      <c r="AU7425" s="19"/>
    </row>
    <row r="7426" spans="3:47">
      <c r="C7426" s="20"/>
      <c r="Z7426" s="20"/>
      <c r="AG7426" s="20"/>
      <c r="AQ7426" s="19"/>
      <c r="AR7426" s="19"/>
      <c r="AS7426" s="19"/>
      <c r="AT7426" s="19"/>
      <c r="AU7426" s="19"/>
    </row>
    <row r="7427" spans="3:47">
      <c r="C7427" s="20"/>
      <c r="Z7427" s="20"/>
      <c r="AG7427" s="20"/>
      <c r="AQ7427" s="19"/>
      <c r="AR7427" s="19"/>
      <c r="AS7427" s="19"/>
      <c r="AT7427" s="19"/>
      <c r="AU7427" s="19"/>
    </row>
    <row r="7428" spans="3:47">
      <c r="C7428" s="20"/>
      <c r="Z7428" s="20"/>
      <c r="AG7428" s="20"/>
      <c r="AQ7428" s="19"/>
      <c r="AR7428" s="19"/>
      <c r="AS7428" s="19"/>
      <c r="AT7428" s="19"/>
      <c r="AU7428" s="19"/>
    </row>
    <row r="7429" spans="3:47">
      <c r="C7429" s="20"/>
      <c r="Z7429" s="20"/>
      <c r="AG7429" s="20"/>
      <c r="AQ7429" s="19"/>
      <c r="AR7429" s="19"/>
      <c r="AS7429" s="19"/>
      <c r="AT7429" s="19"/>
      <c r="AU7429" s="19"/>
    </row>
    <row r="7430" spans="3:47">
      <c r="C7430" s="20"/>
      <c r="Z7430" s="20"/>
      <c r="AG7430" s="20"/>
      <c r="AQ7430" s="19"/>
      <c r="AR7430" s="19"/>
      <c r="AS7430" s="19"/>
      <c r="AT7430" s="19"/>
      <c r="AU7430" s="19"/>
    </row>
    <row r="7431" spans="3:47">
      <c r="C7431" s="20"/>
      <c r="Z7431" s="20"/>
      <c r="AG7431" s="20"/>
      <c r="AQ7431" s="19"/>
      <c r="AR7431" s="19"/>
      <c r="AS7431" s="19"/>
      <c r="AT7431" s="19"/>
      <c r="AU7431" s="19"/>
    </row>
    <row r="7432" spans="3:47">
      <c r="C7432" s="20"/>
      <c r="Z7432" s="20"/>
      <c r="AG7432" s="20"/>
      <c r="AQ7432" s="19"/>
      <c r="AR7432" s="19"/>
      <c r="AS7432" s="19"/>
      <c r="AT7432" s="19"/>
      <c r="AU7432" s="19"/>
    </row>
    <row r="7433" spans="3:47">
      <c r="C7433" s="20"/>
      <c r="Z7433" s="20"/>
      <c r="AG7433" s="20"/>
      <c r="AQ7433" s="19"/>
      <c r="AR7433" s="19"/>
      <c r="AS7433" s="19"/>
      <c r="AT7433" s="19"/>
      <c r="AU7433" s="19"/>
    </row>
    <row r="7434" spans="3:47">
      <c r="C7434" s="20"/>
      <c r="Z7434" s="20"/>
      <c r="AG7434" s="20"/>
      <c r="AQ7434" s="19"/>
      <c r="AR7434" s="19"/>
      <c r="AS7434" s="19"/>
      <c r="AT7434" s="19"/>
      <c r="AU7434" s="19"/>
    </row>
    <row r="7435" spans="3:47">
      <c r="C7435" s="20"/>
      <c r="Z7435" s="20"/>
      <c r="AG7435" s="20"/>
      <c r="AQ7435" s="19"/>
      <c r="AR7435" s="19"/>
      <c r="AS7435" s="19"/>
      <c r="AT7435" s="19"/>
      <c r="AU7435" s="19"/>
    </row>
    <row r="7436" spans="3:47">
      <c r="C7436" s="20"/>
      <c r="Z7436" s="20"/>
      <c r="AG7436" s="20"/>
      <c r="AQ7436" s="19"/>
      <c r="AR7436" s="19"/>
      <c r="AS7436" s="19"/>
      <c r="AT7436" s="19"/>
      <c r="AU7436" s="19"/>
    </row>
    <row r="7437" spans="3:47">
      <c r="C7437" s="20"/>
      <c r="Z7437" s="20"/>
      <c r="AG7437" s="20"/>
      <c r="AQ7437" s="19"/>
      <c r="AR7437" s="19"/>
      <c r="AS7437" s="19"/>
      <c r="AT7437" s="19"/>
      <c r="AU7437" s="19"/>
    </row>
    <row r="7438" spans="3:47">
      <c r="C7438" s="20"/>
      <c r="Z7438" s="20"/>
      <c r="AG7438" s="20"/>
      <c r="AQ7438" s="19"/>
      <c r="AR7438" s="19"/>
      <c r="AS7438" s="19"/>
      <c r="AT7438" s="19"/>
      <c r="AU7438" s="19"/>
    </row>
    <row r="7439" spans="3:47">
      <c r="C7439" s="20"/>
      <c r="Z7439" s="20"/>
      <c r="AG7439" s="20"/>
      <c r="AQ7439" s="19"/>
      <c r="AR7439" s="19"/>
      <c r="AS7439" s="19"/>
      <c r="AT7439" s="19"/>
      <c r="AU7439" s="19"/>
    </row>
    <row r="7440" spans="3:47">
      <c r="C7440" s="20"/>
      <c r="Z7440" s="20"/>
      <c r="AG7440" s="20"/>
      <c r="AQ7440" s="19"/>
      <c r="AR7440" s="19"/>
      <c r="AS7440" s="19"/>
      <c r="AT7440" s="19"/>
      <c r="AU7440" s="19"/>
    </row>
    <row r="7441" spans="3:47">
      <c r="C7441" s="20"/>
      <c r="Z7441" s="20"/>
      <c r="AG7441" s="20"/>
      <c r="AQ7441" s="19"/>
      <c r="AR7441" s="19"/>
      <c r="AS7441" s="19"/>
      <c r="AT7441" s="19"/>
      <c r="AU7441" s="19"/>
    </row>
    <row r="7442" spans="3:47">
      <c r="C7442" s="20"/>
      <c r="Z7442" s="20"/>
      <c r="AG7442" s="20"/>
      <c r="AQ7442" s="19"/>
      <c r="AR7442" s="19"/>
      <c r="AS7442" s="19"/>
      <c r="AT7442" s="19"/>
      <c r="AU7442" s="19"/>
    </row>
    <row r="7443" spans="3:47">
      <c r="C7443" s="20"/>
      <c r="Z7443" s="20"/>
      <c r="AG7443" s="20"/>
      <c r="AQ7443" s="19"/>
      <c r="AR7443" s="19"/>
      <c r="AS7443" s="19"/>
      <c r="AT7443" s="19"/>
      <c r="AU7443" s="19"/>
    </row>
    <row r="7444" spans="3:47">
      <c r="C7444" s="20"/>
      <c r="Z7444" s="20"/>
      <c r="AG7444" s="20"/>
      <c r="AQ7444" s="19"/>
      <c r="AR7444" s="19"/>
      <c r="AS7444" s="19"/>
      <c r="AT7444" s="19"/>
      <c r="AU7444" s="19"/>
    </row>
    <row r="7445" spans="3:47">
      <c r="C7445" s="20"/>
      <c r="Z7445" s="20"/>
      <c r="AG7445" s="20"/>
      <c r="AQ7445" s="19"/>
      <c r="AR7445" s="19"/>
      <c r="AS7445" s="19"/>
      <c r="AT7445" s="19"/>
      <c r="AU7445" s="19"/>
    </row>
    <row r="7446" spans="3:47">
      <c r="C7446" s="20"/>
      <c r="Z7446" s="20"/>
      <c r="AG7446" s="20"/>
      <c r="AQ7446" s="19"/>
      <c r="AR7446" s="19"/>
      <c r="AS7446" s="19"/>
      <c r="AT7446" s="19"/>
      <c r="AU7446" s="19"/>
    </row>
    <row r="7447" spans="3:47">
      <c r="C7447" s="20"/>
      <c r="Z7447" s="20"/>
      <c r="AG7447" s="20"/>
      <c r="AQ7447" s="19"/>
      <c r="AR7447" s="19"/>
      <c r="AS7447" s="19"/>
      <c r="AT7447" s="19"/>
      <c r="AU7447" s="19"/>
    </row>
    <row r="7448" spans="3:47">
      <c r="C7448" s="20"/>
      <c r="Z7448" s="20"/>
      <c r="AG7448" s="20"/>
      <c r="AQ7448" s="19"/>
      <c r="AR7448" s="19"/>
      <c r="AS7448" s="19"/>
      <c r="AT7448" s="19"/>
      <c r="AU7448" s="19"/>
    </row>
    <row r="7449" spans="3:47">
      <c r="C7449" s="20"/>
      <c r="Z7449" s="20"/>
      <c r="AG7449" s="20"/>
      <c r="AQ7449" s="19"/>
      <c r="AR7449" s="19"/>
      <c r="AS7449" s="19"/>
      <c r="AT7449" s="19"/>
      <c r="AU7449" s="19"/>
    </row>
    <row r="7450" spans="3:47">
      <c r="C7450" s="20"/>
      <c r="Z7450" s="20"/>
      <c r="AG7450" s="20"/>
      <c r="AQ7450" s="19"/>
      <c r="AR7450" s="19"/>
      <c r="AS7450" s="19"/>
      <c r="AT7450" s="19"/>
      <c r="AU7450" s="19"/>
    </row>
    <row r="7451" spans="3:47">
      <c r="C7451" s="20"/>
      <c r="Z7451" s="20"/>
      <c r="AG7451" s="20"/>
      <c r="AQ7451" s="19"/>
      <c r="AR7451" s="19"/>
      <c r="AS7451" s="19"/>
      <c r="AT7451" s="19"/>
      <c r="AU7451" s="19"/>
    </row>
    <row r="7452" spans="3:47">
      <c r="C7452" s="20"/>
      <c r="Z7452" s="20"/>
      <c r="AG7452" s="20"/>
      <c r="AQ7452" s="19"/>
      <c r="AR7452" s="19"/>
      <c r="AS7452" s="19"/>
      <c r="AT7452" s="19"/>
      <c r="AU7452" s="19"/>
    </row>
    <row r="7453" spans="3:47">
      <c r="C7453" s="20"/>
      <c r="Z7453" s="20"/>
      <c r="AG7453" s="20"/>
      <c r="AQ7453" s="19"/>
      <c r="AR7453" s="19"/>
      <c r="AS7453" s="19"/>
      <c r="AT7453" s="19"/>
      <c r="AU7453" s="19"/>
    </row>
    <row r="7454" spans="3:47">
      <c r="C7454" s="20"/>
      <c r="Z7454" s="20"/>
      <c r="AG7454" s="20"/>
      <c r="AQ7454" s="19"/>
      <c r="AR7454" s="19"/>
      <c r="AS7454" s="19"/>
      <c r="AT7454" s="19"/>
      <c r="AU7454" s="19"/>
    </row>
    <row r="7455" spans="3:47">
      <c r="C7455" s="20"/>
      <c r="Z7455" s="20"/>
      <c r="AG7455" s="20"/>
      <c r="AQ7455" s="19"/>
      <c r="AR7455" s="19"/>
      <c r="AS7455" s="19"/>
      <c r="AT7455" s="19"/>
      <c r="AU7455" s="19"/>
    </row>
    <row r="7456" spans="3:47">
      <c r="C7456" s="20"/>
      <c r="Z7456" s="20"/>
      <c r="AG7456" s="20"/>
      <c r="AQ7456" s="19"/>
      <c r="AR7456" s="19"/>
      <c r="AS7456" s="19"/>
      <c r="AT7456" s="19"/>
      <c r="AU7456" s="19"/>
    </row>
    <row r="7457" spans="3:47">
      <c r="C7457" s="20"/>
      <c r="Z7457" s="20"/>
      <c r="AG7457" s="20"/>
      <c r="AQ7457" s="19"/>
      <c r="AR7457" s="19"/>
      <c r="AS7457" s="19"/>
      <c r="AT7457" s="19"/>
      <c r="AU7457" s="19"/>
    </row>
    <row r="7458" spans="3:47">
      <c r="C7458" s="20"/>
      <c r="Z7458" s="20"/>
      <c r="AG7458" s="20"/>
      <c r="AQ7458" s="19"/>
      <c r="AR7458" s="19"/>
      <c r="AS7458" s="19"/>
      <c r="AT7458" s="19"/>
      <c r="AU7458" s="19"/>
    </row>
    <row r="7459" spans="3:47">
      <c r="C7459" s="20"/>
      <c r="Z7459" s="20"/>
      <c r="AG7459" s="20"/>
      <c r="AQ7459" s="19"/>
      <c r="AR7459" s="19"/>
      <c r="AS7459" s="19"/>
      <c r="AT7459" s="19"/>
      <c r="AU7459" s="19"/>
    </row>
    <row r="7460" spans="3:47">
      <c r="C7460" s="20"/>
      <c r="Z7460" s="20"/>
      <c r="AG7460" s="20"/>
      <c r="AQ7460" s="19"/>
      <c r="AR7460" s="19"/>
      <c r="AS7460" s="19"/>
      <c r="AT7460" s="19"/>
      <c r="AU7460" s="19"/>
    </row>
    <row r="7461" spans="3:47">
      <c r="C7461" s="20"/>
      <c r="Z7461" s="20"/>
      <c r="AG7461" s="20"/>
      <c r="AQ7461" s="19"/>
      <c r="AR7461" s="19"/>
      <c r="AS7461" s="19"/>
      <c r="AT7461" s="19"/>
      <c r="AU7461" s="19"/>
    </row>
    <row r="7462" spans="3:47">
      <c r="C7462" s="20"/>
      <c r="Z7462" s="20"/>
      <c r="AG7462" s="20"/>
      <c r="AQ7462" s="19"/>
      <c r="AR7462" s="19"/>
      <c r="AS7462" s="19"/>
      <c r="AT7462" s="19"/>
      <c r="AU7462" s="19"/>
    </row>
    <row r="7463" spans="3:47">
      <c r="C7463" s="20"/>
      <c r="Z7463" s="20"/>
      <c r="AG7463" s="20"/>
      <c r="AQ7463" s="19"/>
      <c r="AR7463" s="19"/>
      <c r="AS7463" s="19"/>
      <c r="AT7463" s="19"/>
      <c r="AU7463" s="19"/>
    </row>
    <row r="7464" spans="3:47">
      <c r="C7464" s="20"/>
      <c r="Z7464" s="20"/>
      <c r="AG7464" s="20"/>
      <c r="AQ7464" s="19"/>
      <c r="AR7464" s="19"/>
      <c r="AS7464" s="19"/>
      <c r="AT7464" s="19"/>
      <c r="AU7464" s="19"/>
    </row>
    <row r="7465" spans="3:47">
      <c r="C7465" s="20"/>
      <c r="Z7465" s="20"/>
      <c r="AG7465" s="20"/>
      <c r="AQ7465" s="19"/>
      <c r="AR7465" s="19"/>
      <c r="AS7465" s="19"/>
      <c r="AT7465" s="19"/>
      <c r="AU7465" s="19"/>
    </row>
    <row r="7466" spans="3:47">
      <c r="C7466" s="20"/>
      <c r="Z7466" s="20"/>
      <c r="AG7466" s="20"/>
      <c r="AQ7466" s="19"/>
      <c r="AR7466" s="19"/>
      <c r="AS7466" s="19"/>
      <c r="AT7466" s="19"/>
      <c r="AU7466" s="19"/>
    </row>
    <row r="7467" spans="3:47">
      <c r="C7467" s="20"/>
      <c r="Z7467" s="20"/>
      <c r="AG7467" s="20"/>
      <c r="AQ7467" s="19"/>
      <c r="AR7467" s="19"/>
      <c r="AS7467" s="19"/>
      <c r="AT7467" s="19"/>
      <c r="AU7467" s="19"/>
    </row>
    <row r="7468" spans="3:47">
      <c r="C7468" s="20"/>
      <c r="Z7468" s="20"/>
      <c r="AG7468" s="20"/>
      <c r="AQ7468" s="19"/>
      <c r="AR7468" s="19"/>
      <c r="AS7468" s="19"/>
      <c r="AT7468" s="19"/>
      <c r="AU7468" s="19"/>
    </row>
    <row r="7469" spans="3:47">
      <c r="C7469" s="20"/>
      <c r="Z7469" s="20"/>
      <c r="AG7469" s="20"/>
      <c r="AQ7469" s="19"/>
      <c r="AR7469" s="19"/>
      <c r="AS7469" s="19"/>
      <c r="AT7469" s="19"/>
      <c r="AU7469" s="19"/>
    </row>
    <row r="7470" spans="3:47">
      <c r="C7470" s="20"/>
      <c r="Z7470" s="20"/>
      <c r="AG7470" s="20"/>
      <c r="AQ7470" s="19"/>
      <c r="AR7470" s="19"/>
      <c r="AS7470" s="19"/>
      <c r="AT7470" s="19"/>
      <c r="AU7470" s="19"/>
    </row>
    <row r="7471" spans="3:47">
      <c r="C7471" s="20"/>
      <c r="Z7471" s="20"/>
      <c r="AG7471" s="20"/>
      <c r="AQ7471" s="19"/>
      <c r="AR7471" s="19"/>
      <c r="AS7471" s="19"/>
      <c r="AT7471" s="19"/>
      <c r="AU7471" s="19"/>
    </row>
    <row r="7472" spans="3:47">
      <c r="C7472" s="20"/>
      <c r="Z7472" s="20"/>
      <c r="AG7472" s="20"/>
      <c r="AQ7472" s="19"/>
      <c r="AR7472" s="19"/>
      <c r="AS7472" s="19"/>
      <c r="AT7472" s="19"/>
      <c r="AU7472" s="19"/>
    </row>
    <row r="7473" spans="3:47">
      <c r="C7473" s="20"/>
      <c r="Z7473" s="20"/>
      <c r="AG7473" s="20"/>
      <c r="AQ7473" s="19"/>
      <c r="AR7473" s="19"/>
      <c r="AS7473" s="19"/>
      <c r="AT7473" s="19"/>
      <c r="AU7473" s="19"/>
    </row>
    <row r="7474" spans="3:47">
      <c r="C7474" s="20"/>
      <c r="Z7474" s="20"/>
      <c r="AG7474" s="20"/>
      <c r="AQ7474" s="19"/>
      <c r="AR7474" s="19"/>
      <c r="AS7474" s="19"/>
      <c r="AT7474" s="19"/>
      <c r="AU7474" s="19"/>
    </row>
    <row r="7475" spans="3:47">
      <c r="C7475" s="20"/>
      <c r="Z7475" s="20"/>
      <c r="AG7475" s="20"/>
      <c r="AQ7475" s="19"/>
      <c r="AR7475" s="19"/>
      <c r="AS7475" s="19"/>
      <c r="AT7475" s="19"/>
      <c r="AU7475" s="19"/>
    </row>
    <row r="7476" spans="3:47">
      <c r="C7476" s="20"/>
      <c r="Z7476" s="20"/>
      <c r="AG7476" s="20"/>
      <c r="AQ7476" s="19"/>
      <c r="AR7476" s="19"/>
      <c r="AS7476" s="19"/>
      <c r="AT7476" s="19"/>
      <c r="AU7476" s="19"/>
    </row>
    <row r="7477" spans="3:47">
      <c r="C7477" s="20"/>
      <c r="Z7477" s="20"/>
      <c r="AG7477" s="20"/>
      <c r="AQ7477" s="19"/>
      <c r="AR7477" s="19"/>
      <c r="AS7477" s="19"/>
      <c r="AT7477" s="19"/>
      <c r="AU7477" s="19"/>
    </row>
    <row r="7478" spans="3:47">
      <c r="C7478" s="20"/>
      <c r="Z7478" s="20"/>
      <c r="AG7478" s="20"/>
      <c r="AQ7478" s="19"/>
      <c r="AR7478" s="19"/>
      <c r="AS7478" s="19"/>
      <c r="AT7478" s="19"/>
      <c r="AU7478" s="19"/>
    </row>
    <row r="7479" spans="3:47">
      <c r="C7479" s="20"/>
      <c r="Z7479" s="20"/>
      <c r="AG7479" s="20"/>
      <c r="AQ7479" s="19"/>
      <c r="AR7479" s="19"/>
      <c r="AS7479" s="19"/>
      <c r="AT7479" s="19"/>
      <c r="AU7479" s="19"/>
    </row>
    <row r="7480" spans="3:47">
      <c r="C7480" s="20"/>
      <c r="Z7480" s="20"/>
      <c r="AG7480" s="20"/>
      <c r="AQ7480" s="19"/>
      <c r="AR7480" s="19"/>
      <c r="AS7480" s="19"/>
      <c r="AT7480" s="19"/>
      <c r="AU7480" s="19"/>
    </row>
    <row r="7481" spans="3:47">
      <c r="C7481" s="20"/>
      <c r="Z7481" s="20"/>
      <c r="AG7481" s="20"/>
      <c r="AQ7481" s="19"/>
      <c r="AR7481" s="19"/>
      <c r="AS7481" s="19"/>
      <c r="AT7481" s="19"/>
      <c r="AU7481" s="19"/>
    </row>
    <row r="7482" spans="3:47">
      <c r="C7482" s="20"/>
      <c r="Z7482" s="20"/>
      <c r="AG7482" s="20"/>
      <c r="AQ7482" s="19"/>
      <c r="AR7482" s="19"/>
      <c r="AS7482" s="19"/>
      <c r="AT7482" s="19"/>
      <c r="AU7482" s="19"/>
    </row>
    <row r="7483" spans="3:47">
      <c r="C7483" s="20"/>
      <c r="Z7483" s="20"/>
      <c r="AG7483" s="20"/>
      <c r="AQ7483" s="19"/>
      <c r="AR7483" s="19"/>
      <c r="AS7483" s="19"/>
      <c r="AT7483" s="19"/>
      <c r="AU7483" s="19"/>
    </row>
    <row r="7484" spans="3:47">
      <c r="C7484" s="20"/>
      <c r="Z7484" s="20"/>
      <c r="AG7484" s="20"/>
      <c r="AQ7484" s="19"/>
      <c r="AR7484" s="19"/>
      <c r="AS7484" s="19"/>
      <c r="AT7484" s="19"/>
      <c r="AU7484" s="19"/>
    </row>
    <row r="7485" spans="3:47">
      <c r="C7485" s="20"/>
      <c r="Z7485" s="20"/>
      <c r="AG7485" s="20"/>
      <c r="AQ7485" s="19"/>
      <c r="AR7485" s="19"/>
      <c r="AS7485" s="19"/>
      <c r="AT7485" s="19"/>
      <c r="AU7485" s="19"/>
    </row>
    <row r="7486" spans="3:47">
      <c r="C7486" s="20"/>
      <c r="Z7486" s="20"/>
      <c r="AG7486" s="20"/>
      <c r="AQ7486" s="19"/>
      <c r="AR7486" s="19"/>
      <c r="AS7486" s="19"/>
      <c r="AT7486" s="19"/>
      <c r="AU7486" s="19"/>
    </row>
    <row r="7487" spans="3:47">
      <c r="C7487" s="20"/>
      <c r="Z7487" s="20"/>
      <c r="AG7487" s="20"/>
      <c r="AQ7487" s="19"/>
      <c r="AR7487" s="19"/>
      <c r="AS7487" s="19"/>
      <c r="AT7487" s="19"/>
      <c r="AU7487" s="19"/>
    </row>
    <row r="7488" spans="3:47">
      <c r="C7488" s="20"/>
      <c r="Z7488" s="20"/>
      <c r="AG7488" s="20"/>
      <c r="AQ7488" s="19"/>
      <c r="AR7488" s="19"/>
      <c r="AS7488" s="19"/>
      <c r="AT7488" s="19"/>
      <c r="AU7488" s="19"/>
    </row>
    <row r="7489" spans="3:47">
      <c r="C7489" s="20"/>
      <c r="Z7489" s="20"/>
      <c r="AG7489" s="20"/>
      <c r="AQ7489" s="19"/>
      <c r="AR7489" s="19"/>
      <c r="AS7489" s="19"/>
      <c r="AT7489" s="19"/>
      <c r="AU7489" s="19"/>
    </row>
    <row r="7490" spans="3:47">
      <c r="C7490" s="20"/>
      <c r="Z7490" s="20"/>
      <c r="AG7490" s="20"/>
      <c r="AQ7490" s="19"/>
      <c r="AR7490" s="19"/>
      <c r="AS7490" s="19"/>
      <c r="AT7490" s="19"/>
      <c r="AU7490" s="19"/>
    </row>
    <row r="7491" spans="3:47">
      <c r="C7491" s="20"/>
      <c r="Z7491" s="20"/>
      <c r="AG7491" s="20"/>
      <c r="AQ7491" s="19"/>
      <c r="AR7491" s="19"/>
      <c r="AS7491" s="19"/>
      <c r="AT7491" s="19"/>
      <c r="AU7491" s="19"/>
    </row>
    <row r="7492" spans="3:47">
      <c r="C7492" s="20"/>
      <c r="Z7492" s="20"/>
      <c r="AG7492" s="20"/>
      <c r="AQ7492" s="19"/>
      <c r="AR7492" s="19"/>
      <c r="AS7492" s="19"/>
      <c r="AT7492" s="19"/>
      <c r="AU7492" s="19"/>
    </row>
    <row r="7493" spans="3:47">
      <c r="C7493" s="20"/>
      <c r="Z7493" s="20"/>
      <c r="AG7493" s="20"/>
      <c r="AQ7493" s="19"/>
      <c r="AR7493" s="19"/>
      <c r="AS7493" s="19"/>
      <c r="AT7493" s="19"/>
      <c r="AU7493" s="19"/>
    </row>
    <row r="7494" spans="3:47">
      <c r="C7494" s="20"/>
      <c r="Z7494" s="20"/>
      <c r="AG7494" s="20"/>
      <c r="AQ7494" s="19"/>
      <c r="AR7494" s="19"/>
      <c r="AS7494" s="19"/>
      <c r="AT7494" s="19"/>
      <c r="AU7494" s="19"/>
    </row>
    <row r="7495" spans="3:47">
      <c r="C7495" s="20"/>
      <c r="Z7495" s="20"/>
      <c r="AG7495" s="20"/>
      <c r="AQ7495" s="19"/>
      <c r="AR7495" s="19"/>
      <c r="AS7495" s="19"/>
      <c r="AT7495" s="19"/>
      <c r="AU7495" s="19"/>
    </row>
    <row r="7496" spans="3:47">
      <c r="C7496" s="20"/>
      <c r="Z7496" s="20"/>
      <c r="AG7496" s="20"/>
      <c r="AQ7496" s="19"/>
      <c r="AR7496" s="19"/>
      <c r="AS7496" s="19"/>
      <c r="AT7496" s="19"/>
      <c r="AU7496" s="19"/>
    </row>
    <row r="7497" spans="3:47">
      <c r="C7497" s="20"/>
      <c r="Z7497" s="20"/>
      <c r="AG7497" s="20"/>
      <c r="AQ7497" s="19"/>
      <c r="AR7497" s="19"/>
      <c r="AS7497" s="19"/>
      <c r="AT7497" s="19"/>
      <c r="AU7497" s="19"/>
    </row>
    <row r="7498" spans="3:47">
      <c r="C7498" s="20"/>
      <c r="Z7498" s="20"/>
      <c r="AG7498" s="20"/>
      <c r="AQ7498" s="19"/>
      <c r="AR7498" s="19"/>
      <c r="AS7498" s="19"/>
      <c r="AT7498" s="19"/>
      <c r="AU7498" s="19"/>
    </row>
    <row r="7499" spans="3:47">
      <c r="C7499" s="20"/>
      <c r="Z7499" s="20"/>
      <c r="AG7499" s="20"/>
      <c r="AQ7499" s="19"/>
      <c r="AR7499" s="19"/>
      <c r="AS7499" s="19"/>
      <c r="AT7499" s="19"/>
      <c r="AU7499" s="19"/>
    </row>
    <row r="7500" spans="3:47">
      <c r="C7500" s="20"/>
      <c r="Z7500" s="20"/>
      <c r="AG7500" s="20"/>
      <c r="AQ7500" s="19"/>
      <c r="AR7500" s="19"/>
      <c r="AS7500" s="19"/>
      <c r="AT7500" s="19"/>
      <c r="AU7500" s="19"/>
    </row>
    <row r="7501" spans="3:47">
      <c r="C7501" s="20"/>
      <c r="Z7501" s="20"/>
      <c r="AG7501" s="20"/>
      <c r="AQ7501" s="19"/>
      <c r="AR7501" s="19"/>
      <c r="AS7501" s="19"/>
      <c r="AT7501" s="19"/>
      <c r="AU7501" s="19"/>
    </row>
    <row r="7502" spans="3:47">
      <c r="C7502" s="20"/>
      <c r="Z7502" s="20"/>
      <c r="AG7502" s="20"/>
      <c r="AQ7502" s="19"/>
      <c r="AR7502" s="19"/>
      <c r="AS7502" s="19"/>
      <c r="AT7502" s="19"/>
      <c r="AU7502" s="19"/>
    </row>
    <row r="7503" spans="3:47">
      <c r="C7503" s="20"/>
      <c r="Z7503" s="20"/>
      <c r="AG7503" s="20"/>
      <c r="AQ7503" s="19"/>
      <c r="AR7503" s="19"/>
      <c r="AS7503" s="19"/>
      <c r="AT7503" s="19"/>
      <c r="AU7503" s="19"/>
    </row>
    <row r="7504" spans="3:47">
      <c r="C7504" s="20"/>
      <c r="Z7504" s="20"/>
      <c r="AG7504" s="20"/>
      <c r="AQ7504" s="19"/>
      <c r="AR7504" s="19"/>
      <c r="AS7504" s="19"/>
      <c r="AT7504" s="19"/>
      <c r="AU7504" s="19"/>
    </row>
    <row r="7505" spans="3:47">
      <c r="C7505" s="20"/>
      <c r="Z7505" s="20"/>
      <c r="AG7505" s="20"/>
      <c r="AQ7505" s="19"/>
      <c r="AR7505" s="19"/>
      <c r="AS7505" s="19"/>
      <c r="AT7505" s="19"/>
      <c r="AU7505" s="19"/>
    </row>
    <row r="7506" spans="3:47">
      <c r="C7506" s="20"/>
      <c r="Z7506" s="20"/>
      <c r="AG7506" s="20"/>
      <c r="AQ7506" s="19"/>
      <c r="AR7506" s="19"/>
      <c r="AS7506" s="19"/>
      <c r="AT7506" s="19"/>
      <c r="AU7506" s="19"/>
    </row>
    <row r="7507" spans="3:47">
      <c r="C7507" s="20"/>
      <c r="Z7507" s="20"/>
      <c r="AG7507" s="20"/>
      <c r="AQ7507" s="19"/>
      <c r="AR7507" s="19"/>
      <c r="AS7507" s="19"/>
      <c r="AT7507" s="19"/>
      <c r="AU7507" s="19"/>
    </row>
    <row r="7508" spans="3:47">
      <c r="C7508" s="20"/>
      <c r="Z7508" s="20"/>
      <c r="AG7508" s="20"/>
      <c r="AQ7508" s="19"/>
      <c r="AR7508" s="19"/>
      <c r="AS7508" s="19"/>
      <c r="AT7508" s="19"/>
      <c r="AU7508" s="19"/>
    </row>
    <row r="7509" spans="3:47">
      <c r="C7509" s="20"/>
      <c r="Z7509" s="20"/>
      <c r="AG7509" s="20"/>
      <c r="AQ7509" s="19"/>
      <c r="AR7509" s="19"/>
      <c r="AS7509" s="19"/>
      <c r="AT7509" s="19"/>
      <c r="AU7509" s="19"/>
    </row>
    <row r="7510" spans="3:47">
      <c r="C7510" s="20"/>
      <c r="Z7510" s="20"/>
      <c r="AG7510" s="20"/>
      <c r="AQ7510" s="19"/>
      <c r="AR7510" s="19"/>
      <c r="AS7510" s="19"/>
      <c r="AT7510" s="19"/>
      <c r="AU7510" s="19"/>
    </row>
    <row r="7511" spans="3:47">
      <c r="C7511" s="20"/>
      <c r="Z7511" s="20"/>
      <c r="AG7511" s="20"/>
      <c r="AQ7511" s="19"/>
      <c r="AR7511" s="19"/>
      <c r="AS7511" s="19"/>
      <c r="AT7511" s="19"/>
      <c r="AU7511" s="19"/>
    </row>
    <row r="7512" spans="3:47">
      <c r="C7512" s="20"/>
      <c r="Z7512" s="20"/>
      <c r="AG7512" s="20"/>
      <c r="AQ7512" s="19"/>
      <c r="AR7512" s="19"/>
      <c r="AS7512" s="19"/>
      <c r="AT7512" s="19"/>
      <c r="AU7512" s="19"/>
    </row>
    <row r="7513" spans="3:47">
      <c r="C7513" s="20"/>
      <c r="Z7513" s="20"/>
      <c r="AG7513" s="20"/>
      <c r="AQ7513" s="19"/>
      <c r="AR7513" s="19"/>
      <c r="AS7513" s="19"/>
      <c r="AT7513" s="19"/>
      <c r="AU7513" s="19"/>
    </row>
    <row r="7514" spans="3:47">
      <c r="C7514" s="20"/>
      <c r="Z7514" s="20"/>
      <c r="AG7514" s="20"/>
      <c r="AQ7514" s="19"/>
      <c r="AR7514" s="19"/>
      <c r="AS7514" s="19"/>
      <c r="AT7514" s="19"/>
      <c r="AU7514" s="19"/>
    </row>
    <row r="7515" spans="3:47">
      <c r="C7515" s="20"/>
      <c r="Z7515" s="20"/>
      <c r="AG7515" s="20"/>
      <c r="AQ7515" s="19"/>
      <c r="AR7515" s="19"/>
      <c r="AS7515" s="19"/>
      <c r="AT7515" s="19"/>
      <c r="AU7515" s="19"/>
    </row>
    <row r="7516" spans="3:47">
      <c r="C7516" s="20"/>
      <c r="Z7516" s="20"/>
      <c r="AG7516" s="20"/>
      <c r="AQ7516" s="19"/>
      <c r="AR7516" s="19"/>
      <c r="AS7516" s="19"/>
      <c r="AT7516" s="19"/>
      <c r="AU7516" s="19"/>
    </row>
    <row r="7517" spans="3:47">
      <c r="C7517" s="20"/>
      <c r="Z7517" s="20"/>
      <c r="AG7517" s="20"/>
      <c r="AQ7517" s="19"/>
      <c r="AR7517" s="19"/>
      <c r="AS7517" s="19"/>
      <c r="AT7517" s="19"/>
      <c r="AU7517" s="19"/>
    </row>
    <row r="7518" spans="3:47">
      <c r="C7518" s="20"/>
      <c r="Z7518" s="20"/>
      <c r="AG7518" s="20"/>
      <c r="AQ7518" s="19"/>
      <c r="AR7518" s="19"/>
      <c r="AS7518" s="19"/>
      <c r="AT7518" s="19"/>
      <c r="AU7518" s="19"/>
    </row>
    <row r="7519" spans="3:47">
      <c r="C7519" s="20"/>
      <c r="Z7519" s="20"/>
      <c r="AG7519" s="20"/>
      <c r="AQ7519" s="19"/>
      <c r="AR7519" s="19"/>
      <c r="AS7519" s="19"/>
      <c r="AT7519" s="19"/>
      <c r="AU7519" s="19"/>
    </row>
    <row r="7520" spans="3:47">
      <c r="C7520" s="20"/>
      <c r="Z7520" s="20"/>
      <c r="AG7520" s="20"/>
      <c r="AQ7520" s="19"/>
      <c r="AR7520" s="19"/>
      <c r="AS7520" s="19"/>
      <c r="AT7520" s="19"/>
      <c r="AU7520" s="19"/>
    </row>
    <row r="7521" spans="3:47">
      <c r="C7521" s="20"/>
      <c r="Z7521" s="20"/>
      <c r="AG7521" s="20"/>
      <c r="AQ7521" s="19"/>
      <c r="AR7521" s="19"/>
      <c r="AS7521" s="19"/>
      <c r="AT7521" s="19"/>
      <c r="AU7521" s="19"/>
    </row>
    <row r="7522" spans="3:47">
      <c r="C7522" s="20"/>
      <c r="Z7522" s="20"/>
      <c r="AG7522" s="20"/>
      <c r="AQ7522" s="19"/>
      <c r="AR7522" s="19"/>
      <c r="AS7522" s="19"/>
      <c r="AT7522" s="19"/>
      <c r="AU7522" s="19"/>
    </row>
    <row r="7523" spans="3:47">
      <c r="C7523" s="20"/>
      <c r="Z7523" s="20"/>
      <c r="AG7523" s="20"/>
      <c r="AQ7523" s="19"/>
      <c r="AR7523" s="19"/>
      <c r="AS7523" s="19"/>
      <c r="AT7523" s="19"/>
      <c r="AU7523" s="19"/>
    </row>
    <row r="7524" spans="3:47">
      <c r="C7524" s="20"/>
      <c r="Z7524" s="20"/>
      <c r="AG7524" s="20"/>
      <c r="AQ7524" s="19"/>
      <c r="AR7524" s="19"/>
      <c r="AS7524" s="19"/>
      <c r="AT7524" s="19"/>
      <c r="AU7524" s="19"/>
    </row>
    <row r="7525" spans="3:47">
      <c r="C7525" s="20"/>
      <c r="Z7525" s="20"/>
      <c r="AG7525" s="20"/>
      <c r="AQ7525" s="19"/>
      <c r="AR7525" s="19"/>
      <c r="AS7525" s="19"/>
      <c r="AT7525" s="19"/>
      <c r="AU7525" s="19"/>
    </row>
    <row r="7526" spans="3:47">
      <c r="C7526" s="20"/>
      <c r="Z7526" s="20"/>
      <c r="AG7526" s="20"/>
      <c r="AQ7526" s="19"/>
      <c r="AR7526" s="19"/>
      <c r="AS7526" s="19"/>
      <c r="AT7526" s="19"/>
      <c r="AU7526" s="19"/>
    </row>
    <row r="7527" spans="3:47">
      <c r="C7527" s="20"/>
      <c r="Z7527" s="20"/>
      <c r="AG7527" s="20"/>
      <c r="AQ7527" s="19"/>
      <c r="AR7527" s="19"/>
      <c r="AS7527" s="19"/>
      <c r="AT7527" s="19"/>
      <c r="AU7527" s="19"/>
    </row>
    <row r="7528" spans="3:47">
      <c r="C7528" s="20"/>
      <c r="Z7528" s="20"/>
      <c r="AG7528" s="20"/>
      <c r="AQ7528" s="19"/>
      <c r="AR7528" s="19"/>
      <c r="AS7528" s="19"/>
      <c r="AT7528" s="19"/>
      <c r="AU7528" s="19"/>
    </row>
    <row r="7529" spans="3:47">
      <c r="C7529" s="20"/>
      <c r="Z7529" s="20"/>
      <c r="AG7529" s="20"/>
      <c r="AQ7529" s="19"/>
      <c r="AR7529" s="19"/>
      <c r="AS7529" s="19"/>
      <c r="AT7529" s="19"/>
      <c r="AU7529" s="19"/>
    </row>
    <row r="7530" spans="3:47">
      <c r="C7530" s="20"/>
      <c r="Z7530" s="20"/>
      <c r="AG7530" s="20"/>
      <c r="AQ7530" s="19"/>
      <c r="AR7530" s="19"/>
      <c r="AS7530" s="19"/>
      <c r="AT7530" s="19"/>
      <c r="AU7530" s="19"/>
    </row>
    <row r="7531" spans="3:47">
      <c r="C7531" s="20"/>
      <c r="Z7531" s="20"/>
      <c r="AG7531" s="20"/>
      <c r="AQ7531" s="19"/>
      <c r="AR7531" s="19"/>
      <c r="AS7531" s="19"/>
      <c r="AT7531" s="19"/>
      <c r="AU7531" s="19"/>
    </row>
    <row r="7532" spans="3:47">
      <c r="C7532" s="20"/>
      <c r="Z7532" s="20"/>
      <c r="AG7532" s="20"/>
      <c r="AQ7532" s="19"/>
      <c r="AR7532" s="19"/>
      <c r="AS7532" s="19"/>
      <c r="AT7532" s="19"/>
      <c r="AU7532" s="19"/>
    </row>
    <row r="7533" spans="3:47">
      <c r="C7533" s="20"/>
      <c r="Z7533" s="20"/>
      <c r="AG7533" s="20"/>
      <c r="AQ7533" s="19"/>
      <c r="AR7533" s="19"/>
      <c r="AS7533" s="19"/>
      <c r="AT7533" s="19"/>
      <c r="AU7533" s="19"/>
    </row>
    <row r="7534" spans="3:47">
      <c r="C7534" s="20"/>
      <c r="Z7534" s="20"/>
      <c r="AG7534" s="20"/>
      <c r="AQ7534" s="19"/>
      <c r="AR7534" s="19"/>
      <c r="AS7534" s="19"/>
      <c r="AT7534" s="19"/>
      <c r="AU7534" s="19"/>
    </row>
    <row r="7535" spans="3:47">
      <c r="C7535" s="20"/>
      <c r="Z7535" s="20"/>
      <c r="AG7535" s="20"/>
      <c r="AQ7535" s="19"/>
      <c r="AR7535" s="19"/>
      <c r="AS7535" s="19"/>
      <c r="AT7535" s="19"/>
      <c r="AU7535" s="19"/>
    </row>
    <row r="7536" spans="3:47">
      <c r="C7536" s="20"/>
      <c r="Z7536" s="20"/>
      <c r="AG7536" s="20"/>
      <c r="AQ7536" s="19"/>
      <c r="AR7536" s="19"/>
      <c r="AS7536" s="19"/>
      <c r="AT7536" s="19"/>
      <c r="AU7536" s="19"/>
    </row>
    <row r="7537" spans="3:47">
      <c r="C7537" s="20"/>
      <c r="Z7537" s="20"/>
      <c r="AG7537" s="20"/>
      <c r="AQ7537" s="19"/>
      <c r="AR7537" s="19"/>
      <c r="AS7537" s="19"/>
      <c r="AT7537" s="19"/>
      <c r="AU7537" s="19"/>
    </row>
    <row r="7538" spans="3:47">
      <c r="C7538" s="20"/>
      <c r="Z7538" s="20"/>
      <c r="AG7538" s="20"/>
      <c r="AQ7538" s="19"/>
      <c r="AR7538" s="19"/>
      <c r="AS7538" s="19"/>
      <c r="AT7538" s="19"/>
      <c r="AU7538" s="19"/>
    </row>
    <row r="7539" spans="3:47">
      <c r="C7539" s="20"/>
      <c r="Z7539" s="20"/>
      <c r="AG7539" s="20"/>
      <c r="AQ7539" s="19"/>
      <c r="AR7539" s="19"/>
      <c r="AS7539" s="19"/>
      <c r="AT7539" s="19"/>
      <c r="AU7539" s="19"/>
    </row>
    <row r="7540" spans="3:47">
      <c r="C7540" s="20"/>
      <c r="Z7540" s="20"/>
      <c r="AG7540" s="20"/>
      <c r="AQ7540" s="19"/>
      <c r="AR7540" s="19"/>
      <c r="AS7540" s="19"/>
      <c r="AT7540" s="19"/>
      <c r="AU7540" s="19"/>
    </row>
    <row r="7541" spans="3:47">
      <c r="C7541" s="20"/>
      <c r="Z7541" s="20"/>
      <c r="AG7541" s="20"/>
      <c r="AQ7541" s="19"/>
      <c r="AR7541" s="19"/>
      <c r="AS7541" s="19"/>
      <c r="AT7541" s="19"/>
      <c r="AU7541" s="19"/>
    </row>
    <row r="7542" spans="3:47">
      <c r="C7542" s="20"/>
      <c r="Z7542" s="20"/>
      <c r="AG7542" s="20"/>
      <c r="AQ7542" s="19"/>
      <c r="AR7542" s="19"/>
      <c r="AS7542" s="19"/>
      <c r="AT7542" s="19"/>
      <c r="AU7542" s="19"/>
    </row>
    <row r="7543" spans="3:47">
      <c r="C7543" s="20"/>
      <c r="Z7543" s="20"/>
      <c r="AG7543" s="20"/>
      <c r="AQ7543" s="19"/>
      <c r="AR7543" s="19"/>
      <c r="AS7543" s="19"/>
      <c r="AT7543" s="19"/>
      <c r="AU7543" s="19"/>
    </row>
    <row r="7544" spans="3:47">
      <c r="C7544" s="20"/>
      <c r="Z7544" s="20"/>
      <c r="AG7544" s="20"/>
      <c r="AQ7544" s="19"/>
      <c r="AR7544" s="19"/>
      <c r="AS7544" s="19"/>
      <c r="AT7544" s="19"/>
      <c r="AU7544" s="19"/>
    </row>
    <row r="7545" spans="3:47">
      <c r="C7545" s="20"/>
      <c r="Z7545" s="20"/>
      <c r="AG7545" s="20"/>
      <c r="AQ7545" s="19"/>
      <c r="AR7545" s="19"/>
      <c r="AS7545" s="19"/>
      <c r="AT7545" s="19"/>
      <c r="AU7545" s="19"/>
    </row>
    <row r="7546" spans="3:47">
      <c r="C7546" s="20"/>
      <c r="Z7546" s="20"/>
      <c r="AG7546" s="20"/>
      <c r="AQ7546" s="19"/>
      <c r="AR7546" s="19"/>
      <c r="AS7546" s="19"/>
      <c r="AT7546" s="19"/>
      <c r="AU7546" s="19"/>
    </row>
    <row r="7547" spans="3:47">
      <c r="C7547" s="20"/>
      <c r="Z7547" s="20"/>
      <c r="AG7547" s="20"/>
      <c r="AQ7547" s="19"/>
      <c r="AR7547" s="19"/>
      <c r="AS7547" s="19"/>
      <c r="AT7547" s="19"/>
      <c r="AU7547" s="19"/>
    </row>
    <row r="7548" spans="3:47">
      <c r="C7548" s="20"/>
      <c r="Z7548" s="20"/>
      <c r="AG7548" s="20"/>
      <c r="AQ7548" s="19"/>
      <c r="AR7548" s="19"/>
      <c r="AS7548" s="19"/>
      <c r="AT7548" s="19"/>
      <c r="AU7548" s="19"/>
    </row>
    <row r="7549" spans="3:47">
      <c r="C7549" s="20"/>
      <c r="Z7549" s="20"/>
      <c r="AG7549" s="20"/>
      <c r="AQ7549" s="19"/>
      <c r="AR7549" s="19"/>
      <c r="AS7549" s="19"/>
      <c r="AT7549" s="19"/>
      <c r="AU7549" s="19"/>
    </row>
    <row r="7550" spans="3:47">
      <c r="C7550" s="20"/>
      <c r="Z7550" s="20"/>
      <c r="AG7550" s="20"/>
      <c r="AQ7550" s="19"/>
      <c r="AR7550" s="19"/>
      <c r="AS7550" s="19"/>
      <c r="AT7550" s="19"/>
      <c r="AU7550" s="19"/>
    </row>
    <row r="7551" spans="3:47">
      <c r="C7551" s="20"/>
      <c r="Z7551" s="20"/>
      <c r="AG7551" s="20"/>
      <c r="AQ7551" s="19"/>
      <c r="AR7551" s="19"/>
      <c r="AS7551" s="19"/>
      <c r="AT7551" s="19"/>
      <c r="AU7551" s="19"/>
    </row>
    <row r="7552" spans="3:47">
      <c r="C7552" s="20"/>
      <c r="Z7552" s="20"/>
      <c r="AG7552" s="20"/>
      <c r="AQ7552" s="19"/>
      <c r="AR7552" s="19"/>
      <c r="AS7552" s="19"/>
      <c r="AT7552" s="19"/>
      <c r="AU7552" s="19"/>
    </row>
    <row r="7553" spans="3:47">
      <c r="C7553" s="20"/>
      <c r="Z7553" s="20"/>
      <c r="AG7553" s="20"/>
      <c r="AQ7553" s="19"/>
      <c r="AR7553" s="19"/>
      <c r="AS7553" s="19"/>
      <c r="AT7553" s="19"/>
      <c r="AU7553" s="19"/>
    </row>
    <row r="7554" spans="3:47">
      <c r="C7554" s="20"/>
      <c r="Z7554" s="20"/>
      <c r="AG7554" s="20"/>
      <c r="AQ7554" s="19"/>
      <c r="AR7554" s="19"/>
      <c r="AS7554" s="19"/>
      <c r="AT7554" s="19"/>
      <c r="AU7554" s="19"/>
    </row>
    <row r="7555" spans="3:47">
      <c r="C7555" s="20"/>
      <c r="Z7555" s="20"/>
      <c r="AG7555" s="20"/>
      <c r="AQ7555" s="19"/>
      <c r="AR7555" s="19"/>
      <c r="AS7555" s="19"/>
      <c r="AT7555" s="19"/>
      <c r="AU7555" s="19"/>
    </row>
    <row r="7556" spans="3:47">
      <c r="C7556" s="20"/>
      <c r="Z7556" s="20"/>
      <c r="AG7556" s="20"/>
      <c r="AQ7556" s="19"/>
      <c r="AR7556" s="19"/>
      <c r="AS7556" s="19"/>
      <c r="AT7556" s="19"/>
      <c r="AU7556" s="19"/>
    </row>
    <row r="7557" spans="3:47">
      <c r="C7557" s="20"/>
      <c r="Z7557" s="20"/>
      <c r="AG7557" s="20"/>
      <c r="AQ7557" s="19"/>
      <c r="AR7557" s="19"/>
      <c r="AS7557" s="19"/>
      <c r="AT7557" s="19"/>
      <c r="AU7557" s="19"/>
    </row>
    <row r="7558" spans="3:47">
      <c r="C7558" s="20"/>
      <c r="Z7558" s="20"/>
      <c r="AG7558" s="20"/>
      <c r="AQ7558" s="19"/>
      <c r="AR7558" s="19"/>
      <c r="AS7558" s="19"/>
      <c r="AT7558" s="19"/>
      <c r="AU7558" s="19"/>
    </row>
    <row r="7559" spans="3:47">
      <c r="C7559" s="20"/>
      <c r="Z7559" s="20"/>
      <c r="AG7559" s="20"/>
      <c r="AQ7559" s="19"/>
      <c r="AR7559" s="19"/>
      <c r="AS7559" s="19"/>
      <c r="AT7559" s="19"/>
      <c r="AU7559" s="19"/>
    </row>
    <row r="7560" spans="3:47">
      <c r="C7560" s="20"/>
      <c r="Z7560" s="20"/>
      <c r="AG7560" s="20"/>
      <c r="AQ7560" s="19"/>
      <c r="AR7560" s="19"/>
      <c r="AS7560" s="19"/>
      <c r="AT7560" s="19"/>
      <c r="AU7560" s="19"/>
    </row>
    <row r="7561" spans="3:47">
      <c r="C7561" s="20"/>
      <c r="Z7561" s="20"/>
      <c r="AG7561" s="20"/>
      <c r="AQ7561" s="19"/>
      <c r="AR7561" s="19"/>
      <c r="AS7561" s="19"/>
      <c r="AT7561" s="19"/>
      <c r="AU7561" s="19"/>
    </row>
    <row r="7562" spans="3:47">
      <c r="C7562" s="20"/>
      <c r="Z7562" s="20"/>
      <c r="AG7562" s="20"/>
      <c r="AQ7562" s="19"/>
      <c r="AR7562" s="19"/>
      <c r="AS7562" s="19"/>
      <c r="AT7562" s="19"/>
      <c r="AU7562" s="19"/>
    </row>
    <row r="7563" spans="3:47">
      <c r="C7563" s="20"/>
      <c r="Z7563" s="20"/>
      <c r="AG7563" s="20"/>
      <c r="AQ7563" s="19"/>
      <c r="AR7563" s="19"/>
      <c r="AS7563" s="19"/>
      <c r="AT7563" s="19"/>
      <c r="AU7563" s="19"/>
    </row>
    <row r="7564" spans="3:47">
      <c r="C7564" s="20"/>
      <c r="Z7564" s="20"/>
      <c r="AG7564" s="20"/>
      <c r="AQ7564" s="19"/>
      <c r="AR7564" s="19"/>
      <c r="AS7564" s="19"/>
      <c r="AT7564" s="19"/>
      <c r="AU7564" s="19"/>
    </row>
    <row r="7565" spans="3:47">
      <c r="C7565" s="20"/>
      <c r="Z7565" s="20"/>
      <c r="AG7565" s="20"/>
      <c r="AQ7565" s="19"/>
      <c r="AR7565" s="19"/>
      <c r="AS7565" s="19"/>
      <c r="AT7565" s="19"/>
      <c r="AU7565" s="19"/>
    </row>
    <row r="7566" spans="3:47">
      <c r="C7566" s="20"/>
      <c r="Z7566" s="20"/>
      <c r="AG7566" s="20"/>
      <c r="AQ7566" s="19"/>
      <c r="AR7566" s="19"/>
      <c r="AS7566" s="19"/>
      <c r="AT7566" s="19"/>
      <c r="AU7566" s="19"/>
    </row>
    <row r="7567" spans="3:47">
      <c r="C7567" s="20"/>
      <c r="Z7567" s="20"/>
      <c r="AG7567" s="20"/>
      <c r="AQ7567" s="19"/>
      <c r="AR7567" s="19"/>
      <c r="AS7567" s="19"/>
      <c r="AT7567" s="19"/>
      <c r="AU7567" s="19"/>
    </row>
    <row r="7568" spans="3:47">
      <c r="C7568" s="20"/>
      <c r="Z7568" s="20"/>
      <c r="AG7568" s="20"/>
      <c r="AQ7568" s="19"/>
      <c r="AR7568" s="19"/>
      <c r="AS7568" s="19"/>
      <c r="AT7568" s="19"/>
      <c r="AU7568" s="19"/>
    </row>
    <row r="7569" spans="3:47">
      <c r="C7569" s="20"/>
      <c r="Z7569" s="20"/>
      <c r="AG7569" s="20"/>
      <c r="AQ7569" s="19"/>
      <c r="AR7569" s="19"/>
      <c r="AS7569" s="19"/>
      <c r="AT7569" s="19"/>
      <c r="AU7569" s="19"/>
    </row>
    <row r="7570" spans="3:47">
      <c r="C7570" s="20"/>
      <c r="Z7570" s="20"/>
      <c r="AG7570" s="20"/>
      <c r="AQ7570" s="19"/>
      <c r="AR7570" s="19"/>
      <c r="AS7570" s="19"/>
      <c r="AT7570" s="19"/>
      <c r="AU7570" s="19"/>
    </row>
    <row r="7571" spans="3:47">
      <c r="C7571" s="20"/>
      <c r="Z7571" s="20"/>
      <c r="AG7571" s="20"/>
      <c r="AQ7571" s="19"/>
      <c r="AR7571" s="19"/>
      <c r="AS7571" s="19"/>
      <c r="AT7571" s="19"/>
      <c r="AU7571" s="19"/>
    </row>
    <row r="7572" spans="3:47">
      <c r="C7572" s="20"/>
      <c r="Z7572" s="20"/>
      <c r="AG7572" s="20"/>
      <c r="AQ7572" s="19"/>
      <c r="AR7572" s="19"/>
      <c r="AS7572" s="19"/>
      <c r="AT7572" s="19"/>
      <c r="AU7572" s="19"/>
    </row>
    <row r="7573" spans="3:47">
      <c r="C7573" s="20"/>
      <c r="Z7573" s="20"/>
      <c r="AG7573" s="20"/>
      <c r="AQ7573" s="19"/>
      <c r="AR7573" s="19"/>
      <c r="AS7573" s="19"/>
      <c r="AT7573" s="19"/>
      <c r="AU7573" s="19"/>
    </row>
    <row r="7574" spans="3:47">
      <c r="C7574" s="20"/>
      <c r="Z7574" s="20"/>
      <c r="AG7574" s="20"/>
      <c r="AQ7574" s="19"/>
      <c r="AR7574" s="19"/>
      <c r="AS7574" s="19"/>
      <c r="AT7574" s="19"/>
      <c r="AU7574" s="19"/>
    </row>
    <row r="7575" spans="3:47">
      <c r="C7575" s="20"/>
      <c r="Z7575" s="20"/>
      <c r="AG7575" s="20"/>
      <c r="AQ7575" s="19"/>
      <c r="AR7575" s="19"/>
      <c r="AS7575" s="19"/>
      <c r="AT7575" s="19"/>
      <c r="AU7575" s="19"/>
    </row>
    <row r="7576" spans="3:47">
      <c r="C7576" s="20"/>
      <c r="Z7576" s="20"/>
      <c r="AG7576" s="20"/>
      <c r="AQ7576" s="19"/>
      <c r="AR7576" s="19"/>
      <c r="AS7576" s="19"/>
      <c r="AT7576" s="19"/>
      <c r="AU7576" s="19"/>
    </row>
    <row r="7577" spans="3:47">
      <c r="C7577" s="20"/>
      <c r="Z7577" s="20"/>
      <c r="AG7577" s="20"/>
      <c r="AQ7577" s="19"/>
      <c r="AR7577" s="19"/>
      <c r="AS7577" s="19"/>
      <c r="AT7577" s="19"/>
      <c r="AU7577" s="19"/>
    </row>
    <row r="7578" spans="3:47">
      <c r="C7578" s="20"/>
      <c r="Z7578" s="20"/>
      <c r="AG7578" s="20"/>
      <c r="AQ7578" s="19"/>
      <c r="AR7578" s="19"/>
      <c r="AS7578" s="19"/>
      <c r="AT7578" s="19"/>
      <c r="AU7578" s="19"/>
    </row>
    <row r="7579" spans="3:47">
      <c r="C7579" s="20"/>
      <c r="Z7579" s="20"/>
      <c r="AG7579" s="20"/>
      <c r="AQ7579" s="19"/>
      <c r="AR7579" s="19"/>
      <c r="AS7579" s="19"/>
      <c r="AT7579" s="19"/>
      <c r="AU7579" s="19"/>
    </row>
    <row r="7580" spans="3:47">
      <c r="C7580" s="20"/>
      <c r="Z7580" s="20"/>
      <c r="AG7580" s="20"/>
      <c r="AQ7580" s="19"/>
      <c r="AR7580" s="19"/>
      <c r="AS7580" s="19"/>
      <c r="AT7580" s="19"/>
      <c r="AU7580" s="19"/>
    </row>
    <row r="7581" spans="3:47">
      <c r="C7581" s="20"/>
      <c r="Z7581" s="20"/>
      <c r="AG7581" s="20"/>
      <c r="AQ7581" s="19"/>
      <c r="AR7581" s="19"/>
      <c r="AS7581" s="19"/>
      <c r="AT7581" s="19"/>
      <c r="AU7581" s="19"/>
    </row>
    <row r="7582" spans="3:47">
      <c r="C7582" s="20"/>
      <c r="Z7582" s="20"/>
      <c r="AG7582" s="20"/>
      <c r="AQ7582" s="19"/>
      <c r="AR7582" s="19"/>
      <c r="AS7582" s="19"/>
      <c r="AT7582" s="19"/>
      <c r="AU7582" s="19"/>
    </row>
    <row r="7583" spans="3:47">
      <c r="C7583" s="20"/>
      <c r="Z7583" s="20"/>
      <c r="AG7583" s="20"/>
      <c r="AQ7583" s="19"/>
      <c r="AR7583" s="19"/>
      <c r="AS7583" s="19"/>
      <c r="AT7583" s="19"/>
      <c r="AU7583" s="19"/>
    </row>
    <row r="7584" spans="3:47">
      <c r="C7584" s="20"/>
      <c r="Z7584" s="20"/>
      <c r="AG7584" s="20"/>
      <c r="AQ7584" s="19"/>
      <c r="AR7584" s="19"/>
      <c r="AS7584" s="19"/>
      <c r="AT7584" s="19"/>
      <c r="AU7584" s="19"/>
    </row>
    <row r="7585" spans="3:47">
      <c r="C7585" s="20"/>
      <c r="Z7585" s="20"/>
      <c r="AG7585" s="20"/>
      <c r="AQ7585" s="19"/>
      <c r="AR7585" s="19"/>
      <c r="AS7585" s="19"/>
      <c r="AT7585" s="19"/>
      <c r="AU7585" s="19"/>
    </row>
    <row r="7586" spans="3:47">
      <c r="C7586" s="20"/>
      <c r="Z7586" s="20"/>
      <c r="AG7586" s="20"/>
      <c r="AQ7586" s="19"/>
      <c r="AR7586" s="19"/>
      <c r="AS7586" s="19"/>
      <c r="AT7586" s="19"/>
      <c r="AU7586" s="19"/>
    </row>
    <row r="7587" spans="3:47">
      <c r="C7587" s="20"/>
      <c r="Z7587" s="20"/>
      <c r="AG7587" s="20"/>
      <c r="AQ7587" s="19"/>
      <c r="AR7587" s="19"/>
      <c r="AS7587" s="19"/>
      <c r="AT7587" s="19"/>
      <c r="AU7587" s="19"/>
    </row>
    <row r="7588" spans="3:47">
      <c r="C7588" s="20"/>
      <c r="Z7588" s="20"/>
      <c r="AG7588" s="20"/>
      <c r="AQ7588" s="19"/>
      <c r="AR7588" s="19"/>
      <c r="AS7588" s="19"/>
      <c r="AT7588" s="19"/>
      <c r="AU7588" s="19"/>
    </row>
    <row r="7589" spans="3:47">
      <c r="C7589" s="20"/>
      <c r="Z7589" s="20"/>
      <c r="AG7589" s="20"/>
      <c r="AQ7589" s="19"/>
      <c r="AR7589" s="19"/>
      <c r="AS7589" s="19"/>
      <c r="AT7589" s="19"/>
      <c r="AU7589" s="19"/>
    </row>
    <row r="7590" spans="3:47">
      <c r="C7590" s="20"/>
      <c r="Z7590" s="20"/>
      <c r="AG7590" s="20"/>
      <c r="AQ7590" s="19"/>
      <c r="AR7590" s="19"/>
      <c r="AS7590" s="19"/>
      <c r="AT7590" s="19"/>
      <c r="AU7590" s="19"/>
    </row>
    <row r="7591" spans="3:47">
      <c r="C7591" s="20"/>
      <c r="Z7591" s="20"/>
      <c r="AG7591" s="20"/>
      <c r="AQ7591" s="19"/>
      <c r="AR7591" s="19"/>
      <c r="AS7591" s="19"/>
      <c r="AT7591" s="19"/>
      <c r="AU7591" s="19"/>
    </row>
    <row r="7592" spans="3:47">
      <c r="C7592" s="20"/>
      <c r="Z7592" s="20"/>
      <c r="AG7592" s="20"/>
      <c r="AQ7592" s="19"/>
      <c r="AR7592" s="19"/>
      <c r="AS7592" s="19"/>
      <c r="AT7592" s="19"/>
      <c r="AU7592" s="19"/>
    </row>
    <row r="7593" spans="3:47">
      <c r="C7593" s="20"/>
      <c r="Z7593" s="20"/>
      <c r="AG7593" s="20"/>
      <c r="AQ7593" s="19"/>
      <c r="AR7593" s="19"/>
      <c r="AS7593" s="19"/>
      <c r="AT7593" s="19"/>
      <c r="AU7593" s="19"/>
    </row>
    <row r="7594" spans="3:47">
      <c r="C7594" s="20"/>
      <c r="Z7594" s="20"/>
      <c r="AG7594" s="20"/>
      <c r="AQ7594" s="19"/>
      <c r="AR7594" s="19"/>
      <c r="AS7594" s="19"/>
      <c r="AT7594" s="19"/>
      <c r="AU7594" s="19"/>
    </row>
    <row r="7595" spans="3:47">
      <c r="C7595" s="20"/>
      <c r="Z7595" s="20"/>
      <c r="AG7595" s="20"/>
      <c r="AQ7595" s="19"/>
      <c r="AR7595" s="19"/>
      <c r="AS7595" s="19"/>
      <c r="AT7595" s="19"/>
      <c r="AU7595" s="19"/>
    </row>
    <row r="7596" spans="3:47">
      <c r="C7596" s="20"/>
      <c r="Z7596" s="20"/>
      <c r="AG7596" s="20"/>
      <c r="AQ7596" s="19"/>
      <c r="AR7596" s="19"/>
      <c r="AS7596" s="19"/>
      <c r="AT7596" s="19"/>
      <c r="AU7596" s="19"/>
    </row>
    <row r="7597" spans="3:47">
      <c r="C7597" s="20"/>
      <c r="Z7597" s="20"/>
      <c r="AG7597" s="20"/>
      <c r="AQ7597" s="19"/>
      <c r="AR7597" s="19"/>
      <c r="AS7597" s="19"/>
      <c r="AT7597" s="19"/>
      <c r="AU7597" s="19"/>
    </row>
    <row r="7598" spans="3:47">
      <c r="C7598" s="20"/>
      <c r="Z7598" s="20"/>
      <c r="AG7598" s="20"/>
      <c r="AQ7598" s="19"/>
      <c r="AR7598" s="19"/>
      <c r="AS7598" s="19"/>
      <c r="AT7598" s="19"/>
      <c r="AU7598" s="19"/>
    </row>
    <row r="7599" spans="3:47">
      <c r="C7599" s="20"/>
      <c r="Z7599" s="20"/>
      <c r="AG7599" s="20"/>
      <c r="AQ7599" s="19"/>
      <c r="AR7599" s="19"/>
      <c r="AS7599" s="19"/>
      <c r="AT7599" s="19"/>
      <c r="AU7599" s="19"/>
    </row>
    <row r="7600" spans="3:47">
      <c r="C7600" s="20"/>
      <c r="Z7600" s="20"/>
      <c r="AG7600" s="20"/>
      <c r="AQ7600" s="19"/>
      <c r="AR7600" s="19"/>
      <c r="AS7600" s="19"/>
      <c r="AT7600" s="19"/>
      <c r="AU7600" s="19"/>
    </row>
    <row r="7601" spans="3:47">
      <c r="C7601" s="20"/>
      <c r="Z7601" s="20"/>
      <c r="AG7601" s="20"/>
      <c r="AQ7601" s="19"/>
      <c r="AR7601" s="19"/>
      <c r="AS7601" s="19"/>
      <c r="AT7601" s="19"/>
      <c r="AU7601" s="19"/>
    </row>
    <row r="7602" spans="3:47">
      <c r="C7602" s="20"/>
      <c r="Z7602" s="20"/>
      <c r="AG7602" s="20"/>
      <c r="AQ7602" s="19"/>
      <c r="AR7602" s="19"/>
      <c r="AS7602" s="19"/>
      <c r="AT7602" s="19"/>
      <c r="AU7602" s="19"/>
    </row>
    <row r="7603" spans="3:47">
      <c r="C7603" s="20"/>
      <c r="Z7603" s="20"/>
      <c r="AG7603" s="20"/>
      <c r="AQ7603" s="19"/>
      <c r="AR7603" s="19"/>
      <c r="AS7603" s="19"/>
      <c r="AT7603" s="19"/>
      <c r="AU7603" s="19"/>
    </row>
    <row r="7604" spans="3:47">
      <c r="C7604" s="20"/>
      <c r="Z7604" s="20"/>
      <c r="AG7604" s="20"/>
      <c r="AQ7604" s="19"/>
      <c r="AR7604" s="19"/>
      <c r="AS7604" s="19"/>
      <c r="AT7604" s="19"/>
      <c r="AU7604" s="19"/>
    </row>
    <row r="7605" spans="3:47">
      <c r="C7605" s="20"/>
      <c r="Z7605" s="20"/>
      <c r="AG7605" s="20"/>
      <c r="AQ7605" s="19"/>
      <c r="AR7605" s="19"/>
      <c r="AS7605" s="19"/>
      <c r="AT7605" s="19"/>
      <c r="AU7605" s="19"/>
    </row>
    <row r="7606" spans="3:47">
      <c r="C7606" s="20"/>
      <c r="Z7606" s="20"/>
      <c r="AG7606" s="20"/>
      <c r="AQ7606" s="19"/>
      <c r="AR7606" s="19"/>
      <c r="AS7606" s="19"/>
      <c r="AT7606" s="19"/>
      <c r="AU7606" s="19"/>
    </row>
    <row r="7607" spans="3:47">
      <c r="C7607" s="20"/>
      <c r="Z7607" s="20"/>
      <c r="AG7607" s="20"/>
      <c r="AQ7607" s="19"/>
      <c r="AR7607" s="19"/>
      <c r="AS7607" s="19"/>
      <c r="AT7607" s="19"/>
      <c r="AU7607" s="19"/>
    </row>
    <row r="7608" spans="3:47">
      <c r="C7608" s="20"/>
      <c r="Z7608" s="20"/>
      <c r="AG7608" s="20"/>
      <c r="AQ7608" s="19"/>
      <c r="AR7608" s="19"/>
      <c r="AS7608" s="19"/>
      <c r="AT7608" s="19"/>
      <c r="AU7608" s="19"/>
    </row>
    <row r="7609" spans="3:47">
      <c r="C7609" s="20"/>
      <c r="Z7609" s="20"/>
      <c r="AG7609" s="20"/>
      <c r="AQ7609" s="19"/>
      <c r="AR7609" s="19"/>
      <c r="AS7609" s="19"/>
      <c r="AT7609" s="19"/>
      <c r="AU7609" s="19"/>
    </row>
    <row r="7610" spans="3:47">
      <c r="C7610" s="20"/>
      <c r="Z7610" s="20"/>
      <c r="AG7610" s="20"/>
      <c r="AQ7610" s="19"/>
      <c r="AR7610" s="19"/>
      <c r="AS7610" s="19"/>
      <c r="AT7610" s="19"/>
      <c r="AU7610" s="19"/>
    </row>
    <row r="7611" spans="3:47">
      <c r="C7611" s="20"/>
      <c r="Z7611" s="20"/>
      <c r="AG7611" s="20"/>
      <c r="AQ7611" s="19"/>
      <c r="AR7611" s="19"/>
      <c r="AS7611" s="19"/>
      <c r="AT7611" s="19"/>
      <c r="AU7611" s="19"/>
    </row>
    <row r="7612" spans="3:47">
      <c r="C7612" s="20"/>
      <c r="Z7612" s="20"/>
      <c r="AG7612" s="20"/>
      <c r="AQ7612" s="19"/>
      <c r="AR7612" s="19"/>
      <c r="AS7612" s="19"/>
      <c r="AT7612" s="19"/>
      <c r="AU7612" s="19"/>
    </row>
    <row r="7613" spans="3:47">
      <c r="C7613" s="20"/>
      <c r="Z7613" s="20"/>
      <c r="AG7613" s="20"/>
      <c r="AQ7613" s="19"/>
      <c r="AR7613" s="19"/>
      <c r="AS7613" s="19"/>
      <c r="AT7613" s="19"/>
      <c r="AU7613" s="19"/>
    </row>
    <row r="7614" spans="3:47">
      <c r="C7614" s="20"/>
      <c r="Z7614" s="20"/>
      <c r="AG7614" s="20"/>
      <c r="AQ7614" s="19"/>
      <c r="AR7614" s="19"/>
      <c r="AS7614" s="19"/>
      <c r="AT7614" s="19"/>
      <c r="AU7614" s="19"/>
    </row>
    <row r="7615" spans="3:47">
      <c r="C7615" s="20"/>
      <c r="Z7615" s="20"/>
      <c r="AG7615" s="20"/>
      <c r="AQ7615" s="19"/>
      <c r="AR7615" s="19"/>
      <c r="AS7615" s="19"/>
      <c r="AT7615" s="19"/>
      <c r="AU7615" s="19"/>
    </row>
    <row r="7616" spans="3:47">
      <c r="C7616" s="20"/>
      <c r="Z7616" s="20"/>
      <c r="AG7616" s="20"/>
      <c r="AQ7616" s="19"/>
      <c r="AR7616" s="19"/>
      <c r="AS7616" s="19"/>
      <c r="AT7616" s="19"/>
      <c r="AU7616" s="19"/>
    </row>
    <row r="7617" spans="3:47">
      <c r="C7617" s="20"/>
      <c r="Z7617" s="20"/>
      <c r="AG7617" s="20"/>
      <c r="AQ7617" s="19"/>
      <c r="AR7617" s="19"/>
      <c r="AS7617" s="19"/>
      <c r="AT7617" s="19"/>
      <c r="AU7617" s="19"/>
    </row>
    <row r="7618" spans="3:47">
      <c r="C7618" s="20"/>
      <c r="Z7618" s="20"/>
      <c r="AG7618" s="20"/>
      <c r="AQ7618" s="19"/>
      <c r="AR7618" s="19"/>
      <c r="AS7618" s="19"/>
      <c r="AT7618" s="19"/>
      <c r="AU7618" s="19"/>
    </row>
    <row r="7619" spans="3:47">
      <c r="C7619" s="20"/>
      <c r="Z7619" s="20"/>
      <c r="AG7619" s="20"/>
      <c r="AQ7619" s="19"/>
      <c r="AR7619" s="19"/>
      <c r="AS7619" s="19"/>
      <c r="AT7619" s="19"/>
      <c r="AU7619" s="19"/>
    </row>
    <row r="7620" spans="3:47">
      <c r="C7620" s="20"/>
      <c r="Z7620" s="20"/>
      <c r="AG7620" s="20"/>
      <c r="AQ7620" s="19"/>
      <c r="AR7620" s="19"/>
      <c r="AS7620" s="19"/>
      <c r="AT7620" s="19"/>
      <c r="AU7620" s="19"/>
    </row>
    <row r="7621" spans="3:47">
      <c r="C7621" s="20"/>
      <c r="Z7621" s="20"/>
      <c r="AG7621" s="20"/>
      <c r="AQ7621" s="19"/>
      <c r="AR7621" s="19"/>
      <c r="AS7621" s="19"/>
      <c r="AT7621" s="19"/>
      <c r="AU7621" s="19"/>
    </row>
    <row r="7622" spans="3:47">
      <c r="C7622" s="20"/>
      <c r="Z7622" s="20"/>
      <c r="AG7622" s="20"/>
      <c r="AQ7622" s="19"/>
      <c r="AR7622" s="19"/>
      <c r="AS7622" s="19"/>
      <c r="AT7622" s="19"/>
      <c r="AU7622" s="19"/>
    </row>
    <row r="7623" spans="3:47">
      <c r="C7623" s="20"/>
      <c r="Z7623" s="20"/>
      <c r="AG7623" s="20"/>
      <c r="AQ7623" s="19"/>
      <c r="AR7623" s="19"/>
      <c r="AS7623" s="19"/>
      <c r="AT7623" s="19"/>
      <c r="AU7623" s="19"/>
    </row>
    <row r="7624" spans="3:47">
      <c r="C7624" s="20"/>
      <c r="Z7624" s="20"/>
      <c r="AG7624" s="20"/>
      <c r="AQ7624" s="19"/>
      <c r="AR7624" s="19"/>
      <c r="AS7624" s="19"/>
      <c r="AT7624" s="19"/>
      <c r="AU7624" s="19"/>
    </row>
    <row r="7625" spans="3:47">
      <c r="C7625" s="20"/>
      <c r="Z7625" s="20"/>
      <c r="AG7625" s="20"/>
      <c r="AQ7625" s="19"/>
      <c r="AR7625" s="19"/>
      <c r="AS7625" s="19"/>
      <c r="AT7625" s="19"/>
      <c r="AU7625" s="19"/>
    </row>
    <row r="7626" spans="3:47">
      <c r="C7626" s="20"/>
      <c r="Z7626" s="20"/>
      <c r="AG7626" s="20"/>
      <c r="AQ7626" s="19"/>
      <c r="AR7626" s="19"/>
      <c r="AS7626" s="19"/>
      <c r="AT7626" s="19"/>
      <c r="AU7626" s="19"/>
    </row>
    <row r="7627" spans="3:47">
      <c r="C7627" s="20"/>
      <c r="Z7627" s="20"/>
      <c r="AG7627" s="20"/>
      <c r="AQ7627" s="19"/>
      <c r="AR7627" s="19"/>
      <c r="AS7627" s="19"/>
      <c r="AT7627" s="19"/>
      <c r="AU7627" s="19"/>
    </row>
    <row r="7628" spans="3:47">
      <c r="C7628" s="20"/>
      <c r="Z7628" s="20"/>
      <c r="AG7628" s="20"/>
      <c r="AQ7628" s="19"/>
      <c r="AR7628" s="19"/>
      <c r="AS7628" s="19"/>
      <c r="AT7628" s="19"/>
      <c r="AU7628" s="19"/>
    </row>
    <row r="7629" spans="3:47">
      <c r="C7629" s="20"/>
      <c r="Z7629" s="20"/>
      <c r="AG7629" s="20"/>
      <c r="AQ7629" s="19"/>
      <c r="AR7629" s="19"/>
      <c r="AS7629" s="19"/>
      <c r="AT7629" s="19"/>
      <c r="AU7629" s="19"/>
    </row>
    <row r="7630" spans="3:47">
      <c r="C7630" s="20"/>
      <c r="Z7630" s="20"/>
      <c r="AG7630" s="20"/>
      <c r="AQ7630" s="19"/>
      <c r="AR7630" s="19"/>
      <c r="AS7630" s="19"/>
      <c r="AT7630" s="19"/>
      <c r="AU7630" s="19"/>
    </row>
    <row r="7631" spans="3:47">
      <c r="C7631" s="20"/>
      <c r="Z7631" s="20"/>
      <c r="AG7631" s="20"/>
      <c r="AQ7631" s="19"/>
      <c r="AR7631" s="19"/>
      <c r="AS7631" s="19"/>
      <c r="AT7631" s="19"/>
      <c r="AU7631" s="19"/>
    </row>
    <row r="7632" spans="3:47">
      <c r="C7632" s="20"/>
      <c r="Z7632" s="20"/>
      <c r="AG7632" s="20"/>
      <c r="AQ7632" s="19"/>
      <c r="AR7632" s="19"/>
      <c r="AS7632" s="19"/>
      <c r="AT7632" s="19"/>
      <c r="AU7632" s="19"/>
    </row>
    <row r="7633" spans="3:47">
      <c r="C7633" s="20"/>
      <c r="Z7633" s="20"/>
      <c r="AG7633" s="20"/>
      <c r="AQ7633" s="19"/>
      <c r="AR7633" s="19"/>
      <c r="AS7633" s="19"/>
      <c r="AT7633" s="19"/>
      <c r="AU7633" s="19"/>
    </row>
    <row r="7634" spans="3:47">
      <c r="C7634" s="20"/>
      <c r="Z7634" s="20"/>
      <c r="AG7634" s="20"/>
      <c r="AQ7634" s="19"/>
      <c r="AR7634" s="19"/>
      <c r="AS7634" s="19"/>
      <c r="AT7634" s="19"/>
      <c r="AU7634" s="19"/>
    </row>
    <row r="7635" spans="3:47">
      <c r="C7635" s="20"/>
      <c r="Z7635" s="20"/>
      <c r="AG7635" s="20"/>
      <c r="AQ7635" s="19"/>
      <c r="AR7635" s="19"/>
      <c r="AS7635" s="19"/>
      <c r="AT7635" s="19"/>
      <c r="AU7635" s="19"/>
    </row>
    <row r="7636" spans="3:47">
      <c r="C7636" s="20"/>
      <c r="Z7636" s="20"/>
      <c r="AG7636" s="20"/>
      <c r="AQ7636" s="19"/>
      <c r="AR7636" s="19"/>
      <c r="AS7636" s="19"/>
      <c r="AT7636" s="19"/>
      <c r="AU7636" s="19"/>
    </row>
    <row r="7637" spans="3:47">
      <c r="C7637" s="20"/>
      <c r="Z7637" s="20"/>
      <c r="AG7637" s="20"/>
      <c r="AQ7637" s="19"/>
      <c r="AR7637" s="19"/>
      <c r="AS7637" s="19"/>
      <c r="AT7637" s="19"/>
      <c r="AU7637" s="19"/>
    </row>
    <row r="7638" spans="3:47">
      <c r="C7638" s="20"/>
      <c r="Z7638" s="20"/>
      <c r="AG7638" s="20"/>
      <c r="AQ7638" s="19"/>
      <c r="AR7638" s="19"/>
      <c r="AS7638" s="19"/>
      <c r="AT7638" s="19"/>
      <c r="AU7638" s="19"/>
    </row>
    <row r="7639" spans="3:47">
      <c r="C7639" s="20"/>
      <c r="Z7639" s="20"/>
      <c r="AG7639" s="20"/>
      <c r="AQ7639" s="19"/>
      <c r="AR7639" s="19"/>
      <c r="AS7639" s="19"/>
      <c r="AT7639" s="19"/>
      <c r="AU7639" s="19"/>
    </row>
    <row r="7640" spans="3:47">
      <c r="C7640" s="20"/>
      <c r="Z7640" s="20"/>
      <c r="AG7640" s="20"/>
      <c r="AQ7640" s="19"/>
      <c r="AR7640" s="19"/>
      <c r="AS7640" s="19"/>
      <c r="AT7640" s="19"/>
      <c r="AU7640" s="19"/>
    </row>
    <row r="7641" spans="3:47">
      <c r="C7641" s="20"/>
      <c r="Z7641" s="20"/>
      <c r="AG7641" s="20"/>
      <c r="AQ7641" s="19"/>
      <c r="AR7641" s="19"/>
      <c r="AS7641" s="19"/>
      <c r="AT7641" s="19"/>
      <c r="AU7641" s="19"/>
    </row>
    <row r="7642" spans="3:47">
      <c r="C7642" s="20"/>
      <c r="Z7642" s="20"/>
      <c r="AG7642" s="20"/>
      <c r="AQ7642" s="19"/>
      <c r="AR7642" s="19"/>
      <c r="AS7642" s="19"/>
      <c r="AT7642" s="19"/>
      <c r="AU7642" s="19"/>
    </row>
    <row r="7643" spans="3:47">
      <c r="C7643" s="20"/>
      <c r="Z7643" s="20"/>
      <c r="AG7643" s="20"/>
      <c r="AQ7643" s="19"/>
      <c r="AR7643" s="19"/>
      <c r="AS7643" s="19"/>
      <c r="AT7643" s="19"/>
      <c r="AU7643" s="19"/>
    </row>
    <row r="7644" spans="3:47">
      <c r="C7644" s="20"/>
      <c r="Z7644" s="20"/>
      <c r="AG7644" s="20"/>
      <c r="AQ7644" s="19"/>
      <c r="AR7644" s="19"/>
      <c r="AS7644" s="19"/>
      <c r="AT7644" s="19"/>
      <c r="AU7644" s="19"/>
    </row>
    <row r="7645" spans="3:47">
      <c r="C7645" s="20"/>
      <c r="Z7645" s="20"/>
      <c r="AG7645" s="20"/>
      <c r="AQ7645" s="19"/>
      <c r="AR7645" s="19"/>
      <c r="AS7645" s="19"/>
      <c r="AT7645" s="19"/>
      <c r="AU7645" s="19"/>
    </row>
    <row r="7646" spans="3:47">
      <c r="C7646" s="20"/>
      <c r="Z7646" s="20"/>
      <c r="AG7646" s="20"/>
      <c r="AQ7646" s="19"/>
      <c r="AR7646" s="19"/>
      <c r="AS7646" s="19"/>
      <c r="AT7646" s="19"/>
      <c r="AU7646" s="19"/>
    </row>
    <row r="7647" spans="3:47">
      <c r="C7647" s="20"/>
      <c r="Z7647" s="20"/>
      <c r="AG7647" s="20"/>
      <c r="AQ7647" s="19"/>
      <c r="AR7647" s="19"/>
      <c r="AS7647" s="19"/>
      <c r="AT7647" s="19"/>
      <c r="AU7647" s="19"/>
    </row>
    <row r="7648" spans="3:47">
      <c r="C7648" s="20"/>
      <c r="Z7648" s="20"/>
      <c r="AG7648" s="20"/>
      <c r="AQ7648" s="19"/>
      <c r="AR7648" s="19"/>
      <c r="AS7648" s="19"/>
      <c r="AT7648" s="19"/>
      <c r="AU7648" s="19"/>
    </row>
    <row r="7649" spans="3:47">
      <c r="C7649" s="20"/>
      <c r="Z7649" s="20"/>
      <c r="AG7649" s="20"/>
      <c r="AQ7649" s="19"/>
      <c r="AR7649" s="19"/>
      <c r="AS7649" s="19"/>
      <c r="AT7649" s="19"/>
      <c r="AU7649" s="19"/>
    </row>
    <row r="7650" spans="3:47">
      <c r="C7650" s="20"/>
      <c r="Z7650" s="20"/>
      <c r="AG7650" s="20"/>
      <c r="AQ7650" s="19"/>
      <c r="AR7650" s="19"/>
      <c r="AS7650" s="19"/>
      <c r="AT7650" s="19"/>
      <c r="AU7650" s="19"/>
    </row>
    <row r="7651" spans="3:47">
      <c r="C7651" s="20"/>
      <c r="Z7651" s="20"/>
      <c r="AG7651" s="20"/>
      <c r="AQ7651" s="19"/>
      <c r="AR7651" s="19"/>
      <c r="AS7651" s="19"/>
      <c r="AT7651" s="19"/>
      <c r="AU7651" s="19"/>
    </row>
    <row r="7652" spans="3:47">
      <c r="C7652" s="20"/>
      <c r="Z7652" s="20"/>
      <c r="AG7652" s="20"/>
      <c r="AQ7652" s="19"/>
      <c r="AR7652" s="19"/>
      <c r="AS7652" s="19"/>
      <c r="AT7652" s="19"/>
      <c r="AU7652" s="19"/>
    </row>
    <row r="7653" spans="3:47">
      <c r="C7653" s="20"/>
      <c r="Z7653" s="20"/>
      <c r="AG7653" s="20"/>
      <c r="AQ7653" s="19"/>
      <c r="AR7653" s="19"/>
      <c r="AS7653" s="19"/>
      <c r="AT7653" s="19"/>
      <c r="AU7653" s="19"/>
    </row>
    <row r="7654" spans="3:47">
      <c r="C7654" s="20"/>
      <c r="Z7654" s="20"/>
      <c r="AG7654" s="20"/>
      <c r="AQ7654" s="19"/>
      <c r="AR7654" s="19"/>
      <c r="AS7654" s="19"/>
      <c r="AT7654" s="19"/>
      <c r="AU7654" s="19"/>
    </row>
    <row r="7655" spans="3:47">
      <c r="C7655" s="20"/>
      <c r="Z7655" s="20"/>
      <c r="AG7655" s="20"/>
      <c r="AQ7655" s="19"/>
      <c r="AR7655" s="19"/>
      <c r="AS7655" s="19"/>
      <c r="AT7655" s="19"/>
      <c r="AU7655" s="19"/>
    </row>
    <row r="7656" spans="3:47">
      <c r="C7656" s="20"/>
      <c r="Z7656" s="20"/>
      <c r="AG7656" s="20"/>
      <c r="AQ7656" s="19"/>
      <c r="AR7656" s="19"/>
      <c r="AS7656" s="19"/>
      <c r="AT7656" s="19"/>
      <c r="AU7656" s="19"/>
    </row>
    <row r="7657" spans="3:47">
      <c r="C7657" s="20"/>
      <c r="Z7657" s="20"/>
      <c r="AG7657" s="20"/>
      <c r="AQ7657" s="19"/>
      <c r="AR7657" s="19"/>
      <c r="AS7657" s="19"/>
      <c r="AT7657" s="19"/>
      <c r="AU7657" s="19"/>
    </row>
    <row r="7658" spans="3:47">
      <c r="C7658" s="20"/>
      <c r="Z7658" s="20"/>
      <c r="AG7658" s="20"/>
      <c r="AQ7658" s="19"/>
      <c r="AR7658" s="19"/>
      <c r="AS7658" s="19"/>
      <c r="AT7658" s="19"/>
      <c r="AU7658" s="19"/>
    </row>
    <row r="7659" spans="3:47">
      <c r="C7659" s="20"/>
      <c r="Z7659" s="20"/>
      <c r="AG7659" s="20"/>
      <c r="AQ7659" s="19"/>
      <c r="AR7659" s="19"/>
      <c r="AS7659" s="19"/>
      <c r="AT7659" s="19"/>
      <c r="AU7659" s="19"/>
    </row>
    <row r="7660" spans="3:47">
      <c r="C7660" s="20"/>
      <c r="Z7660" s="20"/>
      <c r="AG7660" s="20"/>
      <c r="AQ7660" s="19"/>
      <c r="AR7660" s="19"/>
      <c r="AS7660" s="19"/>
      <c r="AT7660" s="19"/>
      <c r="AU7660" s="19"/>
    </row>
    <row r="7661" spans="3:47">
      <c r="C7661" s="20"/>
      <c r="Z7661" s="20"/>
      <c r="AG7661" s="20"/>
      <c r="AQ7661" s="19"/>
      <c r="AR7661" s="19"/>
      <c r="AS7661" s="19"/>
      <c r="AT7661" s="19"/>
      <c r="AU7661" s="19"/>
    </row>
    <row r="7662" spans="3:47">
      <c r="C7662" s="20"/>
      <c r="Z7662" s="20"/>
      <c r="AG7662" s="20"/>
      <c r="AQ7662" s="19"/>
      <c r="AR7662" s="19"/>
      <c r="AS7662" s="19"/>
      <c r="AT7662" s="19"/>
      <c r="AU7662" s="19"/>
    </row>
    <row r="7663" spans="3:47">
      <c r="C7663" s="20"/>
      <c r="Z7663" s="20"/>
      <c r="AG7663" s="20"/>
      <c r="AQ7663" s="19"/>
      <c r="AR7663" s="19"/>
      <c r="AS7663" s="19"/>
      <c r="AT7663" s="19"/>
      <c r="AU7663" s="19"/>
    </row>
    <row r="7664" spans="3:47">
      <c r="C7664" s="20"/>
      <c r="Z7664" s="20"/>
      <c r="AG7664" s="20"/>
      <c r="AQ7664" s="19"/>
      <c r="AR7664" s="19"/>
      <c r="AS7664" s="19"/>
      <c r="AT7664" s="19"/>
      <c r="AU7664" s="19"/>
    </row>
    <row r="7665" spans="3:47">
      <c r="C7665" s="20"/>
      <c r="Z7665" s="20"/>
      <c r="AG7665" s="20"/>
      <c r="AQ7665" s="19"/>
      <c r="AR7665" s="19"/>
      <c r="AS7665" s="19"/>
      <c r="AT7665" s="19"/>
      <c r="AU7665" s="19"/>
    </row>
    <row r="7666" spans="3:47">
      <c r="C7666" s="20"/>
      <c r="Z7666" s="20"/>
      <c r="AG7666" s="20"/>
      <c r="AQ7666" s="19"/>
      <c r="AR7666" s="19"/>
      <c r="AS7666" s="19"/>
      <c r="AT7666" s="19"/>
      <c r="AU7666" s="19"/>
    </row>
    <row r="7667" spans="3:47">
      <c r="C7667" s="20"/>
      <c r="Z7667" s="20"/>
      <c r="AG7667" s="20"/>
      <c r="AQ7667" s="19"/>
      <c r="AR7667" s="19"/>
      <c r="AS7667" s="19"/>
      <c r="AT7667" s="19"/>
      <c r="AU7667" s="19"/>
    </row>
    <row r="7668" spans="3:47">
      <c r="C7668" s="20"/>
      <c r="Z7668" s="20"/>
      <c r="AG7668" s="20"/>
      <c r="AQ7668" s="19"/>
      <c r="AR7668" s="19"/>
      <c r="AS7668" s="19"/>
      <c r="AT7668" s="19"/>
      <c r="AU7668" s="19"/>
    </row>
    <row r="7669" spans="3:47">
      <c r="C7669" s="20"/>
      <c r="Z7669" s="20"/>
      <c r="AG7669" s="20"/>
      <c r="AQ7669" s="19"/>
      <c r="AR7669" s="19"/>
      <c r="AS7669" s="19"/>
      <c r="AT7669" s="19"/>
      <c r="AU7669" s="19"/>
    </row>
    <row r="7670" spans="3:47">
      <c r="C7670" s="20"/>
      <c r="Z7670" s="20"/>
      <c r="AG7670" s="20"/>
      <c r="AQ7670" s="19"/>
      <c r="AR7670" s="19"/>
      <c r="AS7670" s="19"/>
      <c r="AT7670" s="19"/>
      <c r="AU7670" s="19"/>
    </row>
    <row r="7671" spans="3:47">
      <c r="C7671" s="20"/>
      <c r="Z7671" s="20"/>
      <c r="AG7671" s="20"/>
      <c r="AQ7671" s="19"/>
      <c r="AR7671" s="19"/>
      <c r="AS7671" s="19"/>
      <c r="AT7671" s="19"/>
      <c r="AU7671" s="19"/>
    </row>
    <row r="7672" spans="3:47">
      <c r="C7672" s="20"/>
      <c r="Z7672" s="20"/>
      <c r="AG7672" s="20"/>
      <c r="AQ7672" s="19"/>
      <c r="AR7672" s="19"/>
      <c r="AS7672" s="19"/>
      <c r="AT7672" s="19"/>
      <c r="AU7672" s="19"/>
    </row>
    <row r="7673" spans="3:47">
      <c r="C7673" s="20"/>
      <c r="Z7673" s="20"/>
      <c r="AG7673" s="20"/>
      <c r="AQ7673" s="19"/>
      <c r="AR7673" s="19"/>
      <c r="AS7673" s="19"/>
      <c r="AT7673" s="19"/>
      <c r="AU7673" s="19"/>
    </row>
    <row r="7674" spans="3:47">
      <c r="C7674" s="20"/>
      <c r="Z7674" s="20"/>
      <c r="AG7674" s="20"/>
      <c r="AQ7674" s="19"/>
      <c r="AR7674" s="19"/>
      <c r="AS7674" s="19"/>
      <c r="AT7674" s="19"/>
      <c r="AU7674" s="19"/>
    </row>
    <row r="7675" spans="3:47">
      <c r="C7675" s="20"/>
      <c r="Z7675" s="20"/>
      <c r="AG7675" s="20"/>
      <c r="AQ7675" s="19"/>
      <c r="AR7675" s="19"/>
      <c r="AS7675" s="19"/>
      <c r="AT7675" s="19"/>
      <c r="AU7675" s="19"/>
    </row>
    <row r="7676" spans="3:47">
      <c r="C7676" s="20"/>
      <c r="Z7676" s="20"/>
      <c r="AG7676" s="20"/>
      <c r="AQ7676" s="19"/>
      <c r="AR7676" s="19"/>
      <c r="AS7676" s="19"/>
      <c r="AT7676" s="19"/>
      <c r="AU7676" s="19"/>
    </row>
    <row r="7677" spans="3:47">
      <c r="C7677" s="20"/>
      <c r="Z7677" s="20"/>
      <c r="AG7677" s="20"/>
      <c r="AQ7677" s="19"/>
      <c r="AR7677" s="19"/>
      <c r="AS7677" s="19"/>
      <c r="AT7677" s="19"/>
      <c r="AU7677" s="19"/>
    </row>
    <row r="7678" spans="3:47">
      <c r="C7678" s="20"/>
      <c r="Z7678" s="20"/>
      <c r="AG7678" s="20"/>
      <c r="AQ7678" s="19"/>
      <c r="AR7678" s="19"/>
      <c r="AS7678" s="19"/>
      <c r="AT7678" s="19"/>
      <c r="AU7678" s="19"/>
    </row>
    <row r="7679" spans="3:47">
      <c r="C7679" s="20"/>
      <c r="Z7679" s="20"/>
      <c r="AG7679" s="20"/>
      <c r="AQ7679" s="19"/>
      <c r="AR7679" s="19"/>
      <c r="AS7679" s="19"/>
      <c r="AT7679" s="19"/>
      <c r="AU7679" s="19"/>
    </row>
    <row r="7680" spans="3:47">
      <c r="C7680" s="20"/>
      <c r="Z7680" s="20"/>
      <c r="AG7680" s="20"/>
      <c r="AQ7680" s="19"/>
      <c r="AR7680" s="19"/>
      <c r="AS7680" s="19"/>
      <c r="AT7680" s="19"/>
      <c r="AU7680" s="19"/>
    </row>
    <row r="7681" spans="3:47">
      <c r="C7681" s="20"/>
      <c r="Z7681" s="20"/>
      <c r="AG7681" s="20"/>
      <c r="AQ7681" s="19"/>
      <c r="AR7681" s="19"/>
      <c r="AS7681" s="19"/>
      <c r="AT7681" s="19"/>
      <c r="AU7681" s="19"/>
    </row>
    <row r="7682" spans="3:47">
      <c r="C7682" s="20"/>
      <c r="Z7682" s="20"/>
      <c r="AG7682" s="20"/>
      <c r="AQ7682" s="19"/>
      <c r="AR7682" s="19"/>
      <c r="AS7682" s="19"/>
      <c r="AT7682" s="19"/>
      <c r="AU7682" s="19"/>
    </row>
    <row r="7683" spans="3:47">
      <c r="C7683" s="20"/>
      <c r="Z7683" s="20"/>
      <c r="AG7683" s="20"/>
      <c r="AQ7683" s="19"/>
      <c r="AR7683" s="19"/>
      <c r="AS7683" s="19"/>
      <c r="AT7683" s="19"/>
      <c r="AU7683" s="19"/>
    </row>
    <row r="7684" spans="3:47">
      <c r="C7684" s="20"/>
      <c r="Z7684" s="20"/>
      <c r="AG7684" s="20"/>
      <c r="AQ7684" s="19"/>
      <c r="AR7684" s="19"/>
      <c r="AS7684" s="19"/>
      <c r="AT7684" s="19"/>
      <c r="AU7684" s="19"/>
    </row>
    <row r="7685" spans="3:47">
      <c r="C7685" s="20"/>
      <c r="Z7685" s="20"/>
      <c r="AG7685" s="20"/>
      <c r="AQ7685" s="19"/>
      <c r="AR7685" s="19"/>
      <c r="AS7685" s="19"/>
      <c r="AT7685" s="19"/>
      <c r="AU7685" s="19"/>
    </row>
    <row r="7686" spans="3:47">
      <c r="C7686" s="20"/>
      <c r="Z7686" s="20"/>
      <c r="AG7686" s="20"/>
      <c r="AQ7686" s="19"/>
      <c r="AR7686" s="19"/>
      <c r="AS7686" s="19"/>
      <c r="AT7686" s="19"/>
      <c r="AU7686" s="19"/>
    </row>
    <row r="7687" spans="3:47">
      <c r="C7687" s="20"/>
      <c r="Z7687" s="20"/>
      <c r="AG7687" s="20"/>
      <c r="AQ7687" s="19"/>
      <c r="AR7687" s="19"/>
      <c r="AS7687" s="19"/>
      <c r="AT7687" s="19"/>
      <c r="AU7687" s="19"/>
    </row>
    <row r="7688" spans="3:47">
      <c r="C7688" s="20"/>
      <c r="Z7688" s="20"/>
      <c r="AG7688" s="20"/>
      <c r="AQ7688" s="19"/>
      <c r="AR7688" s="19"/>
      <c r="AS7688" s="19"/>
      <c r="AT7688" s="19"/>
      <c r="AU7688" s="19"/>
    </row>
    <row r="7689" spans="3:47">
      <c r="C7689" s="20"/>
      <c r="Z7689" s="20"/>
      <c r="AG7689" s="20"/>
      <c r="AQ7689" s="19"/>
      <c r="AR7689" s="19"/>
      <c r="AS7689" s="19"/>
      <c r="AT7689" s="19"/>
      <c r="AU7689" s="19"/>
    </row>
    <row r="7690" spans="3:47">
      <c r="C7690" s="20"/>
      <c r="Z7690" s="20"/>
      <c r="AG7690" s="20"/>
      <c r="AQ7690" s="19"/>
      <c r="AR7690" s="19"/>
      <c r="AS7690" s="19"/>
      <c r="AT7690" s="19"/>
      <c r="AU7690" s="19"/>
    </row>
    <row r="7691" spans="3:47">
      <c r="C7691" s="20"/>
      <c r="Z7691" s="20"/>
      <c r="AG7691" s="20"/>
      <c r="AQ7691" s="19"/>
      <c r="AR7691" s="19"/>
      <c r="AS7691" s="19"/>
      <c r="AT7691" s="19"/>
      <c r="AU7691" s="19"/>
    </row>
    <row r="7692" spans="3:47">
      <c r="C7692" s="20"/>
      <c r="Z7692" s="20"/>
      <c r="AG7692" s="20"/>
      <c r="AQ7692" s="19"/>
      <c r="AR7692" s="19"/>
      <c r="AS7692" s="19"/>
      <c r="AT7692" s="19"/>
      <c r="AU7692" s="19"/>
    </row>
    <row r="7693" spans="3:47">
      <c r="C7693" s="20"/>
      <c r="Z7693" s="20"/>
      <c r="AG7693" s="20"/>
      <c r="AQ7693" s="19"/>
      <c r="AR7693" s="19"/>
      <c r="AS7693" s="19"/>
      <c r="AT7693" s="19"/>
      <c r="AU7693" s="19"/>
    </row>
    <row r="7694" spans="3:47">
      <c r="C7694" s="20"/>
      <c r="Z7694" s="20"/>
      <c r="AG7694" s="20"/>
      <c r="AQ7694" s="19"/>
      <c r="AR7694" s="19"/>
      <c r="AS7694" s="19"/>
      <c r="AT7694" s="19"/>
      <c r="AU7694" s="19"/>
    </row>
    <row r="7695" spans="3:47">
      <c r="C7695" s="20"/>
      <c r="Z7695" s="20"/>
      <c r="AG7695" s="20"/>
      <c r="AQ7695" s="19"/>
      <c r="AR7695" s="19"/>
      <c r="AS7695" s="19"/>
      <c r="AT7695" s="19"/>
      <c r="AU7695" s="19"/>
    </row>
    <row r="7696" spans="3:47">
      <c r="C7696" s="20"/>
      <c r="Z7696" s="20"/>
      <c r="AG7696" s="20"/>
      <c r="AQ7696" s="19"/>
      <c r="AR7696" s="19"/>
      <c r="AS7696" s="19"/>
      <c r="AT7696" s="19"/>
      <c r="AU7696" s="19"/>
    </row>
    <row r="7697" spans="3:47">
      <c r="C7697" s="20"/>
      <c r="Z7697" s="20"/>
      <c r="AG7697" s="20"/>
      <c r="AQ7697" s="19"/>
      <c r="AR7697" s="19"/>
      <c r="AS7697" s="19"/>
      <c r="AT7697" s="19"/>
      <c r="AU7697" s="19"/>
    </row>
    <row r="7698" spans="3:47">
      <c r="C7698" s="20"/>
      <c r="Z7698" s="20"/>
      <c r="AG7698" s="20"/>
      <c r="AQ7698" s="19"/>
      <c r="AR7698" s="19"/>
      <c r="AS7698" s="19"/>
      <c r="AT7698" s="19"/>
      <c r="AU7698" s="19"/>
    </row>
    <row r="7699" spans="3:47">
      <c r="C7699" s="20"/>
      <c r="Z7699" s="20"/>
      <c r="AG7699" s="20"/>
      <c r="AQ7699" s="19"/>
      <c r="AR7699" s="19"/>
      <c r="AS7699" s="19"/>
      <c r="AT7699" s="19"/>
      <c r="AU7699" s="19"/>
    </row>
    <row r="7700" spans="3:47">
      <c r="C7700" s="20"/>
      <c r="Z7700" s="20"/>
      <c r="AG7700" s="20"/>
      <c r="AQ7700" s="19"/>
      <c r="AR7700" s="19"/>
      <c r="AS7700" s="19"/>
      <c r="AT7700" s="19"/>
      <c r="AU7700" s="19"/>
    </row>
    <row r="7701" spans="3:47">
      <c r="C7701" s="20"/>
      <c r="Z7701" s="20"/>
      <c r="AG7701" s="20"/>
      <c r="AQ7701" s="19"/>
      <c r="AR7701" s="19"/>
      <c r="AS7701" s="19"/>
      <c r="AT7701" s="19"/>
      <c r="AU7701" s="19"/>
    </row>
    <row r="7702" spans="3:47">
      <c r="C7702" s="20"/>
      <c r="Z7702" s="20"/>
      <c r="AG7702" s="20"/>
      <c r="AQ7702" s="19"/>
      <c r="AR7702" s="19"/>
      <c r="AS7702" s="19"/>
      <c r="AT7702" s="19"/>
      <c r="AU7702" s="19"/>
    </row>
    <row r="7703" spans="3:47">
      <c r="C7703" s="20"/>
      <c r="Z7703" s="20"/>
      <c r="AG7703" s="20"/>
      <c r="AQ7703" s="19"/>
      <c r="AR7703" s="19"/>
      <c r="AS7703" s="19"/>
      <c r="AT7703" s="19"/>
      <c r="AU7703" s="19"/>
    </row>
    <row r="7704" spans="3:47">
      <c r="C7704" s="20"/>
      <c r="Z7704" s="20"/>
      <c r="AG7704" s="20"/>
      <c r="AQ7704" s="19"/>
      <c r="AR7704" s="19"/>
      <c r="AS7704" s="19"/>
      <c r="AT7704" s="19"/>
      <c r="AU7704" s="19"/>
    </row>
    <row r="7705" spans="3:47">
      <c r="C7705" s="20"/>
      <c r="Z7705" s="20"/>
      <c r="AG7705" s="20"/>
      <c r="AQ7705" s="19"/>
      <c r="AR7705" s="19"/>
      <c r="AS7705" s="19"/>
      <c r="AT7705" s="19"/>
      <c r="AU7705" s="19"/>
    </row>
    <row r="7706" spans="3:47">
      <c r="C7706" s="20"/>
      <c r="Z7706" s="20"/>
      <c r="AG7706" s="20"/>
      <c r="AQ7706" s="19"/>
      <c r="AR7706" s="19"/>
      <c r="AS7706" s="19"/>
      <c r="AT7706" s="19"/>
      <c r="AU7706" s="19"/>
    </row>
    <row r="7707" spans="3:47">
      <c r="C7707" s="20"/>
      <c r="Z7707" s="20"/>
      <c r="AG7707" s="20"/>
      <c r="AQ7707" s="19"/>
      <c r="AR7707" s="19"/>
      <c r="AS7707" s="19"/>
      <c r="AT7707" s="19"/>
      <c r="AU7707" s="19"/>
    </row>
    <row r="7708" spans="3:47">
      <c r="C7708" s="20"/>
      <c r="Z7708" s="20"/>
      <c r="AG7708" s="20"/>
      <c r="AQ7708" s="19"/>
      <c r="AR7708" s="19"/>
      <c r="AS7708" s="19"/>
      <c r="AT7708" s="19"/>
      <c r="AU7708" s="19"/>
    </row>
    <row r="7709" spans="3:47">
      <c r="C7709" s="20"/>
      <c r="Z7709" s="20"/>
      <c r="AG7709" s="20"/>
      <c r="AQ7709" s="19"/>
      <c r="AR7709" s="19"/>
      <c r="AS7709" s="19"/>
      <c r="AT7709" s="19"/>
      <c r="AU7709" s="19"/>
    </row>
    <row r="7710" spans="3:47">
      <c r="C7710" s="20"/>
      <c r="Z7710" s="20"/>
      <c r="AG7710" s="20"/>
      <c r="AQ7710" s="19"/>
      <c r="AR7710" s="19"/>
      <c r="AS7710" s="19"/>
      <c r="AT7710" s="19"/>
      <c r="AU7710" s="19"/>
    </row>
    <row r="7711" spans="3:47">
      <c r="C7711" s="20"/>
      <c r="Z7711" s="20"/>
      <c r="AG7711" s="20"/>
      <c r="AQ7711" s="19"/>
      <c r="AR7711" s="19"/>
      <c r="AS7711" s="19"/>
      <c r="AT7711" s="19"/>
      <c r="AU7711" s="19"/>
    </row>
    <row r="7712" spans="3:47">
      <c r="C7712" s="20"/>
      <c r="Z7712" s="20"/>
      <c r="AG7712" s="20"/>
      <c r="AQ7712" s="19"/>
      <c r="AR7712" s="19"/>
      <c r="AS7712" s="19"/>
      <c r="AT7712" s="19"/>
      <c r="AU7712" s="19"/>
    </row>
    <row r="7713" spans="3:47">
      <c r="C7713" s="20"/>
      <c r="Z7713" s="20"/>
      <c r="AG7713" s="20"/>
      <c r="AQ7713" s="19"/>
      <c r="AR7713" s="19"/>
      <c r="AS7713" s="19"/>
      <c r="AT7713" s="19"/>
      <c r="AU7713" s="19"/>
    </row>
    <row r="7714" spans="3:47">
      <c r="C7714" s="20"/>
      <c r="Z7714" s="20"/>
      <c r="AG7714" s="20"/>
      <c r="AQ7714" s="19"/>
      <c r="AR7714" s="19"/>
      <c r="AS7714" s="19"/>
      <c r="AT7714" s="19"/>
      <c r="AU7714" s="19"/>
    </row>
    <row r="7715" spans="3:47">
      <c r="C7715" s="20"/>
      <c r="Z7715" s="20"/>
      <c r="AG7715" s="20"/>
      <c r="AQ7715" s="19"/>
      <c r="AR7715" s="19"/>
      <c r="AS7715" s="19"/>
      <c r="AT7715" s="19"/>
      <c r="AU7715" s="19"/>
    </row>
    <row r="7716" spans="3:47">
      <c r="C7716" s="20"/>
      <c r="Z7716" s="20"/>
      <c r="AG7716" s="20"/>
      <c r="AQ7716" s="19"/>
      <c r="AR7716" s="19"/>
      <c r="AS7716" s="19"/>
      <c r="AT7716" s="19"/>
      <c r="AU7716" s="19"/>
    </row>
    <row r="7717" spans="3:47">
      <c r="C7717" s="20"/>
      <c r="Z7717" s="20"/>
      <c r="AG7717" s="20"/>
      <c r="AQ7717" s="19"/>
      <c r="AR7717" s="19"/>
      <c r="AS7717" s="19"/>
      <c r="AT7717" s="19"/>
      <c r="AU7717" s="19"/>
    </row>
    <row r="7718" spans="3:47">
      <c r="C7718" s="20"/>
      <c r="Z7718" s="20"/>
      <c r="AG7718" s="20"/>
      <c r="AQ7718" s="19"/>
      <c r="AR7718" s="19"/>
      <c r="AS7718" s="19"/>
      <c r="AT7718" s="19"/>
      <c r="AU7718" s="19"/>
    </row>
    <row r="7719" spans="3:47">
      <c r="C7719" s="20"/>
      <c r="Z7719" s="20"/>
      <c r="AG7719" s="20"/>
      <c r="AQ7719" s="19"/>
      <c r="AR7719" s="19"/>
      <c r="AS7719" s="19"/>
      <c r="AT7719" s="19"/>
      <c r="AU7719" s="19"/>
    </row>
    <row r="7720" spans="3:47">
      <c r="C7720" s="20"/>
      <c r="Z7720" s="20"/>
      <c r="AG7720" s="20"/>
      <c r="AQ7720" s="19"/>
      <c r="AR7720" s="19"/>
      <c r="AS7720" s="19"/>
      <c r="AT7720" s="19"/>
      <c r="AU7720" s="19"/>
    </row>
    <row r="7721" spans="3:47">
      <c r="C7721" s="20"/>
      <c r="Z7721" s="20"/>
      <c r="AG7721" s="20"/>
      <c r="AQ7721" s="19"/>
      <c r="AR7721" s="19"/>
      <c r="AS7721" s="19"/>
      <c r="AT7721" s="19"/>
      <c r="AU7721" s="19"/>
    </row>
    <row r="7722" spans="3:47">
      <c r="C7722" s="20"/>
      <c r="Z7722" s="20"/>
      <c r="AG7722" s="20"/>
      <c r="AQ7722" s="19"/>
      <c r="AR7722" s="19"/>
      <c r="AS7722" s="19"/>
      <c r="AT7722" s="19"/>
      <c r="AU7722" s="19"/>
    </row>
    <row r="7723" spans="3:47">
      <c r="C7723" s="20"/>
      <c r="Z7723" s="20"/>
      <c r="AG7723" s="20"/>
      <c r="AQ7723" s="19"/>
      <c r="AR7723" s="19"/>
      <c r="AS7723" s="19"/>
      <c r="AT7723" s="19"/>
      <c r="AU7723" s="19"/>
    </row>
    <row r="7724" spans="3:47">
      <c r="C7724" s="20"/>
      <c r="Z7724" s="20"/>
      <c r="AG7724" s="20"/>
      <c r="AQ7724" s="19"/>
      <c r="AR7724" s="19"/>
      <c r="AS7724" s="19"/>
      <c r="AT7724" s="19"/>
      <c r="AU7724" s="19"/>
    </row>
    <row r="7725" spans="3:47">
      <c r="C7725" s="20"/>
      <c r="Z7725" s="20"/>
      <c r="AG7725" s="20"/>
      <c r="AQ7725" s="19"/>
      <c r="AR7725" s="19"/>
      <c r="AS7725" s="19"/>
      <c r="AT7725" s="19"/>
      <c r="AU7725" s="19"/>
    </row>
    <row r="7726" spans="3:47">
      <c r="C7726" s="20"/>
      <c r="Z7726" s="20"/>
      <c r="AG7726" s="20"/>
      <c r="AQ7726" s="19"/>
      <c r="AR7726" s="19"/>
      <c r="AS7726" s="19"/>
      <c r="AT7726" s="19"/>
      <c r="AU7726" s="19"/>
    </row>
    <row r="7727" spans="3:47">
      <c r="C7727" s="20"/>
      <c r="Z7727" s="20"/>
      <c r="AG7727" s="20"/>
      <c r="AQ7727" s="19"/>
      <c r="AR7727" s="19"/>
      <c r="AS7727" s="19"/>
      <c r="AT7727" s="19"/>
      <c r="AU7727" s="19"/>
    </row>
    <row r="7728" spans="3:47">
      <c r="C7728" s="20"/>
      <c r="Z7728" s="20"/>
      <c r="AG7728" s="20"/>
      <c r="AQ7728" s="19"/>
      <c r="AR7728" s="19"/>
      <c r="AS7728" s="19"/>
      <c r="AT7728" s="19"/>
      <c r="AU7728" s="19"/>
    </row>
    <row r="7729" spans="3:47">
      <c r="C7729" s="20"/>
      <c r="Z7729" s="20"/>
      <c r="AG7729" s="20"/>
      <c r="AQ7729" s="19"/>
      <c r="AR7729" s="19"/>
      <c r="AS7729" s="19"/>
      <c r="AT7729" s="19"/>
      <c r="AU7729" s="19"/>
    </row>
    <row r="7730" spans="3:47">
      <c r="C7730" s="20"/>
      <c r="Z7730" s="20"/>
      <c r="AG7730" s="20"/>
      <c r="AQ7730" s="19"/>
      <c r="AR7730" s="19"/>
      <c r="AS7730" s="19"/>
      <c r="AT7730" s="19"/>
      <c r="AU7730" s="19"/>
    </row>
    <row r="7731" spans="3:47">
      <c r="C7731" s="20"/>
      <c r="Z7731" s="20"/>
      <c r="AG7731" s="20"/>
      <c r="AQ7731" s="19"/>
      <c r="AR7731" s="19"/>
      <c r="AS7731" s="19"/>
      <c r="AT7731" s="19"/>
      <c r="AU7731" s="19"/>
    </row>
    <row r="7732" spans="3:47">
      <c r="C7732" s="20"/>
      <c r="Z7732" s="20"/>
      <c r="AG7732" s="20"/>
      <c r="AQ7732" s="19"/>
      <c r="AR7732" s="19"/>
      <c r="AS7732" s="19"/>
      <c r="AT7732" s="19"/>
      <c r="AU7732" s="19"/>
    </row>
    <row r="7733" spans="3:47">
      <c r="C7733" s="20"/>
      <c r="Z7733" s="20"/>
      <c r="AG7733" s="20"/>
      <c r="AQ7733" s="19"/>
      <c r="AR7733" s="19"/>
      <c r="AS7733" s="19"/>
      <c r="AT7733" s="19"/>
      <c r="AU7733" s="19"/>
    </row>
    <row r="7734" spans="3:47">
      <c r="C7734" s="20"/>
      <c r="Z7734" s="20"/>
      <c r="AG7734" s="20"/>
      <c r="AQ7734" s="19"/>
      <c r="AR7734" s="19"/>
      <c r="AS7734" s="19"/>
      <c r="AT7734" s="19"/>
      <c r="AU7734" s="19"/>
    </row>
    <row r="7735" spans="3:47">
      <c r="C7735" s="20"/>
      <c r="Z7735" s="20"/>
      <c r="AG7735" s="20"/>
      <c r="AQ7735" s="19"/>
      <c r="AR7735" s="19"/>
      <c r="AS7735" s="19"/>
      <c r="AT7735" s="19"/>
      <c r="AU7735" s="19"/>
    </row>
    <row r="7736" spans="3:47">
      <c r="C7736" s="20"/>
      <c r="Z7736" s="20"/>
      <c r="AG7736" s="20"/>
      <c r="AQ7736" s="19"/>
      <c r="AR7736" s="19"/>
      <c r="AS7736" s="19"/>
      <c r="AT7736" s="19"/>
      <c r="AU7736" s="19"/>
    </row>
    <row r="7737" spans="3:47">
      <c r="C7737" s="20"/>
      <c r="Z7737" s="20"/>
      <c r="AG7737" s="20"/>
      <c r="AQ7737" s="19"/>
      <c r="AR7737" s="19"/>
      <c r="AS7737" s="19"/>
      <c r="AT7737" s="19"/>
      <c r="AU7737" s="19"/>
    </row>
    <row r="7738" spans="3:47">
      <c r="C7738" s="20"/>
      <c r="Z7738" s="20"/>
      <c r="AG7738" s="20"/>
      <c r="AQ7738" s="19"/>
      <c r="AR7738" s="19"/>
      <c r="AS7738" s="19"/>
      <c r="AT7738" s="19"/>
      <c r="AU7738" s="19"/>
    </row>
    <row r="7739" spans="3:47">
      <c r="C7739" s="20"/>
      <c r="Z7739" s="20"/>
      <c r="AG7739" s="20"/>
      <c r="AQ7739" s="19"/>
      <c r="AR7739" s="19"/>
      <c r="AS7739" s="19"/>
      <c r="AT7739" s="19"/>
      <c r="AU7739" s="19"/>
    </row>
    <row r="7740" spans="3:47">
      <c r="C7740" s="20"/>
      <c r="Z7740" s="20"/>
      <c r="AG7740" s="20"/>
      <c r="AQ7740" s="19"/>
      <c r="AR7740" s="19"/>
      <c r="AS7740" s="19"/>
      <c r="AT7740" s="19"/>
      <c r="AU7740" s="19"/>
    </row>
    <row r="7741" spans="3:47">
      <c r="C7741" s="20"/>
      <c r="Z7741" s="20"/>
      <c r="AG7741" s="20"/>
      <c r="AQ7741" s="19"/>
      <c r="AR7741" s="19"/>
      <c r="AS7741" s="19"/>
      <c r="AT7741" s="19"/>
      <c r="AU7741" s="19"/>
    </row>
    <row r="7742" spans="3:47">
      <c r="C7742" s="20"/>
      <c r="Z7742" s="20"/>
      <c r="AG7742" s="20"/>
      <c r="AQ7742" s="19"/>
      <c r="AR7742" s="19"/>
      <c r="AS7742" s="19"/>
      <c r="AT7742" s="19"/>
      <c r="AU7742" s="19"/>
    </row>
    <row r="7743" spans="3:47">
      <c r="C7743" s="20"/>
      <c r="Z7743" s="20"/>
      <c r="AG7743" s="20"/>
      <c r="AQ7743" s="19"/>
      <c r="AR7743" s="19"/>
      <c r="AS7743" s="19"/>
      <c r="AT7743" s="19"/>
      <c r="AU7743" s="19"/>
    </row>
    <row r="7744" spans="3:47">
      <c r="C7744" s="20"/>
      <c r="Z7744" s="20"/>
      <c r="AG7744" s="20"/>
      <c r="AQ7744" s="19"/>
      <c r="AR7744" s="19"/>
      <c r="AS7744" s="19"/>
      <c r="AT7744" s="19"/>
      <c r="AU7744" s="19"/>
    </row>
    <row r="7745" spans="3:47">
      <c r="C7745" s="20"/>
      <c r="Z7745" s="20"/>
      <c r="AG7745" s="20"/>
      <c r="AQ7745" s="19"/>
      <c r="AR7745" s="19"/>
      <c r="AS7745" s="19"/>
      <c r="AT7745" s="19"/>
      <c r="AU7745" s="19"/>
    </row>
    <row r="7746" spans="3:47">
      <c r="C7746" s="20"/>
      <c r="Z7746" s="20"/>
      <c r="AG7746" s="20"/>
      <c r="AQ7746" s="19"/>
      <c r="AR7746" s="19"/>
      <c r="AS7746" s="19"/>
      <c r="AT7746" s="19"/>
      <c r="AU7746" s="19"/>
    </row>
    <row r="7747" spans="3:47">
      <c r="C7747" s="20"/>
      <c r="Z7747" s="20"/>
      <c r="AG7747" s="20"/>
      <c r="AQ7747" s="19"/>
      <c r="AR7747" s="19"/>
      <c r="AS7747" s="19"/>
      <c r="AT7747" s="19"/>
      <c r="AU7747" s="19"/>
    </row>
    <row r="7748" spans="3:47">
      <c r="C7748" s="20"/>
      <c r="Z7748" s="20"/>
      <c r="AG7748" s="20"/>
      <c r="AQ7748" s="19"/>
      <c r="AR7748" s="19"/>
      <c r="AS7748" s="19"/>
      <c r="AT7748" s="19"/>
      <c r="AU7748" s="19"/>
    </row>
    <row r="7749" spans="3:47">
      <c r="C7749" s="20"/>
      <c r="Z7749" s="20"/>
      <c r="AG7749" s="20"/>
      <c r="AQ7749" s="19"/>
      <c r="AR7749" s="19"/>
      <c r="AS7749" s="19"/>
      <c r="AT7749" s="19"/>
      <c r="AU7749" s="19"/>
    </row>
    <row r="7750" spans="3:47">
      <c r="C7750" s="20"/>
      <c r="Z7750" s="20"/>
      <c r="AG7750" s="20"/>
      <c r="AQ7750" s="19"/>
      <c r="AR7750" s="19"/>
      <c r="AS7750" s="19"/>
      <c r="AT7750" s="19"/>
      <c r="AU7750" s="19"/>
    </row>
    <row r="7751" spans="3:47">
      <c r="C7751" s="20"/>
      <c r="Z7751" s="20"/>
      <c r="AG7751" s="20"/>
      <c r="AQ7751" s="19"/>
      <c r="AR7751" s="19"/>
      <c r="AS7751" s="19"/>
      <c r="AT7751" s="19"/>
      <c r="AU7751" s="19"/>
    </row>
    <row r="7752" spans="3:47">
      <c r="C7752" s="20"/>
      <c r="Z7752" s="20"/>
      <c r="AG7752" s="20"/>
      <c r="AQ7752" s="19"/>
      <c r="AR7752" s="19"/>
      <c r="AS7752" s="19"/>
      <c r="AT7752" s="19"/>
      <c r="AU7752" s="19"/>
    </row>
    <row r="7753" spans="3:47">
      <c r="C7753" s="20"/>
      <c r="Z7753" s="20"/>
      <c r="AG7753" s="20"/>
      <c r="AQ7753" s="19"/>
      <c r="AR7753" s="19"/>
      <c r="AS7753" s="19"/>
      <c r="AT7753" s="19"/>
      <c r="AU7753" s="19"/>
    </row>
    <row r="7754" spans="3:47">
      <c r="C7754" s="20"/>
      <c r="Z7754" s="20"/>
      <c r="AG7754" s="20"/>
      <c r="AQ7754" s="19"/>
      <c r="AR7754" s="19"/>
      <c r="AS7754" s="19"/>
      <c r="AT7754" s="19"/>
      <c r="AU7754" s="19"/>
    </row>
    <row r="7755" spans="3:47">
      <c r="C7755" s="20"/>
      <c r="Z7755" s="20"/>
      <c r="AG7755" s="20"/>
      <c r="AQ7755" s="19"/>
      <c r="AR7755" s="19"/>
      <c r="AS7755" s="19"/>
      <c r="AT7755" s="19"/>
      <c r="AU7755" s="19"/>
    </row>
    <row r="7756" spans="3:47">
      <c r="C7756" s="20"/>
      <c r="Z7756" s="20"/>
      <c r="AG7756" s="20"/>
      <c r="AQ7756" s="19"/>
      <c r="AR7756" s="19"/>
      <c r="AS7756" s="19"/>
      <c r="AT7756" s="19"/>
      <c r="AU7756" s="19"/>
    </row>
    <row r="7757" spans="3:47">
      <c r="C7757" s="20"/>
      <c r="Z7757" s="20"/>
      <c r="AG7757" s="20"/>
      <c r="AQ7757" s="19"/>
      <c r="AR7757" s="19"/>
      <c r="AS7757" s="19"/>
      <c r="AT7757" s="19"/>
      <c r="AU7757" s="19"/>
    </row>
    <row r="7758" spans="3:47">
      <c r="C7758" s="20"/>
      <c r="Z7758" s="20"/>
      <c r="AG7758" s="20"/>
      <c r="AQ7758" s="19"/>
      <c r="AR7758" s="19"/>
      <c r="AS7758" s="19"/>
      <c r="AT7758" s="19"/>
      <c r="AU7758" s="19"/>
    </row>
    <row r="7759" spans="3:47">
      <c r="C7759" s="20"/>
      <c r="Z7759" s="20"/>
      <c r="AG7759" s="20"/>
      <c r="AQ7759" s="19"/>
      <c r="AR7759" s="19"/>
      <c r="AS7759" s="19"/>
      <c r="AT7759" s="19"/>
      <c r="AU7759" s="19"/>
    </row>
    <row r="7760" spans="3:47">
      <c r="C7760" s="20"/>
      <c r="Z7760" s="20"/>
      <c r="AG7760" s="20"/>
      <c r="AQ7760" s="19"/>
      <c r="AR7760" s="19"/>
      <c r="AS7760" s="19"/>
      <c r="AT7760" s="19"/>
      <c r="AU7760" s="19"/>
    </row>
    <row r="7761" spans="3:47">
      <c r="C7761" s="20"/>
      <c r="Z7761" s="20"/>
      <c r="AG7761" s="20"/>
      <c r="AQ7761" s="19"/>
      <c r="AR7761" s="19"/>
      <c r="AS7761" s="19"/>
      <c r="AT7761" s="19"/>
      <c r="AU7761" s="19"/>
    </row>
    <row r="7762" spans="3:47">
      <c r="C7762" s="20"/>
      <c r="Z7762" s="20"/>
      <c r="AG7762" s="20"/>
      <c r="AQ7762" s="19"/>
      <c r="AR7762" s="19"/>
      <c r="AS7762" s="19"/>
      <c r="AT7762" s="19"/>
      <c r="AU7762" s="19"/>
    </row>
    <row r="7763" spans="3:47">
      <c r="C7763" s="20"/>
      <c r="Z7763" s="20"/>
      <c r="AG7763" s="20"/>
      <c r="AQ7763" s="19"/>
      <c r="AR7763" s="19"/>
      <c r="AS7763" s="19"/>
      <c r="AT7763" s="19"/>
      <c r="AU7763" s="19"/>
    </row>
    <row r="7764" spans="3:47">
      <c r="C7764" s="20"/>
      <c r="Z7764" s="20"/>
      <c r="AG7764" s="20"/>
      <c r="AQ7764" s="19"/>
      <c r="AR7764" s="19"/>
      <c r="AS7764" s="19"/>
      <c r="AT7764" s="19"/>
      <c r="AU7764" s="19"/>
    </row>
    <row r="7765" spans="3:47">
      <c r="C7765" s="20"/>
      <c r="Z7765" s="20"/>
      <c r="AG7765" s="20"/>
      <c r="AQ7765" s="19"/>
      <c r="AR7765" s="19"/>
      <c r="AS7765" s="19"/>
      <c r="AT7765" s="19"/>
      <c r="AU7765" s="19"/>
    </row>
    <row r="7766" spans="3:47">
      <c r="C7766" s="20"/>
      <c r="Z7766" s="20"/>
      <c r="AG7766" s="20"/>
      <c r="AQ7766" s="19"/>
      <c r="AR7766" s="19"/>
      <c r="AS7766" s="19"/>
      <c r="AT7766" s="19"/>
      <c r="AU7766" s="19"/>
    </row>
    <row r="7767" spans="3:47">
      <c r="C7767" s="20"/>
      <c r="Z7767" s="20"/>
      <c r="AG7767" s="20"/>
      <c r="AQ7767" s="19"/>
      <c r="AR7767" s="19"/>
      <c r="AS7767" s="19"/>
      <c r="AT7767" s="19"/>
      <c r="AU7767" s="19"/>
    </row>
    <row r="7768" spans="3:47">
      <c r="C7768" s="20"/>
      <c r="Z7768" s="20"/>
      <c r="AG7768" s="20"/>
      <c r="AQ7768" s="19"/>
      <c r="AR7768" s="19"/>
      <c r="AS7768" s="19"/>
      <c r="AT7768" s="19"/>
      <c r="AU7768" s="19"/>
    </row>
    <row r="7769" spans="3:47">
      <c r="C7769" s="20"/>
      <c r="Z7769" s="20"/>
      <c r="AG7769" s="20"/>
      <c r="AQ7769" s="19"/>
      <c r="AR7769" s="19"/>
      <c r="AS7769" s="19"/>
      <c r="AT7769" s="19"/>
      <c r="AU7769" s="19"/>
    </row>
    <row r="7770" spans="3:47">
      <c r="C7770" s="20"/>
      <c r="Z7770" s="20"/>
      <c r="AG7770" s="20"/>
      <c r="AQ7770" s="19"/>
      <c r="AR7770" s="19"/>
      <c r="AS7770" s="19"/>
      <c r="AT7770" s="19"/>
      <c r="AU7770" s="19"/>
    </row>
    <row r="7771" spans="3:47">
      <c r="C7771" s="20"/>
      <c r="Z7771" s="20"/>
      <c r="AG7771" s="20"/>
      <c r="AQ7771" s="19"/>
      <c r="AR7771" s="19"/>
      <c r="AS7771" s="19"/>
      <c r="AT7771" s="19"/>
      <c r="AU7771" s="19"/>
    </row>
    <row r="7772" spans="3:47">
      <c r="C7772" s="20"/>
      <c r="Z7772" s="20"/>
      <c r="AG7772" s="20"/>
      <c r="AQ7772" s="19"/>
      <c r="AR7772" s="19"/>
      <c r="AS7772" s="19"/>
      <c r="AT7772" s="19"/>
      <c r="AU7772" s="19"/>
    </row>
    <row r="7773" spans="3:47">
      <c r="C7773" s="20"/>
      <c r="Z7773" s="20"/>
      <c r="AG7773" s="20"/>
      <c r="AQ7773" s="19"/>
      <c r="AR7773" s="19"/>
      <c r="AS7773" s="19"/>
      <c r="AT7773" s="19"/>
      <c r="AU7773" s="19"/>
    </row>
    <row r="7774" spans="3:47">
      <c r="C7774" s="20"/>
      <c r="Z7774" s="20"/>
      <c r="AG7774" s="20"/>
      <c r="AQ7774" s="19"/>
      <c r="AR7774" s="19"/>
      <c r="AS7774" s="19"/>
      <c r="AT7774" s="19"/>
      <c r="AU7774" s="19"/>
    </row>
    <row r="7775" spans="3:47">
      <c r="C7775" s="20"/>
      <c r="Z7775" s="20"/>
      <c r="AG7775" s="20"/>
      <c r="AQ7775" s="19"/>
      <c r="AR7775" s="19"/>
      <c r="AS7775" s="19"/>
      <c r="AT7775" s="19"/>
      <c r="AU7775" s="19"/>
    </row>
    <row r="7776" spans="3:47">
      <c r="C7776" s="20"/>
      <c r="Z7776" s="20"/>
      <c r="AG7776" s="20"/>
      <c r="AQ7776" s="19"/>
      <c r="AR7776" s="19"/>
      <c r="AS7776" s="19"/>
      <c r="AT7776" s="19"/>
      <c r="AU7776" s="19"/>
    </row>
    <row r="7777" spans="3:47">
      <c r="C7777" s="20"/>
      <c r="Z7777" s="20"/>
      <c r="AG7777" s="20"/>
      <c r="AQ7777" s="19"/>
      <c r="AR7777" s="19"/>
      <c r="AS7777" s="19"/>
      <c r="AT7777" s="19"/>
      <c r="AU7777" s="19"/>
    </row>
    <row r="7778" spans="3:47">
      <c r="C7778" s="20"/>
      <c r="Z7778" s="20"/>
      <c r="AG7778" s="20"/>
      <c r="AQ7778" s="19"/>
      <c r="AR7778" s="19"/>
      <c r="AS7778" s="19"/>
      <c r="AT7778" s="19"/>
      <c r="AU7778" s="19"/>
    </row>
    <row r="7779" spans="3:47">
      <c r="C7779" s="20"/>
      <c r="Z7779" s="20"/>
      <c r="AG7779" s="20"/>
      <c r="AQ7779" s="19"/>
      <c r="AR7779" s="19"/>
      <c r="AS7779" s="19"/>
      <c r="AT7779" s="19"/>
      <c r="AU7779" s="19"/>
    </row>
    <row r="7780" spans="3:47">
      <c r="C7780" s="20"/>
      <c r="Z7780" s="20"/>
      <c r="AG7780" s="20"/>
      <c r="AQ7780" s="19"/>
      <c r="AR7780" s="19"/>
      <c r="AS7780" s="19"/>
      <c r="AT7780" s="19"/>
      <c r="AU7780" s="19"/>
    </row>
    <row r="7781" spans="3:47">
      <c r="C7781" s="20"/>
      <c r="Z7781" s="20"/>
      <c r="AG7781" s="20"/>
      <c r="AQ7781" s="19"/>
      <c r="AR7781" s="19"/>
      <c r="AS7781" s="19"/>
      <c r="AT7781" s="19"/>
      <c r="AU7781" s="19"/>
    </row>
    <row r="7782" spans="3:47">
      <c r="C7782" s="20"/>
      <c r="Z7782" s="20"/>
      <c r="AG7782" s="20"/>
      <c r="AQ7782" s="19"/>
      <c r="AR7782" s="19"/>
      <c r="AS7782" s="19"/>
      <c r="AT7782" s="19"/>
      <c r="AU7782" s="19"/>
    </row>
    <row r="7783" spans="3:47">
      <c r="C7783" s="20"/>
      <c r="Z7783" s="20"/>
      <c r="AG7783" s="20"/>
      <c r="AQ7783" s="19"/>
      <c r="AR7783" s="19"/>
      <c r="AS7783" s="19"/>
      <c r="AT7783" s="19"/>
      <c r="AU7783" s="19"/>
    </row>
    <row r="7784" spans="3:47">
      <c r="C7784" s="20"/>
      <c r="Z7784" s="20"/>
      <c r="AG7784" s="20"/>
      <c r="AQ7784" s="19"/>
      <c r="AR7784" s="19"/>
      <c r="AS7784" s="19"/>
      <c r="AT7784" s="19"/>
      <c r="AU7784" s="19"/>
    </row>
    <row r="7785" spans="3:47">
      <c r="C7785" s="20"/>
      <c r="Z7785" s="20"/>
      <c r="AG7785" s="20"/>
      <c r="AQ7785" s="19"/>
      <c r="AR7785" s="19"/>
      <c r="AS7785" s="19"/>
      <c r="AT7785" s="19"/>
      <c r="AU7785" s="19"/>
    </row>
    <row r="7786" spans="3:47">
      <c r="C7786" s="20"/>
      <c r="Z7786" s="20"/>
      <c r="AG7786" s="20"/>
      <c r="AQ7786" s="19"/>
      <c r="AR7786" s="19"/>
      <c r="AS7786" s="19"/>
      <c r="AT7786" s="19"/>
      <c r="AU7786" s="19"/>
    </row>
    <row r="7787" spans="3:47">
      <c r="C7787" s="20"/>
      <c r="Z7787" s="20"/>
      <c r="AG7787" s="20"/>
      <c r="AQ7787" s="19"/>
      <c r="AR7787" s="19"/>
      <c r="AS7787" s="19"/>
      <c r="AT7787" s="19"/>
      <c r="AU7787" s="19"/>
    </row>
    <row r="7788" spans="3:47">
      <c r="C7788" s="20"/>
      <c r="Z7788" s="20"/>
      <c r="AG7788" s="20"/>
      <c r="AQ7788" s="19"/>
      <c r="AR7788" s="19"/>
      <c r="AS7788" s="19"/>
      <c r="AT7788" s="19"/>
      <c r="AU7788" s="19"/>
    </row>
    <row r="7789" spans="3:47">
      <c r="C7789" s="20"/>
      <c r="Z7789" s="20"/>
      <c r="AG7789" s="20"/>
      <c r="AQ7789" s="19"/>
      <c r="AR7789" s="19"/>
      <c r="AS7789" s="19"/>
      <c r="AT7789" s="19"/>
      <c r="AU7789" s="19"/>
    </row>
    <row r="7790" spans="3:47">
      <c r="C7790" s="20"/>
      <c r="Z7790" s="20"/>
      <c r="AG7790" s="20"/>
      <c r="AQ7790" s="19"/>
      <c r="AR7790" s="19"/>
      <c r="AS7790" s="19"/>
      <c r="AT7790" s="19"/>
      <c r="AU7790" s="19"/>
    </row>
    <row r="7791" spans="3:47">
      <c r="C7791" s="20"/>
      <c r="Z7791" s="20"/>
      <c r="AG7791" s="20"/>
      <c r="AQ7791" s="19"/>
      <c r="AR7791" s="19"/>
      <c r="AS7791" s="19"/>
      <c r="AT7791" s="19"/>
      <c r="AU7791" s="19"/>
    </row>
    <row r="7792" spans="3:47">
      <c r="C7792" s="20"/>
      <c r="Z7792" s="20"/>
      <c r="AG7792" s="20"/>
      <c r="AQ7792" s="19"/>
      <c r="AR7792" s="19"/>
      <c r="AS7792" s="19"/>
      <c r="AT7792" s="19"/>
      <c r="AU7792" s="19"/>
    </row>
    <row r="7793" spans="3:47">
      <c r="C7793" s="20"/>
      <c r="Z7793" s="20"/>
      <c r="AG7793" s="20"/>
      <c r="AQ7793" s="19"/>
      <c r="AR7793" s="19"/>
      <c r="AS7793" s="19"/>
      <c r="AT7793" s="19"/>
      <c r="AU7793" s="19"/>
    </row>
    <row r="7794" spans="3:47">
      <c r="C7794" s="20"/>
      <c r="Z7794" s="20"/>
      <c r="AG7794" s="20"/>
      <c r="AQ7794" s="19"/>
      <c r="AR7794" s="19"/>
      <c r="AS7794" s="19"/>
      <c r="AT7794" s="19"/>
      <c r="AU7794" s="19"/>
    </row>
    <row r="7795" spans="3:47">
      <c r="C7795" s="20"/>
      <c r="Z7795" s="20"/>
      <c r="AG7795" s="20"/>
      <c r="AQ7795" s="19"/>
      <c r="AR7795" s="19"/>
      <c r="AS7795" s="19"/>
      <c r="AT7795" s="19"/>
      <c r="AU7795" s="19"/>
    </row>
    <row r="7796" spans="3:47">
      <c r="C7796" s="20"/>
      <c r="Z7796" s="20"/>
      <c r="AG7796" s="20"/>
      <c r="AQ7796" s="19"/>
      <c r="AR7796" s="19"/>
      <c r="AS7796" s="19"/>
      <c r="AT7796" s="19"/>
      <c r="AU7796" s="19"/>
    </row>
    <row r="7797" spans="3:47">
      <c r="C7797" s="20"/>
      <c r="Z7797" s="20"/>
      <c r="AG7797" s="20"/>
      <c r="AQ7797" s="19"/>
      <c r="AR7797" s="19"/>
      <c r="AS7797" s="19"/>
      <c r="AT7797" s="19"/>
      <c r="AU7797" s="19"/>
    </row>
    <row r="7798" spans="3:47">
      <c r="C7798" s="20"/>
      <c r="Z7798" s="20"/>
      <c r="AG7798" s="20"/>
      <c r="AQ7798" s="19"/>
      <c r="AR7798" s="19"/>
      <c r="AS7798" s="19"/>
      <c r="AT7798" s="19"/>
      <c r="AU7798" s="19"/>
    </row>
    <row r="7799" spans="3:47">
      <c r="C7799" s="20"/>
      <c r="Z7799" s="20"/>
      <c r="AG7799" s="20"/>
      <c r="AQ7799" s="19"/>
      <c r="AR7799" s="19"/>
      <c r="AS7799" s="19"/>
      <c r="AT7799" s="19"/>
      <c r="AU7799" s="19"/>
    </row>
    <row r="7800" spans="3:47">
      <c r="C7800" s="20"/>
      <c r="Z7800" s="20"/>
      <c r="AG7800" s="20"/>
      <c r="AQ7800" s="19"/>
      <c r="AR7800" s="19"/>
      <c r="AS7800" s="19"/>
      <c r="AT7800" s="19"/>
      <c r="AU7800" s="19"/>
    </row>
    <row r="7801" spans="3:47">
      <c r="C7801" s="20"/>
      <c r="Z7801" s="20"/>
      <c r="AG7801" s="20"/>
      <c r="AQ7801" s="19"/>
      <c r="AR7801" s="19"/>
      <c r="AS7801" s="19"/>
      <c r="AT7801" s="19"/>
      <c r="AU7801" s="19"/>
    </row>
    <row r="7802" spans="3:47">
      <c r="C7802" s="20"/>
      <c r="Z7802" s="20"/>
      <c r="AG7802" s="20"/>
      <c r="AQ7802" s="19"/>
      <c r="AR7802" s="19"/>
      <c r="AS7802" s="19"/>
      <c r="AT7802" s="19"/>
      <c r="AU7802" s="19"/>
    </row>
    <row r="7803" spans="3:47">
      <c r="C7803" s="20"/>
      <c r="Z7803" s="20"/>
      <c r="AG7803" s="20"/>
      <c r="AQ7803" s="19"/>
      <c r="AR7803" s="19"/>
      <c r="AS7803" s="19"/>
      <c r="AT7803" s="19"/>
      <c r="AU7803" s="19"/>
    </row>
    <row r="7804" spans="3:47">
      <c r="C7804" s="20"/>
      <c r="Z7804" s="20"/>
      <c r="AG7804" s="20"/>
      <c r="AQ7804" s="19"/>
      <c r="AR7804" s="19"/>
      <c r="AS7804" s="19"/>
      <c r="AT7804" s="19"/>
      <c r="AU7804" s="19"/>
    </row>
    <row r="7805" spans="3:47">
      <c r="C7805" s="20"/>
      <c r="Z7805" s="20"/>
      <c r="AG7805" s="20"/>
      <c r="AQ7805" s="19"/>
      <c r="AR7805" s="19"/>
      <c r="AS7805" s="19"/>
      <c r="AT7805" s="19"/>
      <c r="AU7805" s="19"/>
    </row>
    <row r="7806" spans="3:47">
      <c r="C7806" s="20"/>
      <c r="Z7806" s="20"/>
      <c r="AG7806" s="20"/>
      <c r="AQ7806" s="19"/>
      <c r="AR7806" s="19"/>
      <c r="AS7806" s="19"/>
      <c r="AT7806" s="19"/>
      <c r="AU7806" s="19"/>
    </row>
    <row r="7807" spans="3:47">
      <c r="C7807" s="20"/>
      <c r="Z7807" s="20"/>
      <c r="AG7807" s="20"/>
      <c r="AQ7807" s="19"/>
      <c r="AR7807" s="19"/>
      <c r="AS7807" s="19"/>
      <c r="AT7807" s="19"/>
      <c r="AU7807" s="19"/>
    </row>
    <row r="7808" spans="3:47">
      <c r="C7808" s="20"/>
      <c r="Z7808" s="20"/>
      <c r="AG7808" s="20"/>
      <c r="AQ7808" s="19"/>
      <c r="AR7808" s="19"/>
      <c r="AS7808" s="19"/>
      <c r="AT7808" s="19"/>
      <c r="AU7808" s="19"/>
    </row>
    <row r="7809" spans="3:47">
      <c r="C7809" s="20"/>
      <c r="Z7809" s="20"/>
      <c r="AG7809" s="20"/>
      <c r="AQ7809" s="19"/>
      <c r="AR7809" s="19"/>
      <c r="AS7809" s="19"/>
      <c r="AT7809" s="19"/>
      <c r="AU7809" s="19"/>
    </row>
    <row r="7810" spans="3:47">
      <c r="C7810" s="20"/>
      <c r="Z7810" s="20"/>
      <c r="AG7810" s="20"/>
      <c r="AQ7810" s="19"/>
      <c r="AR7810" s="19"/>
      <c r="AS7810" s="19"/>
      <c r="AT7810" s="19"/>
      <c r="AU7810" s="19"/>
    </row>
    <row r="7811" spans="3:47">
      <c r="C7811" s="20"/>
      <c r="Z7811" s="20"/>
      <c r="AG7811" s="20"/>
      <c r="AQ7811" s="19"/>
      <c r="AR7811" s="19"/>
      <c r="AS7811" s="19"/>
      <c r="AT7811" s="19"/>
      <c r="AU7811" s="19"/>
    </row>
    <row r="7812" spans="3:47">
      <c r="C7812" s="20"/>
      <c r="Z7812" s="20"/>
      <c r="AG7812" s="20"/>
      <c r="AQ7812" s="19"/>
      <c r="AR7812" s="19"/>
      <c r="AS7812" s="19"/>
      <c r="AT7812" s="19"/>
      <c r="AU7812" s="19"/>
    </row>
    <row r="7813" spans="3:47">
      <c r="C7813" s="20"/>
      <c r="Z7813" s="20"/>
      <c r="AG7813" s="20"/>
      <c r="AQ7813" s="19"/>
      <c r="AR7813" s="19"/>
      <c r="AS7813" s="19"/>
      <c r="AT7813" s="19"/>
      <c r="AU7813" s="19"/>
    </row>
    <row r="7814" spans="3:47">
      <c r="C7814" s="20"/>
      <c r="Z7814" s="20"/>
      <c r="AG7814" s="20"/>
      <c r="AQ7814" s="19"/>
      <c r="AR7814" s="19"/>
      <c r="AS7814" s="19"/>
      <c r="AT7814" s="19"/>
      <c r="AU7814" s="19"/>
    </row>
    <row r="7815" spans="3:47">
      <c r="C7815" s="20"/>
      <c r="Z7815" s="20"/>
      <c r="AG7815" s="20"/>
      <c r="AQ7815" s="19"/>
      <c r="AR7815" s="19"/>
      <c r="AS7815" s="19"/>
      <c r="AT7815" s="19"/>
      <c r="AU7815" s="19"/>
    </row>
    <row r="7816" spans="3:47">
      <c r="C7816" s="20"/>
      <c r="Z7816" s="20"/>
      <c r="AG7816" s="20"/>
      <c r="AQ7816" s="19"/>
      <c r="AR7816" s="19"/>
      <c r="AS7816" s="19"/>
      <c r="AT7816" s="19"/>
      <c r="AU7816" s="19"/>
    </row>
    <row r="7817" spans="3:47">
      <c r="C7817" s="20"/>
      <c r="Z7817" s="20"/>
      <c r="AG7817" s="20"/>
      <c r="AQ7817" s="19"/>
      <c r="AR7817" s="19"/>
      <c r="AS7817" s="19"/>
      <c r="AT7817" s="19"/>
      <c r="AU7817" s="19"/>
    </row>
    <row r="7818" spans="3:47">
      <c r="C7818" s="20"/>
      <c r="Z7818" s="20"/>
      <c r="AG7818" s="20"/>
      <c r="AQ7818" s="19"/>
      <c r="AR7818" s="19"/>
      <c r="AS7818" s="19"/>
      <c r="AT7818" s="19"/>
      <c r="AU7818" s="19"/>
    </row>
    <row r="7819" spans="3:47">
      <c r="C7819" s="20"/>
      <c r="Z7819" s="20"/>
      <c r="AG7819" s="20"/>
      <c r="AQ7819" s="19"/>
      <c r="AR7819" s="19"/>
      <c r="AS7819" s="19"/>
      <c r="AT7819" s="19"/>
      <c r="AU7819" s="19"/>
    </row>
    <row r="7820" spans="3:47">
      <c r="C7820" s="20"/>
      <c r="Z7820" s="20"/>
      <c r="AG7820" s="20"/>
      <c r="AQ7820" s="19"/>
      <c r="AR7820" s="19"/>
      <c r="AS7820" s="19"/>
      <c r="AT7820" s="19"/>
      <c r="AU7820" s="19"/>
    </row>
    <row r="7821" spans="3:47">
      <c r="C7821" s="20"/>
      <c r="Z7821" s="20"/>
      <c r="AG7821" s="20"/>
      <c r="AQ7821" s="19"/>
      <c r="AR7821" s="19"/>
      <c r="AS7821" s="19"/>
      <c r="AT7821" s="19"/>
      <c r="AU7821" s="19"/>
    </row>
    <row r="7822" spans="3:47">
      <c r="C7822" s="20"/>
      <c r="Z7822" s="20"/>
      <c r="AG7822" s="20"/>
      <c r="AQ7822" s="19"/>
      <c r="AR7822" s="19"/>
      <c r="AS7822" s="19"/>
      <c r="AT7822" s="19"/>
      <c r="AU7822" s="19"/>
    </row>
    <row r="7823" spans="3:47">
      <c r="C7823" s="20"/>
      <c r="Z7823" s="20"/>
      <c r="AG7823" s="20"/>
      <c r="AQ7823" s="19"/>
      <c r="AR7823" s="19"/>
      <c r="AS7823" s="19"/>
      <c r="AT7823" s="19"/>
      <c r="AU7823" s="19"/>
    </row>
    <row r="7824" spans="3:47">
      <c r="C7824" s="20"/>
      <c r="Z7824" s="20"/>
      <c r="AG7824" s="20"/>
      <c r="AQ7824" s="19"/>
      <c r="AR7824" s="19"/>
      <c r="AS7824" s="19"/>
      <c r="AT7824" s="19"/>
      <c r="AU7824" s="19"/>
    </row>
    <row r="7825" spans="3:47">
      <c r="C7825" s="20"/>
      <c r="Z7825" s="20"/>
      <c r="AG7825" s="20"/>
      <c r="AQ7825" s="19"/>
      <c r="AR7825" s="19"/>
      <c r="AS7825" s="19"/>
      <c r="AT7825" s="19"/>
      <c r="AU7825" s="19"/>
    </row>
    <row r="7826" spans="3:47">
      <c r="C7826" s="20"/>
      <c r="Z7826" s="20"/>
      <c r="AG7826" s="20"/>
      <c r="AQ7826" s="19"/>
      <c r="AR7826" s="19"/>
      <c r="AS7826" s="19"/>
      <c r="AT7826" s="19"/>
      <c r="AU7826" s="19"/>
    </row>
    <row r="7827" spans="3:47">
      <c r="C7827" s="20"/>
      <c r="Z7827" s="20"/>
      <c r="AG7827" s="20"/>
      <c r="AQ7827" s="19"/>
      <c r="AR7827" s="19"/>
      <c r="AS7827" s="19"/>
      <c r="AT7827" s="19"/>
      <c r="AU7827" s="19"/>
    </row>
    <row r="7828" spans="3:47">
      <c r="C7828" s="20"/>
      <c r="Z7828" s="20"/>
      <c r="AG7828" s="20"/>
      <c r="AQ7828" s="19"/>
      <c r="AR7828" s="19"/>
      <c r="AS7828" s="19"/>
      <c r="AT7828" s="19"/>
      <c r="AU7828" s="19"/>
    </row>
    <row r="7829" spans="3:47">
      <c r="C7829" s="20"/>
      <c r="Z7829" s="20"/>
      <c r="AG7829" s="20"/>
      <c r="AQ7829" s="19"/>
      <c r="AR7829" s="19"/>
      <c r="AS7829" s="19"/>
      <c r="AT7829" s="19"/>
      <c r="AU7829" s="19"/>
    </row>
    <row r="7830" spans="3:47">
      <c r="C7830" s="20"/>
      <c r="Z7830" s="20"/>
      <c r="AG7830" s="20"/>
      <c r="AQ7830" s="19"/>
      <c r="AR7830" s="19"/>
      <c r="AS7830" s="19"/>
      <c r="AT7830" s="19"/>
      <c r="AU7830" s="19"/>
    </row>
    <row r="7831" spans="3:47">
      <c r="C7831" s="20"/>
      <c r="Z7831" s="20"/>
      <c r="AG7831" s="20"/>
      <c r="AQ7831" s="19"/>
      <c r="AR7831" s="19"/>
      <c r="AS7831" s="19"/>
      <c r="AT7831" s="19"/>
      <c r="AU7831" s="19"/>
    </row>
    <row r="7832" spans="3:47">
      <c r="C7832" s="20"/>
      <c r="Z7832" s="20"/>
      <c r="AG7832" s="20"/>
      <c r="AQ7832" s="19"/>
      <c r="AR7832" s="19"/>
      <c r="AS7832" s="19"/>
      <c r="AT7832" s="19"/>
      <c r="AU7832" s="19"/>
    </row>
    <row r="7833" spans="3:47">
      <c r="C7833" s="20"/>
      <c r="Z7833" s="20"/>
      <c r="AG7833" s="20"/>
      <c r="AQ7833" s="19"/>
      <c r="AR7833" s="19"/>
      <c r="AS7833" s="19"/>
      <c r="AT7833" s="19"/>
      <c r="AU7833" s="19"/>
    </row>
    <row r="7834" spans="3:47">
      <c r="C7834" s="20"/>
      <c r="Z7834" s="20"/>
      <c r="AG7834" s="20"/>
      <c r="AQ7834" s="19"/>
      <c r="AR7834" s="19"/>
      <c r="AS7834" s="19"/>
      <c r="AT7834" s="19"/>
      <c r="AU7834" s="19"/>
    </row>
    <row r="7835" spans="3:47">
      <c r="C7835" s="20"/>
      <c r="Z7835" s="20"/>
      <c r="AG7835" s="20"/>
      <c r="AQ7835" s="19"/>
      <c r="AR7835" s="19"/>
      <c r="AS7835" s="19"/>
      <c r="AT7835" s="19"/>
      <c r="AU7835" s="19"/>
    </row>
    <row r="7836" spans="3:47">
      <c r="C7836" s="20"/>
      <c r="Z7836" s="20"/>
      <c r="AG7836" s="20"/>
      <c r="AQ7836" s="19"/>
      <c r="AR7836" s="19"/>
      <c r="AS7836" s="19"/>
      <c r="AT7836" s="19"/>
      <c r="AU7836" s="19"/>
    </row>
    <row r="7837" spans="3:47">
      <c r="C7837" s="20"/>
      <c r="Z7837" s="20"/>
      <c r="AG7837" s="20"/>
      <c r="AQ7837" s="19"/>
      <c r="AR7837" s="19"/>
      <c r="AS7837" s="19"/>
      <c r="AT7837" s="19"/>
      <c r="AU7837" s="19"/>
    </row>
    <row r="7838" spans="3:47">
      <c r="C7838" s="20"/>
      <c r="Z7838" s="20"/>
      <c r="AG7838" s="20"/>
      <c r="AQ7838" s="19"/>
      <c r="AR7838" s="19"/>
      <c r="AS7838" s="19"/>
      <c r="AT7838" s="19"/>
      <c r="AU7838" s="19"/>
    </row>
    <row r="7839" spans="3:47">
      <c r="C7839" s="20"/>
      <c r="Z7839" s="20"/>
      <c r="AG7839" s="20"/>
      <c r="AQ7839" s="19"/>
      <c r="AR7839" s="19"/>
      <c r="AS7839" s="19"/>
      <c r="AT7839" s="19"/>
      <c r="AU7839" s="19"/>
    </row>
    <row r="7840" spans="3:47">
      <c r="C7840" s="20"/>
      <c r="Z7840" s="20"/>
      <c r="AG7840" s="20"/>
      <c r="AQ7840" s="19"/>
      <c r="AR7840" s="19"/>
      <c r="AS7840" s="19"/>
      <c r="AT7840" s="19"/>
      <c r="AU7840" s="19"/>
    </row>
    <row r="7841" spans="3:47">
      <c r="C7841" s="20"/>
      <c r="Z7841" s="20"/>
      <c r="AG7841" s="20"/>
      <c r="AQ7841" s="19"/>
      <c r="AR7841" s="19"/>
      <c r="AS7841" s="19"/>
      <c r="AT7841" s="19"/>
      <c r="AU7841" s="19"/>
    </row>
    <row r="7842" spans="3:47">
      <c r="C7842" s="20"/>
      <c r="Z7842" s="20"/>
      <c r="AG7842" s="20"/>
      <c r="AQ7842" s="19"/>
      <c r="AR7842" s="19"/>
      <c r="AS7842" s="19"/>
      <c r="AT7842" s="19"/>
      <c r="AU7842" s="19"/>
    </row>
    <row r="7843" spans="3:47">
      <c r="C7843" s="20"/>
      <c r="Z7843" s="20"/>
      <c r="AG7843" s="20"/>
      <c r="AQ7843" s="19"/>
      <c r="AR7843" s="19"/>
      <c r="AS7843" s="19"/>
      <c r="AT7843" s="19"/>
      <c r="AU7843" s="19"/>
    </row>
    <row r="7844" spans="3:47">
      <c r="C7844" s="20"/>
      <c r="Z7844" s="20"/>
      <c r="AG7844" s="20"/>
      <c r="AQ7844" s="19"/>
      <c r="AR7844" s="19"/>
      <c r="AS7844" s="19"/>
      <c r="AT7844" s="19"/>
      <c r="AU7844" s="19"/>
    </row>
    <row r="7845" spans="3:47">
      <c r="C7845" s="20"/>
      <c r="Z7845" s="20"/>
      <c r="AG7845" s="20"/>
      <c r="AQ7845" s="19"/>
      <c r="AR7845" s="19"/>
      <c r="AS7845" s="19"/>
      <c r="AT7845" s="19"/>
      <c r="AU7845" s="19"/>
    </row>
    <row r="7846" spans="3:47">
      <c r="C7846" s="20"/>
      <c r="Z7846" s="20"/>
      <c r="AG7846" s="20"/>
      <c r="AQ7846" s="19"/>
      <c r="AR7846" s="19"/>
      <c r="AS7846" s="19"/>
      <c r="AT7846" s="19"/>
      <c r="AU7846" s="19"/>
    </row>
    <row r="7847" spans="3:47">
      <c r="C7847" s="20"/>
      <c r="Z7847" s="20"/>
      <c r="AG7847" s="20"/>
      <c r="AQ7847" s="19"/>
      <c r="AR7847" s="19"/>
      <c r="AS7847" s="19"/>
      <c r="AT7847" s="19"/>
      <c r="AU7847" s="19"/>
    </row>
    <row r="7848" spans="3:47">
      <c r="C7848" s="20"/>
      <c r="Z7848" s="20"/>
      <c r="AG7848" s="20"/>
      <c r="AQ7848" s="19"/>
      <c r="AR7848" s="19"/>
      <c r="AS7848" s="19"/>
      <c r="AT7848" s="19"/>
      <c r="AU7848" s="19"/>
    </row>
    <row r="7849" spans="3:47">
      <c r="C7849" s="20"/>
      <c r="Z7849" s="20"/>
      <c r="AG7849" s="20"/>
      <c r="AQ7849" s="19"/>
      <c r="AR7849" s="19"/>
      <c r="AS7849" s="19"/>
      <c r="AT7849" s="19"/>
      <c r="AU7849" s="19"/>
    </row>
    <row r="7850" spans="3:47">
      <c r="C7850" s="20"/>
      <c r="Z7850" s="20"/>
      <c r="AG7850" s="20"/>
      <c r="AQ7850" s="19"/>
      <c r="AR7850" s="19"/>
      <c r="AS7850" s="19"/>
      <c r="AT7850" s="19"/>
      <c r="AU7850" s="19"/>
    </row>
    <row r="7851" spans="3:47">
      <c r="C7851" s="20"/>
      <c r="Z7851" s="20"/>
      <c r="AG7851" s="20"/>
      <c r="AQ7851" s="19"/>
      <c r="AR7851" s="19"/>
      <c r="AS7851" s="19"/>
      <c r="AT7851" s="19"/>
      <c r="AU7851" s="19"/>
    </row>
    <row r="7852" spans="3:47">
      <c r="C7852" s="20"/>
      <c r="Z7852" s="20"/>
      <c r="AG7852" s="20"/>
      <c r="AQ7852" s="19"/>
      <c r="AR7852" s="19"/>
      <c r="AS7852" s="19"/>
      <c r="AT7852" s="19"/>
      <c r="AU7852" s="19"/>
    </row>
    <row r="7853" spans="3:47">
      <c r="C7853" s="20"/>
      <c r="Z7853" s="20"/>
      <c r="AG7853" s="20"/>
      <c r="AQ7853" s="19"/>
      <c r="AR7853" s="19"/>
      <c r="AS7853" s="19"/>
      <c r="AT7853" s="19"/>
      <c r="AU7853" s="19"/>
    </row>
    <row r="7854" spans="3:47">
      <c r="C7854" s="20"/>
      <c r="Z7854" s="20"/>
      <c r="AG7854" s="20"/>
      <c r="AQ7854" s="19"/>
      <c r="AR7854" s="19"/>
      <c r="AS7854" s="19"/>
      <c r="AT7854" s="19"/>
      <c r="AU7854" s="19"/>
    </row>
    <row r="7855" spans="3:47">
      <c r="C7855" s="20"/>
      <c r="Z7855" s="20"/>
      <c r="AG7855" s="20"/>
      <c r="AQ7855" s="19"/>
      <c r="AR7855" s="19"/>
      <c r="AS7855" s="19"/>
      <c r="AT7855" s="19"/>
      <c r="AU7855" s="19"/>
    </row>
    <row r="7856" spans="3:47">
      <c r="C7856" s="20"/>
      <c r="Z7856" s="20"/>
      <c r="AG7856" s="20"/>
      <c r="AQ7856" s="19"/>
      <c r="AR7856" s="19"/>
      <c r="AS7856" s="19"/>
      <c r="AT7856" s="19"/>
      <c r="AU7856" s="19"/>
    </row>
    <row r="7857" spans="3:47">
      <c r="C7857" s="20"/>
      <c r="Z7857" s="20"/>
      <c r="AG7857" s="20"/>
      <c r="AQ7857" s="19"/>
      <c r="AR7857" s="19"/>
      <c r="AS7857" s="19"/>
      <c r="AT7857" s="19"/>
      <c r="AU7857" s="19"/>
    </row>
    <row r="7858" spans="3:47">
      <c r="C7858" s="20"/>
      <c r="Z7858" s="20"/>
      <c r="AG7858" s="20"/>
      <c r="AQ7858" s="19"/>
      <c r="AR7858" s="19"/>
      <c r="AS7858" s="19"/>
      <c r="AT7858" s="19"/>
      <c r="AU7858" s="19"/>
    </row>
    <row r="7859" spans="3:47">
      <c r="C7859" s="20"/>
      <c r="Z7859" s="20"/>
      <c r="AG7859" s="20"/>
      <c r="AQ7859" s="19"/>
      <c r="AR7859" s="19"/>
      <c r="AS7859" s="19"/>
      <c r="AT7859" s="19"/>
      <c r="AU7859" s="19"/>
    </row>
    <row r="7860" spans="3:47">
      <c r="C7860" s="20"/>
      <c r="Z7860" s="20"/>
      <c r="AG7860" s="20"/>
      <c r="AQ7860" s="19"/>
      <c r="AR7860" s="19"/>
      <c r="AS7860" s="19"/>
      <c r="AT7860" s="19"/>
      <c r="AU7860" s="19"/>
    </row>
    <row r="7861" spans="3:47">
      <c r="C7861" s="20"/>
      <c r="Z7861" s="20"/>
      <c r="AG7861" s="20"/>
      <c r="AQ7861" s="19"/>
      <c r="AR7861" s="19"/>
      <c r="AS7861" s="19"/>
      <c r="AT7861" s="19"/>
      <c r="AU7861" s="19"/>
    </row>
    <row r="7862" spans="3:47">
      <c r="C7862" s="20"/>
      <c r="Z7862" s="20"/>
      <c r="AG7862" s="20"/>
      <c r="AQ7862" s="19"/>
      <c r="AR7862" s="19"/>
      <c r="AS7862" s="19"/>
      <c r="AT7862" s="19"/>
      <c r="AU7862" s="19"/>
    </row>
    <row r="7863" spans="3:47">
      <c r="C7863" s="20"/>
      <c r="Z7863" s="20"/>
      <c r="AG7863" s="20"/>
      <c r="AQ7863" s="19"/>
      <c r="AR7863" s="19"/>
      <c r="AS7863" s="19"/>
      <c r="AT7863" s="19"/>
      <c r="AU7863" s="19"/>
    </row>
    <row r="7864" spans="3:47">
      <c r="C7864" s="20"/>
      <c r="Z7864" s="20"/>
      <c r="AG7864" s="20"/>
      <c r="AQ7864" s="19"/>
      <c r="AR7864" s="19"/>
      <c r="AS7864" s="19"/>
      <c r="AT7864" s="19"/>
      <c r="AU7864" s="19"/>
    </row>
    <row r="7865" spans="3:47">
      <c r="C7865" s="20"/>
      <c r="Z7865" s="20"/>
      <c r="AG7865" s="20"/>
      <c r="AQ7865" s="19"/>
      <c r="AR7865" s="19"/>
      <c r="AS7865" s="19"/>
      <c r="AT7865" s="19"/>
      <c r="AU7865" s="19"/>
    </row>
    <row r="7866" spans="3:47">
      <c r="C7866" s="20"/>
      <c r="Z7866" s="20"/>
      <c r="AG7866" s="20"/>
      <c r="AQ7866" s="19"/>
      <c r="AR7866" s="19"/>
      <c r="AS7866" s="19"/>
      <c r="AT7866" s="19"/>
      <c r="AU7866" s="19"/>
    </row>
    <row r="7867" spans="3:47">
      <c r="C7867" s="20"/>
      <c r="Z7867" s="20"/>
      <c r="AG7867" s="20"/>
      <c r="AQ7867" s="19"/>
      <c r="AR7867" s="19"/>
      <c r="AS7867" s="19"/>
      <c r="AT7867" s="19"/>
      <c r="AU7867" s="19"/>
    </row>
    <row r="7868" spans="3:47">
      <c r="C7868" s="20"/>
      <c r="Z7868" s="20"/>
      <c r="AG7868" s="20"/>
      <c r="AQ7868" s="19"/>
      <c r="AR7868" s="19"/>
      <c r="AS7868" s="19"/>
      <c r="AT7868" s="19"/>
      <c r="AU7868" s="19"/>
    </row>
    <row r="7869" spans="3:47">
      <c r="C7869" s="20"/>
      <c r="Z7869" s="20"/>
      <c r="AG7869" s="20"/>
      <c r="AQ7869" s="19"/>
      <c r="AR7869" s="19"/>
      <c r="AS7869" s="19"/>
      <c r="AT7869" s="19"/>
      <c r="AU7869" s="19"/>
    </row>
    <row r="7870" spans="3:47">
      <c r="C7870" s="20"/>
      <c r="Z7870" s="20"/>
      <c r="AG7870" s="20"/>
      <c r="AQ7870" s="19"/>
      <c r="AR7870" s="19"/>
      <c r="AS7870" s="19"/>
      <c r="AT7870" s="19"/>
      <c r="AU7870" s="19"/>
    </row>
    <row r="7871" spans="3:47">
      <c r="C7871" s="20"/>
      <c r="Z7871" s="20"/>
      <c r="AG7871" s="20"/>
      <c r="AQ7871" s="19"/>
      <c r="AR7871" s="19"/>
      <c r="AS7871" s="19"/>
      <c r="AT7871" s="19"/>
      <c r="AU7871" s="19"/>
    </row>
    <row r="7872" spans="3:47">
      <c r="C7872" s="20"/>
      <c r="Z7872" s="20"/>
      <c r="AG7872" s="20"/>
      <c r="AQ7872" s="19"/>
      <c r="AR7872" s="19"/>
      <c r="AS7872" s="19"/>
      <c r="AT7872" s="19"/>
      <c r="AU7872" s="19"/>
    </row>
    <row r="7873" spans="3:47">
      <c r="C7873" s="20"/>
      <c r="Z7873" s="20"/>
      <c r="AG7873" s="20"/>
      <c r="AQ7873" s="19"/>
      <c r="AR7873" s="19"/>
      <c r="AS7873" s="19"/>
      <c r="AT7873" s="19"/>
      <c r="AU7873" s="19"/>
    </row>
    <row r="7874" spans="3:47">
      <c r="C7874" s="20"/>
      <c r="Z7874" s="20"/>
      <c r="AG7874" s="20"/>
      <c r="AQ7874" s="19"/>
      <c r="AR7874" s="19"/>
      <c r="AS7874" s="19"/>
      <c r="AT7874" s="19"/>
      <c r="AU7874" s="19"/>
    </row>
    <row r="7875" spans="3:47">
      <c r="C7875" s="20"/>
      <c r="Z7875" s="20"/>
      <c r="AG7875" s="20"/>
      <c r="AQ7875" s="19"/>
      <c r="AR7875" s="19"/>
      <c r="AS7875" s="19"/>
      <c r="AT7875" s="19"/>
      <c r="AU7875" s="19"/>
    </row>
    <row r="7876" spans="3:47">
      <c r="C7876" s="20"/>
      <c r="Z7876" s="20"/>
      <c r="AG7876" s="20"/>
      <c r="AQ7876" s="19"/>
      <c r="AR7876" s="19"/>
      <c r="AS7876" s="19"/>
      <c r="AT7876" s="19"/>
      <c r="AU7876" s="19"/>
    </row>
    <row r="7877" spans="3:47">
      <c r="C7877" s="20"/>
      <c r="Z7877" s="20"/>
      <c r="AG7877" s="20"/>
      <c r="AQ7877" s="19"/>
      <c r="AR7877" s="19"/>
      <c r="AS7877" s="19"/>
      <c r="AT7877" s="19"/>
      <c r="AU7877" s="19"/>
    </row>
    <row r="7878" spans="3:47">
      <c r="C7878" s="20"/>
      <c r="Z7878" s="20"/>
      <c r="AG7878" s="20"/>
      <c r="AQ7878" s="19"/>
      <c r="AR7878" s="19"/>
      <c r="AS7878" s="19"/>
      <c r="AT7878" s="19"/>
      <c r="AU7878" s="19"/>
    </row>
    <row r="7879" spans="3:47">
      <c r="C7879" s="20"/>
      <c r="Z7879" s="20"/>
      <c r="AG7879" s="20"/>
      <c r="AQ7879" s="19"/>
      <c r="AR7879" s="19"/>
      <c r="AS7879" s="19"/>
      <c r="AT7879" s="19"/>
      <c r="AU7879" s="19"/>
    </row>
    <row r="7880" spans="3:47">
      <c r="C7880" s="20"/>
      <c r="Z7880" s="20"/>
      <c r="AG7880" s="20"/>
      <c r="AQ7880" s="19"/>
      <c r="AR7880" s="19"/>
      <c r="AS7880" s="19"/>
      <c r="AT7880" s="19"/>
      <c r="AU7880" s="19"/>
    </row>
    <row r="7881" spans="3:47">
      <c r="C7881" s="20"/>
      <c r="Z7881" s="20"/>
      <c r="AG7881" s="20"/>
      <c r="AQ7881" s="19"/>
      <c r="AR7881" s="19"/>
      <c r="AS7881" s="19"/>
      <c r="AT7881" s="19"/>
      <c r="AU7881" s="19"/>
    </row>
    <row r="7882" spans="3:47">
      <c r="C7882" s="20"/>
      <c r="Z7882" s="20"/>
      <c r="AG7882" s="20"/>
      <c r="AQ7882" s="19"/>
      <c r="AR7882" s="19"/>
      <c r="AS7882" s="19"/>
      <c r="AT7882" s="19"/>
      <c r="AU7882" s="19"/>
    </row>
    <row r="7883" spans="3:47">
      <c r="C7883" s="20"/>
      <c r="Z7883" s="20"/>
      <c r="AG7883" s="20"/>
      <c r="AQ7883" s="19"/>
      <c r="AR7883" s="19"/>
      <c r="AS7883" s="19"/>
      <c r="AT7883" s="19"/>
      <c r="AU7883" s="19"/>
    </row>
    <row r="7884" spans="3:47">
      <c r="C7884" s="20"/>
      <c r="Z7884" s="20"/>
      <c r="AG7884" s="20"/>
      <c r="AQ7884" s="19"/>
      <c r="AR7884" s="19"/>
      <c r="AS7884" s="19"/>
      <c r="AT7884" s="19"/>
      <c r="AU7884" s="19"/>
    </row>
    <row r="7885" spans="3:47">
      <c r="C7885" s="20"/>
      <c r="Z7885" s="20"/>
      <c r="AG7885" s="20"/>
      <c r="AQ7885" s="19"/>
      <c r="AR7885" s="19"/>
      <c r="AS7885" s="19"/>
      <c r="AT7885" s="19"/>
      <c r="AU7885" s="19"/>
    </row>
    <row r="7886" spans="3:47">
      <c r="C7886" s="20"/>
      <c r="Z7886" s="20"/>
      <c r="AG7886" s="20"/>
      <c r="AQ7886" s="19"/>
      <c r="AR7886" s="19"/>
      <c r="AS7886" s="19"/>
      <c r="AT7886" s="19"/>
      <c r="AU7886" s="19"/>
    </row>
    <row r="7887" spans="3:47">
      <c r="C7887" s="20"/>
      <c r="Z7887" s="20"/>
      <c r="AG7887" s="20"/>
      <c r="AQ7887" s="19"/>
      <c r="AR7887" s="19"/>
      <c r="AS7887" s="19"/>
      <c r="AT7887" s="19"/>
      <c r="AU7887" s="19"/>
    </row>
    <row r="7888" spans="3:47">
      <c r="C7888" s="20"/>
      <c r="Z7888" s="20"/>
      <c r="AG7888" s="20"/>
      <c r="AQ7888" s="19"/>
      <c r="AR7888" s="19"/>
      <c r="AS7888" s="19"/>
      <c r="AT7888" s="19"/>
      <c r="AU7888" s="19"/>
    </row>
    <row r="7889" spans="3:47">
      <c r="C7889" s="20"/>
      <c r="Z7889" s="20"/>
      <c r="AG7889" s="20"/>
      <c r="AQ7889" s="19"/>
      <c r="AR7889" s="19"/>
      <c r="AS7889" s="19"/>
      <c r="AT7889" s="19"/>
      <c r="AU7889" s="19"/>
    </row>
    <row r="7890" spans="3:47">
      <c r="C7890" s="20"/>
      <c r="Z7890" s="20"/>
      <c r="AG7890" s="20"/>
      <c r="AQ7890" s="19"/>
      <c r="AR7890" s="19"/>
      <c r="AS7890" s="19"/>
      <c r="AT7890" s="19"/>
      <c r="AU7890" s="19"/>
    </row>
    <row r="7891" spans="3:47">
      <c r="C7891" s="20"/>
      <c r="Z7891" s="20"/>
      <c r="AG7891" s="20"/>
      <c r="AQ7891" s="19"/>
      <c r="AR7891" s="19"/>
      <c r="AS7891" s="19"/>
      <c r="AT7891" s="19"/>
      <c r="AU7891" s="19"/>
    </row>
    <row r="7892" spans="3:47">
      <c r="C7892" s="20"/>
      <c r="Z7892" s="20"/>
      <c r="AG7892" s="20"/>
      <c r="AQ7892" s="19"/>
      <c r="AR7892" s="19"/>
      <c r="AS7892" s="19"/>
      <c r="AT7892" s="19"/>
      <c r="AU7892" s="19"/>
    </row>
    <row r="7893" spans="3:47">
      <c r="C7893" s="20"/>
      <c r="Z7893" s="20"/>
      <c r="AG7893" s="20"/>
      <c r="AQ7893" s="19"/>
      <c r="AR7893" s="19"/>
      <c r="AS7893" s="19"/>
      <c r="AT7893" s="19"/>
      <c r="AU7893" s="19"/>
    </row>
    <row r="7894" spans="3:47">
      <c r="C7894" s="20"/>
      <c r="Z7894" s="20"/>
      <c r="AG7894" s="20"/>
      <c r="AQ7894" s="19"/>
      <c r="AR7894" s="19"/>
      <c r="AS7894" s="19"/>
      <c r="AT7894" s="19"/>
      <c r="AU7894" s="19"/>
    </row>
    <row r="7895" spans="3:47">
      <c r="C7895" s="20"/>
      <c r="Z7895" s="20"/>
      <c r="AG7895" s="20"/>
      <c r="AQ7895" s="19"/>
      <c r="AR7895" s="19"/>
      <c r="AS7895" s="19"/>
      <c r="AT7895" s="19"/>
      <c r="AU7895" s="19"/>
    </row>
    <row r="7896" spans="3:47">
      <c r="C7896" s="20"/>
      <c r="Z7896" s="20"/>
      <c r="AG7896" s="20"/>
      <c r="AQ7896" s="19"/>
      <c r="AR7896" s="19"/>
      <c r="AS7896" s="19"/>
      <c r="AT7896" s="19"/>
      <c r="AU7896" s="19"/>
    </row>
    <row r="7897" spans="3:47">
      <c r="C7897" s="20"/>
      <c r="Z7897" s="20"/>
      <c r="AG7897" s="20"/>
      <c r="AQ7897" s="19"/>
      <c r="AR7897" s="19"/>
      <c r="AS7897" s="19"/>
      <c r="AT7897" s="19"/>
      <c r="AU7897" s="19"/>
    </row>
    <row r="7898" spans="3:47">
      <c r="C7898" s="20"/>
      <c r="Z7898" s="20"/>
      <c r="AG7898" s="20"/>
      <c r="AQ7898" s="19"/>
      <c r="AR7898" s="19"/>
      <c r="AS7898" s="19"/>
      <c r="AT7898" s="19"/>
      <c r="AU7898" s="19"/>
    </row>
    <row r="7899" spans="3:47">
      <c r="C7899" s="20"/>
      <c r="Z7899" s="20"/>
      <c r="AG7899" s="20"/>
      <c r="AQ7899" s="19"/>
      <c r="AR7899" s="19"/>
      <c r="AS7899" s="19"/>
      <c r="AT7899" s="19"/>
      <c r="AU7899" s="19"/>
    </row>
    <row r="7900" spans="3:47">
      <c r="C7900" s="20"/>
      <c r="Z7900" s="20"/>
      <c r="AG7900" s="20"/>
      <c r="AQ7900" s="19"/>
      <c r="AR7900" s="19"/>
      <c r="AS7900" s="19"/>
      <c r="AT7900" s="19"/>
      <c r="AU7900" s="19"/>
    </row>
    <row r="7901" spans="3:47">
      <c r="C7901" s="20"/>
      <c r="Z7901" s="20"/>
      <c r="AG7901" s="20"/>
      <c r="AQ7901" s="19"/>
      <c r="AR7901" s="19"/>
      <c r="AS7901" s="19"/>
      <c r="AT7901" s="19"/>
      <c r="AU7901" s="19"/>
    </row>
    <row r="7902" spans="3:47">
      <c r="C7902" s="20"/>
      <c r="Z7902" s="20"/>
      <c r="AG7902" s="20"/>
      <c r="AQ7902" s="19"/>
      <c r="AR7902" s="19"/>
      <c r="AS7902" s="19"/>
      <c r="AT7902" s="19"/>
      <c r="AU7902" s="19"/>
    </row>
    <row r="7903" spans="3:47">
      <c r="C7903" s="20"/>
      <c r="Z7903" s="20"/>
      <c r="AG7903" s="20"/>
      <c r="AQ7903" s="19"/>
      <c r="AR7903" s="19"/>
      <c r="AS7903" s="19"/>
      <c r="AT7903" s="19"/>
      <c r="AU7903" s="19"/>
    </row>
    <row r="7904" spans="3:47">
      <c r="C7904" s="20"/>
      <c r="Z7904" s="20"/>
      <c r="AG7904" s="20"/>
      <c r="AQ7904" s="19"/>
      <c r="AR7904" s="19"/>
      <c r="AS7904" s="19"/>
      <c r="AT7904" s="19"/>
      <c r="AU7904" s="19"/>
    </row>
    <row r="7905" spans="3:47">
      <c r="C7905" s="20"/>
      <c r="Z7905" s="20"/>
      <c r="AG7905" s="20"/>
      <c r="AQ7905" s="19"/>
      <c r="AR7905" s="19"/>
      <c r="AS7905" s="19"/>
      <c r="AT7905" s="19"/>
      <c r="AU7905" s="19"/>
    </row>
    <row r="7906" spans="3:47">
      <c r="C7906" s="20"/>
      <c r="Z7906" s="20"/>
      <c r="AG7906" s="20"/>
      <c r="AQ7906" s="19"/>
      <c r="AR7906" s="19"/>
      <c r="AS7906" s="19"/>
      <c r="AT7906" s="19"/>
      <c r="AU7906" s="19"/>
    </row>
    <row r="7907" spans="3:47">
      <c r="C7907" s="20"/>
      <c r="Z7907" s="20"/>
      <c r="AG7907" s="20"/>
      <c r="AQ7907" s="19"/>
      <c r="AR7907" s="19"/>
      <c r="AS7907" s="19"/>
      <c r="AT7907" s="19"/>
      <c r="AU7907" s="19"/>
    </row>
    <row r="7908" spans="3:47">
      <c r="C7908" s="20"/>
      <c r="Z7908" s="20"/>
      <c r="AG7908" s="20"/>
      <c r="AQ7908" s="19"/>
      <c r="AR7908" s="19"/>
      <c r="AS7908" s="19"/>
      <c r="AT7908" s="19"/>
      <c r="AU7908" s="19"/>
    </row>
    <row r="7909" spans="3:47">
      <c r="C7909" s="20"/>
      <c r="Z7909" s="20"/>
      <c r="AG7909" s="20"/>
      <c r="AQ7909" s="19"/>
      <c r="AR7909" s="19"/>
      <c r="AS7909" s="19"/>
      <c r="AT7909" s="19"/>
      <c r="AU7909" s="19"/>
    </row>
    <row r="7910" spans="3:47">
      <c r="C7910" s="20"/>
      <c r="Z7910" s="20"/>
      <c r="AG7910" s="20"/>
      <c r="AQ7910" s="19"/>
      <c r="AR7910" s="19"/>
      <c r="AS7910" s="19"/>
      <c r="AT7910" s="19"/>
      <c r="AU7910" s="19"/>
    </row>
    <row r="7911" spans="3:47">
      <c r="C7911" s="20"/>
      <c r="Z7911" s="20"/>
      <c r="AG7911" s="20"/>
      <c r="AQ7911" s="19"/>
      <c r="AR7911" s="19"/>
      <c r="AS7911" s="19"/>
      <c r="AT7911" s="19"/>
      <c r="AU7911" s="19"/>
    </row>
    <row r="7912" spans="3:47">
      <c r="C7912" s="20"/>
      <c r="Z7912" s="20"/>
      <c r="AG7912" s="20"/>
      <c r="AQ7912" s="19"/>
      <c r="AR7912" s="19"/>
      <c r="AS7912" s="19"/>
      <c r="AT7912" s="19"/>
      <c r="AU7912" s="19"/>
    </row>
    <row r="7913" spans="3:47">
      <c r="C7913" s="20"/>
      <c r="Z7913" s="20"/>
      <c r="AG7913" s="20"/>
      <c r="AQ7913" s="19"/>
      <c r="AR7913" s="19"/>
      <c r="AS7913" s="19"/>
      <c r="AT7913" s="19"/>
      <c r="AU7913" s="19"/>
    </row>
    <row r="7914" spans="3:47">
      <c r="C7914" s="20"/>
      <c r="Z7914" s="20"/>
      <c r="AG7914" s="20"/>
      <c r="AQ7914" s="19"/>
      <c r="AR7914" s="19"/>
      <c r="AS7914" s="19"/>
      <c r="AT7914" s="19"/>
      <c r="AU7914" s="19"/>
    </row>
    <row r="7915" spans="3:47">
      <c r="C7915" s="20"/>
      <c r="Z7915" s="20"/>
      <c r="AG7915" s="20"/>
      <c r="AQ7915" s="19"/>
      <c r="AR7915" s="19"/>
      <c r="AS7915" s="19"/>
      <c r="AT7915" s="19"/>
      <c r="AU7915" s="19"/>
    </row>
    <row r="7916" spans="3:47">
      <c r="C7916" s="20"/>
      <c r="Z7916" s="20"/>
      <c r="AG7916" s="20"/>
      <c r="AQ7916" s="19"/>
      <c r="AR7916" s="19"/>
      <c r="AS7916" s="19"/>
      <c r="AT7916" s="19"/>
      <c r="AU7916" s="19"/>
    </row>
    <row r="7917" spans="3:47">
      <c r="C7917" s="20"/>
      <c r="Z7917" s="20"/>
      <c r="AG7917" s="20"/>
      <c r="AQ7917" s="19"/>
      <c r="AR7917" s="19"/>
      <c r="AS7917" s="19"/>
      <c r="AT7917" s="19"/>
      <c r="AU7917" s="19"/>
    </row>
    <row r="7918" spans="3:47">
      <c r="C7918" s="20"/>
      <c r="Z7918" s="20"/>
      <c r="AG7918" s="20"/>
      <c r="AQ7918" s="19"/>
      <c r="AR7918" s="19"/>
      <c r="AS7918" s="19"/>
      <c r="AT7918" s="19"/>
      <c r="AU7918" s="19"/>
    </row>
    <row r="7919" spans="3:47">
      <c r="C7919" s="20"/>
      <c r="Z7919" s="20"/>
      <c r="AG7919" s="20"/>
      <c r="AQ7919" s="19"/>
      <c r="AR7919" s="19"/>
      <c r="AS7919" s="19"/>
      <c r="AT7919" s="19"/>
      <c r="AU7919" s="19"/>
    </row>
    <row r="7920" spans="3:47">
      <c r="C7920" s="20"/>
      <c r="Z7920" s="20"/>
      <c r="AG7920" s="20"/>
      <c r="AQ7920" s="19"/>
      <c r="AR7920" s="19"/>
      <c r="AS7920" s="19"/>
      <c r="AT7920" s="19"/>
      <c r="AU7920" s="19"/>
    </row>
    <row r="7921" spans="3:47">
      <c r="C7921" s="20"/>
      <c r="Z7921" s="20"/>
      <c r="AG7921" s="20"/>
      <c r="AQ7921" s="19"/>
      <c r="AR7921" s="19"/>
      <c r="AS7921" s="19"/>
      <c r="AT7921" s="19"/>
      <c r="AU7921" s="19"/>
    </row>
    <row r="7922" spans="3:47">
      <c r="C7922" s="20"/>
      <c r="Z7922" s="20"/>
      <c r="AG7922" s="20"/>
      <c r="AQ7922" s="19"/>
      <c r="AR7922" s="19"/>
      <c r="AS7922" s="19"/>
      <c r="AT7922" s="19"/>
      <c r="AU7922" s="19"/>
    </row>
    <row r="7923" spans="3:47">
      <c r="C7923" s="20"/>
      <c r="Z7923" s="20"/>
      <c r="AG7923" s="20"/>
      <c r="AQ7923" s="19"/>
      <c r="AR7923" s="19"/>
      <c r="AS7923" s="19"/>
      <c r="AT7923" s="19"/>
      <c r="AU7923" s="19"/>
    </row>
    <row r="7924" spans="3:47">
      <c r="C7924" s="20"/>
      <c r="Z7924" s="20"/>
      <c r="AG7924" s="20"/>
      <c r="AQ7924" s="19"/>
      <c r="AR7924" s="19"/>
      <c r="AS7924" s="19"/>
      <c r="AT7924" s="19"/>
      <c r="AU7924" s="19"/>
    </row>
    <row r="7925" spans="3:47">
      <c r="C7925" s="20"/>
      <c r="Z7925" s="20"/>
      <c r="AG7925" s="20"/>
      <c r="AQ7925" s="19"/>
      <c r="AR7925" s="19"/>
      <c r="AS7925" s="19"/>
      <c r="AT7925" s="19"/>
      <c r="AU7925" s="19"/>
    </row>
    <row r="7926" spans="3:47">
      <c r="C7926" s="20"/>
      <c r="Z7926" s="20"/>
      <c r="AG7926" s="20"/>
      <c r="AQ7926" s="19"/>
      <c r="AR7926" s="19"/>
      <c r="AS7926" s="19"/>
      <c r="AT7926" s="19"/>
      <c r="AU7926" s="19"/>
    </row>
    <row r="7927" spans="3:47">
      <c r="C7927" s="20"/>
      <c r="Z7927" s="20"/>
      <c r="AG7927" s="20"/>
      <c r="AQ7927" s="19"/>
      <c r="AR7927" s="19"/>
      <c r="AS7927" s="19"/>
      <c r="AT7927" s="19"/>
      <c r="AU7927" s="19"/>
    </row>
    <row r="7928" spans="3:47">
      <c r="C7928" s="20"/>
      <c r="Z7928" s="20"/>
      <c r="AG7928" s="20"/>
      <c r="AQ7928" s="19"/>
      <c r="AR7928" s="19"/>
      <c r="AS7928" s="19"/>
      <c r="AT7928" s="19"/>
      <c r="AU7928" s="19"/>
    </row>
    <row r="7929" spans="3:47">
      <c r="C7929" s="20"/>
      <c r="Z7929" s="20"/>
      <c r="AG7929" s="20"/>
      <c r="AQ7929" s="19"/>
      <c r="AR7929" s="19"/>
      <c r="AS7929" s="19"/>
      <c r="AT7929" s="19"/>
      <c r="AU7929" s="19"/>
    </row>
    <row r="7930" spans="3:47">
      <c r="C7930" s="20"/>
      <c r="Z7930" s="20"/>
      <c r="AG7930" s="20"/>
      <c r="AQ7930" s="19"/>
      <c r="AR7930" s="19"/>
      <c r="AS7930" s="19"/>
      <c r="AT7930" s="19"/>
      <c r="AU7930" s="19"/>
    </row>
    <row r="7931" spans="3:47">
      <c r="C7931" s="20"/>
      <c r="Z7931" s="20"/>
      <c r="AG7931" s="20"/>
      <c r="AQ7931" s="19"/>
      <c r="AR7931" s="19"/>
      <c r="AS7931" s="19"/>
      <c r="AT7931" s="19"/>
      <c r="AU7931" s="19"/>
    </row>
    <row r="7932" spans="3:47">
      <c r="C7932" s="20"/>
      <c r="Z7932" s="20"/>
      <c r="AG7932" s="20"/>
      <c r="AQ7932" s="19"/>
      <c r="AR7932" s="19"/>
      <c r="AS7932" s="19"/>
      <c r="AT7932" s="19"/>
      <c r="AU7932" s="19"/>
    </row>
    <row r="7933" spans="3:47">
      <c r="C7933" s="20"/>
      <c r="Z7933" s="20"/>
      <c r="AG7933" s="20"/>
      <c r="AQ7933" s="19"/>
      <c r="AR7933" s="19"/>
      <c r="AS7933" s="19"/>
      <c r="AT7933" s="19"/>
      <c r="AU7933" s="19"/>
    </row>
    <row r="7934" spans="3:47">
      <c r="C7934" s="20"/>
      <c r="Z7934" s="20"/>
      <c r="AG7934" s="20"/>
      <c r="AQ7934" s="19"/>
      <c r="AR7934" s="19"/>
      <c r="AS7934" s="19"/>
      <c r="AT7934" s="19"/>
      <c r="AU7934" s="19"/>
    </row>
    <row r="7935" spans="3:47">
      <c r="C7935" s="20"/>
      <c r="Z7935" s="20"/>
      <c r="AG7935" s="20"/>
      <c r="AQ7935" s="19"/>
      <c r="AR7935" s="19"/>
      <c r="AS7935" s="19"/>
      <c r="AT7935" s="19"/>
      <c r="AU7935" s="19"/>
    </row>
    <row r="7936" spans="3:47">
      <c r="C7936" s="20"/>
      <c r="Z7936" s="20"/>
      <c r="AG7936" s="20"/>
      <c r="AQ7936" s="19"/>
      <c r="AR7936" s="19"/>
      <c r="AS7936" s="19"/>
      <c r="AT7936" s="19"/>
      <c r="AU7936" s="19"/>
    </row>
    <row r="7937" spans="3:47">
      <c r="C7937" s="20"/>
      <c r="Z7937" s="20"/>
      <c r="AG7937" s="20"/>
      <c r="AQ7937" s="19"/>
      <c r="AR7937" s="19"/>
      <c r="AS7937" s="19"/>
      <c r="AT7937" s="19"/>
      <c r="AU7937" s="19"/>
    </row>
    <row r="7938" spans="3:47">
      <c r="C7938" s="20"/>
      <c r="Z7938" s="20"/>
      <c r="AG7938" s="20"/>
      <c r="AQ7938" s="19"/>
      <c r="AR7938" s="19"/>
      <c r="AS7938" s="19"/>
      <c r="AT7938" s="19"/>
      <c r="AU7938" s="19"/>
    </row>
    <row r="7939" spans="3:47">
      <c r="C7939" s="20"/>
      <c r="Z7939" s="20"/>
      <c r="AG7939" s="20"/>
      <c r="AQ7939" s="19"/>
      <c r="AR7939" s="19"/>
      <c r="AS7939" s="19"/>
      <c r="AT7939" s="19"/>
      <c r="AU7939" s="19"/>
    </row>
    <row r="7940" spans="3:47">
      <c r="C7940" s="20"/>
      <c r="Z7940" s="20"/>
      <c r="AG7940" s="20"/>
      <c r="AQ7940" s="19"/>
      <c r="AR7940" s="19"/>
      <c r="AS7940" s="19"/>
      <c r="AT7940" s="19"/>
      <c r="AU7940" s="19"/>
    </row>
    <row r="7941" spans="3:47">
      <c r="C7941" s="20"/>
      <c r="Z7941" s="20"/>
      <c r="AG7941" s="20"/>
      <c r="AQ7941" s="19"/>
      <c r="AR7941" s="19"/>
      <c r="AS7941" s="19"/>
      <c r="AT7941" s="19"/>
      <c r="AU7941" s="19"/>
    </row>
    <row r="7942" spans="3:47">
      <c r="C7942" s="20"/>
      <c r="Z7942" s="20"/>
      <c r="AG7942" s="20"/>
      <c r="AQ7942" s="19"/>
      <c r="AR7942" s="19"/>
      <c r="AS7942" s="19"/>
      <c r="AT7942" s="19"/>
      <c r="AU7942" s="19"/>
    </row>
    <row r="7943" spans="3:47">
      <c r="C7943" s="20"/>
      <c r="Z7943" s="20"/>
      <c r="AG7943" s="20"/>
      <c r="AQ7943" s="19"/>
      <c r="AR7943" s="19"/>
      <c r="AS7943" s="19"/>
      <c r="AT7943" s="19"/>
      <c r="AU7943" s="19"/>
    </row>
    <row r="7944" spans="3:47">
      <c r="C7944" s="20"/>
      <c r="Z7944" s="20"/>
      <c r="AG7944" s="20"/>
      <c r="AQ7944" s="19"/>
      <c r="AR7944" s="19"/>
      <c r="AS7944" s="19"/>
      <c r="AT7944" s="19"/>
      <c r="AU7944" s="19"/>
    </row>
    <row r="7945" spans="3:47">
      <c r="C7945" s="20"/>
      <c r="Z7945" s="20"/>
      <c r="AG7945" s="20"/>
      <c r="AQ7945" s="19"/>
      <c r="AR7945" s="19"/>
      <c r="AS7945" s="19"/>
      <c r="AT7945" s="19"/>
      <c r="AU7945" s="19"/>
    </row>
    <row r="7946" spans="3:47">
      <c r="C7946" s="20"/>
      <c r="Z7946" s="20"/>
      <c r="AG7946" s="20"/>
      <c r="AQ7946" s="19"/>
      <c r="AR7946" s="19"/>
      <c r="AS7946" s="19"/>
      <c r="AT7946" s="19"/>
      <c r="AU7946" s="19"/>
    </row>
    <row r="7947" spans="3:47">
      <c r="C7947" s="20"/>
      <c r="Z7947" s="20"/>
      <c r="AG7947" s="20"/>
      <c r="AQ7947" s="19"/>
      <c r="AR7947" s="19"/>
      <c r="AS7947" s="19"/>
      <c r="AT7947" s="19"/>
      <c r="AU7947" s="19"/>
    </row>
    <row r="7948" spans="3:47">
      <c r="C7948" s="20"/>
      <c r="Z7948" s="20"/>
      <c r="AG7948" s="20"/>
      <c r="AQ7948" s="19"/>
      <c r="AR7948" s="19"/>
      <c r="AS7948" s="19"/>
      <c r="AT7948" s="19"/>
      <c r="AU7948" s="19"/>
    </row>
    <row r="7949" spans="3:47">
      <c r="C7949" s="20"/>
      <c r="Z7949" s="20"/>
      <c r="AG7949" s="20"/>
      <c r="AQ7949" s="19"/>
      <c r="AR7949" s="19"/>
      <c r="AS7949" s="19"/>
      <c r="AT7949" s="19"/>
      <c r="AU7949" s="19"/>
    </row>
    <row r="7950" spans="3:47">
      <c r="C7950" s="20"/>
      <c r="Z7950" s="20"/>
      <c r="AG7950" s="20"/>
      <c r="AQ7950" s="19"/>
      <c r="AR7950" s="19"/>
      <c r="AS7950" s="19"/>
      <c r="AT7950" s="19"/>
      <c r="AU7950" s="19"/>
    </row>
    <row r="7951" spans="3:47">
      <c r="C7951" s="20"/>
      <c r="Z7951" s="20"/>
      <c r="AG7951" s="20"/>
      <c r="AQ7951" s="19"/>
      <c r="AR7951" s="19"/>
      <c r="AS7951" s="19"/>
      <c r="AT7951" s="19"/>
      <c r="AU7951" s="19"/>
    </row>
    <row r="7952" spans="3:47">
      <c r="C7952" s="20"/>
      <c r="Z7952" s="20"/>
      <c r="AG7952" s="20"/>
      <c r="AQ7952" s="19"/>
      <c r="AR7952" s="19"/>
      <c r="AS7952" s="19"/>
      <c r="AT7952" s="19"/>
      <c r="AU7952" s="19"/>
    </row>
    <row r="7953" spans="3:47">
      <c r="C7953" s="20"/>
      <c r="Z7953" s="20"/>
      <c r="AG7953" s="20"/>
      <c r="AQ7953" s="19"/>
      <c r="AR7953" s="19"/>
      <c r="AS7953" s="19"/>
      <c r="AT7953" s="19"/>
      <c r="AU7953" s="19"/>
    </row>
    <row r="7954" spans="3:47">
      <c r="C7954" s="20"/>
      <c r="Z7954" s="20"/>
      <c r="AG7954" s="20"/>
      <c r="AQ7954" s="19"/>
      <c r="AR7954" s="19"/>
      <c r="AS7954" s="19"/>
      <c r="AT7954" s="19"/>
      <c r="AU7954" s="19"/>
    </row>
    <row r="7955" spans="3:47">
      <c r="C7955" s="20"/>
      <c r="Z7955" s="20"/>
      <c r="AG7955" s="20"/>
      <c r="AQ7955" s="19"/>
      <c r="AR7955" s="19"/>
      <c r="AS7955" s="19"/>
      <c r="AT7955" s="19"/>
      <c r="AU7955" s="19"/>
    </row>
    <row r="7956" spans="3:47">
      <c r="C7956" s="20"/>
      <c r="Z7956" s="20"/>
      <c r="AG7956" s="20"/>
      <c r="AQ7956" s="19"/>
      <c r="AR7956" s="19"/>
      <c r="AS7956" s="19"/>
      <c r="AT7956" s="19"/>
      <c r="AU7956" s="19"/>
    </row>
    <row r="7957" spans="3:47">
      <c r="C7957" s="20"/>
      <c r="Z7957" s="20"/>
      <c r="AG7957" s="20"/>
      <c r="AQ7957" s="19"/>
      <c r="AR7957" s="19"/>
      <c r="AS7957" s="19"/>
      <c r="AT7957" s="19"/>
      <c r="AU7957" s="19"/>
    </row>
    <row r="7958" spans="3:47">
      <c r="C7958" s="20"/>
      <c r="Z7958" s="20"/>
      <c r="AG7958" s="20"/>
      <c r="AQ7958" s="19"/>
      <c r="AR7958" s="19"/>
      <c r="AS7958" s="19"/>
      <c r="AT7958" s="19"/>
      <c r="AU7958" s="19"/>
    </row>
    <row r="7959" spans="3:47">
      <c r="C7959" s="20"/>
      <c r="Z7959" s="20"/>
      <c r="AG7959" s="20"/>
      <c r="AQ7959" s="19"/>
      <c r="AR7959" s="19"/>
      <c r="AS7959" s="19"/>
      <c r="AT7959" s="19"/>
      <c r="AU7959" s="19"/>
    </row>
    <row r="7960" spans="3:47">
      <c r="C7960" s="20"/>
      <c r="Z7960" s="20"/>
      <c r="AG7960" s="20"/>
      <c r="AQ7960" s="19"/>
      <c r="AR7960" s="19"/>
      <c r="AS7960" s="19"/>
      <c r="AT7960" s="19"/>
      <c r="AU7960" s="19"/>
    </row>
    <row r="7961" spans="3:47">
      <c r="C7961" s="20"/>
      <c r="Z7961" s="20"/>
      <c r="AG7961" s="20"/>
      <c r="AQ7961" s="19"/>
      <c r="AR7961" s="19"/>
      <c r="AS7961" s="19"/>
      <c r="AT7961" s="19"/>
      <c r="AU7961" s="19"/>
    </row>
    <row r="7962" spans="3:47">
      <c r="C7962" s="20"/>
      <c r="Z7962" s="20"/>
      <c r="AG7962" s="20"/>
      <c r="AQ7962" s="19"/>
      <c r="AR7962" s="19"/>
      <c r="AS7962" s="19"/>
      <c r="AT7962" s="19"/>
      <c r="AU7962" s="19"/>
    </row>
    <row r="7963" spans="3:47">
      <c r="C7963" s="20"/>
      <c r="Z7963" s="20"/>
      <c r="AG7963" s="20"/>
      <c r="AQ7963" s="19"/>
      <c r="AR7963" s="19"/>
      <c r="AS7963" s="19"/>
      <c r="AT7963" s="19"/>
      <c r="AU7963" s="19"/>
    </row>
    <row r="7964" spans="3:47">
      <c r="C7964" s="20"/>
      <c r="Z7964" s="20"/>
      <c r="AG7964" s="20"/>
      <c r="AQ7964" s="19"/>
      <c r="AR7964" s="19"/>
      <c r="AS7964" s="19"/>
      <c r="AT7964" s="19"/>
      <c r="AU7964" s="19"/>
    </row>
    <row r="7965" spans="3:47">
      <c r="C7965" s="20"/>
      <c r="Z7965" s="20"/>
      <c r="AG7965" s="20"/>
      <c r="AQ7965" s="19"/>
      <c r="AR7965" s="19"/>
      <c r="AS7965" s="19"/>
      <c r="AT7965" s="19"/>
      <c r="AU7965" s="19"/>
    </row>
    <row r="7966" spans="3:47">
      <c r="C7966" s="20"/>
      <c r="Z7966" s="20"/>
      <c r="AG7966" s="20"/>
      <c r="AQ7966" s="19"/>
      <c r="AR7966" s="19"/>
      <c r="AS7966" s="19"/>
      <c r="AT7966" s="19"/>
      <c r="AU7966" s="19"/>
    </row>
    <row r="7967" spans="3:47">
      <c r="C7967" s="20"/>
      <c r="Z7967" s="20"/>
      <c r="AG7967" s="20"/>
      <c r="AQ7967" s="19"/>
      <c r="AR7967" s="19"/>
      <c r="AS7967" s="19"/>
      <c r="AT7967" s="19"/>
      <c r="AU7967" s="19"/>
    </row>
    <row r="7968" spans="3:47">
      <c r="C7968" s="20"/>
      <c r="Z7968" s="20"/>
      <c r="AG7968" s="20"/>
      <c r="AQ7968" s="19"/>
      <c r="AR7968" s="19"/>
      <c r="AS7968" s="19"/>
      <c r="AT7968" s="19"/>
      <c r="AU7968" s="19"/>
    </row>
    <row r="7969" spans="3:47">
      <c r="C7969" s="20"/>
      <c r="Z7969" s="20"/>
      <c r="AG7969" s="20"/>
      <c r="AQ7969" s="19"/>
      <c r="AR7969" s="19"/>
      <c r="AS7969" s="19"/>
      <c r="AT7969" s="19"/>
      <c r="AU7969" s="19"/>
    </row>
    <row r="7970" spans="3:47">
      <c r="C7970" s="20"/>
      <c r="Z7970" s="20"/>
      <c r="AG7970" s="20"/>
      <c r="AQ7970" s="19"/>
      <c r="AR7970" s="19"/>
      <c r="AS7970" s="19"/>
      <c r="AT7970" s="19"/>
      <c r="AU7970" s="19"/>
    </row>
    <row r="7971" spans="3:47">
      <c r="C7971" s="20"/>
      <c r="Z7971" s="20"/>
      <c r="AG7971" s="20"/>
      <c r="AQ7971" s="19"/>
      <c r="AR7971" s="19"/>
      <c r="AS7971" s="19"/>
      <c r="AT7971" s="19"/>
      <c r="AU7971" s="19"/>
    </row>
    <row r="7972" spans="3:47">
      <c r="C7972" s="20"/>
      <c r="Z7972" s="20"/>
      <c r="AG7972" s="20"/>
      <c r="AQ7972" s="19"/>
      <c r="AR7972" s="19"/>
      <c r="AS7972" s="19"/>
      <c r="AT7972" s="19"/>
      <c r="AU7972" s="19"/>
    </row>
    <row r="7973" spans="3:47">
      <c r="C7973" s="20"/>
      <c r="Z7973" s="20"/>
      <c r="AG7973" s="20"/>
      <c r="AQ7973" s="19"/>
      <c r="AR7973" s="19"/>
      <c r="AS7973" s="19"/>
      <c r="AT7973" s="19"/>
      <c r="AU7973" s="19"/>
    </row>
    <row r="7974" spans="3:47">
      <c r="C7974" s="20"/>
      <c r="Z7974" s="20"/>
      <c r="AG7974" s="20"/>
      <c r="AQ7974" s="19"/>
      <c r="AR7974" s="19"/>
      <c r="AS7974" s="19"/>
      <c r="AT7974" s="19"/>
      <c r="AU7974" s="19"/>
    </row>
    <row r="7975" spans="3:47">
      <c r="C7975" s="20"/>
      <c r="Z7975" s="20"/>
      <c r="AG7975" s="20"/>
      <c r="AQ7975" s="19"/>
      <c r="AR7975" s="19"/>
      <c r="AS7975" s="19"/>
      <c r="AT7975" s="19"/>
      <c r="AU7975" s="19"/>
    </row>
    <row r="7976" spans="3:47">
      <c r="C7976" s="20"/>
      <c r="Z7976" s="20"/>
      <c r="AG7976" s="20"/>
      <c r="AQ7976" s="19"/>
      <c r="AR7976" s="19"/>
      <c r="AS7976" s="19"/>
      <c r="AT7976" s="19"/>
      <c r="AU7976" s="19"/>
    </row>
    <row r="7977" spans="3:47">
      <c r="C7977" s="20"/>
      <c r="Z7977" s="20"/>
      <c r="AG7977" s="20"/>
      <c r="AQ7977" s="19"/>
      <c r="AR7977" s="19"/>
      <c r="AS7977" s="19"/>
      <c r="AT7977" s="19"/>
      <c r="AU7977" s="19"/>
    </row>
    <row r="7978" spans="3:47">
      <c r="C7978" s="20"/>
      <c r="Z7978" s="20"/>
      <c r="AG7978" s="20"/>
      <c r="AQ7978" s="19"/>
      <c r="AR7978" s="19"/>
      <c r="AS7978" s="19"/>
      <c r="AT7978" s="19"/>
      <c r="AU7978" s="19"/>
    </row>
    <row r="7979" spans="3:47">
      <c r="C7979" s="20"/>
      <c r="Z7979" s="20"/>
      <c r="AG7979" s="20"/>
      <c r="AQ7979" s="19"/>
      <c r="AR7979" s="19"/>
      <c r="AS7979" s="19"/>
      <c r="AT7979" s="19"/>
      <c r="AU7979" s="19"/>
    </row>
    <row r="7980" spans="3:47">
      <c r="C7980" s="20"/>
      <c r="Z7980" s="20"/>
      <c r="AG7980" s="20"/>
      <c r="AQ7980" s="19"/>
      <c r="AR7980" s="19"/>
      <c r="AS7980" s="19"/>
      <c r="AT7980" s="19"/>
      <c r="AU7980" s="19"/>
    </row>
    <row r="7981" spans="3:47">
      <c r="C7981" s="20"/>
      <c r="Z7981" s="20"/>
      <c r="AG7981" s="20"/>
      <c r="AQ7981" s="19"/>
      <c r="AR7981" s="19"/>
      <c r="AS7981" s="19"/>
      <c r="AT7981" s="19"/>
      <c r="AU7981" s="19"/>
    </row>
    <row r="7982" spans="3:47">
      <c r="C7982" s="20"/>
      <c r="Z7982" s="20"/>
      <c r="AG7982" s="20"/>
      <c r="AQ7982" s="19"/>
      <c r="AR7982" s="19"/>
      <c r="AS7982" s="19"/>
      <c r="AT7982" s="19"/>
      <c r="AU7982" s="19"/>
    </row>
    <row r="7983" spans="3:47">
      <c r="C7983" s="20"/>
      <c r="Z7983" s="20"/>
      <c r="AG7983" s="20"/>
      <c r="AQ7983" s="19"/>
      <c r="AR7983" s="19"/>
      <c r="AS7983" s="19"/>
      <c r="AT7983" s="19"/>
      <c r="AU7983" s="19"/>
    </row>
    <row r="7984" spans="3:47">
      <c r="C7984" s="20"/>
      <c r="Z7984" s="20"/>
      <c r="AG7984" s="20"/>
      <c r="AQ7984" s="19"/>
      <c r="AR7984" s="19"/>
      <c r="AS7984" s="19"/>
      <c r="AT7984" s="19"/>
      <c r="AU7984" s="19"/>
    </row>
    <row r="7985" spans="3:47">
      <c r="C7985" s="20"/>
      <c r="Z7985" s="20"/>
      <c r="AG7985" s="20"/>
      <c r="AQ7985" s="19"/>
      <c r="AR7985" s="19"/>
      <c r="AS7985" s="19"/>
      <c r="AT7985" s="19"/>
      <c r="AU7985" s="19"/>
    </row>
    <row r="7986" spans="3:47">
      <c r="C7986" s="20"/>
      <c r="Z7986" s="20"/>
      <c r="AG7986" s="20"/>
      <c r="AQ7986" s="19"/>
      <c r="AR7986" s="19"/>
      <c r="AS7986" s="19"/>
      <c r="AT7986" s="19"/>
      <c r="AU7986" s="19"/>
    </row>
    <row r="7987" spans="3:47">
      <c r="C7987" s="20"/>
      <c r="Z7987" s="20"/>
      <c r="AG7987" s="20"/>
      <c r="AQ7987" s="19"/>
      <c r="AR7987" s="19"/>
      <c r="AS7987" s="19"/>
      <c r="AT7987" s="19"/>
      <c r="AU7987" s="19"/>
    </row>
    <row r="7988" spans="3:47">
      <c r="C7988" s="20"/>
      <c r="Z7988" s="20"/>
      <c r="AG7988" s="20"/>
      <c r="AQ7988" s="19"/>
      <c r="AR7988" s="19"/>
      <c r="AS7988" s="19"/>
      <c r="AT7988" s="19"/>
      <c r="AU7988" s="19"/>
    </row>
    <row r="7989" spans="3:47">
      <c r="C7989" s="20"/>
      <c r="Z7989" s="20"/>
      <c r="AG7989" s="20"/>
      <c r="AQ7989" s="19"/>
      <c r="AR7989" s="19"/>
      <c r="AS7989" s="19"/>
      <c r="AT7989" s="19"/>
      <c r="AU7989" s="19"/>
    </row>
    <row r="7990" spans="3:47">
      <c r="C7990" s="20"/>
      <c r="Z7990" s="20"/>
      <c r="AG7990" s="20"/>
      <c r="AQ7990" s="19"/>
      <c r="AR7990" s="19"/>
      <c r="AS7990" s="19"/>
      <c r="AT7990" s="19"/>
      <c r="AU7990" s="19"/>
    </row>
    <row r="7991" spans="3:47">
      <c r="C7991" s="20"/>
      <c r="Z7991" s="20"/>
      <c r="AG7991" s="20"/>
      <c r="AQ7991" s="19"/>
      <c r="AR7991" s="19"/>
      <c r="AS7991" s="19"/>
      <c r="AT7991" s="19"/>
      <c r="AU7991" s="19"/>
    </row>
    <row r="7992" spans="3:47">
      <c r="C7992" s="20"/>
      <c r="Z7992" s="20"/>
      <c r="AG7992" s="20"/>
      <c r="AQ7992" s="19"/>
      <c r="AR7992" s="19"/>
      <c r="AS7992" s="19"/>
      <c r="AT7992" s="19"/>
      <c r="AU7992" s="19"/>
    </row>
    <row r="7993" spans="3:47">
      <c r="C7993" s="20"/>
      <c r="Z7993" s="20"/>
      <c r="AG7993" s="20"/>
      <c r="AQ7993" s="19"/>
      <c r="AR7993" s="19"/>
      <c r="AS7993" s="19"/>
      <c r="AT7993" s="19"/>
      <c r="AU7993" s="19"/>
    </row>
    <row r="7994" spans="3:47">
      <c r="C7994" s="20"/>
      <c r="Z7994" s="20"/>
      <c r="AG7994" s="20"/>
      <c r="AQ7994" s="19"/>
      <c r="AR7994" s="19"/>
      <c r="AS7994" s="19"/>
      <c r="AT7994" s="19"/>
      <c r="AU7994" s="19"/>
    </row>
    <row r="7995" spans="3:47">
      <c r="C7995" s="20"/>
      <c r="Z7995" s="20"/>
      <c r="AG7995" s="20"/>
      <c r="AQ7995" s="19"/>
      <c r="AR7995" s="19"/>
      <c r="AS7995" s="19"/>
      <c r="AT7995" s="19"/>
      <c r="AU7995" s="19"/>
    </row>
    <row r="7996" spans="3:47">
      <c r="C7996" s="20"/>
      <c r="Z7996" s="20"/>
      <c r="AG7996" s="20"/>
      <c r="AQ7996" s="19"/>
      <c r="AR7996" s="19"/>
      <c r="AS7996" s="19"/>
      <c r="AT7996" s="19"/>
      <c r="AU7996" s="19"/>
    </row>
    <row r="7997" spans="3:47">
      <c r="C7997" s="20"/>
      <c r="Z7997" s="20"/>
      <c r="AG7997" s="20"/>
      <c r="AQ7997" s="19"/>
      <c r="AR7997" s="19"/>
      <c r="AS7997" s="19"/>
      <c r="AT7997" s="19"/>
      <c r="AU7997" s="19"/>
    </row>
    <row r="7998" spans="3:47">
      <c r="C7998" s="20"/>
      <c r="Z7998" s="20"/>
      <c r="AG7998" s="20"/>
      <c r="AQ7998" s="19"/>
      <c r="AR7998" s="19"/>
      <c r="AS7998" s="19"/>
      <c r="AT7998" s="19"/>
      <c r="AU7998" s="19"/>
    </row>
    <row r="7999" spans="3:47">
      <c r="C7999" s="20"/>
      <c r="Z7999" s="20"/>
      <c r="AG7999" s="20"/>
      <c r="AQ7999" s="19"/>
      <c r="AR7999" s="19"/>
      <c r="AS7999" s="19"/>
      <c r="AT7999" s="19"/>
      <c r="AU7999" s="19"/>
    </row>
    <row r="8000" spans="3:47">
      <c r="C8000" s="20"/>
      <c r="Z8000" s="20"/>
      <c r="AG8000" s="20"/>
      <c r="AQ8000" s="19"/>
      <c r="AR8000" s="19"/>
      <c r="AS8000" s="19"/>
      <c r="AT8000" s="19"/>
      <c r="AU8000" s="19"/>
    </row>
    <row r="8001" spans="3:47">
      <c r="C8001" s="20"/>
      <c r="Z8001" s="20"/>
      <c r="AG8001" s="20"/>
      <c r="AQ8001" s="19"/>
      <c r="AR8001" s="19"/>
      <c r="AS8001" s="19"/>
      <c r="AT8001" s="19"/>
      <c r="AU8001" s="19"/>
    </row>
    <row r="8002" spans="3:47">
      <c r="C8002" s="20"/>
      <c r="Z8002" s="20"/>
      <c r="AG8002" s="20"/>
      <c r="AQ8002" s="19"/>
      <c r="AR8002" s="19"/>
      <c r="AS8002" s="19"/>
      <c r="AT8002" s="19"/>
      <c r="AU8002" s="19"/>
    </row>
    <row r="8003" spans="3:47">
      <c r="C8003" s="20"/>
      <c r="Z8003" s="20"/>
      <c r="AG8003" s="20"/>
      <c r="AQ8003" s="19"/>
      <c r="AR8003" s="19"/>
      <c r="AS8003" s="19"/>
      <c r="AT8003" s="19"/>
      <c r="AU8003" s="19"/>
    </row>
    <row r="8004" spans="3:47">
      <c r="C8004" s="20"/>
      <c r="Z8004" s="20"/>
      <c r="AG8004" s="20"/>
      <c r="AQ8004" s="19"/>
      <c r="AR8004" s="19"/>
      <c r="AS8004" s="19"/>
      <c r="AT8004" s="19"/>
      <c r="AU8004" s="19"/>
    </row>
    <row r="8005" spans="3:47">
      <c r="C8005" s="20"/>
      <c r="Z8005" s="20"/>
      <c r="AG8005" s="20"/>
      <c r="AQ8005" s="19"/>
      <c r="AR8005" s="19"/>
      <c r="AS8005" s="19"/>
      <c r="AT8005" s="19"/>
      <c r="AU8005" s="19"/>
    </row>
    <row r="8006" spans="3:47">
      <c r="C8006" s="20"/>
      <c r="Z8006" s="20"/>
      <c r="AG8006" s="20"/>
      <c r="AQ8006" s="19"/>
      <c r="AR8006" s="19"/>
      <c r="AS8006" s="19"/>
      <c r="AT8006" s="19"/>
      <c r="AU8006" s="19"/>
    </row>
    <row r="8007" spans="3:47">
      <c r="C8007" s="20"/>
      <c r="Z8007" s="20"/>
      <c r="AG8007" s="20"/>
      <c r="AQ8007" s="19"/>
      <c r="AR8007" s="19"/>
      <c r="AS8007" s="19"/>
      <c r="AT8007" s="19"/>
      <c r="AU8007" s="19"/>
    </row>
    <row r="8008" spans="3:47">
      <c r="C8008" s="20"/>
      <c r="Z8008" s="20"/>
      <c r="AG8008" s="20"/>
      <c r="AQ8008" s="19"/>
      <c r="AR8008" s="19"/>
      <c r="AS8008" s="19"/>
      <c r="AT8008" s="19"/>
      <c r="AU8008" s="19"/>
    </row>
    <row r="8009" spans="3:47">
      <c r="C8009" s="20"/>
      <c r="Z8009" s="20"/>
      <c r="AG8009" s="20"/>
      <c r="AQ8009" s="19"/>
      <c r="AR8009" s="19"/>
      <c r="AS8009" s="19"/>
      <c r="AT8009" s="19"/>
      <c r="AU8009" s="19"/>
    </row>
    <row r="8010" spans="3:47">
      <c r="C8010" s="20"/>
      <c r="Z8010" s="20"/>
      <c r="AG8010" s="20"/>
      <c r="AQ8010" s="19"/>
      <c r="AR8010" s="19"/>
      <c r="AS8010" s="19"/>
      <c r="AT8010" s="19"/>
      <c r="AU8010" s="19"/>
    </row>
    <row r="8011" spans="3:47">
      <c r="C8011" s="20"/>
      <c r="Z8011" s="20"/>
      <c r="AG8011" s="20"/>
      <c r="AQ8011" s="19"/>
      <c r="AR8011" s="19"/>
      <c r="AS8011" s="19"/>
      <c r="AT8011" s="19"/>
      <c r="AU8011" s="19"/>
    </row>
    <row r="8012" spans="3:47">
      <c r="C8012" s="20"/>
      <c r="Z8012" s="20"/>
      <c r="AG8012" s="20"/>
      <c r="AQ8012" s="19"/>
      <c r="AR8012" s="19"/>
      <c r="AS8012" s="19"/>
      <c r="AT8012" s="19"/>
      <c r="AU8012" s="19"/>
    </row>
    <row r="8013" spans="3:47">
      <c r="C8013" s="20"/>
      <c r="Z8013" s="20"/>
      <c r="AG8013" s="20"/>
      <c r="AQ8013" s="19"/>
      <c r="AR8013" s="19"/>
      <c r="AS8013" s="19"/>
      <c r="AT8013" s="19"/>
      <c r="AU8013" s="19"/>
    </row>
    <row r="8014" spans="3:47">
      <c r="C8014" s="20"/>
      <c r="Z8014" s="20"/>
      <c r="AG8014" s="20"/>
      <c r="AQ8014" s="19"/>
      <c r="AR8014" s="19"/>
      <c r="AS8014" s="19"/>
      <c r="AT8014" s="19"/>
      <c r="AU8014" s="19"/>
    </row>
    <row r="8015" spans="3:47">
      <c r="C8015" s="20"/>
      <c r="Z8015" s="20"/>
      <c r="AG8015" s="20"/>
      <c r="AQ8015" s="19"/>
      <c r="AR8015" s="19"/>
      <c r="AS8015" s="19"/>
      <c r="AT8015" s="19"/>
      <c r="AU8015" s="19"/>
    </row>
    <row r="8016" spans="3:47">
      <c r="C8016" s="20"/>
      <c r="Z8016" s="20"/>
      <c r="AG8016" s="20"/>
      <c r="AQ8016" s="19"/>
      <c r="AR8016" s="19"/>
      <c r="AS8016" s="19"/>
      <c r="AT8016" s="19"/>
      <c r="AU8016" s="19"/>
    </row>
    <row r="8017" spans="3:47">
      <c r="C8017" s="20"/>
      <c r="Z8017" s="20"/>
      <c r="AG8017" s="20"/>
      <c r="AQ8017" s="19"/>
      <c r="AR8017" s="19"/>
      <c r="AS8017" s="19"/>
      <c r="AT8017" s="19"/>
      <c r="AU8017" s="19"/>
    </row>
    <row r="8018" spans="3:47">
      <c r="C8018" s="20"/>
      <c r="Z8018" s="20"/>
      <c r="AG8018" s="20"/>
      <c r="AQ8018" s="19"/>
      <c r="AR8018" s="19"/>
      <c r="AS8018" s="19"/>
      <c r="AT8018" s="19"/>
      <c r="AU8018" s="19"/>
    </row>
    <row r="8019" spans="3:47">
      <c r="C8019" s="20"/>
      <c r="Z8019" s="20"/>
      <c r="AG8019" s="20"/>
      <c r="AQ8019" s="19"/>
      <c r="AR8019" s="19"/>
      <c r="AS8019" s="19"/>
      <c r="AT8019" s="19"/>
      <c r="AU8019" s="19"/>
    </row>
    <row r="8020" spans="3:47">
      <c r="C8020" s="20"/>
      <c r="Z8020" s="20"/>
      <c r="AG8020" s="20"/>
      <c r="AQ8020" s="19"/>
      <c r="AR8020" s="19"/>
      <c r="AS8020" s="19"/>
      <c r="AT8020" s="19"/>
      <c r="AU8020" s="19"/>
    </row>
    <row r="8021" spans="3:47">
      <c r="C8021" s="20"/>
      <c r="Z8021" s="20"/>
      <c r="AG8021" s="20"/>
      <c r="AQ8021" s="19"/>
      <c r="AR8021" s="19"/>
      <c r="AS8021" s="19"/>
      <c r="AT8021" s="19"/>
      <c r="AU8021" s="19"/>
    </row>
    <row r="8022" spans="3:47">
      <c r="C8022" s="20"/>
      <c r="Z8022" s="20"/>
      <c r="AG8022" s="20"/>
      <c r="AQ8022" s="19"/>
      <c r="AR8022" s="19"/>
      <c r="AS8022" s="19"/>
      <c r="AT8022" s="19"/>
      <c r="AU8022" s="19"/>
    </row>
    <row r="8023" spans="3:47">
      <c r="C8023" s="20"/>
      <c r="Z8023" s="20"/>
      <c r="AG8023" s="20"/>
      <c r="AQ8023" s="19"/>
      <c r="AR8023" s="19"/>
      <c r="AS8023" s="19"/>
      <c r="AT8023" s="19"/>
      <c r="AU8023" s="19"/>
    </row>
    <row r="8024" spans="3:47">
      <c r="C8024" s="20"/>
      <c r="Z8024" s="20"/>
      <c r="AG8024" s="20"/>
      <c r="AQ8024" s="19"/>
      <c r="AR8024" s="19"/>
      <c r="AS8024" s="19"/>
      <c r="AT8024" s="19"/>
      <c r="AU8024" s="19"/>
    </row>
    <row r="8025" spans="3:47">
      <c r="C8025" s="20"/>
      <c r="Z8025" s="20"/>
      <c r="AG8025" s="20"/>
      <c r="AQ8025" s="19"/>
      <c r="AR8025" s="19"/>
      <c r="AS8025" s="19"/>
      <c r="AT8025" s="19"/>
      <c r="AU8025" s="19"/>
    </row>
    <row r="8026" spans="3:47">
      <c r="C8026" s="20"/>
      <c r="Z8026" s="20"/>
      <c r="AG8026" s="20"/>
      <c r="AQ8026" s="19"/>
      <c r="AR8026" s="19"/>
      <c r="AS8026" s="19"/>
      <c r="AT8026" s="19"/>
      <c r="AU8026" s="19"/>
    </row>
    <row r="8027" spans="3:47">
      <c r="C8027" s="20"/>
      <c r="Z8027" s="20"/>
      <c r="AG8027" s="20"/>
      <c r="AQ8027" s="19"/>
      <c r="AR8027" s="19"/>
      <c r="AS8027" s="19"/>
      <c r="AT8027" s="19"/>
      <c r="AU8027" s="19"/>
    </row>
    <row r="8028" spans="3:47">
      <c r="C8028" s="20"/>
      <c r="Z8028" s="20"/>
      <c r="AG8028" s="20"/>
      <c r="AQ8028" s="19"/>
      <c r="AR8028" s="19"/>
      <c r="AS8028" s="19"/>
      <c r="AT8028" s="19"/>
      <c r="AU8028" s="19"/>
    </row>
    <row r="8029" spans="3:47">
      <c r="C8029" s="20"/>
      <c r="Z8029" s="20"/>
      <c r="AG8029" s="20"/>
      <c r="AQ8029" s="19"/>
      <c r="AR8029" s="19"/>
      <c r="AS8029" s="19"/>
      <c r="AT8029" s="19"/>
      <c r="AU8029" s="19"/>
    </row>
    <row r="8030" spans="3:47">
      <c r="C8030" s="20"/>
      <c r="Z8030" s="20"/>
      <c r="AG8030" s="20"/>
      <c r="AQ8030" s="19"/>
      <c r="AR8030" s="19"/>
      <c r="AS8030" s="19"/>
      <c r="AT8030" s="19"/>
      <c r="AU8030" s="19"/>
    </row>
    <row r="8031" spans="3:47">
      <c r="C8031" s="20"/>
      <c r="Z8031" s="20"/>
      <c r="AG8031" s="20"/>
      <c r="AQ8031" s="19"/>
      <c r="AR8031" s="19"/>
      <c r="AS8031" s="19"/>
      <c r="AT8031" s="19"/>
      <c r="AU8031" s="19"/>
    </row>
    <row r="8032" spans="3:47">
      <c r="C8032" s="20"/>
      <c r="Z8032" s="20"/>
      <c r="AG8032" s="20"/>
      <c r="AQ8032" s="19"/>
      <c r="AR8032" s="19"/>
      <c r="AS8032" s="19"/>
      <c r="AT8032" s="19"/>
      <c r="AU8032" s="19"/>
    </row>
    <row r="8033" spans="3:47">
      <c r="C8033" s="20"/>
      <c r="Z8033" s="20"/>
      <c r="AG8033" s="20"/>
      <c r="AQ8033" s="19"/>
      <c r="AR8033" s="19"/>
      <c r="AS8033" s="19"/>
      <c r="AT8033" s="19"/>
      <c r="AU8033" s="19"/>
    </row>
    <row r="8034" spans="3:47">
      <c r="C8034" s="20"/>
      <c r="Z8034" s="20"/>
      <c r="AG8034" s="20"/>
      <c r="AQ8034" s="19"/>
      <c r="AR8034" s="19"/>
      <c r="AS8034" s="19"/>
      <c r="AT8034" s="19"/>
      <c r="AU8034" s="19"/>
    </row>
    <row r="8035" spans="3:47">
      <c r="C8035" s="20"/>
      <c r="Z8035" s="20"/>
      <c r="AG8035" s="20"/>
      <c r="AQ8035" s="19"/>
      <c r="AR8035" s="19"/>
      <c r="AS8035" s="19"/>
      <c r="AT8035" s="19"/>
      <c r="AU8035" s="19"/>
    </row>
    <row r="8036" spans="3:47">
      <c r="C8036" s="20"/>
      <c r="Z8036" s="20"/>
      <c r="AG8036" s="20"/>
      <c r="AQ8036" s="19"/>
      <c r="AR8036" s="19"/>
      <c r="AS8036" s="19"/>
      <c r="AT8036" s="19"/>
      <c r="AU8036" s="19"/>
    </row>
    <row r="8037" spans="3:47">
      <c r="C8037" s="20"/>
      <c r="Z8037" s="20"/>
      <c r="AG8037" s="20"/>
      <c r="AQ8037" s="19"/>
      <c r="AR8037" s="19"/>
      <c r="AS8037" s="19"/>
      <c r="AT8037" s="19"/>
      <c r="AU8037" s="19"/>
    </row>
    <row r="8038" spans="3:47">
      <c r="C8038" s="20"/>
      <c r="Z8038" s="20"/>
      <c r="AG8038" s="20"/>
      <c r="AQ8038" s="19"/>
      <c r="AR8038" s="19"/>
      <c r="AS8038" s="19"/>
      <c r="AT8038" s="19"/>
      <c r="AU8038" s="19"/>
    </row>
    <row r="8039" spans="3:47">
      <c r="C8039" s="20"/>
      <c r="Z8039" s="20"/>
      <c r="AG8039" s="20"/>
      <c r="AQ8039" s="19"/>
      <c r="AR8039" s="19"/>
      <c r="AS8039" s="19"/>
      <c r="AT8039" s="19"/>
      <c r="AU8039" s="19"/>
    </row>
    <row r="8040" spans="3:47">
      <c r="C8040" s="20"/>
      <c r="Z8040" s="20"/>
      <c r="AG8040" s="20"/>
      <c r="AQ8040" s="19"/>
      <c r="AR8040" s="19"/>
      <c r="AS8040" s="19"/>
      <c r="AT8040" s="19"/>
      <c r="AU8040" s="19"/>
    </row>
    <row r="8041" spans="3:47">
      <c r="C8041" s="20"/>
      <c r="Z8041" s="20"/>
      <c r="AG8041" s="20"/>
      <c r="AQ8041" s="19"/>
      <c r="AR8041" s="19"/>
      <c r="AS8041" s="19"/>
      <c r="AT8041" s="19"/>
      <c r="AU8041" s="19"/>
    </row>
    <row r="8042" spans="3:47">
      <c r="C8042" s="20"/>
      <c r="Z8042" s="20"/>
      <c r="AG8042" s="20"/>
      <c r="AQ8042" s="19"/>
      <c r="AR8042" s="19"/>
      <c r="AS8042" s="19"/>
      <c r="AT8042" s="19"/>
      <c r="AU8042" s="19"/>
    </row>
    <row r="8043" spans="3:47">
      <c r="C8043" s="20"/>
      <c r="Z8043" s="20"/>
      <c r="AG8043" s="20"/>
      <c r="AQ8043" s="19"/>
      <c r="AR8043" s="19"/>
      <c r="AS8043" s="19"/>
      <c r="AT8043" s="19"/>
      <c r="AU8043" s="19"/>
    </row>
    <row r="8044" spans="3:47">
      <c r="C8044" s="20"/>
      <c r="Z8044" s="20"/>
      <c r="AG8044" s="20"/>
      <c r="AQ8044" s="19"/>
      <c r="AR8044" s="19"/>
      <c r="AS8044" s="19"/>
      <c r="AT8044" s="19"/>
      <c r="AU8044" s="19"/>
    </row>
    <row r="8045" spans="3:47">
      <c r="C8045" s="20"/>
      <c r="Z8045" s="20"/>
      <c r="AG8045" s="20"/>
      <c r="AQ8045" s="19"/>
      <c r="AR8045" s="19"/>
      <c r="AS8045" s="19"/>
      <c r="AT8045" s="19"/>
      <c r="AU8045" s="19"/>
    </row>
    <row r="8046" spans="3:47">
      <c r="C8046" s="20"/>
      <c r="Z8046" s="20"/>
      <c r="AG8046" s="20"/>
      <c r="AQ8046" s="19"/>
      <c r="AR8046" s="19"/>
      <c r="AS8046" s="19"/>
      <c r="AT8046" s="19"/>
      <c r="AU8046" s="19"/>
    </row>
    <row r="8047" spans="3:47">
      <c r="C8047" s="20"/>
      <c r="Z8047" s="20"/>
      <c r="AG8047" s="20"/>
      <c r="AQ8047" s="19"/>
      <c r="AR8047" s="19"/>
      <c r="AS8047" s="19"/>
      <c r="AT8047" s="19"/>
      <c r="AU8047" s="19"/>
    </row>
    <row r="8048" spans="3:47">
      <c r="C8048" s="20"/>
      <c r="Z8048" s="20"/>
      <c r="AG8048" s="20"/>
      <c r="AQ8048" s="19"/>
      <c r="AR8048" s="19"/>
      <c r="AS8048" s="19"/>
      <c r="AT8048" s="19"/>
      <c r="AU8048" s="19"/>
    </row>
    <row r="8049" spans="3:47">
      <c r="C8049" s="20"/>
      <c r="Z8049" s="20"/>
      <c r="AG8049" s="20"/>
      <c r="AQ8049" s="19"/>
      <c r="AR8049" s="19"/>
      <c r="AS8049" s="19"/>
      <c r="AT8049" s="19"/>
      <c r="AU8049" s="19"/>
    </row>
    <row r="8050" spans="3:47">
      <c r="C8050" s="20"/>
      <c r="Z8050" s="20"/>
      <c r="AG8050" s="20"/>
      <c r="AQ8050" s="19"/>
      <c r="AR8050" s="19"/>
      <c r="AS8050" s="19"/>
      <c r="AT8050" s="19"/>
      <c r="AU8050" s="19"/>
    </row>
    <row r="8051" spans="3:47">
      <c r="C8051" s="20"/>
      <c r="Z8051" s="20"/>
      <c r="AG8051" s="20"/>
      <c r="AQ8051" s="19"/>
      <c r="AR8051" s="19"/>
      <c r="AS8051" s="19"/>
      <c r="AT8051" s="19"/>
      <c r="AU8051" s="19"/>
    </row>
    <row r="8052" spans="3:47">
      <c r="C8052" s="20"/>
      <c r="Z8052" s="20"/>
      <c r="AG8052" s="20"/>
      <c r="AQ8052" s="19"/>
      <c r="AR8052" s="19"/>
      <c r="AS8052" s="19"/>
      <c r="AT8052" s="19"/>
      <c r="AU8052" s="19"/>
    </row>
    <row r="8053" spans="3:47">
      <c r="C8053" s="20"/>
      <c r="Z8053" s="20"/>
      <c r="AG8053" s="20"/>
      <c r="AQ8053" s="19"/>
      <c r="AR8053" s="19"/>
      <c r="AS8053" s="19"/>
      <c r="AT8053" s="19"/>
      <c r="AU8053" s="19"/>
    </row>
    <row r="8054" spans="3:47">
      <c r="C8054" s="20"/>
      <c r="Z8054" s="20"/>
      <c r="AG8054" s="20"/>
      <c r="AQ8054" s="19"/>
      <c r="AR8054" s="19"/>
      <c r="AS8054" s="19"/>
      <c r="AT8054" s="19"/>
      <c r="AU8054" s="19"/>
    </row>
    <row r="8055" spans="3:47">
      <c r="C8055" s="20"/>
      <c r="Z8055" s="20"/>
      <c r="AG8055" s="20"/>
      <c r="AQ8055" s="19"/>
      <c r="AR8055" s="19"/>
      <c r="AS8055" s="19"/>
      <c r="AT8055" s="19"/>
      <c r="AU8055" s="19"/>
    </row>
    <row r="8056" spans="3:47">
      <c r="C8056" s="20"/>
      <c r="Z8056" s="20"/>
      <c r="AG8056" s="20"/>
      <c r="AQ8056" s="19"/>
      <c r="AR8056" s="19"/>
      <c r="AS8056" s="19"/>
      <c r="AT8056" s="19"/>
      <c r="AU8056" s="19"/>
    </row>
    <row r="8057" spans="3:47">
      <c r="C8057" s="20"/>
      <c r="Z8057" s="20"/>
      <c r="AG8057" s="20"/>
      <c r="AQ8057" s="19"/>
      <c r="AR8057" s="19"/>
      <c r="AS8057" s="19"/>
      <c r="AT8057" s="19"/>
      <c r="AU8057" s="19"/>
    </row>
    <row r="8058" spans="3:47">
      <c r="C8058" s="20"/>
      <c r="Z8058" s="20"/>
      <c r="AG8058" s="20"/>
      <c r="AQ8058" s="19"/>
      <c r="AR8058" s="19"/>
      <c r="AS8058" s="19"/>
      <c r="AT8058" s="19"/>
      <c r="AU8058" s="19"/>
    </row>
    <row r="8059" spans="3:47">
      <c r="C8059" s="20"/>
      <c r="Z8059" s="20"/>
      <c r="AG8059" s="20"/>
      <c r="AQ8059" s="19"/>
      <c r="AR8059" s="19"/>
      <c r="AS8059" s="19"/>
      <c r="AT8059" s="19"/>
      <c r="AU8059" s="19"/>
    </row>
    <row r="8060" spans="3:47">
      <c r="C8060" s="20"/>
      <c r="Z8060" s="20"/>
      <c r="AG8060" s="20"/>
      <c r="AQ8060" s="19"/>
      <c r="AR8060" s="19"/>
      <c r="AS8060" s="19"/>
      <c r="AT8060" s="19"/>
      <c r="AU8060" s="19"/>
    </row>
    <row r="8061" spans="3:47">
      <c r="C8061" s="20"/>
      <c r="Z8061" s="20"/>
      <c r="AG8061" s="20"/>
      <c r="AQ8061" s="19"/>
      <c r="AR8061" s="19"/>
      <c r="AS8061" s="19"/>
      <c r="AT8061" s="19"/>
      <c r="AU8061" s="19"/>
    </row>
    <row r="8062" spans="3:47">
      <c r="C8062" s="20"/>
      <c r="Z8062" s="20"/>
      <c r="AG8062" s="20"/>
      <c r="AQ8062" s="19"/>
      <c r="AR8062" s="19"/>
      <c r="AS8062" s="19"/>
      <c r="AT8062" s="19"/>
      <c r="AU8062" s="19"/>
    </row>
    <row r="8063" spans="3:47">
      <c r="C8063" s="20"/>
      <c r="Z8063" s="20"/>
      <c r="AG8063" s="20"/>
      <c r="AQ8063" s="19"/>
      <c r="AR8063" s="19"/>
      <c r="AS8063" s="19"/>
      <c r="AT8063" s="19"/>
      <c r="AU8063" s="19"/>
    </row>
    <row r="8064" spans="3:47">
      <c r="C8064" s="20"/>
      <c r="Z8064" s="20"/>
      <c r="AG8064" s="20"/>
      <c r="AQ8064" s="19"/>
      <c r="AR8064" s="19"/>
      <c r="AS8064" s="19"/>
      <c r="AT8064" s="19"/>
      <c r="AU8064" s="19"/>
    </row>
    <row r="8065" spans="3:47">
      <c r="C8065" s="20"/>
      <c r="Z8065" s="20"/>
      <c r="AG8065" s="20"/>
      <c r="AQ8065" s="19"/>
      <c r="AR8065" s="19"/>
      <c r="AS8065" s="19"/>
      <c r="AT8065" s="19"/>
      <c r="AU8065" s="19"/>
    </row>
    <row r="8066" spans="3:47">
      <c r="C8066" s="20"/>
      <c r="Z8066" s="20"/>
      <c r="AG8066" s="20"/>
      <c r="AQ8066" s="19"/>
      <c r="AR8066" s="19"/>
      <c r="AS8066" s="19"/>
      <c r="AT8066" s="19"/>
      <c r="AU8066" s="19"/>
    </row>
    <row r="8067" spans="3:47">
      <c r="C8067" s="20"/>
      <c r="Z8067" s="20"/>
      <c r="AG8067" s="20"/>
      <c r="AQ8067" s="19"/>
      <c r="AR8067" s="19"/>
      <c r="AS8067" s="19"/>
      <c r="AT8067" s="19"/>
      <c r="AU8067" s="19"/>
    </row>
    <row r="8068" spans="3:47">
      <c r="C8068" s="20"/>
      <c r="Z8068" s="20"/>
      <c r="AG8068" s="20"/>
      <c r="AQ8068" s="19"/>
      <c r="AR8068" s="19"/>
      <c r="AS8068" s="19"/>
      <c r="AT8068" s="19"/>
      <c r="AU8068" s="19"/>
    </row>
    <row r="8069" spans="3:47">
      <c r="C8069" s="20"/>
      <c r="Z8069" s="20"/>
      <c r="AG8069" s="20"/>
      <c r="AQ8069" s="19"/>
      <c r="AR8069" s="19"/>
      <c r="AS8069" s="19"/>
      <c r="AT8069" s="19"/>
      <c r="AU8069" s="19"/>
    </row>
    <row r="8070" spans="3:47">
      <c r="C8070" s="20"/>
      <c r="Z8070" s="20"/>
      <c r="AG8070" s="20"/>
      <c r="AQ8070" s="19"/>
      <c r="AR8070" s="19"/>
      <c r="AS8070" s="19"/>
      <c r="AT8070" s="19"/>
      <c r="AU8070" s="19"/>
    </row>
    <row r="8071" spans="3:47">
      <c r="C8071" s="20"/>
      <c r="Z8071" s="20"/>
      <c r="AG8071" s="20"/>
      <c r="AQ8071" s="19"/>
      <c r="AR8071" s="19"/>
      <c r="AS8071" s="19"/>
      <c r="AT8071" s="19"/>
      <c r="AU8071" s="19"/>
    </row>
    <row r="8072" spans="3:47">
      <c r="C8072" s="20"/>
      <c r="Z8072" s="20"/>
      <c r="AG8072" s="20"/>
      <c r="AQ8072" s="19"/>
      <c r="AR8072" s="19"/>
      <c r="AS8072" s="19"/>
      <c r="AT8072" s="19"/>
      <c r="AU8072" s="19"/>
    </row>
    <row r="8073" spans="3:47">
      <c r="C8073" s="20"/>
      <c r="Z8073" s="20"/>
      <c r="AG8073" s="20"/>
      <c r="AQ8073" s="19"/>
      <c r="AR8073" s="19"/>
      <c r="AS8073" s="19"/>
      <c r="AT8073" s="19"/>
      <c r="AU8073" s="19"/>
    </row>
    <row r="8074" spans="3:47">
      <c r="C8074" s="20"/>
      <c r="Z8074" s="20"/>
      <c r="AG8074" s="20"/>
      <c r="AQ8074" s="19"/>
      <c r="AR8074" s="19"/>
      <c r="AS8074" s="19"/>
      <c r="AT8074" s="19"/>
      <c r="AU8074" s="19"/>
    </row>
    <row r="8075" spans="3:47">
      <c r="C8075" s="20"/>
      <c r="Z8075" s="20"/>
      <c r="AG8075" s="20"/>
      <c r="AQ8075" s="19"/>
      <c r="AR8075" s="19"/>
      <c r="AS8075" s="19"/>
      <c r="AT8075" s="19"/>
      <c r="AU8075" s="19"/>
    </row>
    <row r="8076" spans="3:47">
      <c r="C8076" s="20"/>
      <c r="Z8076" s="20"/>
      <c r="AG8076" s="20"/>
      <c r="AQ8076" s="19"/>
      <c r="AR8076" s="19"/>
      <c r="AS8076" s="19"/>
      <c r="AT8076" s="19"/>
      <c r="AU8076" s="19"/>
    </row>
    <row r="8077" spans="3:47">
      <c r="C8077" s="20"/>
      <c r="Z8077" s="20"/>
      <c r="AG8077" s="20"/>
      <c r="AQ8077" s="19"/>
      <c r="AR8077" s="19"/>
      <c r="AS8077" s="19"/>
      <c r="AT8077" s="19"/>
      <c r="AU8077" s="19"/>
    </row>
    <row r="8078" spans="3:47">
      <c r="C8078" s="20"/>
      <c r="Z8078" s="20"/>
      <c r="AG8078" s="20"/>
      <c r="AQ8078" s="19"/>
      <c r="AR8078" s="19"/>
      <c r="AS8078" s="19"/>
      <c r="AT8078" s="19"/>
      <c r="AU8078" s="19"/>
    </row>
    <row r="8079" spans="3:47">
      <c r="C8079" s="20"/>
      <c r="Z8079" s="20"/>
      <c r="AG8079" s="20"/>
      <c r="AQ8079" s="19"/>
      <c r="AR8079" s="19"/>
      <c r="AS8079" s="19"/>
      <c r="AT8079" s="19"/>
      <c r="AU8079" s="19"/>
    </row>
    <row r="8080" spans="3:47">
      <c r="C8080" s="20"/>
      <c r="Z8080" s="20"/>
      <c r="AG8080" s="20"/>
      <c r="AQ8080" s="19"/>
      <c r="AR8080" s="19"/>
      <c r="AS8080" s="19"/>
      <c r="AT8080" s="19"/>
      <c r="AU8080" s="19"/>
    </row>
    <row r="8081" spans="3:47">
      <c r="C8081" s="20"/>
      <c r="Z8081" s="20"/>
      <c r="AG8081" s="20"/>
      <c r="AQ8081" s="19"/>
      <c r="AR8081" s="19"/>
      <c r="AS8081" s="19"/>
      <c r="AT8081" s="19"/>
      <c r="AU8081" s="19"/>
    </row>
    <row r="8082" spans="3:47">
      <c r="C8082" s="20"/>
      <c r="Z8082" s="20"/>
      <c r="AG8082" s="20"/>
      <c r="AQ8082" s="19"/>
      <c r="AR8082" s="19"/>
      <c r="AS8082" s="19"/>
      <c r="AT8082" s="19"/>
      <c r="AU8082" s="19"/>
    </row>
    <row r="8083" spans="3:47">
      <c r="C8083" s="20"/>
      <c r="Z8083" s="20"/>
      <c r="AG8083" s="20"/>
      <c r="AQ8083" s="19"/>
      <c r="AR8083" s="19"/>
      <c r="AS8083" s="19"/>
      <c r="AT8083" s="19"/>
      <c r="AU8083" s="19"/>
    </row>
    <row r="8084" spans="3:47">
      <c r="C8084" s="20"/>
      <c r="Z8084" s="20"/>
      <c r="AG8084" s="20"/>
      <c r="AQ8084" s="19"/>
      <c r="AR8084" s="19"/>
      <c r="AS8084" s="19"/>
      <c r="AT8084" s="19"/>
      <c r="AU8084" s="19"/>
    </row>
    <row r="8085" spans="3:47">
      <c r="C8085" s="20"/>
      <c r="Z8085" s="20"/>
      <c r="AG8085" s="20"/>
      <c r="AQ8085" s="19"/>
      <c r="AR8085" s="19"/>
      <c r="AS8085" s="19"/>
      <c r="AT8085" s="19"/>
      <c r="AU8085" s="19"/>
    </row>
    <row r="8086" spans="3:47">
      <c r="C8086" s="20"/>
      <c r="Z8086" s="20"/>
      <c r="AG8086" s="20"/>
      <c r="AQ8086" s="19"/>
      <c r="AR8086" s="19"/>
      <c r="AS8086" s="19"/>
      <c r="AT8086" s="19"/>
      <c r="AU8086" s="19"/>
    </row>
    <row r="8087" spans="3:47">
      <c r="C8087" s="20"/>
      <c r="Z8087" s="20"/>
      <c r="AG8087" s="20"/>
      <c r="AQ8087" s="19"/>
      <c r="AR8087" s="19"/>
      <c r="AS8087" s="19"/>
      <c r="AT8087" s="19"/>
      <c r="AU8087" s="19"/>
    </row>
    <row r="8088" spans="3:47">
      <c r="C8088" s="20"/>
      <c r="Z8088" s="20"/>
      <c r="AG8088" s="20"/>
      <c r="AQ8088" s="19"/>
      <c r="AR8088" s="19"/>
      <c r="AS8088" s="19"/>
      <c r="AT8088" s="19"/>
      <c r="AU8088" s="19"/>
    </row>
    <row r="8089" spans="3:47">
      <c r="C8089" s="20"/>
      <c r="Z8089" s="20"/>
      <c r="AG8089" s="20"/>
      <c r="AQ8089" s="19"/>
      <c r="AR8089" s="19"/>
      <c r="AS8089" s="19"/>
      <c r="AT8089" s="19"/>
      <c r="AU8089" s="19"/>
    </row>
    <row r="8090" spans="3:47">
      <c r="C8090" s="20"/>
      <c r="Z8090" s="20"/>
      <c r="AG8090" s="20"/>
      <c r="AQ8090" s="19"/>
      <c r="AR8090" s="19"/>
      <c r="AS8090" s="19"/>
      <c r="AT8090" s="19"/>
      <c r="AU8090" s="19"/>
    </row>
    <row r="8091" spans="3:47">
      <c r="C8091" s="20"/>
      <c r="Z8091" s="20"/>
      <c r="AG8091" s="20"/>
      <c r="AQ8091" s="19"/>
      <c r="AR8091" s="19"/>
      <c r="AS8091" s="19"/>
      <c r="AT8091" s="19"/>
      <c r="AU8091" s="19"/>
    </row>
    <row r="8092" spans="3:47">
      <c r="C8092" s="20"/>
      <c r="Z8092" s="20"/>
      <c r="AG8092" s="20"/>
      <c r="AQ8092" s="19"/>
      <c r="AR8092" s="19"/>
      <c r="AS8092" s="19"/>
      <c r="AT8092" s="19"/>
      <c r="AU8092" s="19"/>
    </row>
    <row r="8093" spans="3:47">
      <c r="C8093" s="20"/>
      <c r="Z8093" s="20"/>
      <c r="AG8093" s="20"/>
      <c r="AQ8093" s="19"/>
      <c r="AR8093" s="19"/>
      <c r="AS8093" s="19"/>
      <c r="AT8093" s="19"/>
      <c r="AU8093" s="19"/>
    </row>
    <row r="8094" spans="3:47">
      <c r="C8094" s="20"/>
      <c r="Z8094" s="20"/>
      <c r="AG8094" s="20"/>
      <c r="AQ8094" s="19"/>
      <c r="AR8094" s="19"/>
      <c r="AS8094" s="19"/>
      <c r="AT8094" s="19"/>
      <c r="AU8094" s="19"/>
    </row>
    <row r="8095" spans="3:47">
      <c r="C8095" s="20"/>
      <c r="Z8095" s="20"/>
      <c r="AG8095" s="20"/>
      <c r="AQ8095" s="19"/>
      <c r="AR8095" s="19"/>
      <c r="AS8095" s="19"/>
      <c r="AT8095" s="19"/>
      <c r="AU8095" s="19"/>
    </row>
    <row r="8096" spans="3:47">
      <c r="C8096" s="20"/>
      <c r="Z8096" s="20"/>
      <c r="AG8096" s="20"/>
      <c r="AQ8096" s="19"/>
      <c r="AR8096" s="19"/>
      <c r="AS8096" s="19"/>
      <c r="AT8096" s="19"/>
      <c r="AU8096" s="19"/>
    </row>
    <row r="8097" spans="3:47">
      <c r="C8097" s="20"/>
      <c r="Z8097" s="20"/>
      <c r="AG8097" s="20"/>
      <c r="AQ8097" s="19"/>
      <c r="AR8097" s="19"/>
      <c r="AS8097" s="19"/>
      <c r="AT8097" s="19"/>
      <c r="AU8097" s="19"/>
    </row>
    <row r="8098" spans="3:47">
      <c r="C8098" s="20"/>
      <c r="Z8098" s="20"/>
      <c r="AG8098" s="20"/>
      <c r="AQ8098" s="19"/>
      <c r="AR8098" s="19"/>
      <c r="AS8098" s="19"/>
      <c r="AT8098" s="19"/>
      <c r="AU8098" s="19"/>
    </row>
    <row r="8099" spans="3:47">
      <c r="C8099" s="20"/>
      <c r="Z8099" s="20"/>
      <c r="AG8099" s="20"/>
      <c r="AQ8099" s="19"/>
      <c r="AR8099" s="19"/>
      <c r="AS8099" s="19"/>
      <c r="AT8099" s="19"/>
      <c r="AU8099" s="19"/>
    </row>
    <row r="8100" spans="3:47">
      <c r="C8100" s="20"/>
      <c r="Z8100" s="20"/>
      <c r="AG8100" s="20"/>
      <c r="AQ8100" s="19"/>
      <c r="AR8100" s="19"/>
      <c r="AS8100" s="19"/>
      <c r="AT8100" s="19"/>
      <c r="AU8100" s="19"/>
    </row>
    <row r="8101" spans="3:47">
      <c r="C8101" s="20"/>
      <c r="Z8101" s="20"/>
      <c r="AG8101" s="20"/>
      <c r="AQ8101" s="19"/>
      <c r="AR8101" s="19"/>
      <c r="AS8101" s="19"/>
      <c r="AT8101" s="19"/>
      <c r="AU8101" s="19"/>
    </row>
    <row r="8102" spans="3:47">
      <c r="C8102" s="20"/>
      <c r="Z8102" s="20"/>
      <c r="AG8102" s="20"/>
      <c r="AQ8102" s="19"/>
      <c r="AR8102" s="19"/>
      <c r="AS8102" s="19"/>
      <c r="AT8102" s="19"/>
      <c r="AU8102" s="19"/>
    </row>
    <row r="8103" spans="3:47">
      <c r="C8103" s="20"/>
      <c r="Z8103" s="20"/>
      <c r="AG8103" s="20"/>
      <c r="AQ8103" s="19"/>
      <c r="AR8103" s="19"/>
      <c r="AS8103" s="19"/>
      <c r="AT8103" s="19"/>
      <c r="AU8103" s="19"/>
    </row>
    <row r="8104" spans="3:47">
      <c r="C8104" s="20"/>
      <c r="Z8104" s="20"/>
      <c r="AG8104" s="20"/>
      <c r="AQ8104" s="19"/>
      <c r="AR8104" s="19"/>
      <c r="AS8104" s="19"/>
      <c r="AT8104" s="19"/>
      <c r="AU8104" s="19"/>
    </row>
    <row r="8105" spans="3:47">
      <c r="C8105" s="20"/>
      <c r="Z8105" s="20"/>
      <c r="AG8105" s="20"/>
      <c r="AQ8105" s="19"/>
      <c r="AR8105" s="19"/>
      <c r="AS8105" s="19"/>
      <c r="AT8105" s="19"/>
      <c r="AU8105" s="19"/>
    </row>
    <row r="8106" spans="3:47">
      <c r="C8106" s="20"/>
      <c r="Z8106" s="20"/>
      <c r="AG8106" s="20"/>
      <c r="AQ8106" s="19"/>
      <c r="AR8106" s="19"/>
      <c r="AS8106" s="19"/>
      <c r="AT8106" s="19"/>
      <c r="AU8106" s="19"/>
    </row>
    <row r="8107" spans="3:47">
      <c r="C8107" s="20"/>
      <c r="Z8107" s="20"/>
      <c r="AG8107" s="20"/>
      <c r="AQ8107" s="19"/>
      <c r="AR8107" s="19"/>
      <c r="AS8107" s="19"/>
      <c r="AT8107" s="19"/>
      <c r="AU8107" s="19"/>
    </row>
    <row r="8108" spans="3:47">
      <c r="C8108" s="20"/>
      <c r="Z8108" s="20"/>
      <c r="AG8108" s="20"/>
      <c r="AQ8108" s="19"/>
      <c r="AR8108" s="19"/>
      <c r="AS8108" s="19"/>
      <c r="AT8108" s="19"/>
      <c r="AU8108" s="19"/>
    </row>
    <row r="8109" spans="3:47">
      <c r="C8109" s="20"/>
      <c r="Z8109" s="20"/>
      <c r="AG8109" s="20"/>
      <c r="AQ8109" s="19"/>
      <c r="AR8109" s="19"/>
      <c r="AS8109" s="19"/>
      <c r="AT8109" s="19"/>
      <c r="AU8109" s="19"/>
    </row>
    <row r="8110" spans="3:47">
      <c r="C8110" s="20"/>
      <c r="Z8110" s="20"/>
      <c r="AG8110" s="20"/>
      <c r="AQ8110" s="19"/>
      <c r="AR8110" s="19"/>
      <c r="AS8110" s="19"/>
      <c r="AT8110" s="19"/>
      <c r="AU8110" s="19"/>
    </row>
    <row r="8111" spans="3:47">
      <c r="C8111" s="20"/>
      <c r="Z8111" s="20"/>
      <c r="AG8111" s="20"/>
      <c r="AQ8111" s="19"/>
      <c r="AR8111" s="19"/>
      <c r="AS8111" s="19"/>
      <c r="AT8111" s="19"/>
      <c r="AU8111" s="19"/>
    </row>
    <row r="8112" spans="3:47">
      <c r="C8112" s="20"/>
      <c r="Z8112" s="20"/>
      <c r="AG8112" s="20"/>
      <c r="AQ8112" s="19"/>
      <c r="AR8112" s="19"/>
      <c r="AS8112" s="19"/>
      <c r="AT8112" s="19"/>
      <c r="AU8112" s="19"/>
    </row>
    <row r="8113" spans="3:47">
      <c r="C8113" s="20"/>
      <c r="Z8113" s="20"/>
      <c r="AG8113" s="20"/>
      <c r="AQ8113" s="19"/>
      <c r="AR8113" s="19"/>
      <c r="AS8113" s="19"/>
      <c r="AT8113" s="19"/>
      <c r="AU8113" s="19"/>
    </row>
    <row r="8114" spans="3:47">
      <c r="C8114" s="20"/>
      <c r="Z8114" s="20"/>
      <c r="AG8114" s="20"/>
      <c r="AQ8114" s="19"/>
      <c r="AR8114" s="19"/>
      <c r="AS8114" s="19"/>
      <c r="AT8114" s="19"/>
      <c r="AU8114" s="19"/>
    </row>
    <row r="8115" spans="3:47">
      <c r="C8115" s="20"/>
      <c r="Z8115" s="20"/>
      <c r="AG8115" s="20"/>
      <c r="AQ8115" s="19"/>
      <c r="AR8115" s="19"/>
      <c r="AS8115" s="19"/>
      <c r="AT8115" s="19"/>
      <c r="AU8115" s="19"/>
    </row>
    <row r="8116" spans="3:47">
      <c r="C8116" s="20"/>
      <c r="Z8116" s="20"/>
      <c r="AG8116" s="20"/>
      <c r="AQ8116" s="19"/>
      <c r="AR8116" s="19"/>
      <c r="AS8116" s="19"/>
      <c r="AT8116" s="19"/>
      <c r="AU8116" s="19"/>
    </row>
    <row r="8117" spans="3:47">
      <c r="C8117" s="20"/>
      <c r="Z8117" s="20"/>
      <c r="AG8117" s="20"/>
      <c r="AQ8117" s="19"/>
      <c r="AR8117" s="19"/>
      <c r="AS8117" s="19"/>
      <c r="AT8117" s="19"/>
      <c r="AU8117" s="19"/>
    </row>
    <row r="8118" spans="3:47">
      <c r="C8118" s="20"/>
      <c r="Z8118" s="20"/>
      <c r="AG8118" s="20"/>
      <c r="AQ8118" s="19"/>
      <c r="AR8118" s="19"/>
      <c r="AS8118" s="19"/>
      <c r="AT8118" s="19"/>
      <c r="AU8118" s="19"/>
    </row>
    <row r="8119" spans="3:47">
      <c r="C8119" s="20"/>
      <c r="Z8119" s="20"/>
      <c r="AG8119" s="20"/>
      <c r="AQ8119" s="19"/>
      <c r="AR8119" s="19"/>
      <c r="AS8119" s="19"/>
      <c r="AT8119" s="19"/>
      <c r="AU8119" s="19"/>
    </row>
    <row r="8120" spans="3:47">
      <c r="C8120" s="20"/>
      <c r="Z8120" s="20"/>
      <c r="AG8120" s="20"/>
      <c r="AQ8120" s="19"/>
      <c r="AR8120" s="19"/>
      <c r="AS8120" s="19"/>
      <c r="AT8120" s="19"/>
      <c r="AU8120" s="19"/>
    </row>
    <row r="8121" spans="3:47">
      <c r="C8121" s="20"/>
      <c r="Z8121" s="20"/>
      <c r="AG8121" s="20"/>
      <c r="AQ8121" s="19"/>
      <c r="AR8121" s="19"/>
      <c r="AS8121" s="19"/>
      <c r="AT8121" s="19"/>
      <c r="AU8121" s="19"/>
    </row>
    <row r="8122" spans="3:47">
      <c r="C8122" s="20"/>
      <c r="Z8122" s="20"/>
      <c r="AG8122" s="20"/>
      <c r="AQ8122" s="19"/>
      <c r="AR8122" s="19"/>
      <c r="AS8122" s="19"/>
      <c r="AT8122" s="19"/>
      <c r="AU8122" s="19"/>
    </row>
    <row r="8123" spans="3:47">
      <c r="C8123" s="20"/>
      <c r="Z8123" s="20"/>
      <c r="AG8123" s="20"/>
      <c r="AQ8123" s="19"/>
      <c r="AR8123" s="19"/>
      <c r="AS8123" s="19"/>
      <c r="AT8123" s="19"/>
      <c r="AU8123" s="19"/>
    </row>
    <row r="8124" spans="3:47">
      <c r="C8124" s="20"/>
      <c r="Z8124" s="20"/>
      <c r="AG8124" s="20"/>
      <c r="AQ8124" s="19"/>
      <c r="AR8124" s="19"/>
      <c r="AS8124" s="19"/>
      <c r="AT8124" s="19"/>
      <c r="AU8124" s="19"/>
    </row>
    <row r="8125" spans="3:47">
      <c r="C8125" s="20"/>
      <c r="Z8125" s="20"/>
      <c r="AG8125" s="20"/>
      <c r="AQ8125" s="19"/>
      <c r="AR8125" s="19"/>
      <c r="AS8125" s="19"/>
      <c r="AT8125" s="19"/>
      <c r="AU8125" s="19"/>
    </row>
    <row r="8126" spans="3:47">
      <c r="C8126" s="20"/>
      <c r="Z8126" s="20"/>
      <c r="AG8126" s="20"/>
      <c r="AQ8126" s="19"/>
      <c r="AR8126" s="19"/>
      <c r="AS8126" s="19"/>
      <c r="AT8126" s="19"/>
      <c r="AU8126" s="19"/>
    </row>
    <row r="8127" spans="3:47">
      <c r="C8127" s="20"/>
      <c r="Z8127" s="20"/>
      <c r="AG8127" s="20"/>
      <c r="AQ8127" s="19"/>
      <c r="AR8127" s="19"/>
      <c r="AS8127" s="19"/>
      <c r="AT8127" s="19"/>
      <c r="AU8127" s="19"/>
    </row>
    <row r="8128" spans="3:47">
      <c r="C8128" s="20"/>
      <c r="Z8128" s="20"/>
      <c r="AG8128" s="20"/>
      <c r="AQ8128" s="19"/>
      <c r="AR8128" s="19"/>
      <c r="AS8128" s="19"/>
      <c r="AT8128" s="19"/>
      <c r="AU8128" s="19"/>
    </row>
    <row r="8129" spans="3:47">
      <c r="C8129" s="20"/>
      <c r="Z8129" s="20"/>
      <c r="AG8129" s="20"/>
      <c r="AQ8129" s="19"/>
      <c r="AR8129" s="19"/>
      <c r="AS8129" s="19"/>
      <c r="AT8129" s="19"/>
      <c r="AU8129" s="19"/>
    </row>
    <row r="8130" spans="3:47">
      <c r="C8130" s="20"/>
      <c r="Z8130" s="20"/>
      <c r="AG8130" s="20"/>
      <c r="AQ8130" s="19"/>
      <c r="AR8130" s="19"/>
      <c r="AS8130" s="19"/>
      <c r="AT8130" s="19"/>
      <c r="AU8130" s="19"/>
    </row>
    <row r="8131" spans="3:47">
      <c r="C8131" s="20"/>
      <c r="Z8131" s="20"/>
      <c r="AG8131" s="20"/>
      <c r="AQ8131" s="19"/>
      <c r="AR8131" s="19"/>
      <c r="AS8131" s="19"/>
      <c r="AT8131" s="19"/>
      <c r="AU8131" s="19"/>
    </row>
    <row r="8132" spans="3:47">
      <c r="C8132" s="20"/>
      <c r="Z8132" s="20"/>
      <c r="AG8132" s="20"/>
      <c r="AQ8132" s="19"/>
      <c r="AR8132" s="19"/>
      <c r="AS8132" s="19"/>
      <c r="AT8132" s="19"/>
      <c r="AU8132" s="19"/>
    </row>
    <row r="8133" spans="3:47">
      <c r="C8133" s="20"/>
      <c r="Z8133" s="20"/>
      <c r="AG8133" s="20"/>
      <c r="AQ8133" s="19"/>
      <c r="AR8133" s="19"/>
      <c r="AS8133" s="19"/>
      <c r="AT8133" s="19"/>
      <c r="AU8133" s="19"/>
    </row>
    <row r="8134" spans="3:47">
      <c r="C8134" s="20"/>
      <c r="Z8134" s="20"/>
      <c r="AG8134" s="20"/>
      <c r="AQ8134" s="19"/>
      <c r="AR8134" s="19"/>
      <c r="AS8134" s="19"/>
      <c r="AT8134" s="19"/>
      <c r="AU8134" s="19"/>
    </row>
    <row r="8135" spans="3:47">
      <c r="C8135" s="20"/>
      <c r="Z8135" s="20"/>
      <c r="AG8135" s="20"/>
      <c r="AQ8135" s="19"/>
      <c r="AR8135" s="19"/>
      <c r="AS8135" s="19"/>
      <c r="AT8135" s="19"/>
      <c r="AU8135" s="19"/>
    </row>
    <row r="8136" spans="3:47">
      <c r="C8136" s="20"/>
      <c r="Z8136" s="20"/>
      <c r="AG8136" s="20"/>
      <c r="AQ8136" s="19"/>
      <c r="AR8136" s="19"/>
      <c r="AS8136" s="19"/>
      <c r="AT8136" s="19"/>
      <c r="AU8136" s="19"/>
    </row>
    <row r="8137" spans="3:47">
      <c r="C8137" s="20"/>
      <c r="Z8137" s="20"/>
      <c r="AG8137" s="20"/>
      <c r="AQ8137" s="19"/>
      <c r="AR8137" s="19"/>
      <c r="AS8137" s="19"/>
      <c r="AT8137" s="19"/>
      <c r="AU8137" s="19"/>
    </row>
    <row r="8138" spans="3:47">
      <c r="C8138" s="20"/>
      <c r="Z8138" s="20"/>
      <c r="AG8138" s="20"/>
      <c r="AQ8138" s="19"/>
      <c r="AR8138" s="19"/>
      <c r="AS8138" s="19"/>
      <c r="AT8138" s="19"/>
      <c r="AU8138" s="19"/>
    </row>
    <row r="8139" spans="3:47">
      <c r="C8139" s="20"/>
      <c r="Z8139" s="20"/>
      <c r="AG8139" s="20"/>
      <c r="AQ8139" s="19"/>
      <c r="AR8139" s="19"/>
      <c r="AS8139" s="19"/>
      <c r="AT8139" s="19"/>
      <c r="AU8139" s="19"/>
    </row>
    <row r="8140" spans="3:47">
      <c r="C8140" s="20"/>
      <c r="Z8140" s="20"/>
      <c r="AG8140" s="20"/>
      <c r="AQ8140" s="19"/>
      <c r="AR8140" s="19"/>
      <c r="AS8140" s="19"/>
      <c r="AT8140" s="19"/>
      <c r="AU8140" s="19"/>
    </row>
    <row r="8141" spans="3:47">
      <c r="C8141" s="20"/>
      <c r="Z8141" s="20"/>
      <c r="AG8141" s="20"/>
      <c r="AQ8141" s="19"/>
      <c r="AR8141" s="19"/>
      <c r="AS8141" s="19"/>
      <c r="AT8141" s="19"/>
      <c r="AU8141" s="19"/>
    </row>
    <row r="8142" spans="3:47">
      <c r="C8142" s="20"/>
      <c r="Z8142" s="20"/>
      <c r="AG8142" s="20"/>
      <c r="AQ8142" s="19"/>
      <c r="AR8142" s="19"/>
      <c r="AS8142" s="19"/>
      <c r="AT8142" s="19"/>
      <c r="AU8142" s="19"/>
    </row>
    <row r="8143" spans="3:47">
      <c r="C8143" s="20"/>
      <c r="Z8143" s="20"/>
      <c r="AG8143" s="20"/>
      <c r="AQ8143" s="19"/>
      <c r="AR8143" s="19"/>
      <c r="AS8143" s="19"/>
      <c r="AT8143" s="19"/>
      <c r="AU8143" s="19"/>
    </row>
    <row r="8144" spans="3:47">
      <c r="C8144" s="20"/>
      <c r="Z8144" s="20"/>
      <c r="AG8144" s="20"/>
      <c r="AQ8144" s="19"/>
      <c r="AR8144" s="19"/>
      <c r="AS8144" s="19"/>
      <c r="AT8144" s="19"/>
      <c r="AU8144" s="19"/>
    </row>
    <row r="8145" spans="3:47">
      <c r="C8145" s="20"/>
      <c r="Z8145" s="20"/>
      <c r="AG8145" s="20"/>
      <c r="AQ8145" s="19"/>
      <c r="AR8145" s="19"/>
      <c r="AS8145" s="19"/>
      <c r="AT8145" s="19"/>
      <c r="AU8145" s="19"/>
    </row>
    <row r="8146" spans="3:47">
      <c r="C8146" s="20"/>
      <c r="Z8146" s="20"/>
      <c r="AG8146" s="20"/>
      <c r="AQ8146" s="19"/>
      <c r="AR8146" s="19"/>
      <c r="AS8146" s="19"/>
      <c r="AT8146" s="19"/>
      <c r="AU8146" s="19"/>
    </row>
    <row r="8147" spans="3:47">
      <c r="C8147" s="20"/>
      <c r="Z8147" s="20"/>
      <c r="AG8147" s="20"/>
      <c r="AQ8147" s="19"/>
      <c r="AR8147" s="19"/>
      <c r="AS8147" s="19"/>
      <c r="AT8147" s="19"/>
      <c r="AU8147" s="19"/>
    </row>
    <row r="8148" spans="3:47">
      <c r="C8148" s="20"/>
      <c r="Z8148" s="20"/>
      <c r="AG8148" s="20"/>
      <c r="AQ8148" s="19"/>
      <c r="AR8148" s="19"/>
      <c r="AS8148" s="19"/>
      <c r="AT8148" s="19"/>
      <c r="AU8148" s="19"/>
    </row>
    <row r="8149" spans="3:47">
      <c r="C8149" s="20"/>
      <c r="Z8149" s="20"/>
      <c r="AG8149" s="20"/>
      <c r="AQ8149" s="19"/>
      <c r="AR8149" s="19"/>
      <c r="AS8149" s="19"/>
      <c r="AT8149" s="19"/>
      <c r="AU8149" s="19"/>
    </row>
    <row r="8150" spans="3:47">
      <c r="C8150" s="20"/>
      <c r="Z8150" s="20"/>
      <c r="AG8150" s="20"/>
      <c r="AQ8150" s="19"/>
      <c r="AR8150" s="19"/>
      <c r="AS8150" s="19"/>
      <c r="AT8150" s="19"/>
      <c r="AU8150" s="19"/>
    </row>
    <row r="8151" spans="3:47">
      <c r="C8151" s="20"/>
      <c r="Z8151" s="20"/>
      <c r="AG8151" s="20"/>
      <c r="AQ8151" s="19"/>
      <c r="AR8151" s="19"/>
      <c r="AS8151" s="19"/>
      <c r="AT8151" s="19"/>
      <c r="AU8151" s="19"/>
    </row>
    <row r="8152" spans="3:47">
      <c r="C8152" s="20"/>
      <c r="Z8152" s="20"/>
      <c r="AG8152" s="20"/>
      <c r="AQ8152" s="19"/>
      <c r="AR8152" s="19"/>
      <c r="AS8152" s="19"/>
      <c r="AT8152" s="19"/>
      <c r="AU8152" s="19"/>
    </row>
    <row r="8153" spans="3:47">
      <c r="C8153" s="20"/>
      <c r="Z8153" s="20"/>
      <c r="AG8153" s="20"/>
      <c r="AQ8153" s="19"/>
      <c r="AR8153" s="19"/>
      <c r="AS8153" s="19"/>
      <c r="AT8153" s="19"/>
      <c r="AU8153" s="19"/>
    </row>
    <row r="8154" spans="3:47">
      <c r="C8154" s="20"/>
      <c r="Z8154" s="20"/>
      <c r="AG8154" s="20"/>
      <c r="AQ8154" s="19"/>
      <c r="AR8154" s="19"/>
      <c r="AS8154" s="19"/>
      <c r="AT8154" s="19"/>
      <c r="AU8154" s="19"/>
    </row>
    <row r="8155" spans="3:47">
      <c r="C8155" s="20"/>
      <c r="Z8155" s="20"/>
      <c r="AG8155" s="20"/>
      <c r="AQ8155" s="19"/>
      <c r="AR8155" s="19"/>
      <c r="AS8155" s="19"/>
      <c r="AT8155" s="19"/>
      <c r="AU8155" s="19"/>
    </row>
    <row r="8156" spans="3:47">
      <c r="C8156" s="20"/>
      <c r="Z8156" s="20"/>
      <c r="AG8156" s="20"/>
      <c r="AQ8156" s="19"/>
      <c r="AR8156" s="19"/>
      <c r="AS8156" s="19"/>
      <c r="AT8156" s="19"/>
      <c r="AU8156" s="19"/>
    </row>
    <row r="8157" spans="3:47">
      <c r="C8157" s="20"/>
      <c r="Z8157" s="20"/>
      <c r="AG8157" s="20"/>
      <c r="AQ8157" s="19"/>
      <c r="AR8157" s="19"/>
      <c r="AS8157" s="19"/>
      <c r="AT8157" s="19"/>
      <c r="AU8157" s="19"/>
    </row>
    <row r="8158" spans="3:47">
      <c r="C8158" s="20"/>
      <c r="Z8158" s="20"/>
      <c r="AG8158" s="20"/>
      <c r="AQ8158" s="19"/>
      <c r="AR8158" s="19"/>
      <c r="AS8158" s="19"/>
      <c r="AT8158" s="19"/>
      <c r="AU8158" s="19"/>
    </row>
    <row r="8159" spans="3:47">
      <c r="C8159" s="20"/>
      <c r="Z8159" s="20"/>
      <c r="AG8159" s="20"/>
      <c r="AQ8159" s="19"/>
      <c r="AR8159" s="19"/>
      <c r="AS8159" s="19"/>
      <c r="AT8159" s="19"/>
      <c r="AU8159" s="19"/>
    </row>
    <row r="8160" spans="3:47">
      <c r="C8160" s="20"/>
      <c r="Z8160" s="20"/>
      <c r="AG8160" s="20"/>
      <c r="AQ8160" s="19"/>
      <c r="AR8160" s="19"/>
      <c r="AS8160" s="19"/>
      <c r="AT8160" s="19"/>
      <c r="AU8160" s="19"/>
    </row>
    <row r="8161" spans="3:47">
      <c r="C8161" s="20"/>
      <c r="Z8161" s="20"/>
      <c r="AG8161" s="20"/>
      <c r="AQ8161" s="19"/>
      <c r="AR8161" s="19"/>
      <c r="AS8161" s="19"/>
      <c r="AT8161" s="19"/>
      <c r="AU8161" s="19"/>
    </row>
    <row r="8162" spans="3:47">
      <c r="C8162" s="20"/>
      <c r="Z8162" s="20"/>
      <c r="AG8162" s="20"/>
      <c r="AQ8162" s="19"/>
      <c r="AR8162" s="19"/>
      <c r="AS8162" s="19"/>
      <c r="AT8162" s="19"/>
      <c r="AU8162" s="19"/>
    </row>
    <row r="8163" spans="3:47">
      <c r="C8163" s="20"/>
      <c r="Z8163" s="20"/>
      <c r="AG8163" s="20"/>
      <c r="AQ8163" s="19"/>
      <c r="AR8163" s="19"/>
      <c r="AS8163" s="19"/>
      <c r="AT8163" s="19"/>
      <c r="AU8163" s="19"/>
    </row>
    <row r="8164" spans="3:47">
      <c r="C8164" s="20"/>
      <c r="Z8164" s="20"/>
      <c r="AG8164" s="20"/>
      <c r="AQ8164" s="19"/>
      <c r="AR8164" s="19"/>
      <c r="AS8164" s="19"/>
      <c r="AT8164" s="19"/>
      <c r="AU8164" s="19"/>
    </row>
    <row r="8165" spans="3:47">
      <c r="C8165" s="20"/>
      <c r="Z8165" s="20"/>
      <c r="AG8165" s="20"/>
      <c r="AQ8165" s="19"/>
      <c r="AR8165" s="19"/>
      <c r="AS8165" s="19"/>
      <c r="AT8165" s="19"/>
      <c r="AU8165" s="19"/>
    </row>
    <row r="8166" spans="3:47">
      <c r="C8166" s="20"/>
      <c r="Z8166" s="20"/>
      <c r="AG8166" s="20"/>
      <c r="AQ8166" s="19"/>
      <c r="AR8166" s="19"/>
      <c r="AS8166" s="19"/>
      <c r="AT8166" s="19"/>
      <c r="AU8166" s="19"/>
    </row>
    <row r="8167" spans="3:47">
      <c r="C8167" s="20"/>
      <c r="Z8167" s="20"/>
      <c r="AG8167" s="20"/>
      <c r="AQ8167" s="19"/>
      <c r="AR8167" s="19"/>
      <c r="AS8167" s="19"/>
      <c r="AT8167" s="19"/>
      <c r="AU8167" s="19"/>
    </row>
    <row r="8168" spans="3:47">
      <c r="C8168" s="20"/>
      <c r="Z8168" s="20"/>
      <c r="AG8168" s="20"/>
      <c r="AQ8168" s="19"/>
      <c r="AR8168" s="19"/>
      <c r="AS8168" s="19"/>
      <c r="AT8168" s="19"/>
      <c r="AU8168" s="19"/>
    </row>
    <row r="8169" spans="3:47">
      <c r="C8169" s="20"/>
      <c r="Z8169" s="20"/>
      <c r="AG8169" s="20"/>
      <c r="AQ8169" s="19"/>
      <c r="AR8169" s="19"/>
      <c r="AS8169" s="19"/>
      <c r="AT8169" s="19"/>
      <c r="AU8169" s="19"/>
    </row>
    <row r="8170" spans="3:47">
      <c r="C8170" s="20"/>
      <c r="Z8170" s="20"/>
      <c r="AG8170" s="20"/>
      <c r="AQ8170" s="19"/>
      <c r="AR8170" s="19"/>
      <c r="AS8170" s="19"/>
      <c r="AT8170" s="19"/>
      <c r="AU8170" s="19"/>
    </row>
    <row r="8171" spans="3:47">
      <c r="C8171" s="20"/>
      <c r="Z8171" s="20"/>
      <c r="AG8171" s="20"/>
      <c r="AQ8171" s="19"/>
      <c r="AR8171" s="19"/>
      <c r="AS8171" s="19"/>
      <c r="AT8171" s="19"/>
      <c r="AU8171" s="19"/>
    </row>
    <row r="8172" spans="3:47">
      <c r="C8172" s="20"/>
      <c r="Z8172" s="20"/>
      <c r="AG8172" s="20"/>
      <c r="AQ8172" s="19"/>
      <c r="AR8172" s="19"/>
      <c r="AS8172" s="19"/>
      <c r="AT8172" s="19"/>
      <c r="AU8172" s="19"/>
    </row>
    <row r="8173" spans="3:47">
      <c r="C8173" s="20"/>
      <c r="Z8173" s="20"/>
      <c r="AG8173" s="20"/>
      <c r="AQ8173" s="19"/>
      <c r="AR8173" s="19"/>
      <c r="AS8173" s="19"/>
      <c r="AT8173" s="19"/>
      <c r="AU8173" s="19"/>
    </row>
    <row r="8174" spans="3:47">
      <c r="C8174" s="20"/>
      <c r="Z8174" s="20"/>
      <c r="AG8174" s="20"/>
      <c r="AQ8174" s="19"/>
      <c r="AR8174" s="19"/>
      <c r="AS8174" s="19"/>
      <c r="AT8174" s="19"/>
      <c r="AU8174" s="19"/>
    </row>
    <row r="8175" spans="3:47">
      <c r="C8175" s="20"/>
      <c r="Z8175" s="20"/>
      <c r="AG8175" s="20"/>
      <c r="AQ8175" s="19"/>
      <c r="AR8175" s="19"/>
      <c r="AS8175" s="19"/>
      <c r="AT8175" s="19"/>
      <c r="AU8175" s="19"/>
    </row>
    <row r="8176" spans="3:47">
      <c r="C8176" s="20"/>
      <c r="Z8176" s="20"/>
      <c r="AG8176" s="20"/>
      <c r="AQ8176" s="19"/>
      <c r="AR8176" s="19"/>
      <c r="AS8176" s="19"/>
      <c r="AT8176" s="19"/>
      <c r="AU8176" s="19"/>
    </row>
    <row r="8177" spans="3:47">
      <c r="C8177" s="20"/>
      <c r="Z8177" s="20"/>
      <c r="AG8177" s="20"/>
      <c r="AQ8177" s="19"/>
      <c r="AR8177" s="19"/>
      <c r="AS8177" s="19"/>
      <c r="AT8177" s="19"/>
      <c r="AU8177" s="19"/>
    </row>
    <row r="8178" spans="3:47">
      <c r="C8178" s="20"/>
      <c r="Z8178" s="20"/>
      <c r="AG8178" s="20"/>
      <c r="AQ8178" s="19"/>
      <c r="AR8178" s="19"/>
      <c r="AS8178" s="19"/>
      <c r="AT8178" s="19"/>
      <c r="AU8178" s="19"/>
    </row>
    <row r="8179" spans="3:47">
      <c r="C8179" s="20"/>
      <c r="Z8179" s="20"/>
      <c r="AG8179" s="20"/>
      <c r="AQ8179" s="19"/>
      <c r="AR8179" s="19"/>
      <c r="AS8179" s="19"/>
      <c r="AT8179" s="19"/>
      <c r="AU8179" s="19"/>
    </row>
    <row r="8180" spans="3:47">
      <c r="C8180" s="20"/>
      <c r="Z8180" s="20"/>
      <c r="AG8180" s="20"/>
      <c r="AQ8180" s="19"/>
      <c r="AR8180" s="19"/>
      <c r="AS8180" s="19"/>
      <c r="AT8180" s="19"/>
      <c r="AU8180" s="19"/>
    </row>
    <row r="8181" spans="3:47">
      <c r="C8181" s="20"/>
      <c r="Z8181" s="20"/>
      <c r="AG8181" s="20"/>
      <c r="AQ8181" s="19"/>
      <c r="AR8181" s="19"/>
      <c r="AS8181" s="19"/>
      <c r="AT8181" s="19"/>
      <c r="AU8181" s="19"/>
    </row>
    <row r="8182" spans="3:47">
      <c r="C8182" s="20"/>
      <c r="Z8182" s="20"/>
      <c r="AG8182" s="20"/>
      <c r="AQ8182" s="19"/>
      <c r="AR8182" s="19"/>
      <c r="AS8182" s="19"/>
      <c r="AT8182" s="19"/>
      <c r="AU8182" s="19"/>
    </row>
    <row r="8183" spans="3:47">
      <c r="C8183" s="20"/>
      <c r="Z8183" s="20"/>
      <c r="AG8183" s="20"/>
      <c r="AQ8183" s="19"/>
      <c r="AR8183" s="19"/>
      <c r="AS8183" s="19"/>
      <c r="AT8183" s="19"/>
      <c r="AU8183" s="19"/>
    </row>
    <row r="8184" spans="3:47">
      <c r="C8184" s="20"/>
      <c r="Z8184" s="20"/>
      <c r="AG8184" s="20"/>
      <c r="AQ8184" s="19"/>
      <c r="AR8184" s="19"/>
      <c r="AS8184" s="19"/>
      <c r="AT8184" s="19"/>
      <c r="AU8184" s="19"/>
    </row>
    <row r="8185" spans="3:47">
      <c r="C8185" s="20"/>
      <c r="Z8185" s="20"/>
      <c r="AG8185" s="20"/>
      <c r="AQ8185" s="19"/>
      <c r="AR8185" s="19"/>
      <c r="AS8185" s="19"/>
      <c r="AT8185" s="19"/>
      <c r="AU8185" s="19"/>
    </row>
    <row r="8186" spans="3:47">
      <c r="C8186" s="20"/>
      <c r="Z8186" s="20"/>
      <c r="AG8186" s="20"/>
      <c r="AQ8186" s="19"/>
      <c r="AR8186" s="19"/>
      <c r="AS8186" s="19"/>
      <c r="AT8186" s="19"/>
      <c r="AU8186" s="19"/>
    </row>
    <row r="8187" spans="3:47">
      <c r="C8187" s="20"/>
      <c r="Z8187" s="20"/>
      <c r="AG8187" s="20"/>
      <c r="AQ8187" s="19"/>
      <c r="AR8187" s="19"/>
      <c r="AS8187" s="19"/>
      <c r="AT8187" s="19"/>
      <c r="AU8187" s="19"/>
    </row>
    <row r="8188" spans="3:47">
      <c r="C8188" s="20"/>
      <c r="Z8188" s="20"/>
      <c r="AG8188" s="20"/>
      <c r="AQ8188" s="19"/>
      <c r="AR8188" s="19"/>
      <c r="AS8188" s="19"/>
      <c r="AT8188" s="19"/>
      <c r="AU8188" s="19"/>
    </row>
    <row r="8189" spans="3:47">
      <c r="C8189" s="20"/>
      <c r="Z8189" s="20"/>
      <c r="AG8189" s="20"/>
      <c r="AQ8189" s="19"/>
      <c r="AR8189" s="19"/>
      <c r="AS8189" s="19"/>
      <c r="AT8189" s="19"/>
      <c r="AU8189" s="19"/>
    </row>
    <row r="8190" spans="3:47">
      <c r="C8190" s="20"/>
      <c r="Z8190" s="20"/>
      <c r="AG8190" s="20"/>
      <c r="AQ8190" s="19"/>
      <c r="AR8190" s="19"/>
      <c r="AS8190" s="19"/>
      <c r="AT8190" s="19"/>
      <c r="AU8190" s="19"/>
    </row>
    <row r="8191" spans="3:47">
      <c r="C8191" s="20"/>
      <c r="Z8191" s="20"/>
      <c r="AG8191" s="20"/>
      <c r="AQ8191" s="19"/>
      <c r="AR8191" s="19"/>
      <c r="AS8191" s="19"/>
      <c r="AT8191" s="19"/>
      <c r="AU8191" s="19"/>
    </row>
    <row r="8192" spans="3:47">
      <c r="C8192" s="20"/>
      <c r="Z8192" s="20"/>
      <c r="AG8192" s="20"/>
      <c r="AQ8192" s="19"/>
      <c r="AR8192" s="19"/>
      <c r="AS8192" s="19"/>
      <c r="AT8192" s="19"/>
      <c r="AU8192" s="19"/>
    </row>
    <row r="8193" spans="3:47">
      <c r="C8193" s="20"/>
      <c r="Z8193" s="20"/>
      <c r="AG8193" s="20"/>
      <c r="AQ8193" s="19"/>
      <c r="AR8193" s="19"/>
      <c r="AS8193" s="19"/>
      <c r="AT8193" s="19"/>
      <c r="AU8193" s="19"/>
    </row>
    <row r="8194" spans="3:47">
      <c r="C8194" s="20"/>
      <c r="Z8194" s="20"/>
      <c r="AG8194" s="20"/>
      <c r="AQ8194" s="19"/>
      <c r="AR8194" s="19"/>
      <c r="AS8194" s="19"/>
      <c r="AT8194" s="19"/>
      <c r="AU8194" s="19"/>
    </row>
    <row r="8195" spans="3:47">
      <c r="C8195" s="20"/>
      <c r="Z8195" s="20"/>
      <c r="AG8195" s="20"/>
      <c r="AQ8195" s="19"/>
      <c r="AR8195" s="19"/>
      <c r="AS8195" s="19"/>
      <c r="AT8195" s="19"/>
      <c r="AU8195" s="19"/>
    </row>
    <row r="8196" spans="3:47">
      <c r="C8196" s="20"/>
      <c r="Z8196" s="20"/>
      <c r="AG8196" s="20"/>
      <c r="AQ8196" s="19"/>
      <c r="AR8196" s="19"/>
      <c r="AS8196" s="19"/>
      <c r="AT8196" s="19"/>
      <c r="AU8196" s="19"/>
    </row>
    <row r="8197" spans="3:47">
      <c r="C8197" s="20"/>
      <c r="Z8197" s="20"/>
      <c r="AG8197" s="20"/>
      <c r="AQ8197" s="19"/>
      <c r="AR8197" s="19"/>
      <c r="AS8197" s="19"/>
      <c r="AT8197" s="19"/>
      <c r="AU8197" s="19"/>
    </row>
    <row r="8198" spans="3:47">
      <c r="C8198" s="20"/>
      <c r="Z8198" s="20"/>
      <c r="AG8198" s="20"/>
      <c r="AQ8198" s="19"/>
      <c r="AR8198" s="19"/>
      <c r="AS8198" s="19"/>
      <c r="AT8198" s="19"/>
      <c r="AU8198" s="19"/>
    </row>
    <row r="8199" spans="3:47">
      <c r="C8199" s="20"/>
      <c r="Z8199" s="20"/>
      <c r="AG8199" s="20"/>
      <c r="AQ8199" s="19"/>
      <c r="AR8199" s="19"/>
      <c r="AS8199" s="19"/>
      <c r="AT8199" s="19"/>
      <c r="AU8199" s="19"/>
    </row>
    <row r="8200" spans="3:47">
      <c r="C8200" s="20"/>
      <c r="Z8200" s="20"/>
      <c r="AG8200" s="20"/>
      <c r="AQ8200" s="19"/>
      <c r="AR8200" s="19"/>
      <c r="AS8200" s="19"/>
      <c r="AT8200" s="19"/>
      <c r="AU8200" s="19"/>
    </row>
    <row r="8201" spans="3:47">
      <c r="C8201" s="20"/>
      <c r="Z8201" s="20"/>
      <c r="AG8201" s="20"/>
      <c r="AQ8201" s="19"/>
      <c r="AR8201" s="19"/>
      <c r="AS8201" s="19"/>
      <c r="AT8201" s="19"/>
      <c r="AU8201" s="19"/>
    </row>
    <row r="8202" spans="3:47">
      <c r="C8202" s="20"/>
      <c r="Z8202" s="20"/>
      <c r="AG8202" s="20"/>
      <c r="AQ8202" s="19"/>
      <c r="AR8202" s="19"/>
      <c r="AS8202" s="19"/>
      <c r="AT8202" s="19"/>
      <c r="AU8202" s="19"/>
    </row>
    <row r="8203" spans="3:47">
      <c r="C8203" s="20"/>
      <c r="Z8203" s="20"/>
      <c r="AG8203" s="20"/>
      <c r="AQ8203" s="19"/>
      <c r="AR8203" s="19"/>
      <c r="AS8203" s="19"/>
      <c r="AT8203" s="19"/>
      <c r="AU8203" s="19"/>
    </row>
    <row r="8204" spans="3:47">
      <c r="C8204" s="20"/>
      <c r="Z8204" s="20"/>
      <c r="AG8204" s="20"/>
      <c r="AQ8204" s="19"/>
      <c r="AR8204" s="19"/>
      <c r="AS8204" s="19"/>
      <c r="AT8204" s="19"/>
      <c r="AU8204" s="19"/>
    </row>
    <row r="8205" spans="3:47">
      <c r="C8205" s="20"/>
      <c r="Z8205" s="20"/>
      <c r="AG8205" s="20"/>
      <c r="AQ8205" s="19"/>
      <c r="AR8205" s="19"/>
      <c r="AS8205" s="19"/>
      <c r="AT8205" s="19"/>
      <c r="AU8205" s="19"/>
    </row>
    <row r="8206" spans="3:47">
      <c r="C8206" s="20"/>
      <c r="Z8206" s="20"/>
      <c r="AG8206" s="20"/>
      <c r="AQ8206" s="19"/>
      <c r="AR8206" s="19"/>
      <c r="AS8206" s="19"/>
      <c r="AT8206" s="19"/>
      <c r="AU8206" s="19"/>
    </row>
    <row r="8207" spans="3:47">
      <c r="C8207" s="20"/>
      <c r="Z8207" s="20"/>
      <c r="AG8207" s="20"/>
      <c r="AQ8207" s="19"/>
      <c r="AR8207" s="19"/>
      <c r="AS8207" s="19"/>
      <c r="AT8207" s="19"/>
      <c r="AU8207" s="19"/>
    </row>
    <row r="8208" spans="3:47">
      <c r="C8208" s="20"/>
      <c r="Z8208" s="20"/>
      <c r="AG8208" s="20"/>
      <c r="AQ8208" s="19"/>
      <c r="AR8208" s="19"/>
      <c r="AS8208" s="19"/>
      <c r="AT8208" s="19"/>
      <c r="AU8208" s="19"/>
    </row>
    <row r="8209" spans="3:47">
      <c r="C8209" s="20"/>
      <c r="Z8209" s="20"/>
      <c r="AG8209" s="20"/>
      <c r="AQ8209" s="19"/>
      <c r="AR8209" s="19"/>
      <c r="AS8209" s="19"/>
      <c r="AT8209" s="19"/>
      <c r="AU8209" s="19"/>
    </row>
    <row r="8210" spans="3:47">
      <c r="C8210" s="20"/>
      <c r="Z8210" s="20"/>
      <c r="AG8210" s="20"/>
      <c r="AQ8210" s="19"/>
      <c r="AR8210" s="19"/>
      <c r="AS8210" s="19"/>
      <c r="AT8210" s="19"/>
      <c r="AU8210" s="19"/>
    </row>
    <row r="8211" spans="3:47">
      <c r="C8211" s="20"/>
      <c r="Z8211" s="20"/>
      <c r="AG8211" s="20"/>
      <c r="AQ8211" s="19"/>
      <c r="AR8211" s="19"/>
      <c r="AS8211" s="19"/>
      <c r="AT8211" s="19"/>
      <c r="AU8211" s="19"/>
    </row>
    <row r="8212" spans="3:47">
      <c r="C8212" s="20"/>
      <c r="Z8212" s="20"/>
      <c r="AG8212" s="20"/>
      <c r="AQ8212" s="19"/>
      <c r="AR8212" s="19"/>
      <c r="AS8212" s="19"/>
      <c r="AT8212" s="19"/>
      <c r="AU8212" s="19"/>
    </row>
    <row r="8213" spans="3:47">
      <c r="C8213" s="20"/>
      <c r="Z8213" s="20"/>
      <c r="AG8213" s="20"/>
      <c r="AQ8213" s="19"/>
      <c r="AR8213" s="19"/>
      <c r="AS8213" s="19"/>
      <c r="AT8213" s="19"/>
      <c r="AU8213" s="19"/>
    </row>
    <row r="8214" spans="3:47">
      <c r="C8214" s="20"/>
      <c r="Z8214" s="20"/>
      <c r="AG8214" s="20"/>
      <c r="AQ8214" s="19"/>
      <c r="AR8214" s="19"/>
      <c r="AS8214" s="19"/>
      <c r="AT8214" s="19"/>
      <c r="AU8214" s="19"/>
    </row>
    <row r="8215" spans="3:47">
      <c r="C8215" s="20"/>
      <c r="Z8215" s="20"/>
      <c r="AG8215" s="20"/>
      <c r="AQ8215" s="19"/>
      <c r="AR8215" s="19"/>
      <c r="AS8215" s="19"/>
      <c r="AT8215" s="19"/>
      <c r="AU8215" s="19"/>
    </row>
    <row r="8216" spans="3:47">
      <c r="C8216" s="20"/>
      <c r="Z8216" s="20"/>
      <c r="AG8216" s="20"/>
      <c r="AQ8216" s="19"/>
      <c r="AR8216" s="19"/>
      <c r="AS8216" s="19"/>
      <c r="AT8216" s="19"/>
      <c r="AU8216" s="19"/>
    </row>
    <row r="8217" spans="3:47">
      <c r="C8217" s="20"/>
      <c r="Z8217" s="20"/>
      <c r="AG8217" s="20"/>
      <c r="AQ8217" s="19"/>
      <c r="AR8217" s="19"/>
      <c r="AS8217" s="19"/>
      <c r="AT8217" s="19"/>
      <c r="AU8217" s="19"/>
    </row>
    <row r="8218" spans="3:47">
      <c r="C8218" s="20"/>
      <c r="Z8218" s="20"/>
      <c r="AG8218" s="20"/>
      <c r="AQ8218" s="19"/>
      <c r="AR8218" s="19"/>
      <c r="AS8218" s="19"/>
      <c r="AT8218" s="19"/>
      <c r="AU8218" s="19"/>
    </row>
    <row r="8219" spans="3:47">
      <c r="C8219" s="20"/>
      <c r="Z8219" s="20"/>
      <c r="AG8219" s="20"/>
      <c r="AQ8219" s="19"/>
      <c r="AR8219" s="19"/>
      <c r="AS8219" s="19"/>
      <c r="AT8219" s="19"/>
      <c r="AU8219" s="19"/>
    </row>
    <row r="8220" spans="3:47">
      <c r="C8220" s="20"/>
      <c r="Z8220" s="20"/>
      <c r="AG8220" s="20"/>
      <c r="AQ8220" s="19"/>
      <c r="AR8220" s="19"/>
      <c r="AS8220" s="19"/>
      <c r="AT8220" s="19"/>
      <c r="AU8220" s="19"/>
    </row>
    <row r="8221" spans="3:47">
      <c r="C8221" s="20"/>
      <c r="Z8221" s="20"/>
      <c r="AG8221" s="20"/>
      <c r="AQ8221" s="19"/>
      <c r="AR8221" s="19"/>
      <c r="AS8221" s="19"/>
      <c r="AT8221" s="19"/>
      <c r="AU8221" s="19"/>
    </row>
    <row r="8222" spans="3:47">
      <c r="C8222" s="20"/>
      <c r="Z8222" s="20"/>
      <c r="AG8222" s="20"/>
      <c r="AQ8222" s="19"/>
      <c r="AR8222" s="19"/>
      <c r="AS8222" s="19"/>
      <c r="AT8222" s="19"/>
      <c r="AU8222" s="19"/>
    </row>
    <row r="8223" spans="3:47">
      <c r="C8223" s="20"/>
      <c r="Z8223" s="20"/>
      <c r="AG8223" s="20"/>
      <c r="AQ8223" s="19"/>
      <c r="AR8223" s="19"/>
      <c r="AS8223" s="19"/>
      <c r="AT8223" s="19"/>
      <c r="AU8223" s="19"/>
    </row>
    <row r="8224" spans="3:47">
      <c r="C8224" s="20"/>
      <c r="Z8224" s="20"/>
      <c r="AG8224" s="20"/>
      <c r="AQ8224" s="19"/>
      <c r="AR8224" s="19"/>
      <c r="AS8224" s="19"/>
      <c r="AT8224" s="19"/>
      <c r="AU8224" s="19"/>
    </row>
    <row r="8225" spans="3:47">
      <c r="C8225" s="20"/>
      <c r="Z8225" s="20"/>
      <c r="AG8225" s="20"/>
      <c r="AQ8225" s="19"/>
      <c r="AR8225" s="19"/>
      <c r="AS8225" s="19"/>
      <c r="AT8225" s="19"/>
      <c r="AU8225" s="19"/>
    </row>
    <row r="8226" spans="3:47">
      <c r="C8226" s="20"/>
      <c r="Z8226" s="20"/>
      <c r="AG8226" s="20"/>
      <c r="AQ8226" s="19"/>
      <c r="AR8226" s="19"/>
      <c r="AS8226" s="19"/>
      <c r="AT8226" s="19"/>
      <c r="AU8226" s="19"/>
    </row>
    <row r="8227" spans="3:47">
      <c r="C8227" s="20"/>
      <c r="Z8227" s="20"/>
      <c r="AG8227" s="20"/>
      <c r="AQ8227" s="19"/>
      <c r="AR8227" s="19"/>
      <c r="AS8227" s="19"/>
      <c r="AT8227" s="19"/>
      <c r="AU8227" s="19"/>
    </row>
    <row r="8228" spans="3:47">
      <c r="C8228" s="20"/>
      <c r="Z8228" s="20"/>
      <c r="AG8228" s="20"/>
      <c r="AQ8228" s="19"/>
      <c r="AR8228" s="19"/>
      <c r="AS8228" s="19"/>
      <c r="AT8228" s="19"/>
      <c r="AU8228" s="19"/>
    </row>
    <row r="8229" spans="3:47">
      <c r="C8229" s="20"/>
      <c r="Z8229" s="20"/>
      <c r="AG8229" s="20"/>
      <c r="AQ8229" s="19"/>
      <c r="AR8229" s="19"/>
      <c r="AS8229" s="19"/>
      <c r="AT8229" s="19"/>
      <c r="AU8229" s="19"/>
    </row>
    <row r="8230" spans="3:47">
      <c r="C8230" s="20"/>
      <c r="Z8230" s="20"/>
      <c r="AG8230" s="20"/>
      <c r="AQ8230" s="19"/>
      <c r="AR8230" s="19"/>
      <c r="AS8230" s="19"/>
      <c r="AT8230" s="19"/>
      <c r="AU8230" s="19"/>
    </row>
    <row r="8231" spans="3:47">
      <c r="C8231" s="20"/>
      <c r="Z8231" s="20"/>
      <c r="AG8231" s="20"/>
      <c r="AQ8231" s="19"/>
      <c r="AR8231" s="19"/>
      <c r="AS8231" s="19"/>
      <c r="AT8231" s="19"/>
      <c r="AU8231" s="19"/>
    </row>
    <row r="8232" spans="3:47">
      <c r="C8232" s="20"/>
      <c r="Z8232" s="20"/>
      <c r="AG8232" s="20"/>
      <c r="AQ8232" s="19"/>
      <c r="AR8232" s="19"/>
      <c r="AS8232" s="19"/>
      <c r="AT8232" s="19"/>
      <c r="AU8232" s="19"/>
    </row>
    <row r="8233" spans="3:47">
      <c r="C8233" s="20"/>
      <c r="Z8233" s="20"/>
      <c r="AG8233" s="20"/>
      <c r="AQ8233" s="19"/>
      <c r="AR8233" s="19"/>
      <c r="AS8233" s="19"/>
      <c r="AT8233" s="19"/>
      <c r="AU8233" s="19"/>
    </row>
    <row r="8234" spans="3:47">
      <c r="C8234" s="20"/>
      <c r="Z8234" s="20"/>
      <c r="AG8234" s="20"/>
      <c r="AQ8234" s="19"/>
      <c r="AR8234" s="19"/>
      <c r="AS8234" s="19"/>
      <c r="AT8234" s="19"/>
      <c r="AU8234" s="19"/>
    </row>
    <row r="8235" spans="3:47">
      <c r="C8235" s="20"/>
      <c r="Z8235" s="20"/>
      <c r="AG8235" s="20"/>
      <c r="AQ8235" s="19"/>
      <c r="AR8235" s="19"/>
      <c r="AS8235" s="19"/>
      <c r="AT8235" s="19"/>
      <c r="AU8235" s="19"/>
    </row>
    <row r="8236" spans="3:47">
      <c r="C8236" s="20"/>
      <c r="Z8236" s="20"/>
      <c r="AG8236" s="20"/>
      <c r="AQ8236" s="19"/>
      <c r="AR8236" s="19"/>
      <c r="AS8236" s="19"/>
      <c r="AT8236" s="19"/>
      <c r="AU8236" s="19"/>
    </row>
    <row r="8237" spans="3:47">
      <c r="C8237" s="20"/>
      <c r="Z8237" s="20"/>
      <c r="AG8237" s="20"/>
      <c r="AQ8237" s="19"/>
      <c r="AR8237" s="19"/>
      <c r="AS8237" s="19"/>
      <c r="AT8237" s="19"/>
      <c r="AU8237" s="19"/>
    </row>
    <row r="8238" spans="3:47">
      <c r="C8238" s="20"/>
      <c r="Z8238" s="20"/>
      <c r="AG8238" s="20"/>
      <c r="AQ8238" s="19"/>
      <c r="AR8238" s="19"/>
      <c r="AS8238" s="19"/>
      <c r="AT8238" s="19"/>
      <c r="AU8238" s="19"/>
    </row>
    <row r="8239" spans="3:47">
      <c r="C8239" s="20"/>
      <c r="Z8239" s="20"/>
      <c r="AG8239" s="20"/>
      <c r="AQ8239" s="19"/>
      <c r="AR8239" s="19"/>
      <c r="AS8239" s="19"/>
      <c r="AT8239" s="19"/>
      <c r="AU8239" s="19"/>
    </row>
    <row r="8240" spans="3:47">
      <c r="C8240" s="20"/>
      <c r="Z8240" s="20"/>
      <c r="AG8240" s="20"/>
      <c r="AQ8240" s="19"/>
      <c r="AR8240" s="19"/>
      <c r="AS8240" s="19"/>
      <c r="AT8240" s="19"/>
      <c r="AU8240" s="19"/>
    </row>
    <row r="8241" spans="3:47">
      <c r="C8241" s="20"/>
      <c r="Z8241" s="20"/>
      <c r="AG8241" s="20"/>
      <c r="AQ8241" s="19"/>
      <c r="AR8241" s="19"/>
      <c r="AS8241" s="19"/>
      <c r="AT8241" s="19"/>
      <c r="AU8241" s="19"/>
    </row>
    <row r="8242" spans="3:47">
      <c r="C8242" s="20"/>
      <c r="Z8242" s="20"/>
      <c r="AG8242" s="20"/>
      <c r="AQ8242" s="19"/>
      <c r="AR8242" s="19"/>
      <c r="AS8242" s="19"/>
      <c r="AT8242" s="19"/>
      <c r="AU8242" s="19"/>
    </row>
    <row r="8243" spans="3:47">
      <c r="C8243" s="20"/>
      <c r="Z8243" s="20"/>
      <c r="AG8243" s="20"/>
      <c r="AQ8243" s="19"/>
      <c r="AR8243" s="19"/>
      <c r="AS8243" s="19"/>
      <c r="AT8243" s="19"/>
      <c r="AU8243" s="19"/>
    </row>
    <row r="8244" spans="3:47">
      <c r="C8244" s="20"/>
      <c r="Z8244" s="20"/>
      <c r="AG8244" s="20"/>
      <c r="AQ8244" s="19"/>
      <c r="AR8244" s="19"/>
      <c r="AS8244" s="19"/>
      <c r="AT8244" s="19"/>
      <c r="AU8244" s="19"/>
    </row>
    <row r="8245" spans="3:47">
      <c r="C8245" s="20"/>
      <c r="Z8245" s="20"/>
      <c r="AG8245" s="20"/>
      <c r="AQ8245" s="19"/>
      <c r="AR8245" s="19"/>
      <c r="AS8245" s="19"/>
      <c r="AT8245" s="19"/>
      <c r="AU8245" s="19"/>
    </row>
    <row r="8246" spans="3:47">
      <c r="C8246" s="20"/>
      <c r="Z8246" s="20"/>
      <c r="AG8246" s="20"/>
      <c r="AQ8246" s="19"/>
      <c r="AR8246" s="19"/>
      <c r="AS8246" s="19"/>
      <c r="AT8246" s="19"/>
      <c r="AU8246" s="19"/>
    </row>
    <row r="8247" spans="3:47">
      <c r="C8247" s="20"/>
      <c r="Z8247" s="20"/>
      <c r="AG8247" s="20"/>
      <c r="AQ8247" s="19"/>
      <c r="AR8247" s="19"/>
      <c r="AS8247" s="19"/>
      <c r="AT8247" s="19"/>
      <c r="AU8247" s="19"/>
    </row>
    <row r="8248" spans="3:47">
      <c r="C8248" s="20"/>
      <c r="Z8248" s="20"/>
      <c r="AG8248" s="20"/>
      <c r="AQ8248" s="19"/>
      <c r="AR8248" s="19"/>
      <c r="AS8248" s="19"/>
      <c r="AT8248" s="19"/>
      <c r="AU8248" s="19"/>
    </row>
    <row r="8249" spans="3:47">
      <c r="C8249" s="20"/>
      <c r="Z8249" s="20"/>
      <c r="AG8249" s="20"/>
      <c r="AQ8249" s="19"/>
      <c r="AR8249" s="19"/>
      <c r="AS8249" s="19"/>
      <c r="AT8249" s="19"/>
      <c r="AU8249" s="19"/>
    </row>
    <row r="8250" spans="3:47">
      <c r="C8250" s="20"/>
      <c r="Z8250" s="20"/>
      <c r="AG8250" s="20"/>
      <c r="AQ8250" s="19"/>
      <c r="AR8250" s="19"/>
      <c r="AS8250" s="19"/>
      <c r="AT8250" s="19"/>
      <c r="AU8250" s="19"/>
    </row>
    <row r="8251" spans="3:47">
      <c r="C8251" s="20"/>
      <c r="Z8251" s="20"/>
      <c r="AG8251" s="20"/>
      <c r="AQ8251" s="19"/>
      <c r="AR8251" s="19"/>
      <c r="AS8251" s="19"/>
      <c r="AT8251" s="19"/>
      <c r="AU8251" s="19"/>
    </row>
    <row r="8252" spans="3:47">
      <c r="C8252" s="20"/>
      <c r="Z8252" s="20"/>
      <c r="AG8252" s="20"/>
      <c r="AQ8252" s="19"/>
      <c r="AR8252" s="19"/>
      <c r="AS8252" s="19"/>
      <c r="AT8252" s="19"/>
      <c r="AU8252" s="19"/>
    </row>
    <row r="8253" spans="3:47">
      <c r="C8253" s="20"/>
      <c r="Z8253" s="20"/>
      <c r="AG8253" s="20"/>
      <c r="AQ8253" s="19"/>
      <c r="AR8253" s="19"/>
      <c r="AS8253" s="19"/>
      <c r="AT8253" s="19"/>
      <c r="AU8253" s="19"/>
    </row>
    <row r="8254" spans="3:47">
      <c r="C8254" s="20"/>
      <c r="Z8254" s="20"/>
      <c r="AG8254" s="20"/>
      <c r="AQ8254" s="19"/>
      <c r="AR8254" s="19"/>
      <c r="AS8254" s="19"/>
      <c r="AT8254" s="19"/>
      <c r="AU8254" s="19"/>
    </row>
    <row r="8255" spans="3:47">
      <c r="C8255" s="20"/>
      <c r="Z8255" s="20"/>
      <c r="AG8255" s="20"/>
      <c r="AQ8255" s="19"/>
      <c r="AR8255" s="19"/>
      <c r="AS8255" s="19"/>
      <c r="AT8255" s="19"/>
      <c r="AU8255" s="19"/>
    </row>
    <row r="8256" spans="3:47">
      <c r="C8256" s="20"/>
      <c r="Z8256" s="20"/>
      <c r="AG8256" s="20"/>
      <c r="AQ8256" s="19"/>
      <c r="AR8256" s="19"/>
      <c r="AS8256" s="19"/>
      <c r="AT8256" s="19"/>
      <c r="AU8256" s="19"/>
    </row>
    <row r="8257" spans="3:47">
      <c r="C8257" s="20"/>
      <c r="Z8257" s="20"/>
      <c r="AG8257" s="20"/>
      <c r="AQ8257" s="19"/>
      <c r="AR8257" s="19"/>
      <c r="AS8257" s="19"/>
      <c r="AT8257" s="19"/>
      <c r="AU8257" s="19"/>
    </row>
    <row r="8258" spans="3:47">
      <c r="C8258" s="20"/>
      <c r="Z8258" s="20"/>
      <c r="AG8258" s="20"/>
      <c r="AQ8258" s="19"/>
      <c r="AR8258" s="19"/>
      <c r="AS8258" s="19"/>
      <c r="AT8258" s="19"/>
      <c r="AU8258" s="19"/>
    </row>
    <row r="8259" spans="3:47">
      <c r="C8259" s="20"/>
      <c r="Z8259" s="20"/>
      <c r="AG8259" s="20"/>
      <c r="AQ8259" s="19"/>
      <c r="AR8259" s="19"/>
      <c r="AS8259" s="19"/>
      <c r="AT8259" s="19"/>
      <c r="AU8259" s="19"/>
    </row>
    <row r="8260" spans="3:47">
      <c r="C8260" s="20"/>
      <c r="Z8260" s="20"/>
      <c r="AG8260" s="20"/>
      <c r="AQ8260" s="19"/>
      <c r="AR8260" s="19"/>
      <c r="AS8260" s="19"/>
      <c r="AT8260" s="19"/>
      <c r="AU8260" s="19"/>
    </row>
    <row r="8261" spans="3:47">
      <c r="C8261" s="20"/>
      <c r="Z8261" s="20"/>
      <c r="AG8261" s="20"/>
      <c r="AQ8261" s="19"/>
      <c r="AR8261" s="19"/>
      <c r="AS8261" s="19"/>
      <c r="AT8261" s="19"/>
      <c r="AU8261" s="19"/>
    </row>
    <row r="8262" spans="3:47">
      <c r="C8262" s="20"/>
      <c r="Z8262" s="20"/>
      <c r="AG8262" s="20"/>
      <c r="AQ8262" s="19"/>
      <c r="AR8262" s="19"/>
      <c r="AS8262" s="19"/>
      <c r="AT8262" s="19"/>
      <c r="AU8262" s="19"/>
    </row>
    <row r="8263" spans="3:47">
      <c r="C8263" s="20"/>
      <c r="Z8263" s="20"/>
      <c r="AG8263" s="20"/>
      <c r="AQ8263" s="19"/>
      <c r="AR8263" s="19"/>
      <c r="AS8263" s="19"/>
      <c r="AT8263" s="19"/>
      <c r="AU8263" s="19"/>
    </row>
    <row r="8264" spans="3:47">
      <c r="C8264" s="20"/>
      <c r="Z8264" s="20"/>
      <c r="AG8264" s="20"/>
      <c r="AQ8264" s="19"/>
      <c r="AR8264" s="19"/>
      <c r="AS8264" s="19"/>
      <c r="AT8264" s="19"/>
      <c r="AU8264" s="19"/>
    </row>
    <row r="8265" spans="3:47">
      <c r="C8265" s="20"/>
      <c r="Z8265" s="20"/>
      <c r="AG8265" s="20"/>
      <c r="AQ8265" s="19"/>
      <c r="AR8265" s="19"/>
      <c r="AS8265" s="19"/>
      <c r="AT8265" s="19"/>
      <c r="AU8265" s="19"/>
    </row>
    <row r="8266" spans="3:47">
      <c r="C8266" s="20"/>
      <c r="Z8266" s="20"/>
      <c r="AG8266" s="20"/>
      <c r="AQ8266" s="19"/>
      <c r="AR8266" s="19"/>
      <c r="AS8266" s="19"/>
      <c r="AT8266" s="19"/>
      <c r="AU8266" s="19"/>
    </row>
    <row r="8267" spans="3:47">
      <c r="C8267" s="20"/>
      <c r="Z8267" s="20"/>
      <c r="AG8267" s="20"/>
      <c r="AQ8267" s="19"/>
      <c r="AR8267" s="19"/>
      <c r="AS8267" s="19"/>
      <c r="AT8267" s="19"/>
      <c r="AU8267" s="19"/>
    </row>
    <row r="8268" spans="3:47">
      <c r="C8268" s="20"/>
      <c r="Z8268" s="20"/>
      <c r="AG8268" s="20"/>
      <c r="AQ8268" s="19"/>
      <c r="AR8268" s="19"/>
      <c r="AS8268" s="19"/>
      <c r="AT8268" s="19"/>
      <c r="AU8268" s="19"/>
    </row>
    <row r="8269" spans="3:47">
      <c r="C8269" s="20"/>
      <c r="Z8269" s="20"/>
      <c r="AG8269" s="20"/>
      <c r="AQ8269" s="19"/>
      <c r="AR8269" s="19"/>
      <c r="AS8269" s="19"/>
      <c r="AT8269" s="19"/>
      <c r="AU8269" s="19"/>
    </row>
    <row r="8270" spans="3:47">
      <c r="C8270" s="20"/>
      <c r="Z8270" s="20"/>
      <c r="AG8270" s="20"/>
      <c r="AQ8270" s="19"/>
      <c r="AR8270" s="19"/>
      <c r="AS8270" s="19"/>
      <c r="AT8270" s="19"/>
      <c r="AU8270" s="19"/>
    </row>
    <row r="8271" spans="3:47">
      <c r="C8271" s="20"/>
      <c r="Z8271" s="20"/>
      <c r="AG8271" s="20"/>
      <c r="AQ8271" s="19"/>
      <c r="AR8271" s="19"/>
      <c r="AS8271" s="19"/>
      <c r="AT8271" s="19"/>
      <c r="AU8271" s="19"/>
    </row>
    <row r="8272" spans="3:47">
      <c r="C8272" s="20"/>
      <c r="Z8272" s="20"/>
      <c r="AG8272" s="20"/>
      <c r="AQ8272" s="19"/>
      <c r="AR8272" s="19"/>
      <c r="AS8272" s="19"/>
      <c r="AT8272" s="19"/>
      <c r="AU8272" s="19"/>
    </row>
    <row r="8273" spans="3:47">
      <c r="C8273" s="20"/>
      <c r="Z8273" s="20"/>
      <c r="AG8273" s="20"/>
      <c r="AQ8273" s="19"/>
      <c r="AR8273" s="19"/>
      <c r="AS8273" s="19"/>
      <c r="AT8273" s="19"/>
      <c r="AU8273" s="19"/>
    </row>
    <row r="8274" spans="3:47">
      <c r="C8274" s="20"/>
      <c r="Z8274" s="20"/>
      <c r="AG8274" s="20"/>
      <c r="AQ8274" s="19"/>
      <c r="AR8274" s="19"/>
      <c r="AS8274" s="19"/>
      <c r="AT8274" s="19"/>
      <c r="AU8274" s="19"/>
    </row>
    <row r="8275" spans="3:47">
      <c r="C8275" s="20"/>
      <c r="Z8275" s="20"/>
      <c r="AG8275" s="20"/>
      <c r="AQ8275" s="19"/>
      <c r="AR8275" s="19"/>
      <c r="AS8275" s="19"/>
      <c r="AT8275" s="19"/>
      <c r="AU8275" s="19"/>
    </row>
    <row r="8276" spans="3:47">
      <c r="C8276" s="20"/>
      <c r="Z8276" s="20"/>
      <c r="AG8276" s="20"/>
      <c r="AQ8276" s="19"/>
      <c r="AR8276" s="19"/>
      <c r="AS8276" s="19"/>
      <c r="AT8276" s="19"/>
      <c r="AU8276" s="19"/>
    </row>
    <row r="8277" spans="3:47">
      <c r="C8277" s="20"/>
      <c r="Z8277" s="20"/>
      <c r="AG8277" s="20"/>
      <c r="AQ8277" s="19"/>
      <c r="AR8277" s="19"/>
      <c r="AS8277" s="19"/>
      <c r="AT8277" s="19"/>
      <c r="AU8277" s="19"/>
    </row>
    <row r="8278" spans="3:47">
      <c r="C8278" s="20"/>
      <c r="Z8278" s="20"/>
      <c r="AG8278" s="20"/>
      <c r="AQ8278" s="19"/>
      <c r="AR8278" s="19"/>
      <c r="AS8278" s="19"/>
      <c r="AT8278" s="19"/>
      <c r="AU8278" s="19"/>
    </row>
    <row r="8279" spans="3:47">
      <c r="C8279" s="20"/>
      <c r="Z8279" s="20"/>
      <c r="AG8279" s="20"/>
      <c r="AQ8279" s="19"/>
      <c r="AR8279" s="19"/>
      <c r="AS8279" s="19"/>
      <c r="AT8279" s="19"/>
      <c r="AU8279" s="19"/>
    </row>
    <row r="8280" spans="3:47">
      <c r="C8280" s="20"/>
      <c r="Z8280" s="20"/>
      <c r="AG8280" s="20"/>
      <c r="AQ8280" s="19"/>
      <c r="AR8280" s="19"/>
      <c r="AS8280" s="19"/>
      <c r="AT8280" s="19"/>
      <c r="AU8280" s="19"/>
    </row>
    <row r="8281" spans="3:47">
      <c r="C8281" s="20"/>
      <c r="Z8281" s="20"/>
      <c r="AG8281" s="20"/>
      <c r="AQ8281" s="19"/>
      <c r="AR8281" s="19"/>
      <c r="AS8281" s="19"/>
      <c r="AT8281" s="19"/>
      <c r="AU8281" s="19"/>
    </row>
    <row r="8282" spans="3:47">
      <c r="C8282" s="20"/>
      <c r="Z8282" s="20"/>
      <c r="AG8282" s="20"/>
      <c r="AQ8282" s="19"/>
      <c r="AR8282" s="19"/>
      <c r="AS8282" s="19"/>
      <c r="AT8282" s="19"/>
      <c r="AU8282" s="19"/>
    </row>
    <row r="8283" spans="3:47">
      <c r="C8283" s="20"/>
      <c r="Z8283" s="20"/>
      <c r="AG8283" s="20"/>
      <c r="AQ8283" s="19"/>
      <c r="AR8283" s="19"/>
      <c r="AS8283" s="19"/>
      <c r="AT8283" s="19"/>
      <c r="AU8283" s="19"/>
    </row>
    <row r="8284" spans="3:47">
      <c r="C8284" s="20"/>
      <c r="Z8284" s="20"/>
      <c r="AG8284" s="20"/>
      <c r="AQ8284" s="19"/>
      <c r="AR8284" s="19"/>
      <c r="AS8284" s="19"/>
      <c r="AT8284" s="19"/>
      <c r="AU8284" s="19"/>
    </row>
    <row r="8285" spans="3:47">
      <c r="C8285" s="20"/>
      <c r="Z8285" s="20"/>
      <c r="AG8285" s="20"/>
      <c r="AQ8285" s="19"/>
      <c r="AR8285" s="19"/>
      <c r="AS8285" s="19"/>
      <c r="AT8285" s="19"/>
      <c r="AU8285" s="19"/>
    </row>
    <row r="8286" spans="3:47">
      <c r="C8286" s="20"/>
      <c r="Z8286" s="20"/>
      <c r="AG8286" s="20"/>
      <c r="AQ8286" s="19"/>
      <c r="AR8286" s="19"/>
      <c r="AS8286" s="19"/>
      <c r="AT8286" s="19"/>
      <c r="AU8286" s="19"/>
    </row>
    <row r="8287" spans="3:47">
      <c r="C8287" s="20"/>
      <c r="Z8287" s="20"/>
      <c r="AG8287" s="20"/>
      <c r="AQ8287" s="19"/>
      <c r="AR8287" s="19"/>
      <c r="AS8287" s="19"/>
      <c r="AT8287" s="19"/>
      <c r="AU8287" s="19"/>
    </row>
    <row r="8288" spans="3:47">
      <c r="C8288" s="20"/>
      <c r="Z8288" s="20"/>
      <c r="AG8288" s="20"/>
      <c r="AQ8288" s="19"/>
      <c r="AR8288" s="19"/>
      <c r="AS8288" s="19"/>
      <c r="AT8288" s="19"/>
      <c r="AU8288" s="19"/>
    </row>
    <row r="8289" spans="3:47">
      <c r="C8289" s="20"/>
      <c r="Z8289" s="20"/>
      <c r="AG8289" s="20"/>
      <c r="AQ8289" s="19"/>
      <c r="AR8289" s="19"/>
      <c r="AS8289" s="19"/>
      <c r="AT8289" s="19"/>
      <c r="AU8289" s="19"/>
    </row>
    <row r="8290" spans="3:47">
      <c r="C8290" s="20"/>
      <c r="Z8290" s="20"/>
      <c r="AG8290" s="20"/>
      <c r="AQ8290" s="19"/>
      <c r="AR8290" s="19"/>
      <c r="AS8290" s="19"/>
      <c r="AT8290" s="19"/>
      <c r="AU8290" s="19"/>
    </row>
    <row r="8291" spans="3:47">
      <c r="C8291" s="20"/>
      <c r="Z8291" s="20"/>
      <c r="AG8291" s="20"/>
      <c r="AQ8291" s="19"/>
      <c r="AR8291" s="19"/>
      <c r="AS8291" s="19"/>
      <c r="AT8291" s="19"/>
      <c r="AU8291" s="19"/>
    </row>
    <row r="8292" spans="3:47">
      <c r="C8292" s="20"/>
      <c r="Z8292" s="20"/>
      <c r="AG8292" s="20"/>
      <c r="AQ8292" s="19"/>
      <c r="AR8292" s="19"/>
      <c r="AS8292" s="19"/>
      <c r="AT8292" s="19"/>
      <c r="AU8292" s="19"/>
    </row>
    <row r="8293" spans="3:47">
      <c r="C8293" s="20"/>
      <c r="Z8293" s="20"/>
      <c r="AG8293" s="20"/>
      <c r="AQ8293" s="19"/>
      <c r="AR8293" s="19"/>
      <c r="AS8293" s="19"/>
      <c r="AT8293" s="19"/>
      <c r="AU8293" s="19"/>
    </row>
    <row r="8294" spans="3:47">
      <c r="C8294" s="20"/>
      <c r="Z8294" s="20"/>
      <c r="AG8294" s="20"/>
      <c r="AQ8294" s="19"/>
      <c r="AR8294" s="19"/>
      <c r="AS8294" s="19"/>
      <c r="AT8294" s="19"/>
      <c r="AU8294" s="19"/>
    </row>
    <row r="8295" spans="3:47">
      <c r="C8295" s="20"/>
      <c r="Z8295" s="20"/>
      <c r="AG8295" s="20"/>
      <c r="AQ8295" s="19"/>
      <c r="AR8295" s="19"/>
      <c r="AS8295" s="19"/>
      <c r="AT8295" s="19"/>
      <c r="AU8295" s="19"/>
    </row>
    <row r="8296" spans="3:47">
      <c r="C8296" s="20"/>
      <c r="Z8296" s="20"/>
      <c r="AG8296" s="20"/>
      <c r="AQ8296" s="19"/>
      <c r="AR8296" s="19"/>
      <c r="AS8296" s="19"/>
      <c r="AT8296" s="19"/>
      <c r="AU8296" s="19"/>
    </row>
    <row r="8297" spans="3:47">
      <c r="C8297" s="20"/>
      <c r="Z8297" s="20"/>
      <c r="AG8297" s="20"/>
      <c r="AQ8297" s="19"/>
      <c r="AR8297" s="19"/>
      <c r="AS8297" s="19"/>
      <c r="AT8297" s="19"/>
      <c r="AU8297" s="19"/>
    </row>
    <row r="8298" spans="3:47">
      <c r="C8298" s="20"/>
      <c r="Z8298" s="20"/>
      <c r="AG8298" s="20"/>
      <c r="AQ8298" s="19"/>
      <c r="AR8298" s="19"/>
      <c r="AS8298" s="19"/>
      <c r="AT8298" s="19"/>
      <c r="AU8298" s="19"/>
    </row>
    <row r="8299" spans="3:47">
      <c r="C8299" s="20"/>
      <c r="Z8299" s="20"/>
      <c r="AG8299" s="20"/>
      <c r="AQ8299" s="19"/>
      <c r="AR8299" s="19"/>
      <c r="AS8299" s="19"/>
      <c r="AT8299" s="19"/>
      <c r="AU8299" s="19"/>
    </row>
    <row r="8300" spans="3:47">
      <c r="C8300" s="20"/>
      <c r="Z8300" s="20"/>
      <c r="AG8300" s="20"/>
      <c r="AQ8300" s="19"/>
      <c r="AR8300" s="19"/>
      <c r="AS8300" s="19"/>
      <c r="AT8300" s="19"/>
      <c r="AU8300" s="19"/>
    </row>
    <row r="8301" spans="3:47">
      <c r="C8301" s="20"/>
      <c r="Z8301" s="20"/>
      <c r="AG8301" s="20"/>
      <c r="AQ8301" s="19"/>
      <c r="AR8301" s="19"/>
      <c r="AS8301" s="19"/>
      <c r="AT8301" s="19"/>
      <c r="AU8301" s="19"/>
    </row>
    <row r="8302" spans="3:47">
      <c r="C8302" s="20"/>
      <c r="Z8302" s="20"/>
      <c r="AG8302" s="20"/>
      <c r="AQ8302" s="19"/>
      <c r="AR8302" s="19"/>
      <c r="AS8302" s="19"/>
      <c r="AT8302" s="19"/>
      <c r="AU8302" s="19"/>
    </row>
    <row r="8303" spans="3:47">
      <c r="C8303" s="20"/>
      <c r="Z8303" s="20"/>
      <c r="AG8303" s="20"/>
      <c r="AQ8303" s="19"/>
      <c r="AR8303" s="19"/>
      <c r="AS8303" s="19"/>
      <c r="AT8303" s="19"/>
      <c r="AU8303" s="19"/>
    </row>
    <row r="8304" spans="3:47">
      <c r="C8304" s="20"/>
      <c r="Z8304" s="20"/>
      <c r="AG8304" s="20"/>
      <c r="AQ8304" s="19"/>
      <c r="AR8304" s="19"/>
      <c r="AS8304" s="19"/>
      <c r="AT8304" s="19"/>
      <c r="AU8304" s="19"/>
    </row>
    <row r="8305" spans="3:47">
      <c r="C8305" s="20"/>
      <c r="Z8305" s="20"/>
      <c r="AG8305" s="20"/>
      <c r="AQ8305" s="19"/>
      <c r="AR8305" s="19"/>
      <c r="AS8305" s="19"/>
      <c r="AT8305" s="19"/>
      <c r="AU8305" s="19"/>
    </row>
    <row r="8306" spans="3:47">
      <c r="C8306" s="20"/>
      <c r="Z8306" s="20"/>
      <c r="AG8306" s="20"/>
      <c r="AQ8306" s="19"/>
      <c r="AR8306" s="19"/>
      <c r="AS8306" s="19"/>
      <c r="AT8306" s="19"/>
      <c r="AU8306" s="19"/>
    </row>
    <row r="8307" spans="3:47">
      <c r="C8307" s="20"/>
      <c r="Z8307" s="20"/>
      <c r="AG8307" s="20"/>
      <c r="AQ8307" s="19"/>
      <c r="AR8307" s="19"/>
      <c r="AS8307" s="19"/>
      <c r="AT8307" s="19"/>
      <c r="AU8307" s="19"/>
    </row>
    <row r="8308" spans="3:47">
      <c r="C8308" s="20"/>
      <c r="Z8308" s="20"/>
      <c r="AG8308" s="20"/>
      <c r="AQ8308" s="19"/>
      <c r="AR8308" s="19"/>
      <c r="AS8308" s="19"/>
      <c r="AT8308" s="19"/>
      <c r="AU8308" s="19"/>
    </row>
    <row r="8309" spans="3:47">
      <c r="C8309" s="20"/>
      <c r="Z8309" s="20"/>
      <c r="AG8309" s="20"/>
      <c r="AQ8309" s="19"/>
      <c r="AR8309" s="19"/>
      <c r="AS8309" s="19"/>
      <c r="AT8309" s="19"/>
      <c r="AU8309" s="19"/>
    </row>
    <row r="8310" spans="3:47">
      <c r="C8310" s="20"/>
      <c r="Z8310" s="20"/>
      <c r="AG8310" s="20"/>
      <c r="AQ8310" s="19"/>
      <c r="AR8310" s="19"/>
      <c r="AS8310" s="19"/>
      <c r="AT8310" s="19"/>
      <c r="AU8310" s="19"/>
    </row>
    <row r="8311" spans="3:47">
      <c r="C8311" s="20"/>
      <c r="Z8311" s="20"/>
      <c r="AG8311" s="20"/>
      <c r="AQ8311" s="19"/>
      <c r="AR8311" s="19"/>
      <c r="AS8311" s="19"/>
      <c r="AT8311" s="19"/>
      <c r="AU8311" s="19"/>
    </row>
    <row r="8312" spans="3:47">
      <c r="C8312" s="20"/>
      <c r="Z8312" s="20"/>
      <c r="AG8312" s="20"/>
      <c r="AQ8312" s="19"/>
      <c r="AR8312" s="19"/>
      <c r="AS8312" s="19"/>
      <c r="AT8312" s="19"/>
      <c r="AU8312" s="19"/>
    </row>
    <row r="8313" spans="3:47">
      <c r="C8313" s="20"/>
      <c r="Z8313" s="20"/>
      <c r="AG8313" s="20"/>
      <c r="AQ8313" s="19"/>
      <c r="AR8313" s="19"/>
      <c r="AS8313" s="19"/>
      <c r="AT8313" s="19"/>
      <c r="AU8313" s="19"/>
    </row>
    <row r="8314" spans="3:47">
      <c r="C8314" s="20"/>
      <c r="Z8314" s="20"/>
      <c r="AG8314" s="20"/>
      <c r="AQ8314" s="19"/>
      <c r="AR8314" s="19"/>
      <c r="AS8314" s="19"/>
      <c r="AT8314" s="19"/>
      <c r="AU8314" s="19"/>
    </row>
    <row r="8315" spans="3:47">
      <c r="C8315" s="20"/>
      <c r="Z8315" s="20"/>
      <c r="AG8315" s="20"/>
      <c r="AQ8315" s="19"/>
      <c r="AR8315" s="19"/>
      <c r="AS8315" s="19"/>
      <c r="AT8315" s="19"/>
      <c r="AU8315" s="19"/>
    </row>
    <row r="8316" spans="3:47">
      <c r="C8316" s="20"/>
      <c r="Z8316" s="20"/>
      <c r="AG8316" s="20"/>
      <c r="AQ8316" s="19"/>
      <c r="AR8316" s="19"/>
      <c r="AS8316" s="19"/>
      <c r="AT8316" s="19"/>
      <c r="AU8316" s="19"/>
    </row>
    <row r="8317" spans="3:47">
      <c r="C8317" s="20"/>
      <c r="Z8317" s="20"/>
      <c r="AG8317" s="20"/>
      <c r="AQ8317" s="19"/>
      <c r="AR8317" s="19"/>
      <c r="AS8317" s="19"/>
      <c r="AT8317" s="19"/>
      <c r="AU8317" s="19"/>
    </row>
    <row r="8318" spans="3:47">
      <c r="C8318" s="20"/>
      <c r="Z8318" s="20"/>
      <c r="AG8318" s="20"/>
      <c r="AQ8318" s="19"/>
      <c r="AR8318" s="19"/>
      <c r="AS8318" s="19"/>
      <c r="AT8318" s="19"/>
      <c r="AU8318" s="19"/>
    </row>
    <row r="8319" spans="3:47">
      <c r="C8319" s="20"/>
      <c r="Z8319" s="20"/>
      <c r="AG8319" s="20"/>
      <c r="AQ8319" s="19"/>
      <c r="AR8319" s="19"/>
      <c r="AS8319" s="19"/>
      <c r="AT8319" s="19"/>
      <c r="AU8319" s="19"/>
    </row>
    <row r="8320" spans="3:47">
      <c r="C8320" s="20"/>
      <c r="Z8320" s="20"/>
      <c r="AG8320" s="20"/>
      <c r="AQ8320" s="19"/>
      <c r="AR8320" s="19"/>
      <c r="AS8320" s="19"/>
      <c r="AT8320" s="19"/>
      <c r="AU8320" s="19"/>
    </row>
    <row r="8321" spans="3:47">
      <c r="C8321" s="20"/>
      <c r="Z8321" s="20"/>
      <c r="AG8321" s="20"/>
      <c r="AQ8321" s="19"/>
      <c r="AR8321" s="19"/>
      <c r="AS8321" s="19"/>
      <c r="AT8321" s="19"/>
      <c r="AU8321" s="19"/>
    </row>
    <row r="8322" spans="3:47">
      <c r="C8322" s="20"/>
      <c r="Z8322" s="20"/>
      <c r="AG8322" s="20"/>
      <c r="AQ8322" s="19"/>
      <c r="AR8322" s="19"/>
      <c r="AS8322" s="19"/>
      <c r="AT8322" s="19"/>
      <c r="AU8322" s="19"/>
    </row>
    <row r="8323" spans="3:47">
      <c r="C8323" s="20"/>
      <c r="Z8323" s="20"/>
      <c r="AG8323" s="20"/>
      <c r="AQ8323" s="19"/>
      <c r="AR8323" s="19"/>
      <c r="AS8323" s="19"/>
      <c r="AT8323" s="19"/>
      <c r="AU8323" s="19"/>
    </row>
    <row r="8324" spans="3:47">
      <c r="C8324" s="20"/>
      <c r="Z8324" s="20"/>
      <c r="AG8324" s="20"/>
      <c r="AQ8324" s="19"/>
      <c r="AR8324" s="19"/>
      <c r="AS8324" s="19"/>
      <c r="AT8324" s="19"/>
      <c r="AU8324" s="19"/>
    </row>
    <row r="8325" spans="3:47">
      <c r="C8325" s="20"/>
      <c r="Z8325" s="20"/>
      <c r="AG8325" s="20"/>
      <c r="AQ8325" s="19"/>
      <c r="AR8325" s="19"/>
      <c r="AS8325" s="19"/>
      <c r="AT8325" s="19"/>
      <c r="AU8325" s="19"/>
    </row>
    <row r="8326" spans="3:47">
      <c r="C8326" s="20"/>
      <c r="Z8326" s="20"/>
      <c r="AG8326" s="20"/>
      <c r="AQ8326" s="19"/>
      <c r="AR8326" s="19"/>
      <c r="AS8326" s="19"/>
      <c r="AT8326" s="19"/>
      <c r="AU8326" s="19"/>
    </row>
    <row r="8327" spans="3:47">
      <c r="C8327" s="20"/>
      <c r="Z8327" s="20"/>
      <c r="AG8327" s="20"/>
      <c r="AQ8327" s="19"/>
      <c r="AR8327" s="19"/>
      <c r="AS8327" s="19"/>
      <c r="AT8327" s="19"/>
      <c r="AU8327" s="19"/>
    </row>
    <row r="8328" spans="3:47">
      <c r="C8328" s="20"/>
      <c r="Z8328" s="20"/>
      <c r="AG8328" s="20"/>
      <c r="AQ8328" s="19"/>
      <c r="AR8328" s="19"/>
      <c r="AS8328" s="19"/>
      <c r="AT8328" s="19"/>
      <c r="AU8328" s="19"/>
    </row>
    <row r="8329" spans="3:47">
      <c r="C8329" s="20"/>
      <c r="Z8329" s="20"/>
      <c r="AG8329" s="20"/>
      <c r="AQ8329" s="19"/>
      <c r="AR8329" s="19"/>
      <c r="AS8329" s="19"/>
      <c r="AT8329" s="19"/>
      <c r="AU8329" s="19"/>
    </row>
    <row r="8330" spans="3:47">
      <c r="C8330" s="20"/>
      <c r="Z8330" s="20"/>
      <c r="AG8330" s="20"/>
      <c r="AQ8330" s="19"/>
      <c r="AR8330" s="19"/>
      <c r="AS8330" s="19"/>
      <c r="AT8330" s="19"/>
      <c r="AU8330" s="19"/>
    </row>
    <row r="8331" spans="3:47">
      <c r="C8331" s="20"/>
      <c r="Z8331" s="20"/>
      <c r="AG8331" s="20"/>
      <c r="AQ8331" s="19"/>
      <c r="AR8331" s="19"/>
      <c r="AS8331" s="19"/>
      <c r="AT8331" s="19"/>
      <c r="AU8331" s="19"/>
    </row>
    <row r="8332" spans="3:47">
      <c r="C8332" s="20"/>
      <c r="Z8332" s="20"/>
      <c r="AG8332" s="20"/>
      <c r="AQ8332" s="19"/>
      <c r="AR8332" s="19"/>
      <c r="AS8332" s="19"/>
      <c r="AT8332" s="19"/>
      <c r="AU8332" s="19"/>
    </row>
    <row r="8333" spans="3:47">
      <c r="C8333" s="20"/>
      <c r="Z8333" s="20"/>
      <c r="AG8333" s="20"/>
      <c r="AQ8333" s="19"/>
      <c r="AR8333" s="19"/>
      <c r="AS8333" s="19"/>
      <c r="AT8333" s="19"/>
      <c r="AU8333" s="19"/>
    </row>
    <row r="8334" spans="3:47">
      <c r="C8334" s="20"/>
      <c r="Z8334" s="20"/>
      <c r="AG8334" s="20"/>
      <c r="AQ8334" s="19"/>
      <c r="AR8334" s="19"/>
      <c r="AS8334" s="19"/>
      <c r="AT8334" s="19"/>
      <c r="AU8334" s="19"/>
    </row>
    <row r="8335" spans="3:47">
      <c r="C8335" s="20"/>
      <c r="Z8335" s="20"/>
      <c r="AG8335" s="20"/>
      <c r="AQ8335" s="19"/>
      <c r="AR8335" s="19"/>
      <c r="AS8335" s="19"/>
      <c r="AT8335" s="19"/>
      <c r="AU8335" s="19"/>
    </row>
    <row r="8336" spans="3:47">
      <c r="C8336" s="20"/>
      <c r="Z8336" s="20"/>
      <c r="AG8336" s="20"/>
      <c r="AQ8336" s="19"/>
      <c r="AR8336" s="19"/>
      <c r="AS8336" s="19"/>
      <c r="AT8336" s="19"/>
      <c r="AU8336" s="19"/>
    </row>
    <row r="8337" spans="3:47">
      <c r="C8337" s="20"/>
      <c r="Z8337" s="20"/>
      <c r="AG8337" s="20"/>
      <c r="AQ8337" s="19"/>
      <c r="AR8337" s="19"/>
      <c r="AS8337" s="19"/>
      <c r="AT8337" s="19"/>
      <c r="AU8337" s="19"/>
    </row>
    <row r="8338" spans="3:47">
      <c r="C8338" s="20"/>
      <c r="Z8338" s="20"/>
      <c r="AG8338" s="20"/>
      <c r="AQ8338" s="19"/>
      <c r="AR8338" s="19"/>
      <c r="AS8338" s="19"/>
      <c r="AT8338" s="19"/>
      <c r="AU8338" s="19"/>
    </row>
    <row r="8339" spans="3:47">
      <c r="C8339" s="20"/>
      <c r="Z8339" s="20"/>
      <c r="AG8339" s="20"/>
      <c r="AQ8339" s="19"/>
      <c r="AR8339" s="19"/>
      <c r="AS8339" s="19"/>
      <c r="AT8339" s="19"/>
      <c r="AU8339" s="19"/>
    </row>
    <row r="8340" spans="3:47">
      <c r="C8340" s="20"/>
      <c r="Z8340" s="20"/>
      <c r="AG8340" s="20"/>
      <c r="AQ8340" s="19"/>
      <c r="AR8340" s="19"/>
      <c r="AS8340" s="19"/>
      <c r="AT8340" s="19"/>
      <c r="AU8340" s="19"/>
    </row>
    <row r="8341" spans="3:47">
      <c r="C8341" s="20"/>
      <c r="Z8341" s="20"/>
      <c r="AG8341" s="20"/>
      <c r="AQ8341" s="19"/>
      <c r="AR8341" s="19"/>
      <c r="AS8341" s="19"/>
      <c r="AT8341" s="19"/>
      <c r="AU8341" s="19"/>
    </row>
    <row r="8342" spans="3:47">
      <c r="C8342" s="20"/>
      <c r="Z8342" s="20"/>
      <c r="AG8342" s="20"/>
      <c r="AQ8342" s="19"/>
      <c r="AR8342" s="19"/>
      <c r="AS8342" s="19"/>
      <c r="AT8342" s="19"/>
      <c r="AU8342" s="19"/>
    </row>
    <row r="8343" spans="3:47">
      <c r="C8343" s="20"/>
      <c r="Z8343" s="20"/>
      <c r="AG8343" s="20"/>
      <c r="AQ8343" s="19"/>
      <c r="AR8343" s="19"/>
      <c r="AS8343" s="19"/>
      <c r="AT8343" s="19"/>
      <c r="AU8343" s="19"/>
    </row>
    <row r="8344" spans="3:47">
      <c r="C8344" s="20"/>
      <c r="Z8344" s="20"/>
      <c r="AG8344" s="20"/>
      <c r="AQ8344" s="19"/>
      <c r="AR8344" s="19"/>
      <c r="AS8344" s="19"/>
      <c r="AT8344" s="19"/>
      <c r="AU8344" s="19"/>
    </row>
    <row r="8345" spans="3:47">
      <c r="C8345" s="20"/>
      <c r="Z8345" s="20"/>
      <c r="AG8345" s="20"/>
      <c r="AQ8345" s="19"/>
      <c r="AR8345" s="19"/>
      <c r="AS8345" s="19"/>
      <c r="AT8345" s="19"/>
      <c r="AU8345" s="19"/>
    </row>
    <row r="8346" spans="3:47">
      <c r="C8346" s="20"/>
      <c r="Z8346" s="20"/>
      <c r="AG8346" s="20"/>
      <c r="AQ8346" s="19"/>
      <c r="AR8346" s="19"/>
      <c r="AS8346" s="19"/>
      <c r="AT8346" s="19"/>
      <c r="AU8346" s="19"/>
    </row>
    <row r="8347" spans="3:47">
      <c r="C8347" s="20"/>
      <c r="Z8347" s="20"/>
      <c r="AG8347" s="20"/>
      <c r="AQ8347" s="19"/>
      <c r="AR8347" s="19"/>
      <c r="AS8347" s="19"/>
      <c r="AT8347" s="19"/>
      <c r="AU8347" s="19"/>
    </row>
    <row r="8348" spans="3:47">
      <c r="C8348" s="20"/>
      <c r="Z8348" s="20"/>
      <c r="AG8348" s="20"/>
      <c r="AQ8348" s="19"/>
      <c r="AR8348" s="19"/>
      <c r="AS8348" s="19"/>
      <c r="AT8348" s="19"/>
      <c r="AU8348" s="19"/>
    </row>
    <row r="8349" spans="3:47">
      <c r="C8349" s="20"/>
      <c r="Z8349" s="20"/>
      <c r="AG8349" s="20"/>
      <c r="AQ8349" s="19"/>
      <c r="AR8349" s="19"/>
      <c r="AS8349" s="19"/>
      <c r="AT8349" s="19"/>
      <c r="AU8349" s="19"/>
    </row>
    <row r="8350" spans="3:47">
      <c r="C8350" s="20"/>
      <c r="Z8350" s="20"/>
      <c r="AG8350" s="20"/>
      <c r="AQ8350" s="19"/>
      <c r="AR8350" s="19"/>
      <c r="AS8350" s="19"/>
      <c r="AT8350" s="19"/>
      <c r="AU8350" s="19"/>
    </row>
    <row r="8351" spans="3:47">
      <c r="C8351" s="20"/>
      <c r="Z8351" s="20"/>
      <c r="AG8351" s="20"/>
      <c r="AQ8351" s="19"/>
      <c r="AR8351" s="19"/>
      <c r="AS8351" s="19"/>
      <c r="AT8351" s="19"/>
      <c r="AU8351" s="19"/>
    </row>
    <row r="8352" spans="3:47">
      <c r="C8352" s="20"/>
      <c r="Z8352" s="20"/>
      <c r="AG8352" s="20"/>
      <c r="AQ8352" s="19"/>
      <c r="AR8352" s="19"/>
      <c r="AS8352" s="19"/>
      <c r="AT8352" s="19"/>
      <c r="AU8352" s="19"/>
    </row>
    <row r="8353" spans="3:47">
      <c r="C8353" s="20"/>
      <c r="Z8353" s="20"/>
      <c r="AG8353" s="20"/>
      <c r="AQ8353" s="19"/>
      <c r="AR8353" s="19"/>
      <c r="AS8353" s="19"/>
      <c r="AT8353" s="19"/>
      <c r="AU8353" s="19"/>
    </row>
    <row r="8354" spans="3:47">
      <c r="C8354" s="20"/>
      <c r="Z8354" s="20"/>
      <c r="AG8354" s="20"/>
      <c r="AQ8354" s="19"/>
      <c r="AR8354" s="19"/>
      <c r="AS8354" s="19"/>
      <c r="AT8354" s="19"/>
      <c r="AU8354" s="19"/>
    </row>
    <row r="8355" spans="3:47">
      <c r="C8355" s="20"/>
      <c r="Z8355" s="20"/>
      <c r="AG8355" s="20"/>
      <c r="AQ8355" s="19"/>
      <c r="AR8355" s="19"/>
      <c r="AS8355" s="19"/>
      <c r="AT8355" s="19"/>
      <c r="AU8355" s="19"/>
    </row>
    <row r="8356" spans="3:47">
      <c r="C8356" s="20"/>
      <c r="Z8356" s="20"/>
      <c r="AG8356" s="20"/>
      <c r="AQ8356" s="19"/>
      <c r="AR8356" s="19"/>
      <c r="AS8356" s="19"/>
      <c r="AT8356" s="19"/>
      <c r="AU8356" s="19"/>
    </row>
    <row r="8357" spans="3:47">
      <c r="C8357" s="20"/>
      <c r="Z8357" s="20"/>
      <c r="AG8357" s="20"/>
      <c r="AQ8357" s="19"/>
      <c r="AR8357" s="19"/>
      <c r="AS8357" s="19"/>
      <c r="AT8357" s="19"/>
      <c r="AU8357" s="19"/>
    </row>
    <row r="8358" spans="3:47">
      <c r="C8358" s="20"/>
      <c r="Z8358" s="20"/>
      <c r="AG8358" s="20"/>
      <c r="AQ8358" s="19"/>
      <c r="AR8358" s="19"/>
      <c r="AS8358" s="19"/>
      <c r="AT8358" s="19"/>
      <c r="AU8358" s="19"/>
    </row>
    <row r="8359" spans="3:47">
      <c r="C8359" s="20"/>
      <c r="Z8359" s="20"/>
      <c r="AG8359" s="20"/>
      <c r="AQ8359" s="19"/>
      <c r="AR8359" s="19"/>
      <c r="AS8359" s="19"/>
      <c r="AT8359" s="19"/>
      <c r="AU8359" s="19"/>
    </row>
    <row r="8360" spans="3:47">
      <c r="C8360" s="20"/>
      <c r="Z8360" s="20"/>
      <c r="AG8360" s="20"/>
      <c r="AQ8360" s="19"/>
      <c r="AR8360" s="19"/>
      <c r="AS8360" s="19"/>
      <c r="AT8360" s="19"/>
      <c r="AU8360" s="19"/>
    </row>
    <row r="8361" spans="3:47">
      <c r="C8361" s="20"/>
      <c r="Z8361" s="20"/>
      <c r="AG8361" s="20"/>
      <c r="AQ8361" s="19"/>
      <c r="AR8361" s="19"/>
      <c r="AS8361" s="19"/>
      <c r="AT8361" s="19"/>
      <c r="AU8361" s="19"/>
    </row>
    <row r="8362" spans="3:47">
      <c r="C8362" s="20"/>
      <c r="Z8362" s="20"/>
      <c r="AG8362" s="20"/>
      <c r="AQ8362" s="19"/>
      <c r="AR8362" s="19"/>
      <c r="AS8362" s="19"/>
      <c r="AT8362" s="19"/>
      <c r="AU8362" s="19"/>
    </row>
    <row r="8363" spans="3:47">
      <c r="C8363" s="20"/>
      <c r="Z8363" s="20"/>
      <c r="AG8363" s="20"/>
      <c r="AQ8363" s="19"/>
      <c r="AR8363" s="19"/>
      <c r="AS8363" s="19"/>
      <c r="AT8363" s="19"/>
      <c r="AU8363" s="19"/>
    </row>
    <row r="8364" spans="3:47">
      <c r="C8364" s="20"/>
      <c r="Z8364" s="20"/>
      <c r="AG8364" s="20"/>
      <c r="AQ8364" s="19"/>
      <c r="AR8364" s="19"/>
      <c r="AS8364" s="19"/>
      <c r="AT8364" s="19"/>
      <c r="AU8364" s="19"/>
    </row>
    <row r="8365" spans="3:47">
      <c r="C8365" s="20"/>
      <c r="Z8365" s="20"/>
      <c r="AG8365" s="20"/>
      <c r="AQ8365" s="19"/>
      <c r="AR8365" s="19"/>
      <c r="AS8365" s="19"/>
      <c r="AT8365" s="19"/>
      <c r="AU8365" s="19"/>
    </row>
    <row r="8366" spans="3:47">
      <c r="C8366" s="20"/>
      <c r="Z8366" s="20"/>
      <c r="AG8366" s="20"/>
      <c r="AQ8366" s="19"/>
      <c r="AR8366" s="19"/>
      <c r="AS8366" s="19"/>
      <c r="AT8366" s="19"/>
      <c r="AU8366" s="19"/>
    </row>
    <row r="8367" spans="3:47">
      <c r="C8367" s="20"/>
      <c r="Z8367" s="20"/>
      <c r="AG8367" s="20"/>
      <c r="AQ8367" s="19"/>
      <c r="AR8367" s="19"/>
      <c r="AS8367" s="19"/>
      <c r="AT8367" s="19"/>
      <c r="AU8367" s="19"/>
    </row>
    <row r="8368" spans="3:47">
      <c r="C8368" s="20"/>
      <c r="Z8368" s="20"/>
      <c r="AG8368" s="20"/>
      <c r="AQ8368" s="19"/>
      <c r="AR8368" s="19"/>
      <c r="AS8368" s="19"/>
      <c r="AT8368" s="19"/>
      <c r="AU8368" s="19"/>
    </row>
    <row r="8369" spans="3:47">
      <c r="C8369" s="20"/>
      <c r="Z8369" s="20"/>
      <c r="AG8369" s="20"/>
      <c r="AQ8369" s="19"/>
      <c r="AR8369" s="19"/>
      <c r="AS8369" s="19"/>
      <c r="AT8369" s="19"/>
      <c r="AU8369" s="19"/>
    </row>
    <row r="8370" spans="3:47">
      <c r="C8370" s="20"/>
      <c r="Z8370" s="20"/>
      <c r="AG8370" s="20"/>
      <c r="AQ8370" s="19"/>
      <c r="AR8370" s="19"/>
      <c r="AS8370" s="19"/>
      <c r="AT8370" s="19"/>
      <c r="AU8370" s="19"/>
    </row>
    <row r="8371" spans="3:47">
      <c r="C8371" s="20"/>
      <c r="Z8371" s="20"/>
      <c r="AG8371" s="20"/>
      <c r="AQ8371" s="19"/>
      <c r="AR8371" s="19"/>
      <c r="AS8371" s="19"/>
      <c r="AT8371" s="19"/>
      <c r="AU8371" s="19"/>
    </row>
    <row r="8372" spans="3:47">
      <c r="C8372" s="20"/>
      <c r="Z8372" s="20"/>
      <c r="AG8372" s="20"/>
      <c r="AQ8372" s="19"/>
      <c r="AR8372" s="19"/>
      <c r="AS8372" s="19"/>
      <c r="AT8372" s="19"/>
      <c r="AU8372" s="19"/>
    </row>
    <row r="8373" spans="3:47">
      <c r="C8373" s="20"/>
      <c r="Z8373" s="20"/>
      <c r="AG8373" s="20"/>
      <c r="AQ8373" s="19"/>
      <c r="AR8373" s="19"/>
      <c r="AS8373" s="19"/>
      <c r="AT8373" s="19"/>
      <c r="AU8373" s="19"/>
    </row>
    <row r="8374" spans="3:47">
      <c r="C8374" s="20"/>
      <c r="Z8374" s="20"/>
      <c r="AG8374" s="20"/>
      <c r="AQ8374" s="19"/>
      <c r="AR8374" s="19"/>
      <c r="AS8374" s="19"/>
      <c r="AT8374" s="19"/>
      <c r="AU8374" s="19"/>
    </row>
    <row r="8375" spans="3:47">
      <c r="C8375" s="20"/>
      <c r="Z8375" s="20"/>
      <c r="AG8375" s="20"/>
      <c r="AQ8375" s="19"/>
      <c r="AR8375" s="19"/>
      <c r="AS8375" s="19"/>
      <c r="AT8375" s="19"/>
      <c r="AU8375" s="19"/>
    </row>
    <row r="8376" spans="3:47">
      <c r="C8376" s="20"/>
      <c r="Z8376" s="20"/>
      <c r="AG8376" s="20"/>
      <c r="AQ8376" s="19"/>
      <c r="AR8376" s="19"/>
      <c r="AS8376" s="19"/>
      <c r="AT8376" s="19"/>
      <c r="AU8376" s="19"/>
    </row>
    <row r="8377" spans="3:47">
      <c r="C8377" s="20"/>
      <c r="Z8377" s="20"/>
      <c r="AG8377" s="20"/>
      <c r="AQ8377" s="19"/>
      <c r="AR8377" s="19"/>
      <c r="AS8377" s="19"/>
      <c r="AT8377" s="19"/>
      <c r="AU8377" s="19"/>
    </row>
    <row r="8378" spans="3:47">
      <c r="C8378" s="20"/>
      <c r="Z8378" s="20"/>
      <c r="AG8378" s="20"/>
      <c r="AQ8378" s="19"/>
      <c r="AR8378" s="19"/>
      <c r="AS8378" s="19"/>
      <c r="AT8378" s="19"/>
      <c r="AU8378" s="19"/>
    </row>
    <row r="8379" spans="3:47">
      <c r="C8379" s="20"/>
      <c r="Z8379" s="20"/>
      <c r="AG8379" s="20"/>
      <c r="AQ8379" s="19"/>
      <c r="AR8379" s="19"/>
      <c r="AS8379" s="19"/>
      <c r="AT8379" s="19"/>
      <c r="AU8379" s="19"/>
    </row>
    <row r="8380" spans="3:47">
      <c r="C8380" s="20"/>
      <c r="Z8380" s="20"/>
      <c r="AG8380" s="20"/>
      <c r="AQ8380" s="19"/>
      <c r="AR8380" s="19"/>
      <c r="AS8380" s="19"/>
      <c r="AT8380" s="19"/>
      <c r="AU8380" s="19"/>
    </row>
    <row r="8381" spans="3:47">
      <c r="C8381" s="20"/>
      <c r="Z8381" s="20"/>
      <c r="AG8381" s="20"/>
      <c r="AQ8381" s="19"/>
      <c r="AR8381" s="19"/>
      <c r="AS8381" s="19"/>
      <c r="AT8381" s="19"/>
      <c r="AU8381" s="19"/>
    </row>
    <row r="8382" spans="3:47">
      <c r="C8382" s="20"/>
      <c r="Z8382" s="20"/>
      <c r="AG8382" s="20"/>
      <c r="AQ8382" s="19"/>
      <c r="AR8382" s="19"/>
      <c r="AS8382" s="19"/>
      <c r="AT8382" s="19"/>
      <c r="AU8382" s="19"/>
    </row>
    <row r="8383" spans="3:47">
      <c r="C8383" s="20"/>
      <c r="Z8383" s="20"/>
      <c r="AG8383" s="20"/>
      <c r="AQ8383" s="19"/>
      <c r="AR8383" s="19"/>
      <c r="AS8383" s="19"/>
      <c r="AT8383" s="19"/>
      <c r="AU8383" s="19"/>
    </row>
    <row r="8384" spans="3:47">
      <c r="C8384" s="20"/>
      <c r="Z8384" s="20"/>
      <c r="AG8384" s="20"/>
      <c r="AQ8384" s="19"/>
      <c r="AR8384" s="19"/>
      <c r="AS8384" s="19"/>
      <c r="AT8384" s="19"/>
      <c r="AU8384" s="19"/>
    </row>
    <row r="8385" spans="3:47">
      <c r="C8385" s="20"/>
      <c r="Z8385" s="20"/>
      <c r="AG8385" s="20"/>
      <c r="AQ8385" s="19"/>
      <c r="AR8385" s="19"/>
      <c r="AS8385" s="19"/>
      <c r="AT8385" s="19"/>
      <c r="AU8385" s="19"/>
    </row>
    <row r="8386" spans="3:47">
      <c r="C8386" s="20"/>
      <c r="Z8386" s="20"/>
      <c r="AG8386" s="20"/>
      <c r="AQ8386" s="19"/>
      <c r="AR8386" s="19"/>
      <c r="AS8386" s="19"/>
      <c r="AT8386" s="19"/>
      <c r="AU8386" s="19"/>
    </row>
    <row r="8387" spans="3:47">
      <c r="C8387" s="20"/>
      <c r="Z8387" s="20"/>
      <c r="AG8387" s="20"/>
      <c r="AQ8387" s="19"/>
      <c r="AR8387" s="19"/>
      <c r="AS8387" s="19"/>
      <c r="AT8387" s="19"/>
      <c r="AU8387" s="19"/>
    </row>
    <row r="8388" spans="3:47">
      <c r="C8388" s="20"/>
      <c r="Z8388" s="20"/>
      <c r="AG8388" s="20"/>
      <c r="AQ8388" s="19"/>
      <c r="AR8388" s="19"/>
      <c r="AS8388" s="19"/>
      <c r="AT8388" s="19"/>
      <c r="AU8388" s="19"/>
    </row>
    <row r="8389" spans="3:47">
      <c r="C8389" s="20"/>
      <c r="Z8389" s="20"/>
      <c r="AG8389" s="20"/>
      <c r="AQ8389" s="19"/>
      <c r="AR8389" s="19"/>
      <c r="AS8389" s="19"/>
      <c r="AT8389" s="19"/>
      <c r="AU8389" s="19"/>
    </row>
    <row r="8390" spans="3:47">
      <c r="C8390" s="20"/>
      <c r="Z8390" s="20"/>
      <c r="AG8390" s="20"/>
      <c r="AQ8390" s="19"/>
      <c r="AR8390" s="19"/>
      <c r="AS8390" s="19"/>
      <c r="AT8390" s="19"/>
      <c r="AU8390" s="19"/>
    </row>
    <row r="8391" spans="3:47">
      <c r="C8391" s="20"/>
      <c r="Z8391" s="20"/>
      <c r="AG8391" s="20"/>
      <c r="AQ8391" s="19"/>
      <c r="AR8391" s="19"/>
      <c r="AS8391" s="19"/>
      <c r="AT8391" s="19"/>
      <c r="AU8391" s="19"/>
    </row>
    <row r="8392" spans="3:47">
      <c r="C8392" s="20"/>
      <c r="Z8392" s="20"/>
      <c r="AG8392" s="20"/>
      <c r="AQ8392" s="19"/>
      <c r="AR8392" s="19"/>
      <c r="AS8392" s="19"/>
      <c r="AT8392" s="19"/>
      <c r="AU8392" s="19"/>
    </row>
    <row r="8393" spans="3:47">
      <c r="C8393" s="20"/>
      <c r="Z8393" s="20"/>
      <c r="AG8393" s="20"/>
      <c r="AQ8393" s="19"/>
      <c r="AR8393" s="19"/>
      <c r="AS8393" s="19"/>
      <c r="AT8393" s="19"/>
      <c r="AU8393" s="19"/>
    </row>
    <row r="8394" spans="3:47">
      <c r="C8394" s="20"/>
      <c r="Z8394" s="20"/>
      <c r="AG8394" s="20"/>
      <c r="AQ8394" s="19"/>
      <c r="AR8394" s="19"/>
      <c r="AS8394" s="19"/>
      <c r="AT8394" s="19"/>
      <c r="AU8394" s="19"/>
    </row>
    <row r="8395" spans="3:47">
      <c r="C8395" s="20"/>
      <c r="Z8395" s="20"/>
      <c r="AG8395" s="20"/>
      <c r="AQ8395" s="19"/>
      <c r="AR8395" s="19"/>
      <c r="AS8395" s="19"/>
      <c r="AT8395" s="19"/>
      <c r="AU8395" s="19"/>
    </row>
    <row r="8396" spans="3:47">
      <c r="C8396" s="20"/>
      <c r="Z8396" s="20"/>
      <c r="AG8396" s="20"/>
      <c r="AQ8396" s="19"/>
      <c r="AR8396" s="19"/>
      <c r="AS8396" s="19"/>
      <c r="AT8396" s="19"/>
      <c r="AU8396" s="19"/>
    </row>
    <row r="8397" spans="3:47">
      <c r="C8397" s="20"/>
      <c r="Z8397" s="20"/>
      <c r="AG8397" s="20"/>
      <c r="AQ8397" s="19"/>
      <c r="AR8397" s="19"/>
      <c r="AS8397" s="19"/>
      <c r="AT8397" s="19"/>
      <c r="AU8397" s="19"/>
    </row>
    <row r="8398" spans="3:47">
      <c r="C8398" s="20"/>
      <c r="Z8398" s="20"/>
      <c r="AG8398" s="20"/>
      <c r="AQ8398" s="19"/>
      <c r="AR8398" s="19"/>
      <c r="AS8398" s="19"/>
      <c r="AT8398" s="19"/>
      <c r="AU8398" s="19"/>
    </row>
    <row r="8399" spans="3:47">
      <c r="C8399" s="20"/>
      <c r="Z8399" s="20"/>
      <c r="AG8399" s="20"/>
      <c r="AQ8399" s="19"/>
      <c r="AR8399" s="19"/>
      <c r="AS8399" s="19"/>
      <c r="AT8399" s="19"/>
      <c r="AU8399" s="19"/>
    </row>
    <row r="8400" spans="3:47">
      <c r="C8400" s="20"/>
      <c r="Z8400" s="20"/>
      <c r="AG8400" s="20"/>
      <c r="AQ8400" s="19"/>
      <c r="AR8400" s="19"/>
      <c r="AS8400" s="19"/>
      <c r="AT8400" s="19"/>
      <c r="AU8400" s="19"/>
    </row>
    <row r="8401" spans="3:47">
      <c r="C8401" s="20"/>
      <c r="Z8401" s="20"/>
      <c r="AG8401" s="20"/>
      <c r="AQ8401" s="19"/>
      <c r="AR8401" s="19"/>
      <c r="AS8401" s="19"/>
      <c r="AT8401" s="19"/>
      <c r="AU8401" s="19"/>
    </row>
    <row r="8402" spans="3:47">
      <c r="C8402" s="20"/>
      <c r="Z8402" s="20"/>
      <c r="AG8402" s="20"/>
      <c r="AQ8402" s="19"/>
      <c r="AR8402" s="19"/>
      <c r="AS8402" s="19"/>
      <c r="AT8402" s="19"/>
      <c r="AU8402" s="19"/>
    </row>
    <row r="8403" spans="3:47">
      <c r="C8403" s="20"/>
      <c r="Z8403" s="20"/>
      <c r="AG8403" s="20"/>
      <c r="AQ8403" s="19"/>
      <c r="AR8403" s="19"/>
      <c r="AS8403" s="19"/>
      <c r="AT8403" s="19"/>
      <c r="AU8403" s="19"/>
    </row>
    <row r="8404" spans="3:47">
      <c r="C8404" s="20"/>
      <c r="Z8404" s="20"/>
      <c r="AG8404" s="20"/>
      <c r="AQ8404" s="19"/>
      <c r="AR8404" s="19"/>
      <c r="AS8404" s="19"/>
      <c r="AT8404" s="19"/>
      <c r="AU8404" s="19"/>
    </row>
    <row r="8405" spans="3:47">
      <c r="C8405" s="20"/>
      <c r="Z8405" s="20"/>
      <c r="AG8405" s="20"/>
      <c r="AQ8405" s="19"/>
      <c r="AR8405" s="19"/>
      <c r="AS8405" s="19"/>
      <c r="AT8405" s="19"/>
      <c r="AU8405" s="19"/>
    </row>
    <row r="8406" spans="3:47">
      <c r="C8406" s="20"/>
      <c r="Z8406" s="20"/>
      <c r="AG8406" s="20"/>
      <c r="AQ8406" s="19"/>
      <c r="AR8406" s="19"/>
      <c r="AS8406" s="19"/>
      <c r="AT8406" s="19"/>
      <c r="AU8406" s="19"/>
    </row>
    <row r="8407" spans="3:47">
      <c r="C8407" s="20"/>
      <c r="Z8407" s="20"/>
      <c r="AG8407" s="20"/>
      <c r="AQ8407" s="19"/>
      <c r="AR8407" s="19"/>
      <c r="AS8407" s="19"/>
      <c r="AT8407" s="19"/>
      <c r="AU8407" s="19"/>
    </row>
    <row r="8408" spans="3:47">
      <c r="C8408" s="20"/>
      <c r="Z8408" s="20"/>
      <c r="AG8408" s="20"/>
      <c r="AQ8408" s="19"/>
      <c r="AR8408" s="19"/>
      <c r="AS8408" s="19"/>
      <c r="AT8408" s="19"/>
      <c r="AU8408" s="19"/>
    </row>
    <row r="8409" spans="3:47">
      <c r="C8409" s="20"/>
      <c r="Z8409" s="20"/>
      <c r="AG8409" s="20"/>
      <c r="AQ8409" s="19"/>
      <c r="AR8409" s="19"/>
      <c r="AS8409" s="19"/>
      <c r="AT8409" s="19"/>
      <c r="AU8409" s="19"/>
    </row>
    <row r="8410" spans="3:47">
      <c r="C8410" s="20"/>
      <c r="Z8410" s="20"/>
      <c r="AG8410" s="20"/>
      <c r="AQ8410" s="19"/>
      <c r="AR8410" s="19"/>
      <c r="AS8410" s="19"/>
      <c r="AT8410" s="19"/>
      <c r="AU8410" s="19"/>
    </row>
    <row r="8411" spans="3:47">
      <c r="C8411" s="20"/>
      <c r="Z8411" s="20"/>
      <c r="AG8411" s="20"/>
      <c r="AQ8411" s="19"/>
      <c r="AR8411" s="19"/>
      <c r="AS8411" s="19"/>
      <c r="AT8411" s="19"/>
      <c r="AU8411" s="19"/>
    </row>
    <row r="8412" spans="3:47">
      <c r="C8412" s="20"/>
      <c r="Z8412" s="20"/>
      <c r="AG8412" s="20"/>
      <c r="AQ8412" s="19"/>
      <c r="AR8412" s="19"/>
      <c r="AS8412" s="19"/>
      <c r="AT8412" s="19"/>
      <c r="AU8412" s="19"/>
    </row>
    <row r="8413" spans="3:47">
      <c r="C8413" s="20"/>
      <c r="Z8413" s="20"/>
      <c r="AG8413" s="20"/>
      <c r="AQ8413" s="19"/>
      <c r="AR8413" s="19"/>
      <c r="AS8413" s="19"/>
      <c r="AT8413" s="19"/>
      <c r="AU8413" s="19"/>
    </row>
    <row r="8414" spans="3:47">
      <c r="C8414" s="20"/>
      <c r="Z8414" s="20"/>
      <c r="AG8414" s="20"/>
      <c r="AQ8414" s="19"/>
      <c r="AR8414" s="19"/>
      <c r="AS8414" s="19"/>
      <c r="AT8414" s="19"/>
      <c r="AU8414" s="19"/>
    </row>
    <row r="8415" spans="3:47">
      <c r="C8415" s="20"/>
      <c r="Z8415" s="20"/>
      <c r="AG8415" s="20"/>
      <c r="AQ8415" s="19"/>
      <c r="AR8415" s="19"/>
      <c r="AS8415" s="19"/>
      <c r="AT8415" s="19"/>
      <c r="AU8415" s="19"/>
    </row>
    <row r="8416" spans="3:47">
      <c r="C8416" s="20"/>
      <c r="Z8416" s="20"/>
      <c r="AG8416" s="20"/>
      <c r="AQ8416" s="19"/>
      <c r="AR8416" s="19"/>
      <c r="AS8416" s="19"/>
      <c r="AT8416" s="19"/>
      <c r="AU8416" s="19"/>
    </row>
    <row r="8417" spans="3:47">
      <c r="C8417" s="20"/>
      <c r="Z8417" s="20"/>
      <c r="AG8417" s="20"/>
      <c r="AQ8417" s="19"/>
      <c r="AR8417" s="19"/>
      <c r="AS8417" s="19"/>
      <c r="AT8417" s="19"/>
      <c r="AU8417" s="19"/>
    </row>
    <row r="8418" spans="3:47">
      <c r="C8418" s="20"/>
      <c r="Z8418" s="20"/>
      <c r="AG8418" s="20"/>
      <c r="AQ8418" s="19"/>
      <c r="AR8418" s="19"/>
      <c r="AS8418" s="19"/>
      <c r="AT8418" s="19"/>
      <c r="AU8418" s="19"/>
    </row>
    <row r="8419" spans="3:47">
      <c r="C8419" s="20"/>
      <c r="Z8419" s="20"/>
      <c r="AG8419" s="20"/>
      <c r="AQ8419" s="19"/>
      <c r="AR8419" s="19"/>
      <c r="AS8419" s="19"/>
      <c r="AT8419" s="19"/>
      <c r="AU8419" s="19"/>
    </row>
    <row r="8420" spans="3:47">
      <c r="C8420" s="20"/>
      <c r="Z8420" s="20"/>
      <c r="AG8420" s="20"/>
      <c r="AQ8420" s="19"/>
      <c r="AR8420" s="19"/>
      <c r="AS8420" s="19"/>
      <c r="AT8420" s="19"/>
      <c r="AU8420" s="19"/>
    </row>
    <row r="8421" spans="3:47">
      <c r="C8421" s="20"/>
      <c r="Z8421" s="20"/>
      <c r="AG8421" s="20"/>
      <c r="AQ8421" s="19"/>
      <c r="AR8421" s="19"/>
      <c r="AS8421" s="19"/>
      <c r="AT8421" s="19"/>
      <c r="AU8421" s="19"/>
    </row>
    <row r="8422" spans="3:47">
      <c r="C8422" s="20"/>
      <c r="Z8422" s="20"/>
      <c r="AG8422" s="20"/>
      <c r="AQ8422" s="19"/>
      <c r="AR8422" s="19"/>
      <c r="AS8422" s="19"/>
      <c r="AT8422" s="19"/>
      <c r="AU8422" s="19"/>
    </row>
    <row r="8423" spans="3:47">
      <c r="C8423" s="20"/>
      <c r="Z8423" s="20"/>
      <c r="AG8423" s="20"/>
      <c r="AQ8423" s="19"/>
      <c r="AR8423" s="19"/>
      <c r="AS8423" s="19"/>
      <c r="AT8423" s="19"/>
      <c r="AU8423" s="19"/>
    </row>
    <row r="8424" spans="3:47">
      <c r="C8424" s="20"/>
      <c r="Z8424" s="20"/>
      <c r="AG8424" s="20"/>
      <c r="AQ8424" s="19"/>
      <c r="AR8424" s="19"/>
      <c r="AS8424" s="19"/>
      <c r="AT8424" s="19"/>
      <c r="AU8424" s="19"/>
    </row>
    <row r="8425" spans="3:47">
      <c r="C8425" s="20"/>
      <c r="Z8425" s="20"/>
      <c r="AG8425" s="20"/>
      <c r="AQ8425" s="19"/>
      <c r="AR8425" s="19"/>
      <c r="AS8425" s="19"/>
      <c r="AT8425" s="19"/>
      <c r="AU8425" s="19"/>
    </row>
    <row r="8426" spans="3:47">
      <c r="C8426" s="20"/>
      <c r="Z8426" s="20"/>
      <c r="AG8426" s="20"/>
      <c r="AQ8426" s="19"/>
      <c r="AR8426" s="19"/>
      <c r="AS8426" s="19"/>
      <c r="AT8426" s="19"/>
      <c r="AU8426" s="19"/>
    </row>
    <row r="8427" spans="3:47">
      <c r="C8427" s="20"/>
      <c r="Z8427" s="20"/>
      <c r="AG8427" s="20"/>
      <c r="AQ8427" s="19"/>
      <c r="AR8427" s="19"/>
      <c r="AS8427" s="19"/>
      <c r="AT8427" s="19"/>
      <c r="AU8427" s="19"/>
    </row>
    <row r="8428" spans="3:47">
      <c r="C8428" s="20"/>
      <c r="Z8428" s="20"/>
      <c r="AG8428" s="20"/>
      <c r="AQ8428" s="19"/>
      <c r="AR8428" s="19"/>
      <c r="AS8428" s="19"/>
      <c r="AT8428" s="19"/>
      <c r="AU8428" s="19"/>
    </row>
    <row r="8429" spans="3:47">
      <c r="C8429" s="20"/>
      <c r="Z8429" s="20"/>
      <c r="AG8429" s="20"/>
      <c r="AQ8429" s="19"/>
      <c r="AR8429" s="19"/>
      <c r="AS8429" s="19"/>
      <c r="AT8429" s="19"/>
      <c r="AU8429" s="19"/>
    </row>
    <row r="8430" spans="3:47">
      <c r="C8430" s="20"/>
      <c r="Z8430" s="20"/>
      <c r="AG8430" s="20"/>
      <c r="AQ8430" s="19"/>
      <c r="AR8430" s="19"/>
      <c r="AS8430" s="19"/>
      <c r="AT8430" s="19"/>
      <c r="AU8430" s="19"/>
    </row>
    <row r="8431" spans="3:47">
      <c r="C8431" s="20"/>
      <c r="Z8431" s="20"/>
      <c r="AG8431" s="20"/>
      <c r="AQ8431" s="19"/>
      <c r="AR8431" s="19"/>
      <c r="AS8431" s="19"/>
      <c r="AT8431" s="19"/>
      <c r="AU8431" s="19"/>
    </row>
    <row r="8432" spans="3:47">
      <c r="C8432" s="20"/>
      <c r="Z8432" s="20"/>
      <c r="AG8432" s="20"/>
      <c r="AQ8432" s="19"/>
      <c r="AR8432" s="19"/>
      <c r="AS8432" s="19"/>
      <c r="AT8432" s="19"/>
      <c r="AU8432" s="19"/>
    </row>
    <row r="8433" spans="3:47">
      <c r="C8433" s="20"/>
      <c r="Z8433" s="20"/>
      <c r="AG8433" s="20"/>
      <c r="AQ8433" s="19"/>
      <c r="AR8433" s="19"/>
      <c r="AS8433" s="19"/>
      <c r="AT8433" s="19"/>
      <c r="AU8433" s="19"/>
    </row>
    <row r="8434" spans="3:47">
      <c r="C8434" s="20"/>
      <c r="Z8434" s="20"/>
      <c r="AG8434" s="20"/>
      <c r="AQ8434" s="19"/>
      <c r="AR8434" s="19"/>
      <c r="AS8434" s="19"/>
      <c r="AT8434" s="19"/>
      <c r="AU8434" s="19"/>
    </row>
    <row r="8435" spans="3:47">
      <c r="C8435" s="20"/>
      <c r="Z8435" s="20"/>
      <c r="AG8435" s="20"/>
      <c r="AQ8435" s="19"/>
      <c r="AR8435" s="19"/>
      <c r="AS8435" s="19"/>
      <c r="AT8435" s="19"/>
      <c r="AU8435" s="19"/>
    </row>
    <row r="8436" spans="3:47">
      <c r="C8436" s="20"/>
      <c r="Z8436" s="20"/>
      <c r="AG8436" s="20"/>
      <c r="AQ8436" s="19"/>
      <c r="AR8436" s="19"/>
      <c r="AS8436" s="19"/>
      <c r="AT8436" s="19"/>
      <c r="AU8436" s="19"/>
    </row>
    <row r="8437" spans="3:47">
      <c r="C8437" s="20"/>
      <c r="Z8437" s="20"/>
      <c r="AG8437" s="20"/>
      <c r="AQ8437" s="19"/>
      <c r="AR8437" s="19"/>
      <c r="AS8437" s="19"/>
      <c r="AT8437" s="19"/>
      <c r="AU8437" s="19"/>
    </row>
    <row r="8438" spans="3:47">
      <c r="C8438" s="20"/>
      <c r="Z8438" s="20"/>
      <c r="AG8438" s="20"/>
      <c r="AQ8438" s="19"/>
      <c r="AR8438" s="19"/>
      <c r="AS8438" s="19"/>
      <c r="AT8438" s="19"/>
      <c r="AU8438" s="19"/>
    </row>
    <row r="8439" spans="3:47">
      <c r="C8439" s="20"/>
      <c r="Z8439" s="20"/>
      <c r="AG8439" s="20"/>
      <c r="AQ8439" s="19"/>
      <c r="AR8439" s="19"/>
      <c r="AS8439" s="19"/>
      <c r="AT8439" s="19"/>
      <c r="AU8439" s="19"/>
    </row>
    <row r="8440" spans="3:47">
      <c r="C8440" s="20"/>
      <c r="Z8440" s="20"/>
      <c r="AG8440" s="20"/>
      <c r="AQ8440" s="19"/>
      <c r="AR8440" s="19"/>
      <c r="AS8440" s="19"/>
      <c r="AT8440" s="19"/>
      <c r="AU8440" s="19"/>
    </row>
    <row r="8441" spans="3:47">
      <c r="C8441" s="20"/>
      <c r="Z8441" s="20"/>
      <c r="AG8441" s="20"/>
      <c r="AQ8441" s="19"/>
      <c r="AR8441" s="19"/>
      <c r="AS8441" s="19"/>
      <c r="AT8441" s="19"/>
      <c r="AU8441" s="19"/>
    </row>
    <row r="8442" spans="3:47">
      <c r="C8442" s="20"/>
      <c r="Z8442" s="20"/>
      <c r="AG8442" s="20"/>
      <c r="AQ8442" s="19"/>
      <c r="AR8442" s="19"/>
      <c r="AS8442" s="19"/>
      <c r="AT8442" s="19"/>
      <c r="AU8442" s="19"/>
    </row>
    <row r="8443" spans="3:47">
      <c r="C8443" s="20"/>
      <c r="Z8443" s="20"/>
      <c r="AG8443" s="20"/>
      <c r="AQ8443" s="19"/>
      <c r="AR8443" s="19"/>
      <c r="AS8443" s="19"/>
      <c r="AT8443" s="19"/>
      <c r="AU8443" s="19"/>
    </row>
    <row r="8444" spans="3:47">
      <c r="C8444" s="20"/>
      <c r="Z8444" s="20"/>
      <c r="AG8444" s="20"/>
      <c r="AQ8444" s="19"/>
      <c r="AR8444" s="19"/>
      <c r="AS8444" s="19"/>
      <c r="AT8444" s="19"/>
      <c r="AU8444" s="19"/>
    </row>
    <row r="8445" spans="3:47">
      <c r="C8445" s="20"/>
      <c r="Z8445" s="20"/>
      <c r="AG8445" s="20"/>
      <c r="AQ8445" s="19"/>
      <c r="AR8445" s="19"/>
      <c r="AS8445" s="19"/>
      <c r="AT8445" s="19"/>
      <c r="AU8445" s="19"/>
    </row>
    <row r="8446" spans="3:47">
      <c r="C8446" s="20"/>
      <c r="Z8446" s="20"/>
      <c r="AG8446" s="20"/>
      <c r="AQ8446" s="19"/>
      <c r="AR8446" s="19"/>
      <c r="AS8446" s="19"/>
      <c r="AT8446" s="19"/>
      <c r="AU8446" s="19"/>
    </row>
    <row r="8447" spans="3:47">
      <c r="C8447" s="20"/>
      <c r="Z8447" s="20"/>
      <c r="AG8447" s="20"/>
      <c r="AQ8447" s="19"/>
      <c r="AR8447" s="19"/>
      <c r="AS8447" s="19"/>
      <c r="AT8447" s="19"/>
      <c r="AU8447" s="19"/>
    </row>
    <row r="8448" spans="3:47">
      <c r="C8448" s="20"/>
      <c r="Z8448" s="20"/>
      <c r="AG8448" s="20"/>
      <c r="AQ8448" s="19"/>
      <c r="AR8448" s="19"/>
      <c r="AS8448" s="19"/>
      <c r="AT8448" s="19"/>
      <c r="AU8448" s="19"/>
    </row>
    <row r="8449" spans="3:47">
      <c r="C8449" s="20"/>
      <c r="Z8449" s="20"/>
      <c r="AG8449" s="20"/>
      <c r="AQ8449" s="19"/>
      <c r="AR8449" s="19"/>
      <c r="AS8449" s="19"/>
      <c r="AT8449" s="19"/>
      <c r="AU8449" s="19"/>
    </row>
    <row r="8450" spans="3:47">
      <c r="C8450" s="20"/>
      <c r="Z8450" s="20"/>
      <c r="AG8450" s="20"/>
      <c r="AQ8450" s="19"/>
      <c r="AR8450" s="19"/>
      <c r="AS8450" s="19"/>
      <c r="AT8450" s="19"/>
      <c r="AU8450" s="19"/>
    </row>
    <row r="8451" spans="3:47">
      <c r="C8451" s="20"/>
      <c r="Z8451" s="20"/>
      <c r="AG8451" s="20"/>
      <c r="AQ8451" s="19"/>
      <c r="AR8451" s="19"/>
      <c r="AS8451" s="19"/>
      <c r="AT8451" s="19"/>
      <c r="AU8451" s="19"/>
    </row>
    <row r="8452" spans="3:47">
      <c r="C8452" s="20"/>
      <c r="Z8452" s="20"/>
      <c r="AG8452" s="20"/>
      <c r="AQ8452" s="19"/>
      <c r="AR8452" s="19"/>
      <c r="AS8452" s="19"/>
      <c r="AT8452" s="19"/>
      <c r="AU8452" s="19"/>
    </row>
    <row r="8453" spans="3:47">
      <c r="C8453" s="20"/>
      <c r="Z8453" s="20"/>
      <c r="AG8453" s="20"/>
      <c r="AQ8453" s="19"/>
      <c r="AR8453" s="19"/>
      <c r="AS8453" s="19"/>
      <c r="AT8453" s="19"/>
      <c r="AU8453" s="19"/>
    </row>
    <row r="8454" spans="3:47">
      <c r="C8454" s="20"/>
      <c r="Z8454" s="20"/>
      <c r="AG8454" s="20"/>
      <c r="AQ8454" s="19"/>
      <c r="AR8454" s="19"/>
      <c r="AS8454" s="19"/>
      <c r="AT8454" s="19"/>
      <c r="AU8454" s="19"/>
    </row>
    <row r="8455" spans="3:47">
      <c r="C8455" s="20"/>
      <c r="Z8455" s="20"/>
      <c r="AG8455" s="20"/>
      <c r="AQ8455" s="19"/>
      <c r="AR8455" s="19"/>
      <c r="AS8455" s="19"/>
      <c r="AT8455" s="19"/>
      <c r="AU8455" s="19"/>
    </row>
    <row r="8456" spans="3:47">
      <c r="C8456" s="20"/>
      <c r="Z8456" s="20"/>
      <c r="AG8456" s="20"/>
      <c r="AQ8456" s="19"/>
      <c r="AR8456" s="19"/>
      <c r="AS8456" s="19"/>
      <c r="AT8456" s="19"/>
      <c r="AU8456" s="19"/>
    </row>
    <row r="8457" spans="3:47">
      <c r="C8457" s="20"/>
      <c r="Z8457" s="20"/>
      <c r="AG8457" s="20"/>
      <c r="AQ8457" s="19"/>
      <c r="AR8457" s="19"/>
      <c r="AS8457" s="19"/>
      <c r="AT8457" s="19"/>
      <c r="AU8457" s="19"/>
    </row>
    <row r="8458" spans="3:47">
      <c r="C8458" s="20"/>
      <c r="Z8458" s="20"/>
      <c r="AG8458" s="20"/>
      <c r="AQ8458" s="19"/>
      <c r="AR8458" s="19"/>
      <c r="AS8458" s="19"/>
      <c r="AT8458" s="19"/>
      <c r="AU8458" s="19"/>
    </row>
    <row r="8459" spans="3:47">
      <c r="C8459" s="20"/>
      <c r="Z8459" s="20"/>
      <c r="AG8459" s="20"/>
      <c r="AQ8459" s="19"/>
      <c r="AR8459" s="19"/>
      <c r="AS8459" s="19"/>
      <c r="AT8459" s="19"/>
      <c r="AU8459" s="19"/>
    </row>
    <row r="8460" spans="3:47">
      <c r="C8460" s="20"/>
      <c r="Z8460" s="20"/>
      <c r="AG8460" s="20"/>
      <c r="AQ8460" s="19"/>
      <c r="AR8460" s="19"/>
      <c r="AS8460" s="19"/>
      <c r="AT8460" s="19"/>
      <c r="AU8460" s="19"/>
    </row>
    <row r="8461" spans="3:47">
      <c r="C8461" s="20"/>
      <c r="Z8461" s="20"/>
      <c r="AG8461" s="20"/>
      <c r="AQ8461" s="19"/>
      <c r="AR8461" s="19"/>
      <c r="AS8461" s="19"/>
      <c r="AT8461" s="19"/>
      <c r="AU8461" s="19"/>
    </row>
    <row r="8462" spans="3:47">
      <c r="C8462" s="20"/>
      <c r="Z8462" s="20"/>
      <c r="AG8462" s="20"/>
      <c r="AQ8462" s="19"/>
      <c r="AR8462" s="19"/>
      <c r="AS8462" s="19"/>
      <c r="AT8462" s="19"/>
      <c r="AU8462" s="19"/>
    </row>
    <row r="8463" spans="3:47">
      <c r="C8463" s="20"/>
      <c r="Z8463" s="20"/>
      <c r="AG8463" s="20"/>
      <c r="AQ8463" s="19"/>
      <c r="AR8463" s="19"/>
      <c r="AS8463" s="19"/>
      <c r="AT8463" s="19"/>
      <c r="AU8463" s="19"/>
    </row>
    <row r="8464" spans="3:47">
      <c r="C8464" s="20"/>
      <c r="Z8464" s="20"/>
      <c r="AG8464" s="20"/>
      <c r="AQ8464" s="19"/>
      <c r="AR8464" s="19"/>
      <c r="AS8464" s="19"/>
      <c r="AT8464" s="19"/>
      <c r="AU8464" s="19"/>
    </row>
    <row r="8465" spans="3:47">
      <c r="C8465" s="20"/>
      <c r="Z8465" s="20"/>
      <c r="AG8465" s="20"/>
      <c r="AQ8465" s="19"/>
      <c r="AR8465" s="19"/>
      <c r="AS8465" s="19"/>
      <c r="AT8465" s="19"/>
      <c r="AU8465" s="19"/>
    </row>
    <row r="8466" spans="3:47">
      <c r="C8466" s="20"/>
      <c r="Z8466" s="20"/>
      <c r="AG8466" s="20"/>
      <c r="AQ8466" s="19"/>
      <c r="AR8466" s="19"/>
      <c r="AS8466" s="19"/>
      <c r="AT8466" s="19"/>
      <c r="AU8466" s="19"/>
    </row>
    <row r="8467" spans="3:47">
      <c r="C8467" s="20"/>
      <c r="Z8467" s="20"/>
      <c r="AG8467" s="20"/>
      <c r="AQ8467" s="19"/>
      <c r="AR8467" s="19"/>
      <c r="AS8467" s="19"/>
      <c r="AT8467" s="19"/>
      <c r="AU8467" s="19"/>
    </row>
    <row r="8468" spans="3:47">
      <c r="C8468" s="20"/>
      <c r="Z8468" s="20"/>
      <c r="AG8468" s="20"/>
      <c r="AQ8468" s="19"/>
      <c r="AR8468" s="19"/>
      <c r="AS8468" s="19"/>
      <c r="AT8468" s="19"/>
      <c r="AU8468" s="19"/>
    </row>
    <row r="8469" spans="3:47">
      <c r="C8469" s="20"/>
      <c r="Z8469" s="20"/>
      <c r="AG8469" s="20"/>
      <c r="AQ8469" s="19"/>
      <c r="AR8469" s="19"/>
      <c r="AS8469" s="19"/>
      <c r="AT8469" s="19"/>
      <c r="AU8469" s="19"/>
    </row>
    <row r="8470" spans="3:47">
      <c r="C8470" s="20"/>
      <c r="Z8470" s="20"/>
      <c r="AG8470" s="20"/>
      <c r="AQ8470" s="19"/>
      <c r="AR8470" s="19"/>
      <c r="AS8470" s="19"/>
      <c r="AT8470" s="19"/>
      <c r="AU8470" s="19"/>
    </row>
    <row r="8471" spans="3:47">
      <c r="C8471" s="20"/>
      <c r="Z8471" s="20"/>
      <c r="AG8471" s="20"/>
      <c r="AQ8471" s="19"/>
      <c r="AR8471" s="19"/>
      <c r="AS8471" s="19"/>
      <c r="AT8471" s="19"/>
      <c r="AU8471" s="19"/>
    </row>
    <row r="8472" spans="3:47">
      <c r="C8472" s="20"/>
      <c r="Z8472" s="20"/>
      <c r="AG8472" s="20"/>
      <c r="AQ8472" s="19"/>
      <c r="AR8472" s="19"/>
      <c r="AS8472" s="19"/>
      <c r="AT8472" s="19"/>
      <c r="AU8472" s="19"/>
    </row>
    <row r="8473" spans="3:47">
      <c r="C8473" s="20"/>
      <c r="Z8473" s="20"/>
      <c r="AG8473" s="20"/>
      <c r="AQ8473" s="19"/>
      <c r="AR8473" s="19"/>
      <c r="AS8473" s="19"/>
      <c r="AT8473" s="19"/>
      <c r="AU8473" s="19"/>
    </row>
    <row r="8474" spans="3:47">
      <c r="C8474" s="20"/>
      <c r="Z8474" s="20"/>
      <c r="AG8474" s="20"/>
      <c r="AQ8474" s="19"/>
      <c r="AR8474" s="19"/>
      <c r="AS8474" s="19"/>
      <c r="AT8474" s="19"/>
      <c r="AU8474" s="19"/>
    </row>
    <row r="8475" spans="3:47">
      <c r="C8475" s="20"/>
      <c r="Z8475" s="20"/>
      <c r="AG8475" s="20"/>
      <c r="AQ8475" s="19"/>
      <c r="AR8475" s="19"/>
      <c r="AS8475" s="19"/>
      <c r="AT8475" s="19"/>
      <c r="AU8475" s="19"/>
    </row>
    <row r="8476" spans="3:47">
      <c r="C8476" s="20"/>
      <c r="Z8476" s="20"/>
      <c r="AG8476" s="20"/>
      <c r="AQ8476" s="19"/>
      <c r="AR8476" s="19"/>
      <c r="AS8476" s="19"/>
      <c r="AT8476" s="19"/>
      <c r="AU8476" s="19"/>
    </row>
    <row r="8477" spans="3:47">
      <c r="C8477" s="20"/>
      <c r="Z8477" s="20"/>
      <c r="AG8477" s="20"/>
      <c r="AQ8477" s="19"/>
      <c r="AR8477" s="19"/>
      <c r="AS8477" s="19"/>
      <c r="AT8477" s="19"/>
      <c r="AU8477" s="19"/>
    </row>
    <row r="8478" spans="3:47">
      <c r="C8478" s="20"/>
      <c r="Z8478" s="20"/>
      <c r="AG8478" s="20"/>
      <c r="AQ8478" s="19"/>
      <c r="AR8478" s="19"/>
      <c r="AS8478" s="19"/>
      <c r="AT8478" s="19"/>
      <c r="AU8478" s="19"/>
    </row>
    <row r="8479" spans="3:47">
      <c r="C8479" s="20"/>
      <c r="Z8479" s="20"/>
      <c r="AG8479" s="20"/>
      <c r="AQ8479" s="19"/>
      <c r="AR8479" s="19"/>
      <c r="AS8479" s="19"/>
      <c r="AT8479" s="19"/>
      <c r="AU8479" s="19"/>
    </row>
    <row r="8480" spans="3:47">
      <c r="C8480" s="20"/>
      <c r="Z8480" s="20"/>
      <c r="AG8480" s="20"/>
      <c r="AQ8480" s="19"/>
      <c r="AR8480" s="19"/>
      <c r="AS8480" s="19"/>
      <c r="AT8480" s="19"/>
      <c r="AU8480" s="19"/>
    </row>
    <row r="8481" spans="3:47">
      <c r="C8481" s="20"/>
      <c r="Z8481" s="20"/>
      <c r="AG8481" s="20"/>
      <c r="AQ8481" s="19"/>
      <c r="AR8481" s="19"/>
      <c r="AS8481" s="19"/>
      <c r="AT8481" s="19"/>
      <c r="AU8481" s="19"/>
    </row>
    <row r="8482" spans="3:47">
      <c r="C8482" s="20"/>
      <c r="Z8482" s="20"/>
      <c r="AG8482" s="20"/>
      <c r="AQ8482" s="19"/>
      <c r="AR8482" s="19"/>
      <c r="AS8482" s="19"/>
      <c r="AT8482" s="19"/>
      <c r="AU8482" s="19"/>
    </row>
    <row r="8483" spans="3:47">
      <c r="C8483" s="20"/>
      <c r="Z8483" s="20"/>
      <c r="AG8483" s="20"/>
      <c r="AQ8483" s="19"/>
      <c r="AR8483" s="19"/>
      <c r="AS8483" s="19"/>
      <c r="AT8483" s="19"/>
      <c r="AU8483" s="19"/>
    </row>
    <row r="8484" spans="3:47">
      <c r="C8484" s="20"/>
      <c r="Z8484" s="20"/>
      <c r="AG8484" s="20"/>
      <c r="AQ8484" s="19"/>
      <c r="AR8484" s="19"/>
      <c r="AS8484" s="19"/>
      <c r="AT8484" s="19"/>
      <c r="AU8484" s="19"/>
    </row>
    <row r="8485" spans="3:47">
      <c r="C8485" s="20"/>
      <c r="Z8485" s="20"/>
      <c r="AG8485" s="20"/>
      <c r="AQ8485" s="19"/>
      <c r="AR8485" s="19"/>
      <c r="AS8485" s="19"/>
      <c r="AT8485" s="19"/>
      <c r="AU8485" s="19"/>
    </row>
    <row r="8486" spans="3:47">
      <c r="C8486" s="20"/>
      <c r="Z8486" s="20"/>
      <c r="AG8486" s="20"/>
      <c r="AQ8486" s="19"/>
      <c r="AR8486" s="19"/>
      <c r="AS8486" s="19"/>
      <c r="AT8486" s="19"/>
      <c r="AU8486" s="19"/>
    </row>
    <row r="8487" spans="3:47">
      <c r="C8487" s="20"/>
      <c r="Z8487" s="20"/>
      <c r="AG8487" s="20"/>
      <c r="AQ8487" s="19"/>
      <c r="AR8487" s="19"/>
      <c r="AS8487" s="19"/>
      <c r="AT8487" s="19"/>
      <c r="AU8487" s="19"/>
    </row>
    <row r="8488" spans="3:47">
      <c r="C8488" s="20"/>
      <c r="Z8488" s="20"/>
      <c r="AG8488" s="20"/>
      <c r="AQ8488" s="19"/>
      <c r="AR8488" s="19"/>
      <c r="AS8488" s="19"/>
      <c r="AT8488" s="19"/>
      <c r="AU8488" s="19"/>
    </row>
    <row r="8489" spans="3:47">
      <c r="C8489" s="20"/>
      <c r="Z8489" s="20"/>
      <c r="AG8489" s="20"/>
      <c r="AQ8489" s="19"/>
      <c r="AR8489" s="19"/>
      <c r="AS8489" s="19"/>
      <c r="AT8489" s="19"/>
      <c r="AU8489" s="19"/>
    </row>
    <row r="8490" spans="3:47">
      <c r="C8490" s="20"/>
      <c r="Z8490" s="20"/>
      <c r="AG8490" s="20"/>
      <c r="AQ8490" s="19"/>
      <c r="AR8490" s="19"/>
      <c r="AS8490" s="19"/>
      <c r="AT8490" s="19"/>
      <c r="AU8490" s="19"/>
    </row>
    <row r="8491" spans="3:47">
      <c r="C8491" s="20"/>
      <c r="Z8491" s="20"/>
      <c r="AG8491" s="20"/>
      <c r="AQ8491" s="19"/>
      <c r="AR8491" s="19"/>
      <c r="AS8491" s="19"/>
      <c r="AT8491" s="19"/>
      <c r="AU8491" s="19"/>
    </row>
    <row r="8492" spans="3:47">
      <c r="C8492" s="20"/>
      <c r="Z8492" s="20"/>
      <c r="AG8492" s="20"/>
      <c r="AQ8492" s="19"/>
      <c r="AR8492" s="19"/>
      <c r="AS8492" s="19"/>
      <c r="AT8492" s="19"/>
      <c r="AU8492" s="19"/>
    </row>
    <row r="8493" spans="3:47">
      <c r="C8493" s="20"/>
      <c r="Z8493" s="20"/>
      <c r="AG8493" s="20"/>
      <c r="AQ8493" s="19"/>
      <c r="AR8493" s="19"/>
      <c r="AS8493" s="19"/>
      <c r="AT8493" s="19"/>
      <c r="AU8493" s="19"/>
    </row>
    <row r="8494" spans="3:47">
      <c r="C8494" s="20"/>
      <c r="Z8494" s="20"/>
      <c r="AG8494" s="20"/>
      <c r="AQ8494" s="19"/>
      <c r="AR8494" s="19"/>
      <c r="AS8494" s="19"/>
      <c r="AT8494" s="19"/>
      <c r="AU8494" s="19"/>
    </row>
    <row r="8495" spans="3:47">
      <c r="C8495" s="20"/>
      <c r="Z8495" s="20"/>
      <c r="AG8495" s="20"/>
      <c r="AQ8495" s="19"/>
      <c r="AR8495" s="19"/>
      <c r="AS8495" s="19"/>
      <c r="AT8495" s="19"/>
      <c r="AU8495" s="19"/>
    </row>
    <row r="8496" spans="3:47">
      <c r="C8496" s="20"/>
      <c r="Z8496" s="20"/>
      <c r="AG8496" s="20"/>
      <c r="AQ8496" s="19"/>
      <c r="AR8496" s="19"/>
      <c r="AS8496" s="19"/>
      <c r="AT8496" s="19"/>
      <c r="AU8496" s="19"/>
    </row>
    <row r="8497" spans="3:47">
      <c r="C8497" s="20"/>
      <c r="Z8497" s="20"/>
      <c r="AG8497" s="20"/>
      <c r="AQ8497" s="19"/>
      <c r="AR8497" s="19"/>
      <c r="AS8497" s="19"/>
      <c r="AT8497" s="19"/>
      <c r="AU8497" s="19"/>
    </row>
    <row r="8498" spans="3:47">
      <c r="C8498" s="20"/>
      <c r="Z8498" s="20"/>
      <c r="AG8498" s="20"/>
      <c r="AQ8498" s="19"/>
      <c r="AR8498" s="19"/>
      <c r="AS8498" s="19"/>
      <c r="AT8498" s="19"/>
      <c r="AU8498" s="19"/>
    </row>
    <row r="8499" spans="3:47">
      <c r="C8499" s="20"/>
      <c r="Z8499" s="20"/>
      <c r="AG8499" s="20"/>
      <c r="AQ8499" s="19"/>
      <c r="AR8499" s="19"/>
      <c r="AS8499" s="19"/>
      <c r="AT8499" s="19"/>
      <c r="AU8499" s="19"/>
    </row>
    <row r="8500" spans="3:47">
      <c r="C8500" s="20"/>
      <c r="Z8500" s="20"/>
      <c r="AG8500" s="20"/>
      <c r="AQ8500" s="19"/>
      <c r="AR8500" s="19"/>
      <c r="AS8500" s="19"/>
      <c r="AT8500" s="19"/>
      <c r="AU8500" s="19"/>
    </row>
    <row r="8501" spans="3:47">
      <c r="C8501" s="20"/>
      <c r="Z8501" s="20"/>
      <c r="AG8501" s="20"/>
      <c r="AQ8501" s="19"/>
      <c r="AR8501" s="19"/>
      <c r="AS8501" s="19"/>
      <c r="AT8501" s="19"/>
      <c r="AU8501" s="19"/>
    </row>
    <row r="8502" spans="3:47">
      <c r="C8502" s="20"/>
      <c r="Z8502" s="20"/>
      <c r="AG8502" s="20"/>
      <c r="AQ8502" s="19"/>
      <c r="AR8502" s="19"/>
      <c r="AS8502" s="19"/>
      <c r="AT8502" s="19"/>
      <c r="AU8502" s="19"/>
    </row>
    <row r="8503" spans="3:47">
      <c r="C8503" s="20"/>
      <c r="Z8503" s="20"/>
      <c r="AG8503" s="20"/>
      <c r="AQ8503" s="19"/>
      <c r="AR8503" s="19"/>
      <c r="AS8503" s="19"/>
      <c r="AT8503" s="19"/>
      <c r="AU8503" s="19"/>
    </row>
    <row r="8504" spans="3:47">
      <c r="C8504" s="20"/>
      <c r="Z8504" s="20"/>
      <c r="AG8504" s="20"/>
      <c r="AQ8504" s="19"/>
      <c r="AR8504" s="19"/>
      <c r="AS8504" s="19"/>
      <c r="AT8504" s="19"/>
      <c r="AU8504" s="19"/>
    </row>
    <row r="8505" spans="3:47">
      <c r="C8505" s="20"/>
      <c r="Z8505" s="20"/>
      <c r="AG8505" s="20"/>
      <c r="AQ8505" s="19"/>
      <c r="AR8505" s="19"/>
      <c r="AS8505" s="19"/>
      <c r="AT8505" s="19"/>
      <c r="AU8505" s="19"/>
    </row>
    <row r="8506" spans="3:47">
      <c r="C8506" s="20"/>
      <c r="Z8506" s="20"/>
      <c r="AG8506" s="20"/>
      <c r="AQ8506" s="19"/>
      <c r="AR8506" s="19"/>
      <c r="AS8506" s="19"/>
      <c r="AT8506" s="19"/>
      <c r="AU8506" s="19"/>
    </row>
    <row r="8507" spans="3:47">
      <c r="C8507" s="20"/>
      <c r="Z8507" s="20"/>
      <c r="AG8507" s="20"/>
      <c r="AQ8507" s="19"/>
      <c r="AR8507" s="19"/>
      <c r="AS8507" s="19"/>
      <c r="AT8507" s="19"/>
      <c r="AU8507" s="19"/>
    </row>
    <row r="8508" spans="3:47">
      <c r="C8508" s="20"/>
      <c r="Z8508" s="20"/>
      <c r="AG8508" s="20"/>
      <c r="AQ8508" s="19"/>
      <c r="AR8508" s="19"/>
      <c r="AS8508" s="19"/>
      <c r="AT8508" s="19"/>
      <c r="AU8508" s="19"/>
    </row>
    <row r="8509" spans="3:47">
      <c r="C8509" s="20"/>
      <c r="Z8509" s="20"/>
      <c r="AG8509" s="20"/>
      <c r="AQ8509" s="19"/>
      <c r="AR8509" s="19"/>
      <c r="AS8509" s="19"/>
      <c r="AT8509" s="19"/>
      <c r="AU8509" s="19"/>
    </row>
    <row r="8510" spans="3:47">
      <c r="C8510" s="20"/>
      <c r="Z8510" s="20"/>
      <c r="AG8510" s="20"/>
      <c r="AQ8510" s="19"/>
      <c r="AR8510" s="19"/>
      <c r="AS8510" s="19"/>
      <c r="AT8510" s="19"/>
      <c r="AU8510" s="19"/>
    </row>
    <row r="8511" spans="3:47">
      <c r="C8511" s="20"/>
      <c r="Z8511" s="20"/>
      <c r="AG8511" s="20"/>
      <c r="AQ8511" s="19"/>
      <c r="AR8511" s="19"/>
      <c r="AS8511" s="19"/>
      <c r="AT8511" s="19"/>
      <c r="AU8511" s="19"/>
    </row>
    <row r="8512" spans="3:47">
      <c r="C8512" s="20"/>
      <c r="Z8512" s="20"/>
      <c r="AG8512" s="20"/>
      <c r="AQ8512" s="19"/>
      <c r="AR8512" s="19"/>
      <c r="AS8512" s="19"/>
      <c r="AT8512" s="19"/>
      <c r="AU8512" s="19"/>
    </row>
    <row r="8513" spans="3:47">
      <c r="C8513" s="20"/>
      <c r="Z8513" s="20"/>
      <c r="AG8513" s="20"/>
      <c r="AQ8513" s="19"/>
      <c r="AR8513" s="19"/>
      <c r="AS8513" s="19"/>
      <c r="AT8513" s="19"/>
      <c r="AU8513" s="19"/>
    </row>
    <row r="8514" spans="3:47">
      <c r="C8514" s="20"/>
      <c r="Z8514" s="20"/>
      <c r="AG8514" s="20"/>
      <c r="AQ8514" s="19"/>
      <c r="AR8514" s="19"/>
      <c r="AS8514" s="19"/>
      <c r="AT8514" s="19"/>
      <c r="AU8514" s="19"/>
    </row>
    <row r="8515" spans="3:47">
      <c r="C8515" s="20"/>
      <c r="Z8515" s="20"/>
      <c r="AG8515" s="20"/>
      <c r="AQ8515" s="19"/>
      <c r="AR8515" s="19"/>
      <c r="AS8515" s="19"/>
      <c r="AT8515" s="19"/>
      <c r="AU8515" s="19"/>
    </row>
    <row r="8516" spans="3:47">
      <c r="C8516" s="20"/>
      <c r="Z8516" s="20"/>
      <c r="AG8516" s="20"/>
      <c r="AQ8516" s="19"/>
      <c r="AR8516" s="19"/>
      <c r="AS8516" s="19"/>
      <c r="AT8516" s="19"/>
      <c r="AU8516" s="19"/>
    </row>
    <row r="8517" spans="3:47">
      <c r="C8517" s="20"/>
      <c r="Z8517" s="20"/>
      <c r="AG8517" s="20"/>
      <c r="AQ8517" s="19"/>
      <c r="AR8517" s="19"/>
      <c r="AS8517" s="19"/>
      <c r="AT8517" s="19"/>
      <c r="AU8517" s="19"/>
    </row>
    <row r="8518" spans="3:47">
      <c r="C8518" s="20"/>
      <c r="Z8518" s="20"/>
      <c r="AG8518" s="20"/>
      <c r="AQ8518" s="19"/>
      <c r="AR8518" s="19"/>
      <c r="AS8518" s="19"/>
      <c r="AT8518" s="19"/>
      <c r="AU8518" s="19"/>
    </row>
    <row r="8519" spans="3:47">
      <c r="C8519" s="20"/>
      <c r="Z8519" s="20"/>
      <c r="AG8519" s="20"/>
      <c r="AQ8519" s="19"/>
      <c r="AR8519" s="19"/>
      <c r="AS8519" s="19"/>
      <c r="AT8519" s="19"/>
      <c r="AU8519" s="19"/>
    </row>
    <row r="8520" spans="3:47">
      <c r="C8520" s="20"/>
      <c r="Z8520" s="20"/>
      <c r="AG8520" s="20"/>
      <c r="AQ8520" s="19"/>
      <c r="AR8520" s="19"/>
      <c r="AS8520" s="19"/>
      <c r="AT8520" s="19"/>
      <c r="AU8520" s="19"/>
    </row>
    <row r="8521" spans="3:47">
      <c r="C8521" s="20"/>
      <c r="Z8521" s="20"/>
      <c r="AG8521" s="20"/>
      <c r="AQ8521" s="19"/>
      <c r="AR8521" s="19"/>
      <c r="AS8521" s="19"/>
      <c r="AT8521" s="19"/>
      <c r="AU8521" s="19"/>
    </row>
    <row r="8522" spans="3:47">
      <c r="C8522" s="20"/>
      <c r="Z8522" s="20"/>
      <c r="AG8522" s="20"/>
      <c r="AQ8522" s="19"/>
      <c r="AR8522" s="19"/>
      <c r="AS8522" s="19"/>
      <c r="AT8522" s="19"/>
      <c r="AU8522" s="19"/>
    </row>
    <row r="8523" spans="3:47">
      <c r="C8523" s="20"/>
      <c r="Z8523" s="20"/>
      <c r="AG8523" s="20"/>
      <c r="AQ8523" s="19"/>
      <c r="AR8523" s="19"/>
      <c r="AS8523" s="19"/>
      <c r="AT8523" s="19"/>
      <c r="AU8523" s="19"/>
    </row>
    <row r="8524" spans="3:47">
      <c r="C8524" s="20"/>
      <c r="Z8524" s="20"/>
      <c r="AG8524" s="20"/>
      <c r="AQ8524" s="19"/>
      <c r="AR8524" s="19"/>
      <c r="AS8524" s="19"/>
      <c r="AT8524" s="19"/>
      <c r="AU8524" s="19"/>
    </row>
    <row r="8525" spans="3:47">
      <c r="C8525" s="20"/>
      <c r="Z8525" s="20"/>
      <c r="AG8525" s="20"/>
      <c r="AQ8525" s="19"/>
      <c r="AR8525" s="19"/>
      <c r="AS8525" s="19"/>
      <c r="AT8525" s="19"/>
      <c r="AU8525" s="19"/>
    </row>
    <row r="8526" spans="3:47">
      <c r="C8526" s="20"/>
      <c r="Z8526" s="20"/>
      <c r="AG8526" s="20"/>
      <c r="AQ8526" s="19"/>
      <c r="AR8526" s="19"/>
      <c r="AS8526" s="19"/>
      <c r="AT8526" s="19"/>
      <c r="AU8526" s="19"/>
    </row>
    <row r="8527" spans="3:47">
      <c r="C8527" s="20"/>
      <c r="Z8527" s="20"/>
      <c r="AG8527" s="20"/>
      <c r="AQ8527" s="19"/>
      <c r="AR8527" s="19"/>
      <c r="AS8527" s="19"/>
      <c r="AT8527" s="19"/>
      <c r="AU8527" s="19"/>
    </row>
    <row r="8528" spans="3:47">
      <c r="C8528" s="20"/>
      <c r="Z8528" s="20"/>
      <c r="AG8528" s="20"/>
      <c r="AQ8528" s="19"/>
      <c r="AR8528" s="19"/>
      <c r="AS8528" s="19"/>
      <c r="AT8528" s="19"/>
      <c r="AU8528" s="19"/>
    </row>
    <row r="8529" spans="3:47">
      <c r="C8529" s="20"/>
      <c r="Z8529" s="20"/>
      <c r="AG8529" s="20"/>
      <c r="AQ8529" s="19"/>
      <c r="AR8529" s="19"/>
      <c r="AS8529" s="19"/>
      <c r="AT8529" s="19"/>
      <c r="AU8529" s="19"/>
    </row>
    <row r="8530" spans="3:47">
      <c r="C8530" s="20"/>
      <c r="Z8530" s="20"/>
      <c r="AG8530" s="20"/>
      <c r="AQ8530" s="19"/>
      <c r="AR8530" s="19"/>
      <c r="AS8530" s="19"/>
      <c r="AT8530" s="19"/>
      <c r="AU8530" s="19"/>
    </row>
    <row r="8531" spans="3:47">
      <c r="C8531" s="20"/>
      <c r="Z8531" s="20"/>
      <c r="AG8531" s="20"/>
      <c r="AQ8531" s="19"/>
      <c r="AR8531" s="19"/>
      <c r="AS8531" s="19"/>
      <c r="AT8531" s="19"/>
      <c r="AU8531" s="19"/>
    </row>
    <row r="8532" spans="3:47">
      <c r="C8532" s="20"/>
      <c r="Z8532" s="20"/>
      <c r="AG8532" s="20"/>
      <c r="AQ8532" s="19"/>
      <c r="AR8532" s="19"/>
      <c r="AS8532" s="19"/>
      <c r="AT8532" s="19"/>
      <c r="AU8532" s="19"/>
    </row>
    <row r="8533" spans="3:47">
      <c r="C8533" s="20"/>
      <c r="Z8533" s="20"/>
      <c r="AG8533" s="20"/>
      <c r="AQ8533" s="19"/>
      <c r="AR8533" s="19"/>
      <c r="AS8533" s="19"/>
      <c r="AT8533" s="19"/>
      <c r="AU8533" s="19"/>
    </row>
    <row r="8534" spans="3:47">
      <c r="C8534" s="20"/>
      <c r="Z8534" s="20"/>
      <c r="AG8534" s="20"/>
      <c r="AQ8534" s="19"/>
      <c r="AR8534" s="19"/>
      <c r="AS8534" s="19"/>
      <c r="AT8534" s="19"/>
      <c r="AU8534" s="19"/>
    </row>
    <row r="8535" spans="3:47">
      <c r="C8535" s="20"/>
      <c r="Z8535" s="20"/>
      <c r="AG8535" s="20"/>
      <c r="AQ8535" s="19"/>
      <c r="AR8535" s="19"/>
      <c r="AS8535" s="19"/>
      <c r="AT8535" s="19"/>
      <c r="AU8535" s="19"/>
    </row>
    <row r="8536" spans="3:47">
      <c r="C8536" s="20"/>
      <c r="Z8536" s="20"/>
      <c r="AG8536" s="20"/>
      <c r="AQ8536" s="19"/>
      <c r="AR8536" s="19"/>
      <c r="AS8536" s="19"/>
      <c r="AT8536" s="19"/>
      <c r="AU8536" s="19"/>
    </row>
    <row r="8537" spans="3:47">
      <c r="C8537" s="20"/>
      <c r="Z8537" s="20"/>
      <c r="AG8537" s="20"/>
      <c r="AQ8537" s="19"/>
      <c r="AR8537" s="19"/>
      <c r="AS8537" s="19"/>
      <c r="AT8537" s="19"/>
      <c r="AU8537" s="19"/>
    </row>
    <row r="8538" spans="3:47">
      <c r="C8538" s="20"/>
      <c r="Z8538" s="20"/>
      <c r="AG8538" s="20"/>
      <c r="AQ8538" s="19"/>
      <c r="AR8538" s="19"/>
      <c r="AS8538" s="19"/>
      <c r="AT8538" s="19"/>
      <c r="AU8538" s="19"/>
    </row>
    <row r="8539" spans="3:47">
      <c r="C8539" s="20"/>
      <c r="Z8539" s="20"/>
      <c r="AG8539" s="20"/>
      <c r="AQ8539" s="19"/>
      <c r="AR8539" s="19"/>
      <c r="AS8539" s="19"/>
      <c r="AT8539" s="19"/>
      <c r="AU8539" s="19"/>
    </row>
    <row r="8540" spans="3:47">
      <c r="C8540" s="20"/>
      <c r="Z8540" s="20"/>
      <c r="AG8540" s="20"/>
      <c r="AQ8540" s="19"/>
      <c r="AR8540" s="19"/>
      <c r="AS8540" s="19"/>
      <c r="AT8540" s="19"/>
      <c r="AU8540" s="19"/>
    </row>
    <row r="8541" spans="3:47">
      <c r="C8541" s="20"/>
      <c r="Z8541" s="20"/>
      <c r="AG8541" s="20"/>
      <c r="AQ8541" s="19"/>
      <c r="AR8541" s="19"/>
      <c r="AS8541" s="19"/>
      <c r="AT8541" s="19"/>
      <c r="AU8541" s="19"/>
    </row>
    <row r="8542" spans="3:47">
      <c r="C8542" s="20"/>
      <c r="Z8542" s="20"/>
      <c r="AG8542" s="20"/>
      <c r="AQ8542" s="19"/>
      <c r="AR8542" s="19"/>
      <c r="AS8542" s="19"/>
      <c r="AT8542" s="19"/>
      <c r="AU8542" s="19"/>
    </row>
    <row r="8543" spans="3:47">
      <c r="C8543" s="20"/>
      <c r="Z8543" s="20"/>
      <c r="AG8543" s="20"/>
      <c r="AQ8543" s="19"/>
      <c r="AR8543" s="19"/>
      <c r="AS8543" s="19"/>
      <c r="AT8543" s="19"/>
      <c r="AU8543" s="19"/>
    </row>
    <row r="8544" spans="3:47">
      <c r="C8544" s="20"/>
      <c r="Z8544" s="20"/>
      <c r="AG8544" s="20"/>
      <c r="AQ8544" s="19"/>
      <c r="AR8544" s="19"/>
      <c r="AS8544" s="19"/>
      <c r="AT8544" s="19"/>
      <c r="AU8544" s="19"/>
    </row>
    <row r="8545" spans="3:47">
      <c r="C8545" s="20"/>
      <c r="Z8545" s="20"/>
      <c r="AG8545" s="20"/>
      <c r="AQ8545" s="19"/>
      <c r="AR8545" s="19"/>
      <c r="AS8545" s="19"/>
      <c r="AT8545" s="19"/>
      <c r="AU8545" s="19"/>
    </row>
    <row r="8546" spans="3:47">
      <c r="C8546" s="20"/>
      <c r="Z8546" s="20"/>
      <c r="AG8546" s="20"/>
      <c r="AQ8546" s="19"/>
      <c r="AR8546" s="19"/>
      <c r="AS8546" s="19"/>
      <c r="AT8546" s="19"/>
      <c r="AU8546" s="19"/>
    </row>
    <row r="8547" spans="3:47">
      <c r="C8547" s="20"/>
      <c r="Z8547" s="20"/>
      <c r="AG8547" s="20"/>
      <c r="AQ8547" s="19"/>
      <c r="AR8547" s="19"/>
      <c r="AS8547" s="19"/>
      <c r="AT8547" s="19"/>
      <c r="AU8547" s="19"/>
    </row>
    <row r="8548" spans="3:47">
      <c r="C8548" s="20"/>
      <c r="Z8548" s="20"/>
      <c r="AG8548" s="20"/>
      <c r="AQ8548" s="19"/>
      <c r="AR8548" s="19"/>
      <c r="AS8548" s="19"/>
      <c r="AT8548" s="19"/>
      <c r="AU8548" s="19"/>
    </row>
    <row r="8549" spans="3:47">
      <c r="C8549" s="20"/>
      <c r="Z8549" s="20"/>
      <c r="AG8549" s="20"/>
      <c r="AQ8549" s="19"/>
      <c r="AR8549" s="19"/>
      <c r="AS8549" s="19"/>
      <c r="AT8549" s="19"/>
      <c r="AU8549" s="19"/>
    </row>
    <row r="8550" spans="3:47">
      <c r="C8550" s="20"/>
      <c r="Z8550" s="20"/>
      <c r="AG8550" s="20"/>
      <c r="AQ8550" s="19"/>
      <c r="AR8550" s="19"/>
      <c r="AS8550" s="19"/>
      <c r="AT8550" s="19"/>
      <c r="AU8550" s="19"/>
    </row>
    <row r="8551" spans="3:47">
      <c r="C8551" s="20"/>
      <c r="Z8551" s="20"/>
      <c r="AG8551" s="20"/>
      <c r="AQ8551" s="19"/>
      <c r="AR8551" s="19"/>
      <c r="AS8551" s="19"/>
      <c r="AT8551" s="19"/>
      <c r="AU8551" s="19"/>
    </row>
    <row r="8552" spans="3:47">
      <c r="C8552" s="20"/>
      <c r="Z8552" s="20"/>
      <c r="AG8552" s="20"/>
      <c r="AQ8552" s="19"/>
      <c r="AR8552" s="19"/>
      <c r="AS8552" s="19"/>
      <c r="AT8552" s="19"/>
      <c r="AU8552" s="19"/>
    </row>
    <row r="8553" spans="3:47">
      <c r="C8553" s="20"/>
      <c r="Z8553" s="20"/>
      <c r="AG8553" s="20"/>
      <c r="AQ8553" s="19"/>
      <c r="AR8553" s="19"/>
      <c r="AS8553" s="19"/>
      <c r="AT8553" s="19"/>
      <c r="AU8553" s="19"/>
    </row>
    <row r="8554" spans="3:47">
      <c r="C8554" s="20"/>
      <c r="Z8554" s="20"/>
      <c r="AG8554" s="20"/>
      <c r="AQ8554" s="19"/>
      <c r="AR8554" s="19"/>
      <c r="AS8554" s="19"/>
      <c r="AT8554" s="19"/>
      <c r="AU8554" s="19"/>
    </row>
    <row r="8555" spans="3:47">
      <c r="C8555" s="20"/>
      <c r="Z8555" s="20"/>
      <c r="AG8555" s="20"/>
      <c r="AQ8555" s="19"/>
      <c r="AR8555" s="19"/>
      <c r="AS8555" s="19"/>
      <c r="AT8555" s="19"/>
      <c r="AU8555" s="19"/>
    </row>
    <row r="8556" spans="3:47">
      <c r="C8556" s="20"/>
      <c r="Z8556" s="20"/>
      <c r="AG8556" s="20"/>
      <c r="AQ8556" s="19"/>
      <c r="AR8556" s="19"/>
      <c r="AS8556" s="19"/>
      <c r="AT8556" s="19"/>
      <c r="AU8556" s="19"/>
    </row>
    <row r="8557" spans="3:47">
      <c r="C8557" s="20"/>
      <c r="Z8557" s="20"/>
      <c r="AG8557" s="20"/>
      <c r="AQ8557" s="19"/>
      <c r="AR8557" s="19"/>
      <c r="AS8557" s="19"/>
      <c r="AT8557" s="19"/>
      <c r="AU8557" s="19"/>
    </row>
    <row r="8558" spans="3:47">
      <c r="C8558" s="20"/>
      <c r="Z8558" s="20"/>
      <c r="AG8558" s="20"/>
      <c r="AQ8558" s="19"/>
      <c r="AR8558" s="19"/>
      <c r="AS8558" s="19"/>
      <c r="AT8558" s="19"/>
      <c r="AU8558" s="19"/>
    </row>
    <row r="8559" spans="3:47">
      <c r="C8559" s="20"/>
      <c r="Z8559" s="20"/>
      <c r="AG8559" s="20"/>
      <c r="AQ8559" s="19"/>
      <c r="AR8559" s="19"/>
      <c r="AS8559" s="19"/>
      <c r="AT8559" s="19"/>
      <c r="AU8559" s="19"/>
    </row>
    <row r="8560" spans="3:47">
      <c r="C8560" s="20"/>
      <c r="Z8560" s="20"/>
      <c r="AG8560" s="20"/>
      <c r="AQ8560" s="19"/>
      <c r="AR8560" s="19"/>
      <c r="AS8560" s="19"/>
      <c r="AT8560" s="19"/>
      <c r="AU8560" s="19"/>
    </row>
    <row r="8561" spans="3:47">
      <c r="C8561" s="20"/>
      <c r="Z8561" s="20"/>
      <c r="AG8561" s="20"/>
      <c r="AQ8561" s="19"/>
      <c r="AR8561" s="19"/>
      <c r="AS8561" s="19"/>
      <c r="AT8561" s="19"/>
      <c r="AU8561" s="19"/>
    </row>
    <row r="8562" spans="3:47">
      <c r="C8562" s="20"/>
      <c r="Z8562" s="20"/>
      <c r="AG8562" s="20"/>
      <c r="AQ8562" s="19"/>
      <c r="AR8562" s="19"/>
      <c r="AS8562" s="19"/>
      <c r="AT8562" s="19"/>
      <c r="AU8562" s="19"/>
    </row>
    <row r="8563" spans="3:47">
      <c r="C8563" s="20"/>
      <c r="Z8563" s="20"/>
      <c r="AG8563" s="20"/>
      <c r="AQ8563" s="19"/>
      <c r="AR8563" s="19"/>
      <c r="AS8563" s="19"/>
      <c r="AT8563" s="19"/>
      <c r="AU8563" s="19"/>
    </row>
    <row r="8564" spans="3:47">
      <c r="C8564" s="20"/>
      <c r="Z8564" s="20"/>
      <c r="AG8564" s="20"/>
      <c r="AQ8564" s="19"/>
      <c r="AR8564" s="19"/>
      <c r="AS8564" s="19"/>
      <c r="AT8564" s="19"/>
      <c r="AU8564" s="19"/>
    </row>
    <row r="8565" spans="3:47">
      <c r="C8565" s="20"/>
      <c r="Z8565" s="20"/>
      <c r="AG8565" s="20"/>
      <c r="AQ8565" s="19"/>
      <c r="AR8565" s="19"/>
      <c r="AS8565" s="19"/>
      <c r="AT8565" s="19"/>
      <c r="AU8565" s="19"/>
    </row>
    <row r="8566" spans="3:47">
      <c r="C8566" s="20"/>
      <c r="Z8566" s="20"/>
      <c r="AG8566" s="20"/>
      <c r="AQ8566" s="19"/>
      <c r="AR8566" s="19"/>
      <c r="AS8566" s="19"/>
      <c r="AT8566" s="19"/>
      <c r="AU8566" s="19"/>
    </row>
    <row r="8567" spans="3:47">
      <c r="C8567" s="20"/>
      <c r="Z8567" s="20"/>
      <c r="AG8567" s="20"/>
      <c r="AQ8567" s="19"/>
      <c r="AR8567" s="19"/>
      <c r="AS8567" s="19"/>
      <c r="AT8567" s="19"/>
      <c r="AU8567" s="19"/>
    </row>
    <row r="8568" spans="3:47">
      <c r="C8568" s="20"/>
      <c r="Z8568" s="20"/>
      <c r="AG8568" s="20"/>
      <c r="AQ8568" s="19"/>
      <c r="AR8568" s="19"/>
      <c r="AS8568" s="19"/>
      <c r="AT8568" s="19"/>
      <c r="AU8568" s="19"/>
    </row>
    <row r="8569" spans="3:47">
      <c r="C8569" s="20"/>
      <c r="Z8569" s="20"/>
      <c r="AG8569" s="20"/>
      <c r="AQ8569" s="19"/>
      <c r="AR8569" s="19"/>
      <c r="AS8569" s="19"/>
      <c r="AT8569" s="19"/>
      <c r="AU8569" s="19"/>
    </row>
    <row r="8570" spans="3:47">
      <c r="C8570" s="20"/>
      <c r="Z8570" s="20"/>
      <c r="AG8570" s="20"/>
      <c r="AQ8570" s="19"/>
      <c r="AR8570" s="19"/>
      <c r="AS8570" s="19"/>
      <c r="AT8570" s="19"/>
      <c r="AU8570" s="19"/>
    </row>
    <row r="8571" spans="3:47">
      <c r="C8571" s="20"/>
      <c r="Z8571" s="20"/>
      <c r="AG8571" s="20"/>
      <c r="AQ8571" s="19"/>
      <c r="AR8571" s="19"/>
      <c r="AS8571" s="19"/>
      <c r="AT8571" s="19"/>
      <c r="AU8571" s="19"/>
    </row>
    <row r="8572" spans="3:47">
      <c r="C8572" s="20"/>
      <c r="Z8572" s="20"/>
      <c r="AG8572" s="20"/>
      <c r="AQ8572" s="19"/>
      <c r="AR8572" s="19"/>
      <c r="AS8572" s="19"/>
      <c r="AT8572" s="19"/>
      <c r="AU8572" s="19"/>
    </row>
    <row r="8573" spans="3:47">
      <c r="C8573" s="20"/>
      <c r="Z8573" s="20"/>
      <c r="AG8573" s="20"/>
      <c r="AQ8573" s="19"/>
      <c r="AR8573" s="19"/>
      <c r="AS8573" s="19"/>
      <c r="AT8573" s="19"/>
      <c r="AU8573" s="19"/>
    </row>
    <row r="8574" spans="3:47">
      <c r="C8574" s="20"/>
      <c r="Z8574" s="20"/>
      <c r="AG8574" s="20"/>
      <c r="AQ8574" s="19"/>
      <c r="AR8574" s="19"/>
      <c r="AS8574" s="19"/>
      <c r="AT8574" s="19"/>
      <c r="AU8574" s="19"/>
    </row>
    <row r="8575" spans="3:47">
      <c r="C8575" s="20"/>
      <c r="Z8575" s="20"/>
      <c r="AG8575" s="20"/>
      <c r="AQ8575" s="19"/>
      <c r="AR8575" s="19"/>
      <c r="AS8575" s="19"/>
      <c r="AT8575" s="19"/>
      <c r="AU8575" s="19"/>
    </row>
    <row r="8576" spans="3:47">
      <c r="C8576" s="20"/>
      <c r="Z8576" s="20"/>
      <c r="AG8576" s="20"/>
      <c r="AQ8576" s="19"/>
      <c r="AR8576" s="19"/>
      <c r="AS8576" s="19"/>
      <c r="AT8576" s="19"/>
      <c r="AU8576" s="19"/>
    </row>
    <row r="8577" spans="3:47">
      <c r="C8577" s="20"/>
      <c r="Z8577" s="20"/>
      <c r="AG8577" s="20"/>
      <c r="AQ8577" s="19"/>
      <c r="AR8577" s="19"/>
      <c r="AS8577" s="19"/>
      <c r="AT8577" s="19"/>
      <c r="AU8577" s="19"/>
    </row>
    <row r="8578" spans="3:47">
      <c r="C8578" s="20"/>
      <c r="Z8578" s="20"/>
      <c r="AG8578" s="20"/>
      <c r="AQ8578" s="19"/>
      <c r="AR8578" s="19"/>
      <c r="AS8578" s="19"/>
      <c r="AT8578" s="19"/>
      <c r="AU8578" s="19"/>
    </row>
    <row r="8579" spans="3:47">
      <c r="C8579" s="20"/>
      <c r="Z8579" s="20"/>
      <c r="AG8579" s="20"/>
      <c r="AQ8579" s="19"/>
      <c r="AR8579" s="19"/>
      <c r="AS8579" s="19"/>
      <c r="AT8579" s="19"/>
      <c r="AU8579" s="19"/>
    </row>
    <row r="8580" spans="3:47">
      <c r="C8580" s="20"/>
      <c r="Z8580" s="20"/>
      <c r="AG8580" s="20"/>
      <c r="AQ8580" s="19"/>
      <c r="AR8580" s="19"/>
      <c r="AS8580" s="19"/>
      <c r="AT8580" s="19"/>
      <c r="AU8580" s="19"/>
    </row>
    <row r="8581" spans="3:47">
      <c r="C8581" s="20"/>
      <c r="Z8581" s="20"/>
      <c r="AG8581" s="20"/>
      <c r="AQ8581" s="19"/>
      <c r="AR8581" s="19"/>
      <c r="AS8581" s="19"/>
      <c r="AT8581" s="19"/>
      <c r="AU8581" s="19"/>
    </row>
    <row r="8582" spans="3:47">
      <c r="C8582" s="20"/>
      <c r="Z8582" s="20"/>
      <c r="AG8582" s="20"/>
      <c r="AQ8582" s="19"/>
      <c r="AR8582" s="19"/>
      <c r="AS8582" s="19"/>
      <c r="AT8582" s="19"/>
      <c r="AU8582" s="19"/>
    </row>
    <row r="8583" spans="3:47">
      <c r="C8583" s="20"/>
      <c r="Z8583" s="20"/>
      <c r="AG8583" s="20"/>
      <c r="AQ8583" s="19"/>
      <c r="AR8583" s="19"/>
      <c r="AS8583" s="19"/>
      <c r="AT8583" s="19"/>
      <c r="AU8583" s="19"/>
    </row>
    <row r="8584" spans="3:47">
      <c r="C8584" s="20"/>
      <c r="Z8584" s="20"/>
      <c r="AG8584" s="20"/>
      <c r="AQ8584" s="19"/>
      <c r="AR8584" s="19"/>
      <c r="AS8584" s="19"/>
      <c r="AT8584" s="19"/>
      <c r="AU8584" s="19"/>
    </row>
    <row r="8585" spans="3:47">
      <c r="C8585" s="20"/>
      <c r="Z8585" s="20"/>
      <c r="AG8585" s="20"/>
      <c r="AQ8585" s="19"/>
      <c r="AR8585" s="19"/>
      <c r="AS8585" s="19"/>
      <c r="AT8585" s="19"/>
      <c r="AU8585" s="19"/>
    </row>
    <row r="8586" spans="3:47">
      <c r="C8586" s="20"/>
      <c r="Z8586" s="20"/>
      <c r="AG8586" s="20"/>
      <c r="AQ8586" s="19"/>
      <c r="AR8586" s="19"/>
      <c r="AS8586" s="19"/>
      <c r="AT8586" s="19"/>
      <c r="AU8586" s="19"/>
    </row>
    <row r="8587" spans="3:47">
      <c r="C8587" s="20"/>
      <c r="Z8587" s="20"/>
      <c r="AG8587" s="20"/>
      <c r="AQ8587" s="19"/>
      <c r="AR8587" s="19"/>
      <c r="AS8587" s="19"/>
      <c r="AT8587" s="19"/>
      <c r="AU8587" s="19"/>
    </row>
    <row r="8588" spans="3:47">
      <c r="C8588" s="20"/>
      <c r="Z8588" s="20"/>
      <c r="AG8588" s="20"/>
      <c r="AQ8588" s="19"/>
      <c r="AR8588" s="19"/>
      <c r="AS8588" s="19"/>
      <c r="AT8588" s="19"/>
      <c r="AU8588" s="19"/>
    </row>
    <row r="8589" spans="3:47">
      <c r="C8589" s="20"/>
      <c r="Z8589" s="20"/>
      <c r="AG8589" s="20"/>
      <c r="AQ8589" s="19"/>
      <c r="AR8589" s="19"/>
      <c r="AS8589" s="19"/>
      <c r="AT8589" s="19"/>
      <c r="AU8589" s="19"/>
    </row>
    <row r="8590" spans="3:47">
      <c r="C8590" s="20"/>
      <c r="Z8590" s="20"/>
      <c r="AG8590" s="20"/>
      <c r="AQ8590" s="19"/>
      <c r="AR8590" s="19"/>
      <c r="AS8590" s="19"/>
      <c r="AT8590" s="19"/>
      <c r="AU8590" s="19"/>
    </row>
    <row r="8591" spans="3:47">
      <c r="C8591" s="20"/>
      <c r="Z8591" s="20"/>
      <c r="AG8591" s="20"/>
      <c r="AQ8591" s="19"/>
      <c r="AR8591" s="19"/>
      <c r="AS8591" s="19"/>
      <c r="AT8591" s="19"/>
      <c r="AU8591" s="19"/>
    </row>
    <row r="8592" spans="3:47">
      <c r="C8592" s="20"/>
      <c r="Z8592" s="20"/>
      <c r="AG8592" s="20"/>
      <c r="AQ8592" s="19"/>
      <c r="AR8592" s="19"/>
      <c r="AS8592" s="19"/>
      <c r="AT8592" s="19"/>
      <c r="AU8592" s="19"/>
    </row>
    <row r="8593" spans="3:47">
      <c r="C8593" s="20"/>
      <c r="Z8593" s="20"/>
      <c r="AG8593" s="20"/>
      <c r="AQ8593" s="19"/>
      <c r="AR8593" s="19"/>
      <c r="AS8593" s="19"/>
      <c r="AT8593" s="19"/>
      <c r="AU8593" s="19"/>
    </row>
    <row r="8594" spans="3:47">
      <c r="C8594" s="20"/>
      <c r="Z8594" s="20"/>
      <c r="AG8594" s="20"/>
      <c r="AQ8594" s="19"/>
      <c r="AR8594" s="19"/>
      <c r="AS8594" s="19"/>
      <c r="AT8594" s="19"/>
      <c r="AU8594" s="19"/>
    </row>
    <row r="8595" spans="3:47">
      <c r="C8595" s="20"/>
      <c r="Z8595" s="20"/>
      <c r="AG8595" s="20"/>
      <c r="AQ8595" s="19"/>
      <c r="AR8595" s="19"/>
      <c r="AS8595" s="19"/>
      <c r="AT8595" s="19"/>
      <c r="AU8595" s="19"/>
    </row>
    <row r="8596" spans="3:47">
      <c r="C8596" s="20"/>
      <c r="Z8596" s="20"/>
      <c r="AG8596" s="20"/>
      <c r="AQ8596" s="19"/>
      <c r="AR8596" s="19"/>
      <c r="AS8596" s="19"/>
      <c r="AT8596" s="19"/>
      <c r="AU8596" s="19"/>
    </row>
    <row r="8597" spans="3:47">
      <c r="C8597" s="20"/>
      <c r="Z8597" s="20"/>
      <c r="AG8597" s="20"/>
      <c r="AQ8597" s="19"/>
      <c r="AR8597" s="19"/>
      <c r="AS8597" s="19"/>
      <c r="AT8597" s="19"/>
      <c r="AU8597" s="19"/>
    </row>
    <row r="8598" spans="3:47">
      <c r="C8598" s="20"/>
      <c r="Z8598" s="20"/>
      <c r="AG8598" s="20"/>
      <c r="AQ8598" s="19"/>
      <c r="AR8598" s="19"/>
      <c r="AS8598" s="19"/>
      <c r="AT8598" s="19"/>
      <c r="AU8598" s="19"/>
    </row>
    <row r="8599" spans="3:47">
      <c r="C8599" s="20"/>
      <c r="Z8599" s="20"/>
      <c r="AG8599" s="20"/>
      <c r="AQ8599" s="19"/>
      <c r="AR8599" s="19"/>
      <c r="AS8599" s="19"/>
      <c r="AT8599" s="19"/>
      <c r="AU8599" s="19"/>
    </row>
    <row r="8600" spans="3:47">
      <c r="C8600" s="20"/>
      <c r="Z8600" s="20"/>
      <c r="AG8600" s="20"/>
      <c r="AQ8600" s="19"/>
      <c r="AR8600" s="19"/>
      <c r="AS8600" s="19"/>
      <c r="AT8600" s="19"/>
      <c r="AU8600" s="19"/>
    </row>
    <row r="8601" spans="3:47">
      <c r="C8601" s="20"/>
      <c r="Z8601" s="20"/>
      <c r="AG8601" s="20"/>
      <c r="AQ8601" s="19"/>
      <c r="AR8601" s="19"/>
      <c r="AS8601" s="19"/>
      <c r="AT8601" s="19"/>
      <c r="AU8601" s="19"/>
    </row>
    <row r="8602" spans="3:47">
      <c r="C8602" s="20"/>
      <c r="Z8602" s="20"/>
      <c r="AG8602" s="20"/>
      <c r="AQ8602" s="19"/>
      <c r="AR8602" s="19"/>
      <c r="AS8602" s="19"/>
      <c r="AT8602" s="19"/>
      <c r="AU8602" s="19"/>
    </row>
    <row r="8603" spans="3:47">
      <c r="C8603" s="20"/>
      <c r="Z8603" s="20"/>
      <c r="AG8603" s="20"/>
      <c r="AQ8603" s="19"/>
      <c r="AR8603" s="19"/>
      <c r="AS8603" s="19"/>
      <c r="AT8603" s="19"/>
      <c r="AU8603" s="19"/>
    </row>
    <row r="8604" spans="3:47">
      <c r="C8604" s="20"/>
      <c r="Z8604" s="20"/>
      <c r="AG8604" s="20"/>
      <c r="AQ8604" s="19"/>
      <c r="AR8604" s="19"/>
      <c r="AS8604" s="19"/>
      <c r="AT8604" s="19"/>
      <c r="AU8604" s="19"/>
    </row>
    <row r="8605" spans="3:47">
      <c r="C8605" s="20"/>
      <c r="Z8605" s="20"/>
      <c r="AG8605" s="20"/>
      <c r="AQ8605" s="19"/>
      <c r="AR8605" s="19"/>
      <c r="AS8605" s="19"/>
      <c r="AT8605" s="19"/>
      <c r="AU8605" s="19"/>
    </row>
    <row r="8606" spans="3:47">
      <c r="C8606" s="20"/>
      <c r="Z8606" s="20"/>
      <c r="AG8606" s="20"/>
      <c r="AQ8606" s="19"/>
      <c r="AR8606" s="19"/>
      <c r="AS8606" s="19"/>
      <c r="AT8606" s="19"/>
      <c r="AU8606" s="19"/>
    </row>
    <row r="8607" spans="3:47">
      <c r="C8607" s="20"/>
      <c r="Z8607" s="20"/>
      <c r="AG8607" s="20"/>
      <c r="AQ8607" s="19"/>
      <c r="AR8607" s="19"/>
      <c r="AS8607" s="19"/>
      <c r="AT8607" s="19"/>
      <c r="AU8607" s="19"/>
    </row>
    <row r="8608" spans="3:47">
      <c r="C8608" s="20"/>
      <c r="Z8608" s="20"/>
      <c r="AG8608" s="20"/>
      <c r="AQ8608" s="19"/>
      <c r="AR8608" s="19"/>
      <c r="AS8608" s="19"/>
      <c r="AT8608" s="19"/>
      <c r="AU8608" s="19"/>
    </row>
    <row r="8609" spans="3:47">
      <c r="C8609" s="20"/>
      <c r="Z8609" s="20"/>
      <c r="AG8609" s="20"/>
      <c r="AQ8609" s="19"/>
      <c r="AR8609" s="19"/>
      <c r="AS8609" s="19"/>
      <c r="AT8609" s="19"/>
      <c r="AU8609" s="19"/>
    </row>
    <row r="8610" spans="3:47">
      <c r="C8610" s="20"/>
      <c r="Z8610" s="20"/>
      <c r="AG8610" s="20"/>
      <c r="AQ8610" s="19"/>
      <c r="AR8610" s="19"/>
      <c r="AS8610" s="19"/>
      <c r="AT8610" s="19"/>
      <c r="AU8610" s="19"/>
    </row>
    <row r="8611" spans="3:47">
      <c r="C8611" s="20"/>
      <c r="Z8611" s="20"/>
      <c r="AG8611" s="20"/>
      <c r="AQ8611" s="19"/>
      <c r="AR8611" s="19"/>
      <c r="AS8611" s="19"/>
      <c r="AT8611" s="19"/>
      <c r="AU8611" s="19"/>
    </row>
    <row r="8612" spans="3:47">
      <c r="C8612" s="20"/>
      <c r="Z8612" s="20"/>
      <c r="AG8612" s="20"/>
      <c r="AQ8612" s="19"/>
      <c r="AR8612" s="19"/>
      <c r="AS8612" s="19"/>
      <c r="AT8612" s="19"/>
      <c r="AU8612" s="19"/>
    </row>
    <row r="8613" spans="3:47">
      <c r="C8613" s="20"/>
      <c r="Z8613" s="20"/>
      <c r="AG8613" s="20"/>
      <c r="AQ8613" s="19"/>
      <c r="AR8613" s="19"/>
      <c r="AS8613" s="19"/>
      <c r="AT8613" s="19"/>
      <c r="AU8613" s="19"/>
    </row>
    <row r="8614" spans="3:47">
      <c r="C8614" s="20"/>
      <c r="Z8614" s="20"/>
      <c r="AG8614" s="20"/>
      <c r="AQ8614" s="19"/>
      <c r="AR8614" s="19"/>
      <c r="AS8614" s="19"/>
      <c r="AT8614" s="19"/>
      <c r="AU8614" s="19"/>
    </row>
    <row r="8615" spans="3:47">
      <c r="C8615" s="20"/>
      <c r="Z8615" s="20"/>
      <c r="AG8615" s="20"/>
      <c r="AQ8615" s="19"/>
      <c r="AR8615" s="19"/>
      <c r="AS8615" s="19"/>
      <c r="AT8615" s="19"/>
      <c r="AU8615" s="19"/>
    </row>
    <row r="8616" spans="3:47">
      <c r="C8616" s="20"/>
      <c r="Z8616" s="20"/>
      <c r="AG8616" s="20"/>
      <c r="AQ8616" s="19"/>
      <c r="AR8616" s="19"/>
      <c r="AS8616" s="19"/>
      <c r="AT8616" s="19"/>
      <c r="AU8616" s="19"/>
    </row>
    <row r="8617" spans="3:47">
      <c r="C8617" s="20"/>
      <c r="Z8617" s="20"/>
      <c r="AG8617" s="20"/>
      <c r="AQ8617" s="19"/>
      <c r="AR8617" s="19"/>
      <c r="AS8617" s="19"/>
      <c r="AT8617" s="19"/>
      <c r="AU8617" s="19"/>
    </row>
    <row r="8618" spans="3:47">
      <c r="C8618" s="20"/>
      <c r="Z8618" s="20"/>
      <c r="AG8618" s="20"/>
      <c r="AQ8618" s="19"/>
      <c r="AR8618" s="19"/>
      <c r="AS8618" s="19"/>
      <c r="AT8618" s="19"/>
      <c r="AU8618" s="19"/>
    </row>
    <row r="8619" spans="3:47">
      <c r="C8619" s="20"/>
      <c r="Z8619" s="20"/>
      <c r="AG8619" s="20"/>
      <c r="AQ8619" s="19"/>
      <c r="AR8619" s="19"/>
      <c r="AS8619" s="19"/>
      <c r="AT8619" s="19"/>
      <c r="AU8619" s="19"/>
    </row>
    <row r="8620" spans="3:47">
      <c r="C8620" s="20"/>
      <c r="Z8620" s="20"/>
      <c r="AG8620" s="20"/>
      <c r="AQ8620" s="19"/>
      <c r="AR8620" s="19"/>
      <c r="AS8620" s="19"/>
      <c r="AT8620" s="19"/>
      <c r="AU8620" s="19"/>
    </row>
    <row r="8621" spans="3:47">
      <c r="C8621" s="20"/>
      <c r="Z8621" s="20"/>
      <c r="AG8621" s="20"/>
      <c r="AQ8621" s="19"/>
      <c r="AR8621" s="19"/>
      <c r="AS8621" s="19"/>
      <c r="AT8621" s="19"/>
      <c r="AU8621" s="19"/>
    </row>
    <row r="8622" spans="3:47">
      <c r="C8622" s="20"/>
      <c r="Z8622" s="20"/>
      <c r="AG8622" s="20"/>
      <c r="AQ8622" s="19"/>
      <c r="AR8622" s="19"/>
      <c r="AS8622" s="19"/>
      <c r="AT8622" s="19"/>
      <c r="AU8622" s="19"/>
    </row>
    <row r="8623" spans="3:47">
      <c r="C8623" s="20"/>
      <c r="Z8623" s="20"/>
      <c r="AG8623" s="20"/>
      <c r="AQ8623" s="19"/>
      <c r="AR8623" s="19"/>
      <c r="AS8623" s="19"/>
      <c r="AT8623" s="19"/>
      <c r="AU8623" s="19"/>
    </row>
    <row r="8624" spans="3:47">
      <c r="C8624" s="20"/>
      <c r="Z8624" s="20"/>
      <c r="AG8624" s="20"/>
      <c r="AQ8624" s="19"/>
      <c r="AR8624" s="19"/>
      <c r="AS8624" s="19"/>
      <c r="AT8624" s="19"/>
      <c r="AU8624" s="19"/>
    </row>
    <row r="8625" spans="3:47">
      <c r="C8625" s="20"/>
      <c r="Z8625" s="20"/>
      <c r="AG8625" s="20"/>
      <c r="AQ8625" s="19"/>
      <c r="AR8625" s="19"/>
      <c r="AS8625" s="19"/>
      <c r="AT8625" s="19"/>
      <c r="AU8625" s="19"/>
    </row>
    <row r="8626" spans="3:47">
      <c r="C8626" s="20"/>
      <c r="Z8626" s="20"/>
      <c r="AG8626" s="20"/>
      <c r="AQ8626" s="19"/>
      <c r="AR8626" s="19"/>
      <c r="AS8626" s="19"/>
      <c r="AT8626" s="19"/>
      <c r="AU8626" s="19"/>
    </row>
    <row r="8627" spans="3:47">
      <c r="C8627" s="20"/>
      <c r="Z8627" s="20"/>
      <c r="AG8627" s="20"/>
      <c r="AQ8627" s="19"/>
      <c r="AR8627" s="19"/>
      <c r="AS8627" s="19"/>
      <c r="AT8627" s="19"/>
      <c r="AU8627" s="19"/>
    </row>
    <row r="8628" spans="3:47">
      <c r="C8628" s="20"/>
      <c r="Z8628" s="20"/>
      <c r="AG8628" s="20"/>
      <c r="AQ8628" s="19"/>
      <c r="AR8628" s="19"/>
      <c r="AS8628" s="19"/>
      <c r="AT8628" s="19"/>
      <c r="AU8628" s="19"/>
    </row>
    <row r="8629" spans="3:47">
      <c r="C8629" s="20"/>
      <c r="Z8629" s="20"/>
      <c r="AG8629" s="20"/>
      <c r="AQ8629" s="19"/>
      <c r="AR8629" s="19"/>
      <c r="AS8629" s="19"/>
      <c r="AT8629" s="19"/>
      <c r="AU8629" s="19"/>
    </row>
    <row r="8630" spans="3:47">
      <c r="C8630" s="20"/>
      <c r="Z8630" s="20"/>
      <c r="AG8630" s="20"/>
      <c r="AQ8630" s="19"/>
      <c r="AR8630" s="19"/>
      <c r="AS8630" s="19"/>
      <c r="AT8630" s="19"/>
      <c r="AU8630" s="19"/>
    </row>
    <row r="8631" spans="3:47">
      <c r="C8631" s="20"/>
      <c r="Z8631" s="20"/>
      <c r="AG8631" s="20"/>
      <c r="AQ8631" s="19"/>
      <c r="AR8631" s="19"/>
      <c r="AS8631" s="19"/>
      <c r="AT8631" s="19"/>
      <c r="AU8631" s="19"/>
    </row>
    <row r="8632" spans="3:47">
      <c r="C8632" s="20"/>
      <c r="Z8632" s="20"/>
      <c r="AG8632" s="20"/>
      <c r="AQ8632" s="19"/>
      <c r="AR8632" s="19"/>
      <c r="AS8632" s="19"/>
      <c r="AT8632" s="19"/>
      <c r="AU8632" s="19"/>
    </row>
    <row r="8633" spans="3:47">
      <c r="C8633" s="20"/>
      <c r="Z8633" s="20"/>
      <c r="AG8633" s="20"/>
      <c r="AQ8633" s="19"/>
      <c r="AR8633" s="19"/>
      <c r="AS8633" s="19"/>
      <c r="AT8633" s="19"/>
      <c r="AU8633" s="19"/>
    </row>
    <row r="8634" spans="3:47">
      <c r="C8634" s="20"/>
      <c r="Z8634" s="20"/>
      <c r="AG8634" s="20"/>
      <c r="AQ8634" s="19"/>
      <c r="AR8634" s="19"/>
      <c r="AS8634" s="19"/>
      <c r="AT8634" s="19"/>
      <c r="AU8634" s="19"/>
    </row>
    <row r="8635" spans="3:47">
      <c r="C8635" s="20"/>
      <c r="Z8635" s="20"/>
      <c r="AG8635" s="20"/>
      <c r="AQ8635" s="19"/>
      <c r="AR8635" s="19"/>
      <c r="AS8635" s="19"/>
      <c r="AT8635" s="19"/>
      <c r="AU8635" s="19"/>
    </row>
    <row r="8636" spans="3:47">
      <c r="C8636" s="20"/>
      <c r="Z8636" s="20"/>
      <c r="AG8636" s="20"/>
      <c r="AQ8636" s="19"/>
      <c r="AR8636" s="19"/>
      <c r="AS8636" s="19"/>
      <c r="AT8636" s="19"/>
      <c r="AU8636" s="19"/>
    </row>
    <row r="8637" spans="3:47">
      <c r="C8637" s="20"/>
      <c r="Z8637" s="20"/>
      <c r="AG8637" s="20"/>
      <c r="AQ8637" s="19"/>
      <c r="AR8637" s="19"/>
      <c r="AS8637" s="19"/>
      <c r="AT8637" s="19"/>
      <c r="AU8637" s="19"/>
    </row>
    <row r="8638" spans="3:47">
      <c r="C8638" s="20"/>
      <c r="Z8638" s="20"/>
      <c r="AG8638" s="20"/>
      <c r="AQ8638" s="19"/>
      <c r="AR8638" s="19"/>
      <c r="AS8638" s="19"/>
      <c r="AT8638" s="19"/>
      <c r="AU8638" s="19"/>
    </row>
    <row r="8639" spans="3:47">
      <c r="C8639" s="20"/>
      <c r="Z8639" s="20"/>
      <c r="AG8639" s="20"/>
      <c r="AQ8639" s="19"/>
      <c r="AR8639" s="19"/>
      <c r="AS8639" s="19"/>
      <c r="AT8639" s="19"/>
      <c r="AU8639" s="19"/>
    </row>
    <row r="8640" spans="3:47">
      <c r="C8640" s="20"/>
      <c r="Z8640" s="20"/>
      <c r="AG8640" s="20"/>
      <c r="AQ8640" s="19"/>
      <c r="AR8640" s="19"/>
      <c r="AS8640" s="19"/>
      <c r="AT8640" s="19"/>
      <c r="AU8640" s="19"/>
    </row>
    <row r="8641" spans="3:47">
      <c r="C8641" s="20"/>
      <c r="Z8641" s="20"/>
      <c r="AG8641" s="20"/>
      <c r="AQ8641" s="19"/>
      <c r="AR8641" s="19"/>
      <c r="AS8641" s="19"/>
      <c r="AT8641" s="19"/>
      <c r="AU8641" s="19"/>
    </row>
    <row r="8642" spans="3:47">
      <c r="C8642" s="20"/>
      <c r="Z8642" s="20"/>
      <c r="AG8642" s="20"/>
      <c r="AQ8642" s="19"/>
      <c r="AR8642" s="19"/>
      <c r="AS8642" s="19"/>
      <c r="AT8642" s="19"/>
      <c r="AU8642" s="19"/>
    </row>
    <row r="8643" spans="3:47">
      <c r="C8643" s="20"/>
      <c r="Z8643" s="20"/>
      <c r="AG8643" s="20"/>
      <c r="AQ8643" s="19"/>
      <c r="AR8643" s="19"/>
      <c r="AS8643" s="19"/>
      <c r="AT8643" s="19"/>
      <c r="AU8643" s="19"/>
    </row>
    <row r="8644" spans="3:47">
      <c r="C8644" s="20"/>
      <c r="Z8644" s="20"/>
      <c r="AG8644" s="20"/>
      <c r="AQ8644" s="19"/>
      <c r="AR8644" s="19"/>
      <c r="AS8644" s="19"/>
      <c r="AT8644" s="19"/>
      <c r="AU8644" s="19"/>
    </row>
    <row r="8645" spans="3:47">
      <c r="C8645" s="20"/>
      <c r="Z8645" s="20"/>
      <c r="AG8645" s="20"/>
      <c r="AQ8645" s="19"/>
      <c r="AR8645" s="19"/>
      <c r="AS8645" s="19"/>
      <c r="AT8645" s="19"/>
      <c r="AU8645" s="19"/>
    </row>
    <row r="8646" spans="3:47">
      <c r="C8646" s="20"/>
      <c r="Z8646" s="20"/>
      <c r="AG8646" s="20"/>
      <c r="AQ8646" s="19"/>
      <c r="AR8646" s="19"/>
      <c r="AS8646" s="19"/>
      <c r="AT8646" s="19"/>
      <c r="AU8646" s="19"/>
    </row>
    <row r="8647" spans="3:47">
      <c r="C8647" s="20"/>
      <c r="Z8647" s="20"/>
      <c r="AG8647" s="20"/>
      <c r="AQ8647" s="19"/>
      <c r="AR8647" s="19"/>
      <c r="AS8647" s="19"/>
      <c r="AT8647" s="19"/>
      <c r="AU8647" s="19"/>
    </row>
    <row r="8648" spans="3:47">
      <c r="C8648" s="20"/>
      <c r="Z8648" s="20"/>
      <c r="AG8648" s="20"/>
      <c r="AQ8648" s="19"/>
      <c r="AR8648" s="19"/>
      <c r="AS8648" s="19"/>
      <c r="AT8648" s="19"/>
      <c r="AU8648" s="19"/>
    </row>
    <row r="8649" spans="3:47">
      <c r="C8649" s="20"/>
      <c r="Z8649" s="20"/>
      <c r="AG8649" s="20"/>
      <c r="AQ8649" s="19"/>
      <c r="AR8649" s="19"/>
      <c r="AS8649" s="19"/>
      <c r="AT8649" s="19"/>
      <c r="AU8649" s="19"/>
    </row>
    <row r="8650" spans="3:47">
      <c r="C8650" s="20"/>
      <c r="Z8650" s="20"/>
      <c r="AG8650" s="20"/>
      <c r="AQ8650" s="19"/>
      <c r="AR8650" s="19"/>
      <c r="AS8650" s="19"/>
      <c r="AT8650" s="19"/>
      <c r="AU8650" s="19"/>
    </row>
    <row r="8651" spans="3:47">
      <c r="C8651" s="20"/>
      <c r="Z8651" s="20"/>
      <c r="AG8651" s="20"/>
      <c r="AQ8651" s="19"/>
      <c r="AR8651" s="19"/>
      <c r="AS8651" s="19"/>
      <c r="AT8651" s="19"/>
      <c r="AU8651" s="19"/>
    </row>
    <row r="8652" spans="3:47">
      <c r="C8652" s="20"/>
      <c r="Z8652" s="20"/>
      <c r="AG8652" s="20"/>
      <c r="AQ8652" s="19"/>
      <c r="AR8652" s="19"/>
      <c r="AS8652" s="19"/>
      <c r="AT8652" s="19"/>
      <c r="AU8652" s="19"/>
    </row>
    <row r="8653" spans="3:47">
      <c r="C8653" s="20"/>
      <c r="Z8653" s="20"/>
      <c r="AG8653" s="20"/>
      <c r="AQ8653" s="19"/>
      <c r="AR8653" s="19"/>
      <c r="AS8653" s="19"/>
      <c r="AT8653" s="19"/>
      <c r="AU8653" s="19"/>
    </row>
    <row r="8654" spans="3:47">
      <c r="C8654" s="20"/>
      <c r="Z8654" s="20"/>
      <c r="AG8654" s="20"/>
      <c r="AQ8654" s="19"/>
      <c r="AR8654" s="19"/>
      <c r="AS8654" s="19"/>
      <c r="AT8654" s="19"/>
      <c r="AU8654" s="19"/>
    </row>
    <row r="8655" spans="3:47">
      <c r="C8655" s="20"/>
      <c r="Z8655" s="20"/>
      <c r="AG8655" s="20"/>
      <c r="AQ8655" s="19"/>
      <c r="AR8655" s="19"/>
      <c r="AS8655" s="19"/>
      <c r="AT8655" s="19"/>
      <c r="AU8655" s="19"/>
    </row>
    <row r="8656" spans="3:47">
      <c r="C8656" s="20"/>
      <c r="Z8656" s="20"/>
      <c r="AG8656" s="20"/>
      <c r="AQ8656" s="19"/>
      <c r="AR8656" s="19"/>
      <c r="AS8656" s="19"/>
      <c r="AT8656" s="19"/>
      <c r="AU8656" s="19"/>
    </row>
    <row r="8657" spans="3:47">
      <c r="C8657" s="20"/>
      <c r="Z8657" s="20"/>
      <c r="AG8657" s="20"/>
      <c r="AQ8657" s="19"/>
      <c r="AR8657" s="19"/>
      <c r="AS8657" s="19"/>
      <c r="AT8657" s="19"/>
      <c r="AU8657" s="19"/>
    </row>
    <row r="8658" spans="3:47">
      <c r="C8658" s="20"/>
      <c r="Z8658" s="20"/>
      <c r="AG8658" s="20"/>
      <c r="AQ8658" s="19"/>
      <c r="AR8658" s="19"/>
      <c r="AS8658" s="19"/>
      <c r="AT8658" s="19"/>
      <c r="AU8658" s="19"/>
    </row>
    <row r="8659" spans="3:47">
      <c r="C8659" s="20"/>
      <c r="Z8659" s="20"/>
      <c r="AG8659" s="20"/>
      <c r="AQ8659" s="19"/>
      <c r="AR8659" s="19"/>
      <c r="AS8659" s="19"/>
      <c r="AT8659" s="19"/>
      <c r="AU8659" s="19"/>
    </row>
    <row r="8660" spans="3:47">
      <c r="C8660" s="20"/>
      <c r="Z8660" s="20"/>
      <c r="AG8660" s="20"/>
      <c r="AQ8660" s="19"/>
      <c r="AR8660" s="19"/>
      <c r="AS8660" s="19"/>
      <c r="AT8660" s="19"/>
      <c r="AU8660" s="19"/>
    </row>
    <row r="8661" spans="3:47">
      <c r="C8661" s="20"/>
      <c r="Z8661" s="20"/>
      <c r="AG8661" s="20"/>
      <c r="AQ8661" s="19"/>
      <c r="AR8661" s="19"/>
      <c r="AS8661" s="19"/>
      <c r="AT8661" s="19"/>
      <c r="AU8661" s="19"/>
    </row>
    <row r="8662" spans="3:47">
      <c r="C8662" s="20"/>
      <c r="Z8662" s="20"/>
      <c r="AG8662" s="20"/>
      <c r="AQ8662" s="19"/>
      <c r="AR8662" s="19"/>
      <c r="AS8662" s="19"/>
      <c r="AT8662" s="19"/>
      <c r="AU8662" s="19"/>
    </row>
    <row r="8663" spans="3:47">
      <c r="C8663" s="20"/>
      <c r="Z8663" s="20"/>
      <c r="AG8663" s="20"/>
      <c r="AQ8663" s="19"/>
      <c r="AR8663" s="19"/>
      <c r="AS8663" s="19"/>
      <c r="AT8663" s="19"/>
      <c r="AU8663" s="19"/>
    </row>
    <row r="8664" spans="3:47">
      <c r="C8664" s="20"/>
      <c r="Z8664" s="20"/>
      <c r="AG8664" s="20"/>
      <c r="AQ8664" s="19"/>
      <c r="AR8664" s="19"/>
      <c r="AS8664" s="19"/>
      <c r="AT8664" s="19"/>
      <c r="AU8664" s="19"/>
    </row>
    <row r="8665" spans="3:47">
      <c r="C8665" s="20"/>
      <c r="Z8665" s="20"/>
      <c r="AG8665" s="20"/>
      <c r="AQ8665" s="19"/>
      <c r="AR8665" s="19"/>
      <c r="AS8665" s="19"/>
      <c r="AT8665" s="19"/>
      <c r="AU8665" s="19"/>
    </row>
    <row r="8666" spans="3:47">
      <c r="C8666" s="20"/>
      <c r="Z8666" s="20"/>
      <c r="AG8666" s="20"/>
      <c r="AQ8666" s="19"/>
      <c r="AR8666" s="19"/>
      <c r="AS8666" s="19"/>
      <c r="AT8666" s="19"/>
      <c r="AU8666" s="19"/>
    </row>
    <row r="8667" spans="3:47">
      <c r="C8667" s="20"/>
      <c r="Z8667" s="20"/>
      <c r="AG8667" s="20"/>
      <c r="AQ8667" s="19"/>
      <c r="AR8667" s="19"/>
      <c r="AS8667" s="19"/>
      <c r="AT8667" s="19"/>
      <c r="AU8667" s="19"/>
    </row>
    <row r="8668" spans="3:47">
      <c r="C8668" s="20"/>
      <c r="Z8668" s="20"/>
      <c r="AG8668" s="20"/>
      <c r="AQ8668" s="19"/>
      <c r="AR8668" s="19"/>
      <c r="AS8668" s="19"/>
      <c r="AT8668" s="19"/>
      <c r="AU8668" s="19"/>
    </row>
    <row r="8669" spans="3:47">
      <c r="C8669" s="20"/>
      <c r="Z8669" s="20"/>
      <c r="AG8669" s="20"/>
      <c r="AQ8669" s="19"/>
      <c r="AR8669" s="19"/>
      <c r="AS8669" s="19"/>
      <c r="AT8669" s="19"/>
      <c r="AU8669" s="19"/>
    </row>
    <row r="8670" spans="3:47">
      <c r="C8670" s="20"/>
      <c r="Z8670" s="20"/>
      <c r="AG8670" s="20"/>
      <c r="AQ8670" s="19"/>
      <c r="AR8670" s="19"/>
      <c r="AS8670" s="19"/>
      <c r="AT8670" s="19"/>
      <c r="AU8670" s="19"/>
    </row>
    <row r="8671" spans="3:47">
      <c r="C8671" s="20"/>
      <c r="Z8671" s="20"/>
      <c r="AG8671" s="20"/>
      <c r="AQ8671" s="19"/>
      <c r="AR8671" s="19"/>
      <c r="AS8671" s="19"/>
      <c r="AT8671" s="19"/>
      <c r="AU8671" s="19"/>
    </row>
    <row r="8672" spans="3:47">
      <c r="C8672" s="20"/>
      <c r="Z8672" s="20"/>
      <c r="AG8672" s="20"/>
      <c r="AQ8672" s="19"/>
      <c r="AR8672" s="19"/>
      <c r="AS8672" s="19"/>
      <c r="AT8672" s="19"/>
      <c r="AU8672" s="19"/>
    </row>
    <row r="8673" spans="3:47">
      <c r="C8673" s="20"/>
      <c r="Z8673" s="20"/>
      <c r="AG8673" s="20"/>
      <c r="AQ8673" s="19"/>
      <c r="AR8673" s="19"/>
      <c r="AS8673" s="19"/>
      <c r="AT8673" s="19"/>
      <c r="AU8673" s="19"/>
    </row>
    <row r="8674" spans="3:47">
      <c r="C8674" s="20"/>
      <c r="Z8674" s="20"/>
      <c r="AG8674" s="20"/>
      <c r="AQ8674" s="19"/>
      <c r="AR8674" s="19"/>
      <c r="AS8674" s="19"/>
      <c r="AT8674" s="19"/>
      <c r="AU8674" s="19"/>
    </row>
    <row r="8675" spans="3:47">
      <c r="C8675" s="20"/>
      <c r="Z8675" s="20"/>
      <c r="AG8675" s="20"/>
      <c r="AQ8675" s="19"/>
      <c r="AR8675" s="19"/>
      <c r="AS8675" s="19"/>
      <c r="AT8675" s="19"/>
      <c r="AU8675" s="19"/>
    </row>
    <row r="8676" spans="3:47">
      <c r="C8676" s="20"/>
      <c r="Z8676" s="20"/>
      <c r="AG8676" s="20"/>
      <c r="AQ8676" s="19"/>
      <c r="AR8676" s="19"/>
      <c r="AS8676" s="19"/>
      <c r="AT8676" s="19"/>
      <c r="AU8676" s="19"/>
    </row>
    <row r="8677" spans="3:47">
      <c r="C8677" s="20"/>
      <c r="Z8677" s="20"/>
      <c r="AG8677" s="20"/>
      <c r="AQ8677" s="19"/>
      <c r="AR8677" s="19"/>
      <c r="AS8677" s="19"/>
      <c r="AT8677" s="19"/>
      <c r="AU8677" s="19"/>
    </row>
    <row r="8678" spans="3:47">
      <c r="C8678" s="20"/>
      <c r="Z8678" s="20"/>
      <c r="AG8678" s="20"/>
      <c r="AQ8678" s="19"/>
      <c r="AR8678" s="19"/>
      <c r="AS8678" s="19"/>
      <c r="AT8678" s="19"/>
      <c r="AU8678" s="19"/>
    </row>
    <row r="8679" spans="3:47">
      <c r="C8679" s="20"/>
      <c r="Z8679" s="20"/>
      <c r="AG8679" s="20"/>
      <c r="AQ8679" s="19"/>
      <c r="AR8679" s="19"/>
      <c r="AS8679" s="19"/>
      <c r="AT8679" s="19"/>
      <c r="AU8679" s="19"/>
    </row>
    <row r="8680" spans="3:47">
      <c r="C8680" s="20"/>
      <c r="Z8680" s="20"/>
      <c r="AG8680" s="20"/>
      <c r="AQ8680" s="19"/>
      <c r="AR8680" s="19"/>
      <c r="AS8680" s="19"/>
      <c r="AT8680" s="19"/>
      <c r="AU8680" s="19"/>
    </row>
    <row r="8681" spans="3:47">
      <c r="C8681" s="20"/>
      <c r="Z8681" s="20"/>
      <c r="AG8681" s="20"/>
      <c r="AQ8681" s="19"/>
      <c r="AR8681" s="19"/>
      <c r="AS8681" s="19"/>
      <c r="AT8681" s="19"/>
      <c r="AU8681" s="19"/>
    </row>
    <row r="8682" spans="3:47">
      <c r="C8682" s="20"/>
      <c r="Z8682" s="20"/>
      <c r="AG8682" s="20"/>
      <c r="AQ8682" s="19"/>
      <c r="AR8682" s="19"/>
      <c r="AS8682" s="19"/>
      <c r="AT8682" s="19"/>
      <c r="AU8682" s="19"/>
    </row>
    <row r="8683" spans="3:47">
      <c r="C8683" s="20"/>
      <c r="Z8683" s="20"/>
      <c r="AG8683" s="20"/>
      <c r="AQ8683" s="19"/>
      <c r="AR8683" s="19"/>
      <c r="AS8683" s="19"/>
      <c r="AT8683" s="19"/>
      <c r="AU8683" s="19"/>
    </row>
    <row r="8684" spans="3:47">
      <c r="C8684" s="20"/>
      <c r="Z8684" s="20"/>
      <c r="AG8684" s="20"/>
      <c r="AQ8684" s="19"/>
      <c r="AR8684" s="19"/>
      <c r="AS8684" s="19"/>
      <c r="AT8684" s="19"/>
      <c r="AU8684" s="19"/>
    </row>
    <row r="8685" spans="3:47">
      <c r="C8685" s="20"/>
      <c r="Z8685" s="20"/>
      <c r="AG8685" s="20"/>
      <c r="AQ8685" s="19"/>
      <c r="AR8685" s="19"/>
      <c r="AS8685" s="19"/>
      <c r="AT8685" s="19"/>
      <c r="AU8685" s="19"/>
    </row>
    <row r="8686" spans="3:47">
      <c r="C8686" s="20"/>
      <c r="Z8686" s="20"/>
      <c r="AG8686" s="20"/>
      <c r="AQ8686" s="19"/>
      <c r="AR8686" s="19"/>
      <c r="AS8686" s="19"/>
      <c r="AT8686" s="19"/>
      <c r="AU8686" s="19"/>
    </row>
    <row r="8687" spans="3:47">
      <c r="C8687" s="20"/>
      <c r="Z8687" s="20"/>
      <c r="AG8687" s="20"/>
      <c r="AQ8687" s="19"/>
      <c r="AR8687" s="19"/>
      <c r="AS8687" s="19"/>
      <c r="AT8687" s="19"/>
      <c r="AU8687" s="19"/>
    </row>
    <row r="8688" spans="3:47">
      <c r="C8688" s="20"/>
      <c r="Z8688" s="20"/>
      <c r="AG8688" s="20"/>
      <c r="AQ8688" s="19"/>
      <c r="AR8688" s="19"/>
      <c r="AS8688" s="19"/>
      <c r="AT8688" s="19"/>
      <c r="AU8688" s="19"/>
    </row>
    <row r="8689" spans="3:47">
      <c r="C8689" s="20"/>
      <c r="Z8689" s="20"/>
      <c r="AG8689" s="20"/>
      <c r="AQ8689" s="19"/>
      <c r="AR8689" s="19"/>
      <c r="AS8689" s="19"/>
      <c r="AT8689" s="19"/>
      <c r="AU8689" s="19"/>
    </row>
    <row r="8690" spans="3:47">
      <c r="C8690" s="20"/>
      <c r="Z8690" s="20"/>
      <c r="AG8690" s="20"/>
      <c r="AQ8690" s="19"/>
      <c r="AR8690" s="19"/>
      <c r="AS8690" s="19"/>
      <c r="AT8690" s="19"/>
      <c r="AU8690" s="19"/>
    </row>
    <row r="8691" spans="3:47">
      <c r="C8691" s="20"/>
      <c r="Z8691" s="20"/>
      <c r="AG8691" s="20"/>
      <c r="AQ8691" s="19"/>
      <c r="AR8691" s="19"/>
      <c r="AS8691" s="19"/>
      <c r="AT8691" s="19"/>
      <c r="AU8691" s="19"/>
    </row>
    <row r="8692" spans="3:47">
      <c r="C8692" s="20"/>
      <c r="Z8692" s="20"/>
      <c r="AG8692" s="20"/>
      <c r="AQ8692" s="19"/>
      <c r="AR8692" s="19"/>
      <c r="AS8692" s="19"/>
      <c r="AT8692" s="19"/>
      <c r="AU8692" s="19"/>
    </row>
    <row r="8693" spans="3:47">
      <c r="C8693" s="20"/>
      <c r="Z8693" s="20"/>
      <c r="AG8693" s="20"/>
      <c r="AQ8693" s="19"/>
      <c r="AR8693" s="19"/>
      <c r="AS8693" s="19"/>
      <c r="AT8693" s="19"/>
      <c r="AU8693" s="19"/>
    </row>
    <row r="8694" spans="3:47">
      <c r="C8694" s="20"/>
      <c r="Z8694" s="20"/>
      <c r="AG8694" s="20"/>
      <c r="AQ8694" s="19"/>
      <c r="AR8694" s="19"/>
      <c r="AS8694" s="19"/>
      <c r="AT8694" s="19"/>
      <c r="AU8694" s="19"/>
    </row>
    <row r="8695" spans="3:47">
      <c r="C8695" s="20"/>
      <c r="Z8695" s="20"/>
      <c r="AG8695" s="20"/>
      <c r="AQ8695" s="19"/>
      <c r="AR8695" s="19"/>
      <c r="AS8695" s="19"/>
      <c r="AT8695" s="19"/>
      <c r="AU8695" s="19"/>
    </row>
    <row r="8696" spans="3:47">
      <c r="C8696" s="20"/>
      <c r="Z8696" s="20"/>
      <c r="AG8696" s="20"/>
      <c r="AQ8696" s="19"/>
      <c r="AR8696" s="19"/>
      <c r="AS8696" s="19"/>
      <c r="AT8696" s="19"/>
      <c r="AU8696" s="19"/>
    </row>
    <row r="8697" spans="3:47">
      <c r="C8697" s="20"/>
      <c r="Z8697" s="20"/>
      <c r="AG8697" s="20"/>
      <c r="AQ8697" s="19"/>
      <c r="AR8697" s="19"/>
      <c r="AS8697" s="19"/>
      <c r="AT8697" s="19"/>
      <c r="AU8697" s="19"/>
    </row>
    <row r="8698" spans="3:47">
      <c r="C8698" s="20"/>
      <c r="Z8698" s="20"/>
      <c r="AG8698" s="20"/>
      <c r="AQ8698" s="19"/>
      <c r="AR8698" s="19"/>
      <c r="AS8698" s="19"/>
      <c r="AT8698" s="19"/>
      <c r="AU8698" s="19"/>
    </row>
    <row r="8699" spans="3:47">
      <c r="C8699" s="20"/>
      <c r="Z8699" s="20"/>
      <c r="AG8699" s="20"/>
      <c r="AQ8699" s="19"/>
      <c r="AR8699" s="19"/>
      <c r="AS8699" s="19"/>
      <c r="AT8699" s="19"/>
      <c r="AU8699" s="19"/>
    </row>
    <row r="8700" spans="3:47">
      <c r="C8700" s="20"/>
      <c r="Z8700" s="20"/>
      <c r="AG8700" s="20"/>
      <c r="AQ8700" s="19"/>
      <c r="AR8700" s="19"/>
      <c r="AS8700" s="19"/>
      <c r="AT8700" s="19"/>
      <c r="AU8700" s="19"/>
    </row>
    <row r="8701" spans="3:47">
      <c r="C8701" s="20"/>
      <c r="Z8701" s="20"/>
      <c r="AG8701" s="20"/>
      <c r="AQ8701" s="19"/>
      <c r="AR8701" s="19"/>
      <c r="AS8701" s="19"/>
      <c r="AT8701" s="19"/>
      <c r="AU8701" s="19"/>
    </row>
    <row r="8702" spans="3:47">
      <c r="C8702" s="20"/>
      <c r="Z8702" s="20"/>
      <c r="AG8702" s="20"/>
      <c r="AQ8702" s="19"/>
      <c r="AR8702" s="19"/>
      <c r="AS8702" s="19"/>
      <c r="AT8702" s="19"/>
      <c r="AU8702" s="19"/>
    </row>
    <row r="8703" spans="3:47">
      <c r="C8703" s="20"/>
      <c r="Z8703" s="20"/>
      <c r="AG8703" s="20"/>
      <c r="AQ8703" s="19"/>
      <c r="AR8703" s="19"/>
      <c r="AS8703" s="19"/>
      <c r="AT8703" s="19"/>
      <c r="AU8703" s="19"/>
    </row>
    <row r="8704" spans="3:47">
      <c r="C8704" s="20"/>
      <c r="Z8704" s="20"/>
      <c r="AG8704" s="20"/>
      <c r="AQ8704" s="19"/>
      <c r="AR8704" s="19"/>
      <c r="AS8704" s="19"/>
      <c r="AT8704" s="19"/>
      <c r="AU8704" s="19"/>
    </row>
    <row r="8705" spans="3:47">
      <c r="C8705" s="20"/>
      <c r="Z8705" s="20"/>
      <c r="AG8705" s="20"/>
      <c r="AQ8705" s="19"/>
      <c r="AR8705" s="19"/>
      <c r="AS8705" s="19"/>
      <c r="AT8705" s="19"/>
      <c r="AU8705" s="19"/>
    </row>
    <row r="8706" spans="3:47">
      <c r="C8706" s="20"/>
      <c r="Z8706" s="20"/>
      <c r="AG8706" s="20"/>
      <c r="AQ8706" s="19"/>
      <c r="AR8706" s="19"/>
      <c r="AS8706" s="19"/>
      <c r="AT8706" s="19"/>
      <c r="AU8706" s="19"/>
    </row>
    <row r="8707" spans="3:47">
      <c r="C8707" s="20"/>
      <c r="Z8707" s="20"/>
      <c r="AG8707" s="20"/>
      <c r="AQ8707" s="19"/>
      <c r="AR8707" s="19"/>
      <c r="AS8707" s="19"/>
      <c r="AT8707" s="19"/>
      <c r="AU8707" s="19"/>
    </row>
    <row r="8708" spans="3:47">
      <c r="C8708" s="20"/>
      <c r="Z8708" s="20"/>
      <c r="AG8708" s="20"/>
      <c r="AQ8708" s="19"/>
      <c r="AR8708" s="19"/>
      <c r="AS8708" s="19"/>
      <c r="AT8708" s="19"/>
      <c r="AU8708" s="19"/>
    </row>
    <row r="8709" spans="3:47">
      <c r="C8709" s="20"/>
      <c r="Z8709" s="20"/>
      <c r="AG8709" s="20"/>
      <c r="AQ8709" s="19"/>
      <c r="AR8709" s="19"/>
      <c r="AS8709" s="19"/>
      <c r="AT8709" s="19"/>
      <c r="AU8709" s="19"/>
    </row>
    <row r="8710" spans="3:47">
      <c r="C8710" s="20"/>
      <c r="Z8710" s="20"/>
      <c r="AG8710" s="20"/>
      <c r="AQ8710" s="19"/>
      <c r="AR8710" s="19"/>
      <c r="AS8710" s="19"/>
      <c r="AT8710" s="19"/>
      <c r="AU8710" s="19"/>
    </row>
    <row r="8711" spans="3:47">
      <c r="C8711" s="20"/>
      <c r="Z8711" s="20"/>
      <c r="AG8711" s="20"/>
      <c r="AQ8711" s="19"/>
      <c r="AR8711" s="19"/>
      <c r="AS8711" s="19"/>
      <c r="AT8711" s="19"/>
      <c r="AU8711" s="19"/>
    </row>
    <row r="8712" spans="3:47">
      <c r="C8712" s="20"/>
      <c r="Z8712" s="20"/>
      <c r="AG8712" s="20"/>
      <c r="AQ8712" s="19"/>
      <c r="AR8712" s="19"/>
      <c r="AS8712" s="19"/>
      <c r="AT8712" s="19"/>
      <c r="AU8712" s="19"/>
    </row>
    <row r="8713" spans="3:47">
      <c r="C8713" s="20"/>
      <c r="Z8713" s="20"/>
      <c r="AG8713" s="20"/>
      <c r="AQ8713" s="19"/>
      <c r="AR8713" s="19"/>
      <c r="AS8713" s="19"/>
      <c r="AT8713" s="19"/>
      <c r="AU8713" s="19"/>
    </row>
    <row r="8714" spans="3:47">
      <c r="C8714" s="20"/>
      <c r="Z8714" s="20"/>
      <c r="AG8714" s="20"/>
      <c r="AQ8714" s="19"/>
      <c r="AR8714" s="19"/>
      <c r="AS8714" s="19"/>
      <c r="AT8714" s="19"/>
      <c r="AU8714" s="19"/>
    </row>
    <row r="8715" spans="3:47">
      <c r="C8715" s="20"/>
      <c r="Z8715" s="20"/>
      <c r="AG8715" s="20"/>
      <c r="AQ8715" s="19"/>
      <c r="AR8715" s="19"/>
      <c r="AS8715" s="19"/>
      <c r="AT8715" s="19"/>
      <c r="AU8715" s="19"/>
    </row>
    <row r="8716" spans="3:47">
      <c r="C8716" s="20"/>
      <c r="Z8716" s="20"/>
      <c r="AG8716" s="20"/>
      <c r="AQ8716" s="19"/>
      <c r="AR8716" s="19"/>
      <c r="AS8716" s="19"/>
      <c r="AT8716" s="19"/>
      <c r="AU8716" s="19"/>
    </row>
    <row r="8717" spans="3:47">
      <c r="C8717" s="20"/>
      <c r="Z8717" s="20"/>
      <c r="AG8717" s="20"/>
      <c r="AQ8717" s="19"/>
      <c r="AR8717" s="19"/>
      <c r="AS8717" s="19"/>
      <c r="AT8717" s="19"/>
      <c r="AU8717" s="19"/>
    </row>
    <row r="8718" spans="3:47">
      <c r="C8718" s="20"/>
      <c r="Z8718" s="20"/>
      <c r="AG8718" s="20"/>
      <c r="AQ8718" s="19"/>
      <c r="AR8718" s="19"/>
      <c r="AS8718" s="19"/>
      <c r="AT8718" s="19"/>
      <c r="AU8718" s="19"/>
    </row>
    <row r="8719" spans="3:47">
      <c r="C8719" s="20"/>
      <c r="Z8719" s="20"/>
      <c r="AG8719" s="20"/>
      <c r="AQ8719" s="19"/>
      <c r="AR8719" s="19"/>
      <c r="AS8719" s="19"/>
      <c r="AT8719" s="19"/>
      <c r="AU8719" s="19"/>
    </row>
    <row r="8720" spans="3:47">
      <c r="C8720" s="20"/>
      <c r="Z8720" s="20"/>
      <c r="AG8720" s="20"/>
      <c r="AQ8720" s="19"/>
      <c r="AR8720" s="19"/>
      <c r="AS8720" s="19"/>
      <c r="AT8720" s="19"/>
      <c r="AU8720" s="19"/>
    </row>
    <row r="8721" spans="3:47">
      <c r="C8721" s="20"/>
      <c r="Z8721" s="20"/>
      <c r="AG8721" s="20"/>
      <c r="AQ8721" s="19"/>
      <c r="AR8721" s="19"/>
      <c r="AS8721" s="19"/>
      <c r="AT8721" s="19"/>
      <c r="AU8721" s="19"/>
    </row>
    <row r="8722" spans="3:47">
      <c r="C8722" s="20"/>
      <c r="Z8722" s="20"/>
      <c r="AG8722" s="20"/>
      <c r="AQ8722" s="19"/>
      <c r="AR8722" s="19"/>
      <c r="AS8722" s="19"/>
      <c r="AT8722" s="19"/>
      <c r="AU8722" s="19"/>
    </row>
    <row r="8723" spans="3:47">
      <c r="C8723" s="20"/>
      <c r="Z8723" s="20"/>
      <c r="AG8723" s="20"/>
      <c r="AQ8723" s="19"/>
      <c r="AR8723" s="19"/>
      <c r="AS8723" s="19"/>
      <c r="AT8723" s="19"/>
      <c r="AU8723" s="19"/>
    </row>
    <row r="8724" spans="3:47">
      <c r="C8724" s="20"/>
      <c r="Z8724" s="20"/>
      <c r="AG8724" s="20"/>
      <c r="AQ8724" s="19"/>
      <c r="AR8724" s="19"/>
      <c r="AS8724" s="19"/>
      <c r="AT8724" s="19"/>
      <c r="AU8724" s="19"/>
    </row>
    <row r="8725" spans="3:47">
      <c r="C8725" s="20"/>
      <c r="Z8725" s="20"/>
      <c r="AG8725" s="20"/>
      <c r="AQ8725" s="19"/>
      <c r="AR8725" s="19"/>
      <c r="AS8725" s="19"/>
      <c r="AT8725" s="19"/>
      <c r="AU8725" s="19"/>
    </row>
    <row r="8726" spans="3:47">
      <c r="C8726" s="20"/>
      <c r="Z8726" s="20"/>
      <c r="AG8726" s="20"/>
      <c r="AQ8726" s="19"/>
      <c r="AR8726" s="19"/>
      <c r="AS8726" s="19"/>
      <c r="AT8726" s="19"/>
      <c r="AU8726" s="19"/>
    </row>
    <row r="8727" spans="3:47">
      <c r="C8727" s="20"/>
      <c r="Z8727" s="20"/>
      <c r="AG8727" s="20"/>
      <c r="AQ8727" s="19"/>
      <c r="AR8727" s="19"/>
      <c r="AS8727" s="19"/>
      <c r="AT8727" s="19"/>
      <c r="AU8727" s="19"/>
    </row>
    <row r="8728" spans="3:47">
      <c r="C8728" s="20"/>
      <c r="Z8728" s="20"/>
      <c r="AG8728" s="20"/>
      <c r="AQ8728" s="19"/>
      <c r="AR8728" s="19"/>
      <c r="AS8728" s="19"/>
      <c r="AT8728" s="19"/>
      <c r="AU8728" s="19"/>
    </row>
    <row r="8729" spans="3:47">
      <c r="C8729" s="20"/>
      <c r="Z8729" s="20"/>
      <c r="AG8729" s="20"/>
      <c r="AQ8729" s="19"/>
      <c r="AR8729" s="19"/>
      <c r="AS8729" s="19"/>
      <c r="AT8729" s="19"/>
      <c r="AU8729" s="19"/>
    </row>
    <row r="8730" spans="3:47">
      <c r="C8730" s="20"/>
      <c r="Z8730" s="20"/>
      <c r="AG8730" s="20"/>
      <c r="AQ8730" s="19"/>
      <c r="AR8730" s="19"/>
      <c r="AS8730" s="19"/>
      <c r="AT8730" s="19"/>
      <c r="AU8730" s="19"/>
    </row>
    <row r="8731" spans="3:47">
      <c r="C8731" s="20"/>
      <c r="Z8731" s="20"/>
      <c r="AG8731" s="20"/>
      <c r="AQ8731" s="19"/>
      <c r="AR8731" s="19"/>
      <c r="AS8731" s="19"/>
      <c r="AT8731" s="19"/>
      <c r="AU8731" s="19"/>
    </row>
    <row r="8732" spans="3:47">
      <c r="C8732" s="20"/>
      <c r="Z8732" s="20"/>
      <c r="AG8732" s="20"/>
      <c r="AQ8732" s="19"/>
      <c r="AR8732" s="19"/>
      <c r="AS8732" s="19"/>
      <c r="AT8732" s="19"/>
      <c r="AU8732" s="19"/>
    </row>
    <row r="8733" spans="3:47">
      <c r="C8733" s="20"/>
      <c r="Z8733" s="20"/>
      <c r="AG8733" s="20"/>
      <c r="AQ8733" s="19"/>
      <c r="AR8733" s="19"/>
      <c r="AS8733" s="19"/>
      <c r="AT8733" s="19"/>
      <c r="AU8733" s="19"/>
    </row>
    <row r="8734" spans="3:47">
      <c r="C8734" s="20"/>
      <c r="Z8734" s="20"/>
      <c r="AG8734" s="20"/>
      <c r="AQ8734" s="19"/>
      <c r="AR8734" s="19"/>
      <c r="AS8734" s="19"/>
      <c r="AT8734" s="19"/>
      <c r="AU8734" s="19"/>
    </row>
    <row r="8735" spans="3:47">
      <c r="C8735" s="20"/>
      <c r="Z8735" s="20"/>
      <c r="AG8735" s="20"/>
      <c r="AQ8735" s="19"/>
      <c r="AR8735" s="19"/>
      <c r="AS8735" s="19"/>
      <c r="AT8735" s="19"/>
      <c r="AU8735" s="19"/>
    </row>
    <row r="8736" spans="3:47">
      <c r="C8736" s="20"/>
      <c r="Z8736" s="20"/>
      <c r="AG8736" s="20"/>
      <c r="AQ8736" s="19"/>
      <c r="AR8736" s="19"/>
      <c r="AS8736" s="19"/>
      <c r="AT8736" s="19"/>
      <c r="AU8736" s="19"/>
    </row>
    <row r="8737" spans="3:47">
      <c r="C8737" s="20"/>
      <c r="Z8737" s="20"/>
      <c r="AG8737" s="20"/>
      <c r="AQ8737" s="19"/>
      <c r="AR8737" s="19"/>
      <c r="AS8737" s="19"/>
      <c r="AT8737" s="19"/>
      <c r="AU8737" s="19"/>
    </row>
    <row r="8738" spans="3:47">
      <c r="C8738" s="20"/>
      <c r="Z8738" s="20"/>
      <c r="AG8738" s="20"/>
      <c r="AQ8738" s="19"/>
      <c r="AR8738" s="19"/>
      <c r="AS8738" s="19"/>
      <c r="AT8738" s="19"/>
      <c r="AU8738" s="19"/>
    </row>
    <row r="8739" spans="3:47">
      <c r="C8739" s="20"/>
      <c r="Z8739" s="20"/>
      <c r="AG8739" s="20"/>
      <c r="AQ8739" s="19"/>
      <c r="AR8739" s="19"/>
      <c r="AS8739" s="19"/>
      <c r="AT8739" s="19"/>
      <c r="AU8739" s="19"/>
    </row>
    <row r="8740" spans="3:47">
      <c r="C8740" s="20"/>
      <c r="Z8740" s="20"/>
      <c r="AG8740" s="20"/>
      <c r="AQ8740" s="19"/>
      <c r="AR8740" s="19"/>
      <c r="AS8740" s="19"/>
      <c r="AT8740" s="19"/>
      <c r="AU8740" s="19"/>
    </row>
    <row r="8741" spans="3:47">
      <c r="C8741" s="20"/>
      <c r="Z8741" s="20"/>
      <c r="AG8741" s="20"/>
      <c r="AQ8741" s="19"/>
      <c r="AR8741" s="19"/>
      <c r="AS8741" s="19"/>
      <c r="AT8741" s="19"/>
      <c r="AU8741" s="19"/>
    </row>
    <row r="8742" spans="3:47">
      <c r="C8742" s="20"/>
      <c r="Z8742" s="20"/>
      <c r="AG8742" s="20"/>
      <c r="AQ8742" s="19"/>
      <c r="AR8742" s="19"/>
      <c r="AS8742" s="19"/>
      <c r="AT8742" s="19"/>
      <c r="AU8742" s="19"/>
    </row>
    <row r="8743" spans="3:47">
      <c r="C8743" s="20"/>
      <c r="Z8743" s="20"/>
      <c r="AG8743" s="20"/>
      <c r="AQ8743" s="19"/>
      <c r="AR8743" s="19"/>
      <c r="AS8743" s="19"/>
      <c r="AT8743" s="19"/>
      <c r="AU8743" s="19"/>
    </row>
    <row r="8744" spans="3:47">
      <c r="C8744" s="20"/>
      <c r="Z8744" s="20"/>
      <c r="AG8744" s="20"/>
      <c r="AQ8744" s="19"/>
      <c r="AR8744" s="19"/>
      <c r="AS8744" s="19"/>
      <c r="AT8744" s="19"/>
      <c r="AU8744" s="19"/>
    </row>
    <row r="8745" spans="3:47">
      <c r="C8745" s="20"/>
      <c r="Z8745" s="20"/>
      <c r="AG8745" s="20"/>
      <c r="AQ8745" s="19"/>
      <c r="AR8745" s="19"/>
      <c r="AS8745" s="19"/>
      <c r="AT8745" s="19"/>
      <c r="AU8745" s="19"/>
    </row>
    <row r="8746" spans="3:47">
      <c r="C8746" s="20"/>
      <c r="Z8746" s="20"/>
      <c r="AG8746" s="20"/>
      <c r="AQ8746" s="19"/>
      <c r="AR8746" s="19"/>
      <c r="AS8746" s="19"/>
      <c r="AT8746" s="19"/>
      <c r="AU8746" s="19"/>
    </row>
    <row r="8747" spans="3:47">
      <c r="C8747" s="20"/>
      <c r="Z8747" s="20"/>
      <c r="AG8747" s="20"/>
      <c r="AQ8747" s="19"/>
      <c r="AR8747" s="19"/>
      <c r="AS8747" s="19"/>
      <c r="AT8747" s="19"/>
      <c r="AU8747" s="19"/>
    </row>
    <row r="8748" spans="3:47">
      <c r="C8748" s="20"/>
      <c r="Z8748" s="20"/>
      <c r="AG8748" s="20"/>
      <c r="AQ8748" s="19"/>
      <c r="AR8748" s="19"/>
      <c r="AS8748" s="19"/>
      <c r="AT8748" s="19"/>
      <c r="AU8748" s="19"/>
    </row>
    <row r="8749" spans="3:47">
      <c r="C8749" s="20"/>
      <c r="Z8749" s="20"/>
      <c r="AG8749" s="20"/>
      <c r="AQ8749" s="19"/>
      <c r="AR8749" s="19"/>
      <c r="AS8749" s="19"/>
      <c r="AT8749" s="19"/>
      <c r="AU8749" s="19"/>
    </row>
    <row r="8750" spans="3:47">
      <c r="C8750" s="20"/>
      <c r="Z8750" s="20"/>
      <c r="AG8750" s="20"/>
      <c r="AQ8750" s="19"/>
      <c r="AR8750" s="19"/>
      <c r="AS8750" s="19"/>
      <c r="AT8750" s="19"/>
      <c r="AU8750" s="19"/>
    </row>
    <row r="8751" spans="3:47">
      <c r="C8751" s="20"/>
      <c r="Z8751" s="20"/>
      <c r="AG8751" s="20"/>
      <c r="AQ8751" s="19"/>
      <c r="AR8751" s="19"/>
      <c r="AS8751" s="19"/>
      <c r="AT8751" s="19"/>
      <c r="AU8751" s="19"/>
    </row>
    <row r="8752" spans="3:47">
      <c r="C8752" s="20"/>
      <c r="Z8752" s="20"/>
      <c r="AG8752" s="20"/>
      <c r="AQ8752" s="19"/>
      <c r="AR8752" s="19"/>
      <c r="AS8752" s="19"/>
      <c r="AT8752" s="19"/>
      <c r="AU8752" s="19"/>
    </row>
    <row r="8753" spans="3:47">
      <c r="C8753" s="20"/>
      <c r="Z8753" s="20"/>
      <c r="AG8753" s="20"/>
      <c r="AQ8753" s="19"/>
      <c r="AR8753" s="19"/>
      <c r="AS8753" s="19"/>
      <c r="AT8753" s="19"/>
      <c r="AU8753" s="19"/>
    </row>
    <row r="8754" spans="3:47">
      <c r="C8754" s="20"/>
      <c r="Z8754" s="20"/>
      <c r="AG8754" s="20"/>
      <c r="AQ8754" s="19"/>
      <c r="AR8754" s="19"/>
      <c r="AS8754" s="19"/>
      <c r="AT8754" s="19"/>
      <c r="AU8754" s="19"/>
    </row>
    <row r="8755" spans="3:47">
      <c r="C8755" s="20"/>
      <c r="Z8755" s="20"/>
      <c r="AG8755" s="20"/>
      <c r="AQ8755" s="19"/>
      <c r="AR8755" s="19"/>
      <c r="AS8755" s="19"/>
      <c r="AT8755" s="19"/>
      <c r="AU8755" s="19"/>
    </row>
    <row r="8756" spans="3:47">
      <c r="C8756" s="20"/>
      <c r="Z8756" s="20"/>
      <c r="AG8756" s="20"/>
      <c r="AQ8756" s="19"/>
      <c r="AR8756" s="19"/>
      <c r="AS8756" s="19"/>
      <c r="AT8756" s="19"/>
      <c r="AU8756" s="19"/>
    </row>
    <row r="8757" spans="3:47">
      <c r="C8757" s="20"/>
      <c r="Z8757" s="20"/>
      <c r="AG8757" s="20"/>
      <c r="AQ8757" s="19"/>
      <c r="AR8757" s="19"/>
      <c r="AS8757" s="19"/>
      <c r="AT8757" s="19"/>
      <c r="AU8757" s="19"/>
    </row>
    <row r="8758" spans="3:47">
      <c r="C8758" s="20"/>
      <c r="Z8758" s="20"/>
      <c r="AG8758" s="20"/>
      <c r="AQ8758" s="19"/>
      <c r="AR8758" s="19"/>
      <c r="AS8758" s="19"/>
      <c r="AT8758" s="19"/>
      <c r="AU8758" s="19"/>
    </row>
    <row r="8759" spans="3:47">
      <c r="C8759" s="20"/>
      <c r="Z8759" s="20"/>
      <c r="AG8759" s="20"/>
      <c r="AQ8759" s="19"/>
      <c r="AR8759" s="19"/>
      <c r="AS8759" s="19"/>
      <c r="AT8759" s="19"/>
      <c r="AU8759" s="19"/>
    </row>
    <row r="8760" spans="3:47">
      <c r="C8760" s="20"/>
      <c r="Z8760" s="20"/>
      <c r="AG8760" s="20"/>
      <c r="AQ8760" s="19"/>
      <c r="AR8760" s="19"/>
      <c r="AS8760" s="19"/>
      <c r="AT8760" s="19"/>
      <c r="AU8760" s="19"/>
    </row>
    <row r="8761" spans="3:47">
      <c r="C8761" s="20"/>
      <c r="Z8761" s="20"/>
      <c r="AG8761" s="20"/>
      <c r="AQ8761" s="19"/>
      <c r="AR8761" s="19"/>
      <c r="AS8761" s="19"/>
      <c r="AT8761" s="19"/>
      <c r="AU8761" s="19"/>
    </row>
    <row r="8762" spans="3:47">
      <c r="C8762" s="20"/>
      <c r="Z8762" s="20"/>
      <c r="AG8762" s="20"/>
      <c r="AQ8762" s="19"/>
      <c r="AR8762" s="19"/>
      <c r="AS8762" s="19"/>
      <c r="AT8762" s="19"/>
      <c r="AU8762" s="19"/>
    </row>
    <row r="8763" spans="3:47">
      <c r="C8763" s="20"/>
      <c r="Z8763" s="20"/>
      <c r="AG8763" s="20"/>
      <c r="AQ8763" s="19"/>
      <c r="AR8763" s="19"/>
      <c r="AS8763" s="19"/>
      <c r="AT8763" s="19"/>
      <c r="AU8763" s="19"/>
    </row>
    <row r="8764" spans="3:47">
      <c r="C8764" s="20"/>
      <c r="Z8764" s="20"/>
      <c r="AG8764" s="20"/>
      <c r="AQ8764" s="19"/>
      <c r="AR8764" s="19"/>
      <c r="AS8764" s="19"/>
      <c r="AT8764" s="19"/>
      <c r="AU8764" s="19"/>
    </row>
    <row r="8765" spans="3:47">
      <c r="C8765" s="20"/>
      <c r="Z8765" s="20"/>
      <c r="AG8765" s="20"/>
      <c r="AQ8765" s="19"/>
      <c r="AR8765" s="19"/>
      <c r="AS8765" s="19"/>
      <c r="AT8765" s="19"/>
      <c r="AU8765" s="19"/>
    </row>
    <row r="8766" spans="3:47">
      <c r="C8766" s="20"/>
      <c r="Z8766" s="20"/>
      <c r="AG8766" s="20"/>
      <c r="AQ8766" s="19"/>
      <c r="AR8766" s="19"/>
      <c r="AS8766" s="19"/>
      <c r="AT8766" s="19"/>
      <c r="AU8766" s="19"/>
    </row>
    <row r="8767" spans="3:47">
      <c r="C8767" s="20"/>
      <c r="Z8767" s="20"/>
      <c r="AG8767" s="20"/>
      <c r="AQ8767" s="19"/>
      <c r="AR8767" s="19"/>
      <c r="AS8767" s="19"/>
      <c r="AT8767" s="19"/>
      <c r="AU8767" s="19"/>
    </row>
    <row r="8768" spans="3:47">
      <c r="C8768" s="20"/>
      <c r="Z8768" s="20"/>
      <c r="AG8768" s="20"/>
      <c r="AQ8768" s="19"/>
      <c r="AR8768" s="19"/>
      <c r="AS8768" s="19"/>
      <c r="AT8768" s="19"/>
      <c r="AU8768" s="19"/>
    </row>
    <row r="8769" spans="3:47">
      <c r="C8769" s="20"/>
      <c r="Z8769" s="20"/>
      <c r="AG8769" s="20"/>
      <c r="AQ8769" s="19"/>
      <c r="AR8769" s="19"/>
      <c r="AS8769" s="19"/>
      <c r="AT8769" s="19"/>
      <c r="AU8769" s="19"/>
    </row>
    <row r="8770" spans="3:47">
      <c r="C8770" s="20"/>
      <c r="Z8770" s="20"/>
      <c r="AG8770" s="20"/>
      <c r="AQ8770" s="19"/>
      <c r="AR8770" s="19"/>
      <c r="AS8770" s="19"/>
      <c r="AT8770" s="19"/>
      <c r="AU8770" s="19"/>
    </row>
    <row r="8771" spans="3:47">
      <c r="C8771" s="20"/>
      <c r="Z8771" s="20"/>
      <c r="AG8771" s="20"/>
      <c r="AQ8771" s="19"/>
      <c r="AR8771" s="19"/>
      <c r="AS8771" s="19"/>
      <c r="AT8771" s="19"/>
      <c r="AU8771" s="19"/>
    </row>
    <row r="8772" spans="3:47">
      <c r="C8772" s="20"/>
      <c r="Z8772" s="20"/>
      <c r="AG8772" s="20"/>
      <c r="AQ8772" s="19"/>
      <c r="AR8772" s="19"/>
      <c r="AS8772" s="19"/>
      <c r="AT8772" s="19"/>
      <c r="AU8772" s="19"/>
    </row>
    <row r="8773" spans="3:47">
      <c r="C8773" s="20"/>
      <c r="Z8773" s="20"/>
      <c r="AG8773" s="20"/>
      <c r="AQ8773" s="19"/>
      <c r="AR8773" s="19"/>
      <c r="AS8773" s="19"/>
      <c r="AT8773" s="19"/>
      <c r="AU8773" s="19"/>
    </row>
    <row r="8774" spans="3:47">
      <c r="C8774" s="20"/>
      <c r="Z8774" s="20"/>
      <c r="AG8774" s="20"/>
      <c r="AQ8774" s="19"/>
      <c r="AR8774" s="19"/>
      <c r="AS8774" s="19"/>
      <c r="AT8774" s="19"/>
      <c r="AU8774" s="19"/>
    </row>
    <row r="8775" spans="3:47">
      <c r="C8775" s="20"/>
      <c r="Z8775" s="20"/>
      <c r="AG8775" s="20"/>
      <c r="AQ8775" s="19"/>
      <c r="AR8775" s="19"/>
      <c r="AS8775" s="19"/>
      <c r="AT8775" s="19"/>
      <c r="AU8775" s="19"/>
    </row>
    <row r="8776" spans="3:47">
      <c r="C8776" s="20"/>
      <c r="Z8776" s="20"/>
      <c r="AG8776" s="20"/>
      <c r="AQ8776" s="19"/>
      <c r="AR8776" s="19"/>
      <c r="AS8776" s="19"/>
      <c r="AT8776" s="19"/>
      <c r="AU8776" s="19"/>
    </row>
    <row r="8777" spans="3:47">
      <c r="C8777" s="20"/>
      <c r="Z8777" s="20"/>
      <c r="AG8777" s="20"/>
      <c r="AQ8777" s="19"/>
      <c r="AR8777" s="19"/>
      <c r="AS8777" s="19"/>
      <c r="AT8777" s="19"/>
      <c r="AU8777" s="19"/>
    </row>
    <row r="8778" spans="3:47">
      <c r="C8778" s="20"/>
      <c r="Z8778" s="20"/>
      <c r="AG8778" s="20"/>
      <c r="AQ8778" s="19"/>
      <c r="AR8778" s="19"/>
      <c r="AS8778" s="19"/>
      <c r="AT8778" s="19"/>
      <c r="AU8778" s="19"/>
    </row>
    <row r="8779" spans="3:47">
      <c r="C8779" s="20"/>
      <c r="Z8779" s="20"/>
      <c r="AG8779" s="20"/>
      <c r="AQ8779" s="19"/>
      <c r="AR8779" s="19"/>
      <c r="AS8779" s="19"/>
      <c r="AT8779" s="19"/>
      <c r="AU8779" s="19"/>
    </row>
    <row r="8780" spans="3:47">
      <c r="C8780" s="20"/>
      <c r="Z8780" s="20"/>
      <c r="AG8780" s="20"/>
      <c r="AQ8780" s="19"/>
      <c r="AR8780" s="19"/>
      <c r="AS8780" s="19"/>
      <c r="AT8780" s="19"/>
      <c r="AU8780" s="19"/>
    </row>
    <row r="8781" spans="3:47">
      <c r="C8781" s="20"/>
      <c r="Z8781" s="20"/>
      <c r="AG8781" s="20"/>
      <c r="AQ8781" s="19"/>
      <c r="AR8781" s="19"/>
      <c r="AS8781" s="19"/>
      <c r="AT8781" s="19"/>
      <c r="AU8781" s="19"/>
    </row>
    <row r="8782" spans="3:47">
      <c r="C8782" s="20"/>
      <c r="Z8782" s="20"/>
      <c r="AG8782" s="20"/>
      <c r="AQ8782" s="19"/>
      <c r="AR8782" s="19"/>
      <c r="AS8782" s="19"/>
      <c r="AT8782" s="19"/>
      <c r="AU8782" s="19"/>
    </row>
    <row r="8783" spans="3:47">
      <c r="C8783" s="20"/>
      <c r="Z8783" s="20"/>
      <c r="AG8783" s="20"/>
      <c r="AQ8783" s="19"/>
      <c r="AR8783" s="19"/>
      <c r="AS8783" s="19"/>
      <c r="AT8783" s="19"/>
      <c r="AU8783" s="19"/>
    </row>
    <row r="8784" spans="3:47">
      <c r="C8784" s="20"/>
      <c r="Z8784" s="20"/>
      <c r="AG8784" s="20"/>
      <c r="AQ8784" s="19"/>
      <c r="AR8784" s="19"/>
      <c r="AS8784" s="19"/>
      <c r="AT8784" s="19"/>
      <c r="AU8784" s="19"/>
    </row>
    <row r="8785" spans="3:47">
      <c r="C8785" s="20"/>
      <c r="Z8785" s="20"/>
      <c r="AG8785" s="20"/>
      <c r="AQ8785" s="19"/>
      <c r="AR8785" s="19"/>
      <c r="AS8785" s="19"/>
      <c r="AT8785" s="19"/>
      <c r="AU8785" s="19"/>
    </row>
    <row r="8786" spans="3:47">
      <c r="C8786" s="20"/>
      <c r="Z8786" s="20"/>
      <c r="AG8786" s="20"/>
      <c r="AQ8786" s="19"/>
      <c r="AR8786" s="19"/>
      <c r="AS8786" s="19"/>
      <c r="AT8786" s="19"/>
      <c r="AU8786" s="19"/>
    </row>
    <row r="8787" spans="3:47">
      <c r="C8787" s="20"/>
      <c r="Z8787" s="20"/>
      <c r="AG8787" s="20"/>
      <c r="AQ8787" s="19"/>
      <c r="AR8787" s="19"/>
      <c r="AS8787" s="19"/>
      <c r="AT8787" s="19"/>
      <c r="AU8787" s="19"/>
    </row>
    <row r="8788" spans="3:47">
      <c r="C8788" s="20"/>
      <c r="Z8788" s="20"/>
      <c r="AG8788" s="20"/>
      <c r="AQ8788" s="19"/>
      <c r="AR8788" s="19"/>
      <c r="AS8788" s="19"/>
      <c r="AT8788" s="19"/>
      <c r="AU8788" s="19"/>
    </row>
    <row r="8789" spans="3:47">
      <c r="C8789" s="20"/>
      <c r="Z8789" s="20"/>
      <c r="AG8789" s="20"/>
      <c r="AQ8789" s="19"/>
      <c r="AR8789" s="19"/>
      <c r="AS8789" s="19"/>
      <c r="AT8789" s="19"/>
      <c r="AU8789" s="19"/>
    </row>
    <row r="8790" spans="3:47">
      <c r="C8790" s="20"/>
      <c r="Z8790" s="20"/>
      <c r="AG8790" s="20"/>
      <c r="AQ8790" s="19"/>
      <c r="AR8790" s="19"/>
      <c r="AS8790" s="19"/>
      <c r="AT8790" s="19"/>
      <c r="AU8790" s="19"/>
    </row>
    <row r="8791" spans="3:47">
      <c r="C8791" s="20"/>
      <c r="Z8791" s="20"/>
      <c r="AG8791" s="20"/>
      <c r="AQ8791" s="19"/>
      <c r="AR8791" s="19"/>
      <c r="AS8791" s="19"/>
      <c r="AT8791" s="19"/>
      <c r="AU8791" s="19"/>
    </row>
    <row r="8792" spans="3:47">
      <c r="C8792" s="20"/>
      <c r="Z8792" s="20"/>
      <c r="AG8792" s="20"/>
      <c r="AQ8792" s="19"/>
      <c r="AR8792" s="19"/>
      <c r="AS8792" s="19"/>
      <c r="AT8792" s="19"/>
      <c r="AU8792" s="19"/>
    </row>
    <row r="8793" spans="3:47">
      <c r="C8793" s="20"/>
      <c r="Z8793" s="20"/>
      <c r="AG8793" s="20"/>
      <c r="AQ8793" s="19"/>
      <c r="AR8793" s="19"/>
      <c r="AS8793" s="19"/>
      <c r="AT8793" s="19"/>
      <c r="AU8793" s="19"/>
    </row>
    <row r="8794" spans="3:47">
      <c r="C8794" s="20"/>
      <c r="Z8794" s="20"/>
      <c r="AG8794" s="20"/>
      <c r="AQ8794" s="19"/>
      <c r="AR8794" s="19"/>
      <c r="AS8794" s="19"/>
      <c r="AT8794" s="19"/>
      <c r="AU8794" s="19"/>
    </row>
    <row r="8795" spans="3:47">
      <c r="C8795" s="20"/>
      <c r="Z8795" s="20"/>
      <c r="AG8795" s="20"/>
      <c r="AQ8795" s="19"/>
      <c r="AR8795" s="19"/>
      <c r="AS8795" s="19"/>
      <c r="AT8795" s="19"/>
      <c r="AU8795" s="19"/>
    </row>
    <row r="8796" spans="3:47">
      <c r="C8796" s="20"/>
      <c r="Z8796" s="20"/>
      <c r="AG8796" s="20"/>
      <c r="AQ8796" s="19"/>
      <c r="AR8796" s="19"/>
      <c r="AS8796" s="19"/>
      <c r="AT8796" s="19"/>
      <c r="AU8796" s="19"/>
    </row>
    <row r="8797" spans="3:47">
      <c r="C8797" s="20"/>
      <c r="Z8797" s="20"/>
      <c r="AG8797" s="20"/>
      <c r="AQ8797" s="19"/>
      <c r="AR8797" s="19"/>
      <c r="AS8797" s="19"/>
      <c r="AT8797" s="19"/>
      <c r="AU8797" s="19"/>
    </row>
    <row r="8798" spans="3:47">
      <c r="C8798" s="20"/>
      <c r="Z8798" s="20"/>
      <c r="AG8798" s="20"/>
      <c r="AQ8798" s="19"/>
      <c r="AR8798" s="19"/>
      <c r="AS8798" s="19"/>
      <c r="AT8798" s="19"/>
      <c r="AU8798" s="19"/>
    </row>
    <row r="8799" spans="3:47">
      <c r="C8799" s="20"/>
      <c r="Z8799" s="20"/>
      <c r="AG8799" s="20"/>
      <c r="AQ8799" s="19"/>
      <c r="AR8799" s="19"/>
      <c r="AS8799" s="19"/>
      <c r="AT8799" s="19"/>
      <c r="AU8799" s="19"/>
    </row>
    <row r="8800" spans="3:47">
      <c r="C8800" s="20"/>
      <c r="Z8800" s="20"/>
      <c r="AG8800" s="20"/>
      <c r="AQ8800" s="19"/>
      <c r="AR8800" s="19"/>
      <c r="AS8800" s="19"/>
      <c r="AT8800" s="19"/>
      <c r="AU8800" s="19"/>
    </row>
    <row r="8801" spans="3:47">
      <c r="C8801" s="20"/>
      <c r="Z8801" s="20"/>
      <c r="AG8801" s="20"/>
      <c r="AQ8801" s="19"/>
      <c r="AR8801" s="19"/>
      <c r="AS8801" s="19"/>
      <c r="AT8801" s="19"/>
      <c r="AU8801" s="19"/>
    </row>
    <row r="8802" spans="3:47">
      <c r="C8802" s="20"/>
      <c r="Z8802" s="20"/>
      <c r="AG8802" s="20"/>
      <c r="AQ8802" s="19"/>
      <c r="AR8802" s="19"/>
      <c r="AS8802" s="19"/>
      <c r="AT8802" s="19"/>
      <c r="AU8802" s="19"/>
    </row>
    <row r="8803" spans="3:47">
      <c r="C8803" s="20"/>
      <c r="Z8803" s="20"/>
      <c r="AG8803" s="20"/>
      <c r="AQ8803" s="19"/>
      <c r="AR8803" s="19"/>
      <c r="AS8803" s="19"/>
      <c r="AT8803" s="19"/>
      <c r="AU8803" s="19"/>
    </row>
    <row r="8804" spans="3:47">
      <c r="C8804" s="20"/>
      <c r="Z8804" s="20"/>
      <c r="AG8804" s="20"/>
      <c r="AQ8804" s="19"/>
      <c r="AR8804" s="19"/>
      <c r="AS8804" s="19"/>
      <c r="AT8804" s="19"/>
      <c r="AU8804" s="19"/>
    </row>
    <row r="8805" spans="3:47">
      <c r="C8805" s="20"/>
      <c r="Z8805" s="20"/>
      <c r="AG8805" s="20"/>
      <c r="AQ8805" s="19"/>
      <c r="AR8805" s="19"/>
      <c r="AS8805" s="19"/>
      <c r="AT8805" s="19"/>
      <c r="AU8805" s="19"/>
    </row>
    <row r="8806" spans="3:47">
      <c r="C8806" s="20"/>
      <c r="Z8806" s="20"/>
      <c r="AG8806" s="20"/>
      <c r="AQ8806" s="19"/>
      <c r="AR8806" s="19"/>
      <c r="AS8806" s="19"/>
      <c r="AT8806" s="19"/>
      <c r="AU8806" s="19"/>
    </row>
    <row r="8807" spans="3:47">
      <c r="C8807" s="20"/>
      <c r="Z8807" s="20"/>
      <c r="AG8807" s="20"/>
      <c r="AQ8807" s="19"/>
      <c r="AR8807" s="19"/>
      <c r="AS8807" s="19"/>
      <c r="AT8807" s="19"/>
      <c r="AU8807" s="19"/>
    </row>
    <row r="8808" spans="3:47">
      <c r="C8808" s="20"/>
      <c r="Z8808" s="20"/>
      <c r="AG8808" s="20"/>
      <c r="AQ8808" s="19"/>
      <c r="AR8808" s="19"/>
      <c r="AS8808" s="19"/>
      <c r="AT8808" s="19"/>
      <c r="AU8808" s="19"/>
    </row>
    <row r="8809" spans="3:47">
      <c r="C8809" s="20"/>
      <c r="Z8809" s="20"/>
      <c r="AG8809" s="20"/>
      <c r="AQ8809" s="19"/>
      <c r="AR8809" s="19"/>
      <c r="AS8809" s="19"/>
      <c r="AT8809" s="19"/>
      <c r="AU8809" s="19"/>
    </row>
    <row r="8810" spans="3:47">
      <c r="C8810" s="20"/>
      <c r="Z8810" s="20"/>
      <c r="AG8810" s="20"/>
      <c r="AQ8810" s="19"/>
      <c r="AR8810" s="19"/>
      <c r="AS8810" s="19"/>
      <c r="AT8810" s="19"/>
      <c r="AU8810" s="19"/>
    </row>
    <row r="8811" spans="3:47">
      <c r="C8811" s="20"/>
      <c r="Z8811" s="20"/>
      <c r="AG8811" s="20"/>
      <c r="AQ8811" s="19"/>
      <c r="AR8811" s="19"/>
      <c r="AS8811" s="19"/>
      <c r="AT8811" s="19"/>
      <c r="AU8811" s="19"/>
    </row>
    <row r="8812" spans="3:47">
      <c r="C8812" s="20"/>
      <c r="Z8812" s="20"/>
      <c r="AG8812" s="20"/>
      <c r="AQ8812" s="19"/>
      <c r="AR8812" s="19"/>
      <c r="AS8812" s="19"/>
      <c r="AT8812" s="19"/>
      <c r="AU8812" s="19"/>
    </row>
    <row r="8813" spans="3:47">
      <c r="C8813" s="20"/>
      <c r="Z8813" s="20"/>
      <c r="AG8813" s="20"/>
      <c r="AQ8813" s="19"/>
      <c r="AR8813" s="19"/>
      <c r="AS8813" s="19"/>
      <c r="AT8813" s="19"/>
      <c r="AU8813" s="19"/>
    </row>
    <row r="8814" spans="3:47">
      <c r="C8814" s="20"/>
      <c r="Z8814" s="20"/>
      <c r="AG8814" s="20"/>
      <c r="AQ8814" s="19"/>
      <c r="AR8814" s="19"/>
      <c r="AS8814" s="19"/>
      <c r="AT8814" s="19"/>
      <c r="AU8814" s="19"/>
    </row>
    <row r="8815" spans="3:47">
      <c r="C8815" s="20"/>
      <c r="Z8815" s="20"/>
      <c r="AG8815" s="20"/>
      <c r="AQ8815" s="19"/>
      <c r="AR8815" s="19"/>
      <c r="AS8815" s="19"/>
      <c r="AT8815" s="19"/>
      <c r="AU8815" s="19"/>
    </row>
    <row r="8816" spans="3:47">
      <c r="C8816" s="20"/>
      <c r="Z8816" s="20"/>
      <c r="AG8816" s="20"/>
      <c r="AQ8816" s="19"/>
      <c r="AR8816" s="19"/>
      <c r="AS8816" s="19"/>
      <c r="AT8816" s="19"/>
      <c r="AU8816" s="19"/>
    </row>
    <row r="8817" spans="3:47">
      <c r="C8817" s="20"/>
      <c r="Z8817" s="20"/>
      <c r="AG8817" s="20"/>
      <c r="AQ8817" s="19"/>
      <c r="AR8817" s="19"/>
      <c r="AS8817" s="19"/>
      <c r="AT8817" s="19"/>
      <c r="AU8817" s="19"/>
    </row>
    <row r="8818" spans="3:47">
      <c r="C8818" s="20"/>
      <c r="Z8818" s="20"/>
      <c r="AG8818" s="20"/>
      <c r="AQ8818" s="19"/>
      <c r="AR8818" s="19"/>
      <c r="AS8818" s="19"/>
      <c r="AT8818" s="19"/>
      <c r="AU8818" s="19"/>
    </row>
    <row r="8819" spans="3:47">
      <c r="C8819" s="20"/>
      <c r="Z8819" s="20"/>
      <c r="AG8819" s="20"/>
      <c r="AQ8819" s="19"/>
      <c r="AR8819" s="19"/>
      <c r="AS8819" s="19"/>
      <c r="AT8819" s="19"/>
      <c r="AU8819" s="19"/>
    </row>
    <row r="8820" spans="3:47">
      <c r="C8820" s="20"/>
      <c r="Z8820" s="20"/>
      <c r="AG8820" s="20"/>
      <c r="AQ8820" s="19"/>
      <c r="AR8820" s="19"/>
      <c r="AS8820" s="19"/>
      <c r="AT8820" s="19"/>
      <c r="AU8820" s="19"/>
    </row>
    <row r="8821" spans="3:47">
      <c r="C8821" s="20"/>
      <c r="Z8821" s="20"/>
      <c r="AG8821" s="20"/>
      <c r="AQ8821" s="19"/>
      <c r="AR8821" s="19"/>
      <c r="AS8821" s="19"/>
      <c r="AT8821" s="19"/>
      <c r="AU8821" s="19"/>
    </row>
    <row r="8822" spans="3:47">
      <c r="C8822" s="20"/>
      <c r="Z8822" s="20"/>
      <c r="AG8822" s="20"/>
      <c r="AQ8822" s="19"/>
      <c r="AR8822" s="19"/>
      <c r="AS8822" s="19"/>
      <c r="AT8822" s="19"/>
      <c r="AU8822" s="19"/>
    </row>
    <row r="8823" spans="3:47">
      <c r="C8823" s="20"/>
      <c r="Z8823" s="20"/>
      <c r="AG8823" s="20"/>
      <c r="AQ8823" s="19"/>
      <c r="AR8823" s="19"/>
      <c r="AS8823" s="19"/>
      <c r="AT8823" s="19"/>
      <c r="AU8823" s="19"/>
    </row>
    <row r="8824" spans="3:47">
      <c r="C8824" s="20"/>
      <c r="Z8824" s="20"/>
      <c r="AG8824" s="20"/>
      <c r="AQ8824" s="19"/>
      <c r="AR8824" s="19"/>
      <c r="AS8824" s="19"/>
      <c r="AT8824" s="19"/>
      <c r="AU8824" s="19"/>
    </row>
    <row r="8825" spans="3:47">
      <c r="C8825" s="20"/>
      <c r="Z8825" s="20"/>
      <c r="AG8825" s="20"/>
      <c r="AQ8825" s="19"/>
      <c r="AR8825" s="19"/>
      <c r="AS8825" s="19"/>
      <c r="AT8825" s="19"/>
      <c r="AU8825" s="19"/>
    </row>
    <row r="8826" spans="3:47">
      <c r="C8826" s="20"/>
      <c r="Z8826" s="20"/>
      <c r="AG8826" s="20"/>
      <c r="AQ8826" s="19"/>
      <c r="AR8826" s="19"/>
      <c r="AS8826" s="19"/>
      <c r="AT8826" s="19"/>
      <c r="AU8826" s="19"/>
    </row>
    <row r="8827" spans="3:47">
      <c r="C8827" s="20"/>
      <c r="Z8827" s="20"/>
      <c r="AG8827" s="20"/>
      <c r="AQ8827" s="19"/>
      <c r="AR8827" s="19"/>
      <c r="AS8827" s="19"/>
      <c r="AT8827" s="19"/>
      <c r="AU8827" s="19"/>
    </row>
    <row r="8828" spans="3:47">
      <c r="C8828" s="20"/>
      <c r="Z8828" s="20"/>
      <c r="AG8828" s="20"/>
      <c r="AQ8828" s="19"/>
      <c r="AR8828" s="19"/>
      <c r="AS8828" s="19"/>
      <c r="AT8828" s="19"/>
      <c r="AU8828" s="19"/>
    </row>
    <row r="8829" spans="3:47">
      <c r="C8829" s="20"/>
      <c r="Z8829" s="20"/>
      <c r="AG8829" s="20"/>
      <c r="AQ8829" s="19"/>
      <c r="AR8829" s="19"/>
      <c r="AS8829" s="19"/>
      <c r="AT8829" s="19"/>
      <c r="AU8829" s="19"/>
    </row>
    <row r="8830" spans="3:47">
      <c r="C8830" s="20"/>
      <c r="Z8830" s="20"/>
      <c r="AG8830" s="20"/>
      <c r="AQ8830" s="19"/>
      <c r="AR8830" s="19"/>
      <c r="AS8830" s="19"/>
      <c r="AT8830" s="19"/>
      <c r="AU8830" s="19"/>
    </row>
    <row r="8831" spans="3:47">
      <c r="C8831" s="20"/>
      <c r="Z8831" s="20"/>
      <c r="AG8831" s="20"/>
      <c r="AQ8831" s="19"/>
      <c r="AR8831" s="19"/>
      <c r="AS8831" s="19"/>
      <c r="AT8831" s="19"/>
      <c r="AU8831" s="19"/>
    </row>
    <row r="8832" spans="3:47">
      <c r="C8832" s="20"/>
      <c r="Z8832" s="20"/>
      <c r="AG8832" s="20"/>
      <c r="AQ8832" s="19"/>
      <c r="AR8832" s="19"/>
      <c r="AS8832" s="19"/>
      <c r="AT8832" s="19"/>
      <c r="AU8832" s="19"/>
    </row>
    <row r="8833" spans="3:47">
      <c r="C8833" s="20"/>
      <c r="Z8833" s="20"/>
      <c r="AG8833" s="20"/>
      <c r="AQ8833" s="19"/>
      <c r="AR8833" s="19"/>
      <c r="AS8833" s="19"/>
      <c r="AT8833" s="19"/>
      <c r="AU8833" s="19"/>
    </row>
    <row r="8834" spans="3:47">
      <c r="C8834" s="20"/>
      <c r="Z8834" s="20"/>
      <c r="AG8834" s="20"/>
      <c r="AQ8834" s="19"/>
      <c r="AR8834" s="19"/>
      <c r="AS8834" s="19"/>
      <c r="AT8834" s="19"/>
      <c r="AU8834" s="19"/>
    </row>
    <row r="8835" spans="3:47">
      <c r="C8835" s="20"/>
      <c r="Z8835" s="20"/>
      <c r="AG8835" s="20"/>
      <c r="AQ8835" s="19"/>
      <c r="AR8835" s="19"/>
      <c r="AS8835" s="19"/>
      <c r="AT8835" s="19"/>
      <c r="AU8835" s="19"/>
    </row>
    <row r="8836" spans="3:47">
      <c r="C8836" s="20"/>
      <c r="Z8836" s="20"/>
      <c r="AG8836" s="20"/>
      <c r="AQ8836" s="19"/>
      <c r="AR8836" s="19"/>
      <c r="AS8836" s="19"/>
      <c r="AT8836" s="19"/>
      <c r="AU8836" s="19"/>
    </row>
    <row r="8837" spans="3:47">
      <c r="C8837" s="20"/>
      <c r="Z8837" s="20"/>
      <c r="AG8837" s="20"/>
      <c r="AQ8837" s="19"/>
      <c r="AR8837" s="19"/>
      <c r="AS8837" s="19"/>
      <c r="AT8837" s="19"/>
      <c r="AU8837" s="19"/>
    </row>
    <row r="8838" spans="3:47">
      <c r="C8838" s="20"/>
      <c r="Z8838" s="20"/>
      <c r="AG8838" s="20"/>
      <c r="AQ8838" s="19"/>
      <c r="AR8838" s="19"/>
      <c r="AS8838" s="19"/>
      <c r="AT8838" s="19"/>
      <c r="AU8838" s="19"/>
    </row>
    <row r="8839" spans="3:47">
      <c r="C8839" s="20"/>
      <c r="Z8839" s="20"/>
      <c r="AG8839" s="20"/>
      <c r="AQ8839" s="19"/>
      <c r="AR8839" s="19"/>
      <c r="AS8839" s="19"/>
      <c r="AT8839" s="19"/>
      <c r="AU8839" s="19"/>
    </row>
    <row r="8840" spans="3:47">
      <c r="C8840" s="20"/>
      <c r="Z8840" s="20"/>
      <c r="AG8840" s="20"/>
      <c r="AQ8840" s="19"/>
      <c r="AR8840" s="19"/>
      <c r="AS8840" s="19"/>
      <c r="AT8840" s="19"/>
      <c r="AU8840" s="19"/>
    </row>
    <row r="8841" spans="3:47">
      <c r="C8841" s="20"/>
      <c r="Z8841" s="20"/>
      <c r="AG8841" s="20"/>
      <c r="AQ8841" s="19"/>
      <c r="AR8841" s="19"/>
      <c r="AS8841" s="19"/>
      <c r="AT8841" s="19"/>
      <c r="AU8841" s="19"/>
    </row>
    <row r="8842" spans="3:47">
      <c r="C8842" s="20"/>
      <c r="Z8842" s="20"/>
      <c r="AG8842" s="20"/>
      <c r="AQ8842" s="19"/>
      <c r="AR8842" s="19"/>
      <c r="AS8842" s="19"/>
      <c r="AT8842" s="19"/>
      <c r="AU8842" s="19"/>
    </row>
    <row r="8843" spans="3:47">
      <c r="C8843" s="20"/>
      <c r="Z8843" s="20"/>
      <c r="AG8843" s="20"/>
      <c r="AQ8843" s="19"/>
      <c r="AR8843" s="19"/>
      <c r="AS8843" s="19"/>
      <c r="AT8843" s="19"/>
      <c r="AU8843" s="19"/>
    </row>
    <row r="8844" spans="3:47">
      <c r="C8844" s="20"/>
      <c r="Z8844" s="20"/>
      <c r="AG8844" s="20"/>
      <c r="AQ8844" s="19"/>
      <c r="AR8844" s="19"/>
      <c r="AS8844" s="19"/>
      <c r="AT8844" s="19"/>
      <c r="AU8844" s="19"/>
    </row>
    <row r="8845" spans="3:47">
      <c r="C8845" s="20"/>
      <c r="Z8845" s="20"/>
      <c r="AG8845" s="20"/>
      <c r="AQ8845" s="19"/>
      <c r="AR8845" s="19"/>
      <c r="AS8845" s="19"/>
      <c r="AT8845" s="19"/>
      <c r="AU8845" s="19"/>
    </row>
    <row r="8846" spans="3:47">
      <c r="C8846" s="20"/>
      <c r="Z8846" s="20"/>
      <c r="AG8846" s="20"/>
      <c r="AQ8846" s="19"/>
      <c r="AR8846" s="19"/>
      <c r="AS8846" s="19"/>
      <c r="AT8846" s="19"/>
      <c r="AU8846" s="19"/>
    </row>
    <row r="8847" spans="3:47">
      <c r="C8847" s="20"/>
      <c r="Z8847" s="20"/>
      <c r="AG8847" s="20"/>
      <c r="AQ8847" s="19"/>
      <c r="AR8847" s="19"/>
      <c r="AS8847" s="19"/>
      <c r="AT8847" s="19"/>
      <c r="AU8847" s="19"/>
    </row>
    <row r="8848" spans="3:47">
      <c r="C8848" s="20"/>
      <c r="Z8848" s="20"/>
      <c r="AG8848" s="20"/>
      <c r="AQ8848" s="19"/>
      <c r="AR8848" s="19"/>
      <c r="AS8848" s="19"/>
      <c r="AT8848" s="19"/>
      <c r="AU8848" s="19"/>
    </row>
    <row r="8849" spans="3:47">
      <c r="C8849" s="20"/>
      <c r="Z8849" s="20"/>
      <c r="AG8849" s="20"/>
      <c r="AQ8849" s="19"/>
      <c r="AR8849" s="19"/>
      <c r="AS8849" s="19"/>
      <c r="AT8849" s="19"/>
      <c r="AU8849" s="19"/>
    </row>
    <row r="8850" spans="3:47">
      <c r="C8850" s="20"/>
      <c r="Z8850" s="20"/>
      <c r="AG8850" s="20"/>
      <c r="AQ8850" s="19"/>
      <c r="AR8850" s="19"/>
      <c r="AS8850" s="19"/>
      <c r="AT8850" s="19"/>
      <c r="AU8850" s="19"/>
    </row>
    <row r="8851" spans="3:47">
      <c r="C8851" s="20"/>
      <c r="Z8851" s="20"/>
      <c r="AG8851" s="20"/>
      <c r="AQ8851" s="19"/>
      <c r="AR8851" s="19"/>
      <c r="AS8851" s="19"/>
      <c r="AT8851" s="19"/>
      <c r="AU8851" s="19"/>
    </row>
    <row r="8852" spans="3:47">
      <c r="C8852" s="20"/>
      <c r="Z8852" s="20"/>
      <c r="AG8852" s="20"/>
      <c r="AQ8852" s="19"/>
      <c r="AR8852" s="19"/>
      <c r="AS8852" s="19"/>
      <c r="AT8852" s="19"/>
      <c r="AU8852" s="19"/>
    </row>
    <row r="8853" spans="3:47">
      <c r="C8853" s="20"/>
      <c r="Z8853" s="20"/>
      <c r="AG8853" s="20"/>
      <c r="AQ8853" s="19"/>
      <c r="AR8853" s="19"/>
      <c r="AS8853" s="19"/>
      <c r="AT8853" s="19"/>
      <c r="AU8853" s="19"/>
    </row>
    <row r="8854" spans="3:47">
      <c r="C8854" s="20"/>
      <c r="Z8854" s="20"/>
      <c r="AG8854" s="20"/>
      <c r="AQ8854" s="19"/>
      <c r="AR8854" s="19"/>
      <c r="AS8854" s="19"/>
      <c r="AT8854" s="19"/>
      <c r="AU8854" s="19"/>
    </row>
    <row r="8855" spans="3:47">
      <c r="C8855" s="20"/>
      <c r="Z8855" s="20"/>
      <c r="AG8855" s="20"/>
      <c r="AQ8855" s="19"/>
      <c r="AR8855" s="19"/>
      <c r="AS8855" s="19"/>
      <c r="AT8855" s="19"/>
      <c r="AU8855" s="19"/>
    </row>
    <row r="8856" spans="3:47">
      <c r="C8856" s="20"/>
      <c r="Z8856" s="20"/>
      <c r="AG8856" s="20"/>
      <c r="AQ8856" s="19"/>
      <c r="AR8856" s="19"/>
      <c r="AS8856" s="19"/>
      <c r="AT8856" s="19"/>
      <c r="AU8856" s="19"/>
    </row>
    <row r="8857" spans="3:47">
      <c r="C8857" s="20"/>
      <c r="Z8857" s="20"/>
      <c r="AG8857" s="20"/>
      <c r="AQ8857" s="19"/>
      <c r="AR8857" s="19"/>
      <c r="AS8857" s="19"/>
      <c r="AT8857" s="19"/>
      <c r="AU8857" s="19"/>
    </row>
    <row r="8858" spans="3:47">
      <c r="C8858" s="20"/>
      <c r="Z8858" s="20"/>
      <c r="AG8858" s="20"/>
      <c r="AQ8858" s="19"/>
      <c r="AR8858" s="19"/>
      <c r="AS8858" s="19"/>
      <c r="AT8858" s="19"/>
      <c r="AU8858" s="19"/>
    </row>
    <row r="8859" spans="3:47">
      <c r="C8859" s="20"/>
      <c r="Z8859" s="20"/>
      <c r="AG8859" s="20"/>
      <c r="AQ8859" s="19"/>
      <c r="AR8859" s="19"/>
      <c r="AS8859" s="19"/>
      <c r="AT8859" s="19"/>
      <c r="AU8859" s="19"/>
    </row>
    <row r="8860" spans="3:47">
      <c r="C8860" s="20"/>
      <c r="Z8860" s="20"/>
      <c r="AG8860" s="20"/>
      <c r="AQ8860" s="19"/>
      <c r="AR8860" s="19"/>
      <c r="AS8860" s="19"/>
      <c r="AT8860" s="19"/>
      <c r="AU8860" s="19"/>
    </row>
    <row r="8861" spans="3:47">
      <c r="C8861" s="20"/>
      <c r="Z8861" s="20"/>
      <c r="AG8861" s="20"/>
      <c r="AQ8861" s="19"/>
      <c r="AR8861" s="19"/>
      <c r="AS8861" s="19"/>
      <c r="AT8861" s="19"/>
      <c r="AU8861" s="19"/>
    </row>
    <row r="8862" spans="3:47">
      <c r="C8862" s="20"/>
      <c r="Z8862" s="20"/>
      <c r="AG8862" s="20"/>
      <c r="AQ8862" s="19"/>
      <c r="AR8862" s="19"/>
      <c r="AS8862" s="19"/>
      <c r="AT8862" s="19"/>
      <c r="AU8862" s="19"/>
    </row>
    <row r="8863" spans="3:47">
      <c r="C8863" s="20"/>
      <c r="Z8863" s="20"/>
      <c r="AG8863" s="20"/>
      <c r="AQ8863" s="19"/>
      <c r="AR8863" s="19"/>
      <c r="AS8863" s="19"/>
      <c r="AT8863" s="19"/>
      <c r="AU8863" s="19"/>
    </row>
    <row r="8864" spans="3:47">
      <c r="C8864" s="20"/>
      <c r="Z8864" s="20"/>
      <c r="AG8864" s="20"/>
      <c r="AQ8864" s="19"/>
      <c r="AR8864" s="19"/>
      <c r="AS8864" s="19"/>
      <c r="AT8864" s="19"/>
      <c r="AU8864" s="19"/>
    </row>
    <row r="8865" spans="3:47">
      <c r="C8865" s="20"/>
      <c r="Z8865" s="20"/>
      <c r="AG8865" s="20"/>
      <c r="AQ8865" s="19"/>
      <c r="AR8865" s="19"/>
      <c r="AS8865" s="19"/>
      <c r="AT8865" s="19"/>
      <c r="AU8865" s="19"/>
    </row>
    <row r="8866" spans="3:47">
      <c r="C8866" s="20"/>
      <c r="Z8866" s="20"/>
      <c r="AG8866" s="20"/>
      <c r="AQ8866" s="19"/>
      <c r="AR8866" s="19"/>
      <c r="AS8866" s="19"/>
      <c r="AT8866" s="19"/>
      <c r="AU8866" s="19"/>
    </row>
    <row r="8867" spans="3:47">
      <c r="C8867" s="20"/>
      <c r="Z8867" s="20"/>
      <c r="AG8867" s="20"/>
      <c r="AQ8867" s="19"/>
      <c r="AR8867" s="19"/>
      <c r="AS8867" s="19"/>
      <c r="AT8867" s="19"/>
      <c r="AU8867" s="19"/>
    </row>
    <row r="8868" spans="3:47">
      <c r="C8868" s="20"/>
      <c r="Z8868" s="20"/>
      <c r="AG8868" s="20"/>
      <c r="AQ8868" s="19"/>
      <c r="AR8868" s="19"/>
      <c r="AS8868" s="19"/>
      <c r="AT8868" s="19"/>
      <c r="AU8868" s="19"/>
    </row>
    <row r="8869" spans="3:47">
      <c r="C8869" s="20"/>
      <c r="Z8869" s="20"/>
      <c r="AG8869" s="20"/>
      <c r="AQ8869" s="19"/>
      <c r="AR8869" s="19"/>
      <c r="AS8869" s="19"/>
      <c r="AT8869" s="19"/>
      <c r="AU8869" s="19"/>
    </row>
    <row r="8870" spans="3:47">
      <c r="C8870" s="20"/>
      <c r="Z8870" s="20"/>
      <c r="AG8870" s="20"/>
      <c r="AQ8870" s="19"/>
      <c r="AR8870" s="19"/>
      <c r="AS8870" s="19"/>
      <c r="AT8870" s="19"/>
      <c r="AU8870" s="19"/>
    </row>
    <row r="8871" spans="3:47">
      <c r="C8871" s="20"/>
      <c r="Z8871" s="20"/>
      <c r="AG8871" s="20"/>
      <c r="AQ8871" s="19"/>
      <c r="AR8871" s="19"/>
      <c r="AS8871" s="19"/>
      <c r="AT8871" s="19"/>
      <c r="AU8871" s="19"/>
    </row>
    <row r="8872" spans="3:47">
      <c r="C8872" s="20"/>
      <c r="Z8872" s="20"/>
      <c r="AG8872" s="20"/>
      <c r="AQ8872" s="19"/>
      <c r="AR8872" s="19"/>
      <c r="AS8872" s="19"/>
      <c r="AT8872" s="19"/>
      <c r="AU8872" s="19"/>
    </row>
    <row r="8873" spans="3:47">
      <c r="C8873" s="20"/>
      <c r="Z8873" s="20"/>
      <c r="AG8873" s="20"/>
      <c r="AQ8873" s="19"/>
      <c r="AR8873" s="19"/>
      <c r="AS8873" s="19"/>
      <c r="AT8873" s="19"/>
      <c r="AU8873" s="19"/>
    </row>
    <row r="8874" spans="3:47">
      <c r="C8874" s="20"/>
      <c r="Z8874" s="20"/>
      <c r="AG8874" s="20"/>
      <c r="AQ8874" s="19"/>
      <c r="AR8874" s="19"/>
      <c r="AS8874" s="19"/>
      <c r="AT8874" s="19"/>
      <c r="AU8874" s="19"/>
    </row>
    <row r="8875" spans="3:47">
      <c r="C8875" s="20"/>
      <c r="Z8875" s="20"/>
      <c r="AG8875" s="20"/>
      <c r="AQ8875" s="19"/>
      <c r="AR8875" s="19"/>
      <c r="AS8875" s="19"/>
      <c r="AT8875" s="19"/>
      <c r="AU8875" s="19"/>
    </row>
    <row r="8876" spans="3:47">
      <c r="C8876" s="20"/>
      <c r="Z8876" s="20"/>
      <c r="AG8876" s="20"/>
      <c r="AQ8876" s="19"/>
      <c r="AR8876" s="19"/>
      <c r="AS8876" s="19"/>
      <c r="AT8876" s="19"/>
      <c r="AU8876" s="19"/>
    </row>
    <row r="8877" spans="3:47">
      <c r="C8877" s="20"/>
      <c r="Z8877" s="20"/>
      <c r="AG8877" s="20"/>
      <c r="AQ8877" s="19"/>
      <c r="AR8877" s="19"/>
      <c r="AS8877" s="19"/>
      <c r="AT8877" s="19"/>
      <c r="AU8877" s="19"/>
    </row>
    <row r="8878" spans="3:47">
      <c r="C8878" s="20"/>
      <c r="Z8878" s="20"/>
      <c r="AG8878" s="20"/>
      <c r="AQ8878" s="19"/>
      <c r="AR8878" s="19"/>
      <c r="AS8878" s="19"/>
      <c r="AT8878" s="19"/>
      <c r="AU8878" s="19"/>
    </row>
    <row r="8879" spans="3:47">
      <c r="C8879" s="20"/>
      <c r="Z8879" s="20"/>
      <c r="AG8879" s="20"/>
      <c r="AQ8879" s="19"/>
      <c r="AR8879" s="19"/>
      <c r="AS8879" s="19"/>
      <c r="AT8879" s="19"/>
      <c r="AU8879" s="19"/>
    </row>
    <row r="8880" spans="3:47">
      <c r="C8880" s="20"/>
      <c r="Z8880" s="20"/>
      <c r="AG8880" s="20"/>
      <c r="AQ8880" s="19"/>
      <c r="AR8880" s="19"/>
      <c r="AS8880" s="19"/>
      <c r="AT8880" s="19"/>
      <c r="AU8880" s="19"/>
    </row>
    <row r="8881" spans="3:47">
      <c r="C8881" s="20"/>
      <c r="Z8881" s="20"/>
      <c r="AG8881" s="20"/>
      <c r="AQ8881" s="19"/>
      <c r="AR8881" s="19"/>
      <c r="AS8881" s="19"/>
      <c r="AT8881" s="19"/>
      <c r="AU8881" s="19"/>
    </row>
    <row r="8882" spans="3:47">
      <c r="C8882" s="20"/>
      <c r="Z8882" s="20"/>
      <c r="AG8882" s="20"/>
      <c r="AQ8882" s="19"/>
      <c r="AR8882" s="19"/>
      <c r="AS8882" s="19"/>
      <c r="AT8882" s="19"/>
      <c r="AU8882" s="19"/>
    </row>
    <row r="8883" spans="3:47">
      <c r="C8883" s="20"/>
      <c r="Z8883" s="20"/>
      <c r="AG8883" s="20"/>
      <c r="AQ8883" s="19"/>
      <c r="AR8883" s="19"/>
      <c r="AS8883" s="19"/>
      <c r="AT8883" s="19"/>
      <c r="AU8883" s="19"/>
    </row>
    <row r="8884" spans="3:47">
      <c r="C8884" s="20"/>
      <c r="Z8884" s="20"/>
      <c r="AG8884" s="20"/>
      <c r="AQ8884" s="19"/>
      <c r="AR8884" s="19"/>
      <c r="AS8884" s="19"/>
      <c r="AT8884" s="19"/>
      <c r="AU8884" s="19"/>
    </row>
    <row r="8885" spans="3:47">
      <c r="C8885" s="20"/>
      <c r="Z8885" s="20"/>
      <c r="AG8885" s="20"/>
      <c r="AQ8885" s="19"/>
      <c r="AR8885" s="19"/>
      <c r="AS8885" s="19"/>
      <c r="AT8885" s="19"/>
      <c r="AU8885" s="19"/>
    </row>
    <row r="8886" spans="3:47">
      <c r="C8886" s="20"/>
      <c r="Z8886" s="20"/>
      <c r="AG8886" s="20"/>
      <c r="AQ8886" s="19"/>
      <c r="AR8886" s="19"/>
      <c r="AS8886" s="19"/>
      <c r="AT8886" s="19"/>
      <c r="AU8886" s="19"/>
    </row>
    <row r="8887" spans="3:47">
      <c r="C8887" s="20"/>
      <c r="Z8887" s="20"/>
      <c r="AG8887" s="20"/>
      <c r="AQ8887" s="19"/>
      <c r="AR8887" s="19"/>
      <c r="AS8887" s="19"/>
      <c r="AT8887" s="19"/>
      <c r="AU8887" s="19"/>
    </row>
    <row r="8888" spans="3:47">
      <c r="C8888" s="20"/>
      <c r="Z8888" s="20"/>
      <c r="AG8888" s="20"/>
      <c r="AQ8888" s="19"/>
      <c r="AR8888" s="19"/>
      <c r="AS8888" s="19"/>
      <c r="AT8888" s="19"/>
      <c r="AU8888" s="19"/>
    </row>
    <row r="8889" spans="3:47">
      <c r="C8889" s="20"/>
      <c r="Z8889" s="20"/>
      <c r="AG8889" s="20"/>
      <c r="AQ8889" s="19"/>
      <c r="AR8889" s="19"/>
      <c r="AS8889" s="19"/>
      <c r="AT8889" s="19"/>
      <c r="AU8889" s="19"/>
    </row>
    <row r="8890" spans="3:47">
      <c r="C8890" s="20"/>
      <c r="Z8890" s="20"/>
      <c r="AG8890" s="20"/>
      <c r="AQ8890" s="19"/>
      <c r="AR8890" s="19"/>
      <c r="AS8890" s="19"/>
      <c r="AT8890" s="19"/>
      <c r="AU8890" s="19"/>
    </row>
    <row r="8891" spans="3:47">
      <c r="C8891" s="20"/>
      <c r="Z8891" s="20"/>
      <c r="AG8891" s="20"/>
      <c r="AQ8891" s="19"/>
      <c r="AR8891" s="19"/>
      <c r="AS8891" s="19"/>
      <c r="AT8891" s="19"/>
      <c r="AU8891" s="19"/>
    </row>
    <row r="8892" spans="3:47">
      <c r="C8892" s="20"/>
      <c r="Z8892" s="20"/>
      <c r="AG8892" s="20"/>
      <c r="AQ8892" s="19"/>
      <c r="AR8892" s="19"/>
      <c r="AS8892" s="19"/>
      <c r="AT8892" s="19"/>
      <c r="AU8892" s="19"/>
    </row>
    <row r="8893" spans="3:47">
      <c r="C8893" s="20"/>
      <c r="Z8893" s="20"/>
      <c r="AG8893" s="20"/>
      <c r="AQ8893" s="19"/>
      <c r="AR8893" s="19"/>
      <c r="AS8893" s="19"/>
      <c r="AT8893" s="19"/>
      <c r="AU8893" s="19"/>
    </row>
    <row r="8894" spans="3:47">
      <c r="C8894" s="20"/>
      <c r="Z8894" s="20"/>
      <c r="AG8894" s="20"/>
      <c r="AQ8894" s="19"/>
      <c r="AR8894" s="19"/>
      <c r="AS8894" s="19"/>
      <c r="AT8894" s="19"/>
      <c r="AU8894" s="19"/>
    </row>
    <row r="8895" spans="3:47">
      <c r="C8895" s="20"/>
      <c r="Z8895" s="20"/>
      <c r="AG8895" s="20"/>
      <c r="AQ8895" s="19"/>
      <c r="AR8895" s="19"/>
      <c r="AS8895" s="19"/>
      <c r="AT8895" s="19"/>
      <c r="AU8895" s="19"/>
    </row>
    <row r="8896" spans="3:47">
      <c r="C8896" s="20"/>
      <c r="Z8896" s="20"/>
      <c r="AG8896" s="20"/>
      <c r="AQ8896" s="19"/>
      <c r="AR8896" s="19"/>
      <c r="AS8896" s="19"/>
      <c r="AT8896" s="19"/>
      <c r="AU8896" s="19"/>
    </row>
    <row r="8897" spans="3:47">
      <c r="C8897" s="20"/>
      <c r="Z8897" s="20"/>
      <c r="AG8897" s="20"/>
      <c r="AQ8897" s="19"/>
      <c r="AR8897" s="19"/>
      <c r="AS8897" s="19"/>
      <c r="AT8897" s="19"/>
      <c r="AU8897" s="19"/>
    </row>
    <row r="8898" spans="3:47">
      <c r="C8898" s="20"/>
      <c r="Z8898" s="20"/>
      <c r="AG8898" s="20"/>
      <c r="AQ8898" s="19"/>
      <c r="AR8898" s="19"/>
      <c r="AS8898" s="19"/>
      <c r="AT8898" s="19"/>
      <c r="AU8898" s="19"/>
    </row>
    <row r="8899" spans="3:47">
      <c r="C8899" s="20"/>
      <c r="Z8899" s="20"/>
      <c r="AG8899" s="20"/>
      <c r="AQ8899" s="19"/>
      <c r="AR8899" s="19"/>
      <c r="AS8899" s="19"/>
      <c r="AT8899" s="19"/>
      <c r="AU8899" s="19"/>
    </row>
    <row r="8900" spans="3:47">
      <c r="C8900" s="20"/>
      <c r="Z8900" s="20"/>
      <c r="AG8900" s="20"/>
      <c r="AQ8900" s="19"/>
      <c r="AR8900" s="19"/>
      <c r="AS8900" s="19"/>
      <c r="AT8900" s="19"/>
      <c r="AU8900" s="19"/>
    </row>
    <row r="8901" spans="3:47">
      <c r="C8901" s="20"/>
      <c r="Z8901" s="20"/>
      <c r="AG8901" s="20"/>
      <c r="AQ8901" s="19"/>
      <c r="AR8901" s="19"/>
      <c r="AS8901" s="19"/>
      <c r="AT8901" s="19"/>
      <c r="AU8901" s="19"/>
    </row>
    <row r="8902" spans="3:47">
      <c r="C8902" s="20"/>
      <c r="Z8902" s="20"/>
      <c r="AG8902" s="20"/>
      <c r="AQ8902" s="19"/>
      <c r="AR8902" s="19"/>
      <c r="AS8902" s="19"/>
      <c r="AT8902" s="19"/>
      <c r="AU8902" s="19"/>
    </row>
    <row r="8903" spans="3:47">
      <c r="C8903" s="20"/>
      <c r="Z8903" s="20"/>
      <c r="AG8903" s="20"/>
      <c r="AQ8903" s="19"/>
      <c r="AR8903" s="19"/>
      <c r="AS8903" s="19"/>
      <c r="AT8903" s="19"/>
      <c r="AU8903" s="19"/>
    </row>
    <row r="8904" spans="3:47">
      <c r="C8904" s="20"/>
      <c r="Z8904" s="20"/>
      <c r="AG8904" s="20"/>
      <c r="AQ8904" s="19"/>
      <c r="AR8904" s="19"/>
      <c r="AS8904" s="19"/>
      <c r="AT8904" s="19"/>
      <c r="AU8904" s="19"/>
    </row>
    <row r="8905" spans="3:47">
      <c r="C8905" s="20"/>
      <c r="Z8905" s="20"/>
      <c r="AG8905" s="20"/>
      <c r="AQ8905" s="19"/>
      <c r="AR8905" s="19"/>
      <c r="AS8905" s="19"/>
      <c r="AT8905" s="19"/>
      <c r="AU8905" s="19"/>
    </row>
    <row r="8906" spans="3:47">
      <c r="C8906" s="20"/>
      <c r="Z8906" s="20"/>
      <c r="AG8906" s="20"/>
      <c r="AQ8906" s="19"/>
      <c r="AR8906" s="19"/>
      <c r="AS8906" s="19"/>
      <c r="AT8906" s="19"/>
      <c r="AU8906" s="19"/>
    </row>
    <row r="8907" spans="3:47">
      <c r="C8907" s="20"/>
      <c r="Z8907" s="20"/>
      <c r="AG8907" s="20"/>
      <c r="AQ8907" s="19"/>
      <c r="AR8907" s="19"/>
      <c r="AS8907" s="19"/>
      <c r="AT8907" s="19"/>
      <c r="AU8907" s="19"/>
    </row>
    <row r="8908" spans="3:47">
      <c r="C8908" s="20"/>
      <c r="Z8908" s="20"/>
      <c r="AG8908" s="20"/>
      <c r="AQ8908" s="19"/>
      <c r="AR8908" s="19"/>
      <c r="AS8908" s="19"/>
      <c r="AT8908" s="19"/>
      <c r="AU8908" s="19"/>
    </row>
    <row r="8909" spans="3:47">
      <c r="C8909" s="20"/>
      <c r="Z8909" s="20"/>
      <c r="AG8909" s="20"/>
      <c r="AQ8909" s="19"/>
      <c r="AR8909" s="19"/>
      <c r="AS8909" s="19"/>
      <c r="AT8909" s="19"/>
      <c r="AU8909" s="19"/>
    </row>
    <row r="8910" spans="3:47">
      <c r="C8910" s="20"/>
      <c r="Z8910" s="20"/>
      <c r="AG8910" s="20"/>
      <c r="AQ8910" s="19"/>
      <c r="AR8910" s="19"/>
      <c r="AS8910" s="19"/>
      <c r="AT8910" s="19"/>
      <c r="AU8910" s="19"/>
    </row>
    <row r="8911" spans="3:47">
      <c r="C8911" s="20"/>
      <c r="Z8911" s="20"/>
      <c r="AG8911" s="20"/>
      <c r="AQ8911" s="19"/>
      <c r="AR8911" s="19"/>
      <c r="AS8911" s="19"/>
      <c r="AT8911" s="19"/>
      <c r="AU8911" s="19"/>
    </row>
    <row r="8912" spans="3:47">
      <c r="C8912" s="20"/>
      <c r="Z8912" s="20"/>
      <c r="AG8912" s="20"/>
      <c r="AQ8912" s="19"/>
      <c r="AR8912" s="19"/>
      <c r="AS8912" s="19"/>
      <c r="AT8912" s="19"/>
      <c r="AU8912" s="19"/>
    </row>
    <row r="8913" spans="3:47">
      <c r="C8913" s="20"/>
      <c r="Z8913" s="20"/>
      <c r="AG8913" s="20"/>
      <c r="AQ8913" s="19"/>
      <c r="AR8913" s="19"/>
      <c r="AS8913" s="19"/>
      <c r="AT8913" s="19"/>
      <c r="AU8913" s="19"/>
    </row>
    <row r="8914" spans="3:47">
      <c r="C8914" s="20"/>
      <c r="Z8914" s="20"/>
      <c r="AG8914" s="20"/>
      <c r="AQ8914" s="19"/>
      <c r="AR8914" s="19"/>
      <c r="AS8914" s="19"/>
      <c r="AT8914" s="19"/>
      <c r="AU8914" s="19"/>
    </row>
    <row r="8915" spans="3:47">
      <c r="C8915" s="20"/>
      <c r="Z8915" s="20"/>
      <c r="AG8915" s="20"/>
      <c r="AQ8915" s="19"/>
      <c r="AR8915" s="19"/>
      <c r="AS8915" s="19"/>
      <c r="AT8915" s="19"/>
      <c r="AU8915" s="19"/>
    </row>
    <row r="8916" spans="3:47">
      <c r="C8916" s="20"/>
      <c r="Z8916" s="20"/>
      <c r="AG8916" s="20"/>
      <c r="AQ8916" s="19"/>
      <c r="AR8916" s="19"/>
      <c r="AS8916" s="19"/>
      <c r="AT8916" s="19"/>
      <c r="AU8916" s="19"/>
    </row>
    <row r="8917" spans="3:47">
      <c r="C8917" s="20"/>
      <c r="Z8917" s="20"/>
      <c r="AG8917" s="20"/>
      <c r="AQ8917" s="19"/>
      <c r="AR8917" s="19"/>
      <c r="AS8917" s="19"/>
      <c r="AT8917" s="19"/>
      <c r="AU8917" s="19"/>
    </row>
    <row r="8918" spans="3:47">
      <c r="C8918" s="20"/>
      <c r="Z8918" s="20"/>
      <c r="AG8918" s="20"/>
      <c r="AQ8918" s="19"/>
      <c r="AR8918" s="19"/>
      <c r="AS8918" s="19"/>
      <c r="AT8918" s="19"/>
      <c r="AU8918" s="19"/>
    </row>
    <row r="8919" spans="3:47">
      <c r="C8919" s="20"/>
      <c r="Z8919" s="20"/>
      <c r="AG8919" s="20"/>
      <c r="AQ8919" s="19"/>
      <c r="AR8919" s="19"/>
      <c r="AS8919" s="19"/>
      <c r="AT8919" s="19"/>
      <c r="AU8919" s="19"/>
    </row>
    <row r="8920" spans="3:47">
      <c r="C8920" s="20"/>
      <c r="Z8920" s="20"/>
      <c r="AG8920" s="20"/>
      <c r="AQ8920" s="19"/>
      <c r="AR8920" s="19"/>
      <c r="AS8920" s="19"/>
      <c r="AT8920" s="19"/>
      <c r="AU8920" s="19"/>
    </row>
    <row r="8921" spans="3:47">
      <c r="C8921" s="20"/>
      <c r="Z8921" s="20"/>
      <c r="AG8921" s="20"/>
      <c r="AQ8921" s="19"/>
      <c r="AR8921" s="19"/>
      <c r="AS8921" s="19"/>
      <c r="AT8921" s="19"/>
      <c r="AU8921" s="19"/>
    </row>
    <row r="8922" spans="3:47">
      <c r="C8922" s="20"/>
      <c r="Z8922" s="20"/>
      <c r="AG8922" s="20"/>
      <c r="AQ8922" s="19"/>
      <c r="AR8922" s="19"/>
      <c r="AS8922" s="19"/>
      <c r="AT8922" s="19"/>
      <c r="AU8922" s="19"/>
    </row>
    <row r="8923" spans="3:47">
      <c r="C8923" s="20"/>
      <c r="Z8923" s="20"/>
      <c r="AG8923" s="20"/>
      <c r="AQ8923" s="19"/>
      <c r="AR8923" s="19"/>
      <c r="AS8923" s="19"/>
      <c r="AT8923" s="19"/>
      <c r="AU8923" s="19"/>
    </row>
    <row r="8924" spans="3:47">
      <c r="C8924" s="20"/>
      <c r="Z8924" s="20"/>
      <c r="AG8924" s="20"/>
      <c r="AQ8924" s="19"/>
      <c r="AR8924" s="19"/>
      <c r="AS8924" s="19"/>
      <c r="AT8924" s="19"/>
      <c r="AU8924" s="19"/>
    </row>
    <row r="8925" spans="3:47">
      <c r="C8925" s="20"/>
      <c r="Z8925" s="20"/>
      <c r="AG8925" s="20"/>
      <c r="AQ8925" s="19"/>
      <c r="AR8925" s="19"/>
      <c r="AS8925" s="19"/>
      <c r="AT8925" s="19"/>
      <c r="AU8925" s="19"/>
    </row>
    <row r="8926" spans="3:47">
      <c r="C8926" s="20"/>
      <c r="Z8926" s="20"/>
      <c r="AG8926" s="20"/>
      <c r="AQ8926" s="19"/>
      <c r="AR8926" s="19"/>
      <c r="AS8926" s="19"/>
      <c r="AT8926" s="19"/>
      <c r="AU8926" s="19"/>
    </row>
    <row r="8927" spans="3:47">
      <c r="C8927" s="20"/>
      <c r="Z8927" s="20"/>
      <c r="AG8927" s="20"/>
      <c r="AQ8927" s="19"/>
      <c r="AR8927" s="19"/>
      <c r="AS8927" s="19"/>
      <c r="AT8927" s="19"/>
      <c r="AU8927" s="19"/>
    </row>
    <row r="8928" spans="3:47">
      <c r="C8928" s="20"/>
      <c r="Z8928" s="20"/>
      <c r="AG8928" s="20"/>
      <c r="AQ8928" s="19"/>
      <c r="AR8928" s="19"/>
      <c r="AS8928" s="19"/>
      <c r="AT8928" s="19"/>
      <c r="AU8928" s="19"/>
    </row>
    <row r="8929" spans="3:47">
      <c r="C8929" s="20"/>
      <c r="Z8929" s="20"/>
      <c r="AG8929" s="20"/>
      <c r="AQ8929" s="19"/>
      <c r="AR8929" s="19"/>
      <c r="AS8929" s="19"/>
      <c r="AT8929" s="19"/>
      <c r="AU8929" s="19"/>
    </row>
    <row r="8930" spans="3:47">
      <c r="C8930" s="20"/>
      <c r="Z8930" s="20"/>
      <c r="AG8930" s="20"/>
      <c r="AQ8930" s="19"/>
      <c r="AR8930" s="19"/>
      <c r="AS8930" s="19"/>
      <c r="AT8930" s="19"/>
      <c r="AU8930" s="19"/>
    </row>
    <row r="8931" spans="3:47">
      <c r="C8931" s="20"/>
      <c r="Z8931" s="20"/>
      <c r="AG8931" s="20"/>
      <c r="AQ8931" s="19"/>
      <c r="AR8931" s="19"/>
      <c r="AS8931" s="19"/>
      <c r="AT8931" s="19"/>
      <c r="AU8931" s="19"/>
    </row>
    <row r="8932" spans="3:47">
      <c r="C8932" s="20"/>
      <c r="Z8932" s="20"/>
      <c r="AG8932" s="20"/>
      <c r="AQ8932" s="19"/>
      <c r="AR8932" s="19"/>
      <c r="AS8932" s="19"/>
      <c r="AT8932" s="19"/>
      <c r="AU8932" s="19"/>
    </row>
    <row r="8933" spans="3:47">
      <c r="C8933" s="20"/>
      <c r="Z8933" s="20"/>
      <c r="AG8933" s="20"/>
      <c r="AQ8933" s="19"/>
      <c r="AR8933" s="19"/>
      <c r="AS8933" s="19"/>
      <c r="AT8933" s="19"/>
      <c r="AU8933" s="19"/>
    </row>
    <row r="8934" spans="3:47">
      <c r="C8934" s="20"/>
      <c r="Z8934" s="20"/>
      <c r="AG8934" s="20"/>
      <c r="AQ8934" s="19"/>
      <c r="AR8934" s="19"/>
      <c r="AS8934" s="19"/>
      <c r="AT8934" s="19"/>
      <c r="AU8934" s="19"/>
    </row>
    <row r="8935" spans="3:47">
      <c r="C8935" s="20"/>
      <c r="Z8935" s="20"/>
      <c r="AG8935" s="20"/>
      <c r="AQ8935" s="19"/>
      <c r="AR8935" s="19"/>
      <c r="AS8935" s="19"/>
      <c r="AT8935" s="19"/>
      <c r="AU8935" s="19"/>
    </row>
    <row r="8936" spans="3:47">
      <c r="C8936" s="20"/>
      <c r="Z8936" s="20"/>
      <c r="AG8936" s="20"/>
      <c r="AQ8936" s="19"/>
      <c r="AR8936" s="19"/>
      <c r="AS8936" s="19"/>
      <c r="AT8936" s="19"/>
      <c r="AU8936" s="19"/>
    </row>
    <row r="8937" spans="3:47">
      <c r="C8937" s="20"/>
      <c r="Z8937" s="20"/>
      <c r="AG8937" s="20"/>
      <c r="AQ8937" s="19"/>
      <c r="AR8937" s="19"/>
      <c r="AS8937" s="19"/>
      <c r="AT8937" s="19"/>
      <c r="AU8937" s="19"/>
    </row>
    <row r="8938" spans="3:47">
      <c r="C8938" s="20"/>
      <c r="Z8938" s="20"/>
      <c r="AG8938" s="20"/>
      <c r="AQ8938" s="19"/>
      <c r="AR8938" s="19"/>
      <c r="AS8938" s="19"/>
      <c r="AT8938" s="19"/>
      <c r="AU8938" s="19"/>
    </row>
    <row r="8939" spans="3:47">
      <c r="C8939" s="20"/>
      <c r="Z8939" s="20"/>
      <c r="AG8939" s="20"/>
      <c r="AQ8939" s="19"/>
      <c r="AR8939" s="19"/>
      <c r="AS8939" s="19"/>
      <c r="AT8939" s="19"/>
      <c r="AU8939" s="19"/>
    </row>
    <row r="8940" spans="3:47">
      <c r="C8940" s="20"/>
      <c r="Z8940" s="20"/>
      <c r="AG8940" s="20"/>
      <c r="AQ8940" s="19"/>
      <c r="AR8940" s="19"/>
      <c r="AS8940" s="19"/>
      <c r="AT8940" s="19"/>
      <c r="AU8940" s="19"/>
    </row>
    <row r="8941" spans="3:47">
      <c r="C8941" s="20"/>
      <c r="Z8941" s="20"/>
      <c r="AG8941" s="20"/>
      <c r="AQ8941" s="19"/>
      <c r="AR8941" s="19"/>
      <c r="AS8941" s="19"/>
      <c r="AT8941" s="19"/>
      <c r="AU8941" s="19"/>
    </row>
    <row r="8942" spans="3:47">
      <c r="C8942" s="20"/>
      <c r="Z8942" s="20"/>
      <c r="AG8942" s="20"/>
      <c r="AQ8942" s="19"/>
      <c r="AR8942" s="19"/>
      <c r="AS8942" s="19"/>
      <c r="AT8942" s="19"/>
      <c r="AU8942" s="19"/>
    </row>
    <row r="8943" spans="3:47">
      <c r="C8943" s="20"/>
      <c r="Z8943" s="20"/>
      <c r="AG8943" s="20"/>
      <c r="AQ8943" s="19"/>
      <c r="AR8943" s="19"/>
      <c r="AS8943" s="19"/>
      <c r="AT8943" s="19"/>
      <c r="AU8943" s="19"/>
    </row>
    <row r="8944" spans="3:47">
      <c r="C8944" s="20"/>
      <c r="Z8944" s="20"/>
      <c r="AG8944" s="20"/>
      <c r="AQ8944" s="19"/>
      <c r="AR8944" s="19"/>
      <c r="AS8944" s="19"/>
      <c r="AT8944" s="19"/>
      <c r="AU8944" s="19"/>
    </row>
    <row r="8945" spans="3:47">
      <c r="C8945" s="20"/>
      <c r="Z8945" s="20"/>
      <c r="AG8945" s="20"/>
      <c r="AQ8945" s="19"/>
      <c r="AR8945" s="19"/>
      <c r="AS8945" s="19"/>
      <c r="AT8945" s="19"/>
      <c r="AU8945" s="19"/>
    </row>
    <row r="8946" spans="3:47">
      <c r="C8946" s="20"/>
      <c r="Z8946" s="20"/>
      <c r="AG8946" s="20"/>
      <c r="AQ8946" s="19"/>
      <c r="AR8946" s="19"/>
      <c r="AS8946" s="19"/>
      <c r="AT8946" s="19"/>
      <c r="AU8946" s="19"/>
    </row>
    <row r="8947" spans="3:47">
      <c r="C8947" s="20"/>
      <c r="Z8947" s="20"/>
      <c r="AG8947" s="20"/>
      <c r="AQ8947" s="19"/>
      <c r="AR8947" s="19"/>
      <c r="AS8947" s="19"/>
      <c r="AT8947" s="19"/>
      <c r="AU8947" s="19"/>
    </row>
    <row r="8948" spans="3:47">
      <c r="C8948" s="20"/>
      <c r="Z8948" s="20"/>
      <c r="AG8948" s="20"/>
      <c r="AQ8948" s="19"/>
      <c r="AR8948" s="19"/>
      <c r="AS8948" s="19"/>
      <c r="AT8948" s="19"/>
      <c r="AU8948" s="19"/>
    </row>
    <row r="8949" spans="3:47">
      <c r="C8949" s="20"/>
      <c r="Z8949" s="20"/>
      <c r="AG8949" s="20"/>
      <c r="AQ8949" s="19"/>
      <c r="AR8949" s="19"/>
      <c r="AS8949" s="19"/>
      <c r="AT8949" s="19"/>
      <c r="AU8949" s="19"/>
    </row>
    <row r="8950" spans="3:47">
      <c r="C8950" s="20"/>
      <c r="Z8950" s="20"/>
      <c r="AG8950" s="20"/>
      <c r="AQ8950" s="19"/>
      <c r="AR8950" s="19"/>
      <c r="AS8950" s="19"/>
      <c r="AT8950" s="19"/>
      <c r="AU8950" s="19"/>
    </row>
    <row r="8951" spans="3:47">
      <c r="C8951" s="20"/>
      <c r="Z8951" s="20"/>
      <c r="AG8951" s="20"/>
      <c r="AQ8951" s="19"/>
      <c r="AR8951" s="19"/>
      <c r="AS8951" s="19"/>
      <c r="AT8951" s="19"/>
      <c r="AU8951" s="19"/>
    </row>
    <row r="8952" spans="3:47">
      <c r="C8952" s="20"/>
      <c r="Z8952" s="20"/>
      <c r="AG8952" s="20"/>
      <c r="AQ8952" s="19"/>
      <c r="AR8952" s="19"/>
      <c r="AS8952" s="19"/>
      <c r="AT8952" s="19"/>
      <c r="AU8952" s="19"/>
    </row>
    <row r="8953" spans="3:47">
      <c r="C8953" s="20"/>
      <c r="Z8953" s="20"/>
      <c r="AG8953" s="20"/>
      <c r="AQ8953" s="19"/>
      <c r="AR8953" s="19"/>
      <c r="AS8953" s="19"/>
      <c r="AT8953" s="19"/>
      <c r="AU8953" s="19"/>
    </row>
    <row r="8954" spans="3:47">
      <c r="C8954" s="20"/>
      <c r="Z8954" s="20"/>
      <c r="AG8954" s="20"/>
      <c r="AQ8954" s="19"/>
      <c r="AR8954" s="19"/>
      <c r="AS8954" s="19"/>
      <c r="AT8954" s="19"/>
      <c r="AU8954" s="19"/>
    </row>
    <row r="8955" spans="3:47">
      <c r="C8955" s="20"/>
      <c r="Z8955" s="20"/>
      <c r="AG8955" s="20"/>
      <c r="AQ8955" s="19"/>
      <c r="AR8955" s="19"/>
      <c r="AS8955" s="19"/>
      <c r="AT8955" s="19"/>
      <c r="AU8955" s="19"/>
    </row>
    <row r="8956" spans="3:47">
      <c r="C8956" s="20"/>
      <c r="Z8956" s="20"/>
      <c r="AG8956" s="20"/>
      <c r="AQ8956" s="19"/>
      <c r="AR8956" s="19"/>
      <c r="AS8956" s="19"/>
      <c r="AT8956" s="19"/>
      <c r="AU8956" s="19"/>
    </row>
    <row r="8957" spans="3:47">
      <c r="C8957" s="20"/>
      <c r="Z8957" s="20"/>
      <c r="AG8957" s="20"/>
      <c r="AQ8957" s="19"/>
      <c r="AR8957" s="19"/>
      <c r="AS8957" s="19"/>
      <c r="AT8957" s="19"/>
      <c r="AU8957" s="19"/>
    </row>
    <row r="8958" spans="3:47">
      <c r="C8958" s="20"/>
      <c r="Z8958" s="20"/>
      <c r="AG8958" s="20"/>
      <c r="AQ8958" s="19"/>
      <c r="AR8958" s="19"/>
      <c r="AS8958" s="19"/>
      <c r="AT8958" s="19"/>
      <c r="AU8958" s="19"/>
    </row>
    <row r="8959" spans="3:47">
      <c r="C8959" s="20"/>
      <c r="Z8959" s="20"/>
      <c r="AG8959" s="20"/>
      <c r="AQ8959" s="19"/>
      <c r="AR8959" s="19"/>
      <c r="AS8959" s="19"/>
      <c r="AT8959" s="19"/>
      <c r="AU8959" s="19"/>
    </row>
    <row r="8960" spans="3:47">
      <c r="C8960" s="20"/>
      <c r="Z8960" s="20"/>
      <c r="AG8960" s="20"/>
      <c r="AQ8960" s="19"/>
      <c r="AR8960" s="19"/>
      <c r="AS8960" s="19"/>
      <c r="AT8960" s="19"/>
      <c r="AU8960" s="19"/>
    </row>
    <row r="8961" spans="3:47">
      <c r="C8961" s="20"/>
      <c r="Z8961" s="20"/>
      <c r="AG8961" s="20"/>
      <c r="AQ8961" s="19"/>
      <c r="AR8961" s="19"/>
      <c r="AS8961" s="19"/>
      <c r="AT8961" s="19"/>
      <c r="AU8961" s="19"/>
    </row>
    <row r="8962" spans="3:47">
      <c r="C8962" s="20"/>
      <c r="Z8962" s="20"/>
      <c r="AG8962" s="20"/>
      <c r="AQ8962" s="19"/>
      <c r="AR8962" s="19"/>
      <c r="AS8962" s="19"/>
      <c r="AT8962" s="19"/>
      <c r="AU8962" s="19"/>
    </row>
    <row r="8963" spans="3:47">
      <c r="C8963" s="20"/>
      <c r="Z8963" s="20"/>
      <c r="AG8963" s="20"/>
      <c r="AQ8963" s="19"/>
      <c r="AR8963" s="19"/>
      <c r="AS8963" s="19"/>
      <c r="AT8963" s="19"/>
      <c r="AU8963" s="19"/>
    </row>
    <row r="8964" spans="3:47">
      <c r="C8964" s="20"/>
      <c r="Z8964" s="20"/>
      <c r="AG8964" s="20"/>
      <c r="AQ8964" s="19"/>
      <c r="AR8964" s="19"/>
      <c r="AS8964" s="19"/>
      <c r="AT8964" s="19"/>
      <c r="AU8964" s="19"/>
    </row>
    <row r="8965" spans="3:47">
      <c r="C8965" s="20"/>
      <c r="Z8965" s="20"/>
      <c r="AG8965" s="20"/>
      <c r="AQ8965" s="19"/>
      <c r="AR8965" s="19"/>
      <c r="AS8965" s="19"/>
      <c r="AT8965" s="19"/>
      <c r="AU8965" s="19"/>
    </row>
    <row r="8966" spans="3:47">
      <c r="C8966" s="20"/>
      <c r="Z8966" s="20"/>
      <c r="AG8966" s="20"/>
      <c r="AQ8966" s="19"/>
      <c r="AR8966" s="19"/>
      <c r="AS8966" s="19"/>
      <c r="AT8966" s="19"/>
      <c r="AU8966" s="19"/>
    </row>
    <row r="8967" spans="3:47">
      <c r="C8967" s="20"/>
      <c r="Z8967" s="20"/>
      <c r="AG8967" s="20"/>
      <c r="AQ8967" s="19"/>
      <c r="AR8967" s="19"/>
      <c r="AS8967" s="19"/>
      <c r="AT8967" s="19"/>
      <c r="AU8967" s="19"/>
    </row>
    <row r="8968" spans="3:47">
      <c r="C8968" s="20"/>
      <c r="Z8968" s="20"/>
      <c r="AG8968" s="20"/>
      <c r="AQ8968" s="19"/>
      <c r="AR8968" s="19"/>
      <c r="AS8968" s="19"/>
      <c r="AT8968" s="19"/>
      <c r="AU8968" s="19"/>
    </row>
    <row r="8969" spans="3:47">
      <c r="C8969" s="20"/>
      <c r="Z8969" s="20"/>
      <c r="AG8969" s="20"/>
      <c r="AQ8969" s="19"/>
      <c r="AR8969" s="19"/>
      <c r="AS8969" s="19"/>
      <c r="AT8969" s="19"/>
      <c r="AU8969" s="19"/>
    </row>
    <row r="8970" spans="3:47">
      <c r="C8970" s="20"/>
      <c r="Z8970" s="20"/>
      <c r="AG8970" s="20"/>
      <c r="AQ8970" s="19"/>
      <c r="AR8970" s="19"/>
      <c r="AS8970" s="19"/>
      <c r="AT8970" s="19"/>
      <c r="AU8970" s="19"/>
    </row>
    <row r="8971" spans="3:47">
      <c r="C8971" s="20"/>
      <c r="Z8971" s="20"/>
      <c r="AG8971" s="20"/>
      <c r="AQ8971" s="19"/>
      <c r="AR8971" s="19"/>
      <c r="AS8971" s="19"/>
      <c r="AT8971" s="19"/>
      <c r="AU8971" s="19"/>
    </row>
    <row r="8972" spans="3:47">
      <c r="C8972" s="20"/>
      <c r="Z8972" s="20"/>
      <c r="AG8972" s="20"/>
      <c r="AQ8972" s="19"/>
      <c r="AR8972" s="19"/>
      <c r="AS8972" s="19"/>
      <c r="AT8972" s="19"/>
      <c r="AU8972" s="19"/>
    </row>
    <row r="8973" spans="3:47">
      <c r="C8973" s="20"/>
      <c r="Z8973" s="20"/>
      <c r="AG8973" s="20"/>
      <c r="AQ8973" s="19"/>
      <c r="AR8973" s="19"/>
      <c r="AS8973" s="19"/>
      <c r="AT8973" s="19"/>
      <c r="AU8973" s="19"/>
    </row>
    <row r="8974" spans="3:47">
      <c r="C8974" s="20"/>
      <c r="Z8974" s="20"/>
      <c r="AG8974" s="20"/>
      <c r="AQ8974" s="19"/>
      <c r="AR8974" s="19"/>
      <c r="AS8974" s="19"/>
      <c r="AT8974" s="19"/>
      <c r="AU8974" s="19"/>
    </row>
    <row r="8975" spans="3:47">
      <c r="C8975" s="20"/>
      <c r="Z8975" s="20"/>
      <c r="AG8975" s="20"/>
      <c r="AQ8975" s="19"/>
      <c r="AR8975" s="19"/>
      <c r="AS8975" s="19"/>
      <c r="AT8975" s="19"/>
      <c r="AU8975" s="19"/>
    </row>
    <row r="8976" spans="3:47">
      <c r="C8976" s="20"/>
      <c r="Z8976" s="20"/>
      <c r="AG8976" s="20"/>
      <c r="AQ8976" s="19"/>
      <c r="AR8976" s="19"/>
      <c r="AS8976" s="19"/>
      <c r="AT8976" s="19"/>
      <c r="AU8976" s="19"/>
    </row>
    <row r="8977" spans="3:47">
      <c r="C8977" s="20"/>
      <c r="Z8977" s="20"/>
      <c r="AG8977" s="20"/>
      <c r="AQ8977" s="19"/>
      <c r="AR8977" s="19"/>
      <c r="AS8977" s="19"/>
      <c r="AT8977" s="19"/>
      <c r="AU8977" s="19"/>
    </row>
    <row r="8978" spans="3:47">
      <c r="C8978" s="20"/>
      <c r="Z8978" s="20"/>
      <c r="AG8978" s="20"/>
      <c r="AQ8978" s="19"/>
      <c r="AR8978" s="19"/>
      <c r="AS8978" s="19"/>
      <c r="AT8978" s="19"/>
      <c r="AU8978" s="19"/>
    </row>
    <row r="8979" spans="3:47">
      <c r="C8979" s="20"/>
      <c r="Z8979" s="20"/>
      <c r="AG8979" s="20"/>
      <c r="AQ8979" s="19"/>
      <c r="AR8979" s="19"/>
      <c r="AS8979" s="19"/>
      <c r="AT8979" s="19"/>
      <c r="AU8979" s="19"/>
    </row>
    <row r="8980" spans="3:47">
      <c r="C8980" s="20"/>
      <c r="Z8980" s="20"/>
      <c r="AG8980" s="20"/>
      <c r="AQ8980" s="19"/>
      <c r="AR8980" s="19"/>
      <c r="AS8980" s="19"/>
      <c r="AT8980" s="19"/>
      <c r="AU8980" s="19"/>
    </row>
    <row r="8981" spans="3:47">
      <c r="C8981" s="20"/>
      <c r="Z8981" s="20"/>
      <c r="AG8981" s="20"/>
      <c r="AQ8981" s="19"/>
      <c r="AR8981" s="19"/>
      <c r="AS8981" s="19"/>
      <c r="AT8981" s="19"/>
      <c r="AU8981" s="19"/>
    </row>
    <row r="8982" spans="3:47">
      <c r="C8982" s="20"/>
      <c r="Z8982" s="20"/>
      <c r="AG8982" s="20"/>
      <c r="AQ8982" s="19"/>
      <c r="AR8982" s="19"/>
      <c r="AS8982" s="19"/>
      <c r="AT8982" s="19"/>
      <c r="AU8982" s="19"/>
    </row>
    <row r="8983" spans="3:47">
      <c r="C8983" s="20"/>
      <c r="Z8983" s="20"/>
      <c r="AG8983" s="20"/>
      <c r="AQ8983" s="19"/>
      <c r="AR8983" s="19"/>
      <c r="AS8983" s="19"/>
      <c r="AT8983" s="19"/>
      <c r="AU8983" s="19"/>
    </row>
    <row r="8984" spans="3:47">
      <c r="C8984" s="20"/>
      <c r="Z8984" s="20"/>
      <c r="AG8984" s="20"/>
      <c r="AQ8984" s="19"/>
      <c r="AR8984" s="19"/>
      <c r="AS8984" s="19"/>
      <c r="AT8984" s="19"/>
      <c r="AU8984" s="19"/>
    </row>
    <row r="8985" spans="3:47">
      <c r="C8985" s="20"/>
      <c r="Z8985" s="20"/>
      <c r="AG8985" s="20"/>
      <c r="AQ8985" s="19"/>
      <c r="AR8985" s="19"/>
      <c r="AS8985" s="19"/>
      <c r="AT8985" s="19"/>
      <c r="AU8985" s="19"/>
    </row>
    <row r="8986" spans="3:47">
      <c r="C8986" s="20"/>
      <c r="Z8986" s="20"/>
      <c r="AG8986" s="20"/>
      <c r="AQ8986" s="19"/>
      <c r="AR8986" s="19"/>
      <c r="AS8986" s="19"/>
      <c r="AT8986" s="19"/>
      <c r="AU8986" s="19"/>
    </row>
    <row r="8987" spans="3:47">
      <c r="C8987" s="20"/>
      <c r="Z8987" s="20"/>
      <c r="AG8987" s="20"/>
      <c r="AQ8987" s="19"/>
      <c r="AR8987" s="19"/>
      <c r="AS8987" s="19"/>
      <c r="AT8987" s="19"/>
      <c r="AU8987" s="19"/>
    </row>
    <row r="8988" spans="3:47">
      <c r="C8988" s="20"/>
      <c r="Z8988" s="20"/>
      <c r="AG8988" s="20"/>
      <c r="AQ8988" s="19"/>
      <c r="AR8988" s="19"/>
      <c r="AS8988" s="19"/>
      <c r="AT8988" s="19"/>
      <c r="AU8988" s="19"/>
    </row>
    <row r="8989" spans="3:47">
      <c r="C8989" s="20"/>
      <c r="Z8989" s="20"/>
      <c r="AG8989" s="20"/>
      <c r="AQ8989" s="19"/>
      <c r="AR8989" s="19"/>
      <c r="AS8989" s="19"/>
      <c r="AT8989" s="19"/>
      <c r="AU8989" s="19"/>
    </row>
    <row r="8990" spans="3:47">
      <c r="C8990" s="20"/>
      <c r="Z8990" s="20"/>
      <c r="AG8990" s="20"/>
      <c r="AQ8990" s="19"/>
      <c r="AR8990" s="19"/>
      <c r="AS8990" s="19"/>
      <c r="AT8990" s="19"/>
      <c r="AU8990" s="19"/>
    </row>
    <row r="8991" spans="3:47">
      <c r="C8991" s="20"/>
      <c r="Z8991" s="20"/>
      <c r="AG8991" s="20"/>
      <c r="AQ8991" s="19"/>
      <c r="AR8991" s="19"/>
      <c r="AS8991" s="19"/>
      <c r="AT8991" s="19"/>
      <c r="AU8991" s="19"/>
    </row>
    <row r="8992" spans="3:47">
      <c r="C8992" s="20"/>
      <c r="Z8992" s="20"/>
      <c r="AG8992" s="20"/>
      <c r="AQ8992" s="19"/>
      <c r="AR8992" s="19"/>
      <c r="AS8992" s="19"/>
      <c r="AT8992" s="19"/>
      <c r="AU8992" s="19"/>
    </row>
    <row r="8993" spans="3:47">
      <c r="C8993" s="20"/>
      <c r="Z8993" s="20"/>
      <c r="AG8993" s="20"/>
      <c r="AQ8993" s="19"/>
      <c r="AR8993" s="19"/>
      <c r="AS8993" s="19"/>
      <c r="AT8993" s="19"/>
      <c r="AU8993" s="19"/>
    </row>
    <row r="8994" spans="3:47">
      <c r="C8994" s="20"/>
      <c r="Z8994" s="20"/>
      <c r="AG8994" s="20"/>
      <c r="AQ8994" s="19"/>
      <c r="AR8994" s="19"/>
      <c r="AS8994" s="19"/>
      <c r="AT8994" s="19"/>
      <c r="AU8994" s="19"/>
    </row>
    <row r="8995" spans="3:47">
      <c r="C8995" s="20"/>
      <c r="Z8995" s="20"/>
      <c r="AG8995" s="20"/>
      <c r="AQ8995" s="19"/>
      <c r="AR8995" s="19"/>
      <c r="AS8995" s="19"/>
      <c r="AT8995" s="19"/>
      <c r="AU8995" s="19"/>
    </row>
    <row r="8996" spans="3:47">
      <c r="C8996" s="20"/>
      <c r="Z8996" s="20"/>
      <c r="AG8996" s="20"/>
      <c r="AQ8996" s="19"/>
      <c r="AR8996" s="19"/>
      <c r="AS8996" s="19"/>
      <c r="AT8996" s="19"/>
      <c r="AU8996" s="19"/>
    </row>
    <row r="8997" spans="3:47">
      <c r="C8997" s="20"/>
      <c r="Z8997" s="20"/>
      <c r="AG8997" s="20"/>
      <c r="AQ8997" s="19"/>
      <c r="AR8997" s="19"/>
      <c r="AS8997" s="19"/>
      <c r="AT8997" s="19"/>
      <c r="AU8997" s="19"/>
    </row>
    <row r="8998" spans="3:47">
      <c r="C8998" s="20"/>
      <c r="Z8998" s="20"/>
      <c r="AG8998" s="20"/>
      <c r="AQ8998" s="19"/>
      <c r="AR8998" s="19"/>
      <c r="AS8998" s="19"/>
      <c r="AT8998" s="19"/>
      <c r="AU8998" s="19"/>
    </row>
    <row r="8999" spans="3:47">
      <c r="C8999" s="20"/>
      <c r="Z8999" s="20"/>
      <c r="AG8999" s="20"/>
      <c r="AQ8999" s="19"/>
      <c r="AR8999" s="19"/>
      <c r="AS8999" s="19"/>
      <c r="AT8999" s="19"/>
      <c r="AU8999" s="19"/>
    </row>
    <row r="9000" spans="3:47">
      <c r="C9000" s="20"/>
      <c r="Z9000" s="20"/>
      <c r="AG9000" s="20"/>
      <c r="AQ9000" s="19"/>
      <c r="AR9000" s="19"/>
      <c r="AS9000" s="19"/>
      <c r="AT9000" s="19"/>
      <c r="AU9000" s="19"/>
    </row>
    <row r="9001" spans="3:47">
      <c r="C9001" s="20"/>
      <c r="Z9001" s="20"/>
      <c r="AG9001" s="20"/>
      <c r="AQ9001" s="19"/>
      <c r="AR9001" s="19"/>
      <c r="AS9001" s="19"/>
      <c r="AT9001" s="19"/>
      <c r="AU9001" s="19"/>
    </row>
    <row r="9002" spans="3:47">
      <c r="C9002" s="20"/>
      <c r="Z9002" s="20"/>
      <c r="AG9002" s="20"/>
      <c r="AQ9002" s="19"/>
      <c r="AR9002" s="19"/>
      <c r="AS9002" s="19"/>
      <c r="AT9002" s="19"/>
      <c r="AU9002" s="19"/>
    </row>
    <row r="9003" spans="3:47">
      <c r="C9003" s="20"/>
      <c r="Z9003" s="20"/>
      <c r="AG9003" s="20"/>
      <c r="AQ9003" s="19"/>
      <c r="AR9003" s="19"/>
      <c r="AS9003" s="19"/>
      <c r="AT9003" s="19"/>
      <c r="AU9003" s="19"/>
    </row>
    <row r="9004" spans="3:47">
      <c r="C9004" s="20"/>
      <c r="Z9004" s="20"/>
      <c r="AG9004" s="20"/>
      <c r="AQ9004" s="19"/>
      <c r="AR9004" s="19"/>
      <c r="AS9004" s="19"/>
      <c r="AT9004" s="19"/>
      <c r="AU9004" s="19"/>
    </row>
    <row r="9005" spans="3:47">
      <c r="C9005" s="20"/>
      <c r="Z9005" s="20"/>
      <c r="AG9005" s="20"/>
      <c r="AQ9005" s="19"/>
      <c r="AR9005" s="19"/>
      <c r="AS9005" s="19"/>
      <c r="AT9005" s="19"/>
      <c r="AU9005" s="19"/>
    </row>
    <row r="9006" spans="3:47">
      <c r="C9006" s="20"/>
      <c r="Z9006" s="20"/>
      <c r="AG9006" s="20"/>
      <c r="AQ9006" s="19"/>
      <c r="AR9006" s="19"/>
      <c r="AS9006" s="19"/>
      <c r="AT9006" s="19"/>
      <c r="AU9006" s="19"/>
    </row>
    <row r="9007" spans="3:47">
      <c r="C9007" s="20"/>
      <c r="Z9007" s="20"/>
      <c r="AG9007" s="20"/>
      <c r="AQ9007" s="19"/>
      <c r="AR9007" s="19"/>
      <c r="AS9007" s="19"/>
      <c r="AT9007" s="19"/>
      <c r="AU9007" s="19"/>
    </row>
    <row r="9008" spans="3:47">
      <c r="C9008" s="20"/>
      <c r="Z9008" s="20"/>
      <c r="AG9008" s="20"/>
      <c r="AQ9008" s="19"/>
      <c r="AR9008" s="19"/>
      <c r="AS9008" s="19"/>
      <c r="AT9008" s="19"/>
      <c r="AU9008" s="19"/>
    </row>
    <row r="9009" spans="3:47">
      <c r="C9009" s="20"/>
      <c r="Z9009" s="20"/>
      <c r="AG9009" s="20"/>
      <c r="AQ9009" s="19"/>
      <c r="AR9009" s="19"/>
      <c r="AS9009" s="19"/>
      <c r="AT9009" s="19"/>
      <c r="AU9009" s="19"/>
    </row>
    <row r="9010" spans="3:47">
      <c r="C9010" s="20"/>
      <c r="Z9010" s="20"/>
      <c r="AG9010" s="20"/>
      <c r="AQ9010" s="19"/>
      <c r="AR9010" s="19"/>
      <c r="AS9010" s="19"/>
      <c r="AT9010" s="19"/>
      <c r="AU9010" s="19"/>
    </row>
    <row r="9011" spans="3:47">
      <c r="C9011" s="20"/>
      <c r="Z9011" s="20"/>
      <c r="AG9011" s="20"/>
      <c r="AQ9011" s="19"/>
      <c r="AR9011" s="19"/>
      <c r="AS9011" s="19"/>
      <c r="AT9011" s="19"/>
      <c r="AU9011" s="19"/>
    </row>
    <row r="9012" spans="3:47">
      <c r="C9012" s="20"/>
      <c r="Z9012" s="20"/>
      <c r="AG9012" s="20"/>
      <c r="AQ9012" s="19"/>
      <c r="AR9012" s="19"/>
      <c r="AS9012" s="19"/>
      <c r="AT9012" s="19"/>
      <c r="AU9012" s="19"/>
    </row>
    <row r="9013" spans="3:47">
      <c r="C9013" s="20"/>
      <c r="Z9013" s="20"/>
      <c r="AG9013" s="20"/>
      <c r="AQ9013" s="19"/>
      <c r="AR9013" s="19"/>
      <c r="AS9013" s="19"/>
      <c r="AT9013" s="19"/>
      <c r="AU9013" s="19"/>
    </row>
    <row r="9014" spans="3:47">
      <c r="C9014" s="20"/>
      <c r="Z9014" s="20"/>
      <c r="AG9014" s="20"/>
      <c r="AQ9014" s="19"/>
      <c r="AR9014" s="19"/>
      <c r="AS9014" s="19"/>
      <c r="AT9014" s="19"/>
      <c r="AU9014" s="19"/>
    </row>
    <row r="9015" spans="3:47">
      <c r="C9015" s="20"/>
      <c r="Z9015" s="20"/>
      <c r="AG9015" s="20"/>
      <c r="AQ9015" s="19"/>
      <c r="AR9015" s="19"/>
      <c r="AS9015" s="19"/>
      <c r="AT9015" s="19"/>
      <c r="AU9015" s="19"/>
    </row>
    <row r="9016" spans="3:47">
      <c r="C9016" s="20"/>
      <c r="Z9016" s="20"/>
      <c r="AG9016" s="20"/>
      <c r="AQ9016" s="19"/>
      <c r="AR9016" s="19"/>
      <c r="AS9016" s="19"/>
      <c r="AT9016" s="19"/>
      <c r="AU9016" s="19"/>
    </row>
    <row r="9017" spans="3:47">
      <c r="C9017" s="20"/>
      <c r="Z9017" s="20"/>
      <c r="AG9017" s="20"/>
      <c r="AQ9017" s="19"/>
      <c r="AR9017" s="19"/>
      <c r="AS9017" s="19"/>
      <c r="AT9017" s="19"/>
      <c r="AU9017" s="19"/>
    </row>
    <row r="9018" spans="3:47">
      <c r="C9018" s="20"/>
      <c r="Z9018" s="20"/>
      <c r="AG9018" s="20"/>
      <c r="AQ9018" s="19"/>
      <c r="AR9018" s="19"/>
      <c r="AS9018" s="19"/>
      <c r="AT9018" s="19"/>
      <c r="AU9018" s="19"/>
    </row>
    <row r="9019" spans="3:47">
      <c r="C9019" s="20"/>
      <c r="Z9019" s="20"/>
      <c r="AG9019" s="20"/>
      <c r="AQ9019" s="19"/>
      <c r="AR9019" s="19"/>
      <c r="AS9019" s="19"/>
      <c r="AT9019" s="19"/>
      <c r="AU9019" s="19"/>
    </row>
    <row r="9020" spans="3:47">
      <c r="C9020" s="20"/>
      <c r="Z9020" s="20"/>
      <c r="AG9020" s="20"/>
      <c r="AQ9020" s="19"/>
      <c r="AR9020" s="19"/>
      <c r="AS9020" s="19"/>
      <c r="AT9020" s="19"/>
      <c r="AU9020" s="19"/>
    </row>
    <row r="9021" spans="3:47">
      <c r="C9021" s="20"/>
      <c r="Z9021" s="20"/>
      <c r="AG9021" s="20"/>
      <c r="AQ9021" s="19"/>
      <c r="AR9021" s="19"/>
      <c r="AS9021" s="19"/>
      <c r="AT9021" s="19"/>
      <c r="AU9021" s="19"/>
    </row>
    <row r="9022" spans="3:47">
      <c r="C9022" s="20"/>
      <c r="Z9022" s="20"/>
      <c r="AG9022" s="20"/>
      <c r="AQ9022" s="19"/>
      <c r="AR9022" s="19"/>
      <c r="AS9022" s="19"/>
      <c r="AT9022" s="19"/>
      <c r="AU9022" s="19"/>
    </row>
    <row r="9023" spans="3:47">
      <c r="C9023" s="20"/>
      <c r="Z9023" s="20"/>
      <c r="AG9023" s="20"/>
      <c r="AQ9023" s="19"/>
      <c r="AR9023" s="19"/>
      <c r="AS9023" s="19"/>
      <c r="AT9023" s="19"/>
      <c r="AU9023" s="19"/>
    </row>
    <row r="9024" spans="3:47">
      <c r="C9024" s="20"/>
      <c r="Z9024" s="20"/>
      <c r="AG9024" s="20"/>
      <c r="AQ9024" s="19"/>
      <c r="AR9024" s="19"/>
      <c r="AS9024" s="19"/>
      <c r="AT9024" s="19"/>
      <c r="AU9024" s="19"/>
    </row>
    <row r="9025" spans="3:47">
      <c r="C9025" s="20"/>
      <c r="Z9025" s="20"/>
      <c r="AG9025" s="20"/>
      <c r="AQ9025" s="19"/>
      <c r="AR9025" s="19"/>
      <c r="AS9025" s="19"/>
      <c r="AT9025" s="19"/>
      <c r="AU9025" s="19"/>
    </row>
    <row r="9026" spans="3:47">
      <c r="C9026" s="20"/>
      <c r="Z9026" s="20"/>
      <c r="AG9026" s="20"/>
      <c r="AQ9026" s="19"/>
      <c r="AR9026" s="19"/>
      <c r="AS9026" s="19"/>
      <c r="AT9026" s="19"/>
      <c r="AU9026" s="19"/>
    </row>
    <row r="9027" spans="3:47">
      <c r="C9027" s="20"/>
      <c r="Z9027" s="20"/>
      <c r="AG9027" s="20"/>
      <c r="AQ9027" s="19"/>
      <c r="AR9027" s="19"/>
      <c r="AS9027" s="19"/>
      <c r="AT9027" s="19"/>
      <c r="AU9027" s="19"/>
    </row>
    <row r="9028" spans="3:47">
      <c r="C9028" s="20"/>
      <c r="Z9028" s="20"/>
      <c r="AG9028" s="20"/>
      <c r="AQ9028" s="19"/>
      <c r="AR9028" s="19"/>
      <c r="AS9028" s="19"/>
      <c r="AT9028" s="19"/>
      <c r="AU9028" s="19"/>
    </row>
    <row r="9029" spans="3:47">
      <c r="C9029" s="20"/>
      <c r="Z9029" s="20"/>
      <c r="AG9029" s="20"/>
      <c r="AQ9029" s="19"/>
      <c r="AR9029" s="19"/>
      <c r="AS9029" s="19"/>
      <c r="AT9029" s="19"/>
      <c r="AU9029" s="19"/>
    </row>
    <row r="9030" spans="3:47">
      <c r="C9030" s="20"/>
      <c r="Z9030" s="20"/>
      <c r="AG9030" s="20"/>
      <c r="AQ9030" s="19"/>
      <c r="AR9030" s="19"/>
      <c r="AS9030" s="19"/>
      <c r="AT9030" s="19"/>
      <c r="AU9030" s="19"/>
    </row>
    <row r="9031" spans="3:47">
      <c r="C9031" s="20"/>
      <c r="Z9031" s="20"/>
      <c r="AG9031" s="20"/>
      <c r="AQ9031" s="19"/>
      <c r="AR9031" s="19"/>
      <c r="AS9031" s="19"/>
      <c r="AT9031" s="19"/>
      <c r="AU9031" s="19"/>
    </row>
    <row r="9032" spans="3:47">
      <c r="C9032" s="20"/>
      <c r="Z9032" s="20"/>
      <c r="AG9032" s="20"/>
      <c r="AQ9032" s="19"/>
      <c r="AR9032" s="19"/>
      <c r="AS9032" s="19"/>
      <c r="AT9032" s="19"/>
      <c r="AU9032" s="19"/>
    </row>
    <row r="9033" spans="3:47">
      <c r="C9033" s="20"/>
      <c r="Z9033" s="20"/>
      <c r="AG9033" s="20"/>
      <c r="AQ9033" s="19"/>
      <c r="AR9033" s="19"/>
      <c r="AS9033" s="19"/>
      <c r="AT9033" s="19"/>
      <c r="AU9033" s="19"/>
    </row>
    <row r="9034" spans="3:47">
      <c r="C9034" s="20"/>
      <c r="Z9034" s="20"/>
      <c r="AG9034" s="20"/>
      <c r="AQ9034" s="19"/>
      <c r="AR9034" s="19"/>
      <c r="AS9034" s="19"/>
      <c r="AT9034" s="19"/>
      <c r="AU9034" s="19"/>
    </row>
    <row r="9035" spans="3:47">
      <c r="C9035" s="20"/>
      <c r="Z9035" s="20"/>
      <c r="AG9035" s="20"/>
      <c r="AQ9035" s="19"/>
      <c r="AR9035" s="19"/>
      <c r="AS9035" s="19"/>
      <c r="AT9035" s="19"/>
      <c r="AU9035" s="19"/>
    </row>
    <row r="9036" spans="3:47">
      <c r="C9036" s="20"/>
      <c r="Z9036" s="20"/>
      <c r="AG9036" s="20"/>
      <c r="AQ9036" s="19"/>
      <c r="AR9036" s="19"/>
      <c r="AS9036" s="19"/>
      <c r="AT9036" s="19"/>
      <c r="AU9036" s="19"/>
    </row>
    <row r="9037" spans="3:47">
      <c r="C9037" s="20"/>
      <c r="Z9037" s="20"/>
      <c r="AG9037" s="20"/>
      <c r="AQ9037" s="19"/>
      <c r="AR9037" s="19"/>
      <c r="AS9037" s="19"/>
      <c r="AT9037" s="19"/>
      <c r="AU9037" s="19"/>
    </row>
    <row r="9038" spans="3:47">
      <c r="C9038" s="20"/>
      <c r="Z9038" s="20"/>
      <c r="AG9038" s="20"/>
      <c r="AQ9038" s="19"/>
      <c r="AR9038" s="19"/>
      <c r="AS9038" s="19"/>
      <c r="AT9038" s="19"/>
      <c r="AU9038" s="19"/>
    </row>
    <row r="9039" spans="3:47">
      <c r="C9039" s="20"/>
      <c r="Z9039" s="20"/>
      <c r="AG9039" s="20"/>
      <c r="AQ9039" s="19"/>
      <c r="AR9039" s="19"/>
      <c r="AS9039" s="19"/>
      <c r="AT9039" s="19"/>
      <c r="AU9039" s="19"/>
    </row>
    <row r="9040" spans="3:47">
      <c r="C9040" s="20"/>
      <c r="Z9040" s="20"/>
      <c r="AG9040" s="20"/>
      <c r="AQ9040" s="19"/>
      <c r="AR9040" s="19"/>
      <c r="AS9040" s="19"/>
      <c r="AT9040" s="19"/>
      <c r="AU9040" s="19"/>
    </row>
    <row r="9041" spans="3:47">
      <c r="C9041" s="20"/>
      <c r="Z9041" s="20"/>
      <c r="AG9041" s="20"/>
      <c r="AQ9041" s="19"/>
      <c r="AR9041" s="19"/>
      <c r="AS9041" s="19"/>
      <c r="AT9041" s="19"/>
      <c r="AU9041" s="19"/>
    </row>
    <row r="9042" spans="3:47">
      <c r="C9042" s="20"/>
      <c r="Z9042" s="20"/>
      <c r="AG9042" s="20"/>
      <c r="AQ9042" s="19"/>
      <c r="AR9042" s="19"/>
      <c r="AS9042" s="19"/>
      <c r="AT9042" s="19"/>
      <c r="AU9042" s="19"/>
    </row>
    <row r="9043" spans="3:47">
      <c r="C9043" s="20"/>
      <c r="Z9043" s="20"/>
      <c r="AG9043" s="20"/>
      <c r="AQ9043" s="19"/>
      <c r="AR9043" s="19"/>
      <c r="AS9043" s="19"/>
      <c r="AT9043" s="19"/>
      <c r="AU9043" s="19"/>
    </row>
    <row r="9044" spans="3:47">
      <c r="C9044" s="20"/>
      <c r="Z9044" s="20"/>
      <c r="AG9044" s="20"/>
      <c r="AQ9044" s="19"/>
      <c r="AR9044" s="19"/>
      <c r="AS9044" s="19"/>
      <c r="AT9044" s="19"/>
      <c r="AU9044" s="19"/>
    </row>
    <row r="9045" spans="3:47">
      <c r="C9045" s="20"/>
      <c r="Z9045" s="20"/>
      <c r="AG9045" s="20"/>
      <c r="AQ9045" s="19"/>
      <c r="AR9045" s="19"/>
      <c r="AS9045" s="19"/>
      <c r="AT9045" s="19"/>
      <c r="AU9045" s="19"/>
    </row>
    <row r="9046" spans="3:47">
      <c r="C9046" s="20"/>
      <c r="Z9046" s="20"/>
      <c r="AG9046" s="20"/>
      <c r="AQ9046" s="19"/>
      <c r="AR9046" s="19"/>
      <c r="AS9046" s="19"/>
      <c r="AT9046" s="19"/>
      <c r="AU9046" s="19"/>
    </row>
    <row r="9047" spans="3:47">
      <c r="C9047" s="20"/>
      <c r="Z9047" s="20"/>
      <c r="AG9047" s="20"/>
      <c r="AQ9047" s="19"/>
      <c r="AR9047" s="19"/>
      <c r="AS9047" s="19"/>
      <c r="AT9047" s="19"/>
      <c r="AU9047" s="19"/>
    </row>
    <row r="9048" spans="3:47">
      <c r="C9048" s="20"/>
      <c r="Z9048" s="20"/>
      <c r="AG9048" s="20"/>
      <c r="AQ9048" s="19"/>
      <c r="AR9048" s="19"/>
      <c r="AS9048" s="19"/>
      <c r="AT9048" s="19"/>
      <c r="AU9048" s="19"/>
    </row>
    <row r="9049" spans="3:47">
      <c r="C9049" s="20"/>
      <c r="Z9049" s="20"/>
      <c r="AG9049" s="20"/>
      <c r="AQ9049" s="19"/>
      <c r="AR9049" s="19"/>
      <c r="AS9049" s="19"/>
      <c r="AT9049" s="19"/>
      <c r="AU9049" s="19"/>
    </row>
    <row r="9050" spans="3:47">
      <c r="C9050" s="20"/>
      <c r="Z9050" s="20"/>
      <c r="AG9050" s="20"/>
      <c r="AQ9050" s="19"/>
      <c r="AR9050" s="19"/>
      <c r="AS9050" s="19"/>
      <c r="AT9050" s="19"/>
      <c r="AU9050" s="19"/>
    </row>
    <row r="9051" spans="3:47">
      <c r="C9051" s="20"/>
      <c r="Z9051" s="20"/>
      <c r="AG9051" s="20"/>
      <c r="AQ9051" s="19"/>
      <c r="AR9051" s="19"/>
      <c r="AS9051" s="19"/>
      <c r="AT9051" s="19"/>
      <c r="AU9051" s="19"/>
    </row>
    <row r="9052" spans="3:47">
      <c r="C9052" s="20"/>
      <c r="Z9052" s="20"/>
      <c r="AG9052" s="20"/>
      <c r="AQ9052" s="19"/>
      <c r="AR9052" s="19"/>
      <c r="AS9052" s="19"/>
      <c r="AT9052" s="19"/>
      <c r="AU9052" s="19"/>
    </row>
    <row r="9053" spans="3:47">
      <c r="C9053" s="20"/>
      <c r="Z9053" s="20"/>
      <c r="AG9053" s="20"/>
      <c r="AQ9053" s="19"/>
      <c r="AR9053" s="19"/>
      <c r="AS9053" s="19"/>
      <c r="AT9053" s="19"/>
      <c r="AU9053" s="19"/>
    </row>
    <row r="9054" spans="3:47">
      <c r="C9054" s="20"/>
      <c r="Z9054" s="20"/>
      <c r="AG9054" s="20"/>
      <c r="AQ9054" s="19"/>
      <c r="AR9054" s="19"/>
      <c r="AS9054" s="19"/>
      <c r="AT9054" s="19"/>
      <c r="AU9054" s="19"/>
    </row>
    <row r="9055" spans="3:47">
      <c r="C9055" s="20"/>
      <c r="Z9055" s="20"/>
      <c r="AG9055" s="20"/>
      <c r="AQ9055" s="19"/>
      <c r="AR9055" s="19"/>
      <c r="AS9055" s="19"/>
      <c r="AT9055" s="19"/>
      <c r="AU9055" s="19"/>
    </row>
    <row r="9056" spans="3:47">
      <c r="C9056" s="20"/>
      <c r="Z9056" s="20"/>
      <c r="AG9056" s="20"/>
      <c r="AQ9056" s="19"/>
      <c r="AR9056" s="19"/>
      <c r="AS9056" s="19"/>
      <c r="AT9056" s="19"/>
      <c r="AU9056" s="19"/>
    </row>
    <row r="9057" spans="3:47">
      <c r="C9057" s="20"/>
      <c r="Z9057" s="20"/>
      <c r="AG9057" s="20"/>
      <c r="AQ9057" s="19"/>
      <c r="AR9057" s="19"/>
      <c r="AS9057" s="19"/>
      <c r="AT9057" s="19"/>
      <c r="AU9057" s="19"/>
    </row>
    <row r="9058" spans="3:47">
      <c r="C9058" s="20"/>
      <c r="Z9058" s="20"/>
      <c r="AG9058" s="20"/>
      <c r="AQ9058" s="19"/>
      <c r="AR9058" s="19"/>
      <c r="AS9058" s="19"/>
      <c r="AT9058" s="19"/>
      <c r="AU9058" s="19"/>
    </row>
    <row r="9059" spans="3:47">
      <c r="C9059" s="20"/>
      <c r="Z9059" s="20"/>
      <c r="AG9059" s="20"/>
      <c r="AQ9059" s="19"/>
      <c r="AR9059" s="19"/>
      <c r="AS9059" s="19"/>
      <c r="AT9059" s="19"/>
      <c r="AU9059" s="19"/>
    </row>
    <row r="9060" spans="3:47">
      <c r="C9060" s="20"/>
      <c r="Z9060" s="20"/>
      <c r="AG9060" s="20"/>
      <c r="AQ9060" s="19"/>
      <c r="AR9060" s="19"/>
      <c r="AS9060" s="19"/>
      <c r="AT9060" s="19"/>
      <c r="AU9060" s="19"/>
    </row>
    <row r="9061" spans="3:47">
      <c r="C9061" s="20"/>
      <c r="Z9061" s="20"/>
      <c r="AG9061" s="20"/>
      <c r="AQ9061" s="19"/>
      <c r="AR9061" s="19"/>
      <c r="AS9061" s="19"/>
      <c r="AT9061" s="19"/>
      <c r="AU9061" s="19"/>
    </row>
    <row r="9062" spans="3:47">
      <c r="C9062" s="20"/>
      <c r="Z9062" s="20"/>
      <c r="AG9062" s="20"/>
      <c r="AQ9062" s="19"/>
      <c r="AR9062" s="19"/>
      <c r="AS9062" s="19"/>
      <c r="AT9062" s="19"/>
      <c r="AU9062" s="19"/>
    </row>
    <row r="9063" spans="3:47">
      <c r="C9063" s="20"/>
      <c r="Z9063" s="20"/>
      <c r="AG9063" s="20"/>
      <c r="AQ9063" s="19"/>
      <c r="AR9063" s="19"/>
      <c r="AS9063" s="19"/>
      <c r="AT9063" s="19"/>
      <c r="AU9063" s="19"/>
    </row>
    <row r="9064" spans="3:47">
      <c r="C9064" s="20"/>
      <c r="Z9064" s="20"/>
      <c r="AG9064" s="20"/>
      <c r="AQ9064" s="19"/>
      <c r="AR9064" s="19"/>
      <c r="AS9064" s="19"/>
      <c r="AT9064" s="19"/>
      <c r="AU9064" s="19"/>
    </row>
    <row r="9065" spans="3:47">
      <c r="C9065" s="20"/>
      <c r="Z9065" s="20"/>
      <c r="AG9065" s="20"/>
      <c r="AQ9065" s="19"/>
      <c r="AR9065" s="19"/>
      <c r="AS9065" s="19"/>
      <c r="AT9065" s="19"/>
      <c r="AU9065" s="19"/>
    </row>
    <row r="9066" spans="3:47">
      <c r="C9066" s="20"/>
      <c r="Z9066" s="20"/>
      <c r="AG9066" s="20"/>
      <c r="AQ9066" s="19"/>
      <c r="AR9066" s="19"/>
      <c r="AS9066" s="19"/>
      <c r="AT9066" s="19"/>
      <c r="AU9066" s="19"/>
    </row>
    <row r="9067" spans="3:47">
      <c r="C9067" s="20"/>
      <c r="Z9067" s="20"/>
      <c r="AG9067" s="20"/>
      <c r="AQ9067" s="19"/>
      <c r="AR9067" s="19"/>
      <c r="AS9067" s="19"/>
      <c r="AT9067" s="19"/>
      <c r="AU9067" s="19"/>
    </row>
    <row r="9068" spans="3:47">
      <c r="C9068" s="20"/>
      <c r="Z9068" s="20"/>
      <c r="AG9068" s="20"/>
      <c r="AQ9068" s="19"/>
      <c r="AR9068" s="19"/>
      <c r="AS9068" s="19"/>
      <c r="AT9068" s="19"/>
      <c r="AU9068" s="19"/>
    </row>
    <row r="9069" spans="3:47">
      <c r="C9069" s="20"/>
      <c r="Z9069" s="20"/>
      <c r="AG9069" s="20"/>
      <c r="AQ9069" s="19"/>
      <c r="AR9069" s="19"/>
      <c r="AS9069" s="19"/>
      <c r="AT9069" s="19"/>
      <c r="AU9069" s="19"/>
    </row>
    <row r="9070" spans="3:47">
      <c r="C9070" s="20"/>
      <c r="Z9070" s="20"/>
      <c r="AG9070" s="20"/>
      <c r="AQ9070" s="19"/>
      <c r="AR9070" s="19"/>
      <c r="AS9070" s="19"/>
      <c r="AT9070" s="19"/>
      <c r="AU9070" s="19"/>
    </row>
    <row r="9071" spans="3:47">
      <c r="C9071" s="20"/>
      <c r="Z9071" s="20"/>
      <c r="AG9071" s="20"/>
      <c r="AQ9071" s="19"/>
      <c r="AR9071" s="19"/>
      <c r="AS9071" s="19"/>
      <c r="AT9071" s="19"/>
      <c r="AU9071" s="19"/>
    </row>
    <row r="9072" spans="3:47">
      <c r="C9072" s="20"/>
      <c r="Z9072" s="20"/>
      <c r="AG9072" s="20"/>
      <c r="AQ9072" s="19"/>
      <c r="AR9072" s="19"/>
      <c r="AS9072" s="19"/>
      <c r="AT9072" s="19"/>
      <c r="AU9072" s="19"/>
    </row>
    <row r="9073" spans="3:47">
      <c r="C9073" s="20"/>
      <c r="Z9073" s="20"/>
      <c r="AG9073" s="20"/>
      <c r="AQ9073" s="19"/>
      <c r="AR9073" s="19"/>
      <c r="AS9073" s="19"/>
      <c r="AT9073" s="19"/>
      <c r="AU9073" s="19"/>
    </row>
    <row r="9074" spans="3:47">
      <c r="C9074" s="20"/>
      <c r="Z9074" s="20"/>
      <c r="AG9074" s="20"/>
      <c r="AQ9074" s="19"/>
      <c r="AR9074" s="19"/>
      <c r="AS9074" s="19"/>
      <c r="AT9074" s="19"/>
      <c r="AU9074" s="19"/>
    </row>
    <row r="9075" spans="3:47">
      <c r="C9075" s="20"/>
      <c r="Z9075" s="20"/>
      <c r="AG9075" s="20"/>
      <c r="AQ9075" s="19"/>
      <c r="AR9075" s="19"/>
      <c r="AS9075" s="19"/>
      <c r="AT9075" s="19"/>
      <c r="AU9075" s="19"/>
    </row>
    <row r="9076" spans="3:47">
      <c r="C9076" s="20"/>
      <c r="Z9076" s="20"/>
      <c r="AG9076" s="20"/>
      <c r="AQ9076" s="19"/>
      <c r="AR9076" s="19"/>
      <c r="AS9076" s="19"/>
      <c r="AT9076" s="19"/>
      <c r="AU9076" s="19"/>
    </row>
    <row r="9077" spans="3:47">
      <c r="C9077" s="20"/>
      <c r="Z9077" s="20"/>
      <c r="AG9077" s="20"/>
      <c r="AQ9077" s="19"/>
      <c r="AR9077" s="19"/>
      <c r="AS9077" s="19"/>
      <c r="AT9077" s="19"/>
      <c r="AU9077" s="19"/>
    </row>
    <row r="9078" spans="3:47">
      <c r="C9078" s="20"/>
      <c r="Z9078" s="20"/>
      <c r="AG9078" s="20"/>
      <c r="AQ9078" s="19"/>
      <c r="AR9078" s="19"/>
      <c r="AS9078" s="19"/>
      <c r="AT9078" s="19"/>
      <c r="AU9078" s="19"/>
    </row>
    <row r="9079" spans="3:47">
      <c r="C9079" s="20"/>
      <c r="Z9079" s="20"/>
      <c r="AG9079" s="20"/>
      <c r="AQ9079" s="19"/>
      <c r="AR9079" s="19"/>
      <c r="AS9079" s="19"/>
      <c r="AT9079" s="19"/>
      <c r="AU9079" s="19"/>
    </row>
    <row r="9080" spans="3:47">
      <c r="C9080" s="20"/>
      <c r="Z9080" s="20"/>
      <c r="AG9080" s="20"/>
      <c r="AQ9080" s="19"/>
      <c r="AR9080" s="19"/>
      <c r="AS9080" s="19"/>
      <c r="AT9080" s="19"/>
      <c r="AU9080" s="19"/>
    </row>
    <row r="9081" spans="3:47">
      <c r="C9081" s="20"/>
      <c r="Z9081" s="20"/>
      <c r="AG9081" s="20"/>
      <c r="AQ9081" s="19"/>
      <c r="AR9081" s="19"/>
      <c r="AS9081" s="19"/>
      <c r="AT9081" s="19"/>
      <c r="AU9081" s="19"/>
    </row>
    <row r="9082" spans="3:47">
      <c r="C9082" s="20"/>
      <c r="Z9082" s="20"/>
      <c r="AG9082" s="20"/>
      <c r="AQ9082" s="19"/>
      <c r="AR9082" s="19"/>
      <c r="AS9082" s="19"/>
      <c r="AT9082" s="19"/>
      <c r="AU9082" s="19"/>
    </row>
    <row r="9083" spans="3:47">
      <c r="C9083" s="20"/>
      <c r="Z9083" s="20"/>
      <c r="AG9083" s="20"/>
      <c r="AQ9083" s="19"/>
      <c r="AR9083" s="19"/>
      <c r="AS9083" s="19"/>
      <c r="AT9083" s="19"/>
      <c r="AU9083" s="19"/>
    </row>
    <row r="9084" spans="3:47">
      <c r="C9084" s="20"/>
      <c r="Z9084" s="20"/>
      <c r="AG9084" s="20"/>
      <c r="AQ9084" s="19"/>
      <c r="AR9084" s="19"/>
      <c r="AS9084" s="19"/>
      <c r="AT9084" s="19"/>
      <c r="AU9084" s="19"/>
    </row>
    <row r="9085" spans="3:47">
      <c r="C9085" s="20"/>
      <c r="Z9085" s="20"/>
      <c r="AG9085" s="20"/>
      <c r="AQ9085" s="19"/>
      <c r="AR9085" s="19"/>
      <c r="AS9085" s="19"/>
      <c r="AT9085" s="19"/>
      <c r="AU9085" s="19"/>
    </row>
    <row r="9086" spans="3:47">
      <c r="C9086" s="20"/>
      <c r="Z9086" s="20"/>
      <c r="AG9086" s="20"/>
      <c r="AQ9086" s="19"/>
      <c r="AR9086" s="19"/>
      <c r="AS9086" s="19"/>
      <c r="AT9086" s="19"/>
      <c r="AU9086" s="19"/>
    </row>
    <row r="9087" spans="3:47">
      <c r="C9087" s="20"/>
      <c r="Z9087" s="20"/>
      <c r="AG9087" s="20"/>
      <c r="AQ9087" s="19"/>
      <c r="AR9087" s="19"/>
      <c r="AS9087" s="19"/>
      <c r="AT9087" s="19"/>
      <c r="AU9087" s="19"/>
    </row>
    <row r="9088" spans="3:47">
      <c r="C9088" s="20"/>
      <c r="Z9088" s="20"/>
      <c r="AG9088" s="20"/>
      <c r="AQ9088" s="19"/>
      <c r="AR9088" s="19"/>
      <c r="AS9088" s="19"/>
      <c r="AT9088" s="19"/>
      <c r="AU9088" s="19"/>
    </row>
    <row r="9089" spans="3:47">
      <c r="C9089" s="20"/>
      <c r="Z9089" s="20"/>
      <c r="AG9089" s="20"/>
      <c r="AQ9089" s="19"/>
      <c r="AR9089" s="19"/>
      <c r="AS9089" s="19"/>
      <c r="AT9089" s="19"/>
      <c r="AU9089" s="19"/>
    </row>
    <row r="9090" spans="3:47">
      <c r="C9090" s="20"/>
      <c r="Z9090" s="20"/>
      <c r="AG9090" s="20"/>
      <c r="AQ9090" s="19"/>
      <c r="AR9090" s="19"/>
      <c r="AS9090" s="19"/>
      <c r="AT9090" s="19"/>
      <c r="AU9090" s="19"/>
    </row>
    <row r="9091" spans="3:47">
      <c r="C9091" s="20"/>
      <c r="Z9091" s="20"/>
      <c r="AG9091" s="20"/>
      <c r="AQ9091" s="19"/>
      <c r="AR9091" s="19"/>
      <c r="AS9091" s="19"/>
      <c r="AT9091" s="19"/>
      <c r="AU9091" s="19"/>
    </row>
    <row r="9092" spans="3:47">
      <c r="C9092" s="20"/>
      <c r="Z9092" s="20"/>
      <c r="AG9092" s="20"/>
      <c r="AQ9092" s="19"/>
      <c r="AR9092" s="19"/>
      <c r="AS9092" s="19"/>
      <c r="AT9092" s="19"/>
      <c r="AU9092" s="19"/>
    </row>
    <row r="9093" spans="3:47">
      <c r="C9093" s="20"/>
      <c r="Z9093" s="20"/>
      <c r="AG9093" s="20"/>
      <c r="AQ9093" s="19"/>
      <c r="AR9093" s="19"/>
      <c r="AS9093" s="19"/>
      <c r="AT9093" s="19"/>
      <c r="AU9093" s="19"/>
    </row>
    <row r="9094" spans="3:47">
      <c r="C9094" s="20"/>
      <c r="Z9094" s="20"/>
      <c r="AG9094" s="20"/>
      <c r="AQ9094" s="19"/>
      <c r="AR9094" s="19"/>
      <c r="AS9094" s="19"/>
      <c r="AT9094" s="19"/>
      <c r="AU9094" s="19"/>
    </row>
    <row r="9095" spans="3:47">
      <c r="C9095" s="20"/>
      <c r="Z9095" s="20"/>
      <c r="AG9095" s="20"/>
      <c r="AQ9095" s="19"/>
      <c r="AR9095" s="19"/>
      <c r="AS9095" s="19"/>
      <c r="AT9095" s="19"/>
      <c r="AU9095" s="19"/>
    </row>
    <row r="9096" spans="3:47">
      <c r="C9096" s="20"/>
      <c r="Z9096" s="20"/>
      <c r="AG9096" s="20"/>
      <c r="AQ9096" s="19"/>
      <c r="AR9096" s="19"/>
      <c r="AS9096" s="19"/>
      <c r="AT9096" s="19"/>
      <c r="AU9096" s="19"/>
    </row>
    <row r="9097" spans="3:47">
      <c r="C9097" s="20"/>
      <c r="Z9097" s="20"/>
      <c r="AG9097" s="20"/>
      <c r="AQ9097" s="19"/>
      <c r="AR9097" s="19"/>
      <c r="AS9097" s="19"/>
      <c r="AT9097" s="19"/>
      <c r="AU9097" s="19"/>
    </row>
    <row r="9098" spans="3:47">
      <c r="C9098" s="20"/>
      <c r="Z9098" s="20"/>
      <c r="AG9098" s="20"/>
      <c r="AQ9098" s="19"/>
      <c r="AR9098" s="19"/>
      <c r="AS9098" s="19"/>
      <c r="AT9098" s="19"/>
      <c r="AU9098" s="19"/>
    </row>
    <row r="9099" spans="3:47">
      <c r="C9099" s="20"/>
      <c r="Z9099" s="20"/>
      <c r="AG9099" s="20"/>
      <c r="AQ9099" s="19"/>
      <c r="AR9099" s="19"/>
      <c r="AS9099" s="19"/>
      <c r="AT9099" s="19"/>
      <c r="AU9099" s="19"/>
    </row>
    <row r="9100" spans="3:47">
      <c r="C9100" s="20"/>
      <c r="Z9100" s="20"/>
      <c r="AG9100" s="20"/>
      <c r="AQ9100" s="19"/>
      <c r="AR9100" s="19"/>
      <c r="AS9100" s="19"/>
      <c r="AT9100" s="19"/>
      <c r="AU9100" s="19"/>
    </row>
    <row r="9101" spans="3:47">
      <c r="C9101" s="20"/>
      <c r="Z9101" s="20"/>
      <c r="AG9101" s="20"/>
      <c r="AQ9101" s="19"/>
      <c r="AR9101" s="19"/>
      <c r="AS9101" s="19"/>
      <c r="AT9101" s="19"/>
      <c r="AU9101" s="19"/>
    </row>
    <row r="9102" spans="3:47">
      <c r="C9102" s="20"/>
      <c r="Z9102" s="20"/>
      <c r="AG9102" s="20"/>
      <c r="AQ9102" s="19"/>
      <c r="AR9102" s="19"/>
      <c r="AS9102" s="19"/>
      <c r="AT9102" s="19"/>
      <c r="AU9102" s="19"/>
    </row>
    <row r="9103" spans="3:47">
      <c r="C9103" s="20"/>
      <c r="Z9103" s="20"/>
      <c r="AG9103" s="20"/>
      <c r="AQ9103" s="19"/>
      <c r="AR9103" s="19"/>
      <c r="AS9103" s="19"/>
      <c r="AT9103" s="19"/>
      <c r="AU9103" s="19"/>
    </row>
    <row r="9104" spans="3:47">
      <c r="C9104" s="20"/>
      <c r="Z9104" s="20"/>
      <c r="AG9104" s="20"/>
      <c r="AQ9104" s="19"/>
      <c r="AR9104" s="19"/>
      <c r="AS9104" s="19"/>
      <c r="AT9104" s="19"/>
      <c r="AU9104" s="19"/>
    </row>
    <row r="9105" spans="3:47">
      <c r="C9105" s="20"/>
      <c r="Z9105" s="20"/>
      <c r="AG9105" s="20"/>
      <c r="AQ9105" s="19"/>
      <c r="AR9105" s="19"/>
      <c r="AS9105" s="19"/>
      <c r="AT9105" s="19"/>
      <c r="AU9105" s="19"/>
    </row>
    <row r="9106" spans="3:47">
      <c r="C9106" s="20"/>
      <c r="Z9106" s="20"/>
      <c r="AG9106" s="20"/>
      <c r="AQ9106" s="19"/>
      <c r="AR9106" s="19"/>
      <c r="AS9106" s="19"/>
      <c r="AT9106" s="19"/>
      <c r="AU9106" s="19"/>
    </row>
    <row r="9107" spans="3:47">
      <c r="C9107" s="20"/>
      <c r="Z9107" s="20"/>
      <c r="AG9107" s="20"/>
      <c r="AQ9107" s="19"/>
      <c r="AR9107" s="19"/>
      <c r="AS9107" s="19"/>
      <c r="AT9107" s="19"/>
      <c r="AU9107" s="19"/>
    </row>
    <row r="9108" spans="3:47">
      <c r="C9108" s="20"/>
      <c r="Z9108" s="20"/>
      <c r="AG9108" s="20"/>
      <c r="AQ9108" s="19"/>
      <c r="AR9108" s="19"/>
      <c r="AS9108" s="19"/>
      <c r="AT9108" s="19"/>
      <c r="AU9108" s="19"/>
    </row>
    <row r="9109" spans="3:47">
      <c r="C9109" s="20"/>
      <c r="Z9109" s="20"/>
      <c r="AG9109" s="20"/>
      <c r="AQ9109" s="19"/>
      <c r="AR9109" s="19"/>
      <c r="AS9109" s="19"/>
      <c r="AT9109" s="19"/>
      <c r="AU9109" s="19"/>
    </row>
    <row r="9110" spans="3:47">
      <c r="C9110" s="20"/>
      <c r="Z9110" s="20"/>
      <c r="AG9110" s="20"/>
      <c r="AQ9110" s="19"/>
      <c r="AR9110" s="19"/>
      <c r="AS9110" s="19"/>
      <c r="AT9110" s="19"/>
      <c r="AU9110" s="19"/>
    </row>
    <row r="9111" spans="3:47">
      <c r="C9111" s="20"/>
      <c r="Z9111" s="20"/>
      <c r="AG9111" s="20"/>
      <c r="AQ9111" s="19"/>
      <c r="AR9111" s="19"/>
      <c r="AS9111" s="19"/>
      <c r="AT9111" s="19"/>
      <c r="AU9111" s="19"/>
    </row>
    <row r="9112" spans="3:47">
      <c r="C9112" s="20"/>
      <c r="Z9112" s="20"/>
      <c r="AG9112" s="20"/>
      <c r="AQ9112" s="19"/>
      <c r="AR9112" s="19"/>
      <c r="AS9112" s="19"/>
      <c r="AT9112" s="19"/>
      <c r="AU9112" s="19"/>
    </row>
    <row r="9113" spans="3:47">
      <c r="C9113" s="20"/>
      <c r="Z9113" s="20"/>
      <c r="AG9113" s="20"/>
      <c r="AQ9113" s="19"/>
      <c r="AR9113" s="19"/>
      <c r="AS9113" s="19"/>
      <c r="AT9113" s="19"/>
      <c r="AU9113" s="19"/>
    </row>
    <row r="9114" spans="3:47">
      <c r="C9114" s="20"/>
      <c r="Z9114" s="20"/>
      <c r="AG9114" s="20"/>
      <c r="AQ9114" s="19"/>
      <c r="AR9114" s="19"/>
      <c r="AS9114" s="19"/>
      <c r="AT9114" s="19"/>
      <c r="AU9114" s="19"/>
    </row>
    <row r="9115" spans="3:47">
      <c r="C9115" s="20"/>
      <c r="Z9115" s="20"/>
      <c r="AG9115" s="20"/>
      <c r="AQ9115" s="19"/>
      <c r="AR9115" s="19"/>
      <c r="AS9115" s="19"/>
      <c r="AT9115" s="19"/>
      <c r="AU9115" s="19"/>
    </row>
    <row r="9116" spans="3:47">
      <c r="C9116" s="20"/>
      <c r="Z9116" s="20"/>
      <c r="AG9116" s="20"/>
      <c r="AQ9116" s="19"/>
      <c r="AR9116" s="19"/>
      <c r="AS9116" s="19"/>
      <c r="AT9116" s="19"/>
      <c r="AU9116" s="19"/>
    </row>
    <row r="9117" spans="3:47">
      <c r="C9117" s="20"/>
      <c r="Z9117" s="20"/>
      <c r="AG9117" s="20"/>
      <c r="AQ9117" s="19"/>
      <c r="AR9117" s="19"/>
      <c r="AS9117" s="19"/>
      <c r="AT9117" s="19"/>
      <c r="AU9117" s="19"/>
    </row>
    <row r="9118" spans="3:47">
      <c r="C9118" s="20"/>
      <c r="Z9118" s="20"/>
      <c r="AG9118" s="20"/>
      <c r="AQ9118" s="19"/>
      <c r="AR9118" s="19"/>
      <c r="AS9118" s="19"/>
      <c r="AT9118" s="19"/>
      <c r="AU9118" s="19"/>
    </row>
    <row r="9119" spans="3:47">
      <c r="C9119" s="20"/>
      <c r="Z9119" s="20"/>
      <c r="AG9119" s="20"/>
      <c r="AQ9119" s="19"/>
      <c r="AR9119" s="19"/>
      <c r="AS9119" s="19"/>
      <c r="AT9119" s="19"/>
      <c r="AU9119" s="19"/>
    </row>
    <row r="9120" spans="3:47">
      <c r="C9120" s="20"/>
      <c r="Z9120" s="20"/>
      <c r="AG9120" s="20"/>
      <c r="AQ9120" s="19"/>
      <c r="AR9120" s="19"/>
      <c r="AS9120" s="19"/>
      <c r="AT9120" s="19"/>
      <c r="AU9120" s="19"/>
    </row>
    <row r="9121" spans="3:47">
      <c r="C9121" s="20"/>
      <c r="Z9121" s="20"/>
      <c r="AG9121" s="20"/>
      <c r="AQ9121" s="19"/>
      <c r="AR9121" s="19"/>
      <c r="AS9121" s="19"/>
      <c r="AT9121" s="19"/>
      <c r="AU9121" s="19"/>
    </row>
    <row r="9122" spans="3:47">
      <c r="C9122" s="20"/>
      <c r="Z9122" s="20"/>
      <c r="AG9122" s="20"/>
      <c r="AQ9122" s="19"/>
      <c r="AR9122" s="19"/>
      <c r="AS9122" s="19"/>
      <c r="AT9122" s="19"/>
      <c r="AU9122" s="19"/>
    </row>
    <row r="9123" spans="3:47">
      <c r="C9123" s="20"/>
      <c r="Z9123" s="20"/>
      <c r="AG9123" s="20"/>
      <c r="AQ9123" s="19"/>
      <c r="AR9123" s="19"/>
      <c r="AS9123" s="19"/>
      <c r="AT9123" s="19"/>
      <c r="AU9123" s="19"/>
    </row>
    <row r="9124" spans="3:47">
      <c r="C9124" s="20"/>
      <c r="Z9124" s="20"/>
      <c r="AG9124" s="20"/>
      <c r="AQ9124" s="19"/>
      <c r="AR9124" s="19"/>
      <c r="AS9124" s="19"/>
      <c r="AT9124" s="19"/>
      <c r="AU9124" s="19"/>
    </row>
    <row r="9125" spans="3:47">
      <c r="C9125" s="20"/>
      <c r="Z9125" s="20"/>
      <c r="AG9125" s="20"/>
      <c r="AQ9125" s="19"/>
      <c r="AR9125" s="19"/>
      <c r="AS9125" s="19"/>
      <c r="AT9125" s="19"/>
      <c r="AU9125" s="19"/>
    </row>
    <row r="9126" spans="3:47">
      <c r="C9126" s="20"/>
      <c r="Z9126" s="20"/>
      <c r="AG9126" s="20"/>
      <c r="AQ9126" s="19"/>
      <c r="AR9126" s="19"/>
      <c r="AS9126" s="19"/>
      <c r="AT9126" s="19"/>
      <c r="AU9126" s="19"/>
    </row>
    <row r="9127" spans="3:47">
      <c r="C9127" s="20"/>
      <c r="Z9127" s="20"/>
      <c r="AG9127" s="20"/>
      <c r="AQ9127" s="19"/>
      <c r="AR9127" s="19"/>
      <c r="AS9127" s="19"/>
      <c r="AT9127" s="19"/>
      <c r="AU9127" s="19"/>
    </row>
    <row r="9128" spans="3:47">
      <c r="C9128" s="20"/>
      <c r="Z9128" s="20"/>
      <c r="AG9128" s="20"/>
      <c r="AQ9128" s="19"/>
      <c r="AR9128" s="19"/>
      <c r="AS9128" s="19"/>
      <c r="AT9128" s="19"/>
      <c r="AU9128" s="19"/>
    </row>
    <row r="9129" spans="3:47">
      <c r="C9129" s="20"/>
      <c r="Z9129" s="20"/>
      <c r="AG9129" s="20"/>
      <c r="AQ9129" s="19"/>
      <c r="AR9129" s="19"/>
      <c r="AS9129" s="19"/>
      <c r="AT9129" s="19"/>
      <c r="AU9129" s="19"/>
    </row>
    <row r="9130" spans="3:47">
      <c r="C9130" s="20"/>
      <c r="Z9130" s="20"/>
      <c r="AG9130" s="20"/>
      <c r="AQ9130" s="19"/>
      <c r="AR9130" s="19"/>
      <c r="AS9130" s="19"/>
      <c r="AT9130" s="19"/>
      <c r="AU9130" s="19"/>
    </row>
    <row r="9131" spans="3:47">
      <c r="C9131" s="20"/>
      <c r="Z9131" s="20"/>
      <c r="AG9131" s="20"/>
      <c r="AQ9131" s="19"/>
      <c r="AR9131" s="19"/>
      <c r="AS9131" s="19"/>
      <c r="AT9131" s="19"/>
      <c r="AU9131" s="19"/>
    </row>
    <row r="9132" spans="3:47">
      <c r="C9132" s="20"/>
      <c r="Z9132" s="20"/>
      <c r="AG9132" s="20"/>
      <c r="AQ9132" s="19"/>
      <c r="AR9132" s="19"/>
      <c r="AS9132" s="19"/>
      <c r="AT9132" s="19"/>
      <c r="AU9132" s="19"/>
    </row>
    <row r="9133" spans="3:47">
      <c r="C9133" s="20"/>
      <c r="Z9133" s="20"/>
      <c r="AG9133" s="20"/>
      <c r="AQ9133" s="19"/>
      <c r="AR9133" s="19"/>
      <c r="AS9133" s="19"/>
      <c r="AT9133" s="19"/>
      <c r="AU9133" s="19"/>
    </row>
    <row r="9134" spans="3:47">
      <c r="C9134" s="20"/>
      <c r="Z9134" s="20"/>
      <c r="AG9134" s="20"/>
      <c r="AQ9134" s="19"/>
      <c r="AR9134" s="19"/>
      <c r="AS9134" s="19"/>
      <c r="AT9134" s="19"/>
      <c r="AU9134" s="19"/>
    </row>
    <row r="9135" spans="3:47">
      <c r="C9135" s="20"/>
      <c r="Z9135" s="20"/>
      <c r="AG9135" s="20"/>
      <c r="AQ9135" s="19"/>
      <c r="AR9135" s="19"/>
      <c r="AS9135" s="19"/>
      <c r="AT9135" s="19"/>
      <c r="AU9135" s="19"/>
    </row>
    <row r="9136" spans="3:47">
      <c r="C9136" s="20"/>
      <c r="Z9136" s="20"/>
      <c r="AG9136" s="20"/>
      <c r="AQ9136" s="19"/>
      <c r="AR9136" s="19"/>
      <c r="AS9136" s="19"/>
      <c r="AT9136" s="19"/>
      <c r="AU9136" s="19"/>
    </row>
    <row r="9137" spans="3:47">
      <c r="C9137" s="20"/>
      <c r="Z9137" s="20"/>
      <c r="AG9137" s="20"/>
      <c r="AQ9137" s="19"/>
      <c r="AR9137" s="19"/>
      <c r="AS9137" s="19"/>
      <c r="AT9137" s="19"/>
      <c r="AU9137" s="19"/>
    </row>
    <row r="9138" spans="3:47">
      <c r="C9138" s="20"/>
      <c r="Z9138" s="20"/>
      <c r="AG9138" s="20"/>
      <c r="AQ9138" s="19"/>
      <c r="AR9138" s="19"/>
      <c r="AS9138" s="19"/>
      <c r="AT9138" s="19"/>
      <c r="AU9138" s="19"/>
    </row>
    <row r="9139" spans="3:47">
      <c r="C9139" s="20"/>
      <c r="Z9139" s="20"/>
      <c r="AG9139" s="20"/>
      <c r="AQ9139" s="19"/>
      <c r="AR9139" s="19"/>
      <c r="AS9139" s="19"/>
      <c r="AT9139" s="19"/>
      <c r="AU9139" s="19"/>
    </row>
    <row r="9140" spans="3:47">
      <c r="C9140" s="20"/>
      <c r="Z9140" s="20"/>
      <c r="AG9140" s="20"/>
      <c r="AQ9140" s="19"/>
      <c r="AR9140" s="19"/>
      <c r="AS9140" s="19"/>
      <c r="AT9140" s="19"/>
      <c r="AU9140" s="19"/>
    </row>
    <row r="9141" spans="3:47">
      <c r="C9141" s="20"/>
      <c r="Z9141" s="20"/>
      <c r="AG9141" s="20"/>
      <c r="AQ9141" s="19"/>
      <c r="AR9141" s="19"/>
      <c r="AS9141" s="19"/>
      <c r="AT9141" s="19"/>
      <c r="AU9141" s="19"/>
    </row>
    <row r="9142" spans="3:47">
      <c r="C9142" s="20"/>
      <c r="Z9142" s="20"/>
      <c r="AG9142" s="20"/>
      <c r="AQ9142" s="19"/>
      <c r="AR9142" s="19"/>
      <c r="AS9142" s="19"/>
      <c r="AT9142" s="19"/>
      <c r="AU9142" s="19"/>
    </row>
    <row r="9143" spans="3:47">
      <c r="C9143" s="20"/>
      <c r="Z9143" s="20"/>
      <c r="AG9143" s="20"/>
      <c r="AQ9143" s="19"/>
      <c r="AR9143" s="19"/>
      <c r="AS9143" s="19"/>
      <c r="AT9143" s="19"/>
      <c r="AU9143" s="19"/>
    </row>
    <row r="9144" spans="3:47">
      <c r="C9144" s="20"/>
      <c r="Z9144" s="20"/>
      <c r="AG9144" s="20"/>
      <c r="AQ9144" s="19"/>
      <c r="AR9144" s="19"/>
      <c r="AS9144" s="19"/>
      <c r="AT9144" s="19"/>
      <c r="AU9144" s="19"/>
    </row>
    <row r="9145" spans="3:47">
      <c r="C9145" s="20"/>
      <c r="Z9145" s="20"/>
      <c r="AG9145" s="20"/>
      <c r="AQ9145" s="19"/>
      <c r="AR9145" s="19"/>
      <c r="AS9145" s="19"/>
      <c r="AT9145" s="19"/>
      <c r="AU9145" s="19"/>
    </row>
    <row r="9146" spans="3:47">
      <c r="C9146" s="20"/>
      <c r="Z9146" s="20"/>
      <c r="AG9146" s="20"/>
      <c r="AQ9146" s="19"/>
      <c r="AR9146" s="19"/>
      <c r="AS9146" s="19"/>
      <c r="AT9146" s="19"/>
      <c r="AU9146" s="19"/>
    </row>
    <row r="9147" spans="3:47">
      <c r="C9147" s="20"/>
      <c r="Z9147" s="20"/>
      <c r="AG9147" s="20"/>
      <c r="AQ9147" s="19"/>
      <c r="AR9147" s="19"/>
      <c r="AS9147" s="19"/>
      <c r="AT9147" s="19"/>
      <c r="AU9147" s="19"/>
    </row>
    <row r="9148" spans="3:47">
      <c r="C9148" s="20"/>
      <c r="Z9148" s="20"/>
      <c r="AG9148" s="20"/>
      <c r="AQ9148" s="19"/>
      <c r="AR9148" s="19"/>
      <c r="AS9148" s="19"/>
      <c r="AT9148" s="19"/>
      <c r="AU9148" s="19"/>
    </row>
    <row r="9149" spans="3:47">
      <c r="C9149" s="20"/>
      <c r="Z9149" s="20"/>
      <c r="AG9149" s="20"/>
      <c r="AQ9149" s="19"/>
      <c r="AR9149" s="19"/>
      <c r="AS9149" s="19"/>
      <c r="AT9149" s="19"/>
      <c r="AU9149" s="19"/>
    </row>
    <row r="9150" spans="3:47">
      <c r="C9150" s="20"/>
      <c r="Z9150" s="20"/>
      <c r="AG9150" s="20"/>
      <c r="AQ9150" s="19"/>
      <c r="AR9150" s="19"/>
      <c r="AS9150" s="19"/>
      <c r="AT9150" s="19"/>
      <c r="AU9150" s="19"/>
    </row>
    <row r="9151" spans="3:47">
      <c r="C9151" s="20"/>
      <c r="Z9151" s="20"/>
      <c r="AG9151" s="20"/>
      <c r="AQ9151" s="19"/>
      <c r="AR9151" s="19"/>
      <c r="AS9151" s="19"/>
      <c r="AT9151" s="19"/>
      <c r="AU9151" s="19"/>
    </row>
    <row r="9152" spans="3:47">
      <c r="C9152" s="20"/>
      <c r="Z9152" s="20"/>
      <c r="AG9152" s="20"/>
      <c r="AQ9152" s="19"/>
      <c r="AR9152" s="19"/>
      <c r="AS9152" s="19"/>
      <c r="AT9152" s="19"/>
      <c r="AU9152" s="19"/>
    </row>
    <row r="9153" spans="3:47">
      <c r="C9153" s="20"/>
      <c r="Z9153" s="20"/>
      <c r="AG9153" s="20"/>
      <c r="AQ9153" s="19"/>
      <c r="AR9153" s="19"/>
      <c r="AS9153" s="19"/>
      <c r="AT9153" s="19"/>
      <c r="AU9153" s="19"/>
    </row>
    <row r="9154" spans="3:47">
      <c r="C9154" s="20"/>
      <c r="Z9154" s="20"/>
      <c r="AG9154" s="20"/>
      <c r="AQ9154" s="19"/>
      <c r="AR9154" s="19"/>
      <c r="AS9154" s="19"/>
      <c r="AT9154" s="19"/>
      <c r="AU9154" s="19"/>
    </row>
    <row r="9155" spans="3:47">
      <c r="C9155" s="20"/>
      <c r="Z9155" s="20"/>
      <c r="AG9155" s="20"/>
      <c r="AQ9155" s="19"/>
      <c r="AR9155" s="19"/>
      <c r="AS9155" s="19"/>
      <c r="AT9155" s="19"/>
      <c r="AU9155" s="19"/>
    </row>
    <row r="9156" spans="3:47">
      <c r="C9156" s="20"/>
      <c r="Z9156" s="20"/>
      <c r="AG9156" s="20"/>
      <c r="AQ9156" s="19"/>
      <c r="AR9156" s="19"/>
      <c r="AS9156" s="19"/>
      <c r="AT9156" s="19"/>
      <c r="AU9156" s="19"/>
    </row>
    <row r="9157" spans="3:47">
      <c r="C9157" s="20"/>
      <c r="Z9157" s="20"/>
      <c r="AG9157" s="20"/>
      <c r="AQ9157" s="19"/>
      <c r="AR9157" s="19"/>
      <c r="AS9157" s="19"/>
      <c r="AT9157" s="19"/>
      <c r="AU9157" s="19"/>
    </row>
    <row r="9158" spans="3:47">
      <c r="C9158" s="20"/>
      <c r="Z9158" s="20"/>
      <c r="AG9158" s="20"/>
      <c r="AQ9158" s="19"/>
      <c r="AR9158" s="19"/>
      <c r="AS9158" s="19"/>
      <c r="AT9158" s="19"/>
      <c r="AU9158" s="19"/>
    </row>
    <row r="9159" spans="3:47">
      <c r="C9159" s="20"/>
      <c r="Z9159" s="20"/>
      <c r="AG9159" s="20"/>
      <c r="AQ9159" s="19"/>
      <c r="AR9159" s="19"/>
      <c r="AS9159" s="19"/>
      <c r="AT9159" s="19"/>
      <c r="AU9159" s="19"/>
    </row>
    <row r="9160" spans="3:47">
      <c r="C9160" s="20"/>
      <c r="Z9160" s="20"/>
      <c r="AG9160" s="20"/>
      <c r="AQ9160" s="19"/>
      <c r="AR9160" s="19"/>
      <c r="AS9160" s="19"/>
      <c r="AT9160" s="19"/>
      <c r="AU9160" s="19"/>
    </row>
    <row r="9161" spans="3:47">
      <c r="C9161" s="20"/>
      <c r="Z9161" s="20"/>
      <c r="AG9161" s="20"/>
      <c r="AQ9161" s="19"/>
      <c r="AR9161" s="19"/>
      <c r="AS9161" s="19"/>
      <c r="AT9161" s="19"/>
      <c r="AU9161" s="19"/>
    </row>
    <row r="9162" spans="3:47">
      <c r="C9162" s="20"/>
      <c r="Z9162" s="20"/>
      <c r="AG9162" s="20"/>
      <c r="AQ9162" s="19"/>
      <c r="AR9162" s="19"/>
      <c r="AS9162" s="19"/>
      <c r="AT9162" s="19"/>
      <c r="AU9162" s="19"/>
    </row>
    <row r="9163" spans="3:47">
      <c r="C9163" s="20"/>
      <c r="Z9163" s="20"/>
      <c r="AG9163" s="20"/>
      <c r="AQ9163" s="19"/>
      <c r="AR9163" s="19"/>
      <c r="AS9163" s="19"/>
      <c r="AT9163" s="19"/>
      <c r="AU9163" s="19"/>
    </row>
    <row r="9164" spans="3:47">
      <c r="C9164" s="20"/>
      <c r="Z9164" s="20"/>
      <c r="AG9164" s="20"/>
      <c r="AQ9164" s="19"/>
      <c r="AR9164" s="19"/>
      <c r="AS9164" s="19"/>
      <c r="AT9164" s="19"/>
      <c r="AU9164" s="19"/>
    </row>
    <row r="9165" spans="3:47">
      <c r="C9165" s="20"/>
      <c r="Z9165" s="20"/>
      <c r="AG9165" s="20"/>
      <c r="AQ9165" s="19"/>
      <c r="AR9165" s="19"/>
      <c r="AS9165" s="19"/>
      <c r="AT9165" s="19"/>
      <c r="AU9165" s="19"/>
    </row>
    <row r="9166" spans="3:47">
      <c r="C9166" s="20"/>
      <c r="Z9166" s="20"/>
      <c r="AG9166" s="20"/>
      <c r="AQ9166" s="19"/>
      <c r="AR9166" s="19"/>
      <c r="AS9166" s="19"/>
      <c r="AT9166" s="19"/>
      <c r="AU9166" s="19"/>
    </row>
    <row r="9167" spans="3:47">
      <c r="C9167" s="20"/>
      <c r="Z9167" s="20"/>
      <c r="AG9167" s="20"/>
      <c r="AQ9167" s="19"/>
      <c r="AR9167" s="19"/>
      <c r="AS9167" s="19"/>
      <c r="AT9167" s="19"/>
      <c r="AU9167" s="19"/>
    </row>
    <row r="9168" spans="3:47">
      <c r="C9168" s="20"/>
      <c r="Z9168" s="20"/>
      <c r="AG9168" s="20"/>
      <c r="AQ9168" s="19"/>
      <c r="AR9168" s="19"/>
      <c r="AS9168" s="19"/>
      <c r="AT9168" s="19"/>
      <c r="AU9168" s="19"/>
    </row>
    <row r="9169" spans="3:47">
      <c r="C9169" s="20"/>
      <c r="Z9169" s="20"/>
      <c r="AG9169" s="20"/>
      <c r="AQ9169" s="19"/>
      <c r="AR9169" s="19"/>
      <c r="AS9169" s="19"/>
      <c r="AT9169" s="19"/>
      <c r="AU9169" s="19"/>
    </row>
    <row r="9170" spans="3:47">
      <c r="C9170" s="20"/>
      <c r="Z9170" s="20"/>
      <c r="AG9170" s="20"/>
      <c r="AQ9170" s="19"/>
      <c r="AR9170" s="19"/>
      <c r="AS9170" s="19"/>
      <c r="AT9170" s="19"/>
      <c r="AU9170" s="19"/>
    </row>
    <row r="9171" spans="3:47">
      <c r="C9171" s="20"/>
      <c r="Z9171" s="20"/>
      <c r="AG9171" s="20"/>
      <c r="AQ9171" s="19"/>
      <c r="AR9171" s="19"/>
      <c r="AS9171" s="19"/>
      <c r="AT9171" s="19"/>
      <c r="AU9171" s="19"/>
    </row>
    <row r="9172" spans="3:47">
      <c r="C9172" s="20"/>
      <c r="Z9172" s="20"/>
      <c r="AG9172" s="20"/>
      <c r="AQ9172" s="19"/>
      <c r="AR9172" s="19"/>
      <c r="AS9172" s="19"/>
      <c r="AT9172" s="19"/>
      <c r="AU9172" s="19"/>
    </row>
    <row r="9173" spans="3:47">
      <c r="C9173" s="20"/>
      <c r="Z9173" s="20"/>
      <c r="AG9173" s="20"/>
      <c r="AQ9173" s="19"/>
      <c r="AR9173" s="19"/>
      <c r="AS9173" s="19"/>
      <c r="AT9173" s="19"/>
      <c r="AU9173" s="19"/>
    </row>
    <row r="9174" spans="3:47">
      <c r="C9174" s="20"/>
      <c r="Z9174" s="20"/>
      <c r="AG9174" s="20"/>
      <c r="AQ9174" s="19"/>
      <c r="AR9174" s="19"/>
      <c r="AS9174" s="19"/>
      <c r="AT9174" s="19"/>
      <c r="AU9174" s="19"/>
    </row>
    <row r="9175" spans="3:47">
      <c r="C9175" s="20"/>
      <c r="Z9175" s="20"/>
      <c r="AG9175" s="20"/>
      <c r="AQ9175" s="19"/>
      <c r="AR9175" s="19"/>
      <c r="AS9175" s="19"/>
      <c r="AT9175" s="19"/>
      <c r="AU9175" s="19"/>
    </row>
    <row r="9176" spans="3:47">
      <c r="C9176" s="20"/>
      <c r="Z9176" s="20"/>
      <c r="AG9176" s="20"/>
      <c r="AQ9176" s="19"/>
      <c r="AR9176" s="19"/>
      <c r="AS9176" s="19"/>
      <c r="AT9176" s="19"/>
      <c r="AU9176" s="19"/>
    </row>
    <row r="9177" spans="3:47">
      <c r="C9177" s="20"/>
      <c r="Z9177" s="20"/>
      <c r="AG9177" s="20"/>
      <c r="AQ9177" s="19"/>
      <c r="AR9177" s="19"/>
      <c r="AS9177" s="19"/>
      <c r="AT9177" s="19"/>
      <c r="AU9177" s="19"/>
    </row>
    <row r="9178" spans="3:47">
      <c r="C9178" s="20"/>
      <c r="Z9178" s="20"/>
      <c r="AG9178" s="20"/>
      <c r="AQ9178" s="19"/>
      <c r="AR9178" s="19"/>
      <c r="AS9178" s="19"/>
      <c r="AT9178" s="19"/>
      <c r="AU9178" s="19"/>
    </row>
    <row r="9179" spans="3:47">
      <c r="C9179" s="20"/>
      <c r="Z9179" s="20"/>
      <c r="AG9179" s="20"/>
      <c r="AQ9179" s="19"/>
      <c r="AR9179" s="19"/>
      <c r="AS9179" s="19"/>
      <c r="AT9179" s="19"/>
      <c r="AU9179" s="19"/>
    </row>
    <row r="9180" spans="3:47">
      <c r="C9180" s="20"/>
      <c r="Z9180" s="20"/>
      <c r="AG9180" s="20"/>
      <c r="AQ9180" s="19"/>
      <c r="AR9180" s="19"/>
      <c r="AS9180" s="19"/>
      <c r="AT9180" s="19"/>
      <c r="AU9180" s="19"/>
    </row>
    <row r="9181" spans="3:47">
      <c r="C9181" s="20"/>
      <c r="Z9181" s="20"/>
      <c r="AG9181" s="20"/>
      <c r="AQ9181" s="19"/>
      <c r="AR9181" s="19"/>
      <c r="AS9181" s="19"/>
      <c r="AT9181" s="19"/>
      <c r="AU9181" s="19"/>
    </row>
    <row r="9182" spans="3:47">
      <c r="C9182" s="20"/>
      <c r="Z9182" s="20"/>
      <c r="AG9182" s="20"/>
      <c r="AQ9182" s="19"/>
      <c r="AR9182" s="19"/>
      <c r="AS9182" s="19"/>
      <c r="AT9182" s="19"/>
      <c r="AU9182" s="19"/>
    </row>
    <row r="9183" spans="3:47">
      <c r="C9183" s="20"/>
      <c r="Z9183" s="20"/>
      <c r="AG9183" s="20"/>
      <c r="AQ9183" s="19"/>
      <c r="AR9183" s="19"/>
      <c r="AS9183" s="19"/>
      <c r="AT9183" s="19"/>
      <c r="AU9183" s="19"/>
    </row>
    <row r="9184" spans="3:47">
      <c r="C9184" s="20"/>
      <c r="Z9184" s="20"/>
      <c r="AG9184" s="20"/>
      <c r="AQ9184" s="19"/>
      <c r="AR9184" s="19"/>
      <c r="AS9184" s="19"/>
      <c r="AT9184" s="19"/>
      <c r="AU9184" s="19"/>
    </row>
    <row r="9185" spans="3:47">
      <c r="C9185" s="20"/>
      <c r="Z9185" s="20"/>
      <c r="AG9185" s="20"/>
      <c r="AQ9185" s="19"/>
      <c r="AR9185" s="19"/>
      <c r="AS9185" s="19"/>
      <c r="AT9185" s="19"/>
      <c r="AU9185" s="19"/>
    </row>
    <row r="9186" spans="3:47">
      <c r="C9186" s="20"/>
      <c r="Z9186" s="20"/>
      <c r="AG9186" s="20"/>
      <c r="AQ9186" s="19"/>
      <c r="AR9186" s="19"/>
      <c r="AS9186" s="19"/>
      <c r="AT9186" s="19"/>
      <c r="AU9186" s="19"/>
    </row>
    <row r="9187" spans="3:47">
      <c r="C9187" s="20"/>
      <c r="Z9187" s="20"/>
      <c r="AG9187" s="20"/>
      <c r="AQ9187" s="19"/>
      <c r="AR9187" s="19"/>
      <c r="AS9187" s="19"/>
      <c r="AT9187" s="19"/>
      <c r="AU9187" s="19"/>
    </row>
    <row r="9188" spans="3:47">
      <c r="C9188" s="20"/>
      <c r="Z9188" s="20"/>
      <c r="AG9188" s="20"/>
      <c r="AQ9188" s="19"/>
      <c r="AR9188" s="19"/>
      <c r="AS9188" s="19"/>
      <c r="AT9188" s="19"/>
      <c r="AU9188" s="19"/>
    </row>
    <row r="9189" spans="3:47">
      <c r="C9189" s="20"/>
      <c r="Z9189" s="20"/>
      <c r="AG9189" s="20"/>
      <c r="AQ9189" s="19"/>
      <c r="AR9189" s="19"/>
      <c r="AS9189" s="19"/>
      <c r="AT9189" s="19"/>
      <c r="AU9189" s="19"/>
    </row>
    <row r="9190" spans="3:47">
      <c r="C9190" s="20"/>
      <c r="Z9190" s="20"/>
      <c r="AG9190" s="20"/>
      <c r="AQ9190" s="19"/>
      <c r="AR9190" s="19"/>
      <c r="AS9190" s="19"/>
      <c r="AT9190" s="19"/>
      <c r="AU9190" s="19"/>
    </row>
    <row r="9191" spans="3:47">
      <c r="C9191" s="20"/>
      <c r="Z9191" s="20"/>
      <c r="AG9191" s="20"/>
      <c r="AQ9191" s="19"/>
      <c r="AR9191" s="19"/>
      <c r="AS9191" s="19"/>
      <c r="AT9191" s="19"/>
      <c r="AU9191" s="19"/>
    </row>
    <row r="9192" spans="3:47">
      <c r="C9192" s="20"/>
      <c r="Z9192" s="20"/>
      <c r="AG9192" s="20"/>
      <c r="AQ9192" s="19"/>
      <c r="AR9192" s="19"/>
      <c r="AS9192" s="19"/>
      <c r="AT9192" s="19"/>
      <c r="AU9192" s="19"/>
    </row>
    <row r="9193" spans="3:47">
      <c r="C9193" s="20"/>
      <c r="Z9193" s="20"/>
      <c r="AG9193" s="20"/>
      <c r="AQ9193" s="19"/>
      <c r="AR9193" s="19"/>
      <c r="AS9193" s="19"/>
      <c r="AT9193" s="19"/>
      <c r="AU9193" s="19"/>
    </row>
    <row r="9194" spans="3:47">
      <c r="C9194" s="20"/>
      <c r="Z9194" s="20"/>
      <c r="AG9194" s="20"/>
      <c r="AQ9194" s="19"/>
      <c r="AR9194" s="19"/>
      <c r="AS9194" s="19"/>
      <c r="AT9194" s="19"/>
      <c r="AU9194" s="19"/>
    </row>
    <row r="9195" spans="3:47">
      <c r="C9195" s="20"/>
      <c r="Z9195" s="20"/>
      <c r="AG9195" s="20"/>
      <c r="AQ9195" s="19"/>
      <c r="AR9195" s="19"/>
      <c r="AS9195" s="19"/>
      <c r="AT9195" s="19"/>
      <c r="AU9195" s="19"/>
    </row>
    <row r="9196" spans="3:47">
      <c r="C9196" s="20"/>
      <c r="Z9196" s="20"/>
      <c r="AG9196" s="20"/>
      <c r="AQ9196" s="19"/>
      <c r="AR9196" s="19"/>
      <c r="AS9196" s="19"/>
      <c r="AT9196" s="19"/>
      <c r="AU9196" s="19"/>
    </row>
    <row r="9197" spans="3:47">
      <c r="C9197" s="20"/>
      <c r="Z9197" s="20"/>
      <c r="AG9197" s="20"/>
      <c r="AQ9197" s="19"/>
      <c r="AR9197" s="19"/>
      <c r="AS9197" s="19"/>
      <c r="AT9197" s="19"/>
      <c r="AU9197" s="19"/>
    </row>
    <row r="9198" spans="3:47">
      <c r="C9198" s="20"/>
      <c r="Z9198" s="20"/>
      <c r="AG9198" s="20"/>
      <c r="AQ9198" s="19"/>
      <c r="AR9198" s="19"/>
      <c r="AS9198" s="19"/>
      <c r="AT9198" s="19"/>
      <c r="AU9198" s="19"/>
    </row>
    <row r="9199" spans="3:47">
      <c r="C9199" s="20"/>
      <c r="Z9199" s="20"/>
      <c r="AG9199" s="20"/>
      <c r="AQ9199" s="19"/>
      <c r="AR9199" s="19"/>
      <c r="AS9199" s="19"/>
      <c r="AT9199" s="19"/>
      <c r="AU9199" s="19"/>
    </row>
    <row r="9200" spans="3:47">
      <c r="C9200" s="20"/>
      <c r="Z9200" s="20"/>
      <c r="AG9200" s="20"/>
      <c r="AQ9200" s="19"/>
      <c r="AR9200" s="19"/>
      <c r="AS9200" s="19"/>
      <c r="AT9200" s="19"/>
      <c r="AU9200" s="19"/>
    </row>
    <row r="9201" spans="3:47">
      <c r="C9201" s="20"/>
      <c r="Z9201" s="20"/>
      <c r="AG9201" s="20"/>
      <c r="AQ9201" s="19"/>
      <c r="AR9201" s="19"/>
      <c r="AS9201" s="19"/>
      <c r="AT9201" s="19"/>
      <c r="AU9201" s="19"/>
    </row>
    <row r="9202" spans="3:47">
      <c r="C9202" s="20"/>
      <c r="Z9202" s="20"/>
      <c r="AG9202" s="20"/>
      <c r="AQ9202" s="19"/>
      <c r="AR9202" s="19"/>
      <c r="AS9202" s="19"/>
      <c r="AT9202" s="19"/>
      <c r="AU9202" s="19"/>
    </row>
    <row r="9203" spans="3:47">
      <c r="C9203" s="20"/>
      <c r="Z9203" s="20"/>
      <c r="AG9203" s="20"/>
      <c r="AQ9203" s="19"/>
      <c r="AR9203" s="19"/>
      <c r="AS9203" s="19"/>
      <c r="AT9203" s="19"/>
      <c r="AU9203" s="19"/>
    </row>
    <row r="9204" spans="3:47">
      <c r="C9204" s="20"/>
      <c r="Z9204" s="20"/>
      <c r="AG9204" s="20"/>
      <c r="AQ9204" s="19"/>
      <c r="AR9204" s="19"/>
      <c r="AS9204" s="19"/>
      <c r="AT9204" s="19"/>
      <c r="AU9204" s="19"/>
    </row>
    <row r="9205" spans="3:47">
      <c r="C9205" s="20"/>
      <c r="Z9205" s="20"/>
      <c r="AG9205" s="20"/>
      <c r="AQ9205" s="19"/>
      <c r="AR9205" s="19"/>
      <c r="AS9205" s="19"/>
      <c r="AT9205" s="19"/>
      <c r="AU9205" s="19"/>
    </row>
    <row r="9206" spans="3:47">
      <c r="C9206" s="20"/>
      <c r="Z9206" s="20"/>
      <c r="AG9206" s="20"/>
      <c r="AQ9206" s="19"/>
      <c r="AR9206" s="19"/>
      <c r="AS9206" s="19"/>
      <c r="AT9206" s="19"/>
      <c r="AU9206" s="19"/>
    </row>
    <row r="9207" spans="3:47">
      <c r="C9207" s="20"/>
      <c r="Z9207" s="20"/>
      <c r="AG9207" s="20"/>
      <c r="AQ9207" s="19"/>
      <c r="AR9207" s="19"/>
      <c r="AS9207" s="19"/>
      <c r="AT9207" s="19"/>
      <c r="AU9207" s="19"/>
    </row>
    <row r="9208" spans="3:47">
      <c r="C9208" s="20"/>
      <c r="Z9208" s="20"/>
      <c r="AG9208" s="20"/>
      <c r="AQ9208" s="19"/>
      <c r="AR9208" s="19"/>
      <c r="AS9208" s="19"/>
      <c r="AT9208" s="19"/>
      <c r="AU9208" s="19"/>
    </row>
    <row r="9209" spans="3:47">
      <c r="C9209" s="20"/>
      <c r="Z9209" s="20"/>
      <c r="AG9209" s="20"/>
      <c r="AQ9209" s="19"/>
      <c r="AR9209" s="19"/>
      <c r="AS9209" s="19"/>
      <c r="AT9209" s="19"/>
      <c r="AU9209" s="19"/>
    </row>
    <row r="9210" spans="3:47">
      <c r="C9210" s="20"/>
      <c r="Z9210" s="20"/>
      <c r="AG9210" s="20"/>
      <c r="AQ9210" s="19"/>
      <c r="AR9210" s="19"/>
      <c r="AS9210" s="19"/>
      <c r="AT9210" s="19"/>
      <c r="AU9210" s="19"/>
    </row>
    <row r="9211" spans="3:47">
      <c r="C9211" s="20"/>
      <c r="Z9211" s="20"/>
      <c r="AG9211" s="20"/>
      <c r="AQ9211" s="19"/>
      <c r="AR9211" s="19"/>
      <c r="AS9211" s="19"/>
      <c r="AT9211" s="19"/>
      <c r="AU9211" s="19"/>
    </row>
    <row r="9212" spans="3:47">
      <c r="C9212" s="20"/>
      <c r="Z9212" s="20"/>
      <c r="AG9212" s="20"/>
      <c r="AQ9212" s="19"/>
      <c r="AR9212" s="19"/>
      <c r="AS9212" s="19"/>
      <c r="AT9212" s="19"/>
      <c r="AU9212" s="19"/>
    </row>
    <row r="9213" spans="3:47">
      <c r="C9213" s="20"/>
      <c r="Z9213" s="20"/>
      <c r="AG9213" s="20"/>
      <c r="AQ9213" s="19"/>
      <c r="AR9213" s="19"/>
      <c r="AS9213" s="19"/>
      <c r="AT9213" s="19"/>
      <c r="AU9213" s="19"/>
    </row>
    <row r="9214" spans="3:47">
      <c r="C9214" s="20"/>
      <c r="Z9214" s="20"/>
      <c r="AG9214" s="20"/>
      <c r="AQ9214" s="19"/>
      <c r="AR9214" s="19"/>
      <c r="AS9214" s="19"/>
      <c r="AT9214" s="19"/>
      <c r="AU9214" s="19"/>
    </row>
    <row r="9215" spans="3:47">
      <c r="C9215" s="20"/>
      <c r="Z9215" s="20"/>
      <c r="AG9215" s="20"/>
      <c r="AQ9215" s="19"/>
      <c r="AR9215" s="19"/>
      <c r="AS9215" s="19"/>
      <c r="AT9215" s="19"/>
      <c r="AU9215" s="19"/>
    </row>
    <row r="9216" spans="3:47">
      <c r="C9216" s="20"/>
      <c r="Z9216" s="20"/>
      <c r="AG9216" s="20"/>
      <c r="AQ9216" s="19"/>
      <c r="AR9216" s="19"/>
      <c r="AS9216" s="19"/>
      <c r="AT9216" s="19"/>
      <c r="AU9216" s="19"/>
    </row>
    <row r="9217" spans="3:47">
      <c r="C9217" s="20"/>
      <c r="Z9217" s="20"/>
      <c r="AG9217" s="20"/>
      <c r="AQ9217" s="19"/>
      <c r="AR9217" s="19"/>
      <c r="AS9217" s="19"/>
      <c r="AT9217" s="19"/>
      <c r="AU9217" s="19"/>
    </row>
    <row r="9218" spans="3:47">
      <c r="C9218" s="20"/>
      <c r="Z9218" s="20"/>
      <c r="AG9218" s="20"/>
      <c r="AQ9218" s="19"/>
      <c r="AR9218" s="19"/>
      <c r="AS9218" s="19"/>
      <c r="AT9218" s="19"/>
      <c r="AU9218" s="19"/>
    </row>
    <row r="9219" spans="3:47">
      <c r="C9219" s="20"/>
      <c r="Z9219" s="20"/>
      <c r="AG9219" s="20"/>
      <c r="AQ9219" s="19"/>
      <c r="AR9219" s="19"/>
      <c r="AS9219" s="19"/>
      <c r="AT9219" s="19"/>
      <c r="AU9219" s="19"/>
    </row>
    <row r="9220" spans="3:47">
      <c r="C9220" s="20"/>
      <c r="Z9220" s="20"/>
      <c r="AG9220" s="20"/>
      <c r="AQ9220" s="19"/>
      <c r="AR9220" s="19"/>
      <c r="AS9220" s="19"/>
      <c r="AT9220" s="19"/>
      <c r="AU9220" s="19"/>
    </row>
    <row r="9221" spans="3:47">
      <c r="C9221" s="20"/>
      <c r="Z9221" s="20"/>
      <c r="AG9221" s="20"/>
      <c r="AQ9221" s="19"/>
      <c r="AR9221" s="19"/>
      <c r="AS9221" s="19"/>
      <c r="AT9221" s="19"/>
      <c r="AU9221" s="19"/>
    </row>
    <row r="9222" spans="3:47">
      <c r="C9222" s="20"/>
      <c r="Z9222" s="20"/>
      <c r="AG9222" s="20"/>
      <c r="AQ9222" s="19"/>
      <c r="AR9222" s="19"/>
      <c r="AS9222" s="19"/>
      <c r="AT9222" s="19"/>
      <c r="AU9222" s="19"/>
    </row>
    <row r="9223" spans="3:47">
      <c r="C9223" s="20"/>
      <c r="Z9223" s="20"/>
      <c r="AG9223" s="20"/>
      <c r="AQ9223" s="19"/>
      <c r="AR9223" s="19"/>
      <c r="AS9223" s="19"/>
      <c r="AT9223" s="19"/>
      <c r="AU9223" s="19"/>
    </row>
    <row r="9224" spans="3:47">
      <c r="C9224" s="20"/>
      <c r="Z9224" s="20"/>
      <c r="AG9224" s="20"/>
      <c r="AQ9224" s="19"/>
      <c r="AR9224" s="19"/>
      <c r="AS9224" s="19"/>
      <c r="AT9224" s="19"/>
      <c r="AU9224" s="19"/>
    </row>
    <row r="9225" spans="3:47">
      <c r="C9225" s="20"/>
      <c r="Z9225" s="20"/>
      <c r="AG9225" s="20"/>
      <c r="AQ9225" s="19"/>
      <c r="AR9225" s="19"/>
      <c r="AS9225" s="19"/>
      <c r="AT9225" s="19"/>
      <c r="AU9225" s="19"/>
    </row>
    <row r="9226" spans="3:47">
      <c r="C9226" s="20"/>
      <c r="Z9226" s="20"/>
      <c r="AG9226" s="20"/>
      <c r="AQ9226" s="19"/>
      <c r="AR9226" s="19"/>
      <c r="AS9226" s="19"/>
      <c r="AT9226" s="19"/>
      <c r="AU9226" s="19"/>
    </row>
    <row r="9227" spans="3:47">
      <c r="C9227" s="20"/>
      <c r="Z9227" s="20"/>
      <c r="AG9227" s="20"/>
      <c r="AQ9227" s="19"/>
      <c r="AR9227" s="19"/>
      <c r="AS9227" s="19"/>
      <c r="AT9227" s="19"/>
      <c r="AU9227" s="19"/>
    </row>
    <row r="9228" spans="3:47">
      <c r="C9228" s="20"/>
      <c r="Z9228" s="20"/>
      <c r="AG9228" s="20"/>
      <c r="AQ9228" s="19"/>
      <c r="AR9228" s="19"/>
      <c r="AS9228" s="19"/>
      <c r="AT9228" s="19"/>
      <c r="AU9228" s="19"/>
    </row>
    <row r="9229" spans="3:47">
      <c r="C9229" s="20"/>
      <c r="Z9229" s="20"/>
      <c r="AG9229" s="20"/>
      <c r="AQ9229" s="19"/>
      <c r="AR9229" s="19"/>
      <c r="AS9229" s="19"/>
      <c r="AT9229" s="19"/>
      <c r="AU9229" s="19"/>
    </row>
    <row r="9230" spans="3:47">
      <c r="C9230" s="20"/>
      <c r="Z9230" s="20"/>
      <c r="AG9230" s="20"/>
      <c r="AQ9230" s="19"/>
      <c r="AR9230" s="19"/>
      <c r="AS9230" s="19"/>
      <c r="AT9230" s="19"/>
      <c r="AU9230" s="19"/>
    </row>
    <row r="9231" spans="3:47">
      <c r="C9231" s="20"/>
      <c r="Z9231" s="20"/>
      <c r="AG9231" s="20"/>
      <c r="AQ9231" s="19"/>
      <c r="AR9231" s="19"/>
      <c r="AS9231" s="19"/>
      <c r="AT9231" s="19"/>
      <c r="AU9231" s="19"/>
    </row>
    <row r="9232" spans="3:47">
      <c r="C9232" s="20"/>
      <c r="Z9232" s="20"/>
      <c r="AG9232" s="20"/>
      <c r="AQ9232" s="19"/>
      <c r="AR9232" s="19"/>
      <c r="AS9232" s="19"/>
      <c r="AT9232" s="19"/>
      <c r="AU9232" s="19"/>
    </row>
    <row r="9233" spans="3:47">
      <c r="C9233" s="20"/>
      <c r="Z9233" s="20"/>
      <c r="AG9233" s="20"/>
      <c r="AQ9233" s="19"/>
      <c r="AR9233" s="19"/>
      <c r="AS9233" s="19"/>
      <c r="AT9233" s="19"/>
      <c r="AU9233" s="19"/>
    </row>
    <row r="9234" spans="3:47">
      <c r="C9234" s="20"/>
      <c r="Z9234" s="20"/>
      <c r="AG9234" s="20"/>
      <c r="AQ9234" s="19"/>
      <c r="AR9234" s="19"/>
      <c r="AS9234" s="19"/>
      <c r="AT9234" s="19"/>
      <c r="AU9234" s="19"/>
    </row>
    <row r="9235" spans="3:47">
      <c r="C9235" s="20"/>
      <c r="Z9235" s="20"/>
      <c r="AG9235" s="20"/>
      <c r="AQ9235" s="19"/>
      <c r="AR9235" s="19"/>
      <c r="AS9235" s="19"/>
      <c r="AT9235" s="19"/>
      <c r="AU9235" s="19"/>
    </row>
    <row r="9236" spans="3:47">
      <c r="C9236" s="20"/>
      <c r="Z9236" s="20"/>
      <c r="AG9236" s="20"/>
      <c r="AQ9236" s="19"/>
      <c r="AR9236" s="19"/>
      <c r="AS9236" s="19"/>
      <c r="AT9236" s="19"/>
      <c r="AU9236" s="19"/>
    </row>
    <row r="9237" spans="3:47">
      <c r="C9237" s="20"/>
      <c r="Z9237" s="20"/>
      <c r="AG9237" s="20"/>
      <c r="AQ9237" s="19"/>
      <c r="AR9237" s="19"/>
      <c r="AS9237" s="19"/>
      <c r="AT9237" s="19"/>
      <c r="AU9237" s="19"/>
    </row>
    <row r="9238" spans="3:47">
      <c r="C9238" s="20"/>
      <c r="Z9238" s="20"/>
      <c r="AG9238" s="20"/>
      <c r="AQ9238" s="19"/>
      <c r="AR9238" s="19"/>
      <c r="AS9238" s="19"/>
      <c r="AT9238" s="19"/>
      <c r="AU9238" s="19"/>
    </row>
    <row r="9239" spans="3:47">
      <c r="C9239" s="20"/>
      <c r="Z9239" s="20"/>
      <c r="AG9239" s="20"/>
      <c r="AQ9239" s="19"/>
      <c r="AR9239" s="19"/>
      <c r="AS9239" s="19"/>
      <c r="AT9239" s="19"/>
      <c r="AU9239" s="19"/>
    </row>
    <row r="9240" spans="3:47">
      <c r="C9240" s="20"/>
      <c r="Z9240" s="20"/>
      <c r="AG9240" s="20"/>
      <c r="AQ9240" s="19"/>
      <c r="AR9240" s="19"/>
      <c r="AS9240" s="19"/>
      <c r="AT9240" s="19"/>
      <c r="AU9240" s="19"/>
    </row>
    <row r="9241" spans="3:47">
      <c r="C9241" s="20"/>
      <c r="Z9241" s="20"/>
      <c r="AG9241" s="20"/>
      <c r="AQ9241" s="19"/>
      <c r="AR9241" s="19"/>
      <c r="AS9241" s="19"/>
      <c r="AT9241" s="19"/>
      <c r="AU9241" s="19"/>
    </row>
    <row r="9242" spans="3:47">
      <c r="C9242" s="20"/>
      <c r="Z9242" s="20"/>
      <c r="AG9242" s="20"/>
      <c r="AQ9242" s="19"/>
      <c r="AR9242" s="19"/>
      <c r="AS9242" s="19"/>
      <c r="AT9242" s="19"/>
      <c r="AU9242" s="19"/>
    </row>
    <row r="9243" spans="3:47">
      <c r="C9243" s="20"/>
      <c r="Z9243" s="20"/>
      <c r="AG9243" s="20"/>
      <c r="AQ9243" s="19"/>
      <c r="AR9243" s="19"/>
      <c r="AS9243" s="19"/>
      <c r="AT9243" s="19"/>
      <c r="AU9243" s="19"/>
    </row>
    <row r="9244" spans="3:47">
      <c r="C9244" s="20"/>
      <c r="Z9244" s="20"/>
      <c r="AG9244" s="20"/>
      <c r="AQ9244" s="19"/>
      <c r="AR9244" s="19"/>
      <c r="AS9244" s="19"/>
      <c r="AT9244" s="19"/>
      <c r="AU9244" s="19"/>
    </row>
    <row r="9245" spans="3:47">
      <c r="C9245" s="20"/>
      <c r="Z9245" s="20"/>
      <c r="AG9245" s="20"/>
      <c r="AQ9245" s="19"/>
      <c r="AR9245" s="19"/>
      <c r="AS9245" s="19"/>
      <c r="AT9245" s="19"/>
      <c r="AU9245" s="19"/>
    </row>
    <row r="9246" spans="3:47">
      <c r="C9246" s="20"/>
      <c r="Z9246" s="20"/>
      <c r="AG9246" s="20"/>
      <c r="AQ9246" s="19"/>
      <c r="AR9246" s="19"/>
      <c r="AS9246" s="19"/>
      <c r="AT9246" s="19"/>
      <c r="AU9246" s="19"/>
    </row>
    <row r="9247" spans="3:47">
      <c r="C9247" s="20"/>
      <c r="Z9247" s="20"/>
      <c r="AG9247" s="20"/>
      <c r="AQ9247" s="19"/>
      <c r="AR9247" s="19"/>
      <c r="AS9247" s="19"/>
      <c r="AT9247" s="19"/>
      <c r="AU9247" s="19"/>
    </row>
    <row r="9248" spans="3:47">
      <c r="C9248" s="20"/>
      <c r="Z9248" s="20"/>
      <c r="AG9248" s="20"/>
      <c r="AQ9248" s="19"/>
      <c r="AR9248" s="19"/>
      <c r="AS9248" s="19"/>
      <c r="AT9248" s="19"/>
      <c r="AU9248" s="19"/>
    </row>
    <row r="9249" spans="3:47">
      <c r="C9249" s="20"/>
      <c r="Z9249" s="20"/>
      <c r="AG9249" s="20"/>
      <c r="AQ9249" s="19"/>
      <c r="AR9249" s="19"/>
      <c r="AS9249" s="19"/>
      <c r="AT9249" s="19"/>
      <c r="AU9249" s="19"/>
    </row>
    <row r="9250" spans="3:47">
      <c r="C9250" s="20"/>
      <c r="Z9250" s="20"/>
      <c r="AG9250" s="20"/>
      <c r="AQ9250" s="19"/>
      <c r="AR9250" s="19"/>
      <c r="AS9250" s="19"/>
      <c r="AT9250" s="19"/>
      <c r="AU9250" s="19"/>
    </row>
    <row r="9251" spans="3:47">
      <c r="C9251" s="20"/>
      <c r="Z9251" s="20"/>
      <c r="AG9251" s="20"/>
      <c r="AQ9251" s="19"/>
      <c r="AR9251" s="19"/>
      <c r="AS9251" s="19"/>
      <c r="AT9251" s="19"/>
      <c r="AU9251" s="19"/>
    </row>
    <row r="9252" spans="3:47">
      <c r="C9252" s="20"/>
      <c r="Z9252" s="20"/>
      <c r="AG9252" s="20"/>
      <c r="AQ9252" s="19"/>
      <c r="AR9252" s="19"/>
      <c r="AS9252" s="19"/>
      <c r="AT9252" s="19"/>
      <c r="AU9252" s="19"/>
    </row>
    <row r="9253" spans="3:47">
      <c r="C9253" s="20"/>
      <c r="Z9253" s="20"/>
      <c r="AG9253" s="20"/>
      <c r="AQ9253" s="19"/>
      <c r="AR9253" s="19"/>
      <c r="AS9253" s="19"/>
      <c r="AT9253" s="19"/>
      <c r="AU9253" s="19"/>
    </row>
    <row r="9254" spans="3:47">
      <c r="C9254" s="20"/>
      <c r="Z9254" s="20"/>
      <c r="AG9254" s="20"/>
      <c r="AQ9254" s="19"/>
      <c r="AR9254" s="19"/>
      <c r="AS9254" s="19"/>
      <c r="AT9254" s="19"/>
      <c r="AU9254" s="19"/>
    </row>
    <row r="9255" spans="3:47">
      <c r="C9255" s="20"/>
      <c r="Z9255" s="20"/>
      <c r="AG9255" s="20"/>
      <c r="AQ9255" s="19"/>
      <c r="AR9255" s="19"/>
      <c r="AS9255" s="19"/>
      <c r="AT9255" s="19"/>
      <c r="AU9255" s="19"/>
    </row>
    <row r="9256" spans="3:47">
      <c r="C9256" s="20"/>
      <c r="Z9256" s="20"/>
      <c r="AG9256" s="20"/>
      <c r="AQ9256" s="19"/>
      <c r="AR9256" s="19"/>
      <c r="AS9256" s="19"/>
      <c r="AT9256" s="19"/>
      <c r="AU9256" s="19"/>
    </row>
    <row r="9257" spans="3:47">
      <c r="C9257" s="20"/>
      <c r="Z9257" s="20"/>
      <c r="AG9257" s="20"/>
      <c r="AQ9257" s="19"/>
      <c r="AR9257" s="19"/>
      <c r="AS9257" s="19"/>
      <c r="AT9257" s="19"/>
      <c r="AU9257" s="19"/>
    </row>
    <row r="9258" spans="3:47">
      <c r="C9258" s="20"/>
      <c r="Z9258" s="20"/>
      <c r="AG9258" s="20"/>
      <c r="AQ9258" s="19"/>
      <c r="AR9258" s="19"/>
      <c r="AS9258" s="19"/>
      <c r="AT9258" s="19"/>
      <c r="AU9258" s="19"/>
    </row>
    <row r="9259" spans="3:47">
      <c r="C9259" s="20"/>
      <c r="Z9259" s="20"/>
      <c r="AG9259" s="20"/>
      <c r="AQ9259" s="19"/>
      <c r="AR9259" s="19"/>
      <c r="AS9259" s="19"/>
      <c r="AT9259" s="19"/>
      <c r="AU9259" s="19"/>
    </row>
    <row r="9260" spans="3:47">
      <c r="C9260" s="20"/>
      <c r="Z9260" s="20"/>
      <c r="AG9260" s="20"/>
      <c r="AQ9260" s="19"/>
      <c r="AR9260" s="19"/>
      <c r="AS9260" s="19"/>
      <c r="AT9260" s="19"/>
      <c r="AU9260" s="19"/>
    </row>
    <row r="9261" spans="3:47">
      <c r="C9261" s="20"/>
      <c r="Z9261" s="20"/>
      <c r="AG9261" s="20"/>
      <c r="AQ9261" s="19"/>
      <c r="AR9261" s="19"/>
      <c r="AS9261" s="19"/>
      <c r="AT9261" s="19"/>
      <c r="AU9261" s="19"/>
    </row>
    <row r="9262" spans="3:47">
      <c r="C9262" s="20"/>
      <c r="Z9262" s="20"/>
      <c r="AG9262" s="20"/>
      <c r="AQ9262" s="19"/>
      <c r="AR9262" s="19"/>
      <c r="AS9262" s="19"/>
      <c r="AT9262" s="19"/>
      <c r="AU9262" s="19"/>
    </row>
    <row r="9263" spans="3:47">
      <c r="C9263" s="20"/>
      <c r="Z9263" s="20"/>
      <c r="AG9263" s="20"/>
      <c r="AQ9263" s="19"/>
      <c r="AR9263" s="19"/>
      <c r="AS9263" s="19"/>
      <c r="AT9263" s="19"/>
      <c r="AU9263" s="19"/>
    </row>
    <row r="9264" spans="3:47">
      <c r="C9264" s="20"/>
      <c r="Z9264" s="20"/>
      <c r="AG9264" s="20"/>
      <c r="AQ9264" s="19"/>
      <c r="AR9264" s="19"/>
      <c r="AS9264" s="19"/>
      <c r="AT9264" s="19"/>
      <c r="AU9264" s="19"/>
    </row>
    <row r="9265" spans="3:47">
      <c r="C9265" s="20"/>
      <c r="Z9265" s="20"/>
      <c r="AG9265" s="20"/>
      <c r="AQ9265" s="19"/>
      <c r="AR9265" s="19"/>
      <c r="AS9265" s="19"/>
      <c r="AT9265" s="19"/>
      <c r="AU9265" s="19"/>
    </row>
    <row r="9266" spans="3:47">
      <c r="C9266" s="20"/>
      <c r="Z9266" s="20"/>
      <c r="AG9266" s="20"/>
      <c r="AQ9266" s="19"/>
      <c r="AR9266" s="19"/>
      <c r="AS9266" s="19"/>
      <c r="AT9266" s="19"/>
      <c r="AU9266" s="19"/>
    </row>
    <row r="9267" spans="3:47">
      <c r="C9267" s="20"/>
      <c r="Z9267" s="20"/>
      <c r="AG9267" s="20"/>
      <c r="AQ9267" s="19"/>
      <c r="AR9267" s="19"/>
      <c r="AS9267" s="19"/>
      <c r="AT9267" s="19"/>
      <c r="AU9267" s="19"/>
    </row>
    <row r="9268" spans="3:47">
      <c r="C9268" s="20"/>
      <c r="Z9268" s="20"/>
      <c r="AG9268" s="20"/>
      <c r="AQ9268" s="19"/>
      <c r="AR9268" s="19"/>
      <c r="AS9268" s="19"/>
      <c r="AT9268" s="19"/>
      <c r="AU9268" s="19"/>
    </row>
    <row r="9269" spans="3:47">
      <c r="C9269" s="20"/>
      <c r="Z9269" s="20"/>
      <c r="AG9269" s="20"/>
      <c r="AQ9269" s="19"/>
      <c r="AR9269" s="19"/>
      <c r="AS9269" s="19"/>
      <c r="AT9269" s="19"/>
      <c r="AU9269" s="19"/>
    </row>
    <row r="9270" spans="3:47">
      <c r="C9270" s="20"/>
      <c r="Z9270" s="20"/>
      <c r="AG9270" s="20"/>
      <c r="AQ9270" s="19"/>
      <c r="AR9270" s="19"/>
      <c r="AS9270" s="19"/>
      <c r="AT9270" s="19"/>
      <c r="AU9270" s="19"/>
    </row>
    <row r="9271" spans="3:47">
      <c r="C9271" s="20"/>
      <c r="Z9271" s="20"/>
      <c r="AG9271" s="20"/>
      <c r="AQ9271" s="19"/>
      <c r="AR9271" s="19"/>
      <c r="AS9271" s="19"/>
      <c r="AT9271" s="19"/>
      <c r="AU9271" s="19"/>
    </row>
    <row r="9272" spans="3:47">
      <c r="C9272" s="20"/>
      <c r="Z9272" s="20"/>
      <c r="AG9272" s="20"/>
      <c r="AQ9272" s="19"/>
      <c r="AR9272" s="19"/>
      <c r="AS9272" s="19"/>
      <c r="AT9272" s="19"/>
      <c r="AU9272" s="19"/>
    </row>
    <row r="9273" spans="3:47">
      <c r="C9273" s="20"/>
      <c r="Z9273" s="20"/>
      <c r="AG9273" s="20"/>
      <c r="AQ9273" s="19"/>
      <c r="AR9273" s="19"/>
      <c r="AS9273" s="19"/>
      <c r="AT9273" s="19"/>
      <c r="AU9273" s="19"/>
    </row>
    <row r="9274" spans="3:47">
      <c r="C9274" s="20"/>
      <c r="Z9274" s="20"/>
      <c r="AG9274" s="20"/>
      <c r="AQ9274" s="19"/>
      <c r="AR9274" s="19"/>
      <c r="AS9274" s="19"/>
      <c r="AT9274" s="19"/>
      <c r="AU9274" s="19"/>
    </row>
    <row r="9275" spans="3:47">
      <c r="C9275" s="20"/>
      <c r="Z9275" s="20"/>
      <c r="AG9275" s="20"/>
      <c r="AQ9275" s="19"/>
      <c r="AR9275" s="19"/>
      <c r="AS9275" s="19"/>
      <c r="AT9275" s="19"/>
      <c r="AU9275" s="19"/>
    </row>
    <row r="9276" spans="3:47">
      <c r="C9276" s="20"/>
      <c r="Z9276" s="20"/>
      <c r="AG9276" s="20"/>
      <c r="AQ9276" s="19"/>
      <c r="AR9276" s="19"/>
      <c r="AS9276" s="19"/>
      <c r="AT9276" s="19"/>
      <c r="AU9276" s="19"/>
    </row>
    <row r="9277" spans="3:47">
      <c r="C9277" s="20"/>
      <c r="Z9277" s="20"/>
      <c r="AG9277" s="20"/>
      <c r="AQ9277" s="19"/>
      <c r="AR9277" s="19"/>
      <c r="AS9277" s="19"/>
      <c r="AT9277" s="19"/>
      <c r="AU9277" s="19"/>
    </row>
    <row r="9278" spans="3:47">
      <c r="C9278" s="20"/>
      <c r="Z9278" s="20"/>
      <c r="AG9278" s="20"/>
      <c r="AQ9278" s="19"/>
      <c r="AR9278" s="19"/>
      <c r="AS9278" s="19"/>
      <c r="AT9278" s="19"/>
      <c r="AU9278" s="19"/>
    </row>
    <row r="9279" spans="3:47">
      <c r="C9279" s="20"/>
      <c r="Z9279" s="20"/>
      <c r="AG9279" s="20"/>
      <c r="AQ9279" s="19"/>
      <c r="AR9279" s="19"/>
      <c r="AS9279" s="19"/>
      <c r="AT9279" s="19"/>
      <c r="AU9279" s="19"/>
    </row>
    <row r="9280" spans="3:47">
      <c r="C9280" s="20"/>
      <c r="Z9280" s="20"/>
      <c r="AG9280" s="20"/>
      <c r="AQ9280" s="19"/>
      <c r="AR9280" s="19"/>
      <c r="AS9280" s="19"/>
      <c r="AT9280" s="19"/>
      <c r="AU9280" s="19"/>
    </row>
    <row r="9281" spans="3:47">
      <c r="C9281" s="20"/>
      <c r="Z9281" s="20"/>
      <c r="AG9281" s="20"/>
      <c r="AQ9281" s="19"/>
      <c r="AR9281" s="19"/>
      <c r="AS9281" s="19"/>
      <c r="AT9281" s="19"/>
      <c r="AU9281" s="19"/>
    </row>
    <row r="9282" spans="3:47">
      <c r="C9282" s="20"/>
      <c r="Z9282" s="20"/>
      <c r="AG9282" s="20"/>
      <c r="AQ9282" s="19"/>
      <c r="AR9282" s="19"/>
      <c r="AS9282" s="19"/>
      <c r="AT9282" s="19"/>
      <c r="AU9282" s="19"/>
    </row>
    <row r="9283" spans="3:47">
      <c r="C9283" s="20"/>
      <c r="Z9283" s="20"/>
      <c r="AG9283" s="20"/>
      <c r="AQ9283" s="19"/>
      <c r="AR9283" s="19"/>
      <c r="AS9283" s="19"/>
      <c r="AT9283" s="19"/>
      <c r="AU9283" s="19"/>
    </row>
    <row r="9284" spans="3:47">
      <c r="C9284" s="20"/>
      <c r="Z9284" s="20"/>
      <c r="AG9284" s="20"/>
      <c r="AQ9284" s="19"/>
      <c r="AR9284" s="19"/>
      <c r="AS9284" s="19"/>
      <c r="AT9284" s="19"/>
      <c r="AU9284" s="19"/>
    </row>
    <row r="9285" spans="3:47">
      <c r="C9285" s="20"/>
      <c r="Z9285" s="20"/>
      <c r="AG9285" s="20"/>
      <c r="AQ9285" s="19"/>
      <c r="AR9285" s="19"/>
      <c r="AS9285" s="19"/>
      <c r="AT9285" s="19"/>
      <c r="AU9285" s="19"/>
    </row>
    <row r="9286" spans="3:47">
      <c r="C9286" s="20"/>
      <c r="Z9286" s="20"/>
      <c r="AG9286" s="20"/>
      <c r="AQ9286" s="19"/>
      <c r="AR9286" s="19"/>
      <c r="AS9286" s="19"/>
      <c r="AT9286" s="19"/>
      <c r="AU9286" s="19"/>
    </row>
    <row r="9287" spans="3:47">
      <c r="C9287" s="20"/>
      <c r="Z9287" s="20"/>
      <c r="AG9287" s="20"/>
      <c r="AQ9287" s="19"/>
      <c r="AR9287" s="19"/>
      <c r="AS9287" s="19"/>
      <c r="AT9287" s="19"/>
      <c r="AU9287" s="19"/>
    </row>
    <row r="9288" spans="3:47">
      <c r="C9288" s="20"/>
      <c r="Z9288" s="20"/>
      <c r="AG9288" s="20"/>
      <c r="AQ9288" s="19"/>
      <c r="AR9288" s="19"/>
      <c r="AS9288" s="19"/>
      <c r="AT9288" s="19"/>
      <c r="AU9288" s="19"/>
    </row>
    <row r="9289" spans="3:47">
      <c r="C9289" s="20"/>
      <c r="Z9289" s="20"/>
      <c r="AG9289" s="20"/>
      <c r="AQ9289" s="19"/>
      <c r="AR9289" s="19"/>
      <c r="AS9289" s="19"/>
      <c r="AT9289" s="19"/>
      <c r="AU9289" s="19"/>
    </row>
    <row r="9290" spans="3:47">
      <c r="C9290" s="20"/>
      <c r="Z9290" s="20"/>
      <c r="AG9290" s="20"/>
      <c r="AQ9290" s="19"/>
      <c r="AR9290" s="19"/>
      <c r="AS9290" s="19"/>
      <c r="AT9290" s="19"/>
      <c r="AU9290" s="19"/>
    </row>
    <row r="9291" spans="3:47">
      <c r="C9291" s="20"/>
      <c r="Z9291" s="20"/>
      <c r="AG9291" s="20"/>
      <c r="AQ9291" s="19"/>
      <c r="AR9291" s="19"/>
      <c r="AS9291" s="19"/>
      <c r="AT9291" s="19"/>
      <c r="AU9291" s="19"/>
    </row>
    <row r="9292" spans="3:47">
      <c r="C9292" s="20"/>
      <c r="Z9292" s="20"/>
      <c r="AG9292" s="20"/>
      <c r="AQ9292" s="19"/>
      <c r="AR9292" s="19"/>
      <c r="AS9292" s="19"/>
      <c r="AT9292" s="19"/>
      <c r="AU9292" s="19"/>
    </row>
    <row r="9293" spans="3:47">
      <c r="C9293" s="20"/>
      <c r="Z9293" s="20"/>
      <c r="AG9293" s="20"/>
      <c r="AQ9293" s="19"/>
      <c r="AR9293" s="19"/>
      <c r="AS9293" s="19"/>
      <c r="AT9293" s="19"/>
      <c r="AU9293" s="19"/>
    </row>
    <row r="9294" spans="3:47">
      <c r="C9294" s="20"/>
      <c r="Z9294" s="20"/>
      <c r="AG9294" s="20"/>
      <c r="AQ9294" s="19"/>
      <c r="AR9294" s="19"/>
      <c r="AS9294" s="19"/>
      <c r="AT9294" s="19"/>
      <c r="AU9294" s="19"/>
    </row>
    <row r="9295" spans="3:47">
      <c r="C9295" s="20"/>
      <c r="Z9295" s="20"/>
      <c r="AG9295" s="20"/>
      <c r="AQ9295" s="19"/>
      <c r="AR9295" s="19"/>
      <c r="AS9295" s="19"/>
      <c r="AT9295" s="19"/>
      <c r="AU9295" s="19"/>
    </row>
    <row r="9296" spans="3:47">
      <c r="C9296" s="20"/>
      <c r="Z9296" s="20"/>
      <c r="AG9296" s="20"/>
      <c r="AQ9296" s="19"/>
      <c r="AR9296" s="19"/>
      <c r="AS9296" s="19"/>
      <c r="AT9296" s="19"/>
      <c r="AU9296" s="19"/>
    </row>
    <row r="9297" spans="3:47">
      <c r="C9297" s="20"/>
      <c r="Z9297" s="20"/>
      <c r="AG9297" s="20"/>
      <c r="AQ9297" s="19"/>
      <c r="AR9297" s="19"/>
      <c r="AS9297" s="19"/>
      <c r="AT9297" s="19"/>
      <c r="AU9297" s="19"/>
    </row>
    <row r="9298" spans="3:47">
      <c r="C9298" s="20"/>
      <c r="Z9298" s="20"/>
      <c r="AG9298" s="20"/>
      <c r="AQ9298" s="19"/>
      <c r="AR9298" s="19"/>
      <c r="AS9298" s="19"/>
      <c r="AT9298" s="19"/>
      <c r="AU9298" s="19"/>
    </row>
    <row r="9299" spans="3:47">
      <c r="C9299" s="20"/>
      <c r="Z9299" s="20"/>
      <c r="AG9299" s="20"/>
      <c r="AQ9299" s="19"/>
      <c r="AR9299" s="19"/>
      <c r="AS9299" s="19"/>
      <c r="AT9299" s="19"/>
      <c r="AU9299" s="19"/>
    </row>
    <row r="9300" spans="3:47">
      <c r="C9300" s="20"/>
      <c r="Z9300" s="20"/>
      <c r="AG9300" s="20"/>
      <c r="AQ9300" s="19"/>
      <c r="AR9300" s="19"/>
      <c r="AS9300" s="19"/>
      <c r="AT9300" s="19"/>
      <c r="AU9300" s="19"/>
    </row>
    <row r="9301" spans="3:47">
      <c r="C9301" s="20"/>
      <c r="Z9301" s="20"/>
      <c r="AG9301" s="20"/>
      <c r="AQ9301" s="19"/>
      <c r="AR9301" s="19"/>
      <c r="AS9301" s="19"/>
      <c r="AT9301" s="19"/>
      <c r="AU9301" s="19"/>
    </row>
    <row r="9302" spans="3:47">
      <c r="C9302" s="20"/>
      <c r="Z9302" s="20"/>
      <c r="AG9302" s="20"/>
      <c r="AQ9302" s="19"/>
      <c r="AR9302" s="19"/>
      <c r="AS9302" s="19"/>
      <c r="AT9302" s="19"/>
      <c r="AU9302" s="19"/>
    </row>
    <row r="9303" spans="3:47">
      <c r="C9303" s="20"/>
      <c r="Z9303" s="20"/>
      <c r="AG9303" s="20"/>
      <c r="AQ9303" s="19"/>
      <c r="AR9303" s="19"/>
      <c r="AS9303" s="19"/>
      <c r="AT9303" s="19"/>
      <c r="AU9303" s="19"/>
    </row>
    <row r="9304" spans="3:47">
      <c r="C9304" s="20"/>
      <c r="Z9304" s="20"/>
      <c r="AG9304" s="20"/>
      <c r="AQ9304" s="19"/>
      <c r="AR9304" s="19"/>
      <c r="AS9304" s="19"/>
      <c r="AT9304" s="19"/>
      <c r="AU9304" s="19"/>
    </row>
    <row r="9305" spans="3:47">
      <c r="C9305" s="20"/>
      <c r="Z9305" s="20"/>
      <c r="AG9305" s="20"/>
      <c r="AQ9305" s="19"/>
      <c r="AR9305" s="19"/>
      <c r="AS9305" s="19"/>
      <c r="AT9305" s="19"/>
      <c r="AU9305" s="19"/>
    </row>
    <row r="9306" spans="3:47">
      <c r="C9306" s="20"/>
      <c r="Z9306" s="20"/>
      <c r="AG9306" s="20"/>
      <c r="AQ9306" s="19"/>
      <c r="AR9306" s="19"/>
      <c r="AS9306" s="19"/>
      <c r="AT9306" s="19"/>
      <c r="AU9306" s="19"/>
    </row>
    <row r="9307" spans="3:47">
      <c r="C9307" s="20"/>
      <c r="Z9307" s="20"/>
      <c r="AG9307" s="20"/>
      <c r="AQ9307" s="19"/>
      <c r="AR9307" s="19"/>
      <c r="AS9307" s="19"/>
      <c r="AT9307" s="19"/>
      <c r="AU9307" s="19"/>
    </row>
    <row r="9308" spans="3:47">
      <c r="C9308" s="20"/>
      <c r="Z9308" s="20"/>
      <c r="AG9308" s="20"/>
      <c r="AQ9308" s="19"/>
      <c r="AR9308" s="19"/>
      <c r="AS9308" s="19"/>
      <c r="AT9308" s="19"/>
      <c r="AU9308" s="19"/>
    </row>
    <row r="9309" spans="3:47">
      <c r="C9309" s="20"/>
      <c r="Z9309" s="20"/>
      <c r="AG9309" s="20"/>
      <c r="AQ9309" s="19"/>
      <c r="AR9309" s="19"/>
      <c r="AS9309" s="19"/>
      <c r="AT9309" s="19"/>
      <c r="AU9309" s="19"/>
    </row>
    <row r="9310" spans="3:47">
      <c r="C9310" s="20"/>
      <c r="Z9310" s="20"/>
      <c r="AG9310" s="20"/>
      <c r="AQ9310" s="19"/>
      <c r="AR9310" s="19"/>
      <c r="AS9310" s="19"/>
      <c r="AT9310" s="19"/>
      <c r="AU9310" s="19"/>
    </row>
    <row r="9311" spans="3:47">
      <c r="C9311" s="20"/>
      <c r="Z9311" s="20"/>
      <c r="AG9311" s="20"/>
      <c r="AQ9311" s="19"/>
      <c r="AR9311" s="19"/>
      <c r="AS9311" s="19"/>
      <c r="AT9311" s="19"/>
      <c r="AU9311" s="19"/>
    </row>
    <row r="9312" spans="3:47">
      <c r="C9312" s="20"/>
      <c r="Z9312" s="20"/>
      <c r="AG9312" s="20"/>
      <c r="AQ9312" s="19"/>
      <c r="AR9312" s="19"/>
      <c r="AS9312" s="19"/>
      <c r="AT9312" s="19"/>
      <c r="AU9312" s="19"/>
    </row>
    <row r="9313" spans="3:47">
      <c r="C9313" s="20"/>
      <c r="Z9313" s="20"/>
      <c r="AG9313" s="20"/>
      <c r="AQ9313" s="19"/>
      <c r="AR9313" s="19"/>
      <c r="AS9313" s="19"/>
      <c r="AT9313" s="19"/>
      <c r="AU9313" s="19"/>
    </row>
    <row r="9314" spans="3:47">
      <c r="C9314" s="20"/>
      <c r="Z9314" s="20"/>
      <c r="AG9314" s="20"/>
      <c r="AQ9314" s="19"/>
      <c r="AR9314" s="19"/>
      <c r="AS9314" s="19"/>
      <c r="AT9314" s="19"/>
      <c r="AU9314" s="19"/>
    </row>
    <row r="9315" spans="3:47">
      <c r="C9315" s="20"/>
      <c r="Z9315" s="20"/>
      <c r="AG9315" s="20"/>
      <c r="AQ9315" s="19"/>
      <c r="AR9315" s="19"/>
      <c r="AS9315" s="19"/>
      <c r="AT9315" s="19"/>
      <c r="AU9315" s="19"/>
    </row>
    <row r="9316" spans="3:47">
      <c r="C9316" s="20"/>
      <c r="Z9316" s="20"/>
      <c r="AG9316" s="20"/>
      <c r="AQ9316" s="19"/>
      <c r="AR9316" s="19"/>
      <c r="AS9316" s="19"/>
      <c r="AT9316" s="19"/>
      <c r="AU9316" s="19"/>
    </row>
    <row r="9317" spans="3:47">
      <c r="C9317" s="20"/>
      <c r="Z9317" s="20"/>
      <c r="AG9317" s="20"/>
      <c r="AQ9317" s="19"/>
      <c r="AR9317" s="19"/>
      <c r="AS9317" s="19"/>
      <c r="AT9317" s="19"/>
      <c r="AU9317" s="19"/>
    </row>
    <row r="9318" spans="3:47">
      <c r="C9318" s="20"/>
      <c r="Z9318" s="20"/>
      <c r="AG9318" s="20"/>
      <c r="AQ9318" s="19"/>
      <c r="AR9318" s="19"/>
      <c r="AS9318" s="19"/>
      <c r="AT9318" s="19"/>
      <c r="AU9318" s="19"/>
    </row>
    <row r="9319" spans="3:47">
      <c r="C9319" s="20"/>
      <c r="Z9319" s="20"/>
      <c r="AG9319" s="20"/>
      <c r="AQ9319" s="19"/>
      <c r="AR9319" s="19"/>
      <c r="AS9319" s="19"/>
      <c r="AT9319" s="19"/>
      <c r="AU9319" s="19"/>
    </row>
    <row r="9320" spans="3:47">
      <c r="C9320" s="20"/>
      <c r="Z9320" s="20"/>
      <c r="AG9320" s="20"/>
      <c r="AQ9320" s="19"/>
      <c r="AR9320" s="19"/>
      <c r="AS9320" s="19"/>
      <c r="AT9320" s="19"/>
      <c r="AU9320" s="19"/>
    </row>
    <row r="9321" spans="3:47">
      <c r="C9321" s="20"/>
      <c r="Z9321" s="20"/>
      <c r="AG9321" s="20"/>
      <c r="AQ9321" s="19"/>
      <c r="AR9321" s="19"/>
      <c r="AS9321" s="19"/>
      <c r="AT9321" s="19"/>
      <c r="AU9321" s="19"/>
    </row>
    <row r="9322" spans="3:47">
      <c r="C9322" s="20"/>
      <c r="Z9322" s="20"/>
      <c r="AG9322" s="20"/>
      <c r="AQ9322" s="19"/>
      <c r="AR9322" s="19"/>
      <c r="AS9322" s="19"/>
      <c r="AT9322" s="19"/>
      <c r="AU9322" s="19"/>
    </row>
    <row r="9323" spans="3:47">
      <c r="C9323" s="20"/>
      <c r="Z9323" s="20"/>
      <c r="AG9323" s="20"/>
      <c r="AQ9323" s="19"/>
      <c r="AR9323" s="19"/>
      <c r="AS9323" s="19"/>
      <c r="AT9323" s="19"/>
      <c r="AU9323" s="19"/>
    </row>
    <row r="9324" spans="3:47">
      <c r="C9324" s="20"/>
      <c r="Z9324" s="20"/>
      <c r="AG9324" s="20"/>
      <c r="AQ9324" s="19"/>
      <c r="AR9324" s="19"/>
      <c r="AS9324" s="19"/>
      <c r="AT9324" s="19"/>
      <c r="AU9324" s="19"/>
    </row>
    <row r="9325" spans="3:47">
      <c r="C9325" s="20"/>
      <c r="Z9325" s="20"/>
      <c r="AG9325" s="20"/>
      <c r="AQ9325" s="19"/>
      <c r="AR9325" s="19"/>
      <c r="AS9325" s="19"/>
      <c r="AT9325" s="19"/>
      <c r="AU9325" s="19"/>
    </row>
    <row r="9326" spans="3:47">
      <c r="C9326" s="20"/>
      <c r="Z9326" s="20"/>
      <c r="AG9326" s="20"/>
      <c r="AQ9326" s="19"/>
      <c r="AR9326" s="19"/>
      <c r="AS9326" s="19"/>
      <c r="AT9326" s="19"/>
      <c r="AU9326" s="19"/>
    </row>
    <row r="9327" spans="3:47">
      <c r="C9327" s="20"/>
      <c r="Z9327" s="20"/>
      <c r="AG9327" s="20"/>
      <c r="AQ9327" s="19"/>
      <c r="AR9327" s="19"/>
      <c r="AS9327" s="19"/>
      <c r="AT9327" s="19"/>
      <c r="AU9327" s="19"/>
    </row>
    <row r="9328" spans="3:47">
      <c r="C9328" s="20"/>
      <c r="Z9328" s="20"/>
      <c r="AG9328" s="20"/>
      <c r="AQ9328" s="19"/>
      <c r="AR9328" s="19"/>
      <c r="AS9328" s="19"/>
      <c r="AT9328" s="19"/>
      <c r="AU9328" s="19"/>
    </row>
    <row r="9329" spans="3:47">
      <c r="C9329" s="20"/>
      <c r="Z9329" s="20"/>
      <c r="AG9329" s="20"/>
      <c r="AQ9329" s="19"/>
      <c r="AR9329" s="19"/>
      <c r="AS9329" s="19"/>
      <c r="AT9329" s="19"/>
      <c r="AU9329" s="19"/>
    </row>
    <row r="9330" spans="3:47">
      <c r="C9330" s="20"/>
      <c r="Z9330" s="20"/>
      <c r="AG9330" s="20"/>
      <c r="AQ9330" s="19"/>
      <c r="AR9330" s="19"/>
      <c r="AS9330" s="19"/>
      <c r="AT9330" s="19"/>
      <c r="AU9330" s="19"/>
    </row>
    <row r="9331" spans="3:47">
      <c r="C9331" s="20"/>
      <c r="Z9331" s="20"/>
      <c r="AG9331" s="20"/>
      <c r="AQ9331" s="19"/>
      <c r="AR9331" s="19"/>
      <c r="AS9331" s="19"/>
      <c r="AT9331" s="19"/>
      <c r="AU9331" s="19"/>
    </row>
    <row r="9332" spans="3:47">
      <c r="C9332" s="20"/>
      <c r="Z9332" s="20"/>
      <c r="AG9332" s="20"/>
      <c r="AQ9332" s="19"/>
      <c r="AR9332" s="19"/>
      <c r="AS9332" s="19"/>
      <c r="AT9332" s="19"/>
      <c r="AU9332" s="19"/>
    </row>
    <row r="9333" spans="3:47">
      <c r="C9333" s="20"/>
      <c r="Z9333" s="20"/>
      <c r="AG9333" s="20"/>
      <c r="AQ9333" s="19"/>
      <c r="AR9333" s="19"/>
      <c r="AS9333" s="19"/>
      <c r="AT9333" s="19"/>
      <c r="AU9333" s="19"/>
    </row>
    <row r="9334" spans="3:47">
      <c r="C9334" s="20"/>
      <c r="Z9334" s="20"/>
      <c r="AG9334" s="20"/>
      <c r="AQ9334" s="19"/>
      <c r="AR9334" s="19"/>
      <c r="AS9334" s="19"/>
      <c r="AT9334" s="19"/>
      <c r="AU9334" s="19"/>
    </row>
    <row r="9335" spans="3:47">
      <c r="C9335" s="20"/>
      <c r="Z9335" s="20"/>
      <c r="AG9335" s="20"/>
      <c r="AQ9335" s="19"/>
      <c r="AR9335" s="19"/>
      <c r="AS9335" s="19"/>
      <c r="AT9335" s="19"/>
      <c r="AU9335" s="19"/>
    </row>
    <row r="9336" spans="3:47">
      <c r="C9336" s="20"/>
      <c r="Z9336" s="20"/>
      <c r="AG9336" s="20"/>
      <c r="AQ9336" s="19"/>
      <c r="AR9336" s="19"/>
      <c r="AS9336" s="19"/>
      <c r="AT9336" s="19"/>
      <c r="AU9336" s="19"/>
    </row>
    <row r="9337" spans="3:47">
      <c r="C9337" s="20"/>
      <c r="Z9337" s="20"/>
      <c r="AG9337" s="20"/>
      <c r="AQ9337" s="19"/>
      <c r="AR9337" s="19"/>
      <c r="AS9337" s="19"/>
      <c r="AT9337" s="19"/>
      <c r="AU9337" s="19"/>
    </row>
    <row r="9338" spans="3:47">
      <c r="C9338" s="20"/>
      <c r="Z9338" s="20"/>
      <c r="AG9338" s="20"/>
      <c r="AQ9338" s="19"/>
      <c r="AR9338" s="19"/>
      <c r="AS9338" s="19"/>
      <c r="AT9338" s="19"/>
      <c r="AU9338" s="19"/>
    </row>
    <row r="9339" spans="3:47">
      <c r="C9339" s="20"/>
      <c r="Z9339" s="20"/>
      <c r="AG9339" s="20"/>
      <c r="AQ9339" s="19"/>
      <c r="AR9339" s="19"/>
      <c r="AS9339" s="19"/>
      <c r="AT9339" s="19"/>
      <c r="AU9339" s="19"/>
    </row>
    <row r="9340" spans="3:47">
      <c r="C9340" s="20"/>
      <c r="Z9340" s="20"/>
      <c r="AG9340" s="20"/>
      <c r="AQ9340" s="19"/>
      <c r="AR9340" s="19"/>
      <c r="AS9340" s="19"/>
      <c r="AT9340" s="19"/>
      <c r="AU9340" s="19"/>
    </row>
    <row r="9341" spans="3:47">
      <c r="C9341" s="20"/>
      <c r="Z9341" s="20"/>
      <c r="AG9341" s="20"/>
      <c r="AQ9341" s="19"/>
      <c r="AR9341" s="19"/>
      <c r="AS9341" s="19"/>
      <c r="AT9341" s="19"/>
      <c r="AU9341" s="19"/>
    </row>
    <row r="9342" spans="3:47">
      <c r="C9342" s="20"/>
      <c r="Z9342" s="20"/>
      <c r="AG9342" s="20"/>
      <c r="AQ9342" s="19"/>
      <c r="AR9342" s="19"/>
      <c r="AS9342" s="19"/>
      <c r="AT9342" s="19"/>
      <c r="AU9342" s="19"/>
    </row>
    <row r="9343" spans="3:47">
      <c r="C9343" s="20"/>
      <c r="Z9343" s="20"/>
      <c r="AG9343" s="20"/>
      <c r="AQ9343" s="19"/>
      <c r="AR9343" s="19"/>
      <c r="AS9343" s="19"/>
      <c r="AT9343" s="19"/>
      <c r="AU9343" s="19"/>
    </row>
    <row r="9344" spans="3:47">
      <c r="C9344" s="20"/>
      <c r="Z9344" s="20"/>
      <c r="AG9344" s="20"/>
      <c r="AQ9344" s="19"/>
      <c r="AR9344" s="19"/>
      <c r="AS9344" s="19"/>
      <c r="AT9344" s="19"/>
      <c r="AU9344" s="19"/>
    </row>
    <row r="9345" spans="3:47">
      <c r="C9345" s="20"/>
      <c r="Z9345" s="20"/>
      <c r="AG9345" s="20"/>
      <c r="AQ9345" s="19"/>
      <c r="AR9345" s="19"/>
      <c r="AS9345" s="19"/>
      <c r="AT9345" s="19"/>
      <c r="AU9345" s="19"/>
    </row>
    <row r="9346" spans="3:47">
      <c r="C9346" s="20"/>
      <c r="Z9346" s="20"/>
      <c r="AG9346" s="20"/>
      <c r="AQ9346" s="19"/>
      <c r="AR9346" s="19"/>
      <c r="AS9346" s="19"/>
      <c r="AT9346" s="19"/>
      <c r="AU9346" s="19"/>
    </row>
    <row r="9347" spans="3:47">
      <c r="C9347" s="20"/>
      <c r="Z9347" s="20"/>
      <c r="AG9347" s="20"/>
      <c r="AQ9347" s="19"/>
      <c r="AR9347" s="19"/>
      <c r="AS9347" s="19"/>
      <c r="AT9347" s="19"/>
      <c r="AU9347" s="19"/>
    </row>
    <row r="9348" spans="3:47">
      <c r="C9348" s="20"/>
      <c r="Z9348" s="20"/>
      <c r="AG9348" s="20"/>
      <c r="AQ9348" s="19"/>
      <c r="AR9348" s="19"/>
      <c r="AS9348" s="19"/>
      <c r="AT9348" s="19"/>
      <c r="AU9348" s="19"/>
    </row>
    <row r="9349" spans="3:47">
      <c r="C9349" s="20"/>
      <c r="Z9349" s="20"/>
      <c r="AG9349" s="20"/>
      <c r="AQ9349" s="19"/>
      <c r="AR9349" s="19"/>
      <c r="AS9349" s="19"/>
      <c r="AT9349" s="19"/>
      <c r="AU9349" s="19"/>
    </row>
    <row r="9350" spans="3:47">
      <c r="C9350" s="20"/>
      <c r="Z9350" s="20"/>
      <c r="AG9350" s="20"/>
      <c r="AQ9350" s="19"/>
      <c r="AR9350" s="19"/>
      <c r="AS9350" s="19"/>
      <c r="AT9350" s="19"/>
      <c r="AU9350" s="19"/>
    </row>
    <row r="9351" spans="3:47">
      <c r="C9351" s="20"/>
      <c r="Z9351" s="20"/>
      <c r="AG9351" s="20"/>
      <c r="AQ9351" s="19"/>
      <c r="AR9351" s="19"/>
      <c r="AS9351" s="19"/>
      <c r="AT9351" s="19"/>
      <c r="AU9351" s="19"/>
    </row>
    <row r="9352" spans="3:47">
      <c r="C9352" s="20"/>
      <c r="Z9352" s="20"/>
      <c r="AG9352" s="20"/>
      <c r="AQ9352" s="19"/>
      <c r="AR9352" s="19"/>
      <c r="AS9352" s="19"/>
      <c r="AT9352" s="19"/>
      <c r="AU9352" s="19"/>
    </row>
    <row r="9353" spans="3:47">
      <c r="C9353" s="20"/>
      <c r="Z9353" s="20"/>
      <c r="AG9353" s="20"/>
      <c r="AQ9353" s="19"/>
      <c r="AR9353" s="19"/>
      <c r="AS9353" s="19"/>
      <c r="AT9353" s="19"/>
      <c r="AU9353" s="19"/>
    </row>
    <row r="9354" spans="3:47">
      <c r="C9354" s="20"/>
      <c r="Z9354" s="20"/>
      <c r="AG9354" s="20"/>
      <c r="AQ9354" s="19"/>
      <c r="AR9354" s="19"/>
      <c r="AS9354" s="19"/>
      <c r="AT9354" s="19"/>
      <c r="AU9354" s="19"/>
    </row>
    <row r="9355" spans="3:47">
      <c r="C9355" s="20"/>
      <c r="Z9355" s="20"/>
      <c r="AG9355" s="20"/>
      <c r="AQ9355" s="19"/>
      <c r="AR9355" s="19"/>
      <c r="AS9355" s="19"/>
      <c r="AT9355" s="19"/>
      <c r="AU9355" s="19"/>
    </row>
    <row r="9356" spans="3:47">
      <c r="C9356" s="20"/>
      <c r="Z9356" s="20"/>
      <c r="AG9356" s="20"/>
      <c r="AQ9356" s="19"/>
      <c r="AR9356" s="19"/>
      <c r="AS9356" s="19"/>
      <c r="AT9356" s="19"/>
      <c r="AU9356" s="19"/>
    </row>
    <row r="9357" spans="3:47">
      <c r="C9357" s="20"/>
      <c r="Z9357" s="20"/>
      <c r="AG9357" s="20"/>
      <c r="AQ9357" s="19"/>
      <c r="AR9357" s="19"/>
      <c r="AS9357" s="19"/>
      <c r="AT9357" s="19"/>
      <c r="AU9357" s="19"/>
    </row>
    <row r="9358" spans="3:47">
      <c r="C9358" s="20"/>
      <c r="Z9358" s="20"/>
      <c r="AG9358" s="20"/>
      <c r="AQ9358" s="19"/>
      <c r="AR9358" s="19"/>
      <c r="AS9358" s="19"/>
      <c r="AT9358" s="19"/>
      <c r="AU9358" s="19"/>
    </row>
    <row r="9359" spans="3:47">
      <c r="C9359" s="20"/>
      <c r="Z9359" s="20"/>
      <c r="AG9359" s="20"/>
      <c r="AQ9359" s="19"/>
      <c r="AR9359" s="19"/>
      <c r="AS9359" s="19"/>
      <c r="AT9359" s="19"/>
      <c r="AU9359" s="19"/>
    </row>
    <row r="9360" spans="3:47">
      <c r="C9360" s="20"/>
      <c r="Z9360" s="20"/>
      <c r="AG9360" s="20"/>
      <c r="AQ9360" s="19"/>
      <c r="AR9360" s="19"/>
      <c r="AS9360" s="19"/>
      <c r="AT9360" s="19"/>
      <c r="AU9360" s="19"/>
    </row>
    <row r="9361" spans="3:47">
      <c r="C9361" s="20"/>
      <c r="Z9361" s="20"/>
      <c r="AG9361" s="20"/>
      <c r="AQ9361" s="19"/>
      <c r="AR9361" s="19"/>
      <c r="AS9361" s="19"/>
      <c r="AT9361" s="19"/>
      <c r="AU9361" s="19"/>
    </row>
    <row r="9362" spans="3:47">
      <c r="C9362" s="20"/>
      <c r="Z9362" s="20"/>
      <c r="AG9362" s="20"/>
      <c r="AQ9362" s="19"/>
      <c r="AR9362" s="19"/>
      <c r="AS9362" s="19"/>
      <c r="AT9362" s="19"/>
      <c r="AU9362" s="19"/>
    </row>
    <row r="9363" spans="3:47">
      <c r="C9363" s="20"/>
      <c r="Z9363" s="20"/>
      <c r="AG9363" s="20"/>
      <c r="AQ9363" s="19"/>
      <c r="AR9363" s="19"/>
      <c r="AS9363" s="19"/>
      <c r="AT9363" s="19"/>
      <c r="AU9363" s="19"/>
    </row>
    <row r="9364" spans="3:47">
      <c r="C9364" s="20"/>
      <c r="Z9364" s="20"/>
      <c r="AG9364" s="20"/>
      <c r="AQ9364" s="19"/>
      <c r="AR9364" s="19"/>
      <c r="AS9364" s="19"/>
      <c r="AT9364" s="19"/>
      <c r="AU9364" s="19"/>
    </row>
    <row r="9365" spans="3:47">
      <c r="C9365" s="20"/>
      <c r="Z9365" s="20"/>
      <c r="AG9365" s="20"/>
      <c r="AQ9365" s="19"/>
      <c r="AR9365" s="19"/>
      <c r="AS9365" s="19"/>
      <c r="AT9365" s="19"/>
      <c r="AU9365" s="19"/>
    </row>
    <row r="9366" spans="3:47">
      <c r="C9366" s="20"/>
      <c r="Z9366" s="20"/>
      <c r="AG9366" s="20"/>
      <c r="AQ9366" s="19"/>
      <c r="AR9366" s="19"/>
      <c r="AS9366" s="19"/>
      <c r="AT9366" s="19"/>
      <c r="AU9366" s="19"/>
    </row>
    <row r="9367" spans="3:47">
      <c r="C9367" s="20"/>
      <c r="Z9367" s="20"/>
      <c r="AG9367" s="20"/>
      <c r="AQ9367" s="19"/>
      <c r="AR9367" s="19"/>
      <c r="AS9367" s="19"/>
      <c r="AT9367" s="19"/>
      <c r="AU9367" s="19"/>
    </row>
    <row r="9368" spans="3:47">
      <c r="C9368" s="20"/>
      <c r="Z9368" s="20"/>
      <c r="AG9368" s="20"/>
      <c r="AQ9368" s="19"/>
      <c r="AR9368" s="19"/>
      <c r="AS9368" s="19"/>
      <c r="AT9368" s="19"/>
      <c r="AU9368" s="19"/>
    </row>
    <row r="9369" spans="3:47">
      <c r="C9369" s="20"/>
      <c r="Z9369" s="20"/>
      <c r="AG9369" s="20"/>
      <c r="AQ9369" s="19"/>
      <c r="AR9369" s="19"/>
      <c r="AS9369" s="19"/>
      <c r="AT9369" s="19"/>
      <c r="AU9369" s="19"/>
    </row>
    <row r="9370" spans="3:47">
      <c r="C9370" s="20"/>
      <c r="Z9370" s="20"/>
      <c r="AG9370" s="20"/>
      <c r="AQ9370" s="19"/>
      <c r="AR9370" s="19"/>
      <c r="AS9370" s="19"/>
      <c r="AT9370" s="19"/>
      <c r="AU9370" s="19"/>
    </row>
    <row r="9371" spans="3:47">
      <c r="C9371" s="20"/>
      <c r="Z9371" s="20"/>
      <c r="AG9371" s="20"/>
      <c r="AQ9371" s="19"/>
      <c r="AR9371" s="19"/>
      <c r="AS9371" s="19"/>
      <c r="AT9371" s="19"/>
      <c r="AU9371" s="19"/>
    </row>
    <row r="9372" spans="3:47">
      <c r="C9372" s="20"/>
      <c r="Z9372" s="20"/>
      <c r="AG9372" s="20"/>
      <c r="AQ9372" s="19"/>
      <c r="AR9372" s="19"/>
      <c r="AS9372" s="19"/>
      <c r="AT9372" s="19"/>
      <c r="AU9372" s="19"/>
    </row>
    <row r="9373" spans="3:47">
      <c r="C9373" s="20"/>
      <c r="Z9373" s="20"/>
      <c r="AG9373" s="20"/>
      <c r="AQ9373" s="19"/>
      <c r="AR9373" s="19"/>
      <c r="AS9373" s="19"/>
      <c r="AT9373" s="19"/>
      <c r="AU9373" s="19"/>
    </row>
    <row r="9374" spans="3:47">
      <c r="C9374" s="20"/>
      <c r="Z9374" s="20"/>
      <c r="AG9374" s="20"/>
      <c r="AQ9374" s="19"/>
      <c r="AR9374" s="19"/>
      <c r="AS9374" s="19"/>
      <c r="AT9374" s="19"/>
      <c r="AU9374" s="19"/>
    </row>
    <row r="9375" spans="3:47">
      <c r="C9375" s="20"/>
      <c r="Z9375" s="20"/>
      <c r="AG9375" s="20"/>
      <c r="AQ9375" s="19"/>
      <c r="AR9375" s="19"/>
      <c r="AS9375" s="19"/>
      <c r="AT9375" s="19"/>
      <c r="AU9375" s="19"/>
    </row>
    <row r="9376" spans="3:47">
      <c r="C9376" s="20"/>
      <c r="Z9376" s="20"/>
      <c r="AG9376" s="20"/>
      <c r="AQ9376" s="19"/>
      <c r="AR9376" s="19"/>
      <c r="AS9376" s="19"/>
      <c r="AT9376" s="19"/>
      <c r="AU9376" s="19"/>
    </row>
    <row r="9377" spans="3:47">
      <c r="C9377" s="20"/>
      <c r="Z9377" s="20"/>
      <c r="AG9377" s="20"/>
      <c r="AQ9377" s="19"/>
      <c r="AR9377" s="19"/>
      <c r="AS9377" s="19"/>
      <c r="AT9377" s="19"/>
      <c r="AU9377" s="19"/>
    </row>
    <row r="9378" spans="3:47">
      <c r="C9378" s="20"/>
      <c r="Z9378" s="20"/>
      <c r="AG9378" s="20"/>
      <c r="AQ9378" s="19"/>
      <c r="AR9378" s="19"/>
      <c r="AS9378" s="19"/>
      <c r="AT9378" s="19"/>
      <c r="AU9378" s="19"/>
    </row>
    <row r="9379" spans="3:47">
      <c r="C9379" s="20"/>
      <c r="Z9379" s="20"/>
      <c r="AG9379" s="20"/>
      <c r="AQ9379" s="19"/>
      <c r="AR9379" s="19"/>
      <c r="AS9379" s="19"/>
      <c r="AT9379" s="19"/>
      <c r="AU9379" s="19"/>
    </row>
    <row r="9380" spans="3:47">
      <c r="C9380" s="20"/>
      <c r="Z9380" s="20"/>
      <c r="AG9380" s="20"/>
      <c r="AQ9380" s="19"/>
      <c r="AR9380" s="19"/>
      <c r="AS9380" s="19"/>
      <c r="AT9380" s="19"/>
      <c r="AU9380" s="19"/>
    </row>
    <row r="9381" spans="3:47">
      <c r="C9381" s="20"/>
      <c r="Z9381" s="20"/>
      <c r="AG9381" s="20"/>
      <c r="AQ9381" s="19"/>
      <c r="AR9381" s="19"/>
      <c r="AS9381" s="19"/>
      <c r="AT9381" s="19"/>
      <c r="AU9381" s="19"/>
    </row>
    <row r="9382" spans="3:47">
      <c r="C9382" s="20"/>
      <c r="Z9382" s="20"/>
      <c r="AG9382" s="20"/>
      <c r="AQ9382" s="19"/>
      <c r="AR9382" s="19"/>
      <c r="AS9382" s="19"/>
      <c r="AT9382" s="19"/>
      <c r="AU9382" s="19"/>
    </row>
    <row r="9383" spans="3:47">
      <c r="C9383" s="20"/>
      <c r="Z9383" s="20"/>
      <c r="AG9383" s="20"/>
      <c r="AQ9383" s="19"/>
      <c r="AR9383" s="19"/>
      <c r="AS9383" s="19"/>
      <c r="AT9383" s="19"/>
      <c r="AU9383" s="19"/>
    </row>
    <row r="9384" spans="3:47">
      <c r="C9384" s="20"/>
      <c r="Z9384" s="20"/>
      <c r="AG9384" s="20"/>
      <c r="AQ9384" s="19"/>
      <c r="AR9384" s="19"/>
      <c r="AS9384" s="19"/>
      <c r="AT9384" s="19"/>
      <c r="AU9384" s="19"/>
    </row>
    <row r="9385" spans="3:47">
      <c r="C9385" s="20"/>
      <c r="Z9385" s="20"/>
      <c r="AG9385" s="20"/>
      <c r="AQ9385" s="19"/>
      <c r="AR9385" s="19"/>
      <c r="AS9385" s="19"/>
      <c r="AT9385" s="19"/>
      <c r="AU9385" s="19"/>
    </row>
    <row r="9386" spans="3:47">
      <c r="C9386" s="20"/>
      <c r="Z9386" s="20"/>
      <c r="AG9386" s="20"/>
      <c r="AQ9386" s="19"/>
      <c r="AR9386" s="19"/>
      <c r="AS9386" s="19"/>
      <c r="AT9386" s="19"/>
      <c r="AU9386" s="19"/>
    </row>
    <row r="9387" spans="3:47">
      <c r="C9387" s="20"/>
      <c r="Z9387" s="20"/>
      <c r="AG9387" s="20"/>
      <c r="AQ9387" s="19"/>
      <c r="AR9387" s="19"/>
      <c r="AS9387" s="19"/>
      <c r="AT9387" s="19"/>
      <c r="AU9387" s="19"/>
    </row>
    <row r="9388" spans="3:47">
      <c r="C9388" s="20"/>
      <c r="Z9388" s="20"/>
      <c r="AG9388" s="20"/>
      <c r="AQ9388" s="19"/>
      <c r="AR9388" s="19"/>
      <c r="AS9388" s="19"/>
      <c r="AT9388" s="19"/>
      <c r="AU9388" s="19"/>
    </row>
    <row r="9389" spans="3:47">
      <c r="C9389" s="20"/>
      <c r="Z9389" s="20"/>
      <c r="AG9389" s="20"/>
      <c r="AQ9389" s="19"/>
      <c r="AR9389" s="19"/>
      <c r="AS9389" s="19"/>
      <c r="AT9389" s="19"/>
      <c r="AU9389" s="19"/>
    </row>
    <row r="9390" spans="3:47">
      <c r="C9390" s="20"/>
      <c r="Z9390" s="20"/>
      <c r="AG9390" s="20"/>
      <c r="AQ9390" s="19"/>
      <c r="AR9390" s="19"/>
      <c r="AS9390" s="19"/>
      <c r="AT9390" s="19"/>
      <c r="AU9390" s="19"/>
    </row>
    <row r="9391" spans="3:47">
      <c r="C9391" s="20"/>
      <c r="Z9391" s="20"/>
      <c r="AG9391" s="20"/>
      <c r="AQ9391" s="19"/>
      <c r="AR9391" s="19"/>
      <c r="AS9391" s="19"/>
      <c r="AT9391" s="19"/>
      <c r="AU9391" s="19"/>
    </row>
    <row r="9392" spans="3:47">
      <c r="C9392" s="20"/>
      <c r="Z9392" s="20"/>
      <c r="AG9392" s="20"/>
      <c r="AQ9392" s="19"/>
      <c r="AR9392" s="19"/>
      <c r="AS9392" s="19"/>
      <c r="AT9392" s="19"/>
      <c r="AU9392" s="19"/>
    </row>
    <row r="9393" spans="3:47">
      <c r="C9393" s="20"/>
      <c r="Z9393" s="20"/>
      <c r="AG9393" s="20"/>
      <c r="AQ9393" s="19"/>
      <c r="AR9393" s="19"/>
      <c r="AS9393" s="19"/>
      <c r="AT9393" s="19"/>
      <c r="AU9393" s="19"/>
    </row>
    <row r="9394" spans="3:47">
      <c r="C9394" s="20"/>
      <c r="Z9394" s="20"/>
      <c r="AG9394" s="20"/>
      <c r="AQ9394" s="19"/>
      <c r="AR9394" s="19"/>
      <c r="AS9394" s="19"/>
      <c r="AT9394" s="19"/>
      <c r="AU9394" s="19"/>
    </row>
    <row r="9395" spans="3:47">
      <c r="C9395" s="20"/>
      <c r="Z9395" s="20"/>
      <c r="AG9395" s="20"/>
      <c r="AQ9395" s="19"/>
      <c r="AR9395" s="19"/>
      <c r="AS9395" s="19"/>
      <c r="AT9395" s="19"/>
      <c r="AU9395" s="19"/>
    </row>
    <row r="9396" spans="3:47">
      <c r="C9396" s="20"/>
      <c r="Z9396" s="20"/>
      <c r="AG9396" s="20"/>
      <c r="AQ9396" s="19"/>
      <c r="AR9396" s="19"/>
      <c r="AS9396" s="19"/>
      <c r="AT9396" s="19"/>
      <c r="AU9396" s="19"/>
    </row>
    <row r="9397" spans="3:47">
      <c r="C9397" s="20"/>
      <c r="Z9397" s="20"/>
      <c r="AG9397" s="20"/>
      <c r="AQ9397" s="19"/>
      <c r="AR9397" s="19"/>
      <c r="AS9397" s="19"/>
      <c r="AT9397" s="19"/>
      <c r="AU9397" s="19"/>
    </row>
    <row r="9398" spans="3:47">
      <c r="C9398" s="20"/>
      <c r="Z9398" s="20"/>
      <c r="AG9398" s="20"/>
      <c r="AQ9398" s="19"/>
      <c r="AR9398" s="19"/>
      <c r="AS9398" s="19"/>
      <c r="AT9398" s="19"/>
      <c r="AU9398" s="19"/>
    </row>
    <row r="9399" spans="3:47">
      <c r="C9399" s="20"/>
      <c r="Z9399" s="20"/>
      <c r="AG9399" s="20"/>
      <c r="AQ9399" s="19"/>
      <c r="AR9399" s="19"/>
      <c r="AS9399" s="19"/>
      <c r="AT9399" s="19"/>
      <c r="AU9399" s="19"/>
    </row>
    <row r="9400" spans="3:47">
      <c r="C9400" s="20"/>
      <c r="Z9400" s="20"/>
      <c r="AG9400" s="20"/>
      <c r="AQ9400" s="19"/>
      <c r="AR9400" s="19"/>
      <c r="AS9400" s="19"/>
      <c r="AT9400" s="19"/>
      <c r="AU9400" s="19"/>
    </row>
    <row r="9401" spans="3:47">
      <c r="C9401" s="20"/>
      <c r="Z9401" s="20"/>
      <c r="AG9401" s="20"/>
      <c r="AQ9401" s="19"/>
      <c r="AR9401" s="19"/>
      <c r="AS9401" s="19"/>
      <c r="AT9401" s="19"/>
      <c r="AU9401" s="19"/>
    </row>
    <row r="9402" spans="3:47">
      <c r="C9402" s="20"/>
      <c r="Z9402" s="20"/>
      <c r="AG9402" s="20"/>
      <c r="AQ9402" s="19"/>
      <c r="AR9402" s="19"/>
      <c r="AS9402" s="19"/>
      <c r="AT9402" s="19"/>
      <c r="AU9402" s="19"/>
    </row>
    <row r="9403" spans="3:47">
      <c r="C9403" s="20"/>
      <c r="Z9403" s="20"/>
      <c r="AG9403" s="20"/>
      <c r="AQ9403" s="19"/>
      <c r="AR9403" s="19"/>
      <c r="AS9403" s="19"/>
      <c r="AT9403" s="19"/>
      <c r="AU9403" s="19"/>
    </row>
    <row r="9404" spans="3:47">
      <c r="C9404" s="20"/>
      <c r="Z9404" s="20"/>
      <c r="AG9404" s="20"/>
      <c r="AQ9404" s="19"/>
      <c r="AR9404" s="19"/>
      <c r="AS9404" s="19"/>
      <c r="AT9404" s="19"/>
      <c r="AU9404" s="19"/>
    </row>
    <row r="9405" spans="3:47">
      <c r="C9405" s="20"/>
      <c r="Z9405" s="20"/>
      <c r="AG9405" s="20"/>
      <c r="AQ9405" s="19"/>
      <c r="AR9405" s="19"/>
      <c r="AS9405" s="19"/>
      <c r="AT9405" s="19"/>
      <c r="AU9405" s="19"/>
    </row>
    <row r="9406" spans="3:47">
      <c r="C9406" s="20"/>
      <c r="Z9406" s="20"/>
      <c r="AG9406" s="20"/>
      <c r="AQ9406" s="19"/>
      <c r="AR9406" s="19"/>
      <c r="AS9406" s="19"/>
      <c r="AT9406" s="19"/>
      <c r="AU9406" s="19"/>
    </row>
    <row r="9407" spans="3:47">
      <c r="C9407" s="20"/>
      <c r="Z9407" s="20"/>
      <c r="AG9407" s="20"/>
      <c r="AQ9407" s="19"/>
      <c r="AR9407" s="19"/>
      <c r="AS9407" s="19"/>
      <c r="AT9407" s="19"/>
      <c r="AU9407" s="19"/>
    </row>
    <row r="9408" spans="3:47">
      <c r="C9408" s="20"/>
      <c r="Z9408" s="20"/>
      <c r="AG9408" s="20"/>
      <c r="AQ9408" s="19"/>
      <c r="AR9408" s="19"/>
      <c r="AS9408" s="19"/>
      <c r="AT9408" s="19"/>
      <c r="AU9408" s="19"/>
    </row>
    <row r="9409" spans="3:47">
      <c r="C9409" s="20"/>
      <c r="Z9409" s="20"/>
      <c r="AG9409" s="20"/>
      <c r="AQ9409" s="19"/>
      <c r="AR9409" s="19"/>
      <c r="AS9409" s="19"/>
      <c r="AT9409" s="19"/>
      <c r="AU9409" s="19"/>
    </row>
    <row r="9410" spans="3:47">
      <c r="C9410" s="20"/>
      <c r="Z9410" s="20"/>
      <c r="AG9410" s="20"/>
      <c r="AQ9410" s="19"/>
      <c r="AR9410" s="19"/>
      <c r="AS9410" s="19"/>
      <c r="AT9410" s="19"/>
      <c r="AU9410" s="19"/>
    </row>
    <row r="9411" spans="3:47">
      <c r="C9411" s="20"/>
      <c r="Z9411" s="20"/>
      <c r="AG9411" s="20"/>
      <c r="AQ9411" s="19"/>
      <c r="AR9411" s="19"/>
      <c r="AS9411" s="19"/>
      <c r="AT9411" s="19"/>
      <c r="AU9411" s="19"/>
    </row>
    <row r="9412" spans="3:47">
      <c r="C9412" s="20"/>
      <c r="Z9412" s="20"/>
      <c r="AG9412" s="20"/>
      <c r="AQ9412" s="19"/>
      <c r="AR9412" s="19"/>
      <c r="AS9412" s="19"/>
      <c r="AT9412" s="19"/>
      <c r="AU9412" s="19"/>
    </row>
    <row r="9413" spans="3:47">
      <c r="C9413" s="20"/>
      <c r="Z9413" s="20"/>
      <c r="AG9413" s="20"/>
      <c r="AQ9413" s="19"/>
      <c r="AR9413" s="19"/>
      <c r="AS9413" s="19"/>
      <c r="AT9413" s="19"/>
      <c r="AU9413" s="19"/>
    </row>
    <row r="9414" spans="3:47">
      <c r="C9414" s="20"/>
      <c r="Z9414" s="20"/>
      <c r="AG9414" s="20"/>
      <c r="AQ9414" s="19"/>
      <c r="AR9414" s="19"/>
      <c r="AS9414" s="19"/>
      <c r="AT9414" s="19"/>
      <c r="AU9414" s="19"/>
    </row>
    <row r="9415" spans="3:47">
      <c r="C9415" s="20"/>
      <c r="Z9415" s="20"/>
      <c r="AG9415" s="20"/>
      <c r="AQ9415" s="19"/>
      <c r="AR9415" s="19"/>
      <c r="AS9415" s="19"/>
      <c r="AT9415" s="19"/>
      <c r="AU9415" s="19"/>
    </row>
    <row r="9416" spans="3:47">
      <c r="C9416" s="20"/>
      <c r="Z9416" s="20"/>
      <c r="AG9416" s="20"/>
      <c r="AQ9416" s="19"/>
      <c r="AR9416" s="19"/>
      <c r="AS9416" s="19"/>
      <c r="AT9416" s="19"/>
      <c r="AU9416" s="19"/>
    </row>
    <row r="9417" spans="3:47">
      <c r="C9417" s="20"/>
      <c r="Z9417" s="20"/>
      <c r="AG9417" s="20"/>
      <c r="AQ9417" s="19"/>
      <c r="AR9417" s="19"/>
      <c r="AS9417" s="19"/>
      <c r="AT9417" s="19"/>
      <c r="AU9417" s="19"/>
    </row>
    <row r="9418" spans="3:47">
      <c r="C9418" s="20"/>
      <c r="Z9418" s="20"/>
      <c r="AG9418" s="20"/>
      <c r="AQ9418" s="19"/>
      <c r="AR9418" s="19"/>
      <c r="AS9418" s="19"/>
      <c r="AT9418" s="19"/>
      <c r="AU9418" s="19"/>
    </row>
    <row r="9419" spans="3:47">
      <c r="C9419" s="20"/>
      <c r="Z9419" s="20"/>
      <c r="AG9419" s="20"/>
      <c r="AQ9419" s="19"/>
      <c r="AR9419" s="19"/>
      <c r="AS9419" s="19"/>
      <c r="AT9419" s="19"/>
      <c r="AU9419" s="19"/>
    </row>
    <row r="9420" spans="3:47">
      <c r="C9420" s="20"/>
      <c r="Z9420" s="20"/>
      <c r="AG9420" s="20"/>
      <c r="AQ9420" s="19"/>
      <c r="AR9420" s="19"/>
      <c r="AS9420" s="19"/>
      <c r="AT9420" s="19"/>
      <c r="AU9420" s="19"/>
    </row>
    <row r="9421" spans="3:47">
      <c r="C9421" s="20"/>
      <c r="Z9421" s="20"/>
      <c r="AG9421" s="20"/>
      <c r="AQ9421" s="19"/>
      <c r="AR9421" s="19"/>
      <c r="AS9421" s="19"/>
      <c r="AT9421" s="19"/>
      <c r="AU9421" s="19"/>
    </row>
    <row r="9422" spans="3:47">
      <c r="C9422" s="20"/>
      <c r="Z9422" s="20"/>
      <c r="AG9422" s="20"/>
      <c r="AQ9422" s="19"/>
      <c r="AR9422" s="19"/>
      <c r="AS9422" s="19"/>
      <c r="AT9422" s="19"/>
      <c r="AU9422" s="19"/>
    </row>
    <row r="9423" spans="3:47">
      <c r="C9423" s="20"/>
      <c r="Z9423" s="20"/>
      <c r="AG9423" s="20"/>
      <c r="AQ9423" s="19"/>
      <c r="AR9423" s="19"/>
      <c r="AS9423" s="19"/>
      <c r="AT9423" s="19"/>
      <c r="AU9423" s="19"/>
    </row>
    <row r="9424" spans="3:47">
      <c r="C9424" s="20"/>
      <c r="Z9424" s="20"/>
      <c r="AG9424" s="20"/>
      <c r="AQ9424" s="19"/>
      <c r="AR9424" s="19"/>
      <c r="AS9424" s="19"/>
      <c r="AT9424" s="19"/>
      <c r="AU9424" s="19"/>
    </row>
    <row r="9425" spans="3:47">
      <c r="C9425" s="20"/>
      <c r="Z9425" s="20"/>
      <c r="AG9425" s="20"/>
      <c r="AQ9425" s="19"/>
      <c r="AR9425" s="19"/>
      <c r="AS9425" s="19"/>
      <c r="AT9425" s="19"/>
      <c r="AU9425" s="19"/>
    </row>
    <row r="9426" spans="3:47">
      <c r="C9426" s="20"/>
      <c r="Z9426" s="20"/>
      <c r="AG9426" s="20"/>
      <c r="AQ9426" s="19"/>
      <c r="AR9426" s="19"/>
      <c r="AS9426" s="19"/>
      <c r="AT9426" s="19"/>
      <c r="AU9426" s="19"/>
    </row>
    <row r="9427" spans="3:47">
      <c r="C9427" s="20"/>
      <c r="Z9427" s="20"/>
      <c r="AG9427" s="20"/>
      <c r="AQ9427" s="19"/>
      <c r="AR9427" s="19"/>
      <c r="AS9427" s="19"/>
      <c r="AT9427" s="19"/>
      <c r="AU9427" s="19"/>
    </row>
    <row r="9428" spans="3:47">
      <c r="C9428" s="20"/>
      <c r="Z9428" s="20"/>
      <c r="AG9428" s="20"/>
      <c r="AQ9428" s="19"/>
      <c r="AR9428" s="19"/>
      <c r="AS9428" s="19"/>
      <c r="AT9428" s="19"/>
      <c r="AU9428" s="19"/>
    </row>
    <row r="9429" spans="3:47">
      <c r="C9429" s="20"/>
      <c r="Z9429" s="20"/>
      <c r="AG9429" s="20"/>
      <c r="AQ9429" s="19"/>
      <c r="AR9429" s="19"/>
      <c r="AS9429" s="19"/>
      <c r="AT9429" s="19"/>
      <c r="AU9429" s="19"/>
    </row>
    <row r="9430" spans="3:47">
      <c r="C9430" s="20"/>
      <c r="Z9430" s="20"/>
      <c r="AG9430" s="20"/>
      <c r="AQ9430" s="19"/>
      <c r="AR9430" s="19"/>
      <c r="AS9430" s="19"/>
      <c r="AT9430" s="19"/>
      <c r="AU9430" s="19"/>
    </row>
    <row r="9431" spans="3:47">
      <c r="C9431" s="20"/>
      <c r="Z9431" s="20"/>
      <c r="AG9431" s="20"/>
      <c r="AQ9431" s="19"/>
      <c r="AR9431" s="19"/>
      <c r="AS9431" s="19"/>
      <c r="AT9431" s="19"/>
      <c r="AU9431" s="19"/>
    </row>
    <row r="9432" spans="3:47">
      <c r="C9432" s="20"/>
      <c r="Z9432" s="20"/>
      <c r="AG9432" s="20"/>
      <c r="AQ9432" s="19"/>
      <c r="AR9432" s="19"/>
      <c r="AS9432" s="19"/>
      <c r="AT9432" s="19"/>
      <c r="AU9432" s="19"/>
    </row>
    <row r="9433" spans="3:47">
      <c r="C9433" s="20"/>
      <c r="Z9433" s="20"/>
      <c r="AG9433" s="20"/>
      <c r="AQ9433" s="19"/>
      <c r="AR9433" s="19"/>
      <c r="AS9433" s="19"/>
      <c r="AT9433" s="19"/>
      <c r="AU9433" s="19"/>
    </row>
    <row r="9434" spans="3:47">
      <c r="C9434" s="20"/>
      <c r="Z9434" s="20"/>
      <c r="AG9434" s="20"/>
      <c r="AQ9434" s="19"/>
      <c r="AR9434" s="19"/>
      <c r="AS9434" s="19"/>
      <c r="AT9434" s="19"/>
      <c r="AU9434" s="19"/>
    </row>
    <row r="9435" spans="3:47">
      <c r="C9435" s="20"/>
      <c r="Z9435" s="20"/>
      <c r="AG9435" s="20"/>
      <c r="AQ9435" s="19"/>
      <c r="AR9435" s="19"/>
      <c r="AS9435" s="19"/>
      <c r="AT9435" s="19"/>
      <c r="AU9435" s="19"/>
    </row>
    <row r="9436" spans="3:47">
      <c r="C9436" s="20"/>
      <c r="Z9436" s="20"/>
      <c r="AG9436" s="20"/>
      <c r="AQ9436" s="19"/>
      <c r="AR9436" s="19"/>
      <c r="AS9436" s="19"/>
      <c r="AT9436" s="19"/>
      <c r="AU9436" s="19"/>
    </row>
    <row r="9437" spans="3:47">
      <c r="C9437" s="20"/>
      <c r="Z9437" s="20"/>
      <c r="AG9437" s="20"/>
      <c r="AQ9437" s="19"/>
      <c r="AR9437" s="19"/>
      <c r="AS9437" s="19"/>
      <c r="AT9437" s="19"/>
      <c r="AU9437" s="19"/>
    </row>
    <row r="9438" spans="3:47">
      <c r="C9438" s="20"/>
      <c r="Z9438" s="20"/>
      <c r="AG9438" s="20"/>
      <c r="AQ9438" s="19"/>
      <c r="AR9438" s="19"/>
      <c r="AS9438" s="19"/>
      <c r="AT9438" s="19"/>
      <c r="AU9438" s="19"/>
    </row>
    <row r="9439" spans="3:47">
      <c r="C9439" s="20"/>
      <c r="Z9439" s="20"/>
      <c r="AG9439" s="20"/>
      <c r="AQ9439" s="19"/>
      <c r="AR9439" s="19"/>
      <c r="AS9439" s="19"/>
      <c r="AT9439" s="19"/>
      <c r="AU9439" s="19"/>
    </row>
    <row r="9440" spans="3:47">
      <c r="C9440" s="20"/>
      <c r="Z9440" s="20"/>
      <c r="AG9440" s="20"/>
      <c r="AQ9440" s="19"/>
      <c r="AR9440" s="19"/>
      <c r="AS9440" s="19"/>
      <c r="AT9440" s="19"/>
      <c r="AU9440" s="19"/>
    </row>
    <row r="9441" spans="3:47">
      <c r="C9441" s="20"/>
      <c r="Z9441" s="20"/>
      <c r="AG9441" s="20"/>
      <c r="AQ9441" s="19"/>
      <c r="AR9441" s="19"/>
      <c r="AS9441" s="19"/>
      <c r="AT9441" s="19"/>
      <c r="AU9441" s="19"/>
    </row>
    <row r="9442" spans="3:47">
      <c r="C9442" s="20"/>
      <c r="Z9442" s="20"/>
      <c r="AG9442" s="20"/>
      <c r="AQ9442" s="19"/>
      <c r="AR9442" s="19"/>
      <c r="AS9442" s="19"/>
      <c r="AT9442" s="19"/>
      <c r="AU9442" s="19"/>
    </row>
    <row r="9443" spans="3:47">
      <c r="C9443" s="20"/>
      <c r="Z9443" s="20"/>
      <c r="AG9443" s="20"/>
      <c r="AQ9443" s="19"/>
      <c r="AR9443" s="19"/>
      <c r="AS9443" s="19"/>
      <c r="AT9443" s="19"/>
      <c r="AU9443" s="19"/>
    </row>
    <row r="9444" spans="3:47">
      <c r="C9444" s="20"/>
      <c r="Z9444" s="20"/>
      <c r="AG9444" s="20"/>
      <c r="AQ9444" s="19"/>
      <c r="AR9444" s="19"/>
      <c r="AS9444" s="19"/>
      <c r="AT9444" s="19"/>
      <c r="AU9444" s="19"/>
    </row>
    <row r="9445" spans="3:47">
      <c r="C9445" s="20"/>
      <c r="Z9445" s="20"/>
      <c r="AG9445" s="20"/>
      <c r="AQ9445" s="19"/>
      <c r="AR9445" s="19"/>
      <c r="AS9445" s="19"/>
      <c r="AT9445" s="19"/>
      <c r="AU9445" s="19"/>
    </row>
    <row r="9446" spans="3:47">
      <c r="C9446" s="20"/>
      <c r="Z9446" s="20"/>
      <c r="AG9446" s="20"/>
      <c r="AQ9446" s="19"/>
      <c r="AR9446" s="19"/>
      <c r="AS9446" s="19"/>
      <c r="AT9446" s="19"/>
      <c r="AU9446" s="19"/>
    </row>
    <row r="9447" spans="3:47">
      <c r="C9447" s="20"/>
      <c r="Z9447" s="20"/>
      <c r="AG9447" s="20"/>
      <c r="AQ9447" s="19"/>
      <c r="AR9447" s="19"/>
      <c r="AS9447" s="19"/>
      <c r="AT9447" s="19"/>
      <c r="AU9447" s="19"/>
    </row>
    <row r="9448" spans="3:47">
      <c r="C9448" s="20"/>
      <c r="Z9448" s="20"/>
      <c r="AG9448" s="20"/>
      <c r="AQ9448" s="19"/>
      <c r="AR9448" s="19"/>
      <c r="AS9448" s="19"/>
      <c r="AT9448" s="19"/>
      <c r="AU9448" s="19"/>
    </row>
    <row r="9449" spans="3:47">
      <c r="C9449" s="20"/>
      <c r="Z9449" s="20"/>
      <c r="AG9449" s="20"/>
      <c r="AQ9449" s="19"/>
      <c r="AR9449" s="19"/>
      <c r="AS9449" s="19"/>
      <c r="AT9449" s="19"/>
      <c r="AU9449" s="19"/>
    </row>
    <row r="9450" spans="3:47">
      <c r="C9450" s="20"/>
      <c r="Z9450" s="20"/>
      <c r="AG9450" s="20"/>
      <c r="AQ9450" s="19"/>
      <c r="AR9450" s="19"/>
      <c r="AS9450" s="19"/>
      <c r="AT9450" s="19"/>
      <c r="AU9450" s="19"/>
    </row>
    <row r="9451" spans="3:47">
      <c r="C9451" s="20"/>
      <c r="Z9451" s="20"/>
      <c r="AG9451" s="20"/>
      <c r="AQ9451" s="19"/>
      <c r="AR9451" s="19"/>
      <c r="AS9451" s="19"/>
      <c r="AT9451" s="19"/>
      <c r="AU9451" s="19"/>
    </row>
    <row r="9452" spans="3:47">
      <c r="C9452" s="20"/>
      <c r="Z9452" s="20"/>
      <c r="AG9452" s="20"/>
      <c r="AQ9452" s="19"/>
      <c r="AR9452" s="19"/>
      <c r="AS9452" s="19"/>
      <c r="AT9452" s="19"/>
      <c r="AU9452" s="19"/>
    </row>
    <row r="9453" spans="3:47">
      <c r="C9453" s="20"/>
      <c r="Z9453" s="20"/>
      <c r="AG9453" s="20"/>
      <c r="AQ9453" s="19"/>
      <c r="AR9453" s="19"/>
      <c r="AS9453" s="19"/>
      <c r="AT9453" s="19"/>
      <c r="AU9453" s="19"/>
    </row>
    <row r="9454" spans="3:47">
      <c r="C9454" s="20"/>
      <c r="Z9454" s="20"/>
      <c r="AG9454" s="20"/>
      <c r="AQ9454" s="19"/>
      <c r="AR9454" s="19"/>
      <c r="AS9454" s="19"/>
      <c r="AT9454" s="19"/>
      <c r="AU9454" s="19"/>
    </row>
    <row r="9455" spans="3:47">
      <c r="C9455" s="20"/>
      <c r="Z9455" s="20"/>
      <c r="AG9455" s="20"/>
      <c r="AQ9455" s="19"/>
      <c r="AR9455" s="19"/>
      <c r="AS9455" s="19"/>
      <c r="AT9455" s="19"/>
      <c r="AU9455" s="19"/>
    </row>
    <row r="9456" spans="3:47">
      <c r="C9456" s="20"/>
      <c r="Z9456" s="20"/>
      <c r="AG9456" s="20"/>
      <c r="AQ9456" s="19"/>
      <c r="AR9456" s="19"/>
      <c r="AS9456" s="19"/>
      <c r="AT9456" s="19"/>
      <c r="AU9456" s="19"/>
    </row>
    <row r="9457" spans="3:47">
      <c r="C9457" s="20"/>
      <c r="Z9457" s="20"/>
      <c r="AG9457" s="20"/>
      <c r="AQ9457" s="19"/>
      <c r="AR9457" s="19"/>
      <c r="AS9457" s="19"/>
      <c r="AT9457" s="19"/>
      <c r="AU9457" s="19"/>
    </row>
    <row r="9458" spans="3:47">
      <c r="C9458" s="20"/>
      <c r="Z9458" s="20"/>
      <c r="AG9458" s="20"/>
      <c r="AQ9458" s="19"/>
      <c r="AR9458" s="19"/>
      <c r="AS9458" s="19"/>
      <c r="AT9458" s="19"/>
      <c r="AU9458" s="19"/>
    </row>
    <row r="9459" spans="3:47">
      <c r="C9459" s="20"/>
      <c r="Z9459" s="20"/>
      <c r="AG9459" s="20"/>
      <c r="AQ9459" s="19"/>
      <c r="AR9459" s="19"/>
      <c r="AS9459" s="19"/>
      <c r="AT9459" s="19"/>
      <c r="AU9459" s="19"/>
    </row>
    <row r="9460" spans="3:47">
      <c r="C9460" s="20"/>
      <c r="Z9460" s="20"/>
      <c r="AG9460" s="20"/>
      <c r="AQ9460" s="19"/>
      <c r="AR9460" s="19"/>
      <c r="AS9460" s="19"/>
      <c r="AT9460" s="19"/>
      <c r="AU9460" s="19"/>
    </row>
    <row r="9461" spans="3:47">
      <c r="C9461" s="20"/>
      <c r="Z9461" s="20"/>
      <c r="AG9461" s="20"/>
      <c r="AQ9461" s="19"/>
      <c r="AR9461" s="19"/>
      <c r="AS9461" s="19"/>
      <c r="AT9461" s="19"/>
      <c r="AU9461" s="19"/>
    </row>
    <row r="9462" spans="3:47">
      <c r="C9462" s="20"/>
      <c r="Z9462" s="20"/>
      <c r="AG9462" s="20"/>
      <c r="AQ9462" s="19"/>
      <c r="AR9462" s="19"/>
      <c r="AS9462" s="19"/>
      <c r="AT9462" s="19"/>
      <c r="AU9462" s="19"/>
    </row>
    <row r="9463" spans="3:47">
      <c r="C9463" s="20"/>
      <c r="Z9463" s="20"/>
      <c r="AG9463" s="20"/>
      <c r="AQ9463" s="19"/>
      <c r="AR9463" s="19"/>
      <c r="AS9463" s="19"/>
      <c r="AT9463" s="19"/>
      <c r="AU9463" s="19"/>
    </row>
    <row r="9464" spans="3:47">
      <c r="C9464" s="20"/>
      <c r="Z9464" s="20"/>
      <c r="AG9464" s="20"/>
      <c r="AQ9464" s="19"/>
      <c r="AR9464" s="19"/>
      <c r="AS9464" s="19"/>
      <c r="AT9464" s="19"/>
      <c r="AU9464" s="19"/>
    </row>
    <row r="9465" spans="3:47">
      <c r="C9465" s="20"/>
      <c r="Z9465" s="20"/>
      <c r="AG9465" s="20"/>
      <c r="AQ9465" s="19"/>
      <c r="AR9465" s="19"/>
      <c r="AS9465" s="19"/>
      <c r="AT9465" s="19"/>
      <c r="AU9465" s="19"/>
    </row>
    <row r="9466" spans="3:47">
      <c r="C9466" s="20"/>
      <c r="Z9466" s="20"/>
      <c r="AG9466" s="20"/>
      <c r="AQ9466" s="19"/>
      <c r="AR9466" s="19"/>
      <c r="AS9466" s="19"/>
      <c r="AT9466" s="19"/>
      <c r="AU9466" s="19"/>
    </row>
    <row r="9467" spans="3:47">
      <c r="C9467" s="20"/>
      <c r="Z9467" s="20"/>
      <c r="AG9467" s="20"/>
      <c r="AQ9467" s="19"/>
      <c r="AR9467" s="19"/>
      <c r="AS9467" s="19"/>
      <c r="AT9467" s="19"/>
      <c r="AU9467" s="19"/>
    </row>
    <row r="9468" spans="3:47">
      <c r="C9468" s="20"/>
      <c r="Z9468" s="20"/>
      <c r="AG9468" s="20"/>
      <c r="AQ9468" s="19"/>
      <c r="AR9468" s="19"/>
      <c r="AS9468" s="19"/>
      <c r="AT9468" s="19"/>
      <c r="AU9468" s="19"/>
    </row>
    <row r="9469" spans="3:47">
      <c r="C9469" s="20"/>
      <c r="Z9469" s="20"/>
      <c r="AG9469" s="20"/>
      <c r="AQ9469" s="19"/>
      <c r="AR9469" s="19"/>
      <c r="AS9469" s="19"/>
      <c r="AT9469" s="19"/>
      <c r="AU9469" s="19"/>
    </row>
    <row r="9470" spans="3:47">
      <c r="C9470" s="20"/>
      <c r="Z9470" s="20"/>
      <c r="AG9470" s="20"/>
      <c r="AQ9470" s="19"/>
      <c r="AR9470" s="19"/>
      <c r="AS9470" s="19"/>
      <c r="AT9470" s="19"/>
      <c r="AU9470" s="19"/>
    </row>
    <row r="9471" spans="3:47">
      <c r="C9471" s="20"/>
      <c r="Z9471" s="20"/>
      <c r="AG9471" s="20"/>
      <c r="AQ9471" s="19"/>
      <c r="AR9471" s="19"/>
      <c r="AS9471" s="19"/>
      <c r="AT9471" s="19"/>
      <c r="AU9471" s="19"/>
    </row>
    <row r="9472" spans="3:47">
      <c r="C9472" s="20"/>
      <c r="Z9472" s="20"/>
      <c r="AG9472" s="20"/>
      <c r="AQ9472" s="19"/>
      <c r="AR9472" s="19"/>
      <c r="AS9472" s="19"/>
      <c r="AT9472" s="19"/>
      <c r="AU9472" s="19"/>
    </row>
    <row r="9473" spans="3:47">
      <c r="C9473" s="20"/>
      <c r="Z9473" s="20"/>
      <c r="AG9473" s="20"/>
      <c r="AQ9473" s="19"/>
      <c r="AR9473" s="19"/>
      <c r="AS9473" s="19"/>
      <c r="AT9473" s="19"/>
      <c r="AU9473" s="19"/>
    </row>
    <row r="9474" spans="3:47">
      <c r="C9474" s="20"/>
      <c r="Z9474" s="20"/>
      <c r="AG9474" s="20"/>
      <c r="AQ9474" s="19"/>
      <c r="AR9474" s="19"/>
      <c r="AS9474" s="19"/>
      <c r="AT9474" s="19"/>
      <c r="AU9474" s="19"/>
    </row>
    <row r="9475" spans="3:47">
      <c r="C9475" s="20"/>
      <c r="Z9475" s="20"/>
      <c r="AG9475" s="20"/>
      <c r="AQ9475" s="19"/>
      <c r="AR9475" s="19"/>
      <c r="AS9475" s="19"/>
      <c r="AT9475" s="19"/>
      <c r="AU9475" s="19"/>
    </row>
    <row r="9476" spans="3:47">
      <c r="C9476" s="20"/>
      <c r="Z9476" s="20"/>
      <c r="AG9476" s="20"/>
      <c r="AQ9476" s="19"/>
      <c r="AR9476" s="19"/>
      <c r="AS9476" s="19"/>
      <c r="AT9476" s="19"/>
      <c r="AU9476" s="19"/>
    </row>
    <row r="9477" spans="3:47">
      <c r="C9477" s="20"/>
      <c r="Z9477" s="20"/>
      <c r="AG9477" s="20"/>
      <c r="AQ9477" s="19"/>
      <c r="AR9477" s="19"/>
      <c r="AS9477" s="19"/>
      <c r="AT9477" s="19"/>
      <c r="AU9477" s="19"/>
    </row>
    <row r="9478" spans="3:47">
      <c r="C9478" s="20"/>
      <c r="Z9478" s="20"/>
      <c r="AG9478" s="20"/>
      <c r="AQ9478" s="19"/>
      <c r="AR9478" s="19"/>
      <c r="AS9478" s="19"/>
      <c r="AT9478" s="19"/>
      <c r="AU9478" s="19"/>
    </row>
    <row r="9479" spans="3:47">
      <c r="C9479" s="20"/>
      <c r="Z9479" s="20"/>
      <c r="AG9479" s="20"/>
      <c r="AQ9479" s="19"/>
      <c r="AR9479" s="19"/>
      <c r="AS9479" s="19"/>
      <c r="AT9479" s="19"/>
      <c r="AU9479" s="19"/>
    </row>
    <row r="9480" spans="3:47">
      <c r="C9480" s="20"/>
      <c r="Z9480" s="20"/>
      <c r="AG9480" s="20"/>
      <c r="AQ9480" s="19"/>
      <c r="AR9480" s="19"/>
      <c r="AS9480" s="19"/>
      <c r="AT9480" s="19"/>
      <c r="AU9480" s="19"/>
    </row>
    <row r="9481" spans="3:47">
      <c r="C9481" s="20"/>
      <c r="Z9481" s="20"/>
      <c r="AG9481" s="20"/>
      <c r="AQ9481" s="19"/>
      <c r="AR9481" s="19"/>
      <c r="AS9481" s="19"/>
      <c r="AT9481" s="19"/>
      <c r="AU9481" s="19"/>
    </row>
    <row r="9482" spans="3:47">
      <c r="C9482" s="20"/>
      <c r="Z9482" s="20"/>
      <c r="AG9482" s="20"/>
      <c r="AQ9482" s="19"/>
      <c r="AR9482" s="19"/>
      <c r="AS9482" s="19"/>
      <c r="AT9482" s="19"/>
      <c r="AU9482" s="19"/>
    </row>
    <row r="9483" spans="3:47">
      <c r="C9483" s="20"/>
      <c r="Z9483" s="20"/>
      <c r="AG9483" s="20"/>
      <c r="AQ9483" s="19"/>
      <c r="AR9483" s="19"/>
      <c r="AS9483" s="19"/>
      <c r="AT9483" s="19"/>
      <c r="AU9483" s="19"/>
    </row>
    <row r="9484" spans="3:47">
      <c r="C9484" s="20"/>
      <c r="Z9484" s="20"/>
      <c r="AG9484" s="20"/>
      <c r="AQ9484" s="19"/>
      <c r="AR9484" s="19"/>
      <c r="AS9484" s="19"/>
      <c r="AT9484" s="19"/>
      <c r="AU9484" s="19"/>
    </row>
    <row r="9485" spans="3:47">
      <c r="C9485" s="20"/>
      <c r="Z9485" s="20"/>
      <c r="AG9485" s="20"/>
      <c r="AQ9485" s="19"/>
      <c r="AR9485" s="19"/>
      <c r="AS9485" s="19"/>
      <c r="AT9485" s="19"/>
      <c r="AU9485" s="19"/>
    </row>
    <row r="9486" spans="3:47">
      <c r="C9486" s="20"/>
      <c r="Z9486" s="20"/>
      <c r="AG9486" s="20"/>
      <c r="AQ9486" s="19"/>
      <c r="AR9486" s="19"/>
      <c r="AS9486" s="19"/>
      <c r="AT9486" s="19"/>
      <c r="AU9486" s="19"/>
    </row>
    <row r="9487" spans="3:47">
      <c r="C9487" s="20"/>
      <c r="Z9487" s="20"/>
      <c r="AG9487" s="20"/>
      <c r="AQ9487" s="19"/>
      <c r="AR9487" s="19"/>
      <c r="AS9487" s="19"/>
      <c r="AT9487" s="19"/>
      <c r="AU9487" s="19"/>
    </row>
    <row r="9488" spans="3:47">
      <c r="C9488" s="20"/>
      <c r="Z9488" s="20"/>
      <c r="AG9488" s="20"/>
      <c r="AQ9488" s="19"/>
      <c r="AR9488" s="19"/>
      <c r="AS9488" s="19"/>
      <c r="AT9488" s="19"/>
      <c r="AU9488" s="19"/>
    </row>
    <row r="9489" spans="3:47">
      <c r="C9489" s="20"/>
      <c r="Z9489" s="20"/>
      <c r="AG9489" s="20"/>
      <c r="AQ9489" s="19"/>
      <c r="AR9489" s="19"/>
      <c r="AS9489" s="19"/>
      <c r="AT9489" s="19"/>
      <c r="AU9489" s="19"/>
    </row>
    <row r="9490" spans="3:47">
      <c r="C9490" s="20"/>
      <c r="Z9490" s="20"/>
      <c r="AG9490" s="20"/>
      <c r="AQ9490" s="19"/>
      <c r="AR9490" s="19"/>
      <c r="AS9490" s="19"/>
      <c r="AT9490" s="19"/>
      <c r="AU9490" s="19"/>
    </row>
    <row r="9491" spans="3:47">
      <c r="C9491" s="20"/>
      <c r="Z9491" s="20"/>
      <c r="AG9491" s="20"/>
      <c r="AQ9491" s="19"/>
      <c r="AR9491" s="19"/>
      <c r="AS9491" s="19"/>
      <c r="AT9491" s="19"/>
      <c r="AU9491" s="19"/>
    </row>
    <row r="9492" spans="3:47">
      <c r="C9492" s="20"/>
      <c r="Z9492" s="20"/>
      <c r="AG9492" s="20"/>
      <c r="AQ9492" s="19"/>
      <c r="AR9492" s="19"/>
      <c r="AS9492" s="19"/>
      <c r="AT9492" s="19"/>
      <c r="AU9492" s="19"/>
    </row>
    <row r="9493" spans="3:47">
      <c r="C9493" s="20"/>
      <c r="Z9493" s="20"/>
      <c r="AG9493" s="20"/>
      <c r="AQ9493" s="19"/>
      <c r="AR9493" s="19"/>
      <c r="AS9493" s="19"/>
      <c r="AT9493" s="19"/>
      <c r="AU9493" s="19"/>
    </row>
    <row r="9494" spans="3:47">
      <c r="C9494" s="20"/>
      <c r="Z9494" s="20"/>
      <c r="AG9494" s="20"/>
      <c r="AQ9494" s="19"/>
      <c r="AR9494" s="19"/>
      <c r="AS9494" s="19"/>
      <c r="AT9494" s="19"/>
      <c r="AU9494" s="19"/>
    </row>
    <row r="9495" spans="3:47">
      <c r="C9495" s="20"/>
      <c r="Z9495" s="20"/>
      <c r="AG9495" s="20"/>
      <c r="AQ9495" s="19"/>
      <c r="AR9495" s="19"/>
      <c r="AS9495" s="19"/>
      <c r="AT9495" s="19"/>
      <c r="AU9495" s="19"/>
    </row>
    <row r="9496" spans="3:47">
      <c r="C9496" s="20"/>
      <c r="Z9496" s="20"/>
      <c r="AG9496" s="20"/>
      <c r="AQ9496" s="19"/>
      <c r="AR9496" s="19"/>
      <c r="AS9496" s="19"/>
      <c r="AT9496" s="19"/>
      <c r="AU9496" s="19"/>
    </row>
    <row r="9497" spans="3:47">
      <c r="C9497" s="20"/>
      <c r="Z9497" s="20"/>
      <c r="AG9497" s="20"/>
      <c r="AQ9497" s="19"/>
      <c r="AR9497" s="19"/>
      <c r="AS9497" s="19"/>
      <c r="AT9497" s="19"/>
      <c r="AU9497" s="19"/>
    </row>
    <row r="9498" spans="3:47">
      <c r="C9498" s="20"/>
      <c r="Z9498" s="20"/>
      <c r="AG9498" s="20"/>
      <c r="AQ9498" s="19"/>
      <c r="AR9498" s="19"/>
      <c r="AS9498" s="19"/>
      <c r="AT9498" s="19"/>
      <c r="AU9498" s="19"/>
    </row>
    <row r="9499" spans="3:47">
      <c r="C9499" s="20"/>
      <c r="Z9499" s="20"/>
      <c r="AG9499" s="20"/>
      <c r="AQ9499" s="19"/>
      <c r="AR9499" s="19"/>
      <c r="AS9499" s="19"/>
      <c r="AT9499" s="19"/>
      <c r="AU9499" s="19"/>
    </row>
    <row r="9500" spans="3:47">
      <c r="C9500" s="20"/>
      <c r="Z9500" s="20"/>
      <c r="AG9500" s="20"/>
      <c r="AQ9500" s="19"/>
      <c r="AR9500" s="19"/>
      <c r="AS9500" s="19"/>
      <c r="AT9500" s="19"/>
      <c r="AU9500" s="19"/>
    </row>
    <row r="9501" spans="3:47">
      <c r="C9501" s="20"/>
      <c r="Z9501" s="20"/>
      <c r="AG9501" s="20"/>
      <c r="AQ9501" s="19"/>
      <c r="AR9501" s="19"/>
      <c r="AS9501" s="19"/>
      <c r="AT9501" s="19"/>
      <c r="AU9501" s="19"/>
    </row>
    <row r="9502" spans="3:47">
      <c r="C9502" s="20"/>
      <c r="Z9502" s="20"/>
      <c r="AG9502" s="20"/>
      <c r="AQ9502" s="19"/>
      <c r="AR9502" s="19"/>
      <c r="AS9502" s="19"/>
      <c r="AT9502" s="19"/>
      <c r="AU9502" s="19"/>
    </row>
    <row r="9503" spans="3:47">
      <c r="C9503" s="20"/>
      <c r="Z9503" s="20"/>
      <c r="AG9503" s="20"/>
      <c r="AQ9503" s="19"/>
      <c r="AR9503" s="19"/>
      <c r="AS9503" s="19"/>
      <c r="AT9503" s="19"/>
      <c r="AU9503" s="19"/>
    </row>
    <row r="9504" spans="3:47">
      <c r="C9504" s="20"/>
      <c r="Z9504" s="20"/>
      <c r="AG9504" s="20"/>
      <c r="AQ9504" s="19"/>
      <c r="AR9504" s="19"/>
      <c r="AS9504" s="19"/>
      <c r="AT9504" s="19"/>
      <c r="AU9504" s="19"/>
    </row>
    <row r="9505" spans="3:47">
      <c r="C9505" s="20"/>
      <c r="Z9505" s="20"/>
      <c r="AG9505" s="20"/>
      <c r="AQ9505" s="19"/>
      <c r="AR9505" s="19"/>
      <c r="AS9505" s="19"/>
      <c r="AT9505" s="19"/>
      <c r="AU9505" s="19"/>
    </row>
    <row r="9506" spans="3:47">
      <c r="C9506" s="20"/>
      <c r="Z9506" s="20"/>
      <c r="AG9506" s="20"/>
      <c r="AQ9506" s="19"/>
      <c r="AR9506" s="19"/>
      <c r="AS9506" s="19"/>
      <c r="AT9506" s="19"/>
      <c r="AU9506" s="19"/>
    </row>
    <row r="9507" spans="3:47">
      <c r="C9507" s="20"/>
      <c r="Z9507" s="20"/>
      <c r="AG9507" s="20"/>
      <c r="AQ9507" s="19"/>
      <c r="AR9507" s="19"/>
      <c r="AS9507" s="19"/>
      <c r="AT9507" s="19"/>
      <c r="AU9507" s="19"/>
    </row>
    <row r="9508" spans="3:47">
      <c r="C9508" s="20"/>
      <c r="Z9508" s="20"/>
      <c r="AG9508" s="20"/>
      <c r="AQ9508" s="19"/>
      <c r="AR9508" s="19"/>
      <c r="AS9508" s="19"/>
      <c r="AT9508" s="19"/>
      <c r="AU9508" s="19"/>
    </row>
    <row r="9509" spans="3:47">
      <c r="C9509" s="20"/>
      <c r="Z9509" s="20"/>
      <c r="AG9509" s="20"/>
      <c r="AQ9509" s="19"/>
      <c r="AR9509" s="19"/>
      <c r="AS9509" s="19"/>
      <c r="AT9509" s="19"/>
      <c r="AU9509" s="19"/>
    </row>
    <row r="9510" spans="3:47">
      <c r="C9510" s="20"/>
      <c r="Z9510" s="20"/>
      <c r="AG9510" s="20"/>
      <c r="AQ9510" s="19"/>
      <c r="AR9510" s="19"/>
      <c r="AS9510" s="19"/>
      <c r="AT9510" s="19"/>
      <c r="AU9510" s="19"/>
    </row>
    <row r="9511" spans="3:47">
      <c r="C9511" s="20"/>
      <c r="Z9511" s="20"/>
      <c r="AG9511" s="20"/>
      <c r="AQ9511" s="19"/>
      <c r="AR9511" s="19"/>
      <c r="AS9511" s="19"/>
      <c r="AT9511" s="19"/>
      <c r="AU9511" s="19"/>
    </row>
    <row r="9512" spans="3:47">
      <c r="C9512" s="20"/>
      <c r="Z9512" s="20"/>
      <c r="AG9512" s="20"/>
      <c r="AQ9512" s="19"/>
      <c r="AR9512" s="19"/>
      <c r="AS9512" s="19"/>
      <c r="AT9512" s="19"/>
      <c r="AU9512" s="19"/>
    </row>
    <row r="9513" spans="3:47">
      <c r="C9513" s="20"/>
      <c r="Z9513" s="20"/>
      <c r="AG9513" s="20"/>
      <c r="AQ9513" s="19"/>
      <c r="AR9513" s="19"/>
      <c r="AS9513" s="19"/>
      <c r="AT9513" s="19"/>
      <c r="AU9513" s="19"/>
    </row>
    <row r="9514" spans="3:47">
      <c r="C9514" s="20"/>
      <c r="Z9514" s="20"/>
      <c r="AG9514" s="20"/>
      <c r="AQ9514" s="19"/>
      <c r="AR9514" s="19"/>
      <c r="AS9514" s="19"/>
      <c r="AT9514" s="19"/>
      <c r="AU9514" s="19"/>
    </row>
    <row r="9515" spans="3:47">
      <c r="C9515" s="20"/>
      <c r="Z9515" s="20"/>
      <c r="AG9515" s="20"/>
      <c r="AQ9515" s="19"/>
      <c r="AR9515" s="19"/>
      <c r="AS9515" s="19"/>
      <c r="AT9515" s="19"/>
      <c r="AU9515" s="19"/>
    </row>
    <row r="9516" spans="3:47">
      <c r="C9516" s="20"/>
      <c r="Z9516" s="20"/>
      <c r="AG9516" s="20"/>
      <c r="AQ9516" s="19"/>
      <c r="AR9516" s="19"/>
      <c r="AS9516" s="19"/>
      <c r="AT9516" s="19"/>
      <c r="AU9516" s="19"/>
    </row>
    <row r="9517" spans="3:47">
      <c r="C9517" s="20"/>
      <c r="Z9517" s="20"/>
      <c r="AG9517" s="20"/>
      <c r="AQ9517" s="19"/>
      <c r="AR9517" s="19"/>
      <c r="AS9517" s="19"/>
      <c r="AT9517" s="19"/>
      <c r="AU9517" s="19"/>
    </row>
    <row r="9518" spans="3:47">
      <c r="C9518" s="20"/>
      <c r="Z9518" s="20"/>
      <c r="AG9518" s="20"/>
      <c r="AQ9518" s="19"/>
      <c r="AR9518" s="19"/>
      <c r="AS9518" s="19"/>
      <c r="AT9518" s="19"/>
      <c r="AU9518" s="19"/>
    </row>
    <row r="9519" spans="3:47">
      <c r="C9519" s="20"/>
      <c r="Z9519" s="20"/>
      <c r="AG9519" s="20"/>
      <c r="AQ9519" s="19"/>
      <c r="AR9519" s="19"/>
      <c r="AS9519" s="19"/>
      <c r="AT9519" s="19"/>
      <c r="AU9519" s="19"/>
    </row>
    <row r="9520" spans="3:47">
      <c r="C9520" s="20"/>
      <c r="Z9520" s="20"/>
      <c r="AG9520" s="20"/>
      <c r="AQ9520" s="19"/>
      <c r="AR9520" s="19"/>
      <c r="AS9520" s="19"/>
      <c r="AT9520" s="19"/>
      <c r="AU9520" s="19"/>
    </row>
    <row r="9521" spans="3:47">
      <c r="C9521" s="20"/>
      <c r="Z9521" s="20"/>
      <c r="AG9521" s="20"/>
      <c r="AQ9521" s="19"/>
      <c r="AR9521" s="19"/>
      <c r="AS9521" s="19"/>
      <c r="AT9521" s="19"/>
      <c r="AU9521" s="19"/>
    </row>
    <row r="9522" spans="3:47">
      <c r="C9522" s="20"/>
      <c r="Z9522" s="20"/>
      <c r="AG9522" s="20"/>
      <c r="AQ9522" s="19"/>
      <c r="AR9522" s="19"/>
      <c r="AS9522" s="19"/>
      <c r="AT9522" s="19"/>
      <c r="AU9522" s="19"/>
    </row>
    <row r="9523" spans="3:47">
      <c r="C9523" s="20"/>
      <c r="Z9523" s="20"/>
      <c r="AG9523" s="20"/>
      <c r="AQ9523" s="19"/>
      <c r="AR9523" s="19"/>
      <c r="AS9523" s="19"/>
      <c r="AT9523" s="19"/>
      <c r="AU9523" s="19"/>
    </row>
    <row r="9524" spans="3:47">
      <c r="C9524" s="20"/>
      <c r="Z9524" s="20"/>
      <c r="AG9524" s="20"/>
      <c r="AQ9524" s="19"/>
      <c r="AR9524" s="19"/>
      <c r="AS9524" s="19"/>
      <c r="AT9524" s="19"/>
      <c r="AU9524" s="19"/>
    </row>
    <row r="9525" spans="3:47">
      <c r="C9525" s="20"/>
      <c r="Z9525" s="20"/>
      <c r="AG9525" s="20"/>
      <c r="AQ9525" s="19"/>
      <c r="AR9525" s="19"/>
      <c r="AS9525" s="19"/>
      <c r="AT9525" s="19"/>
      <c r="AU9525" s="19"/>
    </row>
    <row r="9526" spans="3:47">
      <c r="C9526" s="20"/>
      <c r="Z9526" s="20"/>
      <c r="AG9526" s="20"/>
      <c r="AQ9526" s="19"/>
      <c r="AR9526" s="19"/>
      <c r="AS9526" s="19"/>
      <c r="AT9526" s="19"/>
      <c r="AU9526" s="19"/>
    </row>
    <row r="9527" spans="3:47">
      <c r="C9527" s="20"/>
      <c r="Z9527" s="20"/>
      <c r="AG9527" s="20"/>
      <c r="AQ9527" s="19"/>
      <c r="AR9527" s="19"/>
      <c r="AS9527" s="19"/>
      <c r="AT9527" s="19"/>
      <c r="AU9527" s="19"/>
    </row>
    <row r="9528" spans="3:47">
      <c r="C9528" s="20"/>
      <c r="Z9528" s="20"/>
      <c r="AG9528" s="20"/>
      <c r="AQ9528" s="19"/>
      <c r="AR9528" s="19"/>
      <c r="AS9528" s="19"/>
      <c r="AT9528" s="19"/>
      <c r="AU9528" s="19"/>
    </row>
    <row r="9529" spans="3:47">
      <c r="C9529" s="20"/>
      <c r="Z9529" s="20"/>
      <c r="AG9529" s="20"/>
      <c r="AQ9529" s="19"/>
      <c r="AR9529" s="19"/>
      <c r="AS9529" s="19"/>
      <c r="AT9529" s="19"/>
      <c r="AU9529" s="19"/>
    </row>
    <row r="9530" spans="3:47">
      <c r="C9530" s="20"/>
      <c r="Z9530" s="20"/>
      <c r="AG9530" s="20"/>
      <c r="AQ9530" s="19"/>
      <c r="AR9530" s="19"/>
      <c r="AS9530" s="19"/>
      <c r="AT9530" s="19"/>
      <c r="AU9530" s="19"/>
    </row>
    <row r="9531" spans="3:47">
      <c r="C9531" s="20"/>
      <c r="Z9531" s="20"/>
      <c r="AG9531" s="20"/>
      <c r="AQ9531" s="19"/>
      <c r="AR9531" s="19"/>
      <c r="AS9531" s="19"/>
      <c r="AT9531" s="19"/>
      <c r="AU9531" s="19"/>
    </row>
    <row r="9532" spans="3:47">
      <c r="C9532" s="20"/>
      <c r="Z9532" s="20"/>
      <c r="AG9532" s="20"/>
      <c r="AQ9532" s="19"/>
      <c r="AR9532" s="19"/>
      <c r="AS9532" s="19"/>
      <c r="AT9532" s="19"/>
      <c r="AU9532" s="19"/>
    </row>
    <row r="9533" spans="3:47">
      <c r="C9533" s="20"/>
      <c r="Z9533" s="20"/>
      <c r="AG9533" s="20"/>
      <c r="AQ9533" s="19"/>
      <c r="AR9533" s="19"/>
      <c r="AS9533" s="19"/>
      <c r="AT9533" s="19"/>
      <c r="AU9533" s="19"/>
    </row>
    <row r="9534" spans="3:47">
      <c r="C9534" s="20"/>
      <c r="Z9534" s="20"/>
      <c r="AG9534" s="20"/>
      <c r="AQ9534" s="19"/>
      <c r="AR9534" s="19"/>
      <c r="AS9534" s="19"/>
      <c r="AT9534" s="19"/>
      <c r="AU9534" s="19"/>
    </row>
    <row r="9535" spans="3:47">
      <c r="C9535" s="20"/>
      <c r="Z9535" s="20"/>
      <c r="AG9535" s="20"/>
      <c r="AQ9535" s="19"/>
      <c r="AR9535" s="19"/>
      <c r="AS9535" s="19"/>
      <c r="AT9535" s="19"/>
      <c r="AU9535" s="19"/>
    </row>
    <row r="9536" spans="3:47">
      <c r="C9536" s="20"/>
      <c r="Z9536" s="20"/>
      <c r="AG9536" s="20"/>
      <c r="AQ9536" s="19"/>
      <c r="AR9536" s="19"/>
      <c r="AS9536" s="19"/>
      <c r="AT9536" s="19"/>
      <c r="AU9536" s="19"/>
    </row>
    <row r="9537" spans="3:47">
      <c r="C9537" s="20"/>
      <c r="Z9537" s="20"/>
      <c r="AG9537" s="20"/>
      <c r="AQ9537" s="19"/>
      <c r="AR9537" s="19"/>
      <c r="AS9537" s="19"/>
      <c r="AT9537" s="19"/>
      <c r="AU9537" s="19"/>
    </row>
    <row r="9538" spans="3:47">
      <c r="C9538" s="20"/>
      <c r="Z9538" s="20"/>
      <c r="AG9538" s="20"/>
      <c r="AQ9538" s="19"/>
      <c r="AR9538" s="19"/>
      <c r="AS9538" s="19"/>
      <c r="AT9538" s="19"/>
      <c r="AU9538" s="19"/>
    </row>
    <row r="9539" spans="3:47">
      <c r="C9539" s="20"/>
      <c r="Z9539" s="20"/>
      <c r="AG9539" s="20"/>
      <c r="AQ9539" s="19"/>
      <c r="AR9539" s="19"/>
      <c r="AS9539" s="19"/>
      <c r="AT9539" s="19"/>
      <c r="AU9539" s="19"/>
    </row>
    <row r="9540" spans="3:47">
      <c r="C9540" s="20"/>
      <c r="Z9540" s="20"/>
      <c r="AG9540" s="20"/>
      <c r="AQ9540" s="19"/>
      <c r="AR9540" s="19"/>
      <c r="AS9540" s="19"/>
      <c r="AT9540" s="19"/>
      <c r="AU9540" s="19"/>
    </row>
    <row r="9541" spans="3:47">
      <c r="C9541" s="20"/>
      <c r="Z9541" s="20"/>
      <c r="AG9541" s="20"/>
      <c r="AQ9541" s="19"/>
      <c r="AR9541" s="19"/>
      <c r="AS9541" s="19"/>
      <c r="AT9541" s="19"/>
      <c r="AU9541" s="19"/>
    </row>
    <row r="9542" spans="3:47">
      <c r="C9542" s="20"/>
      <c r="Z9542" s="20"/>
      <c r="AG9542" s="20"/>
      <c r="AQ9542" s="19"/>
      <c r="AR9542" s="19"/>
      <c r="AS9542" s="19"/>
      <c r="AT9542" s="19"/>
      <c r="AU9542" s="19"/>
    </row>
    <row r="9543" spans="3:47">
      <c r="C9543" s="20"/>
      <c r="Z9543" s="20"/>
      <c r="AG9543" s="20"/>
      <c r="AQ9543" s="19"/>
      <c r="AR9543" s="19"/>
      <c r="AS9543" s="19"/>
      <c r="AT9543" s="19"/>
      <c r="AU9543" s="19"/>
    </row>
    <row r="9544" spans="3:47">
      <c r="C9544" s="20"/>
      <c r="Z9544" s="20"/>
      <c r="AG9544" s="20"/>
      <c r="AQ9544" s="19"/>
      <c r="AR9544" s="19"/>
      <c r="AS9544" s="19"/>
      <c r="AT9544" s="19"/>
      <c r="AU9544" s="19"/>
    </row>
    <row r="9545" spans="3:47">
      <c r="C9545" s="20"/>
      <c r="Z9545" s="20"/>
      <c r="AG9545" s="20"/>
      <c r="AQ9545" s="19"/>
      <c r="AR9545" s="19"/>
      <c r="AS9545" s="19"/>
      <c r="AT9545" s="19"/>
      <c r="AU9545" s="19"/>
    </row>
    <row r="9546" spans="3:47">
      <c r="C9546" s="20"/>
      <c r="Z9546" s="20"/>
      <c r="AG9546" s="20"/>
      <c r="AQ9546" s="19"/>
      <c r="AR9546" s="19"/>
      <c r="AS9546" s="19"/>
      <c r="AT9546" s="19"/>
      <c r="AU9546" s="19"/>
    </row>
    <row r="9547" spans="3:47">
      <c r="C9547" s="20"/>
      <c r="Z9547" s="20"/>
      <c r="AG9547" s="20"/>
      <c r="AQ9547" s="19"/>
      <c r="AR9547" s="19"/>
      <c r="AS9547" s="19"/>
      <c r="AT9547" s="19"/>
      <c r="AU9547" s="19"/>
    </row>
    <row r="9548" spans="3:47">
      <c r="C9548" s="20"/>
      <c r="Z9548" s="20"/>
      <c r="AG9548" s="20"/>
      <c r="AQ9548" s="19"/>
      <c r="AR9548" s="19"/>
      <c r="AS9548" s="19"/>
      <c r="AT9548" s="19"/>
      <c r="AU9548" s="19"/>
    </row>
    <row r="9549" spans="3:47">
      <c r="C9549" s="20"/>
      <c r="Z9549" s="20"/>
      <c r="AG9549" s="20"/>
      <c r="AQ9549" s="19"/>
      <c r="AR9549" s="19"/>
      <c r="AS9549" s="19"/>
      <c r="AT9549" s="19"/>
      <c r="AU9549" s="19"/>
    </row>
    <row r="9550" spans="3:47">
      <c r="C9550" s="20"/>
      <c r="Z9550" s="20"/>
      <c r="AG9550" s="20"/>
      <c r="AQ9550" s="19"/>
      <c r="AR9550" s="19"/>
      <c r="AS9550" s="19"/>
      <c r="AT9550" s="19"/>
      <c r="AU9550" s="19"/>
    </row>
    <row r="9551" spans="3:47">
      <c r="C9551" s="20"/>
      <c r="Z9551" s="20"/>
      <c r="AG9551" s="20"/>
      <c r="AQ9551" s="19"/>
      <c r="AR9551" s="19"/>
      <c r="AS9551" s="19"/>
      <c r="AT9551" s="19"/>
      <c r="AU9551" s="19"/>
    </row>
    <row r="9552" spans="3:47">
      <c r="C9552" s="20"/>
      <c r="Z9552" s="20"/>
      <c r="AG9552" s="20"/>
      <c r="AQ9552" s="19"/>
      <c r="AR9552" s="19"/>
      <c r="AS9552" s="19"/>
      <c r="AT9552" s="19"/>
      <c r="AU9552" s="19"/>
    </row>
    <row r="9553" spans="3:47">
      <c r="C9553" s="20"/>
      <c r="Z9553" s="20"/>
      <c r="AG9553" s="20"/>
      <c r="AQ9553" s="19"/>
      <c r="AR9553" s="19"/>
      <c r="AS9553" s="19"/>
      <c r="AT9553" s="19"/>
      <c r="AU9553" s="19"/>
    </row>
    <row r="9554" spans="3:47">
      <c r="C9554" s="20"/>
      <c r="Z9554" s="20"/>
      <c r="AG9554" s="20"/>
      <c r="AQ9554" s="19"/>
      <c r="AR9554" s="19"/>
      <c r="AS9554" s="19"/>
      <c r="AT9554" s="19"/>
      <c r="AU9554" s="19"/>
    </row>
    <row r="9555" spans="3:47">
      <c r="C9555" s="20"/>
      <c r="Z9555" s="20"/>
      <c r="AG9555" s="20"/>
      <c r="AQ9555" s="19"/>
      <c r="AR9555" s="19"/>
      <c r="AS9555" s="19"/>
      <c r="AT9555" s="19"/>
      <c r="AU9555" s="19"/>
    </row>
    <row r="9556" spans="3:47">
      <c r="C9556" s="20"/>
      <c r="Z9556" s="20"/>
      <c r="AG9556" s="20"/>
      <c r="AQ9556" s="19"/>
      <c r="AR9556" s="19"/>
      <c r="AS9556" s="19"/>
      <c r="AT9556" s="19"/>
      <c r="AU9556" s="19"/>
    </row>
    <row r="9557" spans="3:47">
      <c r="C9557" s="20"/>
      <c r="Z9557" s="20"/>
      <c r="AG9557" s="20"/>
      <c r="AQ9557" s="19"/>
      <c r="AR9557" s="19"/>
      <c r="AS9557" s="19"/>
      <c r="AT9557" s="19"/>
      <c r="AU9557" s="19"/>
    </row>
    <row r="9558" spans="3:47">
      <c r="C9558" s="20"/>
      <c r="Z9558" s="20"/>
      <c r="AG9558" s="20"/>
      <c r="AQ9558" s="19"/>
      <c r="AR9558" s="19"/>
      <c r="AS9558" s="19"/>
      <c r="AT9558" s="19"/>
      <c r="AU9558" s="19"/>
    </row>
    <row r="9559" spans="3:47">
      <c r="C9559" s="20"/>
      <c r="Z9559" s="20"/>
      <c r="AG9559" s="20"/>
      <c r="AQ9559" s="19"/>
      <c r="AR9559" s="19"/>
      <c r="AS9559" s="19"/>
      <c r="AT9559" s="19"/>
      <c r="AU9559" s="19"/>
    </row>
    <row r="9560" spans="3:47">
      <c r="C9560" s="20"/>
      <c r="Z9560" s="20"/>
      <c r="AG9560" s="20"/>
      <c r="AQ9560" s="19"/>
      <c r="AR9560" s="19"/>
      <c r="AS9560" s="19"/>
      <c r="AT9560" s="19"/>
      <c r="AU9560" s="19"/>
    </row>
    <row r="9561" spans="3:47">
      <c r="C9561" s="20"/>
      <c r="Z9561" s="20"/>
      <c r="AG9561" s="20"/>
      <c r="AQ9561" s="19"/>
      <c r="AR9561" s="19"/>
      <c r="AS9561" s="19"/>
      <c r="AT9561" s="19"/>
      <c r="AU9561" s="19"/>
    </row>
    <row r="9562" spans="3:47">
      <c r="C9562" s="20"/>
      <c r="Z9562" s="20"/>
      <c r="AG9562" s="20"/>
      <c r="AQ9562" s="19"/>
      <c r="AR9562" s="19"/>
      <c r="AS9562" s="19"/>
      <c r="AT9562" s="19"/>
      <c r="AU9562" s="19"/>
    </row>
    <row r="9563" spans="3:47">
      <c r="C9563" s="20"/>
      <c r="Z9563" s="20"/>
      <c r="AG9563" s="20"/>
      <c r="AQ9563" s="19"/>
      <c r="AR9563" s="19"/>
      <c r="AS9563" s="19"/>
      <c r="AT9563" s="19"/>
      <c r="AU9563" s="19"/>
    </row>
    <row r="9564" spans="3:47">
      <c r="C9564" s="20"/>
      <c r="Z9564" s="20"/>
      <c r="AG9564" s="20"/>
      <c r="AQ9564" s="19"/>
      <c r="AR9564" s="19"/>
      <c r="AS9564" s="19"/>
      <c r="AT9564" s="19"/>
      <c r="AU9564" s="19"/>
    </row>
    <row r="9565" spans="3:47">
      <c r="C9565" s="20"/>
      <c r="Z9565" s="20"/>
      <c r="AG9565" s="20"/>
      <c r="AQ9565" s="19"/>
      <c r="AR9565" s="19"/>
      <c r="AS9565" s="19"/>
      <c r="AT9565" s="19"/>
      <c r="AU9565" s="19"/>
    </row>
    <row r="9566" spans="3:47">
      <c r="C9566" s="20"/>
      <c r="Z9566" s="20"/>
      <c r="AG9566" s="20"/>
      <c r="AQ9566" s="19"/>
      <c r="AR9566" s="19"/>
      <c r="AS9566" s="19"/>
      <c r="AT9566" s="19"/>
      <c r="AU9566" s="19"/>
    </row>
    <row r="9567" spans="3:47">
      <c r="C9567" s="20"/>
      <c r="Z9567" s="20"/>
      <c r="AG9567" s="20"/>
      <c r="AQ9567" s="19"/>
      <c r="AR9567" s="19"/>
      <c r="AS9567" s="19"/>
      <c r="AT9567" s="19"/>
      <c r="AU9567" s="19"/>
    </row>
    <row r="9568" spans="3:47">
      <c r="C9568" s="20"/>
      <c r="Z9568" s="20"/>
      <c r="AG9568" s="20"/>
      <c r="AQ9568" s="19"/>
      <c r="AR9568" s="19"/>
      <c r="AS9568" s="19"/>
      <c r="AT9568" s="19"/>
      <c r="AU9568" s="19"/>
    </row>
    <row r="9569" spans="3:47">
      <c r="C9569" s="20"/>
      <c r="Z9569" s="20"/>
      <c r="AG9569" s="20"/>
      <c r="AQ9569" s="19"/>
      <c r="AR9569" s="19"/>
      <c r="AS9569" s="19"/>
      <c r="AT9569" s="19"/>
      <c r="AU9569" s="19"/>
    </row>
    <row r="9570" spans="3:47">
      <c r="C9570" s="20"/>
      <c r="Z9570" s="20"/>
      <c r="AG9570" s="20"/>
      <c r="AQ9570" s="19"/>
      <c r="AR9570" s="19"/>
      <c r="AS9570" s="19"/>
      <c r="AT9570" s="19"/>
      <c r="AU9570" s="19"/>
    </row>
    <row r="9571" spans="3:47">
      <c r="C9571" s="20"/>
      <c r="Z9571" s="20"/>
      <c r="AG9571" s="20"/>
      <c r="AQ9571" s="19"/>
      <c r="AR9571" s="19"/>
      <c r="AS9571" s="19"/>
      <c r="AT9571" s="19"/>
      <c r="AU9571" s="19"/>
    </row>
    <row r="9572" spans="3:47">
      <c r="C9572" s="20"/>
      <c r="Z9572" s="20"/>
      <c r="AG9572" s="20"/>
      <c r="AQ9572" s="19"/>
      <c r="AR9572" s="19"/>
      <c r="AS9572" s="19"/>
      <c r="AT9572" s="19"/>
      <c r="AU9572" s="19"/>
    </row>
    <row r="9573" spans="3:47">
      <c r="C9573" s="20"/>
      <c r="Z9573" s="20"/>
      <c r="AG9573" s="20"/>
      <c r="AQ9573" s="19"/>
      <c r="AR9573" s="19"/>
      <c r="AS9573" s="19"/>
      <c r="AT9573" s="19"/>
      <c r="AU9573" s="19"/>
    </row>
    <row r="9574" spans="3:47">
      <c r="C9574" s="20"/>
      <c r="Z9574" s="20"/>
      <c r="AG9574" s="20"/>
      <c r="AQ9574" s="19"/>
      <c r="AR9574" s="19"/>
      <c r="AS9574" s="19"/>
      <c r="AT9574" s="19"/>
      <c r="AU9574" s="19"/>
    </row>
    <row r="9575" spans="3:47">
      <c r="C9575" s="20"/>
      <c r="Z9575" s="20"/>
      <c r="AG9575" s="20"/>
      <c r="AQ9575" s="19"/>
      <c r="AR9575" s="19"/>
      <c r="AS9575" s="19"/>
      <c r="AT9575" s="19"/>
      <c r="AU9575" s="19"/>
    </row>
    <row r="9576" spans="3:47">
      <c r="C9576" s="20"/>
      <c r="Z9576" s="20"/>
      <c r="AG9576" s="20"/>
      <c r="AQ9576" s="19"/>
      <c r="AR9576" s="19"/>
      <c r="AS9576" s="19"/>
      <c r="AT9576" s="19"/>
      <c r="AU9576" s="19"/>
    </row>
    <row r="9577" spans="3:47">
      <c r="C9577" s="20"/>
      <c r="Z9577" s="20"/>
      <c r="AG9577" s="20"/>
      <c r="AQ9577" s="19"/>
      <c r="AR9577" s="19"/>
      <c r="AS9577" s="19"/>
      <c r="AT9577" s="19"/>
      <c r="AU9577" s="19"/>
    </row>
    <row r="9578" spans="3:47">
      <c r="C9578" s="20"/>
      <c r="Z9578" s="20"/>
      <c r="AG9578" s="20"/>
      <c r="AQ9578" s="19"/>
      <c r="AR9578" s="19"/>
      <c r="AS9578" s="19"/>
      <c r="AT9578" s="19"/>
      <c r="AU9578" s="19"/>
    </row>
    <row r="9579" spans="3:47">
      <c r="C9579" s="20"/>
      <c r="Z9579" s="20"/>
      <c r="AG9579" s="20"/>
      <c r="AQ9579" s="19"/>
      <c r="AR9579" s="19"/>
      <c r="AS9579" s="19"/>
      <c r="AT9579" s="19"/>
      <c r="AU9579" s="19"/>
    </row>
    <row r="9580" spans="3:47">
      <c r="C9580" s="20"/>
      <c r="Z9580" s="20"/>
      <c r="AG9580" s="20"/>
      <c r="AQ9580" s="19"/>
      <c r="AR9580" s="19"/>
      <c r="AS9580" s="19"/>
      <c r="AT9580" s="19"/>
      <c r="AU9580" s="19"/>
    </row>
    <row r="9581" spans="3:47">
      <c r="C9581" s="20"/>
      <c r="Z9581" s="20"/>
      <c r="AG9581" s="20"/>
      <c r="AQ9581" s="19"/>
      <c r="AR9581" s="19"/>
      <c r="AS9581" s="19"/>
      <c r="AT9581" s="19"/>
      <c r="AU9581" s="19"/>
    </row>
    <row r="9582" spans="3:47">
      <c r="C9582" s="20"/>
      <c r="Z9582" s="20"/>
      <c r="AG9582" s="20"/>
      <c r="AQ9582" s="19"/>
      <c r="AR9582" s="19"/>
      <c r="AS9582" s="19"/>
      <c r="AT9582" s="19"/>
      <c r="AU9582" s="19"/>
    </row>
    <row r="9583" spans="3:47">
      <c r="C9583" s="20"/>
      <c r="Z9583" s="20"/>
      <c r="AG9583" s="20"/>
      <c r="AQ9583" s="19"/>
      <c r="AR9583" s="19"/>
      <c r="AS9583" s="19"/>
      <c r="AT9583" s="19"/>
      <c r="AU9583" s="19"/>
    </row>
    <row r="9584" spans="3:47">
      <c r="C9584" s="20"/>
      <c r="Z9584" s="20"/>
      <c r="AG9584" s="20"/>
      <c r="AQ9584" s="19"/>
      <c r="AR9584" s="19"/>
      <c r="AS9584" s="19"/>
      <c r="AT9584" s="19"/>
      <c r="AU9584" s="19"/>
    </row>
    <row r="9585" spans="3:47">
      <c r="C9585" s="20"/>
      <c r="Z9585" s="20"/>
      <c r="AG9585" s="20"/>
      <c r="AQ9585" s="19"/>
      <c r="AR9585" s="19"/>
      <c r="AS9585" s="19"/>
      <c r="AT9585" s="19"/>
      <c r="AU9585" s="19"/>
    </row>
    <row r="9586" spans="3:47">
      <c r="C9586" s="20"/>
      <c r="Z9586" s="20"/>
      <c r="AG9586" s="20"/>
      <c r="AQ9586" s="19"/>
      <c r="AR9586" s="19"/>
      <c r="AS9586" s="19"/>
      <c r="AT9586" s="19"/>
      <c r="AU9586" s="19"/>
    </row>
    <row r="9587" spans="3:47">
      <c r="C9587" s="20"/>
      <c r="Z9587" s="20"/>
      <c r="AG9587" s="20"/>
      <c r="AQ9587" s="19"/>
      <c r="AR9587" s="19"/>
      <c r="AS9587" s="19"/>
      <c r="AT9587" s="19"/>
      <c r="AU9587" s="19"/>
    </row>
    <row r="9588" spans="3:47">
      <c r="C9588" s="20"/>
      <c r="Z9588" s="20"/>
      <c r="AG9588" s="20"/>
      <c r="AQ9588" s="19"/>
      <c r="AR9588" s="19"/>
      <c r="AS9588" s="19"/>
      <c r="AT9588" s="19"/>
      <c r="AU9588" s="19"/>
    </row>
    <row r="9589" spans="3:47">
      <c r="C9589" s="20"/>
      <c r="Z9589" s="20"/>
      <c r="AG9589" s="20"/>
      <c r="AQ9589" s="19"/>
      <c r="AR9589" s="19"/>
      <c r="AS9589" s="19"/>
      <c r="AT9589" s="19"/>
      <c r="AU9589" s="19"/>
    </row>
    <row r="9590" spans="3:47">
      <c r="C9590" s="20"/>
      <c r="Z9590" s="20"/>
      <c r="AG9590" s="20"/>
      <c r="AQ9590" s="19"/>
      <c r="AR9590" s="19"/>
      <c r="AS9590" s="19"/>
      <c r="AT9590" s="19"/>
      <c r="AU9590" s="19"/>
    </row>
    <row r="9591" spans="3:47">
      <c r="C9591" s="20"/>
      <c r="Z9591" s="20"/>
      <c r="AG9591" s="20"/>
      <c r="AQ9591" s="19"/>
      <c r="AR9591" s="19"/>
      <c r="AS9591" s="19"/>
      <c r="AT9591" s="19"/>
      <c r="AU9591" s="19"/>
    </row>
    <row r="9592" spans="3:47">
      <c r="C9592" s="20"/>
      <c r="Z9592" s="20"/>
      <c r="AG9592" s="20"/>
      <c r="AQ9592" s="19"/>
      <c r="AR9592" s="19"/>
      <c r="AS9592" s="19"/>
      <c r="AT9592" s="19"/>
      <c r="AU9592" s="19"/>
    </row>
    <row r="9593" spans="3:47">
      <c r="C9593" s="20"/>
      <c r="Z9593" s="20"/>
      <c r="AG9593" s="20"/>
      <c r="AQ9593" s="19"/>
      <c r="AR9593" s="19"/>
      <c r="AS9593" s="19"/>
      <c r="AT9593" s="19"/>
      <c r="AU9593" s="19"/>
    </row>
    <row r="9594" spans="3:47">
      <c r="C9594" s="20"/>
      <c r="Z9594" s="20"/>
      <c r="AG9594" s="20"/>
      <c r="AQ9594" s="19"/>
      <c r="AR9594" s="19"/>
      <c r="AS9594" s="19"/>
      <c r="AT9594" s="19"/>
      <c r="AU9594" s="19"/>
    </row>
    <row r="9595" spans="3:47">
      <c r="C9595" s="20"/>
      <c r="Z9595" s="20"/>
      <c r="AG9595" s="20"/>
      <c r="AQ9595" s="19"/>
      <c r="AR9595" s="19"/>
      <c r="AS9595" s="19"/>
      <c r="AT9595" s="19"/>
      <c r="AU9595" s="19"/>
    </row>
    <row r="9596" spans="3:47">
      <c r="C9596" s="20"/>
      <c r="Z9596" s="20"/>
      <c r="AG9596" s="20"/>
      <c r="AQ9596" s="19"/>
      <c r="AR9596" s="19"/>
      <c r="AS9596" s="19"/>
      <c r="AT9596" s="19"/>
      <c r="AU9596" s="19"/>
    </row>
    <row r="9597" spans="3:47">
      <c r="C9597" s="20"/>
      <c r="Z9597" s="20"/>
      <c r="AG9597" s="20"/>
      <c r="AQ9597" s="19"/>
      <c r="AR9597" s="19"/>
      <c r="AS9597" s="19"/>
      <c r="AT9597" s="19"/>
      <c r="AU9597" s="19"/>
    </row>
    <row r="9598" spans="3:47">
      <c r="C9598" s="20"/>
      <c r="Z9598" s="20"/>
      <c r="AG9598" s="20"/>
      <c r="AQ9598" s="19"/>
      <c r="AR9598" s="19"/>
      <c r="AS9598" s="19"/>
      <c r="AT9598" s="19"/>
      <c r="AU9598" s="19"/>
    </row>
    <row r="9599" spans="3:47">
      <c r="C9599" s="20"/>
      <c r="Z9599" s="20"/>
      <c r="AG9599" s="20"/>
      <c r="AQ9599" s="19"/>
      <c r="AR9599" s="19"/>
      <c r="AS9599" s="19"/>
      <c r="AT9599" s="19"/>
      <c r="AU9599" s="19"/>
    </row>
    <row r="9600" spans="3:47">
      <c r="C9600" s="20"/>
      <c r="Z9600" s="20"/>
      <c r="AG9600" s="20"/>
      <c r="AQ9600" s="19"/>
      <c r="AR9600" s="19"/>
      <c r="AS9600" s="19"/>
      <c r="AT9600" s="19"/>
      <c r="AU9600" s="19"/>
    </row>
    <row r="9601" spans="3:47">
      <c r="C9601" s="20"/>
      <c r="Z9601" s="20"/>
      <c r="AG9601" s="20"/>
      <c r="AQ9601" s="19"/>
      <c r="AR9601" s="19"/>
      <c r="AS9601" s="19"/>
      <c r="AT9601" s="19"/>
      <c r="AU9601" s="19"/>
    </row>
    <row r="9602" spans="3:47">
      <c r="C9602" s="20"/>
      <c r="Z9602" s="20"/>
      <c r="AG9602" s="20"/>
      <c r="AQ9602" s="19"/>
      <c r="AR9602" s="19"/>
      <c r="AS9602" s="19"/>
      <c r="AT9602" s="19"/>
      <c r="AU9602" s="19"/>
    </row>
    <row r="9603" spans="3:47">
      <c r="C9603" s="20"/>
      <c r="Z9603" s="20"/>
      <c r="AG9603" s="20"/>
      <c r="AQ9603" s="19"/>
      <c r="AR9603" s="19"/>
      <c r="AS9603" s="19"/>
      <c r="AT9603" s="19"/>
      <c r="AU9603" s="19"/>
    </row>
    <row r="9604" spans="3:47">
      <c r="C9604" s="20"/>
      <c r="Z9604" s="20"/>
      <c r="AG9604" s="20"/>
      <c r="AQ9604" s="19"/>
      <c r="AR9604" s="19"/>
      <c r="AS9604" s="19"/>
      <c r="AT9604" s="19"/>
      <c r="AU9604" s="19"/>
    </row>
    <row r="9605" spans="3:47">
      <c r="C9605" s="20"/>
      <c r="Z9605" s="20"/>
      <c r="AG9605" s="20"/>
      <c r="AQ9605" s="19"/>
      <c r="AR9605" s="19"/>
      <c r="AS9605" s="19"/>
      <c r="AT9605" s="19"/>
      <c r="AU9605" s="19"/>
    </row>
    <row r="9606" spans="3:47">
      <c r="C9606" s="20"/>
      <c r="Z9606" s="20"/>
      <c r="AG9606" s="20"/>
      <c r="AQ9606" s="19"/>
      <c r="AR9606" s="19"/>
      <c r="AS9606" s="19"/>
      <c r="AT9606" s="19"/>
      <c r="AU9606" s="19"/>
    </row>
    <row r="9607" spans="3:47">
      <c r="C9607" s="20"/>
      <c r="Z9607" s="20"/>
      <c r="AG9607" s="20"/>
      <c r="AQ9607" s="19"/>
      <c r="AR9607" s="19"/>
      <c r="AS9607" s="19"/>
      <c r="AT9607" s="19"/>
      <c r="AU9607" s="19"/>
    </row>
    <row r="9608" spans="3:47">
      <c r="C9608" s="20"/>
      <c r="Z9608" s="20"/>
      <c r="AG9608" s="20"/>
      <c r="AQ9608" s="19"/>
      <c r="AR9608" s="19"/>
      <c r="AS9608" s="19"/>
      <c r="AT9608" s="19"/>
      <c r="AU9608" s="19"/>
    </row>
    <row r="9609" spans="3:47">
      <c r="C9609" s="20"/>
      <c r="Z9609" s="20"/>
      <c r="AG9609" s="20"/>
      <c r="AQ9609" s="19"/>
      <c r="AR9609" s="19"/>
      <c r="AS9609" s="19"/>
      <c r="AT9609" s="19"/>
      <c r="AU9609" s="19"/>
    </row>
    <row r="9610" spans="3:47">
      <c r="C9610" s="20"/>
      <c r="Z9610" s="20"/>
      <c r="AG9610" s="20"/>
      <c r="AQ9610" s="19"/>
      <c r="AR9610" s="19"/>
      <c r="AS9610" s="19"/>
      <c r="AT9610" s="19"/>
      <c r="AU9610" s="19"/>
    </row>
    <row r="9611" spans="3:47">
      <c r="C9611" s="20"/>
      <c r="Z9611" s="20"/>
      <c r="AG9611" s="20"/>
      <c r="AQ9611" s="19"/>
      <c r="AR9611" s="19"/>
      <c r="AS9611" s="19"/>
      <c r="AT9611" s="19"/>
      <c r="AU9611" s="19"/>
    </row>
    <row r="9612" spans="3:47">
      <c r="C9612" s="20"/>
      <c r="Z9612" s="20"/>
      <c r="AG9612" s="20"/>
      <c r="AQ9612" s="19"/>
      <c r="AR9612" s="19"/>
      <c r="AS9612" s="19"/>
      <c r="AT9612" s="19"/>
      <c r="AU9612" s="19"/>
    </row>
    <row r="9613" spans="3:47">
      <c r="C9613" s="20"/>
      <c r="Z9613" s="20"/>
      <c r="AG9613" s="20"/>
      <c r="AQ9613" s="19"/>
      <c r="AR9613" s="19"/>
      <c r="AS9613" s="19"/>
      <c r="AT9613" s="19"/>
      <c r="AU9613" s="19"/>
    </row>
    <row r="9614" spans="3:47">
      <c r="C9614" s="20"/>
      <c r="Z9614" s="20"/>
      <c r="AG9614" s="20"/>
      <c r="AQ9614" s="19"/>
      <c r="AR9614" s="19"/>
      <c r="AS9614" s="19"/>
      <c r="AT9614" s="19"/>
      <c r="AU9614" s="19"/>
    </row>
    <row r="9615" spans="3:47">
      <c r="C9615" s="20"/>
      <c r="Z9615" s="20"/>
      <c r="AG9615" s="20"/>
      <c r="AQ9615" s="19"/>
      <c r="AR9615" s="19"/>
      <c r="AS9615" s="19"/>
      <c r="AT9615" s="19"/>
      <c r="AU9615" s="19"/>
    </row>
    <row r="9616" spans="3:47">
      <c r="C9616" s="20"/>
      <c r="Z9616" s="20"/>
      <c r="AG9616" s="20"/>
      <c r="AQ9616" s="19"/>
      <c r="AR9616" s="19"/>
      <c r="AS9616" s="19"/>
      <c r="AT9616" s="19"/>
      <c r="AU9616" s="19"/>
    </row>
    <row r="9617" spans="3:47">
      <c r="C9617" s="20"/>
      <c r="Z9617" s="20"/>
      <c r="AG9617" s="20"/>
      <c r="AQ9617" s="19"/>
      <c r="AR9617" s="19"/>
      <c r="AS9617" s="19"/>
      <c r="AT9617" s="19"/>
      <c r="AU9617" s="19"/>
    </row>
    <row r="9618" spans="3:47">
      <c r="C9618" s="20"/>
      <c r="Z9618" s="20"/>
      <c r="AG9618" s="20"/>
      <c r="AQ9618" s="19"/>
      <c r="AR9618" s="19"/>
      <c r="AS9618" s="19"/>
      <c r="AT9618" s="19"/>
      <c r="AU9618" s="19"/>
    </row>
    <row r="9619" spans="3:47">
      <c r="C9619" s="20"/>
      <c r="Z9619" s="20"/>
      <c r="AG9619" s="20"/>
      <c r="AQ9619" s="19"/>
      <c r="AR9619" s="19"/>
      <c r="AS9619" s="19"/>
      <c r="AT9619" s="19"/>
      <c r="AU9619" s="19"/>
    </row>
    <row r="9620" spans="3:47">
      <c r="C9620" s="20"/>
      <c r="Z9620" s="20"/>
      <c r="AG9620" s="20"/>
      <c r="AQ9620" s="19"/>
      <c r="AR9620" s="19"/>
      <c r="AS9620" s="19"/>
      <c r="AT9620" s="19"/>
      <c r="AU9620" s="19"/>
    </row>
    <row r="9621" spans="3:47">
      <c r="C9621" s="20"/>
      <c r="Z9621" s="20"/>
      <c r="AG9621" s="20"/>
      <c r="AQ9621" s="19"/>
      <c r="AR9621" s="19"/>
      <c r="AS9621" s="19"/>
      <c r="AT9621" s="19"/>
      <c r="AU9621" s="19"/>
    </row>
    <row r="9622" spans="3:47">
      <c r="C9622" s="20"/>
      <c r="Z9622" s="20"/>
      <c r="AG9622" s="20"/>
      <c r="AQ9622" s="19"/>
      <c r="AR9622" s="19"/>
      <c r="AS9622" s="19"/>
      <c r="AT9622" s="19"/>
      <c r="AU9622" s="19"/>
    </row>
    <row r="9623" spans="3:47">
      <c r="C9623" s="20"/>
      <c r="Z9623" s="20"/>
      <c r="AG9623" s="20"/>
      <c r="AQ9623" s="19"/>
      <c r="AR9623" s="19"/>
      <c r="AS9623" s="19"/>
      <c r="AT9623" s="19"/>
      <c r="AU9623" s="19"/>
    </row>
    <row r="9624" spans="3:47">
      <c r="C9624" s="20"/>
      <c r="Z9624" s="20"/>
      <c r="AG9624" s="20"/>
      <c r="AQ9624" s="19"/>
      <c r="AR9624" s="19"/>
      <c r="AS9624" s="19"/>
      <c r="AT9624" s="19"/>
      <c r="AU9624" s="19"/>
    </row>
    <row r="9625" spans="3:47">
      <c r="C9625" s="20"/>
      <c r="Z9625" s="20"/>
      <c r="AG9625" s="20"/>
      <c r="AQ9625" s="19"/>
      <c r="AR9625" s="19"/>
      <c r="AS9625" s="19"/>
      <c r="AT9625" s="19"/>
      <c r="AU9625" s="19"/>
    </row>
    <row r="9626" spans="3:47">
      <c r="C9626" s="20"/>
      <c r="Z9626" s="20"/>
      <c r="AG9626" s="20"/>
      <c r="AQ9626" s="19"/>
      <c r="AR9626" s="19"/>
      <c r="AS9626" s="19"/>
      <c r="AT9626" s="19"/>
      <c r="AU9626" s="19"/>
    </row>
    <row r="9627" spans="3:47">
      <c r="C9627" s="20"/>
      <c r="Z9627" s="20"/>
      <c r="AG9627" s="20"/>
      <c r="AQ9627" s="19"/>
      <c r="AR9627" s="19"/>
      <c r="AS9627" s="19"/>
      <c r="AT9627" s="19"/>
      <c r="AU9627" s="19"/>
    </row>
    <row r="9628" spans="3:47">
      <c r="C9628" s="20"/>
      <c r="Z9628" s="20"/>
      <c r="AG9628" s="20"/>
      <c r="AQ9628" s="19"/>
      <c r="AR9628" s="19"/>
      <c r="AS9628" s="19"/>
      <c r="AT9628" s="19"/>
      <c r="AU9628" s="19"/>
    </row>
    <row r="9629" spans="3:47">
      <c r="C9629" s="20"/>
      <c r="Z9629" s="20"/>
      <c r="AG9629" s="20"/>
      <c r="AQ9629" s="19"/>
      <c r="AR9629" s="19"/>
      <c r="AS9629" s="19"/>
      <c r="AT9629" s="19"/>
      <c r="AU9629" s="19"/>
    </row>
    <row r="9630" spans="3:47">
      <c r="C9630" s="20"/>
      <c r="Z9630" s="20"/>
      <c r="AG9630" s="20"/>
      <c r="AQ9630" s="19"/>
      <c r="AR9630" s="19"/>
      <c r="AS9630" s="19"/>
      <c r="AT9630" s="19"/>
      <c r="AU9630" s="19"/>
    </row>
    <row r="9631" spans="3:47">
      <c r="C9631" s="20"/>
      <c r="Z9631" s="20"/>
      <c r="AG9631" s="20"/>
      <c r="AQ9631" s="19"/>
      <c r="AR9631" s="19"/>
      <c r="AS9631" s="19"/>
      <c r="AT9631" s="19"/>
      <c r="AU9631" s="19"/>
    </row>
    <row r="9632" spans="3:47">
      <c r="C9632" s="20"/>
      <c r="Z9632" s="20"/>
      <c r="AG9632" s="20"/>
      <c r="AQ9632" s="19"/>
      <c r="AR9632" s="19"/>
      <c r="AS9632" s="19"/>
      <c r="AT9632" s="19"/>
      <c r="AU9632" s="19"/>
    </row>
    <row r="9633" spans="3:47">
      <c r="C9633" s="20"/>
      <c r="Z9633" s="20"/>
      <c r="AG9633" s="20"/>
      <c r="AQ9633" s="19"/>
      <c r="AR9633" s="19"/>
      <c r="AS9633" s="19"/>
      <c r="AT9633" s="19"/>
      <c r="AU9633" s="19"/>
    </row>
    <row r="9634" spans="3:47">
      <c r="C9634" s="20"/>
      <c r="Z9634" s="20"/>
      <c r="AG9634" s="20"/>
      <c r="AQ9634" s="19"/>
      <c r="AR9634" s="19"/>
      <c r="AS9634" s="19"/>
      <c r="AT9634" s="19"/>
      <c r="AU9634" s="19"/>
    </row>
    <row r="9635" spans="3:47">
      <c r="C9635" s="20"/>
      <c r="Z9635" s="20"/>
      <c r="AG9635" s="20"/>
      <c r="AQ9635" s="19"/>
      <c r="AR9635" s="19"/>
      <c r="AS9635" s="19"/>
      <c r="AT9635" s="19"/>
      <c r="AU9635" s="19"/>
    </row>
    <row r="9636" spans="3:47">
      <c r="C9636" s="20"/>
      <c r="Z9636" s="20"/>
      <c r="AG9636" s="20"/>
      <c r="AQ9636" s="19"/>
      <c r="AR9636" s="19"/>
      <c r="AS9636" s="19"/>
      <c r="AT9636" s="19"/>
      <c r="AU9636" s="19"/>
    </row>
    <row r="9637" spans="3:47">
      <c r="C9637" s="20"/>
      <c r="Z9637" s="20"/>
      <c r="AG9637" s="20"/>
      <c r="AQ9637" s="19"/>
      <c r="AR9637" s="19"/>
      <c r="AS9637" s="19"/>
      <c r="AT9637" s="19"/>
      <c r="AU9637" s="19"/>
    </row>
    <row r="9638" spans="3:47">
      <c r="C9638" s="20"/>
      <c r="Z9638" s="20"/>
      <c r="AG9638" s="20"/>
      <c r="AQ9638" s="19"/>
      <c r="AR9638" s="19"/>
      <c r="AS9638" s="19"/>
      <c r="AT9638" s="19"/>
      <c r="AU9638" s="19"/>
    </row>
    <row r="9639" spans="3:47">
      <c r="C9639" s="20"/>
      <c r="Z9639" s="20"/>
      <c r="AG9639" s="20"/>
      <c r="AQ9639" s="19"/>
      <c r="AR9639" s="19"/>
      <c r="AS9639" s="19"/>
      <c r="AT9639" s="19"/>
      <c r="AU9639" s="19"/>
    </row>
    <row r="9640" spans="3:47">
      <c r="C9640" s="20"/>
      <c r="Z9640" s="20"/>
      <c r="AG9640" s="20"/>
      <c r="AQ9640" s="19"/>
      <c r="AR9640" s="19"/>
      <c r="AS9640" s="19"/>
      <c r="AT9640" s="19"/>
      <c r="AU9640" s="19"/>
    </row>
    <row r="9641" spans="3:47">
      <c r="C9641" s="20"/>
      <c r="Z9641" s="20"/>
      <c r="AG9641" s="20"/>
      <c r="AQ9641" s="19"/>
      <c r="AR9641" s="19"/>
      <c r="AS9641" s="19"/>
      <c r="AT9641" s="19"/>
      <c r="AU9641" s="19"/>
    </row>
    <row r="9642" spans="3:47">
      <c r="C9642" s="20"/>
      <c r="Z9642" s="20"/>
      <c r="AG9642" s="20"/>
      <c r="AQ9642" s="19"/>
      <c r="AR9642" s="19"/>
      <c r="AS9642" s="19"/>
      <c r="AT9642" s="19"/>
      <c r="AU9642" s="19"/>
    </row>
    <row r="9643" spans="3:47">
      <c r="C9643" s="20"/>
      <c r="Z9643" s="20"/>
      <c r="AG9643" s="20"/>
      <c r="AQ9643" s="19"/>
      <c r="AR9643" s="19"/>
      <c r="AS9643" s="19"/>
      <c r="AT9643" s="19"/>
      <c r="AU9643" s="19"/>
    </row>
    <row r="9644" spans="3:47">
      <c r="C9644" s="20"/>
      <c r="Z9644" s="20"/>
      <c r="AG9644" s="20"/>
      <c r="AQ9644" s="19"/>
      <c r="AR9644" s="19"/>
      <c r="AS9644" s="19"/>
      <c r="AT9644" s="19"/>
      <c r="AU9644" s="19"/>
    </row>
    <row r="9645" spans="3:47">
      <c r="C9645" s="20"/>
      <c r="Z9645" s="20"/>
      <c r="AG9645" s="20"/>
      <c r="AQ9645" s="19"/>
      <c r="AR9645" s="19"/>
      <c r="AS9645" s="19"/>
      <c r="AT9645" s="19"/>
      <c r="AU9645" s="19"/>
    </row>
    <row r="9646" spans="3:47">
      <c r="C9646" s="20"/>
      <c r="Z9646" s="20"/>
      <c r="AG9646" s="20"/>
      <c r="AQ9646" s="19"/>
      <c r="AR9646" s="19"/>
      <c r="AS9646" s="19"/>
      <c r="AT9646" s="19"/>
      <c r="AU9646" s="19"/>
    </row>
    <row r="9647" spans="3:47">
      <c r="C9647" s="20"/>
      <c r="Z9647" s="20"/>
      <c r="AG9647" s="20"/>
      <c r="AQ9647" s="19"/>
      <c r="AR9647" s="19"/>
      <c r="AS9647" s="19"/>
      <c r="AT9647" s="19"/>
      <c r="AU9647" s="19"/>
    </row>
    <row r="9648" spans="3:47">
      <c r="C9648" s="20"/>
      <c r="Z9648" s="20"/>
      <c r="AG9648" s="20"/>
      <c r="AQ9648" s="19"/>
      <c r="AR9648" s="19"/>
      <c r="AS9648" s="19"/>
      <c r="AT9648" s="19"/>
      <c r="AU9648" s="19"/>
    </row>
    <row r="9649" spans="3:47">
      <c r="C9649" s="20"/>
      <c r="Z9649" s="20"/>
      <c r="AG9649" s="20"/>
      <c r="AQ9649" s="19"/>
      <c r="AR9649" s="19"/>
      <c r="AS9649" s="19"/>
      <c r="AT9649" s="19"/>
      <c r="AU9649" s="19"/>
    </row>
    <row r="9650" spans="3:47">
      <c r="C9650" s="20"/>
      <c r="Z9650" s="20"/>
      <c r="AG9650" s="20"/>
      <c r="AQ9650" s="19"/>
      <c r="AR9650" s="19"/>
      <c r="AS9650" s="19"/>
      <c r="AT9650" s="19"/>
      <c r="AU9650" s="19"/>
    </row>
    <row r="9651" spans="3:47">
      <c r="C9651" s="20"/>
      <c r="Z9651" s="20"/>
      <c r="AG9651" s="20"/>
      <c r="AQ9651" s="19"/>
      <c r="AR9651" s="19"/>
      <c r="AS9651" s="19"/>
      <c r="AT9651" s="19"/>
      <c r="AU9651" s="19"/>
    </row>
    <row r="9652" spans="3:47">
      <c r="C9652" s="20"/>
      <c r="Z9652" s="20"/>
      <c r="AG9652" s="20"/>
      <c r="AQ9652" s="19"/>
      <c r="AR9652" s="19"/>
      <c r="AS9652" s="19"/>
      <c r="AT9652" s="19"/>
      <c r="AU9652" s="19"/>
    </row>
    <row r="9653" spans="3:47">
      <c r="C9653" s="20"/>
      <c r="Z9653" s="20"/>
      <c r="AG9653" s="20"/>
      <c r="AQ9653" s="19"/>
      <c r="AR9653" s="19"/>
      <c r="AS9653" s="19"/>
      <c r="AT9653" s="19"/>
      <c r="AU9653" s="19"/>
    </row>
    <row r="9654" spans="3:47">
      <c r="C9654" s="20"/>
      <c r="Z9654" s="20"/>
      <c r="AG9654" s="20"/>
      <c r="AQ9654" s="19"/>
      <c r="AR9654" s="19"/>
      <c r="AS9654" s="19"/>
      <c r="AT9654" s="19"/>
      <c r="AU9654" s="19"/>
    </row>
    <row r="9655" spans="3:47">
      <c r="C9655" s="20"/>
      <c r="Z9655" s="20"/>
      <c r="AG9655" s="20"/>
      <c r="AQ9655" s="19"/>
      <c r="AR9655" s="19"/>
      <c r="AS9655" s="19"/>
      <c r="AT9655" s="19"/>
      <c r="AU9655" s="19"/>
    </row>
    <row r="9656" spans="3:47">
      <c r="C9656" s="20"/>
      <c r="Z9656" s="20"/>
      <c r="AG9656" s="20"/>
      <c r="AQ9656" s="19"/>
      <c r="AR9656" s="19"/>
      <c r="AS9656" s="19"/>
      <c r="AT9656" s="19"/>
      <c r="AU9656" s="19"/>
    </row>
    <row r="9657" spans="3:47">
      <c r="C9657" s="20"/>
      <c r="Z9657" s="20"/>
      <c r="AG9657" s="20"/>
      <c r="AQ9657" s="19"/>
      <c r="AR9657" s="19"/>
      <c r="AS9657" s="19"/>
      <c r="AT9657" s="19"/>
      <c r="AU9657" s="19"/>
    </row>
    <row r="9658" spans="3:47">
      <c r="C9658" s="20"/>
      <c r="Z9658" s="20"/>
      <c r="AG9658" s="20"/>
      <c r="AQ9658" s="19"/>
      <c r="AR9658" s="19"/>
      <c r="AS9658" s="19"/>
      <c r="AT9658" s="19"/>
      <c r="AU9658" s="19"/>
    </row>
    <row r="9659" spans="3:47">
      <c r="C9659" s="20"/>
      <c r="Z9659" s="20"/>
      <c r="AG9659" s="20"/>
      <c r="AQ9659" s="19"/>
      <c r="AR9659" s="19"/>
      <c r="AS9659" s="19"/>
      <c r="AT9659" s="19"/>
      <c r="AU9659" s="19"/>
    </row>
    <row r="9660" spans="3:47">
      <c r="C9660" s="20"/>
      <c r="Z9660" s="20"/>
      <c r="AG9660" s="20"/>
      <c r="AQ9660" s="19"/>
      <c r="AR9660" s="19"/>
      <c r="AS9660" s="19"/>
      <c r="AT9660" s="19"/>
      <c r="AU9660" s="19"/>
    </row>
    <row r="9661" spans="3:47">
      <c r="C9661" s="20"/>
      <c r="Z9661" s="20"/>
      <c r="AG9661" s="20"/>
      <c r="AQ9661" s="19"/>
      <c r="AR9661" s="19"/>
      <c r="AS9661" s="19"/>
      <c r="AT9661" s="19"/>
      <c r="AU9661" s="19"/>
    </row>
    <row r="9662" spans="3:47">
      <c r="C9662" s="20"/>
      <c r="Z9662" s="20"/>
      <c r="AG9662" s="20"/>
      <c r="AQ9662" s="19"/>
      <c r="AR9662" s="19"/>
      <c r="AS9662" s="19"/>
      <c r="AT9662" s="19"/>
      <c r="AU9662" s="19"/>
    </row>
    <row r="9663" spans="3:47">
      <c r="C9663" s="20"/>
      <c r="Z9663" s="20"/>
      <c r="AG9663" s="20"/>
      <c r="AQ9663" s="19"/>
      <c r="AR9663" s="19"/>
      <c r="AS9663" s="19"/>
      <c r="AT9663" s="19"/>
      <c r="AU9663" s="19"/>
    </row>
    <row r="9664" spans="3:47">
      <c r="C9664" s="20"/>
      <c r="Z9664" s="20"/>
      <c r="AG9664" s="20"/>
      <c r="AQ9664" s="19"/>
      <c r="AR9664" s="19"/>
      <c r="AS9664" s="19"/>
      <c r="AT9664" s="19"/>
      <c r="AU9664" s="19"/>
    </row>
    <row r="9665" spans="3:47">
      <c r="C9665" s="20"/>
      <c r="Z9665" s="20"/>
      <c r="AG9665" s="20"/>
      <c r="AQ9665" s="19"/>
      <c r="AR9665" s="19"/>
      <c r="AS9665" s="19"/>
      <c r="AT9665" s="19"/>
      <c r="AU9665" s="19"/>
    </row>
    <row r="9666" spans="3:47">
      <c r="C9666" s="20"/>
      <c r="Z9666" s="20"/>
      <c r="AG9666" s="20"/>
      <c r="AQ9666" s="19"/>
      <c r="AR9666" s="19"/>
      <c r="AS9666" s="19"/>
      <c r="AT9666" s="19"/>
      <c r="AU9666" s="19"/>
    </row>
    <row r="9667" spans="3:47">
      <c r="C9667" s="20"/>
      <c r="Z9667" s="20"/>
      <c r="AG9667" s="20"/>
      <c r="AQ9667" s="19"/>
      <c r="AR9667" s="19"/>
      <c r="AS9667" s="19"/>
      <c r="AT9667" s="19"/>
      <c r="AU9667" s="19"/>
    </row>
    <row r="9668" spans="3:47">
      <c r="C9668" s="20"/>
      <c r="Z9668" s="20"/>
      <c r="AG9668" s="20"/>
      <c r="AQ9668" s="19"/>
      <c r="AR9668" s="19"/>
      <c r="AS9668" s="19"/>
      <c r="AT9668" s="19"/>
      <c r="AU9668" s="19"/>
    </row>
    <row r="9669" spans="3:47">
      <c r="C9669" s="20"/>
      <c r="Z9669" s="20"/>
      <c r="AG9669" s="20"/>
      <c r="AQ9669" s="19"/>
      <c r="AR9669" s="19"/>
      <c r="AS9669" s="19"/>
      <c r="AT9669" s="19"/>
      <c r="AU9669" s="19"/>
    </row>
    <row r="9670" spans="3:47">
      <c r="C9670" s="20"/>
      <c r="Z9670" s="20"/>
      <c r="AG9670" s="20"/>
      <c r="AQ9670" s="19"/>
      <c r="AR9670" s="19"/>
      <c r="AS9670" s="19"/>
      <c r="AT9670" s="19"/>
      <c r="AU9670" s="19"/>
    </row>
    <row r="9671" spans="3:47">
      <c r="C9671" s="20"/>
      <c r="Z9671" s="20"/>
      <c r="AG9671" s="20"/>
      <c r="AQ9671" s="19"/>
      <c r="AR9671" s="19"/>
      <c r="AS9671" s="19"/>
      <c r="AT9671" s="19"/>
      <c r="AU9671" s="19"/>
    </row>
    <row r="9672" spans="3:47">
      <c r="C9672" s="20"/>
      <c r="Z9672" s="20"/>
      <c r="AG9672" s="20"/>
      <c r="AQ9672" s="19"/>
      <c r="AR9672" s="19"/>
      <c r="AS9672" s="19"/>
      <c r="AT9672" s="19"/>
      <c r="AU9672" s="19"/>
    </row>
    <row r="9673" spans="3:47">
      <c r="C9673" s="20"/>
      <c r="Z9673" s="20"/>
      <c r="AG9673" s="20"/>
      <c r="AQ9673" s="19"/>
      <c r="AR9673" s="19"/>
      <c r="AS9673" s="19"/>
      <c r="AT9673" s="19"/>
      <c r="AU9673" s="19"/>
    </row>
    <row r="9674" spans="3:47">
      <c r="C9674" s="20"/>
      <c r="Z9674" s="20"/>
      <c r="AG9674" s="20"/>
      <c r="AQ9674" s="19"/>
      <c r="AR9674" s="19"/>
      <c r="AS9674" s="19"/>
      <c r="AT9674" s="19"/>
      <c r="AU9674" s="19"/>
    </row>
    <row r="9675" spans="3:47">
      <c r="C9675" s="20"/>
      <c r="Z9675" s="20"/>
      <c r="AG9675" s="20"/>
      <c r="AQ9675" s="19"/>
      <c r="AR9675" s="19"/>
      <c r="AS9675" s="19"/>
      <c r="AT9675" s="19"/>
      <c r="AU9675" s="19"/>
    </row>
    <row r="9676" spans="3:47">
      <c r="C9676" s="20"/>
      <c r="Z9676" s="20"/>
      <c r="AG9676" s="20"/>
      <c r="AQ9676" s="19"/>
      <c r="AR9676" s="19"/>
      <c r="AS9676" s="19"/>
      <c r="AT9676" s="19"/>
      <c r="AU9676" s="19"/>
    </row>
    <row r="9677" spans="3:47">
      <c r="C9677" s="20"/>
      <c r="Z9677" s="20"/>
      <c r="AG9677" s="20"/>
      <c r="AQ9677" s="19"/>
      <c r="AR9677" s="19"/>
      <c r="AS9677" s="19"/>
      <c r="AT9677" s="19"/>
      <c r="AU9677" s="19"/>
    </row>
    <row r="9678" spans="3:47">
      <c r="C9678" s="20"/>
      <c r="Z9678" s="20"/>
      <c r="AG9678" s="20"/>
      <c r="AQ9678" s="19"/>
      <c r="AR9678" s="19"/>
      <c r="AS9678" s="19"/>
      <c r="AT9678" s="19"/>
      <c r="AU9678" s="19"/>
    </row>
    <row r="9679" spans="3:47">
      <c r="C9679" s="20"/>
      <c r="Z9679" s="20"/>
      <c r="AG9679" s="20"/>
      <c r="AQ9679" s="19"/>
      <c r="AR9679" s="19"/>
      <c r="AS9679" s="19"/>
      <c r="AT9679" s="19"/>
      <c r="AU9679" s="19"/>
    </row>
    <row r="9680" spans="3:47">
      <c r="C9680" s="20"/>
      <c r="Z9680" s="20"/>
      <c r="AG9680" s="20"/>
      <c r="AQ9680" s="19"/>
      <c r="AR9680" s="19"/>
      <c r="AS9680" s="19"/>
      <c r="AT9680" s="19"/>
      <c r="AU9680" s="19"/>
    </row>
    <row r="9681" spans="3:47">
      <c r="C9681" s="20"/>
      <c r="Z9681" s="20"/>
      <c r="AG9681" s="20"/>
      <c r="AQ9681" s="19"/>
      <c r="AR9681" s="19"/>
      <c r="AS9681" s="19"/>
      <c r="AT9681" s="19"/>
      <c r="AU9681" s="19"/>
    </row>
    <row r="9682" spans="3:47">
      <c r="C9682" s="20"/>
      <c r="Z9682" s="20"/>
      <c r="AG9682" s="20"/>
      <c r="AQ9682" s="19"/>
      <c r="AR9682" s="19"/>
      <c r="AS9682" s="19"/>
      <c r="AT9682" s="19"/>
      <c r="AU9682" s="19"/>
    </row>
    <row r="9683" spans="3:47">
      <c r="C9683" s="20"/>
      <c r="Z9683" s="20"/>
      <c r="AG9683" s="20"/>
      <c r="AQ9683" s="19"/>
      <c r="AR9683" s="19"/>
      <c r="AS9683" s="19"/>
      <c r="AT9683" s="19"/>
      <c r="AU9683" s="19"/>
    </row>
    <row r="9684" spans="3:47">
      <c r="C9684" s="20"/>
      <c r="Z9684" s="20"/>
      <c r="AG9684" s="20"/>
      <c r="AQ9684" s="19"/>
      <c r="AR9684" s="19"/>
      <c r="AS9684" s="19"/>
      <c r="AT9684" s="19"/>
      <c r="AU9684" s="19"/>
    </row>
    <row r="9685" spans="3:47">
      <c r="C9685" s="20"/>
      <c r="Z9685" s="20"/>
      <c r="AG9685" s="20"/>
      <c r="AQ9685" s="19"/>
      <c r="AR9685" s="19"/>
      <c r="AS9685" s="19"/>
      <c r="AT9685" s="19"/>
      <c r="AU9685" s="19"/>
    </row>
    <row r="9686" spans="3:47">
      <c r="C9686" s="20"/>
      <c r="Z9686" s="20"/>
      <c r="AG9686" s="20"/>
      <c r="AQ9686" s="19"/>
      <c r="AR9686" s="19"/>
      <c r="AS9686" s="19"/>
      <c r="AT9686" s="19"/>
      <c r="AU9686" s="19"/>
    </row>
    <row r="9687" spans="3:47">
      <c r="C9687" s="20"/>
      <c r="Z9687" s="20"/>
      <c r="AG9687" s="20"/>
      <c r="AQ9687" s="19"/>
      <c r="AR9687" s="19"/>
      <c r="AS9687" s="19"/>
      <c r="AT9687" s="19"/>
      <c r="AU9687" s="19"/>
    </row>
    <row r="9688" spans="3:47">
      <c r="C9688" s="20"/>
      <c r="Z9688" s="20"/>
      <c r="AG9688" s="20"/>
      <c r="AQ9688" s="19"/>
      <c r="AR9688" s="19"/>
      <c r="AS9688" s="19"/>
      <c r="AT9688" s="19"/>
      <c r="AU9688" s="19"/>
    </row>
    <row r="9689" spans="3:47">
      <c r="C9689" s="20"/>
      <c r="Z9689" s="20"/>
      <c r="AG9689" s="20"/>
      <c r="AQ9689" s="19"/>
      <c r="AR9689" s="19"/>
      <c r="AS9689" s="19"/>
      <c r="AT9689" s="19"/>
      <c r="AU9689" s="19"/>
    </row>
    <row r="9690" spans="3:47">
      <c r="C9690" s="20"/>
      <c r="Z9690" s="20"/>
      <c r="AG9690" s="20"/>
      <c r="AQ9690" s="19"/>
      <c r="AR9690" s="19"/>
      <c r="AS9690" s="19"/>
      <c r="AT9690" s="19"/>
      <c r="AU9690" s="19"/>
    </row>
    <row r="9691" spans="3:47">
      <c r="C9691" s="20"/>
      <c r="Z9691" s="20"/>
      <c r="AG9691" s="20"/>
      <c r="AQ9691" s="19"/>
      <c r="AR9691" s="19"/>
      <c r="AS9691" s="19"/>
      <c r="AT9691" s="19"/>
      <c r="AU9691" s="19"/>
    </row>
    <row r="9692" spans="3:47">
      <c r="C9692" s="20"/>
      <c r="Z9692" s="20"/>
      <c r="AG9692" s="20"/>
      <c r="AQ9692" s="19"/>
      <c r="AR9692" s="19"/>
      <c r="AS9692" s="19"/>
      <c r="AT9692" s="19"/>
      <c r="AU9692" s="19"/>
    </row>
    <row r="9693" spans="3:47">
      <c r="C9693" s="20"/>
      <c r="Z9693" s="20"/>
      <c r="AG9693" s="20"/>
      <c r="AQ9693" s="19"/>
      <c r="AR9693" s="19"/>
      <c r="AS9693" s="19"/>
      <c r="AT9693" s="19"/>
      <c r="AU9693" s="19"/>
    </row>
    <row r="9694" spans="3:47">
      <c r="C9694" s="20"/>
      <c r="Z9694" s="20"/>
      <c r="AG9694" s="20"/>
      <c r="AQ9694" s="19"/>
      <c r="AR9694" s="19"/>
      <c r="AS9694" s="19"/>
      <c r="AT9694" s="19"/>
      <c r="AU9694" s="19"/>
    </row>
    <row r="9695" spans="3:47">
      <c r="C9695" s="20"/>
      <c r="Z9695" s="20"/>
      <c r="AG9695" s="20"/>
      <c r="AQ9695" s="19"/>
      <c r="AR9695" s="19"/>
      <c r="AS9695" s="19"/>
      <c r="AT9695" s="19"/>
      <c r="AU9695" s="19"/>
    </row>
    <row r="9696" spans="3:47">
      <c r="C9696" s="20"/>
      <c r="Z9696" s="20"/>
      <c r="AG9696" s="20"/>
      <c r="AQ9696" s="19"/>
      <c r="AR9696" s="19"/>
      <c r="AS9696" s="19"/>
      <c r="AT9696" s="19"/>
      <c r="AU9696" s="19"/>
    </row>
    <row r="9697" spans="3:47">
      <c r="C9697" s="20"/>
      <c r="Z9697" s="20"/>
      <c r="AG9697" s="20"/>
      <c r="AQ9697" s="19"/>
      <c r="AR9697" s="19"/>
      <c r="AS9697" s="19"/>
      <c r="AT9697" s="19"/>
      <c r="AU9697" s="19"/>
    </row>
    <row r="9698" spans="3:47">
      <c r="C9698" s="20"/>
      <c r="Z9698" s="20"/>
      <c r="AG9698" s="20"/>
      <c r="AQ9698" s="19"/>
      <c r="AR9698" s="19"/>
      <c r="AS9698" s="19"/>
      <c r="AT9698" s="19"/>
      <c r="AU9698" s="19"/>
    </row>
    <row r="9699" spans="3:47">
      <c r="C9699" s="20"/>
      <c r="Z9699" s="20"/>
      <c r="AG9699" s="20"/>
      <c r="AQ9699" s="19"/>
      <c r="AR9699" s="19"/>
      <c r="AS9699" s="19"/>
      <c r="AT9699" s="19"/>
      <c r="AU9699" s="19"/>
    </row>
    <row r="9700" spans="3:47">
      <c r="C9700" s="20"/>
      <c r="Z9700" s="20"/>
      <c r="AG9700" s="20"/>
      <c r="AQ9700" s="19"/>
      <c r="AR9700" s="19"/>
      <c r="AS9700" s="19"/>
      <c r="AT9700" s="19"/>
      <c r="AU9700" s="19"/>
    </row>
    <row r="9701" spans="3:47">
      <c r="C9701" s="20"/>
      <c r="Z9701" s="20"/>
      <c r="AG9701" s="20"/>
      <c r="AQ9701" s="19"/>
      <c r="AR9701" s="19"/>
      <c r="AS9701" s="19"/>
      <c r="AT9701" s="19"/>
      <c r="AU9701" s="19"/>
    </row>
    <row r="9702" spans="3:47">
      <c r="C9702" s="20"/>
      <c r="Z9702" s="20"/>
      <c r="AG9702" s="20"/>
      <c r="AQ9702" s="19"/>
      <c r="AR9702" s="19"/>
      <c r="AS9702" s="19"/>
      <c r="AT9702" s="19"/>
      <c r="AU9702" s="19"/>
    </row>
    <row r="9703" spans="3:47">
      <c r="C9703" s="20"/>
      <c r="Z9703" s="20"/>
      <c r="AG9703" s="20"/>
      <c r="AQ9703" s="19"/>
      <c r="AR9703" s="19"/>
      <c r="AS9703" s="19"/>
      <c r="AT9703" s="19"/>
      <c r="AU9703" s="19"/>
    </row>
    <row r="9704" spans="3:47">
      <c r="C9704" s="20"/>
      <c r="Z9704" s="20"/>
      <c r="AG9704" s="20"/>
      <c r="AQ9704" s="19"/>
      <c r="AR9704" s="19"/>
      <c r="AS9704" s="19"/>
      <c r="AT9704" s="19"/>
      <c r="AU9704" s="19"/>
    </row>
    <row r="9705" spans="3:47">
      <c r="C9705" s="20"/>
      <c r="Z9705" s="20"/>
      <c r="AG9705" s="20"/>
      <c r="AQ9705" s="19"/>
      <c r="AR9705" s="19"/>
      <c r="AS9705" s="19"/>
      <c r="AT9705" s="19"/>
      <c r="AU9705" s="19"/>
    </row>
    <row r="9706" spans="3:47">
      <c r="C9706" s="20"/>
      <c r="Z9706" s="20"/>
      <c r="AG9706" s="20"/>
      <c r="AQ9706" s="19"/>
      <c r="AR9706" s="19"/>
      <c r="AS9706" s="19"/>
      <c r="AT9706" s="19"/>
      <c r="AU9706" s="19"/>
    </row>
    <row r="9707" spans="3:47">
      <c r="C9707" s="20"/>
      <c r="Z9707" s="20"/>
      <c r="AG9707" s="20"/>
      <c r="AQ9707" s="19"/>
      <c r="AR9707" s="19"/>
      <c r="AS9707" s="19"/>
      <c r="AT9707" s="19"/>
      <c r="AU9707" s="19"/>
    </row>
    <row r="9708" spans="3:47">
      <c r="C9708" s="20"/>
      <c r="Z9708" s="20"/>
      <c r="AG9708" s="20"/>
      <c r="AQ9708" s="19"/>
      <c r="AR9708" s="19"/>
      <c r="AS9708" s="19"/>
      <c r="AT9708" s="19"/>
      <c r="AU9708" s="19"/>
    </row>
    <row r="9709" spans="3:47">
      <c r="C9709" s="20"/>
      <c r="Z9709" s="20"/>
      <c r="AG9709" s="20"/>
      <c r="AQ9709" s="19"/>
      <c r="AR9709" s="19"/>
      <c r="AS9709" s="19"/>
      <c r="AT9709" s="19"/>
      <c r="AU9709" s="19"/>
    </row>
    <row r="9710" spans="3:47">
      <c r="C9710" s="20"/>
      <c r="Z9710" s="20"/>
      <c r="AG9710" s="20"/>
      <c r="AQ9710" s="19"/>
      <c r="AR9710" s="19"/>
      <c r="AS9710" s="19"/>
      <c r="AT9710" s="19"/>
      <c r="AU9710" s="19"/>
    </row>
    <row r="9711" spans="3:47">
      <c r="C9711" s="20"/>
      <c r="Z9711" s="20"/>
      <c r="AG9711" s="20"/>
      <c r="AQ9711" s="19"/>
      <c r="AR9711" s="19"/>
      <c r="AS9711" s="19"/>
      <c r="AT9711" s="19"/>
      <c r="AU9711" s="19"/>
    </row>
    <row r="9712" spans="3:47">
      <c r="C9712" s="20"/>
      <c r="Z9712" s="20"/>
      <c r="AG9712" s="20"/>
      <c r="AQ9712" s="19"/>
      <c r="AR9712" s="19"/>
      <c r="AS9712" s="19"/>
      <c r="AT9712" s="19"/>
      <c r="AU9712" s="19"/>
    </row>
    <row r="9713" spans="3:47">
      <c r="C9713" s="20"/>
      <c r="Z9713" s="20"/>
      <c r="AG9713" s="20"/>
      <c r="AQ9713" s="19"/>
      <c r="AR9713" s="19"/>
      <c r="AS9713" s="19"/>
      <c r="AT9713" s="19"/>
      <c r="AU9713" s="19"/>
    </row>
    <row r="9714" spans="3:47">
      <c r="C9714" s="20"/>
      <c r="Z9714" s="20"/>
      <c r="AG9714" s="20"/>
      <c r="AQ9714" s="19"/>
      <c r="AR9714" s="19"/>
      <c r="AS9714" s="19"/>
      <c r="AT9714" s="19"/>
      <c r="AU9714" s="19"/>
    </row>
    <row r="9715" spans="3:47">
      <c r="C9715" s="20"/>
      <c r="Z9715" s="20"/>
      <c r="AG9715" s="20"/>
      <c r="AQ9715" s="19"/>
      <c r="AR9715" s="19"/>
      <c r="AS9715" s="19"/>
      <c r="AT9715" s="19"/>
      <c r="AU9715" s="19"/>
    </row>
    <row r="9716" spans="3:47">
      <c r="C9716" s="20"/>
      <c r="Z9716" s="20"/>
      <c r="AG9716" s="20"/>
      <c r="AQ9716" s="19"/>
      <c r="AR9716" s="19"/>
      <c r="AS9716" s="19"/>
      <c r="AT9716" s="19"/>
      <c r="AU9716" s="19"/>
    </row>
    <row r="9717" spans="3:47">
      <c r="C9717" s="20"/>
      <c r="Z9717" s="20"/>
      <c r="AG9717" s="20"/>
      <c r="AQ9717" s="19"/>
      <c r="AR9717" s="19"/>
      <c r="AS9717" s="19"/>
      <c r="AT9717" s="19"/>
      <c r="AU9717" s="19"/>
    </row>
    <row r="9718" spans="3:47">
      <c r="C9718" s="20"/>
      <c r="Z9718" s="20"/>
      <c r="AG9718" s="20"/>
      <c r="AQ9718" s="19"/>
      <c r="AR9718" s="19"/>
      <c r="AS9718" s="19"/>
      <c r="AT9718" s="19"/>
      <c r="AU9718" s="19"/>
    </row>
    <row r="9719" spans="3:47">
      <c r="C9719" s="20"/>
      <c r="Z9719" s="20"/>
      <c r="AG9719" s="20"/>
      <c r="AQ9719" s="19"/>
      <c r="AR9719" s="19"/>
      <c r="AS9719" s="19"/>
      <c r="AT9719" s="19"/>
      <c r="AU9719" s="19"/>
    </row>
    <row r="9720" spans="3:47">
      <c r="C9720" s="20"/>
      <c r="Z9720" s="20"/>
      <c r="AG9720" s="20"/>
      <c r="AQ9720" s="19"/>
      <c r="AR9720" s="19"/>
      <c r="AS9720" s="19"/>
      <c r="AT9720" s="19"/>
      <c r="AU9720" s="19"/>
    </row>
    <row r="9721" spans="3:47">
      <c r="C9721" s="20"/>
      <c r="Z9721" s="20"/>
      <c r="AG9721" s="20"/>
      <c r="AQ9721" s="19"/>
      <c r="AR9721" s="19"/>
      <c r="AS9721" s="19"/>
      <c r="AT9721" s="19"/>
      <c r="AU9721" s="19"/>
    </row>
    <row r="9722" spans="3:47">
      <c r="C9722" s="20"/>
      <c r="Z9722" s="20"/>
      <c r="AG9722" s="20"/>
      <c r="AQ9722" s="19"/>
      <c r="AR9722" s="19"/>
      <c r="AS9722" s="19"/>
      <c r="AT9722" s="19"/>
      <c r="AU9722" s="19"/>
    </row>
    <row r="9723" spans="3:47">
      <c r="C9723" s="20"/>
      <c r="Z9723" s="20"/>
      <c r="AG9723" s="20"/>
      <c r="AQ9723" s="19"/>
      <c r="AR9723" s="19"/>
      <c r="AS9723" s="19"/>
      <c r="AT9723" s="19"/>
      <c r="AU9723" s="19"/>
    </row>
    <row r="9724" spans="3:47">
      <c r="C9724" s="20"/>
      <c r="Z9724" s="20"/>
      <c r="AG9724" s="20"/>
      <c r="AQ9724" s="19"/>
      <c r="AR9724" s="19"/>
      <c r="AS9724" s="19"/>
      <c r="AT9724" s="19"/>
      <c r="AU9724" s="19"/>
    </row>
    <row r="9725" spans="3:47">
      <c r="C9725" s="20"/>
      <c r="Z9725" s="20"/>
      <c r="AG9725" s="20"/>
      <c r="AQ9725" s="19"/>
      <c r="AR9725" s="19"/>
      <c r="AS9725" s="19"/>
      <c r="AT9725" s="19"/>
      <c r="AU9725" s="19"/>
    </row>
    <row r="9726" spans="3:47">
      <c r="C9726" s="20"/>
      <c r="Z9726" s="20"/>
      <c r="AG9726" s="20"/>
      <c r="AQ9726" s="19"/>
      <c r="AR9726" s="19"/>
      <c r="AS9726" s="19"/>
      <c r="AT9726" s="19"/>
      <c r="AU9726" s="19"/>
    </row>
    <row r="9727" spans="3:47">
      <c r="C9727" s="20"/>
      <c r="Z9727" s="20"/>
      <c r="AG9727" s="20"/>
      <c r="AQ9727" s="19"/>
      <c r="AR9727" s="19"/>
      <c r="AS9727" s="19"/>
      <c r="AT9727" s="19"/>
      <c r="AU9727" s="19"/>
    </row>
    <row r="9728" spans="3:47">
      <c r="C9728" s="20"/>
      <c r="Z9728" s="20"/>
      <c r="AG9728" s="20"/>
      <c r="AQ9728" s="19"/>
      <c r="AR9728" s="19"/>
      <c r="AS9728" s="19"/>
      <c r="AT9728" s="19"/>
      <c r="AU9728" s="19"/>
    </row>
    <row r="9729" spans="3:47">
      <c r="C9729" s="20"/>
      <c r="Z9729" s="20"/>
      <c r="AG9729" s="20"/>
      <c r="AQ9729" s="19"/>
      <c r="AR9729" s="19"/>
      <c r="AS9729" s="19"/>
      <c r="AT9729" s="19"/>
      <c r="AU9729" s="19"/>
    </row>
    <row r="9730" spans="3:47">
      <c r="C9730" s="20"/>
      <c r="Z9730" s="20"/>
      <c r="AG9730" s="20"/>
      <c r="AQ9730" s="19"/>
      <c r="AR9730" s="19"/>
      <c r="AS9730" s="19"/>
      <c r="AT9730" s="19"/>
      <c r="AU9730" s="19"/>
    </row>
    <row r="9731" spans="3:47">
      <c r="C9731" s="20"/>
      <c r="Z9731" s="20"/>
      <c r="AG9731" s="20"/>
      <c r="AQ9731" s="19"/>
      <c r="AR9731" s="19"/>
      <c r="AS9731" s="19"/>
      <c r="AT9731" s="19"/>
      <c r="AU9731" s="19"/>
    </row>
    <row r="9732" spans="3:47">
      <c r="C9732" s="20"/>
      <c r="Z9732" s="20"/>
      <c r="AG9732" s="20"/>
      <c r="AQ9732" s="19"/>
      <c r="AR9732" s="19"/>
      <c r="AS9732" s="19"/>
      <c r="AT9732" s="19"/>
      <c r="AU9732" s="19"/>
    </row>
    <row r="9733" spans="3:47">
      <c r="C9733" s="20"/>
      <c r="Z9733" s="20"/>
      <c r="AG9733" s="20"/>
      <c r="AQ9733" s="19"/>
      <c r="AR9733" s="19"/>
      <c r="AS9733" s="19"/>
      <c r="AT9733" s="19"/>
      <c r="AU9733" s="19"/>
    </row>
    <row r="9734" spans="3:47">
      <c r="C9734" s="20"/>
      <c r="Z9734" s="20"/>
      <c r="AG9734" s="20"/>
      <c r="AQ9734" s="19"/>
      <c r="AR9734" s="19"/>
      <c r="AS9734" s="19"/>
      <c r="AT9734" s="19"/>
      <c r="AU9734" s="19"/>
    </row>
    <row r="9735" spans="3:47">
      <c r="C9735" s="20"/>
      <c r="Z9735" s="20"/>
      <c r="AG9735" s="20"/>
      <c r="AQ9735" s="19"/>
      <c r="AR9735" s="19"/>
      <c r="AS9735" s="19"/>
      <c r="AT9735" s="19"/>
      <c r="AU9735" s="19"/>
    </row>
    <row r="9736" spans="3:47">
      <c r="C9736" s="20"/>
      <c r="Z9736" s="20"/>
      <c r="AG9736" s="20"/>
      <c r="AQ9736" s="19"/>
      <c r="AR9736" s="19"/>
      <c r="AS9736" s="19"/>
      <c r="AT9736" s="19"/>
      <c r="AU9736" s="19"/>
    </row>
    <row r="9737" spans="3:47">
      <c r="C9737" s="20"/>
      <c r="Z9737" s="20"/>
      <c r="AG9737" s="20"/>
      <c r="AQ9737" s="19"/>
      <c r="AR9737" s="19"/>
      <c r="AS9737" s="19"/>
      <c r="AT9737" s="19"/>
      <c r="AU9737" s="19"/>
    </row>
    <row r="9738" spans="3:47">
      <c r="C9738" s="20"/>
      <c r="Z9738" s="20"/>
      <c r="AG9738" s="20"/>
      <c r="AQ9738" s="19"/>
      <c r="AR9738" s="19"/>
      <c r="AS9738" s="19"/>
      <c r="AT9738" s="19"/>
      <c r="AU9738" s="19"/>
    </row>
    <row r="9739" spans="3:47">
      <c r="C9739" s="20"/>
      <c r="Z9739" s="20"/>
      <c r="AG9739" s="20"/>
      <c r="AQ9739" s="19"/>
      <c r="AR9739" s="19"/>
      <c r="AS9739" s="19"/>
      <c r="AT9739" s="19"/>
      <c r="AU9739" s="19"/>
    </row>
    <row r="9740" spans="3:47">
      <c r="C9740" s="20"/>
      <c r="Z9740" s="20"/>
      <c r="AG9740" s="20"/>
      <c r="AQ9740" s="19"/>
      <c r="AR9740" s="19"/>
      <c r="AS9740" s="19"/>
      <c r="AT9740" s="19"/>
      <c r="AU9740" s="19"/>
    </row>
    <row r="9741" spans="3:47">
      <c r="C9741" s="20"/>
      <c r="Z9741" s="20"/>
      <c r="AG9741" s="20"/>
      <c r="AQ9741" s="19"/>
      <c r="AR9741" s="19"/>
      <c r="AS9741" s="19"/>
      <c r="AT9741" s="19"/>
      <c r="AU9741" s="19"/>
    </row>
    <row r="9742" spans="3:47">
      <c r="C9742" s="20"/>
      <c r="Z9742" s="20"/>
      <c r="AG9742" s="20"/>
      <c r="AQ9742" s="19"/>
      <c r="AR9742" s="19"/>
      <c r="AS9742" s="19"/>
      <c r="AT9742" s="19"/>
      <c r="AU9742" s="19"/>
    </row>
    <row r="9743" spans="3:47">
      <c r="C9743" s="20"/>
      <c r="Z9743" s="20"/>
      <c r="AG9743" s="20"/>
      <c r="AQ9743" s="19"/>
      <c r="AR9743" s="19"/>
      <c r="AS9743" s="19"/>
      <c r="AT9743" s="19"/>
      <c r="AU9743" s="19"/>
    </row>
    <row r="9744" spans="3:47">
      <c r="C9744" s="20"/>
      <c r="Z9744" s="20"/>
      <c r="AG9744" s="20"/>
      <c r="AQ9744" s="19"/>
      <c r="AR9744" s="19"/>
      <c r="AS9744" s="19"/>
      <c r="AT9744" s="19"/>
      <c r="AU9744" s="19"/>
    </row>
    <row r="9745" spans="3:47">
      <c r="C9745" s="20"/>
      <c r="Z9745" s="20"/>
      <c r="AG9745" s="20"/>
      <c r="AQ9745" s="19"/>
      <c r="AR9745" s="19"/>
      <c r="AS9745" s="19"/>
      <c r="AT9745" s="19"/>
      <c r="AU9745" s="19"/>
    </row>
    <row r="9746" spans="3:47">
      <c r="C9746" s="20"/>
      <c r="Z9746" s="20"/>
      <c r="AG9746" s="20"/>
      <c r="AQ9746" s="19"/>
      <c r="AR9746" s="19"/>
      <c r="AS9746" s="19"/>
      <c r="AT9746" s="19"/>
      <c r="AU9746" s="19"/>
    </row>
    <row r="9747" spans="3:47">
      <c r="C9747" s="20"/>
      <c r="Z9747" s="20"/>
      <c r="AG9747" s="20"/>
      <c r="AQ9747" s="19"/>
      <c r="AR9747" s="19"/>
      <c r="AS9747" s="19"/>
      <c r="AT9747" s="19"/>
      <c r="AU9747" s="19"/>
    </row>
    <row r="9748" spans="3:47">
      <c r="C9748" s="20"/>
      <c r="Z9748" s="20"/>
      <c r="AG9748" s="20"/>
      <c r="AQ9748" s="19"/>
      <c r="AR9748" s="19"/>
      <c r="AS9748" s="19"/>
      <c r="AT9748" s="19"/>
      <c r="AU9748" s="19"/>
    </row>
    <row r="9749" spans="3:47">
      <c r="C9749" s="20"/>
      <c r="Z9749" s="20"/>
      <c r="AG9749" s="20"/>
      <c r="AQ9749" s="19"/>
      <c r="AR9749" s="19"/>
      <c r="AS9749" s="19"/>
      <c r="AT9749" s="19"/>
      <c r="AU9749" s="19"/>
    </row>
    <row r="9750" spans="3:47">
      <c r="C9750" s="20"/>
      <c r="Z9750" s="20"/>
      <c r="AG9750" s="20"/>
      <c r="AQ9750" s="19"/>
      <c r="AR9750" s="19"/>
      <c r="AS9750" s="19"/>
      <c r="AT9750" s="19"/>
      <c r="AU9750" s="19"/>
    </row>
    <row r="9751" spans="3:47">
      <c r="C9751" s="20"/>
      <c r="Z9751" s="20"/>
      <c r="AG9751" s="20"/>
      <c r="AQ9751" s="19"/>
      <c r="AR9751" s="19"/>
      <c r="AS9751" s="19"/>
      <c r="AT9751" s="19"/>
      <c r="AU9751" s="19"/>
    </row>
    <row r="9752" spans="3:47">
      <c r="C9752" s="20"/>
      <c r="Z9752" s="20"/>
      <c r="AG9752" s="20"/>
      <c r="AQ9752" s="19"/>
      <c r="AR9752" s="19"/>
      <c r="AS9752" s="19"/>
      <c r="AT9752" s="19"/>
      <c r="AU9752" s="19"/>
    </row>
    <row r="9753" spans="3:47">
      <c r="C9753" s="20"/>
      <c r="Z9753" s="20"/>
      <c r="AG9753" s="20"/>
      <c r="AQ9753" s="19"/>
      <c r="AR9753" s="19"/>
      <c r="AS9753" s="19"/>
      <c r="AT9753" s="19"/>
      <c r="AU9753" s="19"/>
    </row>
    <row r="9754" spans="3:47">
      <c r="C9754" s="20"/>
      <c r="Z9754" s="20"/>
      <c r="AG9754" s="20"/>
      <c r="AQ9754" s="19"/>
      <c r="AR9754" s="19"/>
      <c r="AS9754" s="19"/>
      <c r="AT9754" s="19"/>
      <c r="AU9754" s="19"/>
    </row>
    <row r="9755" spans="3:47">
      <c r="C9755" s="20"/>
      <c r="Z9755" s="20"/>
      <c r="AG9755" s="20"/>
      <c r="AQ9755" s="19"/>
      <c r="AR9755" s="19"/>
      <c r="AS9755" s="19"/>
      <c r="AT9755" s="19"/>
      <c r="AU9755" s="19"/>
    </row>
    <row r="9756" spans="3:47">
      <c r="C9756" s="20"/>
      <c r="Z9756" s="20"/>
      <c r="AG9756" s="20"/>
      <c r="AQ9756" s="19"/>
      <c r="AR9756" s="19"/>
      <c r="AS9756" s="19"/>
      <c r="AT9756" s="19"/>
      <c r="AU9756" s="19"/>
    </row>
    <row r="9757" spans="3:47">
      <c r="C9757" s="20"/>
      <c r="Z9757" s="20"/>
      <c r="AG9757" s="20"/>
      <c r="AQ9757" s="19"/>
      <c r="AR9757" s="19"/>
      <c r="AS9757" s="19"/>
      <c r="AT9757" s="19"/>
      <c r="AU9757" s="19"/>
    </row>
    <row r="9758" spans="3:47">
      <c r="C9758" s="20"/>
      <c r="Z9758" s="20"/>
      <c r="AG9758" s="20"/>
      <c r="AQ9758" s="19"/>
      <c r="AR9758" s="19"/>
      <c r="AS9758" s="19"/>
      <c r="AT9758" s="19"/>
      <c r="AU9758" s="19"/>
    </row>
    <row r="9759" spans="3:47">
      <c r="C9759" s="20"/>
      <c r="Z9759" s="20"/>
      <c r="AG9759" s="20"/>
      <c r="AQ9759" s="19"/>
      <c r="AR9759" s="19"/>
      <c r="AS9759" s="19"/>
      <c r="AT9759" s="19"/>
      <c r="AU9759" s="19"/>
    </row>
    <row r="9760" spans="3:47">
      <c r="C9760" s="20"/>
      <c r="Z9760" s="20"/>
      <c r="AG9760" s="20"/>
      <c r="AQ9760" s="19"/>
      <c r="AR9760" s="19"/>
      <c r="AS9760" s="19"/>
      <c r="AT9760" s="19"/>
      <c r="AU9760" s="19"/>
    </row>
    <row r="9761" spans="3:47">
      <c r="C9761" s="20"/>
      <c r="Z9761" s="20"/>
      <c r="AG9761" s="20"/>
      <c r="AQ9761" s="19"/>
      <c r="AR9761" s="19"/>
      <c r="AS9761" s="19"/>
      <c r="AT9761" s="19"/>
      <c r="AU9761" s="19"/>
    </row>
    <row r="9762" spans="3:47">
      <c r="C9762" s="20"/>
      <c r="Z9762" s="20"/>
      <c r="AG9762" s="20"/>
      <c r="AQ9762" s="19"/>
      <c r="AR9762" s="19"/>
      <c r="AS9762" s="19"/>
      <c r="AT9762" s="19"/>
      <c r="AU9762" s="19"/>
    </row>
    <row r="9763" spans="3:47">
      <c r="C9763" s="20"/>
      <c r="Z9763" s="20"/>
      <c r="AG9763" s="20"/>
      <c r="AQ9763" s="19"/>
      <c r="AR9763" s="19"/>
      <c r="AS9763" s="19"/>
      <c r="AT9763" s="19"/>
      <c r="AU9763" s="19"/>
    </row>
    <row r="9764" spans="3:47">
      <c r="C9764" s="20"/>
      <c r="Z9764" s="20"/>
      <c r="AG9764" s="20"/>
      <c r="AQ9764" s="19"/>
      <c r="AR9764" s="19"/>
      <c r="AS9764" s="19"/>
      <c r="AT9764" s="19"/>
      <c r="AU9764" s="19"/>
    </row>
    <row r="9765" spans="3:47">
      <c r="C9765" s="20"/>
      <c r="Z9765" s="20"/>
      <c r="AG9765" s="20"/>
      <c r="AQ9765" s="19"/>
      <c r="AR9765" s="19"/>
      <c r="AS9765" s="19"/>
      <c r="AT9765" s="19"/>
      <c r="AU9765" s="19"/>
    </row>
    <row r="9766" spans="3:47">
      <c r="C9766" s="20"/>
      <c r="Z9766" s="20"/>
      <c r="AG9766" s="20"/>
      <c r="AQ9766" s="19"/>
      <c r="AR9766" s="19"/>
      <c r="AS9766" s="19"/>
      <c r="AT9766" s="19"/>
      <c r="AU9766" s="19"/>
    </row>
    <row r="9767" spans="3:47">
      <c r="C9767" s="20"/>
      <c r="Z9767" s="20"/>
      <c r="AG9767" s="20"/>
      <c r="AQ9767" s="19"/>
      <c r="AR9767" s="19"/>
      <c r="AS9767" s="19"/>
      <c r="AT9767" s="19"/>
      <c r="AU9767" s="19"/>
    </row>
    <row r="9768" spans="3:47">
      <c r="C9768" s="20"/>
      <c r="Z9768" s="20"/>
      <c r="AG9768" s="20"/>
      <c r="AQ9768" s="19"/>
      <c r="AR9768" s="19"/>
      <c r="AS9768" s="19"/>
      <c r="AT9768" s="19"/>
      <c r="AU9768" s="19"/>
    </row>
    <row r="9769" spans="3:47">
      <c r="C9769" s="20"/>
      <c r="Z9769" s="20"/>
      <c r="AG9769" s="20"/>
      <c r="AQ9769" s="19"/>
      <c r="AR9769" s="19"/>
      <c r="AS9769" s="19"/>
      <c r="AT9769" s="19"/>
      <c r="AU9769" s="19"/>
    </row>
    <row r="9770" spans="3:47">
      <c r="C9770" s="20"/>
      <c r="Z9770" s="20"/>
      <c r="AG9770" s="20"/>
      <c r="AQ9770" s="19"/>
      <c r="AR9770" s="19"/>
      <c r="AS9770" s="19"/>
      <c r="AT9770" s="19"/>
      <c r="AU9770" s="19"/>
    </row>
    <row r="9771" spans="3:47">
      <c r="C9771" s="20"/>
      <c r="Z9771" s="20"/>
      <c r="AG9771" s="20"/>
      <c r="AQ9771" s="19"/>
      <c r="AR9771" s="19"/>
      <c r="AS9771" s="19"/>
      <c r="AT9771" s="19"/>
      <c r="AU9771" s="19"/>
    </row>
    <row r="9772" spans="3:47">
      <c r="C9772" s="20"/>
      <c r="Z9772" s="20"/>
      <c r="AG9772" s="20"/>
      <c r="AQ9772" s="19"/>
      <c r="AR9772" s="19"/>
      <c r="AS9772" s="19"/>
      <c r="AT9772" s="19"/>
      <c r="AU9772" s="19"/>
    </row>
    <row r="9773" spans="3:47">
      <c r="C9773" s="20"/>
      <c r="Z9773" s="20"/>
      <c r="AG9773" s="20"/>
      <c r="AQ9773" s="19"/>
      <c r="AR9773" s="19"/>
      <c r="AS9773" s="19"/>
      <c r="AT9773" s="19"/>
      <c r="AU9773" s="19"/>
    </row>
    <row r="9774" spans="3:47">
      <c r="C9774" s="20"/>
      <c r="Z9774" s="20"/>
      <c r="AG9774" s="20"/>
      <c r="AQ9774" s="19"/>
      <c r="AR9774" s="19"/>
      <c r="AS9774" s="19"/>
      <c r="AT9774" s="19"/>
      <c r="AU9774" s="19"/>
    </row>
    <row r="9775" spans="3:47">
      <c r="C9775" s="20"/>
      <c r="Z9775" s="20"/>
      <c r="AG9775" s="20"/>
      <c r="AQ9775" s="19"/>
      <c r="AR9775" s="19"/>
      <c r="AS9775" s="19"/>
      <c r="AT9775" s="19"/>
      <c r="AU9775" s="19"/>
    </row>
    <row r="9776" spans="3:47">
      <c r="C9776" s="20"/>
      <c r="Z9776" s="20"/>
      <c r="AG9776" s="20"/>
      <c r="AQ9776" s="19"/>
      <c r="AR9776" s="19"/>
      <c r="AS9776" s="19"/>
      <c r="AT9776" s="19"/>
      <c r="AU9776" s="19"/>
    </row>
    <row r="9777" spans="3:47">
      <c r="C9777" s="20"/>
      <c r="Z9777" s="20"/>
      <c r="AG9777" s="20"/>
      <c r="AQ9777" s="19"/>
      <c r="AR9777" s="19"/>
      <c r="AS9777" s="19"/>
      <c r="AT9777" s="19"/>
      <c r="AU9777" s="19"/>
    </row>
    <row r="9778" spans="3:47">
      <c r="C9778" s="20"/>
      <c r="Z9778" s="20"/>
      <c r="AG9778" s="20"/>
      <c r="AQ9778" s="19"/>
      <c r="AR9778" s="19"/>
      <c r="AS9778" s="19"/>
      <c r="AT9778" s="19"/>
      <c r="AU9778" s="19"/>
    </row>
    <row r="9779" spans="3:47">
      <c r="C9779" s="20"/>
      <c r="Z9779" s="20"/>
      <c r="AG9779" s="20"/>
      <c r="AQ9779" s="19"/>
      <c r="AR9779" s="19"/>
      <c r="AS9779" s="19"/>
      <c r="AT9779" s="19"/>
      <c r="AU9779" s="19"/>
    </row>
    <row r="9780" spans="3:47">
      <c r="C9780" s="20"/>
      <c r="Z9780" s="20"/>
      <c r="AG9780" s="20"/>
      <c r="AQ9780" s="19"/>
      <c r="AR9780" s="19"/>
      <c r="AS9780" s="19"/>
      <c r="AT9780" s="19"/>
      <c r="AU9780" s="19"/>
    </row>
    <row r="9781" spans="3:47">
      <c r="C9781" s="20"/>
      <c r="Z9781" s="20"/>
      <c r="AG9781" s="20"/>
      <c r="AQ9781" s="19"/>
      <c r="AR9781" s="19"/>
      <c r="AS9781" s="19"/>
      <c r="AT9781" s="19"/>
      <c r="AU9781" s="19"/>
    </row>
    <row r="9782" spans="3:47">
      <c r="C9782" s="20"/>
      <c r="Z9782" s="20"/>
      <c r="AG9782" s="20"/>
      <c r="AQ9782" s="19"/>
      <c r="AR9782" s="19"/>
      <c r="AS9782" s="19"/>
      <c r="AT9782" s="19"/>
      <c r="AU9782" s="19"/>
    </row>
    <row r="9783" spans="3:47">
      <c r="C9783" s="20"/>
      <c r="Z9783" s="20"/>
      <c r="AG9783" s="20"/>
      <c r="AQ9783" s="19"/>
      <c r="AR9783" s="19"/>
      <c r="AS9783" s="19"/>
      <c r="AT9783" s="19"/>
      <c r="AU9783" s="19"/>
    </row>
    <row r="9784" spans="3:47">
      <c r="C9784" s="20"/>
      <c r="Z9784" s="20"/>
      <c r="AG9784" s="20"/>
      <c r="AQ9784" s="19"/>
      <c r="AR9784" s="19"/>
      <c r="AS9784" s="19"/>
      <c r="AT9784" s="19"/>
      <c r="AU9784" s="19"/>
    </row>
    <row r="9785" spans="3:47">
      <c r="C9785" s="20"/>
      <c r="Z9785" s="20"/>
      <c r="AG9785" s="20"/>
      <c r="AQ9785" s="19"/>
      <c r="AR9785" s="19"/>
      <c r="AS9785" s="19"/>
      <c r="AT9785" s="19"/>
      <c r="AU9785" s="19"/>
    </row>
    <row r="9786" spans="3:47">
      <c r="C9786" s="20"/>
      <c r="Z9786" s="20"/>
      <c r="AG9786" s="20"/>
      <c r="AQ9786" s="19"/>
      <c r="AR9786" s="19"/>
      <c r="AS9786" s="19"/>
      <c r="AT9786" s="19"/>
      <c r="AU9786" s="19"/>
    </row>
    <row r="9787" spans="3:47">
      <c r="C9787" s="20"/>
      <c r="Z9787" s="20"/>
      <c r="AG9787" s="20"/>
      <c r="AQ9787" s="19"/>
      <c r="AR9787" s="19"/>
      <c r="AS9787" s="19"/>
      <c r="AT9787" s="19"/>
      <c r="AU9787" s="19"/>
    </row>
    <row r="9788" spans="3:47">
      <c r="C9788" s="20"/>
      <c r="Z9788" s="20"/>
      <c r="AG9788" s="20"/>
      <c r="AQ9788" s="19"/>
      <c r="AR9788" s="19"/>
      <c r="AS9788" s="19"/>
      <c r="AT9788" s="19"/>
      <c r="AU9788" s="19"/>
    </row>
    <row r="9789" spans="3:47">
      <c r="C9789" s="20"/>
      <c r="Z9789" s="20"/>
      <c r="AG9789" s="20"/>
      <c r="AQ9789" s="19"/>
      <c r="AR9789" s="19"/>
      <c r="AS9789" s="19"/>
      <c r="AT9789" s="19"/>
      <c r="AU9789" s="19"/>
    </row>
    <row r="9790" spans="3:47">
      <c r="C9790" s="20"/>
      <c r="Z9790" s="20"/>
      <c r="AG9790" s="20"/>
      <c r="AQ9790" s="19"/>
      <c r="AR9790" s="19"/>
      <c r="AS9790" s="19"/>
      <c r="AT9790" s="19"/>
      <c r="AU9790" s="19"/>
    </row>
    <row r="9791" spans="3:47">
      <c r="C9791" s="20"/>
      <c r="Z9791" s="20"/>
      <c r="AG9791" s="20"/>
      <c r="AQ9791" s="19"/>
      <c r="AR9791" s="19"/>
      <c r="AS9791" s="19"/>
      <c r="AT9791" s="19"/>
      <c r="AU9791" s="19"/>
    </row>
    <row r="9792" spans="3:47">
      <c r="C9792" s="20"/>
      <c r="Z9792" s="20"/>
      <c r="AG9792" s="20"/>
      <c r="AQ9792" s="19"/>
      <c r="AR9792" s="19"/>
      <c r="AS9792" s="19"/>
      <c r="AT9792" s="19"/>
      <c r="AU9792" s="19"/>
    </row>
    <row r="9793" spans="3:47">
      <c r="C9793" s="20"/>
      <c r="Z9793" s="20"/>
      <c r="AG9793" s="20"/>
      <c r="AQ9793" s="19"/>
      <c r="AR9793" s="19"/>
      <c r="AS9793" s="19"/>
      <c r="AT9793" s="19"/>
      <c r="AU9793" s="19"/>
    </row>
    <row r="9794" spans="3:47">
      <c r="C9794" s="20"/>
      <c r="Z9794" s="20"/>
      <c r="AG9794" s="20"/>
      <c r="AQ9794" s="19"/>
      <c r="AR9794" s="19"/>
      <c r="AS9794" s="19"/>
      <c r="AT9794" s="19"/>
      <c r="AU9794" s="19"/>
    </row>
    <row r="9795" spans="3:47">
      <c r="C9795" s="20"/>
      <c r="Z9795" s="20"/>
      <c r="AG9795" s="20"/>
      <c r="AQ9795" s="19"/>
      <c r="AR9795" s="19"/>
      <c r="AS9795" s="19"/>
      <c r="AT9795" s="19"/>
      <c r="AU9795" s="19"/>
    </row>
    <row r="9796" spans="3:47">
      <c r="C9796" s="20"/>
      <c r="Z9796" s="20"/>
      <c r="AG9796" s="20"/>
      <c r="AQ9796" s="19"/>
      <c r="AR9796" s="19"/>
      <c r="AS9796" s="19"/>
      <c r="AT9796" s="19"/>
      <c r="AU9796" s="19"/>
    </row>
    <row r="9797" spans="3:47">
      <c r="C9797" s="20"/>
      <c r="Z9797" s="20"/>
      <c r="AG9797" s="20"/>
      <c r="AQ9797" s="19"/>
      <c r="AR9797" s="19"/>
      <c r="AS9797" s="19"/>
      <c r="AT9797" s="19"/>
      <c r="AU9797" s="19"/>
    </row>
    <row r="9798" spans="3:47">
      <c r="C9798" s="20"/>
      <c r="Z9798" s="20"/>
      <c r="AG9798" s="20"/>
      <c r="AQ9798" s="19"/>
      <c r="AR9798" s="19"/>
      <c r="AS9798" s="19"/>
      <c r="AT9798" s="19"/>
      <c r="AU9798" s="19"/>
    </row>
    <row r="9799" spans="3:47">
      <c r="C9799" s="20"/>
      <c r="Z9799" s="20"/>
      <c r="AG9799" s="20"/>
      <c r="AQ9799" s="19"/>
      <c r="AR9799" s="19"/>
      <c r="AS9799" s="19"/>
      <c r="AT9799" s="19"/>
      <c r="AU9799" s="19"/>
    </row>
    <row r="9800" spans="3:47">
      <c r="C9800" s="20"/>
      <c r="Z9800" s="20"/>
      <c r="AG9800" s="20"/>
      <c r="AQ9800" s="19"/>
      <c r="AR9800" s="19"/>
      <c r="AS9800" s="19"/>
      <c r="AT9800" s="19"/>
      <c r="AU9800" s="19"/>
    </row>
    <row r="9801" spans="3:47">
      <c r="C9801" s="20"/>
      <c r="Z9801" s="20"/>
      <c r="AG9801" s="20"/>
      <c r="AQ9801" s="19"/>
      <c r="AR9801" s="19"/>
      <c r="AS9801" s="19"/>
      <c r="AT9801" s="19"/>
      <c r="AU9801" s="19"/>
    </row>
    <row r="9802" spans="3:47">
      <c r="C9802" s="20"/>
      <c r="Z9802" s="20"/>
      <c r="AG9802" s="20"/>
      <c r="AQ9802" s="19"/>
      <c r="AR9802" s="19"/>
      <c r="AS9802" s="19"/>
      <c r="AT9802" s="19"/>
      <c r="AU9802" s="19"/>
    </row>
    <row r="9803" spans="3:47">
      <c r="C9803" s="20"/>
      <c r="Z9803" s="20"/>
      <c r="AG9803" s="20"/>
      <c r="AQ9803" s="19"/>
      <c r="AR9803" s="19"/>
      <c r="AS9803" s="19"/>
      <c r="AT9803" s="19"/>
      <c r="AU9803" s="19"/>
    </row>
    <row r="9804" spans="3:47">
      <c r="C9804" s="20"/>
      <c r="Z9804" s="20"/>
      <c r="AG9804" s="20"/>
      <c r="AQ9804" s="19"/>
      <c r="AR9804" s="19"/>
      <c r="AS9804" s="19"/>
      <c r="AT9804" s="19"/>
      <c r="AU9804" s="19"/>
    </row>
    <row r="9805" spans="3:47">
      <c r="C9805" s="20"/>
      <c r="Z9805" s="20"/>
      <c r="AG9805" s="20"/>
      <c r="AQ9805" s="19"/>
      <c r="AR9805" s="19"/>
      <c r="AS9805" s="19"/>
      <c r="AT9805" s="19"/>
      <c r="AU9805" s="19"/>
    </row>
    <row r="9806" spans="3:47">
      <c r="C9806" s="20"/>
      <c r="Z9806" s="20"/>
      <c r="AG9806" s="20"/>
      <c r="AQ9806" s="19"/>
      <c r="AR9806" s="19"/>
      <c r="AS9806" s="19"/>
      <c r="AT9806" s="19"/>
      <c r="AU9806" s="19"/>
    </row>
    <row r="9807" spans="3:47">
      <c r="C9807" s="20"/>
      <c r="Z9807" s="20"/>
      <c r="AG9807" s="20"/>
      <c r="AQ9807" s="19"/>
      <c r="AR9807" s="19"/>
      <c r="AS9807" s="19"/>
      <c r="AT9807" s="19"/>
      <c r="AU9807" s="19"/>
    </row>
    <row r="9808" spans="3:47">
      <c r="C9808" s="20"/>
      <c r="Z9808" s="20"/>
      <c r="AG9808" s="20"/>
      <c r="AQ9808" s="19"/>
      <c r="AR9808" s="19"/>
      <c r="AS9808" s="19"/>
      <c r="AT9808" s="19"/>
      <c r="AU9808" s="19"/>
    </row>
    <row r="9809" spans="3:47">
      <c r="C9809" s="20"/>
      <c r="Z9809" s="20"/>
      <c r="AG9809" s="20"/>
      <c r="AQ9809" s="19"/>
      <c r="AR9809" s="19"/>
      <c r="AS9809" s="19"/>
      <c r="AT9809" s="19"/>
      <c r="AU9809" s="19"/>
    </row>
    <row r="9810" spans="3:47">
      <c r="C9810" s="20"/>
      <c r="Z9810" s="20"/>
      <c r="AG9810" s="20"/>
      <c r="AQ9810" s="19"/>
      <c r="AR9810" s="19"/>
      <c r="AS9810" s="19"/>
      <c r="AT9810" s="19"/>
      <c r="AU9810" s="19"/>
    </row>
    <row r="9811" spans="3:47">
      <c r="C9811" s="20"/>
      <c r="Z9811" s="20"/>
      <c r="AG9811" s="20"/>
      <c r="AQ9811" s="19"/>
      <c r="AR9811" s="19"/>
      <c r="AS9811" s="19"/>
      <c r="AT9811" s="19"/>
      <c r="AU9811" s="19"/>
    </row>
    <row r="9812" spans="3:47">
      <c r="C9812" s="20"/>
      <c r="Z9812" s="20"/>
      <c r="AG9812" s="20"/>
      <c r="AQ9812" s="19"/>
      <c r="AR9812" s="19"/>
      <c r="AS9812" s="19"/>
      <c r="AT9812" s="19"/>
      <c r="AU9812" s="19"/>
    </row>
    <row r="9813" spans="3:47">
      <c r="C9813" s="20"/>
      <c r="Z9813" s="20"/>
      <c r="AG9813" s="20"/>
      <c r="AQ9813" s="19"/>
      <c r="AR9813" s="19"/>
      <c r="AS9813" s="19"/>
      <c r="AT9813" s="19"/>
      <c r="AU9813" s="19"/>
    </row>
    <row r="9814" spans="3:47">
      <c r="C9814" s="20"/>
      <c r="Z9814" s="20"/>
      <c r="AG9814" s="20"/>
      <c r="AQ9814" s="19"/>
      <c r="AR9814" s="19"/>
      <c r="AS9814" s="19"/>
      <c r="AT9814" s="19"/>
      <c r="AU9814" s="19"/>
    </row>
    <row r="9815" spans="3:47">
      <c r="C9815" s="20"/>
      <c r="Z9815" s="20"/>
      <c r="AG9815" s="20"/>
      <c r="AQ9815" s="19"/>
      <c r="AR9815" s="19"/>
      <c r="AS9815" s="19"/>
      <c r="AT9815" s="19"/>
      <c r="AU9815" s="19"/>
    </row>
    <row r="9816" spans="3:47">
      <c r="C9816" s="20"/>
      <c r="Z9816" s="20"/>
      <c r="AG9816" s="20"/>
      <c r="AQ9816" s="19"/>
      <c r="AR9816" s="19"/>
      <c r="AS9816" s="19"/>
      <c r="AT9816" s="19"/>
      <c r="AU9816" s="19"/>
    </row>
    <row r="9817" spans="3:47">
      <c r="C9817" s="20"/>
      <c r="Z9817" s="20"/>
      <c r="AG9817" s="20"/>
      <c r="AQ9817" s="19"/>
      <c r="AR9817" s="19"/>
      <c r="AS9817" s="19"/>
      <c r="AT9817" s="19"/>
      <c r="AU9817" s="19"/>
    </row>
    <row r="9818" spans="3:47">
      <c r="C9818" s="20"/>
      <c r="Z9818" s="20"/>
      <c r="AG9818" s="20"/>
      <c r="AQ9818" s="19"/>
      <c r="AR9818" s="19"/>
      <c r="AS9818" s="19"/>
      <c r="AT9818" s="19"/>
      <c r="AU9818" s="19"/>
    </row>
    <row r="9819" spans="3:47">
      <c r="C9819" s="20"/>
      <c r="Z9819" s="20"/>
      <c r="AG9819" s="20"/>
      <c r="AQ9819" s="19"/>
      <c r="AR9819" s="19"/>
      <c r="AS9819" s="19"/>
      <c r="AT9819" s="19"/>
      <c r="AU9819" s="19"/>
    </row>
    <row r="9820" spans="3:47">
      <c r="C9820" s="20"/>
      <c r="Z9820" s="20"/>
      <c r="AG9820" s="20"/>
      <c r="AQ9820" s="19"/>
      <c r="AR9820" s="19"/>
      <c r="AS9820" s="19"/>
      <c r="AT9820" s="19"/>
      <c r="AU9820" s="19"/>
    </row>
    <row r="9821" spans="3:47">
      <c r="C9821" s="20"/>
      <c r="Z9821" s="20"/>
      <c r="AG9821" s="20"/>
      <c r="AQ9821" s="19"/>
      <c r="AR9821" s="19"/>
      <c r="AS9821" s="19"/>
      <c r="AT9821" s="19"/>
      <c r="AU9821" s="19"/>
    </row>
    <row r="9822" spans="3:47">
      <c r="C9822" s="20"/>
      <c r="Z9822" s="20"/>
      <c r="AG9822" s="20"/>
      <c r="AQ9822" s="19"/>
      <c r="AR9822" s="19"/>
      <c r="AS9822" s="19"/>
      <c r="AT9822" s="19"/>
      <c r="AU9822" s="19"/>
    </row>
    <row r="9823" spans="3:47">
      <c r="C9823" s="20"/>
      <c r="Z9823" s="20"/>
      <c r="AG9823" s="20"/>
      <c r="AQ9823" s="19"/>
      <c r="AR9823" s="19"/>
      <c r="AS9823" s="19"/>
      <c r="AT9823" s="19"/>
      <c r="AU9823" s="19"/>
    </row>
    <row r="9824" spans="3:47">
      <c r="C9824" s="20"/>
      <c r="Z9824" s="20"/>
      <c r="AG9824" s="20"/>
      <c r="AQ9824" s="19"/>
      <c r="AR9824" s="19"/>
      <c r="AS9824" s="19"/>
      <c r="AT9824" s="19"/>
      <c r="AU9824" s="19"/>
    </row>
    <row r="9825" spans="3:47">
      <c r="C9825" s="20"/>
      <c r="Z9825" s="20"/>
      <c r="AG9825" s="20"/>
      <c r="AQ9825" s="19"/>
      <c r="AR9825" s="19"/>
      <c r="AS9825" s="19"/>
      <c r="AT9825" s="19"/>
      <c r="AU9825" s="19"/>
    </row>
    <row r="9826" spans="3:47">
      <c r="C9826" s="20"/>
      <c r="Z9826" s="20"/>
      <c r="AG9826" s="20"/>
      <c r="AQ9826" s="19"/>
      <c r="AR9826" s="19"/>
      <c r="AS9826" s="19"/>
      <c r="AT9826" s="19"/>
      <c r="AU9826" s="19"/>
    </row>
    <row r="9827" spans="3:47">
      <c r="C9827" s="20"/>
      <c r="Z9827" s="20"/>
      <c r="AG9827" s="20"/>
      <c r="AQ9827" s="19"/>
      <c r="AR9827" s="19"/>
      <c r="AS9827" s="19"/>
      <c r="AT9827" s="19"/>
      <c r="AU9827" s="19"/>
    </row>
    <row r="9828" spans="3:47">
      <c r="C9828" s="20"/>
      <c r="Z9828" s="20"/>
      <c r="AG9828" s="20"/>
      <c r="AQ9828" s="19"/>
      <c r="AR9828" s="19"/>
      <c r="AS9828" s="19"/>
      <c r="AT9828" s="19"/>
      <c r="AU9828" s="19"/>
    </row>
    <row r="9829" spans="3:47">
      <c r="C9829" s="20"/>
      <c r="Z9829" s="20"/>
      <c r="AG9829" s="20"/>
      <c r="AQ9829" s="19"/>
      <c r="AR9829" s="19"/>
      <c r="AS9829" s="19"/>
      <c r="AT9829" s="19"/>
      <c r="AU9829" s="19"/>
    </row>
    <row r="9830" spans="3:47">
      <c r="C9830" s="20"/>
      <c r="Z9830" s="20"/>
      <c r="AG9830" s="20"/>
      <c r="AQ9830" s="19"/>
      <c r="AR9830" s="19"/>
      <c r="AS9830" s="19"/>
      <c r="AT9830" s="19"/>
      <c r="AU9830" s="19"/>
    </row>
    <row r="9831" spans="3:47">
      <c r="C9831" s="20"/>
      <c r="Z9831" s="20"/>
      <c r="AG9831" s="20"/>
      <c r="AQ9831" s="19"/>
      <c r="AR9831" s="19"/>
      <c r="AS9831" s="19"/>
      <c r="AT9831" s="19"/>
      <c r="AU9831" s="19"/>
    </row>
    <row r="9832" spans="3:47">
      <c r="C9832" s="20"/>
      <c r="Z9832" s="20"/>
      <c r="AG9832" s="20"/>
      <c r="AQ9832" s="19"/>
      <c r="AR9832" s="19"/>
      <c r="AS9832" s="19"/>
      <c r="AT9832" s="19"/>
      <c r="AU9832" s="19"/>
    </row>
    <row r="9833" spans="3:47">
      <c r="C9833" s="20"/>
      <c r="Z9833" s="20"/>
      <c r="AG9833" s="20"/>
      <c r="AQ9833" s="19"/>
      <c r="AR9833" s="19"/>
      <c r="AS9833" s="19"/>
      <c r="AT9833" s="19"/>
      <c r="AU9833" s="19"/>
    </row>
    <row r="9834" spans="3:47">
      <c r="C9834" s="20"/>
      <c r="Z9834" s="20"/>
      <c r="AG9834" s="20"/>
      <c r="AQ9834" s="19"/>
      <c r="AR9834" s="19"/>
      <c r="AS9834" s="19"/>
      <c r="AT9834" s="19"/>
      <c r="AU9834" s="19"/>
    </row>
    <row r="9835" spans="3:47">
      <c r="C9835" s="20"/>
      <c r="Z9835" s="20"/>
      <c r="AG9835" s="20"/>
      <c r="AQ9835" s="19"/>
      <c r="AR9835" s="19"/>
      <c r="AS9835" s="19"/>
      <c r="AT9835" s="19"/>
      <c r="AU9835" s="19"/>
    </row>
    <row r="9836" spans="3:47">
      <c r="C9836" s="20"/>
      <c r="Z9836" s="20"/>
      <c r="AG9836" s="20"/>
      <c r="AQ9836" s="19"/>
      <c r="AR9836" s="19"/>
      <c r="AS9836" s="19"/>
      <c r="AT9836" s="19"/>
      <c r="AU9836" s="19"/>
    </row>
    <row r="9837" spans="3:47">
      <c r="C9837" s="20"/>
      <c r="Z9837" s="20"/>
      <c r="AG9837" s="20"/>
      <c r="AQ9837" s="19"/>
      <c r="AR9837" s="19"/>
      <c r="AS9837" s="19"/>
      <c r="AT9837" s="19"/>
      <c r="AU9837" s="19"/>
    </row>
    <row r="9838" spans="3:47">
      <c r="C9838" s="20"/>
      <c r="Z9838" s="20"/>
      <c r="AG9838" s="20"/>
      <c r="AQ9838" s="19"/>
      <c r="AR9838" s="19"/>
      <c r="AS9838" s="19"/>
      <c r="AT9838" s="19"/>
      <c r="AU9838" s="19"/>
    </row>
    <row r="9839" spans="3:47">
      <c r="C9839" s="20"/>
      <c r="Z9839" s="20"/>
      <c r="AG9839" s="20"/>
      <c r="AQ9839" s="19"/>
      <c r="AR9839" s="19"/>
      <c r="AS9839" s="19"/>
      <c r="AT9839" s="19"/>
      <c r="AU9839" s="19"/>
    </row>
    <row r="9840" spans="3:47">
      <c r="C9840" s="20"/>
      <c r="Z9840" s="20"/>
      <c r="AG9840" s="20"/>
      <c r="AQ9840" s="19"/>
      <c r="AR9840" s="19"/>
      <c r="AS9840" s="19"/>
      <c r="AT9840" s="19"/>
      <c r="AU9840" s="19"/>
    </row>
    <row r="9841" spans="3:47">
      <c r="C9841" s="20"/>
      <c r="Z9841" s="20"/>
      <c r="AG9841" s="20"/>
      <c r="AQ9841" s="19"/>
      <c r="AR9841" s="19"/>
      <c r="AS9841" s="19"/>
      <c r="AT9841" s="19"/>
      <c r="AU9841" s="19"/>
    </row>
    <row r="9842" spans="3:47">
      <c r="C9842" s="20"/>
      <c r="Z9842" s="20"/>
      <c r="AG9842" s="20"/>
      <c r="AQ9842" s="19"/>
      <c r="AR9842" s="19"/>
      <c r="AS9842" s="19"/>
      <c r="AT9842" s="19"/>
      <c r="AU9842" s="19"/>
    </row>
    <row r="9843" spans="3:47">
      <c r="C9843" s="20"/>
      <c r="Z9843" s="20"/>
      <c r="AG9843" s="20"/>
      <c r="AQ9843" s="19"/>
      <c r="AR9843" s="19"/>
      <c r="AS9843" s="19"/>
      <c r="AT9843" s="19"/>
      <c r="AU9843" s="19"/>
    </row>
    <row r="9844" spans="3:47">
      <c r="C9844" s="20"/>
      <c r="Z9844" s="20"/>
      <c r="AG9844" s="20"/>
      <c r="AQ9844" s="19"/>
      <c r="AR9844" s="19"/>
      <c r="AS9844" s="19"/>
      <c r="AT9844" s="19"/>
      <c r="AU9844" s="19"/>
    </row>
    <row r="9845" spans="3:47">
      <c r="C9845" s="20"/>
      <c r="Z9845" s="20"/>
      <c r="AG9845" s="20"/>
      <c r="AQ9845" s="19"/>
      <c r="AR9845" s="19"/>
      <c r="AS9845" s="19"/>
      <c r="AT9845" s="19"/>
      <c r="AU9845" s="19"/>
    </row>
    <row r="9846" spans="3:47">
      <c r="C9846" s="20"/>
      <c r="Z9846" s="20"/>
      <c r="AG9846" s="20"/>
      <c r="AQ9846" s="19"/>
      <c r="AR9846" s="19"/>
      <c r="AS9846" s="19"/>
      <c r="AT9846" s="19"/>
      <c r="AU9846" s="19"/>
    </row>
    <row r="9847" spans="3:47">
      <c r="C9847" s="20"/>
      <c r="Z9847" s="20"/>
      <c r="AG9847" s="20"/>
      <c r="AQ9847" s="19"/>
      <c r="AR9847" s="19"/>
      <c r="AS9847" s="19"/>
      <c r="AT9847" s="19"/>
      <c r="AU9847" s="19"/>
    </row>
    <row r="9848" spans="3:47">
      <c r="C9848" s="20"/>
      <c r="Z9848" s="20"/>
      <c r="AG9848" s="20"/>
      <c r="AQ9848" s="19"/>
      <c r="AR9848" s="19"/>
      <c r="AS9848" s="19"/>
      <c r="AT9848" s="19"/>
      <c r="AU9848" s="19"/>
    </row>
    <row r="9849" spans="3:47">
      <c r="C9849" s="20"/>
      <c r="Z9849" s="20"/>
      <c r="AG9849" s="20"/>
      <c r="AQ9849" s="19"/>
      <c r="AR9849" s="19"/>
      <c r="AS9849" s="19"/>
      <c r="AT9849" s="19"/>
      <c r="AU9849" s="19"/>
    </row>
    <row r="9850" spans="3:47">
      <c r="C9850" s="20"/>
      <c r="Z9850" s="20"/>
      <c r="AG9850" s="20"/>
      <c r="AQ9850" s="19"/>
      <c r="AR9850" s="19"/>
      <c r="AS9850" s="19"/>
      <c r="AT9850" s="19"/>
      <c r="AU9850" s="19"/>
    </row>
    <row r="9851" spans="3:47">
      <c r="C9851" s="20"/>
      <c r="Z9851" s="20"/>
      <c r="AG9851" s="20"/>
      <c r="AQ9851" s="19"/>
      <c r="AR9851" s="19"/>
      <c r="AS9851" s="19"/>
      <c r="AT9851" s="19"/>
      <c r="AU9851" s="19"/>
    </row>
    <row r="9852" spans="3:47">
      <c r="C9852" s="20"/>
      <c r="Z9852" s="20"/>
      <c r="AG9852" s="20"/>
      <c r="AQ9852" s="19"/>
      <c r="AR9852" s="19"/>
      <c r="AS9852" s="19"/>
      <c r="AT9852" s="19"/>
      <c r="AU9852" s="19"/>
    </row>
    <row r="9853" spans="3:47">
      <c r="C9853" s="20"/>
      <c r="Z9853" s="20"/>
      <c r="AG9853" s="20"/>
      <c r="AQ9853" s="19"/>
      <c r="AR9853" s="19"/>
      <c r="AS9853" s="19"/>
      <c r="AT9853" s="19"/>
      <c r="AU9853" s="19"/>
    </row>
    <row r="9854" spans="3:47">
      <c r="C9854" s="20"/>
      <c r="Z9854" s="20"/>
      <c r="AG9854" s="20"/>
      <c r="AQ9854" s="19"/>
      <c r="AR9854" s="19"/>
      <c r="AS9854" s="19"/>
      <c r="AT9854" s="19"/>
      <c r="AU9854" s="19"/>
    </row>
    <row r="9855" spans="3:47">
      <c r="C9855" s="20"/>
      <c r="Z9855" s="20"/>
      <c r="AG9855" s="20"/>
      <c r="AQ9855" s="19"/>
      <c r="AR9855" s="19"/>
      <c r="AS9855" s="19"/>
      <c r="AT9855" s="19"/>
      <c r="AU9855" s="19"/>
    </row>
    <row r="9856" spans="3:47">
      <c r="C9856" s="20"/>
      <c r="Z9856" s="20"/>
      <c r="AG9856" s="20"/>
      <c r="AQ9856" s="19"/>
      <c r="AR9856" s="19"/>
      <c r="AS9856" s="19"/>
      <c r="AT9856" s="19"/>
      <c r="AU9856" s="19"/>
    </row>
    <row r="9857" spans="3:47">
      <c r="C9857" s="20"/>
      <c r="Z9857" s="20"/>
      <c r="AG9857" s="20"/>
      <c r="AQ9857" s="19"/>
      <c r="AR9857" s="19"/>
      <c r="AS9857" s="19"/>
      <c r="AT9857" s="19"/>
      <c r="AU9857" s="19"/>
    </row>
    <row r="9858" spans="3:47">
      <c r="C9858" s="20"/>
      <c r="Z9858" s="20"/>
      <c r="AG9858" s="20"/>
      <c r="AQ9858" s="19"/>
      <c r="AR9858" s="19"/>
      <c r="AS9858" s="19"/>
      <c r="AT9858" s="19"/>
      <c r="AU9858" s="19"/>
    </row>
    <row r="9859" spans="3:47">
      <c r="C9859" s="20"/>
      <c r="Z9859" s="20"/>
      <c r="AG9859" s="20"/>
      <c r="AQ9859" s="19"/>
      <c r="AR9859" s="19"/>
      <c r="AS9859" s="19"/>
      <c r="AT9859" s="19"/>
      <c r="AU9859" s="19"/>
    </row>
    <row r="9860" spans="3:47">
      <c r="C9860" s="20"/>
      <c r="Z9860" s="20"/>
      <c r="AG9860" s="20"/>
      <c r="AQ9860" s="19"/>
      <c r="AR9860" s="19"/>
      <c r="AS9860" s="19"/>
      <c r="AT9860" s="19"/>
      <c r="AU9860" s="19"/>
    </row>
    <row r="9861" spans="3:47">
      <c r="C9861" s="20"/>
      <c r="Z9861" s="20"/>
      <c r="AG9861" s="20"/>
      <c r="AQ9861" s="19"/>
      <c r="AR9861" s="19"/>
      <c r="AS9861" s="19"/>
      <c r="AT9861" s="19"/>
      <c r="AU9861" s="19"/>
    </row>
    <row r="9862" spans="3:47">
      <c r="C9862" s="20"/>
      <c r="Z9862" s="20"/>
      <c r="AG9862" s="20"/>
      <c r="AQ9862" s="19"/>
      <c r="AR9862" s="19"/>
      <c r="AS9862" s="19"/>
      <c r="AT9862" s="19"/>
      <c r="AU9862" s="19"/>
    </row>
    <row r="9863" spans="3:47">
      <c r="C9863" s="20"/>
      <c r="Z9863" s="20"/>
      <c r="AG9863" s="20"/>
      <c r="AQ9863" s="19"/>
      <c r="AR9863" s="19"/>
      <c r="AS9863" s="19"/>
      <c r="AT9863" s="19"/>
      <c r="AU9863" s="19"/>
    </row>
    <row r="9864" spans="3:47">
      <c r="C9864" s="20"/>
      <c r="Z9864" s="20"/>
      <c r="AG9864" s="20"/>
      <c r="AQ9864" s="19"/>
      <c r="AR9864" s="19"/>
      <c r="AS9864" s="19"/>
      <c r="AT9864" s="19"/>
      <c r="AU9864" s="19"/>
    </row>
    <row r="9865" spans="3:47">
      <c r="C9865" s="20"/>
      <c r="Z9865" s="20"/>
      <c r="AG9865" s="20"/>
      <c r="AQ9865" s="19"/>
      <c r="AR9865" s="19"/>
      <c r="AS9865" s="19"/>
      <c r="AT9865" s="19"/>
      <c r="AU9865" s="19"/>
    </row>
    <row r="9866" spans="3:47">
      <c r="C9866" s="20"/>
      <c r="Z9866" s="20"/>
      <c r="AG9866" s="20"/>
      <c r="AQ9866" s="19"/>
      <c r="AR9866" s="19"/>
      <c r="AS9866" s="19"/>
      <c r="AT9866" s="19"/>
      <c r="AU9866" s="19"/>
    </row>
    <row r="9867" spans="3:47">
      <c r="C9867" s="20"/>
      <c r="Z9867" s="20"/>
      <c r="AG9867" s="20"/>
      <c r="AQ9867" s="19"/>
      <c r="AR9867" s="19"/>
      <c r="AS9867" s="19"/>
      <c r="AT9867" s="19"/>
      <c r="AU9867" s="19"/>
    </row>
    <row r="9868" spans="3:47">
      <c r="C9868" s="20"/>
      <c r="Z9868" s="20"/>
      <c r="AG9868" s="20"/>
      <c r="AQ9868" s="19"/>
      <c r="AR9868" s="19"/>
      <c r="AS9868" s="19"/>
      <c r="AT9868" s="19"/>
      <c r="AU9868" s="19"/>
    </row>
    <row r="9869" spans="3:47">
      <c r="C9869" s="20"/>
      <c r="Z9869" s="20"/>
      <c r="AG9869" s="20"/>
      <c r="AQ9869" s="19"/>
      <c r="AR9869" s="19"/>
      <c r="AS9869" s="19"/>
      <c r="AT9869" s="19"/>
      <c r="AU9869" s="19"/>
    </row>
    <row r="9870" spans="3:47">
      <c r="C9870" s="20"/>
      <c r="Z9870" s="20"/>
      <c r="AG9870" s="20"/>
      <c r="AQ9870" s="19"/>
      <c r="AR9870" s="19"/>
      <c r="AS9870" s="19"/>
      <c r="AT9870" s="19"/>
      <c r="AU9870" s="19"/>
    </row>
    <row r="9871" spans="3:47">
      <c r="C9871" s="20"/>
      <c r="Z9871" s="20"/>
      <c r="AG9871" s="20"/>
      <c r="AQ9871" s="19"/>
      <c r="AR9871" s="19"/>
      <c r="AS9871" s="19"/>
      <c r="AT9871" s="19"/>
      <c r="AU9871" s="19"/>
    </row>
    <row r="9872" spans="3:47">
      <c r="C9872" s="20"/>
      <c r="Z9872" s="20"/>
      <c r="AG9872" s="20"/>
      <c r="AQ9872" s="19"/>
      <c r="AR9872" s="19"/>
      <c r="AS9872" s="19"/>
      <c r="AT9872" s="19"/>
      <c r="AU9872" s="19"/>
    </row>
    <row r="9873" spans="3:47">
      <c r="C9873" s="20"/>
      <c r="Z9873" s="20"/>
      <c r="AG9873" s="20"/>
      <c r="AQ9873" s="19"/>
      <c r="AR9873" s="19"/>
      <c r="AS9873" s="19"/>
      <c r="AT9873" s="19"/>
      <c r="AU9873" s="19"/>
    </row>
    <row r="9874" spans="3:47">
      <c r="C9874" s="20"/>
      <c r="Z9874" s="20"/>
      <c r="AG9874" s="20"/>
      <c r="AQ9874" s="19"/>
      <c r="AR9874" s="19"/>
      <c r="AS9874" s="19"/>
      <c r="AT9874" s="19"/>
      <c r="AU9874" s="19"/>
    </row>
    <row r="9875" spans="3:47">
      <c r="C9875" s="20"/>
      <c r="Z9875" s="20"/>
      <c r="AG9875" s="20"/>
      <c r="AQ9875" s="19"/>
      <c r="AR9875" s="19"/>
      <c r="AS9875" s="19"/>
      <c r="AT9875" s="19"/>
      <c r="AU9875" s="19"/>
    </row>
    <row r="9876" spans="3:47">
      <c r="C9876" s="20"/>
      <c r="Z9876" s="20"/>
      <c r="AG9876" s="20"/>
      <c r="AQ9876" s="19"/>
      <c r="AR9876" s="19"/>
      <c r="AS9876" s="19"/>
      <c r="AT9876" s="19"/>
      <c r="AU9876" s="19"/>
    </row>
    <row r="9877" spans="3:47">
      <c r="C9877" s="20"/>
      <c r="Z9877" s="20"/>
      <c r="AG9877" s="20"/>
      <c r="AQ9877" s="19"/>
      <c r="AR9877" s="19"/>
      <c r="AS9877" s="19"/>
      <c r="AT9877" s="19"/>
      <c r="AU9877" s="19"/>
    </row>
    <row r="9878" spans="3:47">
      <c r="C9878" s="20"/>
      <c r="Z9878" s="20"/>
      <c r="AG9878" s="20"/>
      <c r="AQ9878" s="19"/>
      <c r="AR9878" s="19"/>
      <c r="AS9878" s="19"/>
      <c r="AT9878" s="19"/>
      <c r="AU9878" s="19"/>
    </row>
    <row r="9879" spans="3:47">
      <c r="C9879" s="20"/>
      <c r="Z9879" s="20"/>
      <c r="AG9879" s="20"/>
      <c r="AQ9879" s="19"/>
      <c r="AR9879" s="19"/>
      <c r="AS9879" s="19"/>
      <c r="AT9879" s="19"/>
      <c r="AU9879" s="19"/>
    </row>
    <row r="9880" spans="3:47">
      <c r="C9880" s="20"/>
      <c r="Z9880" s="20"/>
      <c r="AG9880" s="20"/>
      <c r="AQ9880" s="19"/>
      <c r="AR9880" s="19"/>
      <c r="AS9880" s="19"/>
      <c r="AT9880" s="19"/>
      <c r="AU9880" s="19"/>
    </row>
    <row r="9881" spans="3:47">
      <c r="C9881" s="20"/>
      <c r="Z9881" s="20"/>
      <c r="AG9881" s="20"/>
      <c r="AQ9881" s="19"/>
      <c r="AR9881" s="19"/>
      <c r="AS9881" s="19"/>
      <c r="AT9881" s="19"/>
      <c r="AU9881" s="19"/>
    </row>
    <row r="9882" spans="3:47">
      <c r="C9882" s="20"/>
      <c r="Z9882" s="20"/>
      <c r="AG9882" s="20"/>
      <c r="AQ9882" s="19"/>
      <c r="AR9882" s="19"/>
      <c r="AS9882" s="19"/>
      <c r="AT9882" s="19"/>
      <c r="AU9882" s="19"/>
    </row>
    <row r="9883" spans="3:47">
      <c r="C9883" s="20"/>
      <c r="Z9883" s="20"/>
      <c r="AG9883" s="20"/>
      <c r="AQ9883" s="19"/>
      <c r="AR9883" s="19"/>
      <c r="AS9883" s="19"/>
      <c r="AT9883" s="19"/>
      <c r="AU9883" s="19"/>
    </row>
    <row r="9884" spans="3:47">
      <c r="C9884" s="20"/>
      <c r="Z9884" s="20"/>
      <c r="AG9884" s="20"/>
      <c r="AQ9884" s="19"/>
      <c r="AR9884" s="19"/>
      <c r="AS9884" s="19"/>
      <c r="AT9884" s="19"/>
      <c r="AU9884" s="19"/>
    </row>
    <row r="9885" spans="3:47">
      <c r="C9885" s="20"/>
      <c r="Z9885" s="20"/>
      <c r="AG9885" s="20"/>
      <c r="AQ9885" s="19"/>
      <c r="AR9885" s="19"/>
      <c r="AS9885" s="19"/>
      <c r="AT9885" s="19"/>
      <c r="AU9885" s="19"/>
    </row>
    <row r="9886" spans="3:47">
      <c r="C9886" s="20"/>
      <c r="Z9886" s="20"/>
      <c r="AG9886" s="20"/>
      <c r="AQ9886" s="19"/>
      <c r="AR9886" s="19"/>
      <c r="AS9886" s="19"/>
      <c r="AT9886" s="19"/>
      <c r="AU9886" s="19"/>
    </row>
    <row r="9887" spans="3:47">
      <c r="C9887" s="20"/>
      <c r="Z9887" s="20"/>
      <c r="AG9887" s="20"/>
      <c r="AQ9887" s="19"/>
      <c r="AR9887" s="19"/>
      <c r="AS9887" s="19"/>
      <c r="AT9887" s="19"/>
      <c r="AU9887" s="19"/>
    </row>
    <row r="9888" spans="3:47">
      <c r="C9888" s="20"/>
      <c r="Z9888" s="20"/>
      <c r="AG9888" s="20"/>
      <c r="AQ9888" s="19"/>
      <c r="AR9888" s="19"/>
      <c r="AS9888" s="19"/>
      <c r="AT9888" s="19"/>
      <c r="AU9888" s="19"/>
    </row>
    <row r="9889" spans="3:47">
      <c r="C9889" s="20"/>
      <c r="Z9889" s="20"/>
      <c r="AG9889" s="20"/>
      <c r="AQ9889" s="19"/>
      <c r="AR9889" s="19"/>
      <c r="AS9889" s="19"/>
      <c r="AT9889" s="19"/>
      <c r="AU9889" s="19"/>
    </row>
    <row r="9890" spans="3:47">
      <c r="C9890" s="20"/>
      <c r="Z9890" s="20"/>
      <c r="AG9890" s="20"/>
      <c r="AQ9890" s="19"/>
      <c r="AR9890" s="19"/>
      <c r="AS9890" s="19"/>
      <c r="AT9890" s="19"/>
      <c r="AU9890" s="19"/>
    </row>
    <row r="9891" spans="3:47">
      <c r="C9891" s="20"/>
      <c r="Z9891" s="20"/>
      <c r="AG9891" s="20"/>
      <c r="AQ9891" s="19"/>
      <c r="AR9891" s="19"/>
      <c r="AS9891" s="19"/>
      <c r="AT9891" s="19"/>
      <c r="AU9891" s="19"/>
    </row>
    <row r="9892" spans="3:47">
      <c r="C9892" s="20"/>
      <c r="Z9892" s="20"/>
      <c r="AG9892" s="20"/>
      <c r="AQ9892" s="19"/>
      <c r="AR9892" s="19"/>
      <c r="AS9892" s="19"/>
      <c r="AT9892" s="19"/>
      <c r="AU9892" s="19"/>
    </row>
    <row r="9893" spans="3:47">
      <c r="C9893" s="20"/>
      <c r="Z9893" s="20"/>
      <c r="AG9893" s="20"/>
      <c r="AQ9893" s="19"/>
      <c r="AR9893" s="19"/>
      <c r="AS9893" s="19"/>
      <c r="AT9893" s="19"/>
      <c r="AU9893" s="19"/>
    </row>
    <row r="9894" spans="3:47">
      <c r="C9894" s="20"/>
      <c r="Z9894" s="20"/>
      <c r="AG9894" s="20"/>
      <c r="AQ9894" s="19"/>
      <c r="AR9894" s="19"/>
      <c r="AS9894" s="19"/>
      <c r="AT9894" s="19"/>
      <c r="AU9894" s="19"/>
    </row>
    <row r="9895" spans="3:47">
      <c r="C9895" s="20"/>
      <c r="Z9895" s="20"/>
      <c r="AG9895" s="20"/>
      <c r="AQ9895" s="19"/>
      <c r="AR9895" s="19"/>
      <c r="AS9895" s="19"/>
      <c r="AT9895" s="19"/>
      <c r="AU9895" s="19"/>
    </row>
    <row r="9896" spans="3:47">
      <c r="C9896" s="20"/>
      <c r="Z9896" s="20"/>
      <c r="AG9896" s="20"/>
      <c r="AQ9896" s="19"/>
      <c r="AR9896" s="19"/>
      <c r="AS9896" s="19"/>
      <c r="AT9896" s="19"/>
      <c r="AU9896" s="19"/>
    </row>
    <row r="9897" spans="3:47">
      <c r="C9897" s="20"/>
      <c r="Z9897" s="20"/>
      <c r="AG9897" s="20"/>
      <c r="AQ9897" s="19"/>
      <c r="AR9897" s="19"/>
      <c r="AS9897" s="19"/>
      <c r="AT9897" s="19"/>
      <c r="AU9897" s="19"/>
    </row>
    <row r="9898" spans="3:47">
      <c r="C9898" s="20"/>
      <c r="Z9898" s="20"/>
      <c r="AG9898" s="20"/>
      <c r="AQ9898" s="19"/>
      <c r="AR9898" s="19"/>
      <c r="AS9898" s="19"/>
      <c r="AT9898" s="19"/>
      <c r="AU9898" s="19"/>
    </row>
    <row r="9899" spans="3:47">
      <c r="C9899" s="20"/>
      <c r="Z9899" s="20"/>
      <c r="AG9899" s="20"/>
      <c r="AQ9899" s="19"/>
      <c r="AR9899" s="19"/>
      <c r="AS9899" s="19"/>
      <c r="AT9899" s="19"/>
      <c r="AU9899" s="19"/>
    </row>
    <row r="9900" spans="3:47">
      <c r="C9900" s="20"/>
      <c r="Z9900" s="20"/>
      <c r="AG9900" s="20"/>
      <c r="AQ9900" s="19"/>
      <c r="AR9900" s="19"/>
      <c r="AS9900" s="19"/>
      <c r="AT9900" s="19"/>
      <c r="AU9900" s="19"/>
    </row>
    <row r="9901" spans="3:47">
      <c r="C9901" s="20"/>
      <c r="Z9901" s="20"/>
      <c r="AG9901" s="20"/>
      <c r="AQ9901" s="19"/>
      <c r="AR9901" s="19"/>
      <c r="AS9901" s="19"/>
      <c r="AT9901" s="19"/>
      <c r="AU9901" s="19"/>
    </row>
    <row r="9902" spans="3:47">
      <c r="C9902" s="20"/>
      <c r="Z9902" s="20"/>
      <c r="AG9902" s="20"/>
      <c r="AQ9902" s="19"/>
      <c r="AR9902" s="19"/>
      <c r="AS9902" s="19"/>
      <c r="AT9902" s="19"/>
      <c r="AU9902" s="19"/>
    </row>
    <row r="9903" spans="3:47">
      <c r="C9903" s="20"/>
      <c r="Z9903" s="20"/>
      <c r="AG9903" s="20"/>
      <c r="AQ9903" s="19"/>
      <c r="AR9903" s="19"/>
      <c r="AS9903" s="19"/>
      <c r="AT9903" s="19"/>
      <c r="AU9903" s="19"/>
    </row>
    <row r="9904" spans="3:47">
      <c r="C9904" s="20"/>
      <c r="Z9904" s="20"/>
      <c r="AG9904" s="20"/>
      <c r="AQ9904" s="19"/>
      <c r="AR9904" s="19"/>
      <c r="AS9904" s="19"/>
      <c r="AT9904" s="19"/>
      <c r="AU9904" s="19"/>
    </row>
    <row r="9905" spans="3:47">
      <c r="C9905" s="20"/>
      <c r="Z9905" s="20"/>
      <c r="AG9905" s="20"/>
      <c r="AQ9905" s="19"/>
      <c r="AR9905" s="19"/>
      <c r="AS9905" s="19"/>
      <c r="AT9905" s="19"/>
      <c r="AU9905" s="19"/>
    </row>
    <row r="9906" spans="3:47">
      <c r="C9906" s="20"/>
      <c r="Z9906" s="20"/>
      <c r="AG9906" s="20"/>
      <c r="AQ9906" s="19"/>
      <c r="AR9906" s="19"/>
      <c r="AS9906" s="19"/>
      <c r="AT9906" s="19"/>
      <c r="AU9906" s="19"/>
    </row>
    <row r="9907" spans="3:47">
      <c r="C9907" s="20"/>
      <c r="Z9907" s="20"/>
      <c r="AG9907" s="20"/>
      <c r="AQ9907" s="19"/>
      <c r="AR9907" s="19"/>
      <c r="AS9907" s="19"/>
      <c r="AT9907" s="19"/>
      <c r="AU9907" s="19"/>
    </row>
    <row r="9908" spans="3:47">
      <c r="C9908" s="20"/>
      <c r="Z9908" s="20"/>
      <c r="AG9908" s="20"/>
      <c r="AQ9908" s="19"/>
      <c r="AR9908" s="19"/>
      <c r="AS9908" s="19"/>
      <c r="AT9908" s="19"/>
      <c r="AU9908" s="19"/>
    </row>
    <row r="9909" spans="3:47">
      <c r="C9909" s="20"/>
      <c r="Z9909" s="20"/>
      <c r="AG9909" s="20"/>
      <c r="AQ9909" s="19"/>
      <c r="AR9909" s="19"/>
      <c r="AS9909" s="19"/>
      <c r="AT9909" s="19"/>
      <c r="AU9909" s="19"/>
    </row>
    <row r="9910" spans="3:47">
      <c r="C9910" s="20"/>
      <c r="Z9910" s="20"/>
      <c r="AG9910" s="20"/>
      <c r="AQ9910" s="19"/>
      <c r="AR9910" s="19"/>
      <c r="AS9910" s="19"/>
      <c r="AT9910" s="19"/>
      <c r="AU9910" s="19"/>
    </row>
    <row r="9911" spans="3:47">
      <c r="C9911" s="20"/>
      <c r="Z9911" s="20"/>
      <c r="AG9911" s="20"/>
      <c r="AQ9911" s="19"/>
      <c r="AR9911" s="19"/>
      <c r="AS9911" s="19"/>
      <c r="AT9911" s="19"/>
      <c r="AU9911" s="19"/>
    </row>
    <row r="9912" spans="3:47">
      <c r="C9912" s="20"/>
      <c r="Z9912" s="20"/>
      <c r="AG9912" s="20"/>
      <c r="AQ9912" s="19"/>
      <c r="AR9912" s="19"/>
      <c r="AS9912" s="19"/>
      <c r="AT9912" s="19"/>
      <c r="AU9912" s="19"/>
    </row>
    <row r="9913" spans="3:47">
      <c r="C9913" s="20"/>
      <c r="Z9913" s="20"/>
      <c r="AG9913" s="20"/>
      <c r="AQ9913" s="19"/>
      <c r="AR9913" s="19"/>
      <c r="AS9913" s="19"/>
      <c r="AT9913" s="19"/>
      <c r="AU9913" s="19"/>
    </row>
    <row r="9914" spans="3:47">
      <c r="C9914" s="20"/>
      <c r="Z9914" s="20"/>
      <c r="AG9914" s="20"/>
      <c r="AQ9914" s="19"/>
      <c r="AR9914" s="19"/>
      <c r="AS9914" s="19"/>
      <c r="AT9914" s="19"/>
      <c r="AU9914" s="19"/>
    </row>
    <row r="9915" spans="3:47">
      <c r="C9915" s="20"/>
      <c r="Z9915" s="20"/>
      <c r="AG9915" s="20"/>
      <c r="AQ9915" s="19"/>
      <c r="AR9915" s="19"/>
      <c r="AS9915" s="19"/>
      <c r="AT9915" s="19"/>
      <c r="AU9915" s="19"/>
    </row>
    <row r="9916" spans="3:47">
      <c r="C9916" s="20"/>
      <c r="Z9916" s="20"/>
      <c r="AG9916" s="20"/>
      <c r="AQ9916" s="19"/>
      <c r="AR9916" s="19"/>
      <c r="AS9916" s="19"/>
      <c r="AT9916" s="19"/>
      <c r="AU9916" s="19"/>
    </row>
    <row r="9917" spans="3:47">
      <c r="C9917" s="20"/>
      <c r="Z9917" s="20"/>
      <c r="AG9917" s="20"/>
      <c r="AQ9917" s="19"/>
      <c r="AR9917" s="19"/>
      <c r="AS9917" s="19"/>
      <c r="AT9917" s="19"/>
      <c r="AU9917" s="19"/>
    </row>
    <row r="9918" spans="3:47">
      <c r="C9918" s="20"/>
      <c r="Z9918" s="20"/>
      <c r="AG9918" s="20"/>
      <c r="AQ9918" s="19"/>
      <c r="AR9918" s="19"/>
      <c r="AS9918" s="19"/>
      <c r="AT9918" s="19"/>
      <c r="AU9918" s="19"/>
    </row>
    <row r="9919" spans="3:47">
      <c r="C9919" s="20"/>
      <c r="Z9919" s="20"/>
      <c r="AG9919" s="20"/>
      <c r="AQ9919" s="19"/>
      <c r="AR9919" s="19"/>
      <c r="AS9919" s="19"/>
      <c r="AT9919" s="19"/>
      <c r="AU9919" s="19"/>
    </row>
    <row r="9920" spans="3:47">
      <c r="C9920" s="20"/>
      <c r="Z9920" s="20"/>
      <c r="AG9920" s="20"/>
      <c r="AQ9920" s="19"/>
      <c r="AR9920" s="19"/>
      <c r="AS9920" s="19"/>
      <c r="AT9920" s="19"/>
      <c r="AU9920" s="19"/>
    </row>
    <row r="9921" spans="3:47">
      <c r="C9921" s="20"/>
      <c r="Z9921" s="20"/>
      <c r="AG9921" s="20"/>
      <c r="AQ9921" s="19"/>
      <c r="AR9921" s="19"/>
      <c r="AS9921" s="19"/>
      <c r="AT9921" s="19"/>
      <c r="AU9921" s="19"/>
    </row>
    <row r="9922" spans="3:47">
      <c r="C9922" s="20"/>
      <c r="Z9922" s="20"/>
      <c r="AG9922" s="20"/>
      <c r="AQ9922" s="19"/>
      <c r="AR9922" s="19"/>
      <c r="AS9922" s="19"/>
      <c r="AT9922" s="19"/>
      <c r="AU9922" s="19"/>
    </row>
    <row r="9923" spans="3:47">
      <c r="C9923" s="20"/>
      <c r="Z9923" s="20"/>
      <c r="AG9923" s="20"/>
      <c r="AQ9923" s="19"/>
      <c r="AR9923" s="19"/>
      <c r="AS9923" s="19"/>
      <c r="AT9923" s="19"/>
      <c r="AU9923" s="19"/>
    </row>
    <row r="9924" spans="3:47">
      <c r="C9924" s="20"/>
      <c r="Z9924" s="20"/>
      <c r="AG9924" s="20"/>
      <c r="AQ9924" s="19"/>
      <c r="AR9924" s="19"/>
      <c r="AS9924" s="19"/>
      <c r="AT9924" s="19"/>
      <c r="AU9924" s="19"/>
    </row>
    <row r="9925" spans="3:47">
      <c r="C9925" s="20"/>
      <c r="Z9925" s="20"/>
      <c r="AG9925" s="20"/>
      <c r="AQ9925" s="19"/>
      <c r="AR9925" s="19"/>
      <c r="AS9925" s="19"/>
      <c r="AT9925" s="19"/>
      <c r="AU9925" s="19"/>
    </row>
    <row r="9926" spans="3:47">
      <c r="C9926" s="20"/>
      <c r="Z9926" s="20"/>
      <c r="AG9926" s="20"/>
      <c r="AQ9926" s="19"/>
      <c r="AR9926" s="19"/>
      <c r="AS9926" s="19"/>
      <c r="AT9926" s="19"/>
      <c r="AU9926" s="19"/>
    </row>
    <row r="9927" spans="3:47">
      <c r="C9927" s="20"/>
      <c r="Z9927" s="20"/>
      <c r="AG9927" s="20"/>
      <c r="AQ9927" s="19"/>
      <c r="AR9927" s="19"/>
      <c r="AS9927" s="19"/>
      <c r="AT9927" s="19"/>
      <c r="AU9927" s="19"/>
    </row>
    <row r="9928" spans="3:47">
      <c r="C9928" s="20"/>
      <c r="Z9928" s="20"/>
      <c r="AG9928" s="20"/>
      <c r="AQ9928" s="19"/>
      <c r="AR9928" s="19"/>
      <c r="AS9928" s="19"/>
      <c r="AT9928" s="19"/>
      <c r="AU9928" s="19"/>
    </row>
    <row r="9929" spans="3:47">
      <c r="C9929" s="20"/>
      <c r="Z9929" s="20"/>
      <c r="AG9929" s="20"/>
      <c r="AQ9929" s="19"/>
      <c r="AR9929" s="19"/>
      <c r="AS9929" s="19"/>
      <c r="AT9929" s="19"/>
      <c r="AU9929" s="19"/>
    </row>
    <row r="9930" spans="3:47">
      <c r="C9930" s="20"/>
      <c r="Z9930" s="20"/>
      <c r="AG9930" s="20"/>
      <c r="AQ9930" s="19"/>
      <c r="AR9930" s="19"/>
      <c r="AS9930" s="19"/>
      <c r="AT9930" s="19"/>
      <c r="AU9930" s="19"/>
    </row>
    <row r="9931" spans="3:47">
      <c r="C9931" s="20"/>
      <c r="Z9931" s="20"/>
      <c r="AG9931" s="20"/>
      <c r="AQ9931" s="19"/>
      <c r="AR9931" s="19"/>
      <c r="AS9931" s="19"/>
      <c r="AT9931" s="19"/>
      <c r="AU9931" s="19"/>
    </row>
    <row r="9932" spans="3:47">
      <c r="C9932" s="20"/>
      <c r="Z9932" s="20"/>
      <c r="AG9932" s="20"/>
      <c r="AQ9932" s="19"/>
      <c r="AR9932" s="19"/>
      <c r="AS9932" s="19"/>
      <c r="AT9932" s="19"/>
      <c r="AU9932" s="19"/>
    </row>
    <row r="9933" spans="3:47">
      <c r="C9933" s="20"/>
      <c r="Z9933" s="20"/>
      <c r="AG9933" s="20"/>
      <c r="AQ9933" s="19"/>
      <c r="AR9933" s="19"/>
      <c r="AS9933" s="19"/>
      <c r="AT9933" s="19"/>
      <c r="AU9933" s="19"/>
    </row>
    <row r="9934" spans="3:47">
      <c r="C9934" s="20"/>
      <c r="Z9934" s="20"/>
      <c r="AG9934" s="20"/>
      <c r="AQ9934" s="19"/>
      <c r="AR9934" s="19"/>
      <c r="AS9934" s="19"/>
      <c r="AT9934" s="19"/>
      <c r="AU9934" s="19"/>
    </row>
    <row r="9935" spans="3:47">
      <c r="C9935" s="20"/>
      <c r="Z9935" s="20"/>
      <c r="AG9935" s="20"/>
      <c r="AQ9935" s="19"/>
      <c r="AR9935" s="19"/>
      <c r="AS9935" s="19"/>
      <c r="AT9935" s="19"/>
      <c r="AU9935" s="19"/>
    </row>
    <row r="9936" spans="3:47">
      <c r="C9936" s="20"/>
      <c r="Z9936" s="20"/>
      <c r="AG9936" s="20"/>
      <c r="AQ9936" s="19"/>
      <c r="AR9936" s="19"/>
      <c r="AS9936" s="19"/>
      <c r="AT9936" s="19"/>
      <c r="AU9936" s="19"/>
    </row>
    <row r="9937" spans="3:47">
      <c r="C9937" s="20"/>
      <c r="Z9937" s="20"/>
      <c r="AG9937" s="20"/>
      <c r="AQ9937" s="19"/>
      <c r="AR9937" s="19"/>
      <c r="AS9937" s="19"/>
      <c r="AT9937" s="19"/>
      <c r="AU9937" s="19"/>
    </row>
    <row r="9938" spans="3:47">
      <c r="C9938" s="20"/>
      <c r="Z9938" s="20"/>
      <c r="AG9938" s="20"/>
      <c r="AQ9938" s="19"/>
      <c r="AR9938" s="19"/>
      <c r="AS9938" s="19"/>
      <c r="AT9938" s="19"/>
      <c r="AU9938" s="19"/>
    </row>
    <row r="9939" spans="3:47">
      <c r="C9939" s="20"/>
      <c r="Z9939" s="20"/>
      <c r="AG9939" s="20"/>
      <c r="AQ9939" s="19"/>
      <c r="AR9939" s="19"/>
      <c r="AS9939" s="19"/>
      <c r="AT9939" s="19"/>
      <c r="AU9939" s="19"/>
    </row>
    <row r="9940" spans="3:47">
      <c r="C9940" s="20"/>
      <c r="Z9940" s="20"/>
      <c r="AG9940" s="20"/>
      <c r="AQ9940" s="19"/>
      <c r="AR9940" s="19"/>
      <c r="AS9940" s="19"/>
      <c r="AT9940" s="19"/>
      <c r="AU9940" s="19"/>
    </row>
    <row r="9941" spans="3:47">
      <c r="C9941" s="20"/>
      <c r="Z9941" s="20"/>
      <c r="AG9941" s="20"/>
      <c r="AQ9941" s="19"/>
      <c r="AR9941" s="19"/>
      <c r="AS9941" s="19"/>
      <c r="AT9941" s="19"/>
      <c r="AU9941" s="19"/>
    </row>
    <row r="9942" spans="3:47">
      <c r="C9942" s="20"/>
      <c r="Z9942" s="20"/>
      <c r="AG9942" s="20"/>
      <c r="AQ9942" s="19"/>
      <c r="AR9942" s="19"/>
      <c r="AS9942" s="19"/>
      <c r="AT9942" s="19"/>
      <c r="AU9942" s="19"/>
    </row>
    <row r="9943" spans="3:47">
      <c r="C9943" s="20"/>
      <c r="Z9943" s="20"/>
      <c r="AG9943" s="20"/>
      <c r="AQ9943" s="19"/>
      <c r="AR9943" s="19"/>
      <c r="AS9943" s="19"/>
      <c r="AT9943" s="19"/>
      <c r="AU9943" s="19"/>
    </row>
    <row r="9944" spans="3:47">
      <c r="C9944" s="20"/>
      <c r="Z9944" s="20"/>
      <c r="AG9944" s="20"/>
      <c r="AQ9944" s="19"/>
      <c r="AR9944" s="19"/>
      <c r="AS9944" s="19"/>
      <c r="AT9944" s="19"/>
      <c r="AU9944" s="19"/>
    </row>
    <row r="9945" spans="3:47">
      <c r="C9945" s="20"/>
      <c r="Z9945" s="20"/>
      <c r="AG9945" s="20"/>
      <c r="AQ9945" s="19"/>
      <c r="AR9945" s="19"/>
      <c r="AS9945" s="19"/>
      <c r="AT9945" s="19"/>
      <c r="AU9945" s="19"/>
    </row>
    <row r="9946" spans="3:47">
      <c r="C9946" s="20"/>
      <c r="Z9946" s="20"/>
      <c r="AG9946" s="20"/>
      <c r="AQ9946" s="19"/>
      <c r="AR9946" s="19"/>
      <c r="AS9946" s="19"/>
      <c r="AT9946" s="19"/>
      <c r="AU9946" s="19"/>
    </row>
    <row r="9947" spans="3:47">
      <c r="C9947" s="20"/>
      <c r="Z9947" s="20"/>
      <c r="AG9947" s="20"/>
      <c r="AQ9947" s="19"/>
      <c r="AR9947" s="19"/>
      <c r="AS9947" s="19"/>
      <c r="AT9947" s="19"/>
      <c r="AU9947" s="19"/>
    </row>
    <row r="9948" spans="3:47">
      <c r="C9948" s="20"/>
      <c r="Z9948" s="20"/>
      <c r="AG9948" s="20"/>
      <c r="AQ9948" s="19"/>
      <c r="AR9948" s="19"/>
      <c r="AS9948" s="19"/>
      <c r="AT9948" s="19"/>
      <c r="AU9948" s="19"/>
    </row>
    <row r="9949" spans="3:47">
      <c r="C9949" s="20"/>
      <c r="Z9949" s="20"/>
      <c r="AG9949" s="20"/>
      <c r="AQ9949" s="19"/>
      <c r="AR9949" s="19"/>
      <c r="AS9949" s="19"/>
      <c r="AT9949" s="19"/>
      <c r="AU9949" s="19"/>
    </row>
    <row r="9950" spans="3:47">
      <c r="C9950" s="20"/>
      <c r="Z9950" s="20"/>
      <c r="AG9950" s="20"/>
      <c r="AQ9950" s="19"/>
      <c r="AR9950" s="19"/>
      <c r="AS9950" s="19"/>
      <c r="AT9950" s="19"/>
      <c r="AU9950" s="19"/>
    </row>
    <row r="9951" spans="3:47">
      <c r="C9951" s="20"/>
      <c r="Z9951" s="20"/>
      <c r="AG9951" s="20"/>
      <c r="AQ9951" s="19"/>
      <c r="AR9951" s="19"/>
      <c r="AS9951" s="19"/>
      <c r="AT9951" s="19"/>
      <c r="AU9951" s="19"/>
    </row>
    <row r="9952" spans="3:47">
      <c r="C9952" s="20"/>
      <c r="Z9952" s="20"/>
      <c r="AG9952" s="20"/>
      <c r="AQ9952" s="19"/>
      <c r="AR9952" s="19"/>
      <c r="AS9952" s="19"/>
      <c r="AT9952" s="19"/>
      <c r="AU9952" s="19"/>
    </row>
    <row r="9953" spans="3:47">
      <c r="C9953" s="20"/>
      <c r="Z9953" s="20"/>
      <c r="AG9953" s="20"/>
      <c r="AQ9953" s="19"/>
      <c r="AR9953" s="19"/>
      <c r="AS9953" s="19"/>
      <c r="AT9953" s="19"/>
      <c r="AU9953" s="19"/>
    </row>
    <row r="9954" spans="3:47">
      <c r="C9954" s="20"/>
      <c r="Z9954" s="20"/>
      <c r="AG9954" s="20"/>
      <c r="AQ9954" s="19"/>
      <c r="AR9954" s="19"/>
      <c r="AS9954" s="19"/>
      <c r="AT9954" s="19"/>
      <c r="AU9954" s="19"/>
    </row>
    <row r="9955" spans="3:47">
      <c r="C9955" s="20"/>
      <c r="Z9955" s="20"/>
      <c r="AG9955" s="20"/>
      <c r="AQ9955" s="19"/>
      <c r="AR9955" s="19"/>
      <c r="AS9955" s="19"/>
      <c r="AT9955" s="19"/>
      <c r="AU9955" s="19"/>
    </row>
    <row r="9956" spans="3:47">
      <c r="C9956" s="20"/>
      <c r="Z9956" s="20"/>
      <c r="AG9956" s="20"/>
      <c r="AQ9956" s="19"/>
      <c r="AR9956" s="19"/>
      <c r="AS9956" s="19"/>
      <c r="AT9956" s="19"/>
      <c r="AU9956" s="19"/>
    </row>
    <row r="9957" spans="3:47">
      <c r="C9957" s="20"/>
      <c r="Z9957" s="20"/>
      <c r="AG9957" s="20"/>
      <c r="AQ9957" s="19"/>
      <c r="AR9957" s="19"/>
      <c r="AS9957" s="19"/>
      <c r="AT9957" s="19"/>
      <c r="AU9957" s="19"/>
    </row>
    <row r="9958" spans="3:47">
      <c r="C9958" s="20"/>
      <c r="Z9958" s="20"/>
      <c r="AG9958" s="20"/>
      <c r="AQ9958" s="19"/>
      <c r="AR9958" s="19"/>
      <c r="AS9958" s="19"/>
      <c r="AT9958" s="19"/>
      <c r="AU9958" s="19"/>
    </row>
    <row r="9959" spans="3:47">
      <c r="C9959" s="20"/>
      <c r="Z9959" s="20"/>
      <c r="AG9959" s="20"/>
      <c r="AQ9959" s="19"/>
      <c r="AR9959" s="19"/>
      <c r="AS9959" s="19"/>
      <c r="AT9959" s="19"/>
      <c r="AU9959" s="19"/>
    </row>
    <row r="9960" spans="3:47">
      <c r="C9960" s="20"/>
      <c r="Z9960" s="20"/>
      <c r="AG9960" s="20"/>
      <c r="AQ9960" s="19"/>
      <c r="AR9960" s="19"/>
      <c r="AS9960" s="19"/>
      <c r="AT9960" s="19"/>
      <c r="AU9960" s="19"/>
    </row>
    <row r="9961" spans="3:47">
      <c r="C9961" s="20"/>
      <c r="Z9961" s="20"/>
      <c r="AG9961" s="20"/>
      <c r="AQ9961" s="19"/>
      <c r="AR9961" s="19"/>
      <c r="AS9961" s="19"/>
      <c r="AT9961" s="19"/>
      <c r="AU9961" s="19"/>
    </row>
    <row r="9962" spans="3:47">
      <c r="C9962" s="20"/>
      <c r="Z9962" s="20"/>
      <c r="AG9962" s="20"/>
      <c r="AQ9962" s="19"/>
      <c r="AR9962" s="19"/>
      <c r="AS9962" s="19"/>
      <c r="AT9962" s="19"/>
      <c r="AU9962" s="19"/>
    </row>
    <row r="9963" spans="3:47">
      <c r="C9963" s="20"/>
      <c r="Z9963" s="20"/>
      <c r="AG9963" s="20"/>
      <c r="AQ9963" s="19"/>
      <c r="AR9963" s="19"/>
      <c r="AS9963" s="19"/>
      <c r="AT9963" s="19"/>
      <c r="AU9963" s="19"/>
    </row>
    <row r="9964" spans="3:47">
      <c r="C9964" s="20"/>
      <c r="Z9964" s="20"/>
      <c r="AG9964" s="20"/>
      <c r="AQ9964" s="19"/>
      <c r="AR9964" s="19"/>
      <c r="AS9964" s="19"/>
      <c r="AT9964" s="19"/>
      <c r="AU9964" s="19"/>
    </row>
    <row r="9965" spans="3:47">
      <c r="C9965" s="20"/>
      <c r="Z9965" s="20"/>
      <c r="AG9965" s="20"/>
      <c r="AQ9965" s="19"/>
      <c r="AR9965" s="19"/>
      <c r="AS9965" s="19"/>
      <c r="AT9965" s="19"/>
      <c r="AU9965" s="19"/>
    </row>
    <row r="9966" spans="3:47">
      <c r="C9966" s="20"/>
      <c r="Z9966" s="20"/>
      <c r="AG9966" s="20"/>
      <c r="AQ9966" s="19"/>
      <c r="AR9966" s="19"/>
      <c r="AS9966" s="19"/>
      <c r="AT9966" s="19"/>
      <c r="AU9966" s="19"/>
    </row>
    <row r="9967" spans="3:47">
      <c r="C9967" s="20"/>
      <c r="Z9967" s="20"/>
      <c r="AG9967" s="20"/>
      <c r="AQ9967" s="19"/>
      <c r="AR9967" s="19"/>
      <c r="AS9967" s="19"/>
      <c r="AT9967" s="19"/>
      <c r="AU9967" s="19"/>
    </row>
    <row r="9968" spans="3:47">
      <c r="C9968" s="20"/>
      <c r="Z9968" s="20"/>
      <c r="AG9968" s="20"/>
      <c r="AQ9968" s="19"/>
      <c r="AR9968" s="19"/>
      <c r="AS9968" s="19"/>
      <c r="AT9968" s="19"/>
      <c r="AU9968" s="19"/>
    </row>
    <row r="9969" spans="3:47">
      <c r="C9969" s="20"/>
      <c r="Z9969" s="20"/>
      <c r="AG9969" s="20"/>
      <c r="AQ9969" s="19"/>
      <c r="AR9969" s="19"/>
      <c r="AS9969" s="19"/>
      <c r="AT9969" s="19"/>
      <c r="AU9969" s="19"/>
    </row>
    <row r="9970" spans="3:47">
      <c r="C9970" s="20"/>
      <c r="Z9970" s="20"/>
      <c r="AG9970" s="20"/>
      <c r="AQ9970" s="19"/>
      <c r="AR9970" s="19"/>
      <c r="AS9970" s="19"/>
      <c r="AT9970" s="19"/>
      <c r="AU9970" s="19"/>
    </row>
    <row r="9971" spans="3:47">
      <c r="C9971" s="20"/>
      <c r="Z9971" s="20"/>
      <c r="AG9971" s="20"/>
      <c r="AQ9971" s="19"/>
      <c r="AR9971" s="19"/>
      <c r="AS9971" s="19"/>
      <c r="AT9971" s="19"/>
      <c r="AU9971" s="19"/>
    </row>
    <row r="9972" spans="3:47">
      <c r="C9972" s="20"/>
      <c r="Z9972" s="20"/>
      <c r="AG9972" s="20"/>
      <c r="AQ9972" s="19"/>
      <c r="AR9972" s="19"/>
      <c r="AS9972" s="19"/>
      <c r="AT9972" s="19"/>
      <c r="AU9972" s="19"/>
    </row>
    <row r="9973" spans="3:47">
      <c r="C9973" s="20"/>
      <c r="Z9973" s="20"/>
      <c r="AG9973" s="20"/>
      <c r="AQ9973" s="19"/>
      <c r="AR9973" s="19"/>
      <c r="AS9973" s="19"/>
      <c r="AT9973" s="19"/>
      <c r="AU9973" s="19"/>
    </row>
    <row r="9974" spans="3:47">
      <c r="C9974" s="20"/>
      <c r="Z9974" s="20"/>
      <c r="AG9974" s="20"/>
      <c r="AQ9974" s="19"/>
      <c r="AR9974" s="19"/>
      <c r="AS9974" s="19"/>
      <c r="AT9974" s="19"/>
      <c r="AU9974" s="19"/>
    </row>
    <row r="9975" spans="3:47">
      <c r="C9975" s="20"/>
      <c r="Z9975" s="20"/>
      <c r="AG9975" s="20"/>
      <c r="AQ9975" s="19"/>
      <c r="AR9975" s="19"/>
      <c r="AS9975" s="19"/>
      <c r="AT9975" s="19"/>
      <c r="AU9975" s="19"/>
    </row>
    <row r="9976" spans="3:47">
      <c r="C9976" s="20"/>
      <c r="Z9976" s="20"/>
      <c r="AG9976" s="20"/>
      <c r="AQ9976" s="19"/>
      <c r="AR9976" s="19"/>
      <c r="AS9976" s="19"/>
      <c r="AT9976" s="19"/>
      <c r="AU9976" s="19"/>
    </row>
    <row r="9977" spans="3:47">
      <c r="C9977" s="20"/>
      <c r="Z9977" s="20"/>
      <c r="AG9977" s="20"/>
      <c r="AQ9977" s="19"/>
      <c r="AR9977" s="19"/>
      <c r="AS9977" s="19"/>
      <c r="AT9977" s="19"/>
      <c r="AU9977" s="19"/>
    </row>
    <row r="9978" spans="3:47">
      <c r="C9978" s="20"/>
      <c r="Z9978" s="20"/>
      <c r="AG9978" s="20"/>
      <c r="AQ9978" s="19"/>
      <c r="AR9978" s="19"/>
      <c r="AS9978" s="19"/>
      <c r="AT9978" s="19"/>
      <c r="AU9978" s="19"/>
    </row>
    <row r="9979" spans="3:47">
      <c r="C9979" s="20"/>
      <c r="Z9979" s="20"/>
      <c r="AG9979" s="20"/>
      <c r="AQ9979" s="19"/>
      <c r="AR9979" s="19"/>
      <c r="AS9979" s="19"/>
      <c r="AT9979" s="19"/>
      <c r="AU9979" s="19"/>
    </row>
    <row r="9980" spans="3:47">
      <c r="C9980" s="20"/>
      <c r="Z9980" s="20"/>
      <c r="AG9980" s="20"/>
      <c r="AQ9980" s="19"/>
      <c r="AR9980" s="19"/>
      <c r="AS9980" s="19"/>
      <c r="AT9980" s="19"/>
      <c r="AU9980" s="19"/>
    </row>
    <row r="9981" spans="3:47">
      <c r="C9981" s="20"/>
      <c r="Z9981" s="20"/>
      <c r="AG9981" s="20"/>
      <c r="AQ9981" s="19"/>
      <c r="AR9981" s="19"/>
      <c r="AS9981" s="19"/>
      <c r="AT9981" s="19"/>
      <c r="AU9981" s="19"/>
    </row>
    <row r="9982" spans="3:47">
      <c r="C9982" s="20"/>
      <c r="Z9982" s="20"/>
      <c r="AG9982" s="20"/>
      <c r="AQ9982" s="19"/>
      <c r="AR9982" s="19"/>
      <c r="AS9982" s="19"/>
      <c r="AT9982" s="19"/>
      <c r="AU9982" s="19"/>
    </row>
    <row r="9983" spans="3:47">
      <c r="C9983" s="20"/>
      <c r="Z9983" s="20"/>
      <c r="AG9983" s="20"/>
      <c r="AQ9983" s="19"/>
      <c r="AR9983" s="19"/>
      <c r="AS9983" s="19"/>
      <c r="AT9983" s="19"/>
      <c r="AU9983" s="19"/>
    </row>
    <row r="9984" spans="3:47">
      <c r="C9984" s="20"/>
      <c r="Z9984" s="20"/>
      <c r="AG9984" s="20"/>
      <c r="AQ9984" s="19"/>
      <c r="AR9984" s="19"/>
      <c r="AS9984" s="19"/>
      <c r="AT9984" s="19"/>
      <c r="AU9984" s="19"/>
    </row>
    <row r="9985" spans="3:47">
      <c r="C9985" s="20"/>
      <c r="Z9985" s="20"/>
      <c r="AG9985" s="20"/>
      <c r="AQ9985" s="19"/>
      <c r="AR9985" s="19"/>
      <c r="AS9985" s="19"/>
      <c r="AT9985" s="19"/>
      <c r="AU9985" s="19"/>
    </row>
    <row r="9986" spans="3:47">
      <c r="C9986" s="20"/>
      <c r="Z9986" s="20"/>
      <c r="AG9986" s="20"/>
      <c r="AQ9986" s="19"/>
      <c r="AR9986" s="19"/>
      <c r="AS9986" s="19"/>
      <c r="AT9986" s="19"/>
      <c r="AU9986" s="19"/>
    </row>
    <row r="9987" spans="3:47">
      <c r="C9987" s="20"/>
      <c r="Z9987" s="20"/>
      <c r="AG9987" s="20"/>
      <c r="AQ9987" s="19"/>
      <c r="AR9987" s="19"/>
      <c r="AS9987" s="19"/>
      <c r="AT9987" s="19"/>
      <c r="AU9987" s="19"/>
    </row>
    <row r="9988" spans="3:47">
      <c r="C9988" s="20"/>
      <c r="Z9988" s="20"/>
      <c r="AG9988" s="20"/>
      <c r="AQ9988" s="19"/>
      <c r="AR9988" s="19"/>
      <c r="AS9988" s="19"/>
      <c r="AT9988" s="19"/>
      <c r="AU9988" s="19"/>
    </row>
    <row r="9989" spans="3:47">
      <c r="C9989" s="20"/>
      <c r="Z9989" s="20"/>
      <c r="AG9989" s="20"/>
      <c r="AQ9989" s="19"/>
      <c r="AR9989" s="19"/>
      <c r="AS9989" s="19"/>
      <c r="AT9989" s="19"/>
      <c r="AU9989" s="19"/>
    </row>
    <row r="9990" spans="3:47">
      <c r="C9990" s="20"/>
      <c r="Z9990" s="20"/>
      <c r="AG9990" s="20"/>
      <c r="AQ9990" s="19"/>
      <c r="AR9990" s="19"/>
      <c r="AS9990" s="19"/>
      <c r="AT9990" s="19"/>
      <c r="AU9990" s="19"/>
    </row>
    <row r="9991" spans="3:47">
      <c r="C9991" s="20"/>
      <c r="Z9991" s="20"/>
      <c r="AG9991" s="20"/>
      <c r="AQ9991" s="19"/>
      <c r="AR9991" s="19"/>
      <c r="AS9991" s="19"/>
      <c r="AT9991" s="19"/>
      <c r="AU9991" s="19"/>
    </row>
    <row r="9992" spans="3:47">
      <c r="C9992" s="20"/>
      <c r="Z9992" s="20"/>
      <c r="AG9992" s="20"/>
      <c r="AQ9992" s="19"/>
      <c r="AR9992" s="19"/>
      <c r="AS9992" s="19"/>
      <c r="AT9992" s="19"/>
      <c r="AU9992" s="19"/>
    </row>
    <row r="9993" spans="3:47">
      <c r="C9993" s="20"/>
      <c r="Z9993" s="20"/>
      <c r="AG9993" s="20"/>
      <c r="AQ9993" s="19"/>
      <c r="AR9993" s="19"/>
      <c r="AS9993" s="19"/>
      <c r="AT9993" s="19"/>
      <c r="AU9993" s="19"/>
    </row>
    <row r="9994" spans="3:47">
      <c r="C9994" s="20"/>
      <c r="Z9994" s="20"/>
      <c r="AG9994" s="20"/>
      <c r="AQ9994" s="19"/>
      <c r="AR9994" s="19"/>
      <c r="AS9994" s="19"/>
      <c r="AT9994" s="19"/>
      <c r="AU9994" s="19"/>
    </row>
    <row r="9995" spans="3:47">
      <c r="C9995" s="20"/>
      <c r="Z9995" s="20"/>
      <c r="AG9995" s="20"/>
      <c r="AQ9995" s="19"/>
      <c r="AR9995" s="19"/>
      <c r="AS9995" s="19"/>
      <c r="AT9995" s="19"/>
      <c r="AU9995" s="19"/>
    </row>
    <row r="9996" spans="3:47">
      <c r="C9996" s="20"/>
      <c r="Z9996" s="20"/>
      <c r="AG9996" s="20"/>
      <c r="AQ9996" s="19"/>
      <c r="AR9996" s="19"/>
      <c r="AS9996" s="19"/>
      <c r="AT9996" s="19"/>
      <c r="AU9996" s="19"/>
    </row>
    <row r="9997" spans="3:47">
      <c r="C9997" s="20"/>
      <c r="Z9997" s="20"/>
      <c r="AG9997" s="20"/>
      <c r="AQ9997" s="19"/>
      <c r="AR9997" s="19"/>
      <c r="AS9997" s="19"/>
      <c r="AT9997" s="19"/>
      <c r="AU9997" s="19"/>
    </row>
    <row r="9998" spans="3:47">
      <c r="C9998" s="20"/>
      <c r="Z9998" s="20"/>
      <c r="AG9998" s="20"/>
      <c r="AQ9998" s="19"/>
      <c r="AR9998" s="19"/>
      <c r="AS9998" s="19"/>
      <c r="AT9998" s="19"/>
      <c r="AU9998" s="19"/>
    </row>
    <row r="9999" spans="3:47">
      <c r="C9999" s="20"/>
      <c r="Z9999" s="20"/>
      <c r="AG9999" s="20"/>
      <c r="AQ9999" s="19"/>
      <c r="AR9999" s="19"/>
      <c r="AS9999" s="19"/>
      <c r="AT9999" s="19"/>
      <c r="AU9999" s="19"/>
    </row>
    <row r="10000" spans="3:47">
      <c r="C10000" s="20"/>
      <c r="Z10000" s="20"/>
      <c r="AG10000" s="20"/>
      <c r="AQ10000" s="19"/>
      <c r="AR10000" s="19"/>
      <c r="AS10000" s="19"/>
      <c r="AT10000" s="19"/>
      <c r="AU10000" s="19"/>
    </row>
    <row r="10001" spans="3:47">
      <c r="C10001" s="20"/>
      <c r="Z10001" s="20"/>
      <c r="AG10001" s="20"/>
      <c r="AQ10001" s="19"/>
      <c r="AR10001" s="19"/>
      <c r="AS10001" s="19"/>
      <c r="AT10001" s="19"/>
      <c r="AU10001" s="19"/>
    </row>
    <row r="10002" spans="3:47">
      <c r="C10002" s="20"/>
      <c r="Z10002" s="20"/>
      <c r="AG10002" s="20"/>
      <c r="AQ10002" s="19"/>
      <c r="AR10002" s="19"/>
      <c r="AS10002" s="19"/>
      <c r="AT10002" s="19"/>
      <c r="AU10002" s="19"/>
    </row>
    <row r="10003" spans="3:47">
      <c r="C10003" s="20"/>
      <c r="Z10003" s="20"/>
      <c r="AG10003" s="20"/>
      <c r="AQ10003" s="19"/>
      <c r="AR10003" s="19"/>
      <c r="AS10003" s="19"/>
      <c r="AT10003" s="19"/>
      <c r="AU10003" s="19"/>
    </row>
    <row r="10004" spans="3:47">
      <c r="C10004" s="20"/>
      <c r="Z10004" s="20"/>
      <c r="AG10004" s="20"/>
      <c r="AQ10004" s="19"/>
      <c r="AR10004" s="19"/>
      <c r="AS10004" s="19"/>
      <c r="AT10004" s="19"/>
      <c r="AU10004" s="19"/>
    </row>
    <row r="10005" spans="3:47">
      <c r="C10005" s="20"/>
      <c r="Z10005" s="20"/>
      <c r="AG10005" s="20"/>
      <c r="AQ10005" s="19"/>
      <c r="AR10005" s="19"/>
      <c r="AS10005" s="19"/>
      <c r="AT10005" s="19"/>
      <c r="AU10005" s="19"/>
    </row>
    <row r="10006" spans="3:47">
      <c r="C10006" s="20"/>
      <c r="Z10006" s="20"/>
      <c r="AG10006" s="20"/>
      <c r="AQ10006" s="19"/>
      <c r="AR10006" s="19"/>
      <c r="AS10006" s="19"/>
      <c r="AT10006" s="19"/>
      <c r="AU10006" s="19"/>
    </row>
    <row r="10007" spans="3:47">
      <c r="C10007" s="20"/>
      <c r="Z10007" s="20"/>
      <c r="AG10007" s="20"/>
      <c r="AQ10007" s="19"/>
      <c r="AR10007" s="19"/>
      <c r="AS10007" s="19"/>
      <c r="AT10007" s="19"/>
      <c r="AU10007" s="19"/>
    </row>
    <row r="10008" spans="3:47">
      <c r="C10008" s="20"/>
      <c r="Z10008" s="20"/>
      <c r="AG10008" s="20"/>
      <c r="AQ10008" s="19"/>
      <c r="AR10008" s="19"/>
      <c r="AS10008" s="19"/>
      <c r="AT10008" s="19"/>
      <c r="AU10008" s="19"/>
    </row>
    <row r="10009" spans="3:47">
      <c r="C10009" s="20"/>
      <c r="Z10009" s="20"/>
      <c r="AG10009" s="20"/>
      <c r="AQ10009" s="19"/>
      <c r="AR10009" s="19"/>
      <c r="AS10009" s="19"/>
      <c r="AT10009" s="19"/>
      <c r="AU10009" s="19"/>
    </row>
    <row r="10010" spans="3:47">
      <c r="C10010" s="20"/>
      <c r="Z10010" s="20"/>
      <c r="AG10010" s="20"/>
      <c r="AQ10010" s="19"/>
      <c r="AR10010" s="19"/>
      <c r="AS10010" s="19"/>
      <c r="AT10010" s="19"/>
      <c r="AU10010" s="19"/>
    </row>
    <row r="10011" spans="3:47">
      <c r="C10011" s="20"/>
      <c r="Z10011" s="20"/>
      <c r="AG10011" s="20"/>
      <c r="AQ10011" s="19"/>
      <c r="AR10011" s="19"/>
      <c r="AS10011" s="19"/>
      <c r="AT10011" s="19"/>
      <c r="AU10011" s="19"/>
    </row>
    <row r="10012" spans="3:47">
      <c r="C10012" s="20"/>
      <c r="Z10012" s="20"/>
      <c r="AG10012" s="20"/>
      <c r="AQ10012" s="19"/>
      <c r="AR10012" s="19"/>
      <c r="AS10012" s="19"/>
      <c r="AT10012" s="19"/>
      <c r="AU10012" s="19"/>
    </row>
    <row r="10013" spans="3:47">
      <c r="C10013" s="20"/>
      <c r="Z10013" s="20"/>
      <c r="AG10013" s="20"/>
      <c r="AQ10013" s="19"/>
      <c r="AR10013" s="19"/>
      <c r="AS10013" s="19"/>
      <c r="AT10013" s="19"/>
      <c r="AU10013" s="19"/>
    </row>
    <row r="10014" spans="3:47">
      <c r="C10014" s="20"/>
      <c r="Z10014" s="20"/>
      <c r="AG10014" s="20"/>
      <c r="AQ10014" s="19"/>
      <c r="AR10014" s="19"/>
      <c r="AS10014" s="19"/>
      <c r="AT10014" s="19"/>
      <c r="AU10014" s="19"/>
    </row>
    <row r="10015" spans="3:47">
      <c r="C10015" s="20"/>
      <c r="Z10015" s="20"/>
      <c r="AG10015" s="20"/>
      <c r="AQ10015" s="19"/>
      <c r="AR10015" s="19"/>
      <c r="AS10015" s="19"/>
      <c r="AT10015" s="19"/>
      <c r="AU10015" s="19"/>
    </row>
    <row r="10016" spans="3:47">
      <c r="C10016" s="20"/>
      <c r="Z10016" s="20"/>
      <c r="AG10016" s="20"/>
      <c r="AQ10016" s="19"/>
      <c r="AR10016" s="19"/>
      <c r="AS10016" s="19"/>
      <c r="AT10016" s="19"/>
      <c r="AU10016" s="19"/>
    </row>
    <row r="10017" spans="3:47">
      <c r="C10017" s="20"/>
      <c r="Z10017" s="20"/>
      <c r="AG10017" s="20"/>
      <c r="AQ10017" s="19"/>
      <c r="AR10017" s="19"/>
      <c r="AS10017" s="19"/>
      <c r="AT10017" s="19"/>
      <c r="AU10017" s="19"/>
    </row>
    <row r="10018" spans="3:47">
      <c r="C10018" s="20"/>
      <c r="Z10018" s="20"/>
      <c r="AG10018" s="20"/>
      <c r="AQ10018" s="19"/>
      <c r="AR10018" s="19"/>
      <c r="AS10018" s="19"/>
      <c r="AT10018" s="19"/>
      <c r="AU10018" s="19"/>
    </row>
    <row r="10019" spans="3:47">
      <c r="C10019" s="20"/>
      <c r="Z10019" s="20"/>
      <c r="AG10019" s="20"/>
      <c r="AQ10019" s="19"/>
      <c r="AR10019" s="19"/>
      <c r="AS10019" s="19"/>
      <c r="AT10019" s="19"/>
      <c r="AU10019" s="19"/>
    </row>
    <row r="10020" spans="3:47">
      <c r="C10020" s="20"/>
      <c r="Z10020" s="20"/>
      <c r="AG10020" s="20"/>
      <c r="AQ10020" s="19"/>
      <c r="AR10020" s="19"/>
      <c r="AS10020" s="19"/>
      <c r="AT10020" s="19"/>
      <c r="AU10020" s="19"/>
    </row>
    <row r="10021" spans="3:47">
      <c r="C10021" s="20"/>
      <c r="Z10021" s="20"/>
      <c r="AG10021" s="20"/>
      <c r="AQ10021" s="19"/>
      <c r="AR10021" s="19"/>
      <c r="AS10021" s="19"/>
      <c r="AT10021" s="19"/>
      <c r="AU10021" s="19"/>
    </row>
    <row r="10022" spans="3:47">
      <c r="C10022" s="20"/>
      <c r="Z10022" s="20"/>
      <c r="AG10022" s="20"/>
      <c r="AQ10022" s="19"/>
      <c r="AR10022" s="19"/>
      <c r="AS10022" s="19"/>
      <c r="AT10022" s="19"/>
      <c r="AU10022" s="19"/>
    </row>
    <row r="10023" spans="3:47">
      <c r="C10023" s="20"/>
      <c r="Z10023" s="20"/>
      <c r="AG10023" s="20"/>
      <c r="AQ10023" s="19"/>
      <c r="AR10023" s="19"/>
      <c r="AS10023" s="19"/>
      <c r="AT10023" s="19"/>
      <c r="AU10023" s="19"/>
    </row>
    <row r="10024" spans="3:47">
      <c r="C10024" s="20"/>
      <c r="Z10024" s="20"/>
      <c r="AG10024" s="20"/>
      <c r="AQ10024" s="19"/>
      <c r="AR10024" s="19"/>
      <c r="AS10024" s="19"/>
      <c r="AT10024" s="19"/>
      <c r="AU10024" s="19"/>
    </row>
    <row r="10025" spans="3:47">
      <c r="C10025" s="20"/>
      <c r="Z10025" s="20"/>
      <c r="AG10025" s="20"/>
      <c r="AQ10025" s="19"/>
      <c r="AR10025" s="19"/>
      <c r="AS10025" s="19"/>
      <c r="AT10025" s="19"/>
      <c r="AU10025" s="19"/>
    </row>
    <row r="10026" spans="3:47">
      <c r="C10026" s="20"/>
      <c r="Z10026" s="20"/>
      <c r="AG10026" s="20"/>
      <c r="AQ10026" s="19"/>
      <c r="AR10026" s="19"/>
      <c r="AS10026" s="19"/>
      <c r="AT10026" s="19"/>
      <c r="AU10026" s="19"/>
    </row>
    <row r="10027" spans="3:47">
      <c r="C10027" s="20"/>
      <c r="Z10027" s="20"/>
      <c r="AG10027" s="20"/>
      <c r="AQ10027" s="19"/>
      <c r="AR10027" s="19"/>
      <c r="AS10027" s="19"/>
      <c r="AT10027" s="19"/>
      <c r="AU10027" s="19"/>
    </row>
    <row r="10028" spans="3:47">
      <c r="C10028" s="20"/>
      <c r="Z10028" s="20"/>
      <c r="AG10028" s="20"/>
      <c r="AQ10028" s="19"/>
      <c r="AR10028" s="19"/>
      <c r="AS10028" s="19"/>
      <c r="AT10028" s="19"/>
      <c r="AU10028" s="19"/>
    </row>
    <row r="10029" spans="3:47">
      <c r="C10029" s="20"/>
      <c r="Z10029" s="20"/>
      <c r="AG10029" s="20"/>
      <c r="AQ10029" s="19"/>
      <c r="AR10029" s="19"/>
      <c r="AS10029" s="19"/>
      <c r="AT10029" s="19"/>
      <c r="AU10029" s="19"/>
    </row>
    <row r="10030" spans="3:47">
      <c r="C10030" s="20"/>
      <c r="Z10030" s="20"/>
      <c r="AG10030" s="20"/>
      <c r="AQ10030" s="19"/>
      <c r="AR10030" s="19"/>
      <c r="AS10030" s="19"/>
      <c r="AT10030" s="19"/>
      <c r="AU10030" s="19"/>
    </row>
    <row r="10031" spans="3:47">
      <c r="C10031" s="20"/>
      <c r="Z10031" s="20"/>
      <c r="AG10031" s="20"/>
      <c r="AQ10031" s="19"/>
      <c r="AR10031" s="19"/>
      <c r="AS10031" s="19"/>
      <c r="AT10031" s="19"/>
      <c r="AU10031" s="19"/>
    </row>
    <row r="10032" spans="3:47">
      <c r="C10032" s="20"/>
      <c r="Z10032" s="20"/>
      <c r="AG10032" s="20"/>
      <c r="AQ10032" s="19"/>
      <c r="AR10032" s="19"/>
      <c r="AS10032" s="19"/>
      <c r="AT10032" s="19"/>
      <c r="AU10032" s="19"/>
    </row>
    <row r="10033" spans="3:47">
      <c r="C10033" s="20"/>
      <c r="Z10033" s="20"/>
      <c r="AG10033" s="20"/>
      <c r="AQ10033" s="19"/>
      <c r="AR10033" s="19"/>
      <c r="AS10033" s="19"/>
      <c r="AT10033" s="19"/>
      <c r="AU10033" s="19"/>
    </row>
    <row r="10034" spans="3:47">
      <c r="C10034" s="20"/>
      <c r="Z10034" s="20"/>
      <c r="AG10034" s="20"/>
      <c r="AQ10034" s="19"/>
      <c r="AR10034" s="19"/>
      <c r="AS10034" s="19"/>
      <c r="AT10034" s="19"/>
      <c r="AU10034" s="19"/>
    </row>
    <row r="10035" spans="3:47">
      <c r="C10035" s="20"/>
      <c r="Z10035" s="20"/>
      <c r="AG10035" s="20"/>
      <c r="AQ10035" s="19"/>
      <c r="AR10035" s="19"/>
      <c r="AS10035" s="19"/>
      <c r="AT10035" s="19"/>
      <c r="AU10035" s="19"/>
    </row>
    <row r="10036" spans="3:47">
      <c r="C10036" s="20"/>
      <c r="Z10036" s="20"/>
      <c r="AG10036" s="20"/>
      <c r="AQ10036" s="19"/>
      <c r="AR10036" s="19"/>
      <c r="AS10036" s="19"/>
      <c r="AT10036" s="19"/>
      <c r="AU10036" s="19"/>
    </row>
    <row r="10037" spans="3:47">
      <c r="C10037" s="20"/>
      <c r="Z10037" s="20"/>
      <c r="AG10037" s="20"/>
      <c r="AQ10037" s="19"/>
      <c r="AR10037" s="19"/>
      <c r="AS10037" s="19"/>
      <c r="AT10037" s="19"/>
      <c r="AU10037" s="19"/>
    </row>
    <row r="10038" spans="3:47">
      <c r="C10038" s="20"/>
      <c r="Z10038" s="20"/>
      <c r="AG10038" s="20"/>
      <c r="AQ10038" s="19"/>
      <c r="AR10038" s="19"/>
      <c r="AS10038" s="19"/>
      <c r="AT10038" s="19"/>
      <c r="AU10038" s="19"/>
    </row>
    <row r="10039" spans="3:47">
      <c r="C10039" s="20"/>
      <c r="Z10039" s="20"/>
      <c r="AG10039" s="20"/>
      <c r="AQ10039" s="19"/>
      <c r="AR10039" s="19"/>
      <c r="AS10039" s="19"/>
      <c r="AT10039" s="19"/>
      <c r="AU10039" s="19"/>
    </row>
    <row r="10040" spans="3:47">
      <c r="C10040" s="20"/>
      <c r="Z10040" s="20"/>
      <c r="AG10040" s="20"/>
      <c r="AQ10040" s="19"/>
      <c r="AR10040" s="19"/>
      <c r="AS10040" s="19"/>
      <c r="AT10040" s="19"/>
      <c r="AU10040" s="19"/>
    </row>
    <row r="10041" spans="3:47">
      <c r="C10041" s="20"/>
      <c r="Z10041" s="20"/>
      <c r="AG10041" s="20"/>
      <c r="AQ10041" s="19"/>
      <c r="AR10041" s="19"/>
      <c r="AS10041" s="19"/>
      <c r="AT10041" s="19"/>
      <c r="AU10041" s="19"/>
    </row>
    <row r="10042" spans="3:47">
      <c r="C10042" s="20"/>
      <c r="Z10042" s="20"/>
      <c r="AG10042" s="20"/>
      <c r="AQ10042" s="19"/>
      <c r="AR10042" s="19"/>
      <c r="AS10042" s="19"/>
      <c r="AT10042" s="19"/>
      <c r="AU10042" s="19"/>
    </row>
    <row r="10043" spans="3:47">
      <c r="C10043" s="20"/>
      <c r="Z10043" s="20"/>
      <c r="AG10043" s="20"/>
      <c r="AQ10043" s="19"/>
      <c r="AR10043" s="19"/>
      <c r="AS10043" s="19"/>
      <c r="AT10043" s="19"/>
      <c r="AU10043" s="19"/>
    </row>
    <row r="10044" spans="3:47">
      <c r="C10044" s="20"/>
      <c r="Z10044" s="20"/>
      <c r="AG10044" s="20"/>
      <c r="AQ10044" s="19"/>
      <c r="AR10044" s="19"/>
      <c r="AS10044" s="19"/>
      <c r="AT10044" s="19"/>
      <c r="AU10044" s="19"/>
    </row>
    <row r="10045" spans="3:47">
      <c r="C10045" s="20"/>
      <c r="Z10045" s="20"/>
      <c r="AG10045" s="20"/>
      <c r="AQ10045" s="19"/>
      <c r="AR10045" s="19"/>
      <c r="AS10045" s="19"/>
      <c r="AT10045" s="19"/>
      <c r="AU10045" s="19"/>
    </row>
    <row r="10046" spans="3:47">
      <c r="C10046" s="20"/>
      <c r="Z10046" s="20"/>
      <c r="AG10046" s="20"/>
      <c r="AQ10046" s="19"/>
      <c r="AR10046" s="19"/>
      <c r="AS10046" s="19"/>
      <c r="AT10046" s="19"/>
      <c r="AU10046" s="19"/>
    </row>
    <row r="10047" spans="3:47">
      <c r="C10047" s="20"/>
      <c r="Z10047" s="20"/>
      <c r="AG10047" s="20"/>
      <c r="AQ10047" s="19"/>
      <c r="AR10047" s="19"/>
      <c r="AS10047" s="19"/>
      <c r="AT10047" s="19"/>
      <c r="AU10047" s="19"/>
    </row>
    <row r="10048" spans="3:47">
      <c r="C10048" s="20"/>
      <c r="Z10048" s="20"/>
      <c r="AG10048" s="20"/>
      <c r="AQ10048" s="19"/>
      <c r="AR10048" s="19"/>
      <c r="AS10048" s="19"/>
      <c r="AT10048" s="19"/>
      <c r="AU10048" s="19"/>
    </row>
    <row r="10049" spans="3:47">
      <c r="C10049" s="20"/>
      <c r="Z10049" s="20"/>
      <c r="AG10049" s="20"/>
      <c r="AQ10049" s="19"/>
      <c r="AR10049" s="19"/>
      <c r="AS10049" s="19"/>
      <c r="AT10049" s="19"/>
      <c r="AU10049" s="19"/>
    </row>
    <row r="10050" spans="3:47">
      <c r="C10050" s="20"/>
      <c r="Z10050" s="20"/>
      <c r="AG10050" s="20"/>
      <c r="AQ10050" s="19"/>
      <c r="AR10050" s="19"/>
      <c r="AS10050" s="19"/>
      <c r="AT10050" s="19"/>
      <c r="AU10050" s="19"/>
    </row>
    <row r="10051" spans="3:47">
      <c r="C10051" s="20"/>
      <c r="Z10051" s="20"/>
      <c r="AG10051" s="20"/>
      <c r="AQ10051" s="19"/>
      <c r="AR10051" s="19"/>
      <c r="AS10051" s="19"/>
      <c r="AT10051" s="19"/>
      <c r="AU10051" s="19"/>
    </row>
    <row r="10052" spans="3:47">
      <c r="C10052" s="20"/>
      <c r="Z10052" s="20"/>
      <c r="AG10052" s="20"/>
      <c r="AQ10052" s="19"/>
      <c r="AR10052" s="19"/>
      <c r="AS10052" s="19"/>
      <c r="AT10052" s="19"/>
      <c r="AU10052" s="19"/>
    </row>
    <row r="10053" spans="3:47">
      <c r="C10053" s="20"/>
      <c r="Z10053" s="20"/>
      <c r="AG10053" s="20"/>
      <c r="AQ10053" s="19"/>
      <c r="AR10053" s="19"/>
      <c r="AS10053" s="19"/>
      <c r="AT10053" s="19"/>
      <c r="AU10053" s="19"/>
    </row>
    <row r="10054" spans="3:47">
      <c r="C10054" s="20"/>
      <c r="Z10054" s="20"/>
      <c r="AG10054" s="20"/>
      <c r="AQ10054" s="19"/>
      <c r="AR10054" s="19"/>
      <c r="AS10054" s="19"/>
      <c r="AT10054" s="19"/>
      <c r="AU10054" s="19"/>
    </row>
    <row r="10055" spans="3:47">
      <c r="C10055" s="20"/>
      <c r="Z10055" s="20"/>
      <c r="AG10055" s="20"/>
      <c r="AQ10055" s="19"/>
      <c r="AR10055" s="19"/>
      <c r="AS10055" s="19"/>
      <c r="AT10055" s="19"/>
      <c r="AU10055" s="19"/>
    </row>
    <row r="10056" spans="3:47">
      <c r="C10056" s="20"/>
      <c r="Z10056" s="20"/>
      <c r="AG10056" s="20"/>
      <c r="AQ10056" s="19"/>
      <c r="AR10056" s="19"/>
      <c r="AS10056" s="19"/>
      <c r="AT10056" s="19"/>
      <c r="AU10056" s="19"/>
    </row>
    <row r="10057" spans="3:47">
      <c r="C10057" s="20"/>
      <c r="Z10057" s="20"/>
      <c r="AG10057" s="20"/>
      <c r="AQ10057" s="19"/>
      <c r="AR10057" s="19"/>
      <c r="AS10057" s="19"/>
      <c r="AT10057" s="19"/>
      <c r="AU10057" s="19"/>
    </row>
    <row r="10058" spans="3:47">
      <c r="C10058" s="20"/>
      <c r="Z10058" s="20"/>
      <c r="AG10058" s="20"/>
      <c r="AQ10058" s="19"/>
      <c r="AR10058" s="19"/>
      <c r="AS10058" s="19"/>
      <c r="AT10058" s="19"/>
      <c r="AU10058" s="19"/>
    </row>
    <row r="10059" spans="3:47">
      <c r="C10059" s="20"/>
      <c r="Z10059" s="20"/>
      <c r="AG10059" s="20"/>
      <c r="AQ10059" s="19"/>
      <c r="AR10059" s="19"/>
      <c r="AS10059" s="19"/>
      <c r="AT10059" s="19"/>
      <c r="AU10059" s="19"/>
    </row>
    <row r="10060" spans="3:47">
      <c r="C10060" s="20"/>
      <c r="Z10060" s="20"/>
      <c r="AG10060" s="20"/>
      <c r="AQ10060" s="19"/>
      <c r="AR10060" s="19"/>
      <c r="AS10060" s="19"/>
      <c r="AT10060" s="19"/>
      <c r="AU10060" s="19"/>
    </row>
    <row r="10061" spans="3:47">
      <c r="C10061" s="20"/>
      <c r="Z10061" s="20"/>
      <c r="AG10061" s="20"/>
      <c r="AQ10061" s="19"/>
      <c r="AR10061" s="19"/>
      <c r="AS10061" s="19"/>
      <c r="AT10061" s="19"/>
      <c r="AU10061" s="19"/>
    </row>
    <row r="10062" spans="3:47">
      <c r="C10062" s="20"/>
      <c r="Z10062" s="20"/>
      <c r="AG10062" s="20"/>
      <c r="AQ10062" s="19"/>
      <c r="AR10062" s="19"/>
      <c r="AS10062" s="19"/>
      <c r="AT10062" s="19"/>
      <c r="AU10062" s="19"/>
    </row>
    <row r="10063" spans="3:47">
      <c r="C10063" s="20"/>
      <c r="Z10063" s="20"/>
      <c r="AG10063" s="20"/>
      <c r="AQ10063" s="19"/>
      <c r="AR10063" s="19"/>
      <c r="AS10063" s="19"/>
      <c r="AT10063" s="19"/>
      <c r="AU10063" s="19"/>
    </row>
    <row r="10064" spans="3:47">
      <c r="C10064" s="20"/>
      <c r="Z10064" s="20"/>
      <c r="AG10064" s="20"/>
      <c r="AQ10064" s="19"/>
      <c r="AR10064" s="19"/>
      <c r="AS10064" s="19"/>
      <c r="AT10064" s="19"/>
      <c r="AU10064" s="19"/>
    </row>
    <row r="10065" spans="3:47">
      <c r="C10065" s="20"/>
      <c r="Z10065" s="20"/>
      <c r="AG10065" s="20"/>
      <c r="AQ10065" s="19"/>
      <c r="AR10065" s="19"/>
      <c r="AS10065" s="19"/>
      <c r="AT10065" s="19"/>
      <c r="AU10065" s="19"/>
    </row>
    <row r="10066" spans="3:47">
      <c r="C10066" s="20"/>
      <c r="Z10066" s="20"/>
      <c r="AG10066" s="20"/>
      <c r="AQ10066" s="19"/>
      <c r="AR10066" s="19"/>
      <c r="AS10066" s="19"/>
      <c r="AT10066" s="19"/>
      <c r="AU10066" s="19"/>
    </row>
    <row r="10067" spans="3:47">
      <c r="C10067" s="20"/>
      <c r="Z10067" s="20"/>
      <c r="AG10067" s="20"/>
      <c r="AQ10067" s="19"/>
      <c r="AR10067" s="19"/>
      <c r="AS10067" s="19"/>
      <c r="AT10067" s="19"/>
      <c r="AU10067" s="19"/>
    </row>
    <row r="10068" spans="3:47">
      <c r="C10068" s="20"/>
      <c r="Z10068" s="20"/>
      <c r="AG10068" s="20"/>
      <c r="AQ10068" s="19"/>
      <c r="AR10068" s="19"/>
      <c r="AS10068" s="19"/>
      <c r="AT10068" s="19"/>
      <c r="AU10068" s="19"/>
    </row>
    <row r="10069" spans="3:47">
      <c r="C10069" s="20"/>
      <c r="Z10069" s="20"/>
      <c r="AG10069" s="20"/>
      <c r="AQ10069" s="19"/>
      <c r="AR10069" s="19"/>
      <c r="AS10069" s="19"/>
      <c r="AT10069" s="19"/>
      <c r="AU10069" s="19"/>
    </row>
    <row r="10070" spans="3:47">
      <c r="C10070" s="20"/>
      <c r="Z10070" s="20"/>
      <c r="AG10070" s="20"/>
      <c r="AQ10070" s="19"/>
      <c r="AR10070" s="19"/>
      <c r="AS10070" s="19"/>
      <c r="AT10070" s="19"/>
      <c r="AU10070" s="19"/>
    </row>
    <row r="10071" spans="3:47">
      <c r="C10071" s="20"/>
      <c r="Z10071" s="20"/>
      <c r="AG10071" s="20"/>
      <c r="AQ10071" s="19"/>
      <c r="AR10071" s="19"/>
      <c r="AS10071" s="19"/>
      <c r="AT10071" s="19"/>
      <c r="AU10071" s="19"/>
    </row>
    <row r="10072" spans="3:47">
      <c r="C10072" s="20"/>
      <c r="Z10072" s="20"/>
      <c r="AG10072" s="20"/>
      <c r="AQ10072" s="19"/>
      <c r="AR10072" s="19"/>
      <c r="AS10072" s="19"/>
      <c r="AT10072" s="19"/>
      <c r="AU10072" s="19"/>
    </row>
    <row r="10073" spans="3:47">
      <c r="C10073" s="20"/>
      <c r="Z10073" s="20"/>
      <c r="AG10073" s="20"/>
      <c r="AQ10073" s="19"/>
      <c r="AR10073" s="19"/>
      <c r="AS10073" s="19"/>
      <c r="AT10073" s="19"/>
      <c r="AU10073" s="19"/>
    </row>
    <row r="10074" spans="3:47">
      <c r="C10074" s="20"/>
      <c r="Z10074" s="20"/>
      <c r="AG10074" s="20"/>
      <c r="AQ10074" s="19"/>
      <c r="AR10074" s="19"/>
      <c r="AS10074" s="19"/>
      <c r="AT10074" s="19"/>
      <c r="AU10074" s="19"/>
    </row>
    <row r="10075" spans="3:47">
      <c r="C10075" s="20"/>
      <c r="Z10075" s="20"/>
      <c r="AG10075" s="20"/>
      <c r="AQ10075" s="19"/>
      <c r="AR10075" s="19"/>
      <c r="AS10075" s="19"/>
      <c r="AT10075" s="19"/>
      <c r="AU10075" s="19"/>
    </row>
    <row r="10076" spans="3:47">
      <c r="C10076" s="20"/>
      <c r="Z10076" s="20"/>
      <c r="AG10076" s="20"/>
      <c r="AQ10076" s="19"/>
      <c r="AR10076" s="19"/>
      <c r="AS10076" s="19"/>
      <c r="AT10076" s="19"/>
      <c r="AU10076" s="19"/>
    </row>
    <row r="10077" spans="3:47">
      <c r="C10077" s="20"/>
      <c r="Z10077" s="20"/>
      <c r="AG10077" s="20"/>
      <c r="AQ10077" s="19"/>
      <c r="AR10077" s="19"/>
      <c r="AS10077" s="19"/>
      <c r="AT10077" s="19"/>
      <c r="AU10077" s="19"/>
    </row>
    <row r="10078" spans="3:47">
      <c r="C10078" s="20"/>
      <c r="Z10078" s="20"/>
      <c r="AG10078" s="20"/>
      <c r="AQ10078" s="19"/>
      <c r="AR10078" s="19"/>
      <c r="AS10078" s="19"/>
      <c r="AT10078" s="19"/>
      <c r="AU10078" s="19"/>
    </row>
    <row r="10079" spans="3:47">
      <c r="C10079" s="20"/>
      <c r="Z10079" s="20"/>
      <c r="AG10079" s="20"/>
      <c r="AQ10079" s="19"/>
      <c r="AR10079" s="19"/>
      <c r="AS10079" s="19"/>
      <c r="AT10079" s="19"/>
      <c r="AU10079" s="19"/>
    </row>
    <row r="10080" spans="3:47">
      <c r="C10080" s="20"/>
      <c r="Z10080" s="20"/>
      <c r="AG10080" s="20"/>
      <c r="AQ10080" s="19"/>
      <c r="AR10080" s="19"/>
      <c r="AS10080" s="19"/>
      <c r="AT10080" s="19"/>
      <c r="AU10080" s="19"/>
    </row>
    <row r="10081" spans="3:47">
      <c r="C10081" s="20"/>
      <c r="Z10081" s="20"/>
      <c r="AG10081" s="20"/>
      <c r="AQ10081" s="19"/>
      <c r="AR10081" s="19"/>
      <c r="AS10081" s="19"/>
      <c r="AT10081" s="19"/>
      <c r="AU10081" s="19"/>
    </row>
    <row r="10082" spans="3:47">
      <c r="C10082" s="20"/>
      <c r="Z10082" s="20"/>
      <c r="AG10082" s="20"/>
      <c r="AQ10082" s="19"/>
      <c r="AR10082" s="19"/>
      <c r="AS10082" s="19"/>
      <c r="AT10082" s="19"/>
      <c r="AU10082" s="19"/>
    </row>
    <row r="10083" spans="3:47">
      <c r="C10083" s="20"/>
      <c r="Z10083" s="20"/>
      <c r="AG10083" s="20"/>
      <c r="AQ10083" s="19"/>
      <c r="AR10083" s="19"/>
      <c r="AS10083" s="19"/>
      <c r="AT10083" s="19"/>
      <c r="AU10083" s="19"/>
    </row>
    <row r="10084" spans="3:47">
      <c r="C10084" s="20"/>
      <c r="Z10084" s="20"/>
      <c r="AG10084" s="20"/>
      <c r="AQ10084" s="19"/>
      <c r="AR10084" s="19"/>
      <c r="AS10084" s="19"/>
      <c r="AT10084" s="19"/>
      <c r="AU10084" s="19"/>
    </row>
    <row r="10085" spans="3:47">
      <c r="C10085" s="20"/>
      <c r="Z10085" s="20"/>
      <c r="AG10085" s="20"/>
      <c r="AQ10085" s="19"/>
      <c r="AR10085" s="19"/>
      <c r="AS10085" s="19"/>
      <c r="AT10085" s="19"/>
      <c r="AU10085" s="19"/>
    </row>
    <row r="10086" spans="3:47">
      <c r="C10086" s="20"/>
      <c r="Z10086" s="20"/>
      <c r="AG10086" s="20"/>
      <c r="AQ10086" s="19"/>
      <c r="AR10086" s="19"/>
      <c r="AS10086" s="19"/>
      <c r="AT10086" s="19"/>
      <c r="AU10086" s="19"/>
    </row>
    <row r="10087" spans="3:47">
      <c r="C10087" s="20"/>
      <c r="Z10087" s="20"/>
      <c r="AG10087" s="20"/>
      <c r="AQ10087" s="19"/>
      <c r="AR10087" s="19"/>
      <c r="AS10087" s="19"/>
      <c r="AT10087" s="19"/>
      <c r="AU10087" s="19"/>
    </row>
    <row r="10088" spans="3:47">
      <c r="C10088" s="20"/>
      <c r="Z10088" s="20"/>
      <c r="AG10088" s="20"/>
      <c r="AQ10088" s="19"/>
      <c r="AR10088" s="19"/>
      <c r="AS10088" s="19"/>
      <c r="AT10088" s="19"/>
      <c r="AU10088" s="19"/>
    </row>
    <row r="10089" spans="3:47">
      <c r="C10089" s="20"/>
      <c r="Z10089" s="20"/>
      <c r="AG10089" s="20"/>
      <c r="AQ10089" s="19"/>
      <c r="AR10089" s="19"/>
      <c r="AS10089" s="19"/>
      <c r="AT10089" s="19"/>
      <c r="AU10089" s="19"/>
    </row>
    <row r="10090" spans="3:47">
      <c r="C10090" s="20"/>
      <c r="Z10090" s="20"/>
      <c r="AG10090" s="20"/>
      <c r="AQ10090" s="19"/>
      <c r="AR10090" s="19"/>
      <c r="AS10090" s="19"/>
      <c r="AT10090" s="19"/>
      <c r="AU10090" s="19"/>
    </row>
    <row r="10091" spans="3:47">
      <c r="C10091" s="20"/>
      <c r="Z10091" s="20"/>
      <c r="AG10091" s="20"/>
      <c r="AQ10091" s="19"/>
      <c r="AR10091" s="19"/>
      <c r="AS10091" s="19"/>
      <c r="AT10091" s="19"/>
      <c r="AU10091" s="19"/>
    </row>
    <row r="10092" spans="3:47">
      <c r="C10092" s="20"/>
      <c r="Z10092" s="20"/>
      <c r="AG10092" s="20"/>
      <c r="AQ10092" s="19"/>
      <c r="AR10092" s="19"/>
      <c r="AS10092" s="19"/>
      <c r="AT10092" s="19"/>
      <c r="AU10092" s="19"/>
    </row>
    <row r="10093" spans="3:47">
      <c r="C10093" s="20"/>
      <c r="Z10093" s="20"/>
      <c r="AG10093" s="20"/>
      <c r="AQ10093" s="19"/>
      <c r="AR10093" s="19"/>
      <c r="AS10093" s="19"/>
      <c r="AT10093" s="19"/>
      <c r="AU10093" s="19"/>
    </row>
    <row r="10094" spans="3:47">
      <c r="C10094" s="20"/>
      <c r="Z10094" s="20"/>
      <c r="AG10094" s="20"/>
      <c r="AQ10094" s="19"/>
      <c r="AR10094" s="19"/>
      <c r="AS10094" s="19"/>
      <c r="AT10094" s="19"/>
      <c r="AU10094" s="19"/>
    </row>
    <row r="10095" spans="3:47">
      <c r="C10095" s="20"/>
      <c r="Z10095" s="20"/>
      <c r="AG10095" s="20"/>
      <c r="AQ10095" s="19"/>
      <c r="AR10095" s="19"/>
      <c r="AS10095" s="19"/>
      <c r="AT10095" s="19"/>
      <c r="AU10095" s="19"/>
    </row>
    <row r="10096" spans="3:47">
      <c r="C10096" s="20"/>
      <c r="Z10096" s="20"/>
      <c r="AG10096" s="20"/>
      <c r="AQ10096" s="19"/>
      <c r="AR10096" s="19"/>
      <c r="AS10096" s="19"/>
      <c r="AT10096" s="19"/>
      <c r="AU10096" s="19"/>
    </row>
    <row r="10097" spans="3:47">
      <c r="C10097" s="20"/>
      <c r="Z10097" s="20"/>
      <c r="AG10097" s="20"/>
      <c r="AQ10097" s="19"/>
      <c r="AR10097" s="19"/>
      <c r="AS10097" s="19"/>
      <c r="AT10097" s="19"/>
      <c r="AU10097" s="19"/>
    </row>
    <row r="10098" spans="3:47">
      <c r="C10098" s="20"/>
      <c r="Z10098" s="20"/>
      <c r="AG10098" s="20"/>
      <c r="AQ10098" s="19"/>
      <c r="AR10098" s="19"/>
      <c r="AS10098" s="19"/>
      <c r="AT10098" s="19"/>
      <c r="AU10098" s="19"/>
    </row>
    <row r="10099" spans="3:47">
      <c r="C10099" s="20"/>
      <c r="Z10099" s="20"/>
      <c r="AG10099" s="20"/>
      <c r="AQ10099" s="19"/>
      <c r="AR10099" s="19"/>
      <c r="AS10099" s="19"/>
      <c r="AT10099" s="19"/>
      <c r="AU10099" s="19"/>
    </row>
    <row r="10100" spans="3:47">
      <c r="C10100" s="20"/>
      <c r="Z10100" s="20"/>
      <c r="AG10100" s="20"/>
      <c r="AQ10100" s="19"/>
      <c r="AR10100" s="19"/>
      <c r="AS10100" s="19"/>
      <c r="AT10100" s="19"/>
      <c r="AU10100" s="19"/>
    </row>
    <row r="10101" spans="3:47">
      <c r="C10101" s="20"/>
      <c r="Z10101" s="20"/>
      <c r="AG10101" s="20"/>
      <c r="AQ10101" s="19"/>
      <c r="AR10101" s="19"/>
      <c r="AS10101" s="19"/>
      <c r="AT10101" s="19"/>
      <c r="AU10101" s="19"/>
    </row>
    <row r="10102" spans="3:47">
      <c r="C10102" s="20"/>
      <c r="Z10102" s="20"/>
      <c r="AG10102" s="20"/>
      <c r="AQ10102" s="19"/>
      <c r="AR10102" s="19"/>
      <c r="AS10102" s="19"/>
      <c r="AT10102" s="19"/>
      <c r="AU10102" s="19"/>
    </row>
    <row r="10103" spans="3:47">
      <c r="C10103" s="20"/>
      <c r="Z10103" s="20"/>
      <c r="AG10103" s="20"/>
      <c r="AQ10103" s="19"/>
      <c r="AR10103" s="19"/>
      <c r="AS10103" s="19"/>
      <c r="AT10103" s="19"/>
      <c r="AU10103" s="19"/>
    </row>
    <row r="10104" spans="3:47">
      <c r="C10104" s="20"/>
      <c r="Z10104" s="20"/>
      <c r="AG10104" s="20"/>
      <c r="AQ10104" s="19"/>
      <c r="AR10104" s="19"/>
      <c r="AS10104" s="19"/>
      <c r="AT10104" s="19"/>
      <c r="AU10104" s="19"/>
    </row>
    <row r="10105" spans="3:47">
      <c r="C10105" s="20"/>
      <c r="Z10105" s="20"/>
      <c r="AG10105" s="20"/>
      <c r="AQ10105" s="19"/>
      <c r="AR10105" s="19"/>
      <c r="AS10105" s="19"/>
      <c r="AT10105" s="19"/>
      <c r="AU10105" s="19"/>
    </row>
    <row r="10106" spans="3:47">
      <c r="C10106" s="20"/>
      <c r="Z10106" s="20"/>
      <c r="AG10106" s="20"/>
      <c r="AQ10106" s="19"/>
      <c r="AR10106" s="19"/>
      <c r="AS10106" s="19"/>
      <c r="AT10106" s="19"/>
      <c r="AU10106" s="19"/>
    </row>
    <row r="10107" spans="3:47">
      <c r="C10107" s="20"/>
      <c r="Z10107" s="20"/>
      <c r="AG10107" s="20"/>
      <c r="AQ10107" s="19"/>
      <c r="AR10107" s="19"/>
      <c r="AS10107" s="19"/>
      <c r="AT10107" s="19"/>
      <c r="AU10107" s="19"/>
    </row>
    <row r="10108" spans="3:47">
      <c r="C10108" s="20"/>
      <c r="Z10108" s="20"/>
      <c r="AG10108" s="20"/>
      <c r="AQ10108" s="19"/>
      <c r="AR10108" s="19"/>
      <c r="AS10108" s="19"/>
      <c r="AT10108" s="19"/>
      <c r="AU10108" s="19"/>
    </row>
    <row r="10109" spans="3:47">
      <c r="C10109" s="20"/>
      <c r="Z10109" s="20"/>
      <c r="AG10109" s="20"/>
      <c r="AQ10109" s="19"/>
      <c r="AR10109" s="19"/>
      <c r="AS10109" s="19"/>
      <c r="AT10109" s="19"/>
      <c r="AU10109" s="19"/>
    </row>
    <row r="10110" spans="3:47">
      <c r="C10110" s="20"/>
      <c r="Z10110" s="20"/>
      <c r="AG10110" s="20"/>
      <c r="AQ10110" s="19"/>
      <c r="AR10110" s="19"/>
      <c r="AS10110" s="19"/>
      <c r="AT10110" s="19"/>
      <c r="AU10110" s="19"/>
    </row>
    <row r="10111" spans="3:47">
      <c r="C10111" s="20"/>
      <c r="Z10111" s="20"/>
      <c r="AG10111" s="20"/>
      <c r="AQ10111" s="19"/>
      <c r="AR10111" s="19"/>
      <c r="AS10111" s="19"/>
      <c r="AT10111" s="19"/>
      <c r="AU10111" s="19"/>
    </row>
    <row r="10112" spans="3:47">
      <c r="C10112" s="20"/>
      <c r="Z10112" s="20"/>
      <c r="AG10112" s="20"/>
      <c r="AQ10112" s="19"/>
      <c r="AR10112" s="19"/>
      <c r="AS10112" s="19"/>
      <c r="AT10112" s="19"/>
      <c r="AU10112" s="19"/>
    </row>
    <row r="10113" spans="3:47">
      <c r="C10113" s="20"/>
      <c r="Z10113" s="20"/>
      <c r="AG10113" s="20"/>
      <c r="AQ10113" s="19"/>
      <c r="AR10113" s="19"/>
      <c r="AS10113" s="19"/>
      <c r="AT10113" s="19"/>
      <c r="AU10113" s="19"/>
    </row>
    <row r="10114" spans="3:47">
      <c r="C10114" s="20"/>
      <c r="Z10114" s="20"/>
      <c r="AG10114" s="20"/>
      <c r="AQ10114" s="19"/>
      <c r="AR10114" s="19"/>
      <c r="AS10114" s="19"/>
      <c r="AT10114" s="19"/>
      <c r="AU10114" s="19"/>
    </row>
    <row r="10115" spans="3:47">
      <c r="C10115" s="20"/>
      <c r="Z10115" s="20"/>
      <c r="AG10115" s="20"/>
      <c r="AQ10115" s="19"/>
      <c r="AR10115" s="19"/>
      <c r="AS10115" s="19"/>
      <c r="AT10115" s="19"/>
      <c r="AU10115" s="19"/>
    </row>
    <row r="10116" spans="3:47">
      <c r="C10116" s="20"/>
      <c r="Z10116" s="20"/>
      <c r="AG10116" s="20"/>
      <c r="AQ10116" s="19"/>
      <c r="AR10116" s="19"/>
      <c r="AS10116" s="19"/>
      <c r="AT10116" s="19"/>
      <c r="AU10116" s="19"/>
    </row>
    <row r="10117" spans="3:47">
      <c r="C10117" s="20"/>
      <c r="Z10117" s="20"/>
      <c r="AG10117" s="20"/>
      <c r="AQ10117" s="19"/>
      <c r="AR10117" s="19"/>
      <c r="AS10117" s="19"/>
      <c r="AT10117" s="19"/>
      <c r="AU10117" s="19"/>
    </row>
    <row r="10118" spans="3:47">
      <c r="C10118" s="20"/>
      <c r="Z10118" s="20"/>
      <c r="AG10118" s="20"/>
      <c r="AQ10118" s="19"/>
      <c r="AR10118" s="19"/>
      <c r="AS10118" s="19"/>
      <c r="AT10118" s="19"/>
      <c r="AU10118" s="19"/>
    </row>
    <row r="10119" spans="3:47">
      <c r="C10119" s="20"/>
      <c r="Z10119" s="20"/>
      <c r="AG10119" s="20"/>
      <c r="AQ10119" s="19"/>
      <c r="AR10119" s="19"/>
      <c r="AS10119" s="19"/>
      <c r="AT10119" s="19"/>
      <c r="AU10119" s="19"/>
    </row>
    <row r="10120" spans="3:47">
      <c r="C10120" s="20"/>
      <c r="Z10120" s="20"/>
      <c r="AG10120" s="20"/>
      <c r="AQ10120" s="19"/>
      <c r="AR10120" s="19"/>
      <c r="AS10120" s="19"/>
      <c r="AT10120" s="19"/>
      <c r="AU10120" s="19"/>
    </row>
    <row r="10121" spans="3:47">
      <c r="C10121" s="20"/>
      <c r="Z10121" s="20"/>
      <c r="AG10121" s="20"/>
      <c r="AQ10121" s="19"/>
      <c r="AR10121" s="19"/>
      <c r="AS10121" s="19"/>
      <c r="AT10121" s="19"/>
      <c r="AU10121" s="19"/>
    </row>
    <row r="10122" spans="3:47">
      <c r="C10122" s="20"/>
      <c r="Z10122" s="20"/>
      <c r="AG10122" s="20"/>
      <c r="AQ10122" s="19"/>
      <c r="AR10122" s="19"/>
      <c r="AS10122" s="19"/>
      <c r="AT10122" s="19"/>
      <c r="AU10122" s="19"/>
    </row>
    <row r="10123" spans="3:47">
      <c r="C10123" s="20"/>
      <c r="Z10123" s="20"/>
      <c r="AG10123" s="20"/>
      <c r="AQ10123" s="19"/>
      <c r="AR10123" s="19"/>
      <c r="AS10123" s="19"/>
      <c r="AT10123" s="19"/>
      <c r="AU10123" s="19"/>
    </row>
    <row r="10124" spans="3:47">
      <c r="C10124" s="20"/>
      <c r="Z10124" s="20"/>
      <c r="AG10124" s="20"/>
      <c r="AQ10124" s="19"/>
      <c r="AR10124" s="19"/>
      <c r="AS10124" s="19"/>
      <c r="AT10124" s="19"/>
      <c r="AU10124" s="19"/>
    </row>
    <row r="10125" spans="3:47">
      <c r="C10125" s="20"/>
      <c r="Z10125" s="20"/>
      <c r="AG10125" s="20"/>
      <c r="AQ10125" s="19"/>
      <c r="AR10125" s="19"/>
      <c r="AS10125" s="19"/>
      <c r="AT10125" s="19"/>
      <c r="AU10125" s="19"/>
    </row>
    <row r="10126" spans="3:47">
      <c r="C10126" s="20"/>
      <c r="Z10126" s="20"/>
      <c r="AG10126" s="20"/>
      <c r="AQ10126" s="19"/>
      <c r="AR10126" s="19"/>
      <c r="AS10126" s="19"/>
      <c r="AT10126" s="19"/>
      <c r="AU10126" s="19"/>
    </row>
    <row r="10127" spans="3:47">
      <c r="C10127" s="20"/>
      <c r="Z10127" s="20"/>
      <c r="AG10127" s="20"/>
      <c r="AQ10127" s="19"/>
      <c r="AR10127" s="19"/>
      <c r="AS10127" s="19"/>
      <c r="AT10127" s="19"/>
      <c r="AU10127" s="19"/>
    </row>
    <row r="10128" spans="3:47">
      <c r="C10128" s="20"/>
      <c r="Z10128" s="20"/>
      <c r="AG10128" s="20"/>
      <c r="AQ10128" s="19"/>
      <c r="AR10128" s="19"/>
      <c r="AS10128" s="19"/>
      <c r="AT10128" s="19"/>
      <c r="AU10128" s="19"/>
    </row>
    <row r="10129" spans="3:47">
      <c r="C10129" s="20"/>
      <c r="Z10129" s="20"/>
      <c r="AG10129" s="20"/>
      <c r="AQ10129" s="19"/>
      <c r="AR10129" s="19"/>
      <c r="AS10129" s="19"/>
      <c r="AT10129" s="19"/>
      <c r="AU10129" s="19"/>
    </row>
    <row r="10130" spans="3:47">
      <c r="C10130" s="20"/>
      <c r="Z10130" s="20"/>
      <c r="AG10130" s="20"/>
      <c r="AQ10130" s="19"/>
      <c r="AR10130" s="19"/>
      <c r="AS10130" s="19"/>
      <c r="AT10130" s="19"/>
      <c r="AU10130" s="19"/>
    </row>
    <row r="10131" spans="3:47">
      <c r="C10131" s="20"/>
      <c r="Z10131" s="20"/>
      <c r="AG10131" s="20"/>
      <c r="AQ10131" s="19"/>
      <c r="AR10131" s="19"/>
      <c r="AS10131" s="19"/>
      <c r="AT10131" s="19"/>
      <c r="AU10131" s="19"/>
    </row>
    <row r="10132" spans="3:47">
      <c r="C10132" s="20"/>
      <c r="Z10132" s="20"/>
      <c r="AG10132" s="20"/>
      <c r="AQ10132" s="19"/>
      <c r="AR10132" s="19"/>
      <c r="AS10132" s="19"/>
      <c r="AT10132" s="19"/>
      <c r="AU10132" s="19"/>
    </row>
    <row r="10133" spans="3:47">
      <c r="C10133" s="20"/>
      <c r="Z10133" s="20"/>
      <c r="AG10133" s="20"/>
      <c r="AQ10133" s="19"/>
      <c r="AR10133" s="19"/>
      <c r="AS10133" s="19"/>
      <c r="AT10133" s="19"/>
      <c r="AU10133" s="19"/>
    </row>
    <row r="10134" spans="3:47">
      <c r="C10134" s="20"/>
      <c r="Z10134" s="20"/>
      <c r="AG10134" s="20"/>
      <c r="AQ10134" s="19"/>
      <c r="AR10134" s="19"/>
      <c r="AS10134" s="19"/>
      <c r="AT10134" s="19"/>
      <c r="AU10134" s="19"/>
    </row>
    <row r="10135" spans="3:47">
      <c r="C10135" s="20"/>
      <c r="Z10135" s="20"/>
      <c r="AG10135" s="20"/>
      <c r="AQ10135" s="19"/>
      <c r="AR10135" s="19"/>
      <c r="AS10135" s="19"/>
      <c r="AT10135" s="19"/>
      <c r="AU10135" s="19"/>
    </row>
    <row r="10136" spans="3:47">
      <c r="C10136" s="20"/>
      <c r="Z10136" s="20"/>
      <c r="AG10136" s="20"/>
      <c r="AQ10136" s="19"/>
      <c r="AR10136" s="19"/>
      <c r="AS10136" s="19"/>
      <c r="AT10136" s="19"/>
      <c r="AU10136" s="19"/>
    </row>
    <row r="10137" spans="3:47">
      <c r="C10137" s="20"/>
      <c r="Z10137" s="20"/>
      <c r="AG10137" s="20"/>
      <c r="AQ10137" s="19"/>
      <c r="AR10137" s="19"/>
      <c r="AS10137" s="19"/>
      <c r="AT10137" s="19"/>
      <c r="AU10137" s="19"/>
    </row>
    <row r="10138" spans="3:47">
      <c r="C10138" s="20"/>
      <c r="Z10138" s="20"/>
      <c r="AG10138" s="20"/>
      <c r="AQ10138" s="19"/>
      <c r="AR10138" s="19"/>
      <c r="AS10138" s="19"/>
      <c r="AT10138" s="19"/>
      <c r="AU10138" s="19"/>
    </row>
    <row r="10139" spans="3:47">
      <c r="C10139" s="20"/>
      <c r="Z10139" s="20"/>
      <c r="AG10139" s="20"/>
      <c r="AQ10139" s="19"/>
      <c r="AR10139" s="19"/>
      <c r="AS10139" s="19"/>
      <c r="AT10139" s="19"/>
      <c r="AU10139" s="19"/>
    </row>
    <row r="10140" spans="3:47">
      <c r="C10140" s="20"/>
      <c r="Z10140" s="20"/>
      <c r="AG10140" s="20"/>
      <c r="AQ10140" s="19"/>
      <c r="AR10140" s="19"/>
      <c r="AS10140" s="19"/>
      <c r="AT10140" s="19"/>
      <c r="AU10140" s="19"/>
    </row>
    <row r="10141" spans="3:47">
      <c r="C10141" s="20"/>
      <c r="Z10141" s="20"/>
      <c r="AG10141" s="20"/>
      <c r="AQ10141" s="19"/>
      <c r="AR10141" s="19"/>
      <c r="AS10141" s="19"/>
      <c r="AT10141" s="19"/>
      <c r="AU10141" s="19"/>
    </row>
    <row r="10142" spans="3:47">
      <c r="C10142" s="20"/>
      <c r="Z10142" s="20"/>
      <c r="AG10142" s="20"/>
      <c r="AQ10142" s="19"/>
      <c r="AR10142" s="19"/>
      <c r="AS10142" s="19"/>
      <c r="AT10142" s="19"/>
      <c r="AU10142" s="19"/>
    </row>
    <row r="10143" spans="3:47">
      <c r="C10143" s="20"/>
      <c r="Z10143" s="20"/>
      <c r="AG10143" s="20"/>
      <c r="AQ10143" s="19"/>
      <c r="AR10143" s="19"/>
      <c r="AS10143" s="19"/>
      <c r="AT10143" s="19"/>
      <c r="AU10143" s="19"/>
    </row>
    <row r="10144" spans="3:47">
      <c r="C10144" s="20"/>
      <c r="Z10144" s="20"/>
      <c r="AG10144" s="20"/>
      <c r="AQ10144" s="19"/>
      <c r="AR10144" s="19"/>
      <c r="AS10144" s="19"/>
      <c r="AT10144" s="19"/>
      <c r="AU10144" s="19"/>
    </row>
    <row r="10145" spans="3:47">
      <c r="C10145" s="20"/>
      <c r="Z10145" s="20"/>
      <c r="AG10145" s="20"/>
      <c r="AQ10145" s="19"/>
      <c r="AR10145" s="19"/>
      <c r="AS10145" s="19"/>
      <c r="AT10145" s="19"/>
      <c r="AU10145" s="19"/>
    </row>
    <row r="10146" spans="3:47">
      <c r="C10146" s="20"/>
      <c r="Z10146" s="20"/>
      <c r="AG10146" s="20"/>
      <c r="AQ10146" s="19"/>
      <c r="AR10146" s="19"/>
      <c r="AS10146" s="19"/>
      <c r="AT10146" s="19"/>
      <c r="AU10146" s="19"/>
    </row>
    <row r="10147" spans="3:47">
      <c r="C10147" s="20"/>
      <c r="Z10147" s="20"/>
      <c r="AG10147" s="20"/>
      <c r="AQ10147" s="19"/>
      <c r="AR10147" s="19"/>
      <c r="AS10147" s="19"/>
      <c r="AT10147" s="19"/>
      <c r="AU10147" s="19"/>
    </row>
    <row r="10148" spans="3:47">
      <c r="C10148" s="20"/>
      <c r="Z10148" s="20"/>
      <c r="AG10148" s="20"/>
      <c r="AQ10148" s="19"/>
      <c r="AR10148" s="19"/>
      <c r="AS10148" s="19"/>
      <c r="AT10148" s="19"/>
      <c r="AU10148" s="19"/>
    </row>
    <row r="10149" spans="3:47">
      <c r="C10149" s="20"/>
      <c r="Z10149" s="20"/>
      <c r="AG10149" s="20"/>
      <c r="AQ10149" s="19"/>
      <c r="AR10149" s="19"/>
      <c r="AS10149" s="19"/>
      <c r="AT10149" s="19"/>
      <c r="AU10149" s="19"/>
    </row>
    <row r="10150" spans="3:47">
      <c r="C10150" s="20"/>
      <c r="Z10150" s="20"/>
      <c r="AG10150" s="20"/>
      <c r="AQ10150" s="19"/>
      <c r="AR10150" s="19"/>
      <c r="AS10150" s="19"/>
      <c r="AT10150" s="19"/>
      <c r="AU10150" s="19"/>
    </row>
    <row r="10151" spans="3:47">
      <c r="C10151" s="20"/>
      <c r="Z10151" s="20"/>
      <c r="AG10151" s="20"/>
      <c r="AQ10151" s="19"/>
      <c r="AR10151" s="19"/>
      <c r="AS10151" s="19"/>
      <c r="AT10151" s="19"/>
      <c r="AU10151" s="19"/>
    </row>
    <row r="10152" spans="3:47">
      <c r="C10152" s="20"/>
      <c r="Z10152" s="20"/>
      <c r="AG10152" s="20"/>
      <c r="AQ10152" s="19"/>
      <c r="AR10152" s="19"/>
      <c r="AS10152" s="19"/>
      <c r="AT10152" s="19"/>
      <c r="AU10152" s="19"/>
    </row>
    <row r="10153" spans="3:47">
      <c r="C10153" s="20"/>
      <c r="Z10153" s="20"/>
      <c r="AG10153" s="20"/>
      <c r="AQ10153" s="19"/>
      <c r="AR10153" s="19"/>
      <c r="AS10153" s="19"/>
      <c r="AT10153" s="19"/>
      <c r="AU10153" s="19"/>
    </row>
    <row r="10154" spans="3:47">
      <c r="C10154" s="20"/>
      <c r="Z10154" s="20"/>
      <c r="AG10154" s="20"/>
      <c r="AQ10154" s="19"/>
      <c r="AR10154" s="19"/>
      <c r="AS10154" s="19"/>
      <c r="AT10154" s="19"/>
      <c r="AU10154" s="19"/>
    </row>
    <row r="10155" spans="3:47">
      <c r="C10155" s="20"/>
      <c r="Z10155" s="20"/>
      <c r="AG10155" s="20"/>
      <c r="AQ10155" s="19"/>
      <c r="AR10155" s="19"/>
      <c r="AS10155" s="19"/>
      <c r="AT10155" s="19"/>
      <c r="AU10155" s="19"/>
    </row>
    <row r="10156" spans="3:47">
      <c r="C10156" s="20"/>
      <c r="Z10156" s="20"/>
      <c r="AG10156" s="20"/>
      <c r="AQ10156" s="19"/>
      <c r="AR10156" s="19"/>
      <c r="AS10156" s="19"/>
      <c r="AT10156" s="19"/>
      <c r="AU10156" s="19"/>
    </row>
    <row r="10157" spans="3:47">
      <c r="C10157" s="20"/>
      <c r="Z10157" s="20"/>
      <c r="AG10157" s="20"/>
      <c r="AQ10157" s="19"/>
      <c r="AR10157" s="19"/>
      <c r="AS10157" s="19"/>
      <c r="AT10157" s="19"/>
      <c r="AU10157" s="19"/>
    </row>
    <row r="10158" spans="3:47">
      <c r="C10158" s="20"/>
      <c r="Z10158" s="20"/>
      <c r="AG10158" s="20"/>
      <c r="AQ10158" s="19"/>
      <c r="AR10158" s="19"/>
      <c r="AS10158" s="19"/>
      <c r="AT10158" s="19"/>
      <c r="AU10158" s="19"/>
    </row>
    <row r="10159" spans="3:47">
      <c r="C10159" s="20"/>
      <c r="Z10159" s="20"/>
      <c r="AG10159" s="20"/>
      <c r="AQ10159" s="19"/>
      <c r="AR10159" s="19"/>
      <c r="AS10159" s="19"/>
      <c r="AT10159" s="19"/>
      <c r="AU10159" s="19"/>
    </row>
    <row r="10160" spans="3:47">
      <c r="C10160" s="20"/>
      <c r="Z10160" s="20"/>
      <c r="AG10160" s="20"/>
      <c r="AQ10160" s="19"/>
      <c r="AR10160" s="19"/>
      <c r="AS10160" s="19"/>
      <c r="AT10160" s="19"/>
      <c r="AU10160" s="19"/>
    </row>
    <row r="10161" spans="3:47">
      <c r="C10161" s="20"/>
      <c r="Z10161" s="20"/>
      <c r="AG10161" s="20"/>
      <c r="AQ10161" s="19"/>
      <c r="AR10161" s="19"/>
      <c r="AS10161" s="19"/>
      <c r="AT10161" s="19"/>
      <c r="AU10161" s="19"/>
    </row>
    <row r="10162" spans="3:47">
      <c r="C10162" s="20"/>
      <c r="Z10162" s="20"/>
      <c r="AG10162" s="20"/>
      <c r="AQ10162" s="19"/>
      <c r="AR10162" s="19"/>
      <c r="AS10162" s="19"/>
      <c r="AT10162" s="19"/>
      <c r="AU10162" s="19"/>
    </row>
    <row r="10163" spans="3:47">
      <c r="C10163" s="20"/>
      <c r="Z10163" s="20"/>
      <c r="AG10163" s="20"/>
      <c r="AQ10163" s="19"/>
      <c r="AR10163" s="19"/>
      <c r="AS10163" s="19"/>
      <c r="AT10163" s="19"/>
      <c r="AU10163" s="19"/>
    </row>
    <row r="10164" spans="3:47">
      <c r="C10164" s="20"/>
      <c r="Z10164" s="20"/>
      <c r="AG10164" s="20"/>
      <c r="AQ10164" s="19"/>
      <c r="AR10164" s="19"/>
      <c r="AS10164" s="19"/>
      <c r="AT10164" s="19"/>
      <c r="AU10164" s="19"/>
    </row>
    <row r="10165" spans="3:47">
      <c r="C10165" s="20"/>
      <c r="Z10165" s="20"/>
      <c r="AG10165" s="20"/>
      <c r="AQ10165" s="19"/>
      <c r="AR10165" s="19"/>
      <c r="AS10165" s="19"/>
      <c r="AT10165" s="19"/>
      <c r="AU10165" s="19"/>
    </row>
    <row r="10166" spans="3:47">
      <c r="C10166" s="20"/>
      <c r="Z10166" s="20"/>
      <c r="AG10166" s="20"/>
      <c r="AQ10166" s="19"/>
      <c r="AR10166" s="19"/>
      <c r="AS10166" s="19"/>
      <c r="AT10166" s="19"/>
      <c r="AU10166" s="19"/>
    </row>
    <row r="10167" spans="3:47">
      <c r="C10167" s="20"/>
      <c r="Z10167" s="20"/>
      <c r="AG10167" s="20"/>
      <c r="AQ10167" s="19"/>
      <c r="AR10167" s="19"/>
      <c r="AS10167" s="19"/>
      <c r="AT10167" s="19"/>
      <c r="AU10167" s="19"/>
    </row>
    <row r="10168" spans="3:47">
      <c r="C10168" s="20"/>
      <c r="Z10168" s="20"/>
      <c r="AG10168" s="20"/>
      <c r="AQ10168" s="19"/>
      <c r="AR10168" s="19"/>
      <c r="AS10168" s="19"/>
      <c r="AT10168" s="19"/>
      <c r="AU10168" s="19"/>
    </row>
    <row r="10169" spans="3:47">
      <c r="C10169" s="20"/>
      <c r="Z10169" s="20"/>
      <c r="AG10169" s="20"/>
      <c r="AQ10169" s="19"/>
      <c r="AR10169" s="19"/>
      <c r="AS10169" s="19"/>
      <c r="AT10169" s="19"/>
      <c r="AU10169" s="19"/>
    </row>
    <row r="10170" spans="3:47">
      <c r="C10170" s="20"/>
      <c r="Z10170" s="20"/>
      <c r="AG10170" s="20"/>
      <c r="AQ10170" s="19"/>
      <c r="AR10170" s="19"/>
      <c r="AS10170" s="19"/>
      <c r="AT10170" s="19"/>
      <c r="AU10170" s="19"/>
    </row>
    <row r="10171" spans="3:47">
      <c r="C10171" s="20"/>
      <c r="Z10171" s="20"/>
      <c r="AG10171" s="20"/>
      <c r="AQ10171" s="19"/>
      <c r="AR10171" s="19"/>
      <c r="AS10171" s="19"/>
      <c r="AT10171" s="19"/>
      <c r="AU10171" s="19"/>
    </row>
    <row r="10172" spans="3:47">
      <c r="C10172" s="20"/>
      <c r="Z10172" s="20"/>
      <c r="AG10172" s="20"/>
      <c r="AQ10172" s="19"/>
      <c r="AR10172" s="19"/>
      <c r="AS10172" s="19"/>
      <c r="AT10172" s="19"/>
      <c r="AU10172" s="19"/>
    </row>
    <row r="10173" spans="3:47">
      <c r="C10173" s="20"/>
      <c r="Z10173" s="20"/>
      <c r="AG10173" s="20"/>
      <c r="AQ10173" s="19"/>
      <c r="AR10173" s="19"/>
      <c r="AS10173" s="19"/>
      <c r="AT10173" s="19"/>
      <c r="AU10173" s="19"/>
    </row>
    <row r="10174" spans="3:47">
      <c r="C10174" s="20"/>
      <c r="Z10174" s="20"/>
      <c r="AG10174" s="20"/>
      <c r="AQ10174" s="19"/>
      <c r="AR10174" s="19"/>
      <c r="AS10174" s="19"/>
      <c r="AT10174" s="19"/>
      <c r="AU10174" s="19"/>
    </row>
    <row r="10175" spans="3:47">
      <c r="C10175" s="20"/>
      <c r="Z10175" s="20"/>
      <c r="AG10175" s="20"/>
      <c r="AQ10175" s="19"/>
      <c r="AR10175" s="19"/>
      <c r="AS10175" s="19"/>
      <c r="AT10175" s="19"/>
      <c r="AU10175" s="19"/>
    </row>
    <row r="10176" spans="3:47">
      <c r="C10176" s="20"/>
      <c r="Z10176" s="20"/>
      <c r="AG10176" s="20"/>
      <c r="AQ10176" s="19"/>
      <c r="AR10176" s="19"/>
      <c r="AS10176" s="19"/>
      <c r="AT10176" s="19"/>
      <c r="AU10176" s="19"/>
    </row>
    <row r="10177" spans="3:47">
      <c r="C10177" s="20"/>
      <c r="Z10177" s="20"/>
      <c r="AG10177" s="20"/>
      <c r="AQ10177" s="19"/>
      <c r="AR10177" s="19"/>
      <c r="AS10177" s="19"/>
      <c r="AT10177" s="19"/>
      <c r="AU10177" s="19"/>
    </row>
    <row r="10178" spans="3:47">
      <c r="C10178" s="20"/>
      <c r="Z10178" s="20"/>
      <c r="AG10178" s="20"/>
      <c r="AQ10178" s="19"/>
      <c r="AR10178" s="19"/>
      <c r="AS10178" s="19"/>
      <c r="AT10178" s="19"/>
      <c r="AU10178" s="19"/>
    </row>
    <row r="10179" spans="3:47">
      <c r="C10179" s="20"/>
      <c r="Z10179" s="20"/>
      <c r="AG10179" s="20"/>
      <c r="AQ10179" s="19"/>
      <c r="AR10179" s="19"/>
      <c r="AS10179" s="19"/>
      <c r="AT10179" s="19"/>
      <c r="AU10179" s="19"/>
    </row>
    <row r="10180" spans="3:47">
      <c r="C10180" s="20"/>
      <c r="Z10180" s="20"/>
      <c r="AG10180" s="20"/>
      <c r="AQ10180" s="19"/>
      <c r="AR10180" s="19"/>
      <c r="AS10180" s="19"/>
      <c r="AT10180" s="19"/>
      <c r="AU10180" s="19"/>
    </row>
    <row r="10181" spans="3:47">
      <c r="C10181" s="20"/>
      <c r="Z10181" s="20"/>
      <c r="AG10181" s="20"/>
      <c r="AQ10181" s="19"/>
      <c r="AR10181" s="19"/>
      <c r="AS10181" s="19"/>
      <c r="AT10181" s="19"/>
      <c r="AU10181" s="19"/>
    </row>
    <row r="10182" spans="3:47">
      <c r="C10182" s="20"/>
      <c r="Z10182" s="20"/>
      <c r="AG10182" s="20"/>
      <c r="AQ10182" s="19"/>
      <c r="AR10182" s="19"/>
      <c r="AS10182" s="19"/>
      <c r="AT10182" s="19"/>
      <c r="AU10182" s="19"/>
    </row>
    <row r="10183" spans="3:47">
      <c r="C10183" s="20"/>
      <c r="Z10183" s="20"/>
      <c r="AG10183" s="20"/>
      <c r="AQ10183" s="19"/>
      <c r="AR10183" s="19"/>
      <c r="AS10183" s="19"/>
      <c r="AT10183" s="19"/>
      <c r="AU10183" s="19"/>
    </row>
    <row r="10184" spans="3:47">
      <c r="C10184" s="20"/>
      <c r="Z10184" s="20"/>
      <c r="AG10184" s="20"/>
      <c r="AQ10184" s="19"/>
      <c r="AR10184" s="19"/>
      <c r="AS10184" s="19"/>
      <c r="AT10184" s="19"/>
      <c r="AU10184" s="19"/>
    </row>
    <row r="10185" spans="3:47">
      <c r="C10185" s="20"/>
      <c r="Z10185" s="20"/>
      <c r="AG10185" s="20"/>
      <c r="AQ10185" s="19"/>
      <c r="AR10185" s="19"/>
      <c r="AS10185" s="19"/>
      <c r="AT10185" s="19"/>
      <c r="AU10185" s="19"/>
    </row>
    <row r="10186" spans="3:47">
      <c r="C10186" s="20"/>
      <c r="Z10186" s="20"/>
      <c r="AG10186" s="20"/>
      <c r="AQ10186" s="19"/>
      <c r="AR10186" s="19"/>
      <c r="AS10186" s="19"/>
      <c r="AT10186" s="19"/>
      <c r="AU10186" s="19"/>
    </row>
    <row r="10187" spans="3:47">
      <c r="C10187" s="20"/>
      <c r="Z10187" s="20"/>
      <c r="AG10187" s="20"/>
      <c r="AQ10187" s="19"/>
      <c r="AR10187" s="19"/>
      <c r="AS10187" s="19"/>
      <c r="AT10187" s="19"/>
      <c r="AU10187" s="19"/>
    </row>
    <row r="10188" spans="3:47">
      <c r="C10188" s="20"/>
      <c r="Z10188" s="20"/>
      <c r="AG10188" s="20"/>
      <c r="AQ10188" s="19"/>
      <c r="AR10188" s="19"/>
      <c r="AS10188" s="19"/>
      <c r="AT10188" s="19"/>
      <c r="AU10188" s="19"/>
    </row>
    <row r="10189" spans="3:47">
      <c r="C10189" s="20"/>
      <c r="Z10189" s="20"/>
      <c r="AG10189" s="20"/>
      <c r="AQ10189" s="19"/>
      <c r="AR10189" s="19"/>
      <c r="AS10189" s="19"/>
      <c r="AT10189" s="19"/>
      <c r="AU10189" s="19"/>
    </row>
    <row r="10190" spans="3:47">
      <c r="C10190" s="20"/>
      <c r="Z10190" s="20"/>
      <c r="AG10190" s="20"/>
      <c r="AQ10190" s="19"/>
      <c r="AR10190" s="19"/>
      <c r="AS10190" s="19"/>
      <c r="AT10190" s="19"/>
      <c r="AU10190" s="19"/>
    </row>
    <row r="10191" spans="3:47">
      <c r="C10191" s="20"/>
      <c r="Z10191" s="20"/>
      <c r="AG10191" s="20"/>
      <c r="AQ10191" s="19"/>
      <c r="AR10191" s="19"/>
      <c r="AS10191" s="19"/>
      <c r="AT10191" s="19"/>
      <c r="AU10191" s="19"/>
    </row>
    <row r="10192" spans="3:47">
      <c r="C10192" s="20"/>
      <c r="Z10192" s="20"/>
      <c r="AG10192" s="20"/>
      <c r="AQ10192" s="19"/>
      <c r="AR10192" s="19"/>
      <c r="AS10192" s="19"/>
      <c r="AT10192" s="19"/>
      <c r="AU10192" s="19"/>
    </row>
    <row r="10193" spans="3:47">
      <c r="C10193" s="20"/>
      <c r="Z10193" s="20"/>
      <c r="AG10193" s="20"/>
      <c r="AQ10193" s="19"/>
      <c r="AR10193" s="19"/>
      <c r="AS10193" s="19"/>
      <c r="AT10193" s="19"/>
      <c r="AU10193" s="19"/>
    </row>
    <row r="10194" spans="3:47">
      <c r="C10194" s="20"/>
      <c r="Z10194" s="20"/>
      <c r="AG10194" s="20"/>
      <c r="AQ10194" s="19"/>
      <c r="AR10194" s="19"/>
      <c r="AS10194" s="19"/>
      <c r="AT10194" s="19"/>
      <c r="AU10194" s="19"/>
    </row>
    <row r="10195" spans="3:47">
      <c r="C10195" s="20"/>
      <c r="Z10195" s="20"/>
      <c r="AG10195" s="20"/>
      <c r="AQ10195" s="19"/>
      <c r="AR10195" s="19"/>
      <c r="AS10195" s="19"/>
      <c r="AT10195" s="19"/>
      <c r="AU10195" s="19"/>
    </row>
    <row r="10196" spans="3:47">
      <c r="C10196" s="20"/>
      <c r="Z10196" s="20"/>
      <c r="AG10196" s="20"/>
      <c r="AQ10196" s="19"/>
      <c r="AR10196" s="19"/>
      <c r="AS10196" s="19"/>
      <c r="AT10196" s="19"/>
      <c r="AU10196" s="19"/>
    </row>
    <row r="10197" spans="3:47">
      <c r="C10197" s="20"/>
      <c r="Z10197" s="20"/>
      <c r="AG10197" s="20"/>
      <c r="AQ10197" s="19"/>
      <c r="AR10197" s="19"/>
      <c r="AS10197" s="19"/>
      <c r="AT10197" s="19"/>
      <c r="AU10197" s="19"/>
    </row>
    <row r="10198" spans="3:47">
      <c r="C10198" s="20"/>
      <c r="Z10198" s="20"/>
      <c r="AG10198" s="20"/>
      <c r="AQ10198" s="19"/>
      <c r="AR10198" s="19"/>
      <c r="AS10198" s="19"/>
      <c r="AT10198" s="19"/>
      <c r="AU10198" s="19"/>
    </row>
    <row r="10199" spans="3:47">
      <c r="C10199" s="20"/>
      <c r="Z10199" s="20"/>
      <c r="AG10199" s="20"/>
      <c r="AQ10199" s="19"/>
      <c r="AR10199" s="19"/>
      <c r="AS10199" s="19"/>
      <c r="AT10199" s="19"/>
      <c r="AU10199" s="19"/>
    </row>
    <row r="10200" spans="3:47">
      <c r="C10200" s="20"/>
      <c r="Z10200" s="20"/>
      <c r="AG10200" s="20"/>
      <c r="AQ10200" s="19"/>
      <c r="AR10200" s="19"/>
      <c r="AS10200" s="19"/>
      <c r="AT10200" s="19"/>
      <c r="AU10200" s="19"/>
    </row>
    <row r="10201" spans="3:47">
      <c r="C10201" s="20"/>
      <c r="Z10201" s="20"/>
      <c r="AG10201" s="20"/>
      <c r="AQ10201" s="19"/>
      <c r="AR10201" s="19"/>
      <c r="AS10201" s="19"/>
      <c r="AT10201" s="19"/>
      <c r="AU10201" s="19"/>
    </row>
    <row r="10202" spans="3:47">
      <c r="C10202" s="20"/>
      <c r="Z10202" s="20"/>
      <c r="AG10202" s="20"/>
      <c r="AQ10202" s="19"/>
      <c r="AR10202" s="19"/>
      <c r="AS10202" s="19"/>
      <c r="AT10202" s="19"/>
      <c r="AU10202" s="19"/>
    </row>
    <row r="10203" spans="3:47">
      <c r="C10203" s="20"/>
      <c r="Z10203" s="20"/>
      <c r="AG10203" s="20"/>
      <c r="AQ10203" s="19"/>
      <c r="AR10203" s="19"/>
      <c r="AS10203" s="19"/>
      <c r="AT10203" s="19"/>
      <c r="AU10203" s="19"/>
    </row>
    <row r="10204" spans="3:47">
      <c r="C10204" s="20"/>
      <c r="Z10204" s="20"/>
      <c r="AG10204" s="20"/>
      <c r="AQ10204" s="19"/>
      <c r="AR10204" s="19"/>
      <c r="AS10204" s="19"/>
      <c r="AT10204" s="19"/>
      <c r="AU10204" s="19"/>
    </row>
    <row r="10205" spans="3:47">
      <c r="C10205" s="20"/>
      <c r="Z10205" s="20"/>
      <c r="AG10205" s="20"/>
      <c r="AQ10205" s="19"/>
      <c r="AR10205" s="19"/>
      <c r="AS10205" s="19"/>
      <c r="AT10205" s="19"/>
      <c r="AU10205" s="19"/>
    </row>
    <row r="10206" spans="3:47">
      <c r="C10206" s="20"/>
      <c r="Z10206" s="20"/>
      <c r="AG10206" s="20"/>
      <c r="AQ10206" s="19"/>
      <c r="AR10206" s="19"/>
      <c r="AS10206" s="19"/>
      <c r="AT10206" s="19"/>
      <c r="AU10206" s="19"/>
    </row>
    <row r="10207" spans="3:47">
      <c r="C10207" s="20"/>
      <c r="Z10207" s="20"/>
      <c r="AG10207" s="20"/>
      <c r="AQ10207" s="19"/>
      <c r="AR10207" s="19"/>
      <c r="AS10207" s="19"/>
      <c r="AT10207" s="19"/>
      <c r="AU10207" s="19"/>
    </row>
    <row r="10208" spans="3:47">
      <c r="C10208" s="20"/>
      <c r="Z10208" s="20"/>
      <c r="AG10208" s="20"/>
      <c r="AQ10208" s="19"/>
      <c r="AR10208" s="19"/>
      <c r="AS10208" s="19"/>
      <c r="AT10208" s="19"/>
      <c r="AU10208" s="19"/>
    </row>
    <row r="10209" spans="3:47">
      <c r="C10209" s="20"/>
      <c r="Z10209" s="20"/>
      <c r="AG10209" s="20"/>
      <c r="AQ10209" s="19"/>
      <c r="AR10209" s="19"/>
      <c r="AS10209" s="19"/>
      <c r="AT10209" s="19"/>
      <c r="AU10209" s="19"/>
    </row>
    <row r="10210" spans="3:47">
      <c r="C10210" s="20"/>
      <c r="Z10210" s="20"/>
      <c r="AG10210" s="20"/>
      <c r="AQ10210" s="19"/>
      <c r="AR10210" s="19"/>
      <c r="AS10210" s="19"/>
      <c r="AT10210" s="19"/>
      <c r="AU10210" s="19"/>
    </row>
    <row r="10211" spans="3:47">
      <c r="C10211" s="20"/>
      <c r="Z10211" s="20"/>
      <c r="AG10211" s="20"/>
      <c r="AQ10211" s="19"/>
      <c r="AR10211" s="19"/>
      <c r="AS10211" s="19"/>
      <c r="AT10211" s="19"/>
      <c r="AU10211" s="19"/>
    </row>
    <row r="10212" spans="3:47">
      <c r="C10212" s="20"/>
      <c r="Z10212" s="20"/>
      <c r="AG10212" s="20"/>
      <c r="AQ10212" s="19"/>
      <c r="AR10212" s="19"/>
      <c r="AS10212" s="19"/>
      <c r="AT10212" s="19"/>
      <c r="AU10212" s="19"/>
    </row>
    <row r="10213" spans="3:47">
      <c r="C10213" s="20"/>
      <c r="Z10213" s="20"/>
      <c r="AG10213" s="20"/>
      <c r="AQ10213" s="19"/>
      <c r="AR10213" s="19"/>
      <c r="AS10213" s="19"/>
      <c r="AT10213" s="19"/>
      <c r="AU10213" s="19"/>
    </row>
    <row r="10214" spans="3:47">
      <c r="C10214" s="20"/>
      <c r="Z10214" s="20"/>
      <c r="AG10214" s="20"/>
      <c r="AQ10214" s="19"/>
      <c r="AR10214" s="19"/>
      <c r="AS10214" s="19"/>
      <c r="AT10214" s="19"/>
      <c r="AU10214" s="19"/>
    </row>
    <row r="10215" spans="3:47">
      <c r="C10215" s="20"/>
      <c r="Z10215" s="20"/>
      <c r="AG10215" s="20"/>
      <c r="AQ10215" s="19"/>
      <c r="AR10215" s="19"/>
      <c r="AS10215" s="19"/>
      <c r="AT10215" s="19"/>
      <c r="AU10215" s="19"/>
    </row>
    <row r="10216" spans="3:47">
      <c r="C10216" s="20"/>
      <c r="Z10216" s="20"/>
      <c r="AG10216" s="20"/>
      <c r="AQ10216" s="19"/>
      <c r="AR10216" s="19"/>
      <c r="AS10216" s="19"/>
      <c r="AT10216" s="19"/>
      <c r="AU10216" s="19"/>
    </row>
    <row r="10217" spans="3:47">
      <c r="C10217" s="20"/>
      <c r="Z10217" s="20"/>
      <c r="AG10217" s="20"/>
      <c r="AQ10217" s="19"/>
      <c r="AR10217" s="19"/>
      <c r="AS10217" s="19"/>
      <c r="AT10217" s="19"/>
      <c r="AU10217" s="19"/>
    </row>
    <row r="10218" spans="3:47">
      <c r="C10218" s="20"/>
      <c r="Z10218" s="20"/>
      <c r="AG10218" s="20"/>
      <c r="AQ10218" s="19"/>
      <c r="AR10218" s="19"/>
      <c r="AS10218" s="19"/>
      <c r="AT10218" s="19"/>
      <c r="AU10218" s="19"/>
    </row>
    <row r="10219" spans="3:47">
      <c r="C10219" s="20"/>
      <c r="Z10219" s="20"/>
      <c r="AG10219" s="20"/>
      <c r="AQ10219" s="19"/>
      <c r="AR10219" s="19"/>
      <c r="AS10219" s="19"/>
      <c r="AT10219" s="19"/>
      <c r="AU10219" s="19"/>
    </row>
    <row r="10220" spans="3:47">
      <c r="C10220" s="20"/>
      <c r="Z10220" s="20"/>
      <c r="AG10220" s="20"/>
      <c r="AQ10220" s="19"/>
      <c r="AR10220" s="19"/>
      <c r="AS10220" s="19"/>
      <c r="AT10220" s="19"/>
      <c r="AU10220" s="19"/>
    </row>
    <row r="10221" spans="3:47">
      <c r="C10221" s="20"/>
      <c r="Z10221" s="20"/>
      <c r="AG10221" s="20"/>
      <c r="AQ10221" s="19"/>
      <c r="AR10221" s="19"/>
      <c r="AS10221" s="19"/>
      <c r="AT10221" s="19"/>
      <c r="AU10221" s="19"/>
    </row>
    <row r="10222" spans="3:47">
      <c r="C10222" s="20"/>
      <c r="Z10222" s="20"/>
      <c r="AG10222" s="20"/>
      <c r="AQ10222" s="19"/>
      <c r="AR10222" s="19"/>
      <c r="AS10222" s="19"/>
      <c r="AT10222" s="19"/>
      <c r="AU10222" s="19"/>
    </row>
    <row r="10223" spans="3:47">
      <c r="C10223" s="20"/>
      <c r="Z10223" s="20"/>
      <c r="AG10223" s="20"/>
      <c r="AQ10223" s="19"/>
      <c r="AR10223" s="19"/>
      <c r="AS10223" s="19"/>
      <c r="AT10223" s="19"/>
      <c r="AU10223" s="19"/>
    </row>
    <row r="10224" spans="3:47">
      <c r="C10224" s="20"/>
      <c r="Z10224" s="20"/>
      <c r="AG10224" s="20"/>
      <c r="AQ10224" s="19"/>
      <c r="AR10224" s="19"/>
      <c r="AS10224" s="19"/>
      <c r="AT10224" s="19"/>
      <c r="AU10224" s="19"/>
    </row>
    <row r="10225" spans="3:47">
      <c r="C10225" s="20"/>
      <c r="Z10225" s="20"/>
      <c r="AG10225" s="20"/>
      <c r="AQ10225" s="19"/>
      <c r="AR10225" s="19"/>
      <c r="AS10225" s="19"/>
      <c r="AT10225" s="19"/>
      <c r="AU10225" s="19"/>
    </row>
    <row r="10226" spans="3:47">
      <c r="C10226" s="20"/>
      <c r="Z10226" s="20"/>
      <c r="AG10226" s="20"/>
      <c r="AQ10226" s="19"/>
      <c r="AR10226" s="19"/>
      <c r="AS10226" s="19"/>
      <c r="AT10226" s="19"/>
      <c r="AU10226" s="19"/>
    </row>
    <row r="10227" spans="3:47">
      <c r="C10227" s="20"/>
      <c r="Z10227" s="20"/>
      <c r="AG10227" s="20"/>
      <c r="AQ10227" s="19"/>
      <c r="AR10227" s="19"/>
      <c r="AS10227" s="19"/>
      <c r="AT10227" s="19"/>
      <c r="AU10227" s="19"/>
    </row>
    <row r="10228" spans="3:47">
      <c r="C10228" s="20"/>
      <c r="Z10228" s="20"/>
      <c r="AG10228" s="20"/>
      <c r="AQ10228" s="19"/>
      <c r="AR10228" s="19"/>
      <c r="AS10228" s="19"/>
      <c r="AT10228" s="19"/>
      <c r="AU10228" s="19"/>
    </row>
    <row r="10229" spans="3:47">
      <c r="C10229" s="20"/>
      <c r="Z10229" s="20"/>
      <c r="AG10229" s="20"/>
      <c r="AQ10229" s="19"/>
      <c r="AR10229" s="19"/>
      <c r="AS10229" s="19"/>
      <c r="AT10229" s="19"/>
      <c r="AU10229" s="19"/>
    </row>
    <row r="10230" spans="3:47">
      <c r="C10230" s="20"/>
      <c r="Z10230" s="20"/>
      <c r="AG10230" s="20"/>
      <c r="AQ10230" s="19"/>
      <c r="AR10230" s="19"/>
      <c r="AS10230" s="19"/>
      <c r="AT10230" s="19"/>
      <c r="AU10230" s="19"/>
    </row>
    <row r="10231" spans="3:47">
      <c r="C10231" s="20"/>
      <c r="Z10231" s="20"/>
      <c r="AG10231" s="20"/>
      <c r="AQ10231" s="19"/>
      <c r="AR10231" s="19"/>
      <c r="AS10231" s="19"/>
      <c r="AT10231" s="19"/>
      <c r="AU10231" s="19"/>
    </row>
    <row r="10232" spans="3:47">
      <c r="C10232" s="20"/>
      <c r="Z10232" s="20"/>
      <c r="AG10232" s="20"/>
      <c r="AQ10232" s="19"/>
      <c r="AR10232" s="19"/>
      <c r="AS10232" s="19"/>
      <c r="AT10232" s="19"/>
      <c r="AU10232" s="19"/>
    </row>
    <row r="10233" spans="3:47">
      <c r="C10233" s="20"/>
      <c r="Z10233" s="20"/>
      <c r="AG10233" s="20"/>
      <c r="AQ10233" s="19"/>
      <c r="AR10233" s="19"/>
      <c r="AS10233" s="19"/>
      <c r="AT10233" s="19"/>
      <c r="AU10233" s="19"/>
    </row>
    <row r="10234" spans="3:47">
      <c r="C10234" s="20"/>
      <c r="Z10234" s="20"/>
      <c r="AG10234" s="20"/>
      <c r="AQ10234" s="19"/>
      <c r="AR10234" s="19"/>
      <c r="AS10234" s="19"/>
      <c r="AT10234" s="19"/>
      <c r="AU10234" s="19"/>
    </row>
    <row r="10235" spans="3:47">
      <c r="C10235" s="20"/>
      <c r="Z10235" s="20"/>
      <c r="AG10235" s="20"/>
      <c r="AQ10235" s="19"/>
      <c r="AR10235" s="19"/>
      <c r="AS10235" s="19"/>
      <c r="AT10235" s="19"/>
      <c r="AU10235" s="19"/>
    </row>
    <row r="10236" spans="3:47">
      <c r="C10236" s="20"/>
      <c r="Z10236" s="20"/>
      <c r="AG10236" s="20"/>
      <c r="AQ10236" s="19"/>
      <c r="AR10236" s="19"/>
      <c r="AS10236" s="19"/>
      <c r="AT10236" s="19"/>
      <c r="AU10236" s="19"/>
    </row>
    <row r="10237" spans="3:47">
      <c r="C10237" s="20"/>
      <c r="Z10237" s="20"/>
      <c r="AG10237" s="20"/>
      <c r="AQ10237" s="19"/>
      <c r="AR10237" s="19"/>
      <c r="AS10237" s="19"/>
      <c r="AT10237" s="19"/>
      <c r="AU10237" s="19"/>
    </row>
    <row r="10238" spans="3:47">
      <c r="C10238" s="20"/>
      <c r="Z10238" s="20"/>
      <c r="AG10238" s="20"/>
      <c r="AQ10238" s="19"/>
      <c r="AR10238" s="19"/>
      <c r="AS10238" s="19"/>
      <c r="AT10238" s="19"/>
      <c r="AU10238" s="19"/>
    </row>
    <row r="10239" spans="3:47">
      <c r="C10239" s="20"/>
      <c r="Z10239" s="20"/>
      <c r="AG10239" s="20"/>
      <c r="AQ10239" s="19"/>
      <c r="AR10239" s="19"/>
      <c r="AS10239" s="19"/>
      <c r="AT10239" s="19"/>
      <c r="AU10239" s="19"/>
    </row>
    <row r="10240" spans="3:47">
      <c r="C10240" s="20"/>
      <c r="Z10240" s="20"/>
      <c r="AG10240" s="20"/>
      <c r="AQ10240" s="19"/>
      <c r="AR10240" s="19"/>
      <c r="AS10240" s="19"/>
      <c r="AT10240" s="19"/>
      <c r="AU10240" s="19"/>
    </row>
    <row r="10241" spans="3:47">
      <c r="C10241" s="20"/>
      <c r="Z10241" s="20"/>
      <c r="AG10241" s="20"/>
      <c r="AQ10241" s="19"/>
      <c r="AR10241" s="19"/>
      <c r="AS10241" s="19"/>
      <c r="AT10241" s="19"/>
      <c r="AU10241" s="19"/>
    </row>
    <row r="10242" spans="3:47">
      <c r="C10242" s="20"/>
      <c r="Z10242" s="20"/>
      <c r="AG10242" s="20"/>
      <c r="AQ10242" s="19"/>
      <c r="AR10242" s="19"/>
      <c r="AS10242" s="19"/>
      <c r="AT10242" s="19"/>
      <c r="AU10242" s="19"/>
    </row>
    <row r="10243" spans="3:47">
      <c r="C10243" s="20"/>
      <c r="Z10243" s="20"/>
      <c r="AG10243" s="20"/>
      <c r="AQ10243" s="19"/>
      <c r="AR10243" s="19"/>
      <c r="AS10243" s="19"/>
      <c r="AT10243" s="19"/>
      <c r="AU10243" s="19"/>
    </row>
    <row r="10244" spans="3:47">
      <c r="C10244" s="20"/>
      <c r="Z10244" s="20"/>
      <c r="AG10244" s="20"/>
      <c r="AQ10244" s="19"/>
      <c r="AR10244" s="19"/>
      <c r="AS10244" s="19"/>
      <c r="AT10244" s="19"/>
      <c r="AU10244" s="19"/>
    </row>
    <row r="10245" spans="3:47">
      <c r="C10245" s="20"/>
      <c r="Z10245" s="20"/>
      <c r="AG10245" s="20"/>
      <c r="AQ10245" s="19"/>
      <c r="AR10245" s="19"/>
      <c r="AS10245" s="19"/>
      <c r="AT10245" s="19"/>
      <c r="AU10245" s="19"/>
    </row>
    <row r="10246" spans="3:47">
      <c r="C10246" s="20"/>
      <c r="Z10246" s="20"/>
      <c r="AG10246" s="20"/>
      <c r="AQ10246" s="19"/>
      <c r="AR10246" s="19"/>
      <c r="AS10246" s="19"/>
      <c r="AT10246" s="19"/>
      <c r="AU10246" s="19"/>
    </row>
    <row r="10247" spans="3:47">
      <c r="C10247" s="20"/>
      <c r="Z10247" s="20"/>
      <c r="AG10247" s="20"/>
      <c r="AQ10247" s="19"/>
      <c r="AR10247" s="19"/>
      <c r="AS10247" s="19"/>
      <c r="AT10247" s="19"/>
      <c r="AU10247" s="19"/>
    </row>
    <row r="10248" spans="3:47">
      <c r="C10248" s="20"/>
      <c r="Z10248" s="20"/>
      <c r="AG10248" s="20"/>
      <c r="AQ10248" s="19"/>
      <c r="AR10248" s="19"/>
      <c r="AS10248" s="19"/>
      <c r="AT10248" s="19"/>
      <c r="AU10248" s="19"/>
    </row>
    <row r="10249" spans="3:47">
      <c r="C10249" s="20"/>
      <c r="Z10249" s="20"/>
      <c r="AG10249" s="20"/>
      <c r="AQ10249" s="19"/>
      <c r="AR10249" s="19"/>
      <c r="AS10249" s="19"/>
      <c r="AT10249" s="19"/>
      <c r="AU10249" s="19"/>
    </row>
    <row r="10250" spans="3:47">
      <c r="C10250" s="20"/>
      <c r="Z10250" s="20"/>
      <c r="AG10250" s="20"/>
      <c r="AQ10250" s="19"/>
      <c r="AR10250" s="19"/>
      <c r="AS10250" s="19"/>
      <c r="AT10250" s="19"/>
      <c r="AU10250" s="19"/>
    </row>
    <row r="10251" spans="3:47">
      <c r="C10251" s="20"/>
      <c r="Z10251" s="20"/>
      <c r="AG10251" s="20"/>
      <c r="AQ10251" s="19"/>
      <c r="AR10251" s="19"/>
      <c r="AS10251" s="19"/>
      <c r="AT10251" s="19"/>
      <c r="AU10251" s="19"/>
    </row>
    <row r="10252" spans="3:47">
      <c r="C10252" s="20"/>
      <c r="Z10252" s="20"/>
      <c r="AG10252" s="20"/>
      <c r="AQ10252" s="19"/>
      <c r="AR10252" s="19"/>
      <c r="AS10252" s="19"/>
      <c r="AT10252" s="19"/>
      <c r="AU10252" s="19"/>
    </row>
    <row r="10253" spans="3:47">
      <c r="C10253" s="20"/>
      <c r="Z10253" s="20"/>
      <c r="AG10253" s="20"/>
      <c r="AQ10253" s="19"/>
      <c r="AR10253" s="19"/>
      <c r="AS10253" s="19"/>
      <c r="AT10253" s="19"/>
      <c r="AU10253" s="19"/>
    </row>
    <row r="10254" spans="3:47">
      <c r="C10254" s="20"/>
      <c r="Z10254" s="20"/>
      <c r="AG10254" s="20"/>
      <c r="AQ10254" s="19"/>
      <c r="AR10254" s="19"/>
      <c r="AS10254" s="19"/>
      <c r="AT10254" s="19"/>
      <c r="AU10254" s="19"/>
    </row>
    <row r="10255" spans="3:47">
      <c r="C10255" s="20"/>
      <c r="Z10255" s="20"/>
      <c r="AG10255" s="20"/>
      <c r="AQ10255" s="19"/>
      <c r="AR10255" s="19"/>
      <c r="AS10255" s="19"/>
      <c r="AT10255" s="19"/>
      <c r="AU10255" s="19"/>
    </row>
    <row r="10256" spans="3:47">
      <c r="C10256" s="20"/>
      <c r="Z10256" s="20"/>
      <c r="AG10256" s="20"/>
      <c r="AQ10256" s="19"/>
      <c r="AR10256" s="19"/>
      <c r="AS10256" s="19"/>
      <c r="AT10256" s="19"/>
      <c r="AU10256" s="19"/>
    </row>
    <row r="10257" spans="3:47">
      <c r="C10257" s="20"/>
      <c r="Z10257" s="20"/>
      <c r="AG10257" s="20"/>
      <c r="AQ10257" s="19"/>
      <c r="AR10257" s="19"/>
      <c r="AS10257" s="19"/>
      <c r="AT10257" s="19"/>
      <c r="AU10257" s="19"/>
    </row>
    <row r="10258" spans="3:47">
      <c r="C10258" s="20"/>
      <c r="Z10258" s="20"/>
      <c r="AG10258" s="20"/>
      <c r="AQ10258" s="19"/>
      <c r="AR10258" s="19"/>
      <c r="AS10258" s="19"/>
      <c r="AT10258" s="19"/>
      <c r="AU10258" s="19"/>
    </row>
    <row r="10259" spans="3:47">
      <c r="C10259" s="20"/>
      <c r="Z10259" s="20"/>
      <c r="AG10259" s="20"/>
      <c r="AQ10259" s="19"/>
      <c r="AR10259" s="19"/>
      <c r="AS10259" s="19"/>
      <c r="AT10259" s="19"/>
      <c r="AU10259" s="19"/>
    </row>
    <row r="10260" spans="3:47">
      <c r="C10260" s="20"/>
      <c r="Z10260" s="20"/>
      <c r="AG10260" s="20"/>
      <c r="AQ10260" s="19"/>
      <c r="AR10260" s="19"/>
      <c r="AS10260" s="19"/>
      <c r="AT10260" s="19"/>
      <c r="AU10260" s="19"/>
    </row>
    <row r="10261" spans="3:47">
      <c r="C10261" s="20"/>
      <c r="Z10261" s="20"/>
      <c r="AG10261" s="20"/>
      <c r="AQ10261" s="19"/>
      <c r="AR10261" s="19"/>
      <c r="AS10261" s="19"/>
      <c r="AT10261" s="19"/>
      <c r="AU10261" s="19"/>
    </row>
    <row r="10262" spans="3:47">
      <c r="C10262" s="20"/>
      <c r="Z10262" s="20"/>
      <c r="AG10262" s="20"/>
      <c r="AQ10262" s="19"/>
      <c r="AR10262" s="19"/>
      <c r="AS10262" s="19"/>
      <c r="AT10262" s="19"/>
      <c r="AU10262" s="19"/>
    </row>
    <row r="10263" spans="3:47">
      <c r="C10263" s="20"/>
      <c r="Z10263" s="20"/>
      <c r="AG10263" s="20"/>
      <c r="AQ10263" s="19"/>
      <c r="AR10263" s="19"/>
      <c r="AS10263" s="19"/>
      <c r="AT10263" s="19"/>
      <c r="AU10263" s="19"/>
    </row>
    <row r="10264" spans="3:47">
      <c r="C10264" s="20"/>
      <c r="Z10264" s="20"/>
      <c r="AG10264" s="20"/>
      <c r="AQ10264" s="19"/>
      <c r="AR10264" s="19"/>
      <c r="AS10264" s="19"/>
      <c r="AT10264" s="19"/>
      <c r="AU10264" s="19"/>
    </row>
    <row r="10265" spans="3:47">
      <c r="C10265" s="20"/>
      <c r="Z10265" s="20"/>
      <c r="AG10265" s="20"/>
      <c r="AQ10265" s="19"/>
      <c r="AR10265" s="19"/>
      <c r="AS10265" s="19"/>
      <c r="AT10265" s="19"/>
      <c r="AU10265" s="19"/>
    </row>
    <row r="10266" spans="3:47">
      <c r="C10266" s="20"/>
      <c r="Z10266" s="20"/>
      <c r="AG10266" s="20"/>
      <c r="AQ10266" s="19"/>
      <c r="AR10266" s="19"/>
      <c r="AS10266" s="19"/>
      <c r="AT10266" s="19"/>
      <c r="AU10266" s="19"/>
    </row>
    <row r="10267" spans="3:47">
      <c r="C10267" s="20"/>
      <c r="Z10267" s="20"/>
      <c r="AG10267" s="20"/>
      <c r="AQ10267" s="19"/>
      <c r="AR10267" s="19"/>
      <c r="AS10267" s="19"/>
      <c r="AT10267" s="19"/>
      <c r="AU10267" s="19"/>
    </row>
    <row r="10268" spans="3:47">
      <c r="C10268" s="20"/>
      <c r="Z10268" s="20"/>
      <c r="AG10268" s="20"/>
      <c r="AQ10268" s="19"/>
      <c r="AR10268" s="19"/>
      <c r="AS10268" s="19"/>
      <c r="AT10268" s="19"/>
      <c r="AU10268" s="19"/>
    </row>
    <row r="10269" spans="3:47">
      <c r="C10269" s="20"/>
      <c r="Z10269" s="20"/>
      <c r="AG10269" s="20"/>
      <c r="AQ10269" s="19"/>
      <c r="AR10269" s="19"/>
      <c r="AS10269" s="19"/>
      <c r="AT10269" s="19"/>
      <c r="AU10269" s="19"/>
    </row>
    <row r="10270" spans="3:47">
      <c r="C10270" s="20"/>
      <c r="Z10270" s="20"/>
      <c r="AG10270" s="20"/>
      <c r="AQ10270" s="19"/>
      <c r="AR10270" s="19"/>
      <c r="AS10270" s="19"/>
      <c r="AT10270" s="19"/>
      <c r="AU10270" s="19"/>
    </row>
    <row r="10271" spans="3:47">
      <c r="C10271" s="20"/>
      <c r="Z10271" s="20"/>
      <c r="AG10271" s="20"/>
      <c r="AQ10271" s="19"/>
      <c r="AR10271" s="19"/>
      <c r="AS10271" s="19"/>
      <c r="AT10271" s="19"/>
      <c r="AU10271" s="19"/>
    </row>
    <row r="10272" spans="3:47">
      <c r="C10272" s="20"/>
      <c r="Z10272" s="20"/>
      <c r="AG10272" s="20"/>
      <c r="AQ10272" s="19"/>
      <c r="AR10272" s="19"/>
      <c r="AS10272" s="19"/>
      <c r="AT10272" s="19"/>
      <c r="AU10272" s="19"/>
    </row>
    <row r="10273" spans="3:47">
      <c r="C10273" s="20"/>
      <c r="Z10273" s="20"/>
      <c r="AG10273" s="20"/>
      <c r="AQ10273" s="19"/>
      <c r="AR10273" s="19"/>
      <c r="AS10273" s="19"/>
      <c r="AT10273" s="19"/>
      <c r="AU10273" s="19"/>
    </row>
    <row r="10274" spans="3:47">
      <c r="C10274" s="20"/>
      <c r="Z10274" s="20"/>
      <c r="AG10274" s="20"/>
      <c r="AQ10274" s="19"/>
      <c r="AR10274" s="19"/>
      <c r="AS10274" s="19"/>
      <c r="AT10274" s="19"/>
      <c r="AU10274" s="19"/>
    </row>
    <row r="10275" spans="3:47">
      <c r="C10275" s="20"/>
      <c r="Z10275" s="20"/>
      <c r="AG10275" s="20"/>
      <c r="AQ10275" s="19"/>
      <c r="AR10275" s="19"/>
      <c r="AS10275" s="19"/>
      <c r="AT10275" s="19"/>
      <c r="AU10275" s="19"/>
    </row>
    <row r="10276" spans="3:47">
      <c r="C10276" s="20"/>
      <c r="Z10276" s="20"/>
      <c r="AG10276" s="20"/>
      <c r="AQ10276" s="19"/>
      <c r="AR10276" s="19"/>
      <c r="AS10276" s="19"/>
      <c r="AT10276" s="19"/>
      <c r="AU10276" s="19"/>
    </row>
    <row r="10277" spans="3:47">
      <c r="C10277" s="20"/>
      <c r="Z10277" s="20"/>
      <c r="AG10277" s="20"/>
      <c r="AQ10277" s="19"/>
      <c r="AR10277" s="19"/>
      <c r="AS10277" s="19"/>
      <c r="AT10277" s="19"/>
      <c r="AU10277" s="19"/>
    </row>
    <row r="10278" spans="3:47">
      <c r="C10278" s="20"/>
      <c r="Z10278" s="20"/>
      <c r="AG10278" s="20"/>
      <c r="AQ10278" s="19"/>
      <c r="AR10278" s="19"/>
      <c r="AS10278" s="19"/>
      <c r="AT10278" s="19"/>
      <c r="AU10278" s="19"/>
    </row>
    <row r="10279" spans="3:47">
      <c r="C10279" s="20"/>
      <c r="Z10279" s="20"/>
      <c r="AG10279" s="20"/>
      <c r="AQ10279" s="19"/>
      <c r="AR10279" s="19"/>
      <c r="AS10279" s="19"/>
      <c r="AT10279" s="19"/>
      <c r="AU10279" s="19"/>
    </row>
    <row r="10280" spans="3:47">
      <c r="C10280" s="20"/>
      <c r="Z10280" s="20"/>
      <c r="AG10280" s="20"/>
      <c r="AQ10280" s="19"/>
      <c r="AR10280" s="19"/>
      <c r="AS10280" s="19"/>
      <c r="AT10280" s="19"/>
      <c r="AU10280" s="19"/>
    </row>
    <row r="10281" spans="3:47">
      <c r="C10281" s="20"/>
      <c r="Z10281" s="20"/>
      <c r="AG10281" s="20"/>
      <c r="AQ10281" s="19"/>
      <c r="AR10281" s="19"/>
      <c r="AS10281" s="19"/>
      <c r="AT10281" s="19"/>
      <c r="AU10281" s="19"/>
    </row>
    <row r="10282" spans="3:47">
      <c r="C10282" s="20"/>
      <c r="Z10282" s="20"/>
      <c r="AG10282" s="20"/>
      <c r="AQ10282" s="19"/>
      <c r="AR10282" s="19"/>
      <c r="AS10282" s="19"/>
      <c r="AT10282" s="19"/>
      <c r="AU10282" s="19"/>
    </row>
    <row r="10283" spans="3:47">
      <c r="C10283" s="20"/>
      <c r="Z10283" s="20"/>
      <c r="AG10283" s="20"/>
      <c r="AQ10283" s="19"/>
      <c r="AR10283" s="19"/>
      <c r="AS10283" s="19"/>
      <c r="AT10283" s="19"/>
      <c r="AU10283" s="19"/>
    </row>
    <row r="10284" spans="3:47">
      <c r="C10284" s="20"/>
      <c r="Z10284" s="20"/>
      <c r="AG10284" s="20"/>
      <c r="AQ10284" s="19"/>
      <c r="AR10284" s="19"/>
      <c r="AS10284" s="19"/>
      <c r="AT10284" s="19"/>
      <c r="AU10284" s="19"/>
    </row>
    <row r="10285" spans="3:47">
      <c r="C10285" s="20"/>
      <c r="Z10285" s="20"/>
      <c r="AG10285" s="20"/>
      <c r="AQ10285" s="19"/>
      <c r="AR10285" s="19"/>
      <c r="AS10285" s="19"/>
      <c r="AT10285" s="19"/>
      <c r="AU10285" s="19"/>
    </row>
    <row r="10286" spans="3:47">
      <c r="C10286" s="20"/>
      <c r="Z10286" s="20"/>
      <c r="AG10286" s="20"/>
      <c r="AQ10286" s="19"/>
      <c r="AR10286" s="19"/>
      <c r="AS10286" s="19"/>
      <c r="AT10286" s="19"/>
      <c r="AU10286" s="19"/>
    </row>
    <row r="10287" spans="3:47">
      <c r="C10287" s="20"/>
      <c r="Z10287" s="20"/>
      <c r="AG10287" s="20"/>
      <c r="AQ10287" s="19"/>
      <c r="AR10287" s="19"/>
      <c r="AS10287" s="19"/>
      <c r="AT10287" s="19"/>
      <c r="AU10287" s="19"/>
    </row>
    <row r="10288" spans="3:47">
      <c r="C10288" s="20"/>
      <c r="Z10288" s="20"/>
      <c r="AG10288" s="20"/>
      <c r="AQ10288" s="19"/>
      <c r="AR10288" s="19"/>
      <c r="AS10288" s="19"/>
      <c r="AT10288" s="19"/>
      <c r="AU10288" s="19"/>
    </row>
    <row r="10289" spans="3:47">
      <c r="C10289" s="20"/>
      <c r="Z10289" s="20"/>
      <c r="AG10289" s="20"/>
      <c r="AQ10289" s="19"/>
      <c r="AR10289" s="19"/>
      <c r="AS10289" s="19"/>
      <c r="AT10289" s="19"/>
      <c r="AU10289" s="19"/>
    </row>
    <row r="10290" spans="3:47">
      <c r="C10290" s="20"/>
      <c r="Z10290" s="20"/>
      <c r="AG10290" s="20"/>
      <c r="AQ10290" s="19"/>
      <c r="AR10290" s="19"/>
      <c r="AS10290" s="19"/>
      <c r="AT10290" s="19"/>
      <c r="AU10290" s="19"/>
    </row>
    <row r="10291" spans="3:47">
      <c r="C10291" s="20"/>
      <c r="Z10291" s="20"/>
      <c r="AG10291" s="20"/>
      <c r="AQ10291" s="19"/>
      <c r="AR10291" s="19"/>
      <c r="AS10291" s="19"/>
      <c r="AT10291" s="19"/>
      <c r="AU10291" s="19"/>
    </row>
    <row r="10292" spans="3:47">
      <c r="C10292" s="20"/>
      <c r="Z10292" s="20"/>
      <c r="AG10292" s="20"/>
      <c r="AQ10292" s="19"/>
      <c r="AR10292" s="19"/>
      <c r="AS10292" s="19"/>
      <c r="AT10292" s="19"/>
      <c r="AU10292" s="19"/>
    </row>
    <row r="10293" spans="3:47">
      <c r="C10293" s="20"/>
      <c r="Z10293" s="20"/>
      <c r="AG10293" s="20"/>
      <c r="AQ10293" s="19"/>
      <c r="AR10293" s="19"/>
      <c r="AS10293" s="19"/>
      <c r="AT10293" s="19"/>
      <c r="AU10293" s="19"/>
    </row>
    <row r="10294" spans="3:47">
      <c r="C10294" s="20"/>
      <c r="Z10294" s="20"/>
      <c r="AG10294" s="20"/>
      <c r="AQ10294" s="19"/>
      <c r="AR10294" s="19"/>
      <c r="AS10294" s="19"/>
      <c r="AT10294" s="19"/>
      <c r="AU10294" s="19"/>
    </row>
    <row r="10295" spans="3:47">
      <c r="C10295" s="20"/>
      <c r="Z10295" s="20"/>
      <c r="AG10295" s="20"/>
      <c r="AQ10295" s="19"/>
      <c r="AR10295" s="19"/>
      <c r="AS10295" s="19"/>
      <c r="AT10295" s="19"/>
      <c r="AU10295" s="19"/>
    </row>
    <row r="10296" spans="3:47">
      <c r="C10296" s="20"/>
      <c r="Z10296" s="20"/>
      <c r="AG10296" s="20"/>
      <c r="AQ10296" s="19"/>
      <c r="AR10296" s="19"/>
      <c r="AS10296" s="19"/>
      <c r="AT10296" s="19"/>
      <c r="AU10296" s="19"/>
    </row>
    <row r="10297" spans="3:47">
      <c r="C10297" s="20"/>
      <c r="Z10297" s="20"/>
      <c r="AG10297" s="20"/>
      <c r="AQ10297" s="19"/>
      <c r="AR10297" s="19"/>
      <c r="AS10297" s="19"/>
      <c r="AT10297" s="19"/>
      <c r="AU10297" s="19"/>
    </row>
    <row r="10298" spans="3:47">
      <c r="C10298" s="20"/>
      <c r="Z10298" s="20"/>
      <c r="AG10298" s="20"/>
      <c r="AQ10298" s="19"/>
      <c r="AR10298" s="19"/>
      <c r="AS10298" s="19"/>
      <c r="AT10298" s="19"/>
      <c r="AU10298" s="19"/>
    </row>
    <row r="10299" spans="3:47">
      <c r="C10299" s="20"/>
      <c r="Z10299" s="20"/>
      <c r="AG10299" s="20"/>
      <c r="AQ10299" s="19"/>
      <c r="AR10299" s="19"/>
      <c r="AS10299" s="19"/>
      <c r="AT10299" s="19"/>
      <c r="AU10299" s="19"/>
    </row>
    <row r="10300" spans="3:47">
      <c r="C10300" s="20"/>
      <c r="Z10300" s="20"/>
      <c r="AG10300" s="20"/>
      <c r="AQ10300" s="19"/>
      <c r="AR10300" s="19"/>
      <c r="AS10300" s="19"/>
      <c r="AT10300" s="19"/>
      <c r="AU10300" s="19"/>
    </row>
    <row r="10301" spans="3:47">
      <c r="C10301" s="20"/>
      <c r="Z10301" s="20"/>
      <c r="AG10301" s="20"/>
      <c r="AQ10301" s="19"/>
      <c r="AR10301" s="19"/>
      <c r="AS10301" s="19"/>
      <c r="AT10301" s="19"/>
      <c r="AU10301" s="19"/>
    </row>
    <row r="10302" spans="3:47">
      <c r="C10302" s="20"/>
      <c r="Z10302" s="20"/>
      <c r="AG10302" s="20"/>
      <c r="AQ10302" s="19"/>
      <c r="AR10302" s="19"/>
      <c r="AS10302" s="19"/>
      <c r="AT10302" s="19"/>
      <c r="AU10302" s="19"/>
    </row>
    <row r="10303" spans="3:47">
      <c r="C10303" s="20"/>
      <c r="Z10303" s="20"/>
      <c r="AG10303" s="20"/>
      <c r="AQ10303" s="19"/>
      <c r="AR10303" s="19"/>
      <c r="AS10303" s="19"/>
      <c r="AT10303" s="19"/>
      <c r="AU10303" s="19"/>
    </row>
    <row r="10304" spans="3:47">
      <c r="C10304" s="20"/>
      <c r="Z10304" s="20"/>
      <c r="AG10304" s="20"/>
      <c r="AQ10304" s="19"/>
      <c r="AR10304" s="19"/>
      <c r="AS10304" s="19"/>
      <c r="AT10304" s="19"/>
      <c r="AU10304" s="19"/>
    </row>
    <row r="10305" spans="3:47">
      <c r="C10305" s="20"/>
      <c r="Z10305" s="20"/>
      <c r="AG10305" s="20"/>
      <c r="AQ10305" s="19"/>
      <c r="AR10305" s="19"/>
      <c r="AS10305" s="19"/>
      <c r="AT10305" s="19"/>
      <c r="AU10305" s="19"/>
    </row>
    <row r="10306" spans="3:47">
      <c r="C10306" s="20"/>
      <c r="Z10306" s="20"/>
      <c r="AG10306" s="20"/>
      <c r="AQ10306" s="19"/>
      <c r="AR10306" s="19"/>
      <c r="AS10306" s="19"/>
      <c r="AT10306" s="19"/>
      <c r="AU10306" s="19"/>
    </row>
    <row r="10307" spans="3:47">
      <c r="C10307" s="20"/>
      <c r="Z10307" s="20"/>
      <c r="AG10307" s="20"/>
      <c r="AQ10307" s="19"/>
      <c r="AR10307" s="19"/>
      <c r="AS10307" s="19"/>
      <c r="AT10307" s="19"/>
      <c r="AU10307" s="19"/>
    </row>
    <row r="10308" spans="3:47">
      <c r="C10308" s="20"/>
      <c r="Z10308" s="20"/>
      <c r="AG10308" s="20"/>
      <c r="AQ10308" s="19"/>
      <c r="AR10308" s="19"/>
      <c r="AS10308" s="19"/>
      <c r="AT10308" s="19"/>
      <c r="AU10308" s="19"/>
    </row>
    <row r="10309" spans="3:47">
      <c r="C10309" s="20"/>
      <c r="Z10309" s="20"/>
      <c r="AG10309" s="20"/>
      <c r="AQ10309" s="19"/>
      <c r="AR10309" s="19"/>
      <c r="AS10309" s="19"/>
      <c r="AT10309" s="19"/>
      <c r="AU10309" s="19"/>
    </row>
    <row r="10310" spans="3:47">
      <c r="C10310" s="20"/>
      <c r="Z10310" s="20"/>
      <c r="AG10310" s="20"/>
      <c r="AQ10310" s="19"/>
      <c r="AR10310" s="19"/>
      <c r="AS10310" s="19"/>
      <c r="AT10310" s="19"/>
      <c r="AU10310" s="19"/>
    </row>
    <row r="10311" spans="3:47">
      <c r="C10311" s="20"/>
      <c r="Z10311" s="20"/>
      <c r="AG10311" s="20"/>
      <c r="AQ10311" s="19"/>
      <c r="AR10311" s="19"/>
      <c r="AS10311" s="19"/>
      <c r="AT10311" s="19"/>
      <c r="AU10311" s="19"/>
    </row>
    <row r="10312" spans="3:47">
      <c r="C10312" s="20"/>
      <c r="Z10312" s="20"/>
      <c r="AG10312" s="20"/>
      <c r="AQ10312" s="19"/>
      <c r="AR10312" s="19"/>
      <c r="AS10312" s="19"/>
      <c r="AT10312" s="19"/>
      <c r="AU10312" s="19"/>
    </row>
    <row r="10313" spans="3:47">
      <c r="C10313" s="20"/>
      <c r="Z10313" s="20"/>
      <c r="AG10313" s="20"/>
      <c r="AQ10313" s="19"/>
      <c r="AR10313" s="19"/>
      <c r="AS10313" s="19"/>
      <c r="AT10313" s="19"/>
      <c r="AU10313" s="19"/>
    </row>
    <row r="10314" spans="3:47">
      <c r="C10314" s="20"/>
      <c r="Z10314" s="20"/>
      <c r="AG10314" s="20"/>
      <c r="AQ10314" s="19"/>
      <c r="AR10314" s="19"/>
      <c r="AS10314" s="19"/>
      <c r="AT10314" s="19"/>
      <c r="AU10314" s="19"/>
    </row>
    <row r="10315" spans="3:47">
      <c r="C10315" s="20"/>
      <c r="Z10315" s="20"/>
      <c r="AG10315" s="20"/>
      <c r="AQ10315" s="19"/>
      <c r="AR10315" s="19"/>
      <c r="AS10315" s="19"/>
      <c r="AT10315" s="19"/>
      <c r="AU10315" s="19"/>
    </row>
    <row r="10316" spans="3:47">
      <c r="C10316" s="20"/>
      <c r="Z10316" s="20"/>
      <c r="AG10316" s="20"/>
      <c r="AQ10316" s="19"/>
      <c r="AR10316" s="19"/>
      <c r="AS10316" s="19"/>
      <c r="AT10316" s="19"/>
      <c r="AU10316" s="19"/>
    </row>
    <row r="10317" spans="3:47">
      <c r="C10317" s="20"/>
      <c r="Z10317" s="20"/>
      <c r="AG10317" s="20"/>
      <c r="AQ10317" s="19"/>
      <c r="AR10317" s="19"/>
      <c r="AS10317" s="19"/>
      <c r="AT10317" s="19"/>
      <c r="AU10317" s="19"/>
    </row>
    <row r="10318" spans="3:47">
      <c r="C10318" s="20"/>
      <c r="Z10318" s="20"/>
      <c r="AG10318" s="20"/>
      <c r="AQ10318" s="19"/>
      <c r="AR10318" s="19"/>
      <c r="AS10318" s="19"/>
      <c r="AT10318" s="19"/>
      <c r="AU10318" s="19"/>
    </row>
    <row r="10319" spans="3:47">
      <c r="C10319" s="20"/>
      <c r="Z10319" s="20"/>
      <c r="AG10319" s="20"/>
      <c r="AQ10319" s="19"/>
      <c r="AR10319" s="19"/>
      <c r="AS10319" s="19"/>
      <c r="AT10319" s="19"/>
      <c r="AU10319" s="19"/>
    </row>
    <row r="10320" spans="3:47">
      <c r="C10320" s="20"/>
      <c r="Z10320" s="20"/>
      <c r="AG10320" s="20"/>
      <c r="AQ10320" s="19"/>
      <c r="AR10320" s="19"/>
      <c r="AS10320" s="19"/>
      <c r="AT10320" s="19"/>
      <c r="AU10320" s="19"/>
    </row>
    <row r="10321" spans="3:47">
      <c r="C10321" s="20"/>
      <c r="Z10321" s="20"/>
      <c r="AG10321" s="20"/>
      <c r="AQ10321" s="19"/>
      <c r="AR10321" s="19"/>
      <c r="AS10321" s="19"/>
      <c r="AT10321" s="19"/>
      <c r="AU10321" s="19"/>
    </row>
    <row r="10322" spans="3:47">
      <c r="C10322" s="20"/>
      <c r="Z10322" s="20"/>
      <c r="AG10322" s="20"/>
      <c r="AQ10322" s="19"/>
      <c r="AR10322" s="19"/>
      <c r="AS10322" s="19"/>
      <c r="AT10322" s="19"/>
      <c r="AU10322" s="19"/>
    </row>
    <row r="10323" spans="3:47">
      <c r="C10323" s="20"/>
      <c r="Z10323" s="20"/>
      <c r="AG10323" s="20"/>
      <c r="AQ10323" s="19"/>
      <c r="AR10323" s="19"/>
      <c r="AS10323" s="19"/>
      <c r="AT10323" s="19"/>
      <c r="AU10323" s="19"/>
    </row>
    <row r="10324" spans="3:47">
      <c r="C10324" s="20"/>
      <c r="Z10324" s="20"/>
      <c r="AG10324" s="20"/>
      <c r="AQ10324" s="19"/>
      <c r="AR10324" s="19"/>
      <c r="AS10324" s="19"/>
      <c r="AT10324" s="19"/>
      <c r="AU10324" s="19"/>
    </row>
    <row r="10325" spans="3:47">
      <c r="C10325" s="20"/>
      <c r="Z10325" s="20"/>
      <c r="AG10325" s="20"/>
      <c r="AQ10325" s="19"/>
      <c r="AR10325" s="19"/>
      <c r="AS10325" s="19"/>
      <c r="AT10325" s="19"/>
      <c r="AU10325" s="19"/>
    </row>
    <row r="10326" spans="3:47">
      <c r="C10326" s="20"/>
      <c r="Z10326" s="20"/>
      <c r="AG10326" s="20"/>
      <c r="AQ10326" s="19"/>
      <c r="AR10326" s="19"/>
      <c r="AS10326" s="19"/>
      <c r="AT10326" s="19"/>
      <c r="AU10326" s="19"/>
    </row>
    <row r="10327" spans="3:47">
      <c r="C10327" s="20"/>
      <c r="Z10327" s="20"/>
      <c r="AG10327" s="20"/>
      <c r="AQ10327" s="19"/>
      <c r="AR10327" s="19"/>
      <c r="AS10327" s="19"/>
      <c r="AT10327" s="19"/>
      <c r="AU10327" s="19"/>
    </row>
    <row r="10328" spans="3:47">
      <c r="C10328" s="20"/>
      <c r="Z10328" s="20"/>
      <c r="AG10328" s="20"/>
      <c r="AQ10328" s="19"/>
      <c r="AR10328" s="19"/>
      <c r="AS10328" s="19"/>
      <c r="AT10328" s="19"/>
      <c r="AU10328" s="19"/>
    </row>
    <row r="10329" spans="3:47">
      <c r="C10329" s="20"/>
      <c r="Z10329" s="20"/>
      <c r="AG10329" s="20"/>
      <c r="AQ10329" s="19"/>
      <c r="AR10329" s="19"/>
      <c r="AS10329" s="19"/>
      <c r="AT10329" s="19"/>
      <c r="AU10329" s="19"/>
    </row>
    <row r="10330" spans="3:47">
      <c r="C10330" s="20"/>
      <c r="Z10330" s="20"/>
      <c r="AG10330" s="20"/>
      <c r="AQ10330" s="19"/>
      <c r="AR10330" s="19"/>
      <c r="AS10330" s="19"/>
      <c r="AT10330" s="19"/>
      <c r="AU10330" s="19"/>
    </row>
    <row r="10331" spans="3:47">
      <c r="C10331" s="20"/>
      <c r="Z10331" s="20"/>
      <c r="AG10331" s="20"/>
      <c r="AQ10331" s="19"/>
      <c r="AR10331" s="19"/>
      <c r="AS10331" s="19"/>
      <c r="AT10331" s="19"/>
      <c r="AU10331" s="19"/>
    </row>
    <row r="10332" spans="3:47">
      <c r="C10332" s="20"/>
      <c r="Z10332" s="20"/>
      <c r="AG10332" s="20"/>
      <c r="AQ10332" s="19"/>
      <c r="AR10332" s="19"/>
      <c r="AS10332" s="19"/>
      <c r="AT10332" s="19"/>
      <c r="AU10332" s="19"/>
    </row>
    <row r="10333" spans="3:47">
      <c r="C10333" s="20"/>
      <c r="Z10333" s="20"/>
      <c r="AG10333" s="20"/>
      <c r="AQ10333" s="19"/>
      <c r="AR10333" s="19"/>
      <c r="AS10333" s="19"/>
      <c r="AT10333" s="19"/>
      <c r="AU10333" s="19"/>
    </row>
    <row r="10334" spans="3:47">
      <c r="C10334" s="20"/>
      <c r="Z10334" s="20"/>
      <c r="AG10334" s="20"/>
      <c r="AQ10334" s="19"/>
      <c r="AR10334" s="19"/>
      <c r="AS10334" s="19"/>
      <c r="AT10334" s="19"/>
      <c r="AU10334" s="19"/>
    </row>
    <row r="10335" spans="3:47">
      <c r="C10335" s="20"/>
      <c r="Z10335" s="20"/>
      <c r="AG10335" s="20"/>
      <c r="AQ10335" s="19"/>
      <c r="AR10335" s="19"/>
      <c r="AS10335" s="19"/>
      <c r="AT10335" s="19"/>
      <c r="AU10335" s="19"/>
    </row>
    <row r="10336" spans="3:47">
      <c r="C10336" s="20"/>
      <c r="Z10336" s="20"/>
      <c r="AG10336" s="20"/>
      <c r="AQ10336" s="19"/>
      <c r="AR10336" s="19"/>
      <c r="AS10336" s="19"/>
      <c r="AT10336" s="19"/>
      <c r="AU10336" s="19"/>
    </row>
    <row r="10337" spans="3:47">
      <c r="C10337" s="20"/>
      <c r="Z10337" s="20"/>
      <c r="AG10337" s="20"/>
      <c r="AQ10337" s="19"/>
      <c r="AR10337" s="19"/>
      <c r="AS10337" s="19"/>
      <c r="AT10337" s="19"/>
      <c r="AU10337" s="19"/>
    </row>
    <row r="10338" spans="3:47">
      <c r="C10338" s="20"/>
      <c r="Z10338" s="20"/>
      <c r="AG10338" s="20"/>
      <c r="AQ10338" s="19"/>
      <c r="AR10338" s="19"/>
      <c r="AS10338" s="19"/>
      <c r="AT10338" s="19"/>
      <c r="AU10338" s="19"/>
    </row>
    <row r="10339" spans="3:47">
      <c r="C10339" s="20"/>
      <c r="Z10339" s="20"/>
      <c r="AG10339" s="20"/>
      <c r="AQ10339" s="19"/>
      <c r="AR10339" s="19"/>
      <c r="AS10339" s="19"/>
      <c r="AT10339" s="19"/>
      <c r="AU10339" s="19"/>
    </row>
    <row r="10340" spans="3:47">
      <c r="C10340" s="20"/>
      <c r="Z10340" s="20"/>
      <c r="AG10340" s="20"/>
      <c r="AQ10340" s="19"/>
      <c r="AR10340" s="19"/>
      <c r="AS10340" s="19"/>
      <c r="AT10340" s="19"/>
      <c r="AU10340" s="19"/>
    </row>
    <row r="10341" spans="3:47">
      <c r="C10341" s="20"/>
      <c r="Z10341" s="20"/>
      <c r="AG10341" s="20"/>
      <c r="AQ10341" s="19"/>
      <c r="AR10341" s="19"/>
      <c r="AS10341" s="19"/>
      <c r="AT10341" s="19"/>
      <c r="AU10341" s="19"/>
    </row>
    <row r="10342" spans="3:47">
      <c r="C10342" s="20"/>
      <c r="Z10342" s="20"/>
      <c r="AG10342" s="20"/>
      <c r="AQ10342" s="19"/>
      <c r="AR10342" s="19"/>
      <c r="AS10342" s="19"/>
      <c r="AT10342" s="19"/>
      <c r="AU10342" s="19"/>
    </row>
    <row r="10343" spans="3:47">
      <c r="C10343" s="20"/>
      <c r="Z10343" s="20"/>
      <c r="AG10343" s="20"/>
      <c r="AQ10343" s="19"/>
      <c r="AR10343" s="19"/>
      <c r="AS10343" s="19"/>
      <c r="AT10343" s="19"/>
      <c r="AU10343" s="19"/>
    </row>
    <row r="10344" spans="3:47">
      <c r="C10344" s="20"/>
      <c r="Z10344" s="20"/>
      <c r="AG10344" s="20"/>
      <c r="AQ10344" s="19"/>
      <c r="AR10344" s="19"/>
      <c r="AS10344" s="19"/>
      <c r="AT10344" s="19"/>
      <c r="AU10344" s="19"/>
    </row>
    <row r="10345" spans="3:47">
      <c r="C10345" s="20"/>
      <c r="Z10345" s="20"/>
      <c r="AG10345" s="20"/>
      <c r="AQ10345" s="19"/>
      <c r="AR10345" s="19"/>
      <c r="AS10345" s="19"/>
      <c r="AT10345" s="19"/>
      <c r="AU10345" s="19"/>
    </row>
    <row r="10346" spans="3:47">
      <c r="C10346" s="20"/>
      <c r="Z10346" s="20"/>
      <c r="AG10346" s="20"/>
      <c r="AQ10346" s="19"/>
      <c r="AR10346" s="19"/>
      <c r="AS10346" s="19"/>
      <c r="AT10346" s="19"/>
      <c r="AU10346" s="19"/>
    </row>
    <row r="10347" spans="3:47">
      <c r="C10347" s="20"/>
      <c r="Z10347" s="20"/>
      <c r="AG10347" s="20"/>
      <c r="AQ10347" s="19"/>
      <c r="AR10347" s="19"/>
      <c r="AS10347" s="19"/>
      <c r="AT10347" s="19"/>
      <c r="AU10347" s="19"/>
    </row>
    <row r="10348" spans="3:47">
      <c r="C10348" s="20"/>
      <c r="Z10348" s="20"/>
      <c r="AG10348" s="20"/>
      <c r="AQ10348" s="19"/>
      <c r="AR10348" s="19"/>
      <c r="AS10348" s="19"/>
      <c r="AT10348" s="19"/>
      <c r="AU10348" s="19"/>
    </row>
    <row r="10349" spans="3:47">
      <c r="C10349" s="20"/>
      <c r="Z10349" s="20"/>
      <c r="AG10349" s="20"/>
      <c r="AQ10349" s="19"/>
      <c r="AR10349" s="19"/>
      <c r="AS10349" s="19"/>
      <c r="AT10349" s="19"/>
      <c r="AU10349" s="19"/>
    </row>
    <row r="10350" spans="3:47">
      <c r="C10350" s="20"/>
      <c r="Z10350" s="20"/>
      <c r="AG10350" s="20"/>
      <c r="AQ10350" s="19"/>
      <c r="AR10350" s="19"/>
      <c r="AS10350" s="19"/>
      <c r="AT10350" s="19"/>
      <c r="AU10350" s="19"/>
    </row>
    <row r="10351" spans="3:47">
      <c r="C10351" s="20"/>
      <c r="Z10351" s="20"/>
      <c r="AG10351" s="20"/>
      <c r="AQ10351" s="19"/>
      <c r="AR10351" s="19"/>
      <c r="AS10351" s="19"/>
      <c r="AT10351" s="19"/>
      <c r="AU10351" s="19"/>
    </row>
    <row r="10352" spans="3:47">
      <c r="C10352" s="20"/>
      <c r="Z10352" s="20"/>
      <c r="AG10352" s="20"/>
      <c r="AQ10352" s="19"/>
      <c r="AR10352" s="19"/>
      <c r="AS10352" s="19"/>
      <c r="AT10352" s="19"/>
      <c r="AU10352" s="19"/>
    </row>
    <row r="10353" spans="3:47">
      <c r="C10353" s="20"/>
      <c r="Z10353" s="20"/>
      <c r="AG10353" s="20"/>
      <c r="AQ10353" s="19"/>
      <c r="AR10353" s="19"/>
      <c r="AS10353" s="19"/>
      <c r="AT10353" s="19"/>
      <c r="AU10353" s="19"/>
    </row>
    <row r="10354" spans="3:47">
      <c r="C10354" s="20"/>
      <c r="Z10354" s="20"/>
      <c r="AG10354" s="20"/>
      <c r="AQ10354" s="19"/>
      <c r="AR10354" s="19"/>
      <c r="AS10354" s="19"/>
      <c r="AT10354" s="19"/>
      <c r="AU10354" s="19"/>
    </row>
    <row r="10355" spans="3:47">
      <c r="C10355" s="20"/>
      <c r="Z10355" s="20"/>
      <c r="AG10355" s="20"/>
      <c r="AQ10355" s="19"/>
      <c r="AR10355" s="19"/>
      <c r="AS10355" s="19"/>
      <c r="AT10355" s="19"/>
      <c r="AU10355" s="19"/>
    </row>
    <row r="10356" spans="3:47">
      <c r="C10356" s="20"/>
      <c r="Z10356" s="20"/>
      <c r="AG10356" s="20"/>
      <c r="AQ10356" s="19"/>
      <c r="AR10356" s="19"/>
      <c r="AS10356" s="19"/>
      <c r="AT10356" s="19"/>
      <c r="AU10356" s="19"/>
    </row>
    <row r="10357" spans="3:47">
      <c r="C10357" s="20"/>
      <c r="Z10357" s="20"/>
      <c r="AG10357" s="20"/>
      <c r="AQ10357" s="19"/>
      <c r="AR10357" s="19"/>
      <c r="AS10357" s="19"/>
      <c r="AT10357" s="19"/>
      <c r="AU10357" s="19"/>
    </row>
    <row r="10358" spans="3:47">
      <c r="C10358" s="20"/>
      <c r="Z10358" s="20"/>
      <c r="AG10358" s="20"/>
      <c r="AQ10358" s="19"/>
      <c r="AR10358" s="19"/>
      <c r="AS10358" s="19"/>
      <c r="AT10358" s="19"/>
      <c r="AU10358" s="19"/>
    </row>
    <row r="10359" spans="3:47">
      <c r="C10359" s="20"/>
      <c r="Z10359" s="20"/>
      <c r="AG10359" s="20"/>
      <c r="AQ10359" s="19"/>
      <c r="AR10359" s="19"/>
      <c r="AS10359" s="19"/>
      <c r="AT10359" s="19"/>
      <c r="AU10359" s="19"/>
    </row>
    <row r="10360" spans="3:47">
      <c r="C10360" s="20"/>
      <c r="Z10360" s="20"/>
      <c r="AG10360" s="20"/>
      <c r="AQ10360" s="19"/>
      <c r="AR10360" s="19"/>
      <c r="AS10360" s="19"/>
      <c r="AT10360" s="19"/>
      <c r="AU10360" s="19"/>
    </row>
    <row r="10361" spans="3:47">
      <c r="C10361" s="20"/>
      <c r="Z10361" s="20"/>
      <c r="AG10361" s="20"/>
      <c r="AQ10361" s="19"/>
      <c r="AR10361" s="19"/>
      <c r="AS10361" s="19"/>
      <c r="AT10361" s="19"/>
      <c r="AU10361" s="19"/>
    </row>
    <row r="10362" spans="3:47">
      <c r="C10362" s="20"/>
      <c r="Z10362" s="20"/>
      <c r="AG10362" s="20"/>
      <c r="AQ10362" s="19"/>
      <c r="AR10362" s="19"/>
      <c r="AS10362" s="19"/>
      <c r="AT10362" s="19"/>
      <c r="AU10362" s="19"/>
    </row>
    <row r="10363" spans="3:47">
      <c r="C10363" s="20"/>
      <c r="Z10363" s="20"/>
      <c r="AG10363" s="20"/>
      <c r="AQ10363" s="19"/>
      <c r="AR10363" s="19"/>
      <c r="AS10363" s="19"/>
      <c r="AT10363" s="19"/>
      <c r="AU10363" s="19"/>
    </row>
    <row r="10364" spans="3:47">
      <c r="C10364" s="20"/>
      <c r="Z10364" s="20"/>
      <c r="AG10364" s="20"/>
      <c r="AQ10364" s="19"/>
      <c r="AR10364" s="19"/>
      <c r="AS10364" s="19"/>
      <c r="AT10364" s="19"/>
      <c r="AU10364" s="19"/>
    </row>
    <row r="10365" spans="3:47">
      <c r="C10365" s="20"/>
      <c r="Z10365" s="20"/>
      <c r="AG10365" s="20"/>
      <c r="AQ10365" s="19"/>
      <c r="AR10365" s="19"/>
      <c r="AS10365" s="19"/>
      <c r="AT10365" s="19"/>
      <c r="AU10365" s="19"/>
    </row>
    <row r="10366" spans="3:47">
      <c r="C10366" s="20"/>
      <c r="Z10366" s="20"/>
      <c r="AG10366" s="20"/>
      <c r="AQ10366" s="19"/>
      <c r="AR10366" s="19"/>
      <c r="AS10366" s="19"/>
      <c r="AT10366" s="19"/>
      <c r="AU10366" s="19"/>
    </row>
    <row r="10367" spans="3:47">
      <c r="C10367" s="20"/>
      <c r="Z10367" s="20"/>
      <c r="AG10367" s="20"/>
      <c r="AQ10367" s="19"/>
      <c r="AR10367" s="19"/>
      <c r="AS10367" s="19"/>
      <c r="AT10367" s="19"/>
      <c r="AU10367" s="19"/>
    </row>
    <row r="10368" spans="3:47">
      <c r="C10368" s="20"/>
      <c r="Z10368" s="20"/>
      <c r="AG10368" s="20"/>
      <c r="AQ10368" s="19"/>
      <c r="AR10368" s="19"/>
      <c r="AS10368" s="19"/>
      <c r="AT10368" s="19"/>
      <c r="AU10368" s="19"/>
    </row>
    <row r="10369" spans="3:47">
      <c r="C10369" s="20"/>
      <c r="Z10369" s="20"/>
      <c r="AG10369" s="20"/>
      <c r="AQ10369" s="19"/>
      <c r="AR10369" s="19"/>
      <c r="AS10369" s="19"/>
      <c r="AT10369" s="19"/>
      <c r="AU10369" s="19"/>
    </row>
    <row r="10370" spans="3:47">
      <c r="C10370" s="20"/>
      <c r="Z10370" s="20"/>
      <c r="AG10370" s="20"/>
      <c r="AQ10370" s="19"/>
      <c r="AR10370" s="19"/>
      <c r="AS10370" s="19"/>
      <c r="AT10370" s="19"/>
      <c r="AU10370" s="19"/>
    </row>
    <row r="10371" spans="3:47">
      <c r="C10371" s="20"/>
      <c r="Z10371" s="20"/>
      <c r="AG10371" s="20"/>
      <c r="AQ10371" s="19"/>
      <c r="AR10371" s="19"/>
      <c r="AS10371" s="19"/>
      <c r="AT10371" s="19"/>
      <c r="AU10371" s="19"/>
    </row>
    <row r="10372" spans="3:47">
      <c r="C10372" s="20"/>
      <c r="Z10372" s="20"/>
      <c r="AG10372" s="20"/>
      <c r="AQ10372" s="19"/>
      <c r="AR10372" s="19"/>
      <c r="AS10372" s="19"/>
      <c r="AT10372" s="19"/>
      <c r="AU10372" s="19"/>
    </row>
    <row r="10373" spans="3:47">
      <c r="C10373" s="20"/>
      <c r="Z10373" s="20"/>
      <c r="AG10373" s="20"/>
      <c r="AQ10373" s="19"/>
      <c r="AR10373" s="19"/>
      <c r="AS10373" s="19"/>
      <c r="AT10373" s="19"/>
      <c r="AU10373" s="19"/>
    </row>
    <row r="10374" spans="3:47">
      <c r="C10374" s="20"/>
      <c r="Z10374" s="20"/>
      <c r="AG10374" s="20"/>
      <c r="AQ10374" s="19"/>
      <c r="AR10374" s="19"/>
      <c r="AS10374" s="19"/>
      <c r="AT10374" s="19"/>
      <c r="AU10374" s="19"/>
    </row>
    <row r="10375" spans="3:47">
      <c r="C10375" s="20"/>
      <c r="Z10375" s="20"/>
      <c r="AG10375" s="20"/>
      <c r="AQ10375" s="19"/>
      <c r="AR10375" s="19"/>
      <c r="AS10375" s="19"/>
      <c r="AT10375" s="19"/>
      <c r="AU10375" s="19"/>
    </row>
    <row r="10376" spans="3:47">
      <c r="C10376" s="20"/>
      <c r="Z10376" s="20"/>
      <c r="AG10376" s="20"/>
      <c r="AQ10376" s="19"/>
      <c r="AR10376" s="19"/>
      <c r="AS10376" s="19"/>
      <c r="AT10376" s="19"/>
      <c r="AU10376" s="19"/>
    </row>
    <row r="10377" spans="3:47">
      <c r="C10377" s="20"/>
      <c r="Z10377" s="20"/>
      <c r="AG10377" s="20"/>
      <c r="AQ10377" s="19"/>
      <c r="AR10377" s="19"/>
      <c r="AS10377" s="19"/>
      <c r="AT10377" s="19"/>
      <c r="AU10377" s="19"/>
    </row>
    <row r="10378" spans="3:47">
      <c r="C10378" s="20"/>
      <c r="Z10378" s="20"/>
      <c r="AG10378" s="20"/>
      <c r="AQ10378" s="19"/>
      <c r="AR10378" s="19"/>
      <c r="AS10378" s="19"/>
      <c r="AT10378" s="19"/>
      <c r="AU10378" s="19"/>
    </row>
    <row r="10379" spans="3:47">
      <c r="C10379" s="20"/>
      <c r="Z10379" s="20"/>
      <c r="AG10379" s="20"/>
      <c r="AQ10379" s="19"/>
      <c r="AR10379" s="19"/>
      <c r="AS10379" s="19"/>
      <c r="AT10379" s="19"/>
      <c r="AU10379" s="19"/>
    </row>
    <row r="10380" spans="3:47">
      <c r="C10380" s="20"/>
      <c r="Z10380" s="20"/>
      <c r="AG10380" s="20"/>
      <c r="AQ10380" s="19"/>
      <c r="AR10380" s="19"/>
      <c r="AS10380" s="19"/>
      <c r="AT10380" s="19"/>
      <c r="AU10380" s="19"/>
    </row>
    <row r="10381" spans="3:47">
      <c r="C10381" s="20"/>
      <c r="Z10381" s="20"/>
      <c r="AG10381" s="20"/>
      <c r="AQ10381" s="19"/>
      <c r="AR10381" s="19"/>
      <c r="AS10381" s="19"/>
      <c r="AT10381" s="19"/>
      <c r="AU10381" s="19"/>
    </row>
    <row r="10382" spans="3:47">
      <c r="C10382" s="20"/>
      <c r="Z10382" s="20"/>
      <c r="AG10382" s="20"/>
      <c r="AQ10382" s="19"/>
      <c r="AR10382" s="19"/>
      <c r="AS10382" s="19"/>
      <c r="AT10382" s="19"/>
      <c r="AU10382" s="19"/>
    </row>
    <row r="10383" spans="3:47">
      <c r="C10383" s="20"/>
      <c r="Z10383" s="20"/>
      <c r="AG10383" s="20"/>
      <c r="AQ10383" s="19"/>
      <c r="AR10383" s="19"/>
      <c r="AS10383" s="19"/>
      <c r="AT10383" s="19"/>
      <c r="AU10383" s="19"/>
    </row>
    <row r="10384" spans="3:47">
      <c r="C10384" s="20"/>
      <c r="Z10384" s="20"/>
      <c r="AG10384" s="20"/>
      <c r="AQ10384" s="19"/>
      <c r="AR10384" s="19"/>
      <c r="AS10384" s="19"/>
      <c r="AT10384" s="19"/>
      <c r="AU10384" s="19"/>
    </row>
    <row r="10385" spans="3:47">
      <c r="C10385" s="20"/>
      <c r="Z10385" s="20"/>
      <c r="AG10385" s="20"/>
      <c r="AQ10385" s="19"/>
      <c r="AR10385" s="19"/>
      <c r="AS10385" s="19"/>
      <c r="AT10385" s="19"/>
      <c r="AU10385" s="19"/>
    </row>
    <row r="10386" spans="3:47">
      <c r="C10386" s="20"/>
      <c r="Z10386" s="20"/>
      <c r="AG10386" s="20"/>
      <c r="AQ10386" s="19"/>
      <c r="AR10386" s="19"/>
      <c r="AS10386" s="19"/>
      <c r="AT10386" s="19"/>
      <c r="AU10386" s="19"/>
    </row>
    <row r="10387" spans="3:47">
      <c r="C10387" s="20"/>
      <c r="Z10387" s="20"/>
      <c r="AG10387" s="20"/>
      <c r="AQ10387" s="19"/>
      <c r="AR10387" s="19"/>
      <c r="AS10387" s="19"/>
      <c r="AT10387" s="19"/>
      <c r="AU10387" s="19"/>
    </row>
    <row r="10388" spans="3:47">
      <c r="C10388" s="20"/>
      <c r="Z10388" s="20"/>
      <c r="AG10388" s="20"/>
      <c r="AQ10388" s="19"/>
      <c r="AR10388" s="19"/>
      <c r="AS10388" s="19"/>
      <c r="AT10388" s="19"/>
      <c r="AU10388" s="19"/>
    </row>
    <row r="10389" spans="3:47">
      <c r="C10389" s="20"/>
      <c r="Z10389" s="20"/>
      <c r="AG10389" s="20"/>
      <c r="AQ10389" s="19"/>
      <c r="AR10389" s="19"/>
      <c r="AS10389" s="19"/>
      <c r="AT10389" s="19"/>
      <c r="AU10389" s="19"/>
    </row>
    <row r="10390" spans="3:47">
      <c r="C10390" s="20"/>
      <c r="Z10390" s="20"/>
      <c r="AG10390" s="20"/>
      <c r="AQ10390" s="19"/>
      <c r="AR10390" s="19"/>
      <c r="AS10390" s="19"/>
      <c r="AT10390" s="19"/>
      <c r="AU10390" s="19"/>
    </row>
    <row r="10391" spans="3:47">
      <c r="C10391" s="20"/>
      <c r="Z10391" s="20"/>
      <c r="AG10391" s="20"/>
      <c r="AQ10391" s="19"/>
      <c r="AR10391" s="19"/>
      <c r="AS10391" s="19"/>
      <c r="AT10391" s="19"/>
      <c r="AU10391" s="19"/>
    </row>
    <row r="10392" spans="3:47">
      <c r="C10392" s="20"/>
      <c r="Z10392" s="20"/>
      <c r="AG10392" s="20"/>
      <c r="AQ10392" s="19"/>
      <c r="AR10392" s="19"/>
      <c r="AS10392" s="19"/>
      <c r="AT10392" s="19"/>
      <c r="AU10392" s="19"/>
    </row>
    <row r="10393" spans="3:47">
      <c r="C10393" s="20"/>
      <c r="Z10393" s="20"/>
      <c r="AG10393" s="20"/>
      <c r="AQ10393" s="19"/>
      <c r="AR10393" s="19"/>
      <c r="AS10393" s="19"/>
      <c r="AT10393" s="19"/>
      <c r="AU10393" s="19"/>
    </row>
    <row r="10394" spans="3:47">
      <c r="C10394" s="20"/>
      <c r="Z10394" s="20"/>
      <c r="AG10394" s="20"/>
      <c r="AQ10394" s="19"/>
      <c r="AR10394" s="19"/>
      <c r="AS10394" s="19"/>
      <c r="AT10394" s="19"/>
      <c r="AU10394" s="19"/>
    </row>
    <row r="10395" spans="3:47">
      <c r="C10395" s="20"/>
      <c r="Z10395" s="20"/>
      <c r="AG10395" s="20"/>
      <c r="AQ10395" s="19"/>
      <c r="AR10395" s="19"/>
      <c r="AS10395" s="19"/>
      <c r="AT10395" s="19"/>
      <c r="AU10395" s="19"/>
    </row>
    <row r="10396" spans="3:47">
      <c r="C10396" s="20"/>
      <c r="Z10396" s="20"/>
      <c r="AG10396" s="20"/>
      <c r="AQ10396" s="19"/>
      <c r="AR10396" s="19"/>
      <c r="AS10396" s="19"/>
      <c r="AT10396" s="19"/>
      <c r="AU10396" s="19"/>
    </row>
    <row r="10397" spans="3:47">
      <c r="C10397" s="20"/>
      <c r="Z10397" s="20"/>
      <c r="AG10397" s="20"/>
      <c r="AQ10397" s="19"/>
      <c r="AR10397" s="19"/>
      <c r="AS10397" s="19"/>
      <c r="AT10397" s="19"/>
      <c r="AU10397" s="19"/>
    </row>
    <row r="10398" spans="3:47">
      <c r="C10398" s="20"/>
      <c r="Z10398" s="20"/>
      <c r="AG10398" s="20"/>
      <c r="AQ10398" s="19"/>
      <c r="AR10398" s="19"/>
      <c r="AS10398" s="19"/>
      <c r="AT10398" s="19"/>
      <c r="AU10398" s="19"/>
    </row>
    <row r="10399" spans="3:47">
      <c r="C10399" s="20"/>
      <c r="Z10399" s="20"/>
      <c r="AG10399" s="20"/>
      <c r="AQ10399" s="19"/>
      <c r="AR10399" s="19"/>
      <c r="AS10399" s="19"/>
      <c r="AT10399" s="19"/>
      <c r="AU10399" s="19"/>
    </row>
    <row r="10400" spans="3:47">
      <c r="C10400" s="20"/>
      <c r="Z10400" s="20"/>
      <c r="AG10400" s="20"/>
      <c r="AQ10400" s="19"/>
      <c r="AR10400" s="19"/>
      <c r="AS10400" s="19"/>
      <c r="AT10400" s="19"/>
      <c r="AU10400" s="19"/>
    </row>
    <row r="10401" spans="3:47">
      <c r="C10401" s="20"/>
      <c r="Z10401" s="20"/>
      <c r="AG10401" s="20"/>
      <c r="AQ10401" s="19"/>
      <c r="AR10401" s="19"/>
      <c r="AS10401" s="19"/>
      <c r="AT10401" s="19"/>
      <c r="AU10401" s="19"/>
    </row>
    <row r="10402" spans="3:47">
      <c r="C10402" s="20"/>
      <c r="Z10402" s="20"/>
      <c r="AG10402" s="20"/>
      <c r="AQ10402" s="19"/>
      <c r="AR10402" s="19"/>
      <c r="AS10402" s="19"/>
      <c r="AT10402" s="19"/>
      <c r="AU10402" s="19"/>
    </row>
    <row r="10403" spans="3:47">
      <c r="C10403" s="20"/>
      <c r="Z10403" s="20"/>
      <c r="AG10403" s="20"/>
      <c r="AQ10403" s="19"/>
      <c r="AR10403" s="19"/>
      <c r="AS10403" s="19"/>
      <c r="AT10403" s="19"/>
      <c r="AU10403" s="19"/>
    </row>
    <row r="10404" spans="3:47">
      <c r="C10404" s="20"/>
      <c r="Z10404" s="20"/>
      <c r="AG10404" s="20"/>
      <c r="AQ10404" s="19"/>
      <c r="AR10404" s="19"/>
      <c r="AS10404" s="19"/>
      <c r="AT10404" s="19"/>
      <c r="AU10404" s="19"/>
    </row>
    <row r="10405" spans="3:47">
      <c r="C10405" s="20"/>
      <c r="Z10405" s="20"/>
      <c r="AG10405" s="20"/>
      <c r="AQ10405" s="19"/>
      <c r="AR10405" s="19"/>
      <c r="AS10405" s="19"/>
      <c r="AT10405" s="19"/>
      <c r="AU10405" s="19"/>
    </row>
    <row r="10406" spans="3:47">
      <c r="C10406" s="20"/>
      <c r="Z10406" s="20"/>
      <c r="AG10406" s="20"/>
      <c r="AQ10406" s="19"/>
      <c r="AR10406" s="19"/>
      <c r="AS10406" s="19"/>
      <c r="AT10406" s="19"/>
      <c r="AU10406" s="19"/>
    </row>
    <row r="10407" spans="3:47">
      <c r="C10407" s="20"/>
      <c r="Z10407" s="20"/>
      <c r="AG10407" s="20"/>
      <c r="AQ10407" s="19"/>
      <c r="AR10407" s="19"/>
      <c r="AS10407" s="19"/>
      <c r="AT10407" s="19"/>
      <c r="AU10407" s="19"/>
    </row>
    <row r="10408" spans="3:47">
      <c r="C10408" s="20"/>
      <c r="Z10408" s="20"/>
      <c r="AG10408" s="20"/>
      <c r="AQ10408" s="19"/>
      <c r="AR10408" s="19"/>
      <c r="AS10408" s="19"/>
      <c r="AT10408" s="19"/>
      <c r="AU10408" s="19"/>
    </row>
    <row r="10409" spans="3:47">
      <c r="C10409" s="20"/>
      <c r="Z10409" s="20"/>
      <c r="AG10409" s="20"/>
      <c r="AQ10409" s="19"/>
      <c r="AR10409" s="19"/>
      <c r="AS10409" s="19"/>
      <c r="AT10409" s="19"/>
      <c r="AU10409" s="19"/>
    </row>
    <row r="10410" spans="3:47">
      <c r="C10410" s="20"/>
      <c r="Z10410" s="20"/>
      <c r="AG10410" s="20"/>
      <c r="AQ10410" s="19"/>
      <c r="AR10410" s="19"/>
      <c r="AS10410" s="19"/>
      <c r="AT10410" s="19"/>
      <c r="AU10410" s="19"/>
    </row>
    <row r="10411" spans="3:47">
      <c r="C10411" s="20"/>
      <c r="Z10411" s="20"/>
      <c r="AG10411" s="20"/>
      <c r="AQ10411" s="19"/>
      <c r="AR10411" s="19"/>
      <c r="AS10411" s="19"/>
      <c r="AT10411" s="19"/>
      <c r="AU10411" s="19"/>
    </row>
    <row r="10412" spans="3:47">
      <c r="C10412" s="20"/>
      <c r="Z10412" s="20"/>
      <c r="AG10412" s="20"/>
      <c r="AQ10412" s="19"/>
      <c r="AR10412" s="19"/>
      <c r="AS10412" s="19"/>
      <c r="AT10412" s="19"/>
      <c r="AU10412" s="19"/>
    </row>
    <row r="10413" spans="3:47">
      <c r="C10413" s="20"/>
      <c r="Z10413" s="20"/>
      <c r="AG10413" s="20"/>
      <c r="AQ10413" s="19"/>
      <c r="AR10413" s="19"/>
      <c r="AS10413" s="19"/>
      <c r="AT10413" s="19"/>
      <c r="AU10413" s="19"/>
    </row>
    <row r="10414" spans="3:47">
      <c r="C10414" s="20"/>
      <c r="Z10414" s="20"/>
      <c r="AG10414" s="20"/>
      <c r="AQ10414" s="19"/>
      <c r="AR10414" s="19"/>
      <c r="AS10414" s="19"/>
      <c r="AT10414" s="19"/>
      <c r="AU10414" s="19"/>
    </row>
    <row r="10415" spans="3:47">
      <c r="C10415" s="20"/>
      <c r="Z10415" s="20"/>
      <c r="AG10415" s="20"/>
      <c r="AQ10415" s="19"/>
      <c r="AR10415" s="19"/>
      <c r="AS10415" s="19"/>
      <c r="AT10415" s="19"/>
      <c r="AU10415" s="19"/>
    </row>
    <row r="10416" spans="3:47">
      <c r="C10416" s="20"/>
      <c r="Z10416" s="20"/>
      <c r="AG10416" s="20"/>
      <c r="AQ10416" s="19"/>
      <c r="AR10416" s="19"/>
      <c r="AS10416" s="19"/>
      <c r="AT10416" s="19"/>
      <c r="AU10416" s="19"/>
    </row>
    <row r="10417" spans="3:47">
      <c r="C10417" s="20"/>
      <c r="Z10417" s="20"/>
      <c r="AG10417" s="20"/>
      <c r="AQ10417" s="19"/>
      <c r="AR10417" s="19"/>
      <c r="AS10417" s="19"/>
      <c r="AT10417" s="19"/>
      <c r="AU10417" s="19"/>
    </row>
    <row r="10418" spans="3:47">
      <c r="C10418" s="20"/>
      <c r="Z10418" s="20"/>
      <c r="AG10418" s="20"/>
      <c r="AQ10418" s="19"/>
      <c r="AR10418" s="19"/>
      <c r="AS10418" s="19"/>
      <c r="AT10418" s="19"/>
      <c r="AU10418" s="19"/>
    </row>
    <row r="10419" spans="3:47">
      <c r="C10419" s="20"/>
      <c r="Z10419" s="20"/>
      <c r="AG10419" s="20"/>
      <c r="AQ10419" s="19"/>
      <c r="AR10419" s="19"/>
      <c r="AS10419" s="19"/>
      <c r="AT10419" s="19"/>
      <c r="AU10419" s="19"/>
    </row>
    <row r="10420" spans="3:47">
      <c r="C10420" s="20"/>
      <c r="Z10420" s="20"/>
      <c r="AG10420" s="20"/>
      <c r="AQ10420" s="19"/>
      <c r="AR10420" s="19"/>
      <c r="AS10420" s="19"/>
      <c r="AT10420" s="19"/>
      <c r="AU10420" s="19"/>
    </row>
    <row r="10421" spans="3:47">
      <c r="C10421" s="20"/>
      <c r="Z10421" s="20"/>
      <c r="AG10421" s="20"/>
      <c r="AQ10421" s="19"/>
      <c r="AR10421" s="19"/>
      <c r="AS10421" s="19"/>
      <c r="AT10421" s="19"/>
      <c r="AU10421" s="19"/>
    </row>
    <row r="10422" spans="3:47">
      <c r="C10422" s="20"/>
      <c r="Z10422" s="20"/>
      <c r="AG10422" s="20"/>
      <c r="AQ10422" s="19"/>
      <c r="AR10422" s="19"/>
      <c r="AS10422" s="19"/>
      <c r="AT10422" s="19"/>
      <c r="AU10422" s="19"/>
    </row>
    <row r="10423" spans="3:47">
      <c r="C10423" s="20"/>
      <c r="Z10423" s="20"/>
      <c r="AG10423" s="20"/>
      <c r="AQ10423" s="19"/>
      <c r="AR10423" s="19"/>
      <c r="AS10423" s="19"/>
      <c r="AT10423" s="19"/>
      <c r="AU10423" s="19"/>
    </row>
    <row r="10424" spans="3:47">
      <c r="C10424" s="20"/>
      <c r="Z10424" s="20"/>
      <c r="AG10424" s="20"/>
      <c r="AQ10424" s="19"/>
      <c r="AR10424" s="19"/>
      <c r="AS10424" s="19"/>
      <c r="AT10424" s="19"/>
      <c r="AU10424" s="19"/>
    </row>
    <row r="10425" spans="3:47">
      <c r="C10425" s="20"/>
      <c r="Z10425" s="20"/>
      <c r="AG10425" s="20"/>
      <c r="AQ10425" s="19"/>
      <c r="AR10425" s="19"/>
      <c r="AS10425" s="19"/>
      <c r="AT10425" s="19"/>
      <c r="AU10425" s="19"/>
    </row>
    <row r="10426" spans="3:47">
      <c r="C10426" s="20"/>
      <c r="Z10426" s="20"/>
      <c r="AG10426" s="20"/>
      <c r="AQ10426" s="19"/>
      <c r="AR10426" s="19"/>
      <c r="AS10426" s="19"/>
      <c r="AT10426" s="19"/>
      <c r="AU10426" s="19"/>
    </row>
    <row r="10427" spans="3:47">
      <c r="C10427" s="20"/>
      <c r="Z10427" s="20"/>
      <c r="AG10427" s="20"/>
      <c r="AQ10427" s="19"/>
      <c r="AR10427" s="19"/>
      <c r="AS10427" s="19"/>
      <c r="AT10427" s="19"/>
      <c r="AU10427" s="19"/>
    </row>
    <row r="10428" spans="3:47">
      <c r="C10428" s="20"/>
      <c r="Z10428" s="20"/>
      <c r="AG10428" s="20"/>
      <c r="AQ10428" s="19"/>
      <c r="AR10428" s="19"/>
      <c r="AS10428" s="19"/>
      <c r="AT10428" s="19"/>
      <c r="AU10428" s="19"/>
    </row>
    <row r="10429" spans="3:47">
      <c r="C10429" s="20"/>
      <c r="Z10429" s="20"/>
      <c r="AG10429" s="20"/>
      <c r="AQ10429" s="19"/>
      <c r="AR10429" s="19"/>
      <c r="AS10429" s="19"/>
      <c r="AT10429" s="19"/>
      <c r="AU10429" s="19"/>
    </row>
    <row r="10430" spans="3:47">
      <c r="C10430" s="20"/>
      <c r="Z10430" s="20"/>
      <c r="AG10430" s="20"/>
      <c r="AQ10430" s="19"/>
      <c r="AR10430" s="19"/>
      <c r="AS10430" s="19"/>
      <c r="AT10430" s="19"/>
      <c r="AU10430" s="19"/>
    </row>
    <row r="10431" spans="3:47">
      <c r="C10431" s="20"/>
      <c r="Z10431" s="20"/>
      <c r="AG10431" s="20"/>
      <c r="AQ10431" s="19"/>
      <c r="AR10431" s="19"/>
      <c r="AS10431" s="19"/>
      <c r="AT10431" s="19"/>
      <c r="AU10431" s="19"/>
    </row>
    <row r="10432" spans="3:47">
      <c r="C10432" s="20"/>
      <c r="Z10432" s="20"/>
      <c r="AG10432" s="20"/>
      <c r="AQ10432" s="19"/>
      <c r="AR10432" s="19"/>
      <c r="AS10432" s="19"/>
      <c r="AT10432" s="19"/>
      <c r="AU10432" s="19"/>
    </row>
    <row r="10433" spans="3:47">
      <c r="C10433" s="20"/>
      <c r="Z10433" s="20"/>
      <c r="AG10433" s="20"/>
      <c r="AQ10433" s="19"/>
      <c r="AR10433" s="19"/>
      <c r="AS10433" s="19"/>
      <c r="AT10433" s="19"/>
      <c r="AU10433" s="19"/>
    </row>
    <row r="10434" spans="3:47">
      <c r="C10434" s="20"/>
      <c r="Z10434" s="20"/>
      <c r="AG10434" s="20"/>
      <c r="AQ10434" s="19"/>
      <c r="AR10434" s="19"/>
      <c r="AS10434" s="19"/>
      <c r="AT10434" s="19"/>
      <c r="AU10434" s="19"/>
    </row>
    <row r="10435" spans="3:47">
      <c r="C10435" s="20"/>
      <c r="Z10435" s="20"/>
      <c r="AG10435" s="20"/>
      <c r="AQ10435" s="19"/>
      <c r="AR10435" s="19"/>
      <c r="AS10435" s="19"/>
      <c r="AT10435" s="19"/>
      <c r="AU10435" s="19"/>
    </row>
    <row r="10436" spans="3:47">
      <c r="C10436" s="20"/>
      <c r="Z10436" s="20"/>
      <c r="AG10436" s="20"/>
      <c r="AQ10436" s="19"/>
      <c r="AR10436" s="19"/>
      <c r="AS10436" s="19"/>
      <c r="AT10436" s="19"/>
      <c r="AU10436" s="19"/>
    </row>
    <row r="10437" spans="3:47">
      <c r="C10437" s="20"/>
      <c r="Z10437" s="20"/>
      <c r="AG10437" s="20"/>
      <c r="AQ10437" s="19"/>
      <c r="AR10437" s="19"/>
      <c r="AS10437" s="19"/>
      <c r="AT10437" s="19"/>
      <c r="AU10437" s="19"/>
    </row>
    <row r="10438" spans="3:47">
      <c r="C10438" s="20"/>
      <c r="Z10438" s="20"/>
      <c r="AG10438" s="20"/>
      <c r="AQ10438" s="19"/>
      <c r="AR10438" s="19"/>
      <c r="AS10438" s="19"/>
      <c r="AT10438" s="19"/>
      <c r="AU10438" s="19"/>
    </row>
    <row r="10439" spans="3:47">
      <c r="C10439" s="20"/>
      <c r="Z10439" s="20"/>
      <c r="AG10439" s="20"/>
      <c r="AQ10439" s="19"/>
      <c r="AR10439" s="19"/>
      <c r="AS10439" s="19"/>
      <c r="AT10439" s="19"/>
      <c r="AU10439" s="19"/>
    </row>
    <row r="10440" spans="3:47">
      <c r="C10440" s="20"/>
      <c r="Z10440" s="20"/>
      <c r="AG10440" s="20"/>
      <c r="AQ10440" s="19"/>
      <c r="AR10440" s="19"/>
      <c r="AS10440" s="19"/>
      <c r="AT10440" s="19"/>
      <c r="AU10440" s="19"/>
    </row>
    <row r="10441" spans="3:47">
      <c r="C10441" s="20"/>
      <c r="Z10441" s="20"/>
      <c r="AG10441" s="20"/>
      <c r="AQ10441" s="19"/>
      <c r="AR10441" s="19"/>
      <c r="AS10441" s="19"/>
      <c r="AT10441" s="19"/>
      <c r="AU10441" s="19"/>
    </row>
    <row r="10442" spans="3:47">
      <c r="C10442" s="20"/>
      <c r="Z10442" s="20"/>
      <c r="AG10442" s="20"/>
      <c r="AQ10442" s="19"/>
      <c r="AR10442" s="19"/>
      <c r="AS10442" s="19"/>
      <c r="AT10442" s="19"/>
      <c r="AU10442" s="19"/>
    </row>
    <row r="10443" spans="3:47">
      <c r="C10443" s="20"/>
      <c r="Z10443" s="20"/>
      <c r="AG10443" s="20"/>
      <c r="AQ10443" s="19"/>
      <c r="AR10443" s="19"/>
      <c r="AS10443" s="19"/>
      <c r="AT10443" s="19"/>
      <c r="AU10443" s="19"/>
    </row>
    <row r="10444" spans="3:47">
      <c r="C10444" s="20"/>
      <c r="Z10444" s="20"/>
      <c r="AG10444" s="20"/>
      <c r="AQ10444" s="19"/>
      <c r="AR10444" s="19"/>
      <c r="AS10444" s="19"/>
      <c r="AT10444" s="19"/>
      <c r="AU10444" s="19"/>
    </row>
    <row r="10445" spans="3:47">
      <c r="C10445" s="20"/>
      <c r="Z10445" s="20"/>
      <c r="AG10445" s="20"/>
      <c r="AQ10445" s="19"/>
      <c r="AR10445" s="19"/>
      <c r="AS10445" s="19"/>
      <c r="AT10445" s="19"/>
      <c r="AU10445" s="19"/>
    </row>
    <row r="10446" spans="3:47">
      <c r="C10446" s="20"/>
      <c r="Z10446" s="20"/>
      <c r="AG10446" s="20"/>
      <c r="AQ10446" s="19"/>
      <c r="AR10446" s="19"/>
      <c r="AS10446" s="19"/>
      <c r="AT10446" s="19"/>
      <c r="AU10446" s="19"/>
    </row>
    <row r="10447" spans="3:47">
      <c r="C10447" s="20"/>
      <c r="Z10447" s="20"/>
      <c r="AG10447" s="20"/>
      <c r="AQ10447" s="19"/>
      <c r="AR10447" s="19"/>
      <c r="AS10447" s="19"/>
      <c r="AT10447" s="19"/>
      <c r="AU10447" s="19"/>
    </row>
    <row r="10448" spans="3:47">
      <c r="C10448" s="20"/>
      <c r="Z10448" s="20"/>
      <c r="AG10448" s="20"/>
      <c r="AQ10448" s="19"/>
      <c r="AR10448" s="19"/>
      <c r="AS10448" s="19"/>
      <c r="AT10448" s="19"/>
      <c r="AU10448" s="19"/>
    </row>
    <row r="10449" spans="3:47">
      <c r="C10449" s="20"/>
      <c r="Z10449" s="20"/>
      <c r="AG10449" s="20"/>
      <c r="AQ10449" s="19"/>
      <c r="AR10449" s="19"/>
      <c r="AS10449" s="19"/>
      <c r="AT10449" s="19"/>
      <c r="AU10449" s="19"/>
    </row>
    <row r="10450" spans="3:47">
      <c r="C10450" s="20"/>
      <c r="Z10450" s="20"/>
      <c r="AG10450" s="20"/>
      <c r="AQ10450" s="19"/>
      <c r="AR10450" s="19"/>
      <c r="AS10450" s="19"/>
      <c r="AT10450" s="19"/>
      <c r="AU10450" s="19"/>
    </row>
    <row r="10451" spans="3:47">
      <c r="C10451" s="20"/>
      <c r="Z10451" s="20"/>
      <c r="AG10451" s="20"/>
      <c r="AQ10451" s="19"/>
      <c r="AR10451" s="19"/>
      <c r="AS10451" s="19"/>
      <c r="AT10451" s="19"/>
      <c r="AU10451" s="19"/>
    </row>
    <row r="10452" spans="3:47">
      <c r="C10452" s="20"/>
      <c r="Z10452" s="20"/>
      <c r="AG10452" s="20"/>
      <c r="AQ10452" s="19"/>
      <c r="AR10452" s="19"/>
      <c r="AS10452" s="19"/>
      <c r="AT10452" s="19"/>
      <c r="AU10452" s="19"/>
    </row>
    <row r="10453" spans="3:47">
      <c r="C10453" s="20"/>
      <c r="Z10453" s="20"/>
      <c r="AG10453" s="20"/>
      <c r="AQ10453" s="19"/>
      <c r="AR10453" s="19"/>
      <c r="AS10453" s="19"/>
      <c r="AT10453" s="19"/>
      <c r="AU10453" s="19"/>
    </row>
    <row r="10454" spans="3:47">
      <c r="C10454" s="20"/>
      <c r="Z10454" s="20"/>
      <c r="AG10454" s="20"/>
      <c r="AQ10454" s="19"/>
      <c r="AR10454" s="19"/>
      <c r="AS10454" s="19"/>
      <c r="AT10454" s="19"/>
      <c r="AU10454" s="19"/>
    </row>
    <row r="10455" spans="3:47">
      <c r="C10455" s="20"/>
      <c r="Z10455" s="20"/>
      <c r="AG10455" s="20"/>
      <c r="AQ10455" s="19"/>
      <c r="AR10455" s="19"/>
      <c r="AS10455" s="19"/>
      <c r="AT10455" s="19"/>
      <c r="AU10455" s="19"/>
    </row>
    <row r="10456" spans="3:47">
      <c r="C10456" s="20"/>
      <c r="Z10456" s="20"/>
      <c r="AG10456" s="20"/>
      <c r="AQ10456" s="19"/>
      <c r="AR10456" s="19"/>
      <c r="AS10456" s="19"/>
      <c r="AT10456" s="19"/>
      <c r="AU10456" s="19"/>
    </row>
    <row r="10457" spans="3:47">
      <c r="C10457" s="20"/>
      <c r="Z10457" s="20"/>
      <c r="AG10457" s="20"/>
      <c r="AQ10457" s="19"/>
      <c r="AR10457" s="19"/>
      <c r="AS10457" s="19"/>
      <c r="AT10457" s="19"/>
      <c r="AU10457" s="19"/>
    </row>
    <row r="10458" spans="3:47">
      <c r="C10458" s="20"/>
      <c r="Z10458" s="20"/>
      <c r="AG10458" s="20"/>
      <c r="AQ10458" s="19"/>
      <c r="AR10458" s="19"/>
      <c r="AS10458" s="19"/>
      <c r="AT10458" s="19"/>
      <c r="AU10458" s="19"/>
    </row>
    <row r="10459" spans="3:47">
      <c r="C10459" s="20"/>
      <c r="Z10459" s="20"/>
      <c r="AG10459" s="20"/>
      <c r="AQ10459" s="19"/>
      <c r="AR10459" s="19"/>
      <c r="AS10459" s="19"/>
      <c r="AT10459" s="19"/>
      <c r="AU10459" s="19"/>
    </row>
    <row r="10460" spans="3:47">
      <c r="C10460" s="20"/>
      <c r="Z10460" s="20"/>
      <c r="AG10460" s="20"/>
      <c r="AQ10460" s="19"/>
      <c r="AR10460" s="19"/>
      <c r="AS10460" s="19"/>
      <c r="AT10460" s="19"/>
      <c r="AU10460" s="19"/>
    </row>
    <row r="10461" spans="3:47">
      <c r="C10461" s="20"/>
      <c r="Z10461" s="20"/>
      <c r="AG10461" s="20"/>
      <c r="AQ10461" s="19"/>
      <c r="AR10461" s="19"/>
      <c r="AS10461" s="19"/>
      <c r="AT10461" s="19"/>
      <c r="AU10461" s="19"/>
    </row>
    <row r="10462" spans="3:47">
      <c r="C10462" s="20"/>
      <c r="Z10462" s="20"/>
      <c r="AG10462" s="20"/>
      <c r="AQ10462" s="19"/>
      <c r="AR10462" s="19"/>
      <c r="AS10462" s="19"/>
      <c r="AT10462" s="19"/>
      <c r="AU10462" s="19"/>
    </row>
    <row r="10463" spans="3:47">
      <c r="C10463" s="20"/>
      <c r="Z10463" s="20"/>
      <c r="AG10463" s="20"/>
      <c r="AQ10463" s="19"/>
      <c r="AR10463" s="19"/>
      <c r="AS10463" s="19"/>
      <c r="AT10463" s="19"/>
      <c r="AU10463" s="19"/>
    </row>
    <row r="10464" spans="3:47">
      <c r="C10464" s="20"/>
      <c r="Z10464" s="20"/>
      <c r="AG10464" s="20"/>
      <c r="AQ10464" s="19"/>
      <c r="AR10464" s="19"/>
      <c r="AS10464" s="19"/>
      <c r="AT10464" s="19"/>
      <c r="AU10464" s="19"/>
    </row>
    <row r="10465" spans="3:47">
      <c r="C10465" s="20"/>
      <c r="Z10465" s="20"/>
      <c r="AG10465" s="20"/>
      <c r="AQ10465" s="19"/>
      <c r="AR10465" s="19"/>
      <c r="AS10465" s="19"/>
      <c r="AT10465" s="19"/>
      <c r="AU10465" s="19"/>
    </row>
    <row r="10466" spans="3:47">
      <c r="C10466" s="20"/>
      <c r="Z10466" s="20"/>
      <c r="AG10466" s="20"/>
      <c r="AQ10466" s="19"/>
      <c r="AR10466" s="19"/>
      <c r="AS10466" s="19"/>
      <c r="AT10466" s="19"/>
      <c r="AU10466" s="19"/>
    </row>
    <row r="10467" spans="3:47">
      <c r="C10467" s="20"/>
      <c r="Z10467" s="20"/>
      <c r="AG10467" s="20"/>
      <c r="AQ10467" s="19"/>
      <c r="AR10467" s="19"/>
      <c r="AS10467" s="19"/>
      <c r="AT10467" s="19"/>
      <c r="AU10467" s="19"/>
    </row>
    <row r="10468" spans="3:47">
      <c r="C10468" s="20"/>
      <c r="Z10468" s="20"/>
      <c r="AG10468" s="20"/>
      <c r="AQ10468" s="19"/>
      <c r="AR10468" s="19"/>
      <c r="AS10468" s="19"/>
      <c r="AT10468" s="19"/>
      <c r="AU10468" s="19"/>
    </row>
    <row r="10469" spans="3:47">
      <c r="C10469" s="20"/>
      <c r="Z10469" s="20"/>
      <c r="AG10469" s="20"/>
      <c r="AQ10469" s="19"/>
      <c r="AR10469" s="19"/>
      <c r="AS10469" s="19"/>
      <c r="AT10469" s="19"/>
      <c r="AU10469" s="19"/>
    </row>
    <row r="10470" spans="3:47">
      <c r="C10470" s="20"/>
      <c r="Z10470" s="20"/>
      <c r="AG10470" s="20"/>
      <c r="AQ10470" s="19"/>
      <c r="AR10470" s="19"/>
      <c r="AS10470" s="19"/>
      <c r="AT10470" s="19"/>
      <c r="AU10470" s="19"/>
    </row>
    <row r="10471" spans="3:47">
      <c r="C10471" s="20"/>
      <c r="Z10471" s="20"/>
      <c r="AG10471" s="20"/>
      <c r="AQ10471" s="19"/>
      <c r="AR10471" s="19"/>
      <c r="AS10471" s="19"/>
      <c r="AT10471" s="19"/>
      <c r="AU10471" s="19"/>
    </row>
    <row r="10472" spans="3:47">
      <c r="C10472" s="20"/>
      <c r="Z10472" s="20"/>
      <c r="AG10472" s="20"/>
      <c r="AQ10472" s="19"/>
      <c r="AR10472" s="19"/>
      <c r="AS10472" s="19"/>
      <c r="AT10472" s="19"/>
      <c r="AU10472" s="19"/>
    </row>
    <row r="10473" spans="3:47">
      <c r="C10473" s="20"/>
      <c r="Z10473" s="20"/>
      <c r="AG10473" s="20"/>
      <c r="AQ10473" s="19"/>
      <c r="AR10473" s="19"/>
      <c r="AS10473" s="19"/>
      <c r="AT10473" s="19"/>
      <c r="AU10473" s="19"/>
    </row>
    <row r="10474" spans="3:47">
      <c r="C10474" s="20"/>
      <c r="Z10474" s="20"/>
      <c r="AG10474" s="20"/>
      <c r="AQ10474" s="19"/>
      <c r="AR10474" s="19"/>
      <c r="AS10474" s="19"/>
      <c r="AT10474" s="19"/>
      <c r="AU10474" s="19"/>
    </row>
    <row r="10475" spans="3:47">
      <c r="C10475" s="20"/>
      <c r="Z10475" s="20"/>
      <c r="AG10475" s="20"/>
      <c r="AQ10475" s="19"/>
      <c r="AR10475" s="19"/>
      <c r="AS10475" s="19"/>
      <c r="AT10475" s="19"/>
      <c r="AU10475" s="19"/>
    </row>
    <row r="10476" spans="3:47">
      <c r="C10476" s="20"/>
      <c r="Z10476" s="20"/>
      <c r="AG10476" s="20"/>
      <c r="AQ10476" s="19"/>
      <c r="AR10476" s="19"/>
      <c r="AS10476" s="19"/>
      <c r="AT10476" s="19"/>
      <c r="AU10476" s="19"/>
    </row>
    <row r="10477" spans="3:47">
      <c r="C10477" s="20"/>
      <c r="Z10477" s="20"/>
      <c r="AG10477" s="20"/>
      <c r="AQ10477" s="19"/>
      <c r="AR10477" s="19"/>
      <c r="AS10477" s="19"/>
      <c r="AT10477" s="19"/>
      <c r="AU10477" s="19"/>
    </row>
    <row r="10478" spans="3:47">
      <c r="C10478" s="20"/>
      <c r="Z10478" s="20"/>
      <c r="AG10478" s="20"/>
      <c r="AQ10478" s="19"/>
      <c r="AR10478" s="19"/>
      <c r="AS10478" s="19"/>
      <c r="AT10478" s="19"/>
      <c r="AU10478" s="19"/>
    </row>
    <row r="10479" spans="3:47">
      <c r="C10479" s="20"/>
      <c r="Z10479" s="20"/>
      <c r="AG10479" s="20"/>
      <c r="AQ10479" s="19"/>
      <c r="AR10479" s="19"/>
      <c r="AS10479" s="19"/>
      <c r="AT10479" s="19"/>
      <c r="AU10479" s="19"/>
    </row>
    <row r="10480" spans="3:47">
      <c r="C10480" s="20"/>
      <c r="Z10480" s="20"/>
      <c r="AG10480" s="20"/>
      <c r="AQ10480" s="19"/>
      <c r="AR10480" s="19"/>
      <c r="AS10480" s="19"/>
      <c r="AT10480" s="19"/>
      <c r="AU10480" s="19"/>
    </row>
    <row r="10481" spans="3:47">
      <c r="C10481" s="20"/>
      <c r="Z10481" s="20"/>
      <c r="AG10481" s="20"/>
      <c r="AQ10481" s="19"/>
      <c r="AR10481" s="19"/>
      <c r="AS10481" s="19"/>
      <c r="AT10481" s="19"/>
      <c r="AU10481" s="19"/>
    </row>
    <row r="10482" spans="3:47">
      <c r="C10482" s="20"/>
      <c r="Z10482" s="20"/>
      <c r="AG10482" s="20"/>
      <c r="AQ10482" s="19"/>
      <c r="AR10482" s="19"/>
      <c r="AS10482" s="19"/>
      <c r="AT10482" s="19"/>
      <c r="AU10482" s="19"/>
    </row>
    <row r="10483" spans="3:47">
      <c r="C10483" s="20"/>
      <c r="Z10483" s="20"/>
      <c r="AG10483" s="20"/>
      <c r="AQ10483" s="19"/>
      <c r="AR10483" s="19"/>
      <c r="AS10483" s="19"/>
      <c r="AT10483" s="19"/>
      <c r="AU10483" s="19"/>
    </row>
    <row r="10484" spans="3:47">
      <c r="C10484" s="20"/>
      <c r="Z10484" s="20"/>
      <c r="AG10484" s="20"/>
      <c r="AQ10484" s="19"/>
      <c r="AR10484" s="19"/>
      <c r="AS10484" s="19"/>
      <c r="AT10484" s="19"/>
      <c r="AU10484" s="19"/>
    </row>
    <row r="10485" spans="3:47">
      <c r="C10485" s="20"/>
      <c r="Z10485" s="20"/>
      <c r="AG10485" s="20"/>
      <c r="AQ10485" s="19"/>
      <c r="AR10485" s="19"/>
      <c r="AS10485" s="19"/>
      <c r="AT10485" s="19"/>
      <c r="AU10485" s="19"/>
    </row>
    <row r="10486" spans="3:47">
      <c r="C10486" s="20"/>
      <c r="Z10486" s="20"/>
      <c r="AG10486" s="20"/>
      <c r="AQ10486" s="19"/>
      <c r="AR10486" s="19"/>
      <c r="AS10486" s="19"/>
      <c r="AT10486" s="19"/>
      <c r="AU10486" s="19"/>
    </row>
    <row r="10487" spans="3:47">
      <c r="C10487" s="20"/>
      <c r="Z10487" s="20"/>
      <c r="AG10487" s="20"/>
      <c r="AQ10487" s="19"/>
      <c r="AR10487" s="19"/>
      <c r="AS10487" s="19"/>
      <c r="AT10487" s="19"/>
      <c r="AU10487" s="19"/>
    </row>
    <row r="10488" spans="3:47">
      <c r="C10488" s="20"/>
      <c r="Z10488" s="20"/>
      <c r="AG10488" s="20"/>
      <c r="AQ10488" s="19"/>
      <c r="AR10488" s="19"/>
      <c r="AS10488" s="19"/>
      <c r="AT10488" s="19"/>
      <c r="AU10488" s="19"/>
    </row>
    <row r="10489" spans="3:47">
      <c r="C10489" s="20"/>
      <c r="Z10489" s="20"/>
      <c r="AG10489" s="20"/>
      <c r="AQ10489" s="19"/>
      <c r="AR10489" s="19"/>
      <c r="AS10489" s="19"/>
      <c r="AT10489" s="19"/>
      <c r="AU10489" s="19"/>
    </row>
    <row r="10490" spans="3:47">
      <c r="C10490" s="20"/>
      <c r="Z10490" s="20"/>
      <c r="AG10490" s="20"/>
      <c r="AQ10490" s="19"/>
      <c r="AR10490" s="19"/>
      <c r="AS10490" s="19"/>
      <c r="AT10490" s="19"/>
      <c r="AU10490" s="19"/>
    </row>
    <row r="10491" spans="3:47">
      <c r="C10491" s="20"/>
      <c r="Z10491" s="20"/>
      <c r="AG10491" s="20"/>
      <c r="AQ10491" s="19"/>
      <c r="AR10491" s="19"/>
      <c r="AS10491" s="19"/>
      <c r="AT10491" s="19"/>
      <c r="AU10491" s="19"/>
    </row>
    <row r="10492" spans="3:47">
      <c r="C10492" s="20"/>
      <c r="Z10492" s="20"/>
      <c r="AG10492" s="20"/>
      <c r="AQ10492" s="19"/>
      <c r="AR10492" s="19"/>
      <c r="AS10492" s="19"/>
      <c r="AT10492" s="19"/>
      <c r="AU10492" s="19"/>
    </row>
    <row r="10493" spans="3:47">
      <c r="C10493" s="20"/>
      <c r="Z10493" s="20"/>
      <c r="AG10493" s="20"/>
      <c r="AQ10493" s="19"/>
      <c r="AR10493" s="19"/>
      <c r="AS10493" s="19"/>
      <c r="AT10493" s="19"/>
      <c r="AU10493" s="19"/>
    </row>
    <row r="10494" spans="3:47">
      <c r="C10494" s="20"/>
      <c r="Z10494" s="20"/>
      <c r="AG10494" s="20"/>
      <c r="AQ10494" s="19"/>
      <c r="AR10494" s="19"/>
      <c r="AS10494" s="19"/>
      <c r="AT10494" s="19"/>
      <c r="AU10494" s="19"/>
    </row>
    <row r="10495" spans="3:47">
      <c r="C10495" s="20"/>
      <c r="Z10495" s="20"/>
      <c r="AG10495" s="20"/>
      <c r="AQ10495" s="19"/>
      <c r="AR10495" s="19"/>
      <c r="AS10495" s="19"/>
      <c r="AT10495" s="19"/>
      <c r="AU10495" s="19"/>
    </row>
    <row r="10496" spans="3:47">
      <c r="C10496" s="20"/>
      <c r="Z10496" s="20"/>
      <c r="AG10496" s="20"/>
      <c r="AQ10496" s="19"/>
      <c r="AR10496" s="19"/>
      <c r="AS10496" s="19"/>
      <c r="AT10496" s="19"/>
      <c r="AU10496" s="19"/>
    </row>
    <row r="10497" spans="3:47">
      <c r="C10497" s="20"/>
      <c r="Z10497" s="20"/>
      <c r="AG10497" s="20"/>
      <c r="AQ10497" s="19"/>
      <c r="AR10497" s="19"/>
      <c r="AS10497" s="19"/>
      <c r="AT10497" s="19"/>
      <c r="AU10497" s="19"/>
    </row>
    <row r="10498" spans="3:47">
      <c r="C10498" s="20"/>
      <c r="Z10498" s="20"/>
      <c r="AG10498" s="20"/>
      <c r="AQ10498" s="19"/>
      <c r="AR10498" s="19"/>
      <c r="AS10498" s="19"/>
      <c r="AT10498" s="19"/>
      <c r="AU10498" s="19"/>
    </row>
    <row r="10499" spans="3:47">
      <c r="C10499" s="20"/>
      <c r="Z10499" s="20"/>
      <c r="AG10499" s="20"/>
      <c r="AQ10499" s="19"/>
      <c r="AR10499" s="19"/>
      <c r="AS10499" s="19"/>
      <c r="AT10499" s="19"/>
      <c r="AU10499" s="19"/>
    </row>
    <row r="10500" spans="3:47">
      <c r="C10500" s="20"/>
      <c r="Z10500" s="20"/>
      <c r="AG10500" s="20"/>
      <c r="AQ10500" s="19"/>
      <c r="AR10500" s="19"/>
      <c r="AS10500" s="19"/>
      <c r="AT10500" s="19"/>
      <c r="AU10500" s="19"/>
    </row>
    <row r="10501" spans="3:47">
      <c r="C10501" s="20"/>
      <c r="Z10501" s="20"/>
      <c r="AG10501" s="20"/>
      <c r="AQ10501" s="19"/>
      <c r="AR10501" s="19"/>
      <c r="AS10501" s="19"/>
      <c r="AT10501" s="19"/>
      <c r="AU10501" s="19"/>
    </row>
    <row r="10502" spans="3:47">
      <c r="C10502" s="20"/>
      <c r="Z10502" s="20"/>
      <c r="AG10502" s="20"/>
      <c r="AQ10502" s="19"/>
      <c r="AR10502" s="19"/>
      <c r="AS10502" s="19"/>
      <c r="AT10502" s="19"/>
      <c r="AU10502" s="19"/>
    </row>
    <row r="10503" spans="3:47">
      <c r="C10503" s="20"/>
      <c r="Z10503" s="20"/>
      <c r="AG10503" s="20"/>
      <c r="AQ10503" s="19"/>
      <c r="AR10503" s="19"/>
      <c r="AS10503" s="19"/>
      <c r="AT10503" s="19"/>
      <c r="AU10503" s="19"/>
    </row>
    <row r="10504" spans="3:47">
      <c r="C10504" s="20"/>
      <c r="Z10504" s="20"/>
      <c r="AG10504" s="20"/>
      <c r="AQ10504" s="19"/>
      <c r="AR10504" s="19"/>
      <c r="AS10504" s="19"/>
      <c r="AT10504" s="19"/>
      <c r="AU10504" s="19"/>
    </row>
    <row r="10505" spans="3:47">
      <c r="C10505" s="20"/>
      <c r="Z10505" s="20"/>
      <c r="AG10505" s="20"/>
      <c r="AQ10505" s="19"/>
      <c r="AR10505" s="19"/>
      <c r="AS10505" s="19"/>
      <c r="AT10505" s="19"/>
      <c r="AU10505" s="19"/>
    </row>
    <row r="10506" spans="3:47">
      <c r="C10506" s="20"/>
      <c r="Z10506" s="20"/>
      <c r="AG10506" s="20"/>
      <c r="AQ10506" s="19"/>
      <c r="AR10506" s="19"/>
      <c r="AS10506" s="19"/>
      <c r="AT10506" s="19"/>
      <c r="AU10506" s="19"/>
    </row>
    <row r="10507" spans="3:47">
      <c r="C10507" s="20"/>
      <c r="Z10507" s="20"/>
      <c r="AG10507" s="20"/>
      <c r="AQ10507" s="19"/>
      <c r="AR10507" s="19"/>
      <c r="AS10507" s="19"/>
      <c r="AT10507" s="19"/>
      <c r="AU10507" s="19"/>
    </row>
    <row r="10508" spans="3:47">
      <c r="C10508" s="20"/>
      <c r="Z10508" s="20"/>
      <c r="AG10508" s="20"/>
      <c r="AQ10508" s="19"/>
      <c r="AR10508" s="19"/>
      <c r="AS10508" s="19"/>
      <c r="AT10508" s="19"/>
      <c r="AU10508" s="19"/>
    </row>
    <row r="10509" spans="3:47">
      <c r="C10509" s="20"/>
      <c r="Z10509" s="20"/>
      <c r="AG10509" s="20"/>
      <c r="AQ10509" s="19"/>
      <c r="AR10509" s="19"/>
      <c r="AS10509" s="19"/>
      <c r="AT10509" s="19"/>
      <c r="AU10509" s="19"/>
    </row>
    <row r="10510" spans="3:47">
      <c r="C10510" s="20"/>
      <c r="Z10510" s="20"/>
      <c r="AG10510" s="20"/>
      <c r="AQ10510" s="19"/>
      <c r="AR10510" s="19"/>
      <c r="AS10510" s="19"/>
      <c r="AT10510" s="19"/>
      <c r="AU10510" s="19"/>
    </row>
    <row r="10511" spans="3:47">
      <c r="C10511" s="20"/>
      <c r="Z10511" s="20"/>
      <c r="AG10511" s="20"/>
      <c r="AQ10511" s="19"/>
      <c r="AR10511" s="19"/>
      <c r="AS10511" s="19"/>
      <c r="AT10511" s="19"/>
      <c r="AU10511" s="19"/>
    </row>
    <row r="10512" spans="3:47">
      <c r="C10512" s="20"/>
      <c r="Z10512" s="20"/>
      <c r="AG10512" s="20"/>
      <c r="AQ10512" s="19"/>
      <c r="AR10512" s="19"/>
      <c r="AS10512" s="19"/>
      <c r="AT10512" s="19"/>
      <c r="AU10512" s="19"/>
    </row>
    <row r="10513" spans="3:47">
      <c r="C10513" s="20"/>
      <c r="Z10513" s="20"/>
      <c r="AG10513" s="20"/>
      <c r="AQ10513" s="19"/>
      <c r="AR10513" s="19"/>
      <c r="AS10513" s="19"/>
      <c r="AT10513" s="19"/>
      <c r="AU10513" s="19"/>
    </row>
    <row r="10514" spans="3:47">
      <c r="C10514" s="20"/>
      <c r="Z10514" s="20"/>
      <c r="AG10514" s="20"/>
      <c r="AQ10514" s="19"/>
      <c r="AR10514" s="19"/>
      <c r="AS10514" s="19"/>
      <c r="AT10514" s="19"/>
      <c r="AU10514" s="19"/>
    </row>
    <row r="10515" spans="3:47">
      <c r="C10515" s="20"/>
      <c r="Z10515" s="20"/>
      <c r="AG10515" s="20"/>
      <c r="AQ10515" s="19"/>
      <c r="AR10515" s="19"/>
      <c r="AS10515" s="19"/>
      <c r="AT10515" s="19"/>
      <c r="AU10515" s="19"/>
    </row>
    <row r="10516" spans="3:47">
      <c r="C10516" s="20"/>
      <c r="Z10516" s="20"/>
      <c r="AG10516" s="20"/>
      <c r="AQ10516" s="19"/>
      <c r="AR10516" s="19"/>
      <c r="AS10516" s="19"/>
      <c r="AT10516" s="19"/>
      <c r="AU10516" s="19"/>
    </row>
    <row r="10517" spans="3:47">
      <c r="C10517" s="20"/>
      <c r="Z10517" s="20"/>
      <c r="AG10517" s="20"/>
      <c r="AQ10517" s="19"/>
      <c r="AR10517" s="19"/>
      <c r="AS10517" s="19"/>
      <c r="AT10517" s="19"/>
      <c r="AU10517" s="19"/>
    </row>
    <row r="10518" spans="3:47">
      <c r="C10518" s="20"/>
      <c r="Z10518" s="20"/>
      <c r="AG10518" s="20"/>
      <c r="AQ10518" s="19"/>
      <c r="AR10518" s="19"/>
      <c r="AS10518" s="19"/>
      <c r="AT10518" s="19"/>
      <c r="AU10518" s="19"/>
    </row>
    <row r="10519" spans="3:47">
      <c r="C10519" s="20"/>
      <c r="Z10519" s="20"/>
      <c r="AG10519" s="20"/>
      <c r="AQ10519" s="19"/>
      <c r="AR10519" s="19"/>
      <c r="AS10519" s="19"/>
      <c r="AT10519" s="19"/>
      <c r="AU10519" s="19"/>
    </row>
    <row r="10520" spans="3:47">
      <c r="C10520" s="20"/>
      <c r="Z10520" s="20"/>
      <c r="AG10520" s="20"/>
      <c r="AQ10520" s="19"/>
      <c r="AR10520" s="19"/>
      <c r="AS10520" s="19"/>
      <c r="AT10520" s="19"/>
      <c r="AU10520" s="19"/>
    </row>
    <row r="10521" spans="3:47">
      <c r="C10521" s="20"/>
      <c r="Z10521" s="20"/>
      <c r="AG10521" s="20"/>
      <c r="AQ10521" s="19"/>
      <c r="AR10521" s="19"/>
      <c r="AS10521" s="19"/>
      <c r="AT10521" s="19"/>
      <c r="AU10521" s="19"/>
    </row>
    <row r="10522" spans="3:47">
      <c r="C10522" s="20"/>
      <c r="Z10522" s="20"/>
      <c r="AG10522" s="20"/>
      <c r="AQ10522" s="19"/>
      <c r="AR10522" s="19"/>
      <c r="AS10522" s="19"/>
      <c r="AT10522" s="19"/>
      <c r="AU10522" s="19"/>
    </row>
    <row r="10523" spans="3:47">
      <c r="C10523" s="20"/>
      <c r="Z10523" s="20"/>
      <c r="AG10523" s="20"/>
      <c r="AQ10523" s="19"/>
      <c r="AR10523" s="19"/>
      <c r="AS10523" s="19"/>
      <c r="AT10523" s="19"/>
      <c r="AU10523" s="19"/>
    </row>
    <row r="10524" spans="3:47">
      <c r="C10524" s="20"/>
      <c r="Z10524" s="20"/>
      <c r="AG10524" s="20"/>
      <c r="AQ10524" s="19"/>
      <c r="AR10524" s="19"/>
      <c r="AS10524" s="19"/>
      <c r="AT10524" s="19"/>
      <c r="AU10524" s="19"/>
    </row>
    <row r="10525" spans="3:47">
      <c r="C10525" s="20"/>
      <c r="Z10525" s="20"/>
      <c r="AG10525" s="20"/>
      <c r="AQ10525" s="19"/>
      <c r="AR10525" s="19"/>
      <c r="AS10525" s="19"/>
      <c r="AT10525" s="19"/>
      <c r="AU10525" s="19"/>
    </row>
    <row r="10526" spans="3:47">
      <c r="C10526" s="20"/>
      <c r="Z10526" s="20"/>
      <c r="AG10526" s="20"/>
      <c r="AQ10526" s="19"/>
      <c r="AR10526" s="19"/>
      <c r="AS10526" s="19"/>
      <c r="AT10526" s="19"/>
      <c r="AU10526" s="19"/>
    </row>
    <row r="10527" spans="3:47">
      <c r="C10527" s="20"/>
      <c r="Z10527" s="20"/>
      <c r="AG10527" s="20"/>
      <c r="AQ10527" s="19"/>
      <c r="AR10527" s="19"/>
      <c r="AS10527" s="19"/>
      <c r="AT10527" s="19"/>
      <c r="AU10527" s="19"/>
    </row>
    <row r="10528" spans="3:47">
      <c r="C10528" s="20"/>
      <c r="Z10528" s="20"/>
      <c r="AG10528" s="20"/>
      <c r="AQ10528" s="19"/>
      <c r="AR10528" s="19"/>
      <c r="AS10528" s="19"/>
      <c r="AT10528" s="19"/>
      <c r="AU10528" s="19"/>
    </row>
    <row r="10529" spans="3:47">
      <c r="C10529" s="20"/>
      <c r="Z10529" s="20"/>
      <c r="AG10529" s="20"/>
      <c r="AQ10529" s="19"/>
      <c r="AR10529" s="19"/>
      <c r="AS10529" s="19"/>
      <c r="AT10529" s="19"/>
      <c r="AU10529" s="19"/>
    </row>
    <row r="10530" spans="3:47">
      <c r="C10530" s="20"/>
      <c r="Z10530" s="20"/>
      <c r="AG10530" s="20"/>
      <c r="AQ10530" s="19"/>
      <c r="AR10530" s="19"/>
      <c r="AS10530" s="19"/>
      <c r="AT10530" s="19"/>
      <c r="AU10530" s="19"/>
    </row>
    <row r="10531" spans="3:47">
      <c r="C10531" s="20"/>
      <c r="Z10531" s="20"/>
      <c r="AG10531" s="20"/>
      <c r="AQ10531" s="19"/>
      <c r="AR10531" s="19"/>
      <c r="AS10531" s="19"/>
      <c r="AT10531" s="19"/>
      <c r="AU10531" s="19"/>
    </row>
    <row r="10532" spans="3:47">
      <c r="C10532" s="20"/>
      <c r="Z10532" s="20"/>
      <c r="AG10532" s="20"/>
      <c r="AQ10532" s="19"/>
      <c r="AR10532" s="19"/>
      <c r="AS10532" s="19"/>
      <c r="AT10532" s="19"/>
      <c r="AU10532" s="19"/>
    </row>
    <row r="10533" spans="3:47">
      <c r="C10533" s="20"/>
      <c r="Z10533" s="20"/>
      <c r="AG10533" s="20"/>
      <c r="AQ10533" s="19"/>
      <c r="AR10533" s="19"/>
      <c r="AS10533" s="19"/>
      <c r="AT10533" s="19"/>
      <c r="AU10533" s="19"/>
    </row>
    <row r="10534" spans="3:47">
      <c r="C10534" s="20"/>
      <c r="Z10534" s="20"/>
      <c r="AG10534" s="20"/>
      <c r="AQ10534" s="19"/>
      <c r="AR10534" s="19"/>
      <c r="AS10534" s="19"/>
      <c r="AT10534" s="19"/>
      <c r="AU10534" s="19"/>
    </row>
    <row r="10535" spans="3:47">
      <c r="C10535" s="20"/>
      <c r="Z10535" s="20"/>
      <c r="AG10535" s="20"/>
      <c r="AQ10535" s="19"/>
      <c r="AR10535" s="19"/>
      <c r="AS10535" s="19"/>
      <c r="AT10535" s="19"/>
      <c r="AU10535" s="19"/>
    </row>
    <row r="10536" spans="3:47">
      <c r="C10536" s="20"/>
      <c r="Z10536" s="20"/>
      <c r="AG10536" s="20"/>
      <c r="AQ10536" s="19"/>
      <c r="AR10536" s="19"/>
      <c r="AS10536" s="19"/>
      <c r="AT10536" s="19"/>
      <c r="AU10536" s="19"/>
    </row>
    <row r="10537" spans="3:47">
      <c r="C10537" s="20"/>
      <c r="Z10537" s="20"/>
      <c r="AG10537" s="20"/>
      <c r="AQ10537" s="19"/>
      <c r="AR10537" s="19"/>
      <c r="AS10537" s="19"/>
      <c r="AT10537" s="19"/>
      <c r="AU10537" s="19"/>
    </row>
    <row r="10538" spans="3:47">
      <c r="C10538" s="20"/>
      <c r="Z10538" s="20"/>
      <c r="AG10538" s="20"/>
      <c r="AQ10538" s="19"/>
      <c r="AR10538" s="19"/>
      <c r="AS10538" s="19"/>
      <c r="AT10538" s="19"/>
      <c r="AU10538" s="19"/>
    </row>
    <row r="10539" spans="3:47">
      <c r="C10539" s="20"/>
      <c r="Z10539" s="20"/>
      <c r="AG10539" s="20"/>
      <c r="AQ10539" s="19"/>
      <c r="AR10539" s="19"/>
      <c r="AS10539" s="19"/>
      <c r="AT10539" s="19"/>
      <c r="AU10539" s="19"/>
    </row>
    <row r="10540" spans="3:47">
      <c r="C10540" s="20"/>
      <c r="Z10540" s="20"/>
      <c r="AG10540" s="20"/>
      <c r="AQ10540" s="19"/>
      <c r="AR10540" s="19"/>
      <c r="AS10540" s="19"/>
      <c r="AT10540" s="19"/>
      <c r="AU10540" s="19"/>
    </row>
    <row r="10541" spans="3:47">
      <c r="C10541" s="20"/>
      <c r="Z10541" s="20"/>
      <c r="AG10541" s="20"/>
      <c r="AQ10541" s="19"/>
      <c r="AR10541" s="19"/>
      <c r="AS10541" s="19"/>
      <c r="AT10541" s="19"/>
      <c r="AU10541" s="19"/>
    </row>
    <row r="10542" spans="3:47">
      <c r="C10542" s="20"/>
      <c r="Z10542" s="20"/>
      <c r="AG10542" s="20"/>
      <c r="AQ10542" s="19"/>
      <c r="AR10542" s="19"/>
      <c r="AS10542" s="19"/>
      <c r="AT10542" s="19"/>
      <c r="AU10542" s="19"/>
    </row>
    <row r="10543" spans="3:47">
      <c r="C10543" s="20"/>
      <c r="Z10543" s="20"/>
      <c r="AG10543" s="20"/>
      <c r="AQ10543" s="19"/>
      <c r="AR10543" s="19"/>
      <c r="AS10543" s="19"/>
      <c r="AT10543" s="19"/>
      <c r="AU10543" s="19"/>
    </row>
    <row r="10544" spans="3:47">
      <c r="C10544" s="20"/>
      <c r="Z10544" s="20"/>
      <c r="AG10544" s="20"/>
      <c r="AQ10544" s="19"/>
      <c r="AR10544" s="19"/>
      <c r="AS10544" s="19"/>
      <c r="AT10544" s="19"/>
      <c r="AU10544" s="19"/>
    </row>
    <row r="10545" spans="3:47">
      <c r="C10545" s="20"/>
      <c r="Z10545" s="20"/>
      <c r="AG10545" s="20"/>
      <c r="AQ10545" s="19"/>
      <c r="AR10545" s="19"/>
      <c r="AS10545" s="19"/>
      <c r="AT10545" s="19"/>
      <c r="AU10545" s="19"/>
    </row>
    <row r="10546" spans="3:47">
      <c r="C10546" s="20"/>
      <c r="Z10546" s="20"/>
      <c r="AG10546" s="20"/>
      <c r="AQ10546" s="19"/>
      <c r="AR10546" s="19"/>
      <c r="AS10546" s="19"/>
      <c r="AT10546" s="19"/>
      <c r="AU10546" s="19"/>
    </row>
    <row r="10547" spans="3:47">
      <c r="C10547" s="20"/>
      <c r="Z10547" s="20"/>
      <c r="AG10547" s="20"/>
      <c r="AQ10547" s="19"/>
      <c r="AR10547" s="19"/>
      <c r="AS10547" s="19"/>
      <c r="AT10547" s="19"/>
      <c r="AU10547" s="19"/>
    </row>
    <row r="10548" spans="3:47">
      <c r="C10548" s="20"/>
      <c r="Z10548" s="20"/>
      <c r="AG10548" s="20"/>
      <c r="AQ10548" s="19"/>
      <c r="AR10548" s="19"/>
      <c r="AS10548" s="19"/>
      <c r="AT10548" s="19"/>
      <c r="AU10548" s="19"/>
    </row>
    <row r="10549" spans="3:47">
      <c r="C10549" s="20"/>
      <c r="Z10549" s="20"/>
      <c r="AG10549" s="20"/>
      <c r="AQ10549" s="19"/>
      <c r="AR10549" s="19"/>
      <c r="AS10549" s="19"/>
      <c r="AT10549" s="19"/>
      <c r="AU10549" s="19"/>
    </row>
    <row r="10550" spans="3:47">
      <c r="C10550" s="20"/>
      <c r="Z10550" s="20"/>
      <c r="AG10550" s="20"/>
      <c r="AQ10550" s="19"/>
      <c r="AR10550" s="19"/>
      <c r="AS10550" s="19"/>
      <c r="AT10550" s="19"/>
      <c r="AU10550" s="19"/>
    </row>
    <row r="10551" spans="3:47">
      <c r="C10551" s="20"/>
      <c r="Z10551" s="20"/>
      <c r="AG10551" s="20"/>
      <c r="AQ10551" s="19"/>
      <c r="AR10551" s="19"/>
      <c r="AS10551" s="19"/>
      <c r="AT10551" s="19"/>
      <c r="AU10551" s="19"/>
    </row>
    <row r="10552" spans="3:47">
      <c r="C10552" s="20"/>
      <c r="Z10552" s="20"/>
      <c r="AG10552" s="20"/>
      <c r="AQ10552" s="19"/>
      <c r="AR10552" s="19"/>
      <c r="AS10552" s="19"/>
      <c r="AT10552" s="19"/>
      <c r="AU10552" s="19"/>
    </row>
    <row r="10553" spans="3:47">
      <c r="C10553" s="20"/>
      <c r="Z10553" s="20"/>
      <c r="AG10553" s="20"/>
      <c r="AQ10553" s="19"/>
      <c r="AR10553" s="19"/>
      <c r="AS10553" s="19"/>
      <c r="AT10553" s="19"/>
      <c r="AU10553" s="19"/>
    </row>
    <row r="10554" spans="3:47">
      <c r="C10554" s="20"/>
      <c r="Z10554" s="20"/>
      <c r="AG10554" s="20"/>
      <c r="AQ10554" s="19"/>
      <c r="AR10554" s="19"/>
      <c r="AS10554" s="19"/>
      <c r="AT10554" s="19"/>
      <c r="AU10554" s="19"/>
    </row>
    <row r="10555" spans="3:47">
      <c r="C10555" s="20"/>
      <c r="Z10555" s="20"/>
      <c r="AG10555" s="20"/>
      <c r="AQ10555" s="19"/>
      <c r="AR10555" s="19"/>
      <c r="AS10555" s="19"/>
      <c r="AT10555" s="19"/>
      <c r="AU10555" s="19"/>
    </row>
    <row r="10556" spans="3:47">
      <c r="C10556" s="20"/>
      <c r="Z10556" s="20"/>
      <c r="AG10556" s="20"/>
      <c r="AQ10556" s="19"/>
      <c r="AR10556" s="19"/>
      <c r="AS10556" s="19"/>
      <c r="AT10556" s="19"/>
      <c r="AU10556" s="19"/>
    </row>
    <row r="10557" spans="3:47">
      <c r="C10557" s="20"/>
      <c r="Z10557" s="20"/>
      <c r="AG10557" s="20"/>
      <c r="AQ10557" s="19"/>
      <c r="AR10557" s="19"/>
      <c r="AS10557" s="19"/>
      <c r="AT10557" s="19"/>
      <c r="AU10557" s="19"/>
    </row>
    <row r="10558" spans="3:47">
      <c r="C10558" s="20"/>
      <c r="Z10558" s="20"/>
      <c r="AG10558" s="20"/>
      <c r="AQ10558" s="19"/>
      <c r="AR10558" s="19"/>
      <c r="AS10558" s="19"/>
      <c r="AT10558" s="19"/>
      <c r="AU10558" s="19"/>
    </row>
    <row r="10559" spans="3:47">
      <c r="C10559" s="20"/>
      <c r="Z10559" s="20"/>
      <c r="AG10559" s="20"/>
      <c r="AQ10559" s="19"/>
      <c r="AR10559" s="19"/>
      <c r="AS10559" s="19"/>
      <c r="AT10559" s="19"/>
      <c r="AU10559" s="19"/>
    </row>
    <row r="10560" spans="3:47">
      <c r="C10560" s="20"/>
      <c r="Z10560" s="20"/>
      <c r="AG10560" s="20"/>
      <c r="AQ10560" s="19"/>
      <c r="AR10560" s="19"/>
      <c r="AS10560" s="19"/>
      <c r="AT10560" s="19"/>
      <c r="AU10560" s="19"/>
    </row>
    <row r="10561" spans="3:47">
      <c r="C10561" s="20"/>
      <c r="Z10561" s="20"/>
      <c r="AG10561" s="20"/>
      <c r="AQ10561" s="19"/>
      <c r="AR10561" s="19"/>
      <c r="AS10561" s="19"/>
      <c r="AT10561" s="19"/>
      <c r="AU10561" s="19"/>
    </row>
    <row r="10562" spans="3:47">
      <c r="C10562" s="20"/>
      <c r="Z10562" s="20"/>
      <c r="AG10562" s="20"/>
      <c r="AQ10562" s="19"/>
      <c r="AR10562" s="19"/>
      <c r="AS10562" s="19"/>
      <c r="AT10562" s="19"/>
      <c r="AU10562" s="19"/>
    </row>
    <row r="10563" spans="3:47">
      <c r="C10563" s="20"/>
      <c r="Z10563" s="20"/>
      <c r="AG10563" s="20"/>
      <c r="AQ10563" s="19"/>
      <c r="AR10563" s="19"/>
      <c r="AS10563" s="19"/>
      <c r="AT10563" s="19"/>
      <c r="AU10563" s="19"/>
    </row>
    <row r="10564" spans="3:47">
      <c r="C10564" s="20"/>
      <c r="Z10564" s="20"/>
      <c r="AG10564" s="20"/>
      <c r="AQ10564" s="19"/>
      <c r="AR10564" s="19"/>
      <c r="AS10564" s="19"/>
      <c r="AT10564" s="19"/>
      <c r="AU10564" s="19"/>
    </row>
    <row r="10565" spans="3:47">
      <c r="C10565" s="20"/>
      <c r="Z10565" s="20"/>
      <c r="AG10565" s="20"/>
      <c r="AQ10565" s="19"/>
      <c r="AR10565" s="19"/>
      <c r="AS10565" s="19"/>
      <c r="AT10565" s="19"/>
      <c r="AU10565" s="19"/>
    </row>
    <row r="10566" spans="3:47">
      <c r="C10566" s="20"/>
      <c r="Z10566" s="20"/>
      <c r="AG10566" s="20"/>
      <c r="AQ10566" s="19"/>
      <c r="AR10566" s="19"/>
      <c r="AS10566" s="19"/>
      <c r="AT10566" s="19"/>
      <c r="AU10566" s="19"/>
    </row>
    <row r="10567" spans="3:47">
      <c r="C10567" s="20"/>
      <c r="Z10567" s="20"/>
      <c r="AG10567" s="20"/>
      <c r="AQ10567" s="19"/>
      <c r="AR10567" s="19"/>
      <c r="AS10567" s="19"/>
      <c r="AT10567" s="19"/>
      <c r="AU10567" s="19"/>
    </row>
    <row r="10568" spans="3:47">
      <c r="C10568" s="20"/>
      <c r="Z10568" s="20"/>
      <c r="AG10568" s="20"/>
      <c r="AQ10568" s="19"/>
      <c r="AR10568" s="19"/>
      <c r="AS10568" s="19"/>
      <c r="AT10568" s="19"/>
      <c r="AU10568" s="19"/>
    </row>
    <row r="10569" spans="3:47">
      <c r="C10569" s="20"/>
      <c r="Z10569" s="20"/>
      <c r="AG10569" s="20"/>
      <c r="AQ10569" s="19"/>
      <c r="AR10569" s="19"/>
      <c r="AS10569" s="19"/>
      <c r="AT10569" s="19"/>
      <c r="AU10569" s="19"/>
    </row>
    <row r="10570" spans="3:47">
      <c r="C10570" s="20"/>
      <c r="Z10570" s="20"/>
      <c r="AG10570" s="20"/>
      <c r="AQ10570" s="19"/>
      <c r="AR10570" s="19"/>
      <c r="AS10570" s="19"/>
      <c r="AT10570" s="19"/>
      <c r="AU10570" s="19"/>
    </row>
    <row r="10571" spans="3:47">
      <c r="C10571" s="20"/>
      <c r="Z10571" s="20"/>
      <c r="AG10571" s="20"/>
      <c r="AQ10571" s="19"/>
      <c r="AR10571" s="19"/>
      <c r="AS10571" s="19"/>
      <c r="AT10571" s="19"/>
      <c r="AU10571" s="19"/>
    </row>
    <row r="10572" spans="3:47">
      <c r="C10572" s="20"/>
      <c r="Z10572" s="20"/>
      <c r="AG10572" s="20"/>
      <c r="AQ10572" s="19"/>
      <c r="AR10572" s="19"/>
      <c r="AS10572" s="19"/>
      <c r="AT10572" s="19"/>
      <c r="AU10572" s="19"/>
    </row>
    <row r="10573" spans="3:47">
      <c r="C10573" s="20"/>
      <c r="Z10573" s="20"/>
      <c r="AG10573" s="20"/>
      <c r="AQ10573" s="19"/>
      <c r="AR10573" s="19"/>
      <c r="AS10573" s="19"/>
      <c r="AT10573" s="19"/>
      <c r="AU10573" s="19"/>
    </row>
    <row r="10574" spans="3:47">
      <c r="C10574" s="20"/>
      <c r="Z10574" s="20"/>
      <c r="AG10574" s="20"/>
      <c r="AQ10574" s="19"/>
      <c r="AR10574" s="19"/>
      <c r="AS10574" s="19"/>
      <c r="AT10574" s="19"/>
      <c r="AU10574" s="19"/>
    </row>
    <row r="10575" spans="3:47">
      <c r="C10575" s="20"/>
      <c r="Z10575" s="20"/>
      <c r="AG10575" s="20"/>
      <c r="AQ10575" s="19"/>
      <c r="AR10575" s="19"/>
      <c r="AS10575" s="19"/>
      <c r="AT10575" s="19"/>
      <c r="AU10575" s="19"/>
    </row>
    <row r="10576" spans="3:47">
      <c r="C10576" s="20"/>
      <c r="Z10576" s="20"/>
      <c r="AG10576" s="20"/>
      <c r="AQ10576" s="19"/>
      <c r="AR10576" s="19"/>
      <c r="AS10576" s="19"/>
      <c r="AT10576" s="19"/>
      <c r="AU10576" s="19"/>
    </row>
    <row r="10577" spans="3:47">
      <c r="C10577" s="20"/>
      <c r="Z10577" s="20"/>
      <c r="AG10577" s="20"/>
      <c r="AQ10577" s="19"/>
      <c r="AR10577" s="19"/>
      <c r="AS10577" s="19"/>
      <c r="AT10577" s="19"/>
      <c r="AU10577" s="19"/>
    </row>
    <row r="10578" spans="3:47">
      <c r="C10578" s="20"/>
      <c r="Z10578" s="20"/>
      <c r="AG10578" s="20"/>
      <c r="AQ10578" s="19"/>
      <c r="AR10578" s="19"/>
      <c r="AS10578" s="19"/>
      <c r="AT10578" s="19"/>
      <c r="AU10578" s="19"/>
    </row>
    <row r="10579" spans="3:47">
      <c r="C10579" s="20"/>
      <c r="Z10579" s="20"/>
      <c r="AG10579" s="20"/>
      <c r="AQ10579" s="19"/>
      <c r="AR10579" s="19"/>
      <c r="AS10579" s="19"/>
      <c r="AT10579" s="19"/>
      <c r="AU10579" s="19"/>
    </row>
    <row r="10580" spans="3:47">
      <c r="C10580" s="20"/>
      <c r="Z10580" s="20"/>
      <c r="AG10580" s="20"/>
      <c r="AQ10580" s="19"/>
      <c r="AR10580" s="19"/>
      <c r="AS10580" s="19"/>
      <c r="AT10580" s="19"/>
      <c r="AU10580" s="19"/>
    </row>
    <row r="10581" spans="3:47">
      <c r="C10581" s="20"/>
      <c r="Z10581" s="20"/>
      <c r="AG10581" s="20"/>
      <c r="AQ10581" s="19"/>
      <c r="AR10581" s="19"/>
      <c r="AS10581" s="19"/>
      <c r="AT10581" s="19"/>
      <c r="AU10581" s="19"/>
    </row>
    <row r="10582" spans="3:47">
      <c r="C10582" s="20"/>
      <c r="Z10582" s="20"/>
      <c r="AG10582" s="20"/>
      <c r="AQ10582" s="19"/>
      <c r="AR10582" s="19"/>
      <c r="AS10582" s="19"/>
      <c r="AT10582" s="19"/>
      <c r="AU10582" s="19"/>
    </row>
    <row r="10583" spans="3:47">
      <c r="C10583" s="20"/>
      <c r="Z10583" s="20"/>
      <c r="AG10583" s="20"/>
      <c r="AQ10583" s="19"/>
      <c r="AR10583" s="19"/>
      <c r="AS10583" s="19"/>
      <c r="AT10583" s="19"/>
      <c r="AU10583" s="19"/>
    </row>
    <row r="10584" spans="3:47">
      <c r="C10584" s="20"/>
      <c r="Z10584" s="20"/>
      <c r="AG10584" s="20"/>
      <c r="AQ10584" s="19"/>
      <c r="AR10584" s="19"/>
      <c r="AS10584" s="19"/>
      <c r="AT10584" s="19"/>
      <c r="AU10584" s="19"/>
    </row>
    <row r="10585" spans="3:47">
      <c r="C10585" s="20"/>
      <c r="Z10585" s="20"/>
      <c r="AG10585" s="20"/>
      <c r="AQ10585" s="19"/>
      <c r="AR10585" s="19"/>
      <c r="AS10585" s="19"/>
      <c r="AT10585" s="19"/>
      <c r="AU10585" s="19"/>
    </row>
    <row r="10586" spans="3:47">
      <c r="C10586" s="20"/>
      <c r="Z10586" s="20"/>
      <c r="AG10586" s="20"/>
      <c r="AQ10586" s="19"/>
      <c r="AR10586" s="19"/>
      <c r="AS10586" s="19"/>
      <c r="AT10586" s="19"/>
      <c r="AU10586" s="19"/>
    </row>
    <row r="10587" spans="3:47">
      <c r="C10587" s="20"/>
      <c r="Z10587" s="20"/>
      <c r="AG10587" s="20"/>
      <c r="AQ10587" s="19"/>
      <c r="AR10587" s="19"/>
      <c r="AS10587" s="19"/>
      <c r="AT10587" s="19"/>
      <c r="AU10587" s="19"/>
    </row>
    <row r="10588" spans="3:47">
      <c r="C10588" s="20"/>
      <c r="Z10588" s="20"/>
      <c r="AG10588" s="20"/>
      <c r="AQ10588" s="19"/>
      <c r="AR10588" s="19"/>
      <c r="AS10588" s="19"/>
      <c r="AT10588" s="19"/>
      <c r="AU10588" s="19"/>
    </row>
    <row r="10589" spans="3:47">
      <c r="C10589" s="20"/>
      <c r="Z10589" s="20"/>
      <c r="AG10589" s="20"/>
      <c r="AQ10589" s="19"/>
      <c r="AR10589" s="19"/>
      <c r="AS10589" s="19"/>
      <c r="AT10589" s="19"/>
      <c r="AU10589" s="19"/>
    </row>
    <row r="10590" spans="3:47">
      <c r="C10590" s="20"/>
      <c r="Z10590" s="20"/>
      <c r="AG10590" s="20"/>
      <c r="AQ10590" s="19"/>
      <c r="AR10590" s="19"/>
      <c r="AS10590" s="19"/>
      <c r="AT10590" s="19"/>
      <c r="AU10590" s="19"/>
    </row>
    <row r="10591" spans="3:47">
      <c r="C10591" s="20"/>
      <c r="Z10591" s="20"/>
      <c r="AG10591" s="20"/>
      <c r="AQ10591" s="19"/>
      <c r="AR10591" s="19"/>
      <c r="AS10591" s="19"/>
      <c r="AT10591" s="19"/>
      <c r="AU10591" s="19"/>
    </row>
    <row r="10592" spans="3:47">
      <c r="C10592" s="20"/>
      <c r="Z10592" s="20"/>
      <c r="AG10592" s="20"/>
      <c r="AQ10592" s="19"/>
      <c r="AR10592" s="19"/>
      <c r="AS10592" s="19"/>
      <c r="AT10592" s="19"/>
      <c r="AU10592" s="19"/>
    </row>
    <row r="10593" spans="3:47">
      <c r="C10593" s="20"/>
      <c r="Z10593" s="20"/>
      <c r="AG10593" s="20"/>
      <c r="AQ10593" s="19"/>
      <c r="AR10593" s="19"/>
      <c r="AS10593" s="19"/>
      <c r="AT10593" s="19"/>
      <c r="AU10593" s="19"/>
    </row>
    <row r="10594" spans="3:47">
      <c r="C10594" s="20"/>
      <c r="Z10594" s="20"/>
      <c r="AG10594" s="20"/>
      <c r="AQ10594" s="19"/>
      <c r="AR10594" s="19"/>
      <c r="AS10594" s="19"/>
      <c r="AT10594" s="19"/>
      <c r="AU10594" s="19"/>
    </row>
    <row r="10595" spans="3:47">
      <c r="C10595" s="20"/>
      <c r="Z10595" s="20"/>
      <c r="AG10595" s="20"/>
      <c r="AQ10595" s="19"/>
      <c r="AR10595" s="19"/>
      <c r="AS10595" s="19"/>
      <c r="AT10595" s="19"/>
      <c r="AU10595" s="19"/>
    </row>
    <row r="10596" spans="3:47">
      <c r="C10596" s="20"/>
      <c r="Z10596" s="20"/>
      <c r="AG10596" s="20"/>
      <c r="AQ10596" s="19"/>
      <c r="AR10596" s="19"/>
      <c r="AS10596" s="19"/>
      <c r="AT10596" s="19"/>
      <c r="AU10596" s="19"/>
    </row>
    <row r="10597" spans="3:47">
      <c r="C10597" s="20"/>
      <c r="Z10597" s="20"/>
      <c r="AG10597" s="20"/>
      <c r="AQ10597" s="19"/>
      <c r="AR10597" s="19"/>
      <c r="AS10597" s="19"/>
      <c r="AT10597" s="19"/>
      <c r="AU10597" s="19"/>
    </row>
    <row r="10598" spans="3:47">
      <c r="C10598" s="20"/>
      <c r="Z10598" s="20"/>
      <c r="AG10598" s="20"/>
      <c r="AQ10598" s="19"/>
      <c r="AR10598" s="19"/>
      <c r="AS10598" s="19"/>
      <c r="AT10598" s="19"/>
      <c r="AU10598" s="19"/>
    </row>
    <row r="10599" spans="3:47">
      <c r="C10599" s="20"/>
      <c r="Z10599" s="20"/>
      <c r="AG10599" s="20"/>
      <c r="AQ10599" s="19"/>
      <c r="AR10599" s="19"/>
      <c r="AS10599" s="19"/>
      <c r="AT10599" s="19"/>
      <c r="AU10599" s="19"/>
    </row>
    <row r="10600" spans="3:47">
      <c r="C10600" s="20"/>
      <c r="Z10600" s="20"/>
      <c r="AG10600" s="20"/>
      <c r="AQ10600" s="19"/>
      <c r="AR10600" s="19"/>
      <c r="AS10600" s="19"/>
      <c r="AT10600" s="19"/>
      <c r="AU10600" s="19"/>
    </row>
    <row r="10601" spans="3:47">
      <c r="C10601" s="20"/>
      <c r="Z10601" s="20"/>
      <c r="AG10601" s="20"/>
      <c r="AQ10601" s="19"/>
      <c r="AR10601" s="19"/>
      <c r="AS10601" s="19"/>
      <c r="AT10601" s="19"/>
      <c r="AU10601" s="19"/>
    </row>
    <row r="10602" spans="3:47">
      <c r="C10602" s="20"/>
      <c r="Z10602" s="20"/>
      <c r="AG10602" s="20"/>
      <c r="AQ10602" s="19"/>
      <c r="AR10602" s="19"/>
      <c r="AS10602" s="19"/>
      <c r="AT10602" s="19"/>
      <c r="AU10602" s="19"/>
    </row>
    <row r="10603" spans="3:47">
      <c r="C10603" s="20"/>
      <c r="Z10603" s="20"/>
      <c r="AG10603" s="20"/>
      <c r="AQ10603" s="19"/>
      <c r="AR10603" s="19"/>
      <c r="AS10603" s="19"/>
      <c r="AT10603" s="19"/>
      <c r="AU10603" s="19"/>
    </row>
    <row r="10604" spans="3:47">
      <c r="C10604" s="20"/>
      <c r="Z10604" s="20"/>
      <c r="AG10604" s="20"/>
      <c r="AQ10604" s="19"/>
      <c r="AR10604" s="19"/>
      <c r="AS10604" s="19"/>
      <c r="AT10604" s="19"/>
      <c r="AU10604" s="19"/>
    </row>
    <row r="10605" spans="3:47">
      <c r="C10605" s="20"/>
      <c r="Z10605" s="20"/>
      <c r="AG10605" s="20"/>
      <c r="AQ10605" s="19"/>
      <c r="AR10605" s="19"/>
      <c r="AS10605" s="19"/>
      <c r="AT10605" s="19"/>
      <c r="AU10605" s="19"/>
    </row>
    <row r="10606" spans="3:47">
      <c r="C10606" s="20"/>
      <c r="Z10606" s="20"/>
      <c r="AG10606" s="20"/>
      <c r="AQ10606" s="19"/>
      <c r="AR10606" s="19"/>
      <c r="AS10606" s="19"/>
      <c r="AT10606" s="19"/>
      <c r="AU10606" s="19"/>
    </row>
    <row r="10607" spans="3:47">
      <c r="C10607" s="20"/>
      <c r="Z10607" s="20"/>
      <c r="AG10607" s="20"/>
      <c r="AQ10607" s="19"/>
      <c r="AR10607" s="19"/>
      <c r="AS10607" s="19"/>
      <c r="AT10607" s="19"/>
      <c r="AU10607" s="19"/>
    </row>
    <row r="10608" spans="3:47">
      <c r="C10608" s="20"/>
      <c r="Z10608" s="20"/>
      <c r="AG10608" s="20"/>
      <c r="AQ10608" s="19"/>
      <c r="AR10608" s="19"/>
      <c r="AS10608" s="19"/>
      <c r="AT10608" s="19"/>
      <c r="AU10608" s="19"/>
    </row>
    <row r="10609" spans="3:47">
      <c r="C10609" s="20"/>
      <c r="Z10609" s="20"/>
      <c r="AG10609" s="20"/>
      <c r="AQ10609" s="19"/>
      <c r="AR10609" s="19"/>
      <c r="AS10609" s="19"/>
      <c r="AT10609" s="19"/>
      <c r="AU10609" s="19"/>
    </row>
    <row r="10610" spans="3:47">
      <c r="C10610" s="20"/>
      <c r="Z10610" s="20"/>
      <c r="AG10610" s="20"/>
      <c r="AQ10610" s="19"/>
      <c r="AR10610" s="19"/>
      <c r="AS10610" s="19"/>
      <c r="AT10610" s="19"/>
      <c r="AU10610" s="19"/>
    </row>
    <row r="10611" spans="3:47">
      <c r="C10611" s="20"/>
      <c r="Z10611" s="20"/>
      <c r="AG10611" s="20"/>
      <c r="AQ10611" s="19"/>
      <c r="AR10611" s="19"/>
      <c r="AS10611" s="19"/>
      <c r="AT10611" s="19"/>
      <c r="AU10611" s="19"/>
    </row>
    <row r="10612" spans="3:47">
      <c r="C10612" s="20"/>
      <c r="Z10612" s="20"/>
      <c r="AG10612" s="20"/>
      <c r="AQ10612" s="19"/>
      <c r="AR10612" s="19"/>
      <c r="AS10612" s="19"/>
      <c r="AT10612" s="19"/>
      <c r="AU10612" s="19"/>
    </row>
    <row r="10613" spans="3:47">
      <c r="C10613" s="20"/>
      <c r="Z10613" s="20"/>
      <c r="AG10613" s="20"/>
      <c r="AQ10613" s="19"/>
      <c r="AR10613" s="19"/>
      <c r="AS10613" s="19"/>
      <c r="AT10613" s="19"/>
      <c r="AU10613" s="19"/>
    </row>
    <row r="10614" spans="3:47">
      <c r="C10614" s="20"/>
      <c r="Z10614" s="20"/>
      <c r="AG10614" s="20"/>
      <c r="AQ10614" s="19"/>
      <c r="AR10614" s="19"/>
      <c r="AS10614" s="19"/>
      <c r="AT10614" s="19"/>
      <c r="AU10614" s="19"/>
    </row>
    <row r="10615" spans="3:47">
      <c r="C10615" s="20"/>
      <c r="Z10615" s="20"/>
      <c r="AG10615" s="20"/>
      <c r="AQ10615" s="19"/>
      <c r="AR10615" s="19"/>
      <c r="AS10615" s="19"/>
      <c r="AT10615" s="19"/>
      <c r="AU10615" s="19"/>
    </row>
    <row r="10616" spans="3:47">
      <c r="C10616" s="20"/>
      <c r="Z10616" s="20"/>
      <c r="AG10616" s="20"/>
      <c r="AQ10616" s="19"/>
      <c r="AR10616" s="19"/>
      <c r="AS10616" s="19"/>
      <c r="AT10616" s="19"/>
      <c r="AU10616" s="19"/>
    </row>
    <row r="10617" spans="3:47">
      <c r="C10617" s="20"/>
      <c r="Z10617" s="20"/>
      <c r="AG10617" s="20"/>
      <c r="AQ10617" s="19"/>
      <c r="AR10617" s="19"/>
      <c r="AS10617" s="19"/>
      <c r="AT10617" s="19"/>
      <c r="AU10617" s="19"/>
    </row>
    <row r="10618" spans="3:47">
      <c r="C10618" s="20"/>
      <c r="Z10618" s="20"/>
      <c r="AG10618" s="20"/>
      <c r="AQ10618" s="19"/>
      <c r="AR10618" s="19"/>
      <c r="AS10618" s="19"/>
      <c r="AT10618" s="19"/>
      <c r="AU10618" s="19"/>
    </row>
    <row r="10619" spans="3:47">
      <c r="C10619" s="20"/>
      <c r="Z10619" s="20"/>
      <c r="AG10619" s="20"/>
      <c r="AQ10619" s="19"/>
      <c r="AR10619" s="19"/>
      <c r="AS10619" s="19"/>
      <c r="AT10619" s="19"/>
      <c r="AU10619" s="19"/>
    </row>
    <row r="10620" spans="3:47">
      <c r="C10620" s="20"/>
      <c r="Z10620" s="20"/>
      <c r="AG10620" s="20"/>
      <c r="AQ10620" s="19"/>
      <c r="AR10620" s="19"/>
      <c r="AS10620" s="19"/>
      <c r="AT10620" s="19"/>
      <c r="AU10620" s="19"/>
    </row>
    <row r="10621" spans="3:47">
      <c r="C10621" s="20"/>
      <c r="Z10621" s="20"/>
      <c r="AG10621" s="20"/>
      <c r="AQ10621" s="19"/>
      <c r="AR10621" s="19"/>
      <c r="AS10621" s="19"/>
      <c r="AT10621" s="19"/>
      <c r="AU10621" s="19"/>
    </row>
    <row r="10622" spans="3:47">
      <c r="C10622" s="20"/>
      <c r="Z10622" s="20"/>
      <c r="AG10622" s="20"/>
      <c r="AQ10622" s="19"/>
      <c r="AR10622" s="19"/>
      <c r="AS10622" s="19"/>
      <c r="AT10622" s="19"/>
      <c r="AU10622" s="19"/>
    </row>
    <row r="10623" spans="3:47">
      <c r="C10623" s="20"/>
      <c r="Z10623" s="20"/>
      <c r="AG10623" s="20"/>
      <c r="AQ10623" s="19"/>
      <c r="AR10623" s="19"/>
      <c r="AS10623" s="19"/>
      <c r="AT10623" s="19"/>
      <c r="AU10623" s="19"/>
    </row>
    <row r="10624" spans="3:47">
      <c r="C10624" s="20"/>
      <c r="Z10624" s="20"/>
      <c r="AG10624" s="20"/>
      <c r="AQ10624" s="19"/>
      <c r="AR10624" s="19"/>
      <c r="AS10624" s="19"/>
      <c r="AT10624" s="19"/>
      <c r="AU10624" s="19"/>
    </row>
    <row r="10625" spans="3:47">
      <c r="C10625" s="20"/>
      <c r="Z10625" s="20"/>
      <c r="AG10625" s="20"/>
      <c r="AQ10625" s="19"/>
      <c r="AR10625" s="19"/>
      <c r="AS10625" s="19"/>
      <c r="AT10625" s="19"/>
      <c r="AU10625" s="19"/>
    </row>
    <row r="10626" spans="3:47">
      <c r="C10626" s="20"/>
      <c r="Z10626" s="20"/>
      <c r="AG10626" s="20"/>
      <c r="AQ10626" s="19"/>
      <c r="AR10626" s="19"/>
      <c r="AS10626" s="19"/>
      <c r="AT10626" s="19"/>
      <c r="AU10626" s="19"/>
    </row>
    <row r="10627" spans="3:47">
      <c r="C10627" s="20"/>
      <c r="Z10627" s="20"/>
      <c r="AG10627" s="20"/>
      <c r="AQ10627" s="19"/>
      <c r="AR10627" s="19"/>
      <c r="AS10627" s="19"/>
      <c r="AT10627" s="19"/>
      <c r="AU10627" s="19"/>
    </row>
    <row r="10628" spans="3:47">
      <c r="C10628" s="20"/>
      <c r="Z10628" s="20"/>
      <c r="AG10628" s="20"/>
      <c r="AQ10628" s="19"/>
      <c r="AR10628" s="19"/>
      <c r="AS10628" s="19"/>
      <c r="AT10628" s="19"/>
      <c r="AU10628" s="19"/>
    </row>
    <row r="10629" spans="3:47">
      <c r="C10629" s="20"/>
      <c r="Z10629" s="20"/>
      <c r="AG10629" s="20"/>
      <c r="AQ10629" s="19"/>
      <c r="AR10629" s="19"/>
      <c r="AS10629" s="19"/>
      <c r="AT10629" s="19"/>
      <c r="AU10629" s="19"/>
    </row>
    <row r="10630" spans="3:47">
      <c r="C10630" s="20"/>
      <c r="Z10630" s="20"/>
      <c r="AG10630" s="20"/>
      <c r="AQ10630" s="19"/>
      <c r="AR10630" s="19"/>
      <c r="AS10630" s="19"/>
      <c r="AT10630" s="19"/>
      <c r="AU10630" s="19"/>
    </row>
    <row r="10631" spans="3:47">
      <c r="C10631" s="20"/>
      <c r="Z10631" s="20"/>
      <c r="AG10631" s="20"/>
      <c r="AQ10631" s="19"/>
      <c r="AR10631" s="19"/>
      <c r="AS10631" s="19"/>
      <c r="AT10631" s="19"/>
      <c r="AU10631" s="19"/>
    </row>
    <row r="10632" spans="3:47">
      <c r="C10632" s="20"/>
      <c r="Z10632" s="20"/>
      <c r="AG10632" s="20"/>
      <c r="AQ10632" s="19"/>
      <c r="AR10632" s="19"/>
      <c r="AS10632" s="19"/>
      <c r="AT10632" s="19"/>
      <c r="AU10632" s="19"/>
    </row>
    <row r="10633" spans="3:47">
      <c r="C10633" s="20"/>
      <c r="Z10633" s="20"/>
      <c r="AG10633" s="20"/>
      <c r="AQ10633" s="19"/>
      <c r="AR10633" s="19"/>
      <c r="AS10633" s="19"/>
      <c r="AT10633" s="19"/>
      <c r="AU10633" s="19"/>
    </row>
    <row r="10634" spans="3:47">
      <c r="C10634" s="20"/>
      <c r="Z10634" s="20"/>
      <c r="AG10634" s="20"/>
      <c r="AQ10634" s="19"/>
      <c r="AR10634" s="19"/>
      <c r="AS10634" s="19"/>
      <c r="AT10634" s="19"/>
      <c r="AU10634" s="19"/>
    </row>
    <row r="10635" spans="3:47">
      <c r="C10635" s="20"/>
      <c r="Z10635" s="20"/>
      <c r="AG10635" s="20"/>
      <c r="AQ10635" s="19"/>
      <c r="AR10635" s="19"/>
      <c r="AS10635" s="19"/>
      <c r="AT10635" s="19"/>
      <c r="AU10635" s="19"/>
    </row>
    <row r="10636" spans="3:47">
      <c r="C10636" s="20"/>
      <c r="Z10636" s="20"/>
      <c r="AG10636" s="20"/>
      <c r="AQ10636" s="19"/>
      <c r="AR10636" s="19"/>
      <c r="AS10636" s="19"/>
      <c r="AT10636" s="19"/>
      <c r="AU10636" s="19"/>
    </row>
    <row r="10637" spans="3:47">
      <c r="C10637" s="20"/>
      <c r="Z10637" s="20"/>
      <c r="AG10637" s="20"/>
      <c r="AQ10637" s="19"/>
      <c r="AR10637" s="19"/>
      <c r="AS10637" s="19"/>
      <c r="AT10637" s="19"/>
      <c r="AU10637" s="19"/>
    </row>
    <row r="10638" spans="3:47">
      <c r="C10638" s="20"/>
      <c r="Z10638" s="20"/>
      <c r="AG10638" s="20"/>
      <c r="AQ10638" s="19"/>
      <c r="AR10638" s="19"/>
      <c r="AS10638" s="19"/>
      <c r="AT10638" s="19"/>
      <c r="AU10638" s="19"/>
    </row>
    <row r="10639" spans="3:47">
      <c r="C10639" s="20"/>
      <c r="Z10639" s="20"/>
      <c r="AG10639" s="20"/>
      <c r="AQ10639" s="19"/>
      <c r="AR10639" s="19"/>
      <c r="AS10639" s="19"/>
      <c r="AT10639" s="19"/>
      <c r="AU10639" s="19"/>
    </row>
    <row r="10640" spans="3:47">
      <c r="C10640" s="20"/>
      <c r="Z10640" s="20"/>
      <c r="AG10640" s="20"/>
      <c r="AQ10640" s="19"/>
      <c r="AR10640" s="19"/>
      <c r="AS10640" s="19"/>
      <c r="AT10640" s="19"/>
      <c r="AU10640" s="19"/>
    </row>
    <row r="10641" spans="3:47">
      <c r="C10641" s="20"/>
      <c r="Z10641" s="20"/>
      <c r="AG10641" s="20"/>
      <c r="AQ10641" s="19"/>
      <c r="AR10641" s="19"/>
      <c r="AS10641" s="19"/>
      <c r="AT10641" s="19"/>
      <c r="AU10641" s="19"/>
    </row>
    <row r="10642" spans="3:47">
      <c r="C10642" s="20"/>
      <c r="Z10642" s="20"/>
      <c r="AG10642" s="20"/>
      <c r="AQ10642" s="19"/>
      <c r="AR10642" s="19"/>
      <c r="AS10642" s="19"/>
      <c r="AT10642" s="19"/>
      <c r="AU10642" s="19"/>
    </row>
    <row r="10643" spans="3:47">
      <c r="C10643" s="20"/>
      <c r="Z10643" s="20"/>
      <c r="AG10643" s="20"/>
      <c r="AQ10643" s="19"/>
      <c r="AR10643" s="19"/>
      <c r="AS10643" s="19"/>
      <c r="AT10643" s="19"/>
      <c r="AU10643" s="19"/>
    </row>
    <row r="10644" spans="3:47">
      <c r="C10644" s="20"/>
      <c r="Z10644" s="20"/>
      <c r="AG10644" s="20"/>
      <c r="AQ10644" s="19"/>
      <c r="AR10644" s="19"/>
      <c r="AS10644" s="19"/>
      <c r="AT10644" s="19"/>
      <c r="AU10644" s="19"/>
    </row>
    <row r="10645" spans="3:47">
      <c r="C10645" s="20"/>
      <c r="Z10645" s="20"/>
      <c r="AG10645" s="20"/>
      <c r="AQ10645" s="19"/>
      <c r="AR10645" s="19"/>
      <c r="AS10645" s="19"/>
      <c r="AT10645" s="19"/>
      <c r="AU10645" s="19"/>
    </row>
    <row r="10646" spans="3:47">
      <c r="C10646" s="20"/>
      <c r="Z10646" s="20"/>
      <c r="AG10646" s="20"/>
      <c r="AQ10646" s="19"/>
      <c r="AR10646" s="19"/>
      <c r="AS10646" s="19"/>
      <c r="AT10646" s="19"/>
      <c r="AU10646" s="19"/>
    </row>
    <row r="10647" spans="3:47">
      <c r="C10647" s="20"/>
      <c r="Z10647" s="20"/>
      <c r="AG10647" s="20"/>
      <c r="AQ10647" s="19"/>
      <c r="AR10647" s="19"/>
      <c r="AS10647" s="19"/>
      <c r="AT10647" s="19"/>
      <c r="AU10647" s="19"/>
    </row>
    <row r="10648" spans="3:47">
      <c r="C10648" s="20"/>
      <c r="Z10648" s="20"/>
      <c r="AG10648" s="20"/>
      <c r="AQ10648" s="19"/>
      <c r="AR10648" s="19"/>
      <c r="AS10648" s="19"/>
      <c r="AT10648" s="19"/>
      <c r="AU10648" s="19"/>
    </row>
    <row r="10649" spans="3:47">
      <c r="C10649" s="20"/>
      <c r="Z10649" s="20"/>
      <c r="AG10649" s="20"/>
      <c r="AQ10649" s="19"/>
      <c r="AR10649" s="19"/>
      <c r="AS10649" s="19"/>
      <c r="AT10649" s="19"/>
      <c r="AU10649" s="19"/>
    </row>
    <row r="10650" spans="3:47">
      <c r="C10650" s="20"/>
      <c r="Z10650" s="20"/>
      <c r="AG10650" s="20"/>
      <c r="AQ10650" s="19"/>
      <c r="AR10650" s="19"/>
      <c r="AS10650" s="19"/>
      <c r="AT10650" s="19"/>
      <c r="AU10650" s="19"/>
    </row>
    <row r="10651" spans="3:47">
      <c r="C10651" s="20"/>
      <c r="Z10651" s="20"/>
      <c r="AG10651" s="20"/>
      <c r="AQ10651" s="19"/>
      <c r="AR10651" s="19"/>
      <c r="AS10651" s="19"/>
      <c r="AT10651" s="19"/>
      <c r="AU10651" s="19"/>
    </row>
    <row r="10652" spans="3:47">
      <c r="C10652" s="20"/>
      <c r="Z10652" s="20"/>
      <c r="AG10652" s="20"/>
      <c r="AQ10652" s="19"/>
      <c r="AR10652" s="19"/>
      <c r="AS10652" s="19"/>
      <c r="AT10652" s="19"/>
      <c r="AU10652" s="19"/>
    </row>
    <row r="10653" spans="3:47">
      <c r="C10653" s="20"/>
      <c r="Z10653" s="20"/>
      <c r="AG10653" s="20"/>
      <c r="AQ10653" s="19"/>
      <c r="AR10653" s="19"/>
      <c r="AS10653" s="19"/>
      <c r="AT10653" s="19"/>
      <c r="AU10653" s="19"/>
    </row>
    <row r="10654" spans="3:47">
      <c r="C10654" s="20"/>
      <c r="Z10654" s="20"/>
      <c r="AG10654" s="20"/>
      <c r="AQ10654" s="19"/>
      <c r="AR10654" s="19"/>
      <c r="AS10654" s="19"/>
      <c r="AT10654" s="19"/>
      <c r="AU10654" s="19"/>
    </row>
    <row r="10655" spans="3:47">
      <c r="C10655" s="20"/>
      <c r="Z10655" s="20"/>
      <c r="AG10655" s="20"/>
      <c r="AQ10655" s="19"/>
      <c r="AR10655" s="19"/>
      <c r="AS10655" s="19"/>
      <c r="AT10655" s="19"/>
      <c r="AU10655" s="19"/>
    </row>
    <row r="10656" spans="3:47">
      <c r="C10656" s="20"/>
      <c r="Z10656" s="20"/>
      <c r="AG10656" s="20"/>
      <c r="AQ10656" s="19"/>
      <c r="AR10656" s="19"/>
      <c r="AS10656" s="19"/>
      <c r="AT10656" s="19"/>
      <c r="AU10656" s="19"/>
    </row>
    <row r="10657" spans="3:47">
      <c r="C10657" s="20"/>
      <c r="Z10657" s="20"/>
      <c r="AG10657" s="20"/>
      <c r="AQ10657" s="19"/>
      <c r="AR10657" s="19"/>
      <c r="AS10657" s="19"/>
      <c r="AT10657" s="19"/>
      <c r="AU10657" s="19"/>
    </row>
    <row r="10658" spans="3:47">
      <c r="C10658" s="20"/>
      <c r="Z10658" s="20"/>
      <c r="AG10658" s="20"/>
      <c r="AQ10658" s="19"/>
      <c r="AR10658" s="19"/>
      <c r="AS10658" s="19"/>
      <c r="AT10658" s="19"/>
      <c r="AU10658" s="19"/>
    </row>
    <row r="10659" spans="3:47">
      <c r="C10659" s="20"/>
      <c r="Z10659" s="20"/>
      <c r="AG10659" s="20"/>
      <c r="AQ10659" s="19"/>
      <c r="AR10659" s="19"/>
      <c r="AS10659" s="19"/>
      <c r="AT10659" s="19"/>
      <c r="AU10659" s="19"/>
    </row>
    <row r="10660" spans="3:47">
      <c r="C10660" s="20"/>
      <c r="Z10660" s="20"/>
      <c r="AG10660" s="20"/>
      <c r="AQ10660" s="19"/>
      <c r="AR10660" s="19"/>
      <c r="AS10660" s="19"/>
      <c r="AT10660" s="19"/>
      <c r="AU10660" s="19"/>
    </row>
    <row r="10661" spans="3:47">
      <c r="C10661" s="20"/>
      <c r="Z10661" s="20"/>
      <c r="AG10661" s="20"/>
      <c r="AQ10661" s="19"/>
      <c r="AR10661" s="19"/>
      <c r="AS10661" s="19"/>
      <c r="AT10661" s="19"/>
      <c r="AU10661" s="19"/>
    </row>
    <row r="10662" spans="3:47">
      <c r="C10662" s="20"/>
      <c r="Z10662" s="20"/>
      <c r="AG10662" s="20"/>
      <c r="AQ10662" s="19"/>
      <c r="AR10662" s="19"/>
      <c r="AS10662" s="19"/>
      <c r="AT10662" s="19"/>
      <c r="AU10662" s="19"/>
    </row>
    <row r="10663" spans="3:47">
      <c r="C10663" s="20"/>
      <c r="Z10663" s="20"/>
      <c r="AG10663" s="20"/>
      <c r="AQ10663" s="19"/>
      <c r="AR10663" s="19"/>
      <c r="AS10663" s="19"/>
      <c r="AT10663" s="19"/>
      <c r="AU10663" s="19"/>
    </row>
    <row r="10664" spans="3:47">
      <c r="C10664" s="20"/>
      <c r="Z10664" s="20"/>
      <c r="AG10664" s="20"/>
      <c r="AQ10664" s="19"/>
      <c r="AR10664" s="19"/>
      <c r="AS10664" s="19"/>
      <c r="AT10664" s="19"/>
      <c r="AU10664" s="19"/>
    </row>
    <row r="10665" spans="3:47">
      <c r="C10665" s="20"/>
      <c r="Z10665" s="20"/>
      <c r="AG10665" s="20"/>
      <c r="AQ10665" s="19"/>
      <c r="AR10665" s="19"/>
      <c r="AS10665" s="19"/>
      <c r="AT10665" s="19"/>
      <c r="AU10665" s="19"/>
    </row>
    <row r="10666" spans="3:47">
      <c r="C10666" s="20"/>
      <c r="Z10666" s="20"/>
      <c r="AG10666" s="20"/>
      <c r="AQ10666" s="19"/>
      <c r="AR10666" s="19"/>
      <c r="AS10666" s="19"/>
      <c r="AT10666" s="19"/>
      <c r="AU10666" s="19"/>
    </row>
    <row r="10667" spans="3:47">
      <c r="C10667" s="20"/>
      <c r="Z10667" s="20"/>
      <c r="AG10667" s="20"/>
      <c r="AQ10667" s="19"/>
      <c r="AR10667" s="19"/>
      <c r="AS10667" s="19"/>
      <c r="AT10667" s="19"/>
      <c r="AU10667" s="19"/>
    </row>
    <row r="10668" spans="3:47">
      <c r="C10668" s="20"/>
      <c r="Z10668" s="20"/>
      <c r="AG10668" s="20"/>
      <c r="AQ10668" s="19"/>
      <c r="AR10668" s="19"/>
      <c r="AS10668" s="19"/>
      <c r="AT10668" s="19"/>
      <c r="AU10668" s="19"/>
    </row>
    <row r="10669" spans="3:47">
      <c r="C10669" s="20"/>
      <c r="Z10669" s="20"/>
      <c r="AG10669" s="20"/>
      <c r="AQ10669" s="19"/>
      <c r="AR10669" s="19"/>
      <c r="AS10669" s="19"/>
      <c r="AT10669" s="19"/>
      <c r="AU10669" s="19"/>
    </row>
    <row r="10670" spans="3:47">
      <c r="C10670" s="20"/>
      <c r="Z10670" s="20"/>
      <c r="AG10670" s="20"/>
      <c r="AQ10670" s="19"/>
      <c r="AR10670" s="19"/>
      <c r="AS10670" s="19"/>
      <c r="AT10670" s="19"/>
      <c r="AU10670" s="19"/>
    </row>
    <row r="10671" spans="3:47">
      <c r="C10671" s="20"/>
      <c r="Z10671" s="20"/>
      <c r="AG10671" s="20"/>
      <c r="AQ10671" s="19"/>
      <c r="AR10671" s="19"/>
      <c r="AS10671" s="19"/>
      <c r="AT10671" s="19"/>
      <c r="AU10671" s="19"/>
    </row>
    <row r="10672" spans="3:47">
      <c r="C10672" s="20"/>
      <c r="Z10672" s="20"/>
      <c r="AG10672" s="20"/>
      <c r="AQ10672" s="19"/>
      <c r="AR10672" s="19"/>
      <c r="AS10672" s="19"/>
      <c r="AT10672" s="19"/>
      <c r="AU10672" s="19"/>
    </row>
    <row r="10673" spans="3:47">
      <c r="C10673" s="20"/>
      <c r="Z10673" s="20"/>
      <c r="AG10673" s="20"/>
      <c r="AQ10673" s="19"/>
      <c r="AR10673" s="19"/>
      <c r="AS10673" s="19"/>
      <c r="AT10673" s="19"/>
      <c r="AU10673" s="19"/>
    </row>
    <row r="10674" spans="3:47">
      <c r="C10674" s="20"/>
      <c r="Z10674" s="20"/>
      <c r="AG10674" s="20"/>
      <c r="AQ10674" s="19"/>
      <c r="AR10674" s="19"/>
      <c r="AS10674" s="19"/>
      <c r="AT10674" s="19"/>
      <c r="AU10674" s="19"/>
    </row>
    <row r="10675" spans="3:47">
      <c r="C10675" s="20"/>
      <c r="Z10675" s="20"/>
      <c r="AG10675" s="20"/>
      <c r="AQ10675" s="19"/>
      <c r="AR10675" s="19"/>
      <c r="AS10675" s="19"/>
      <c r="AT10675" s="19"/>
      <c r="AU10675" s="19"/>
    </row>
    <row r="10676" spans="3:47">
      <c r="C10676" s="20"/>
      <c r="Z10676" s="20"/>
      <c r="AG10676" s="20"/>
      <c r="AQ10676" s="19"/>
      <c r="AR10676" s="19"/>
      <c r="AS10676" s="19"/>
      <c r="AT10676" s="19"/>
      <c r="AU10676" s="19"/>
    </row>
    <row r="10677" spans="3:47">
      <c r="C10677" s="20"/>
      <c r="Z10677" s="20"/>
      <c r="AG10677" s="20"/>
      <c r="AQ10677" s="19"/>
      <c r="AR10677" s="19"/>
      <c r="AS10677" s="19"/>
      <c r="AT10677" s="19"/>
      <c r="AU10677" s="19"/>
    </row>
    <row r="10678" spans="3:47">
      <c r="C10678" s="20"/>
      <c r="Z10678" s="20"/>
      <c r="AG10678" s="20"/>
      <c r="AQ10678" s="19"/>
      <c r="AR10678" s="19"/>
      <c r="AS10678" s="19"/>
      <c r="AT10678" s="19"/>
      <c r="AU10678" s="19"/>
    </row>
    <row r="10679" spans="3:47">
      <c r="C10679" s="20"/>
      <c r="Z10679" s="20"/>
      <c r="AG10679" s="20"/>
      <c r="AQ10679" s="19"/>
      <c r="AR10679" s="19"/>
      <c r="AS10679" s="19"/>
      <c r="AT10679" s="19"/>
      <c r="AU10679" s="19"/>
    </row>
    <row r="10680" spans="3:47">
      <c r="C10680" s="20"/>
      <c r="Z10680" s="20"/>
      <c r="AG10680" s="20"/>
      <c r="AQ10680" s="19"/>
      <c r="AR10680" s="19"/>
      <c r="AS10680" s="19"/>
      <c r="AT10680" s="19"/>
      <c r="AU10680" s="19"/>
    </row>
    <row r="10681" spans="3:47">
      <c r="C10681" s="20"/>
      <c r="Z10681" s="20"/>
      <c r="AG10681" s="20"/>
      <c r="AQ10681" s="19"/>
      <c r="AR10681" s="19"/>
      <c r="AS10681" s="19"/>
      <c r="AT10681" s="19"/>
      <c r="AU10681" s="19"/>
    </row>
    <row r="10682" spans="3:47">
      <c r="C10682" s="20"/>
      <c r="Z10682" s="20"/>
      <c r="AG10682" s="20"/>
      <c r="AQ10682" s="19"/>
      <c r="AR10682" s="19"/>
      <c r="AS10682" s="19"/>
      <c r="AT10682" s="19"/>
      <c r="AU10682" s="19"/>
    </row>
    <row r="10683" spans="3:47">
      <c r="C10683" s="20"/>
      <c r="Z10683" s="20"/>
      <c r="AG10683" s="20"/>
      <c r="AQ10683" s="19"/>
      <c r="AR10683" s="19"/>
      <c r="AS10683" s="19"/>
      <c r="AT10683" s="19"/>
      <c r="AU10683" s="19"/>
    </row>
    <row r="10684" spans="3:47">
      <c r="C10684" s="20"/>
      <c r="Z10684" s="20"/>
      <c r="AG10684" s="20"/>
      <c r="AQ10684" s="19"/>
      <c r="AR10684" s="19"/>
      <c r="AS10684" s="19"/>
      <c r="AT10684" s="19"/>
      <c r="AU10684" s="19"/>
    </row>
    <row r="10685" spans="3:47">
      <c r="C10685" s="20"/>
      <c r="Z10685" s="20"/>
      <c r="AG10685" s="20"/>
      <c r="AQ10685" s="19"/>
      <c r="AR10685" s="19"/>
      <c r="AS10685" s="19"/>
      <c r="AT10685" s="19"/>
      <c r="AU10685" s="19"/>
    </row>
    <row r="10686" spans="3:47">
      <c r="C10686" s="20"/>
      <c r="Z10686" s="20"/>
      <c r="AG10686" s="20"/>
      <c r="AQ10686" s="19"/>
      <c r="AR10686" s="19"/>
      <c r="AS10686" s="19"/>
      <c r="AT10686" s="19"/>
      <c r="AU10686" s="19"/>
    </row>
    <row r="10687" spans="3:47">
      <c r="C10687" s="20"/>
      <c r="Z10687" s="20"/>
      <c r="AG10687" s="20"/>
      <c r="AQ10687" s="19"/>
      <c r="AR10687" s="19"/>
      <c r="AS10687" s="19"/>
      <c r="AT10687" s="19"/>
      <c r="AU10687" s="19"/>
    </row>
    <row r="10688" spans="3:47">
      <c r="C10688" s="20"/>
      <c r="Z10688" s="20"/>
      <c r="AG10688" s="20"/>
      <c r="AQ10688" s="19"/>
      <c r="AR10688" s="19"/>
      <c r="AS10688" s="19"/>
      <c r="AT10688" s="19"/>
      <c r="AU10688" s="19"/>
    </row>
    <row r="10689" spans="3:47">
      <c r="C10689" s="20"/>
      <c r="Z10689" s="20"/>
      <c r="AG10689" s="20"/>
      <c r="AQ10689" s="19"/>
      <c r="AR10689" s="19"/>
      <c r="AS10689" s="19"/>
      <c r="AT10689" s="19"/>
      <c r="AU10689" s="19"/>
    </row>
    <row r="10690" spans="3:47">
      <c r="C10690" s="20"/>
      <c r="Z10690" s="20"/>
      <c r="AG10690" s="20"/>
      <c r="AQ10690" s="19"/>
      <c r="AR10690" s="19"/>
      <c r="AS10690" s="19"/>
      <c r="AT10690" s="19"/>
      <c r="AU10690" s="19"/>
    </row>
    <row r="10691" spans="3:47">
      <c r="C10691" s="20"/>
      <c r="Z10691" s="20"/>
      <c r="AG10691" s="20"/>
      <c r="AQ10691" s="19"/>
      <c r="AR10691" s="19"/>
      <c r="AS10691" s="19"/>
      <c r="AT10691" s="19"/>
      <c r="AU10691" s="19"/>
    </row>
    <row r="10692" spans="3:47">
      <c r="C10692" s="20"/>
      <c r="Z10692" s="20"/>
      <c r="AG10692" s="20"/>
      <c r="AQ10692" s="19"/>
      <c r="AR10692" s="19"/>
      <c r="AS10692" s="19"/>
      <c r="AT10692" s="19"/>
      <c r="AU10692" s="19"/>
    </row>
    <row r="10693" spans="3:47">
      <c r="C10693" s="20"/>
      <c r="Z10693" s="20"/>
      <c r="AG10693" s="20"/>
      <c r="AQ10693" s="19"/>
      <c r="AR10693" s="19"/>
      <c r="AS10693" s="19"/>
      <c r="AT10693" s="19"/>
      <c r="AU10693" s="19"/>
    </row>
    <row r="10694" spans="3:47">
      <c r="C10694" s="20"/>
      <c r="Z10694" s="20"/>
      <c r="AG10694" s="20"/>
      <c r="AQ10694" s="19"/>
      <c r="AR10694" s="19"/>
      <c r="AS10694" s="19"/>
      <c r="AT10694" s="19"/>
      <c r="AU10694" s="19"/>
    </row>
    <row r="10695" spans="3:47">
      <c r="C10695" s="20"/>
      <c r="Z10695" s="20"/>
      <c r="AG10695" s="20"/>
      <c r="AQ10695" s="19"/>
      <c r="AR10695" s="19"/>
      <c r="AS10695" s="19"/>
      <c r="AT10695" s="19"/>
      <c r="AU10695" s="19"/>
    </row>
    <row r="10696" spans="3:47">
      <c r="C10696" s="20"/>
      <c r="Z10696" s="20"/>
      <c r="AG10696" s="20"/>
      <c r="AQ10696" s="19"/>
      <c r="AR10696" s="19"/>
      <c r="AS10696" s="19"/>
      <c r="AT10696" s="19"/>
      <c r="AU10696" s="19"/>
    </row>
    <row r="10697" spans="3:47">
      <c r="C10697" s="20"/>
      <c r="Z10697" s="20"/>
      <c r="AG10697" s="20"/>
      <c r="AQ10697" s="19"/>
      <c r="AR10697" s="19"/>
      <c r="AS10697" s="19"/>
      <c r="AT10697" s="19"/>
      <c r="AU10697" s="19"/>
    </row>
    <row r="10698" spans="3:47">
      <c r="C10698" s="20"/>
      <c r="Z10698" s="20"/>
      <c r="AG10698" s="20"/>
      <c r="AQ10698" s="19"/>
      <c r="AR10698" s="19"/>
      <c r="AS10698" s="19"/>
      <c r="AT10698" s="19"/>
      <c r="AU10698" s="19"/>
    </row>
    <row r="10699" spans="3:47">
      <c r="C10699" s="20"/>
      <c r="Z10699" s="20"/>
      <c r="AG10699" s="20"/>
      <c r="AQ10699" s="19"/>
      <c r="AR10699" s="19"/>
      <c r="AS10699" s="19"/>
      <c r="AT10699" s="19"/>
      <c r="AU10699" s="19"/>
    </row>
    <row r="10700" spans="3:47">
      <c r="C10700" s="20"/>
      <c r="Z10700" s="20"/>
      <c r="AG10700" s="20"/>
      <c r="AQ10700" s="19"/>
      <c r="AR10700" s="19"/>
      <c r="AS10700" s="19"/>
      <c r="AT10700" s="19"/>
      <c r="AU10700" s="19"/>
    </row>
    <row r="10701" spans="3:47">
      <c r="C10701" s="20"/>
      <c r="Z10701" s="20"/>
      <c r="AG10701" s="20"/>
      <c r="AQ10701" s="19"/>
      <c r="AR10701" s="19"/>
      <c r="AS10701" s="19"/>
      <c r="AT10701" s="19"/>
      <c r="AU10701" s="19"/>
    </row>
    <row r="10702" spans="3:47">
      <c r="C10702" s="20"/>
      <c r="Z10702" s="20"/>
      <c r="AG10702" s="20"/>
      <c r="AQ10702" s="19"/>
      <c r="AR10702" s="19"/>
      <c r="AS10702" s="19"/>
      <c r="AT10702" s="19"/>
      <c r="AU10702" s="19"/>
    </row>
    <row r="10703" spans="3:47">
      <c r="C10703" s="20"/>
      <c r="Z10703" s="20"/>
      <c r="AG10703" s="20"/>
      <c r="AQ10703" s="19"/>
      <c r="AR10703" s="19"/>
      <c r="AS10703" s="19"/>
      <c r="AT10703" s="19"/>
      <c r="AU10703" s="19"/>
    </row>
    <row r="10704" spans="3:47">
      <c r="C10704" s="20"/>
      <c r="Z10704" s="20"/>
      <c r="AG10704" s="20"/>
      <c r="AQ10704" s="19"/>
      <c r="AR10704" s="19"/>
      <c r="AS10704" s="19"/>
      <c r="AT10704" s="19"/>
      <c r="AU10704" s="19"/>
    </row>
    <row r="10705" spans="3:47">
      <c r="C10705" s="20"/>
      <c r="Z10705" s="20"/>
      <c r="AG10705" s="20"/>
      <c r="AQ10705" s="19"/>
      <c r="AR10705" s="19"/>
      <c r="AS10705" s="19"/>
      <c r="AT10705" s="19"/>
      <c r="AU10705" s="19"/>
    </row>
    <row r="10706" spans="3:47">
      <c r="C10706" s="20"/>
      <c r="Z10706" s="20"/>
      <c r="AG10706" s="20"/>
      <c r="AQ10706" s="19"/>
      <c r="AR10706" s="19"/>
      <c r="AS10706" s="19"/>
      <c r="AT10706" s="19"/>
      <c r="AU10706" s="19"/>
    </row>
    <row r="10707" spans="3:47">
      <c r="C10707" s="20"/>
      <c r="Z10707" s="20"/>
      <c r="AG10707" s="20"/>
      <c r="AQ10707" s="19"/>
      <c r="AR10707" s="19"/>
      <c r="AS10707" s="19"/>
      <c r="AT10707" s="19"/>
      <c r="AU10707" s="19"/>
    </row>
    <row r="10708" spans="3:47">
      <c r="C10708" s="20"/>
      <c r="Z10708" s="20"/>
      <c r="AG10708" s="20"/>
      <c r="AQ10708" s="19"/>
      <c r="AR10708" s="19"/>
      <c r="AS10708" s="19"/>
      <c r="AT10708" s="19"/>
      <c r="AU10708" s="19"/>
    </row>
    <row r="10709" spans="3:47">
      <c r="C10709" s="20"/>
      <c r="Z10709" s="20"/>
      <c r="AG10709" s="20"/>
      <c r="AQ10709" s="19"/>
      <c r="AR10709" s="19"/>
      <c r="AS10709" s="19"/>
      <c r="AT10709" s="19"/>
      <c r="AU10709" s="19"/>
    </row>
    <row r="10710" spans="3:47">
      <c r="C10710" s="20"/>
      <c r="Z10710" s="20"/>
      <c r="AG10710" s="20"/>
      <c r="AQ10710" s="19"/>
      <c r="AR10710" s="19"/>
      <c r="AS10710" s="19"/>
      <c r="AT10710" s="19"/>
      <c r="AU10710" s="19"/>
    </row>
    <row r="10711" spans="3:47">
      <c r="C10711" s="20"/>
      <c r="Z10711" s="20"/>
      <c r="AG10711" s="20"/>
      <c r="AQ10711" s="19"/>
      <c r="AR10711" s="19"/>
      <c r="AS10711" s="19"/>
      <c r="AT10711" s="19"/>
      <c r="AU10711" s="19"/>
    </row>
    <row r="10712" spans="3:47">
      <c r="C10712" s="20"/>
      <c r="Z10712" s="20"/>
      <c r="AG10712" s="20"/>
      <c r="AQ10712" s="19"/>
      <c r="AR10712" s="19"/>
      <c r="AS10712" s="19"/>
      <c r="AT10712" s="19"/>
      <c r="AU10712" s="19"/>
    </row>
    <row r="10713" spans="3:47">
      <c r="C10713" s="20"/>
      <c r="Z10713" s="20"/>
      <c r="AG10713" s="20"/>
      <c r="AQ10713" s="19"/>
      <c r="AR10713" s="19"/>
      <c r="AS10713" s="19"/>
      <c r="AT10713" s="19"/>
      <c r="AU10713" s="19"/>
    </row>
    <row r="10714" spans="3:47">
      <c r="C10714" s="20"/>
      <c r="Z10714" s="20"/>
      <c r="AG10714" s="20"/>
      <c r="AQ10714" s="19"/>
      <c r="AR10714" s="19"/>
      <c r="AS10714" s="19"/>
      <c r="AT10714" s="19"/>
      <c r="AU10714" s="19"/>
    </row>
    <row r="10715" spans="3:47">
      <c r="C10715" s="20"/>
      <c r="Z10715" s="20"/>
      <c r="AG10715" s="20"/>
      <c r="AQ10715" s="19"/>
      <c r="AR10715" s="19"/>
      <c r="AS10715" s="19"/>
      <c r="AT10715" s="19"/>
      <c r="AU10715" s="19"/>
    </row>
    <row r="10716" spans="3:47">
      <c r="C10716" s="20"/>
      <c r="Z10716" s="20"/>
      <c r="AG10716" s="20"/>
      <c r="AQ10716" s="19"/>
      <c r="AR10716" s="19"/>
      <c r="AS10716" s="19"/>
      <c r="AT10716" s="19"/>
      <c r="AU10716" s="19"/>
    </row>
    <row r="10717" spans="3:47">
      <c r="C10717" s="20"/>
      <c r="Z10717" s="20"/>
      <c r="AG10717" s="20"/>
      <c r="AQ10717" s="19"/>
      <c r="AR10717" s="19"/>
      <c r="AS10717" s="19"/>
      <c r="AT10717" s="19"/>
      <c r="AU10717" s="19"/>
    </row>
    <row r="10718" spans="3:47">
      <c r="C10718" s="20"/>
      <c r="Z10718" s="20"/>
      <c r="AG10718" s="20"/>
      <c r="AQ10718" s="19"/>
      <c r="AR10718" s="19"/>
      <c r="AS10718" s="19"/>
      <c r="AT10718" s="19"/>
      <c r="AU10718" s="19"/>
    </row>
    <row r="10719" spans="3:47">
      <c r="C10719" s="20"/>
      <c r="Z10719" s="20"/>
      <c r="AG10719" s="20"/>
      <c r="AQ10719" s="19"/>
      <c r="AR10719" s="19"/>
      <c r="AS10719" s="19"/>
      <c r="AT10719" s="19"/>
      <c r="AU10719" s="19"/>
    </row>
    <row r="10720" spans="3:47">
      <c r="C10720" s="20"/>
      <c r="Z10720" s="20"/>
      <c r="AG10720" s="20"/>
      <c r="AQ10720" s="19"/>
      <c r="AR10720" s="19"/>
      <c r="AS10720" s="19"/>
      <c r="AT10720" s="19"/>
      <c r="AU10720" s="19"/>
    </row>
    <row r="10721" spans="3:47">
      <c r="C10721" s="20"/>
      <c r="Z10721" s="20"/>
      <c r="AG10721" s="20"/>
      <c r="AQ10721" s="19"/>
      <c r="AR10721" s="19"/>
      <c r="AS10721" s="19"/>
      <c r="AT10721" s="19"/>
      <c r="AU10721" s="19"/>
    </row>
    <row r="10722" spans="3:47">
      <c r="C10722" s="20"/>
      <c r="Z10722" s="20"/>
      <c r="AG10722" s="20"/>
      <c r="AQ10722" s="19"/>
      <c r="AR10722" s="19"/>
      <c r="AS10722" s="19"/>
      <c r="AT10722" s="19"/>
      <c r="AU10722" s="19"/>
    </row>
    <row r="10723" spans="3:47">
      <c r="C10723" s="20"/>
      <c r="Z10723" s="20"/>
      <c r="AG10723" s="20"/>
      <c r="AQ10723" s="19"/>
      <c r="AR10723" s="19"/>
      <c r="AS10723" s="19"/>
      <c r="AT10723" s="19"/>
      <c r="AU10723" s="19"/>
    </row>
    <row r="10724" spans="3:47">
      <c r="C10724" s="20"/>
      <c r="Z10724" s="20"/>
      <c r="AG10724" s="20"/>
      <c r="AQ10724" s="19"/>
      <c r="AR10724" s="19"/>
      <c r="AS10724" s="19"/>
      <c r="AT10724" s="19"/>
      <c r="AU10724" s="19"/>
    </row>
    <row r="10725" spans="3:47">
      <c r="C10725" s="20"/>
      <c r="Z10725" s="20"/>
      <c r="AG10725" s="20"/>
      <c r="AQ10725" s="19"/>
      <c r="AR10725" s="19"/>
      <c r="AS10725" s="19"/>
      <c r="AT10725" s="19"/>
      <c r="AU10725" s="19"/>
    </row>
    <row r="10726" spans="3:47">
      <c r="C10726" s="20"/>
      <c r="Z10726" s="20"/>
      <c r="AG10726" s="20"/>
      <c r="AQ10726" s="19"/>
      <c r="AR10726" s="19"/>
      <c r="AS10726" s="19"/>
      <c r="AT10726" s="19"/>
      <c r="AU10726" s="19"/>
    </row>
    <row r="10727" spans="3:47">
      <c r="C10727" s="20"/>
      <c r="Z10727" s="20"/>
      <c r="AG10727" s="20"/>
      <c r="AQ10727" s="19"/>
      <c r="AR10727" s="19"/>
      <c r="AS10727" s="19"/>
      <c r="AT10727" s="19"/>
      <c r="AU10727" s="19"/>
    </row>
    <row r="10728" spans="3:47">
      <c r="C10728" s="20"/>
      <c r="Z10728" s="20"/>
      <c r="AG10728" s="20"/>
      <c r="AQ10728" s="19"/>
      <c r="AR10728" s="19"/>
      <c r="AS10728" s="19"/>
      <c r="AT10728" s="19"/>
      <c r="AU10728" s="19"/>
    </row>
    <row r="10729" spans="3:47">
      <c r="C10729" s="20"/>
      <c r="Z10729" s="20"/>
      <c r="AG10729" s="20"/>
      <c r="AQ10729" s="19"/>
      <c r="AR10729" s="19"/>
      <c r="AS10729" s="19"/>
      <c r="AT10729" s="19"/>
      <c r="AU10729" s="19"/>
    </row>
    <row r="10730" spans="3:47">
      <c r="C10730" s="20"/>
      <c r="Z10730" s="20"/>
      <c r="AG10730" s="20"/>
      <c r="AQ10730" s="19"/>
      <c r="AR10730" s="19"/>
      <c r="AS10730" s="19"/>
      <c r="AT10730" s="19"/>
      <c r="AU10730" s="19"/>
    </row>
    <row r="10731" spans="3:47">
      <c r="C10731" s="20"/>
      <c r="Z10731" s="20"/>
      <c r="AG10731" s="20"/>
      <c r="AQ10731" s="19"/>
      <c r="AR10731" s="19"/>
      <c r="AS10731" s="19"/>
      <c r="AT10731" s="19"/>
      <c r="AU10731" s="19"/>
    </row>
    <row r="10732" spans="3:47">
      <c r="C10732" s="20"/>
      <c r="Z10732" s="20"/>
      <c r="AG10732" s="20"/>
      <c r="AQ10732" s="19"/>
      <c r="AR10732" s="19"/>
      <c r="AS10732" s="19"/>
      <c r="AT10732" s="19"/>
      <c r="AU10732" s="19"/>
    </row>
    <row r="10733" spans="3:47">
      <c r="C10733" s="20"/>
      <c r="Z10733" s="20"/>
      <c r="AG10733" s="20"/>
      <c r="AQ10733" s="19"/>
      <c r="AR10733" s="19"/>
      <c r="AS10733" s="19"/>
      <c r="AT10733" s="19"/>
      <c r="AU10733" s="19"/>
    </row>
    <row r="10734" spans="3:47">
      <c r="C10734" s="20"/>
      <c r="Z10734" s="20"/>
      <c r="AG10734" s="20"/>
      <c r="AQ10734" s="19"/>
      <c r="AR10734" s="19"/>
      <c r="AS10734" s="19"/>
      <c r="AT10734" s="19"/>
      <c r="AU10734" s="19"/>
    </row>
    <row r="10735" spans="3:47">
      <c r="C10735" s="20"/>
      <c r="Z10735" s="20"/>
      <c r="AG10735" s="20"/>
      <c r="AQ10735" s="19"/>
      <c r="AR10735" s="19"/>
      <c r="AS10735" s="19"/>
      <c r="AT10735" s="19"/>
      <c r="AU10735" s="19"/>
    </row>
    <row r="10736" spans="3:47">
      <c r="C10736" s="20"/>
      <c r="Z10736" s="20"/>
      <c r="AG10736" s="20"/>
      <c r="AQ10736" s="19"/>
      <c r="AR10736" s="19"/>
      <c r="AS10736" s="19"/>
      <c r="AT10736" s="19"/>
      <c r="AU10736" s="19"/>
    </row>
    <row r="10737" spans="3:47">
      <c r="C10737" s="20"/>
      <c r="Z10737" s="20"/>
      <c r="AG10737" s="20"/>
      <c r="AQ10737" s="19"/>
      <c r="AR10737" s="19"/>
      <c r="AS10737" s="19"/>
      <c r="AT10737" s="19"/>
      <c r="AU10737" s="19"/>
    </row>
    <row r="10738" spans="3:47">
      <c r="C10738" s="20"/>
      <c r="Z10738" s="20"/>
      <c r="AG10738" s="20"/>
      <c r="AQ10738" s="19"/>
      <c r="AR10738" s="19"/>
      <c r="AS10738" s="19"/>
      <c r="AT10738" s="19"/>
      <c r="AU10738" s="19"/>
    </row>
    <row r="10739" spans="3:47">
      <c r="C10739" s="20"/>
      <c r="Z10739" s="20"/>
      <c r="AG10739" s="20"/>
      <c r="AQ10739" s="19"/>
      <c r="AR10739" s="19"/>
      <c r="AS10739" s="19"/>
      <c r="AT10739" s="19"/>
      <c r="AU10739" s="19"/>
    </row>
    <row r="10740" spans="3:47">
      <c r="C10740" s="20"/>
      <c r="Z10740" s="20"/>
      <c r="AG10740" s="20"/>
      <c r="AQ10740" s="19"/>
      <c r="AR10740" s="19"/>
      <c r="AS10740" s="19"/>
      <c r="AT10740" s="19"/>
      <c r="AU10740" s="19"/>
    </row>
    <row r="10741" spans="3:47">
      <c r="C10741" s="20"/>
      <c r="Z10741" s="20"/>
      <c r="AG10741" s="20"/>
      <c r="AQ10741" s="19"/>
      <c r="AR10741" s="19"/>
      <c r="AS10741" s="19"/>
      <c r="AT10741" s="19"/>
      <c r="AU10741" s="19"/>
    </row>
    <row r="10742" spans="3:47">
      <c r="C10742" s="20"/>
      <c r="Z10742" s="20"/>
      <c r="AG10742" s="20"/>
      <c r="AQ10742" s="19"/>
      <c r="AR10742" s="19"/>
      <c r="AS10742" s="19"/>
      <c r="AT10742" s="19"/>
      <c r="AU10742" s="19"/>
    </row>
    <row r="10743" spans="3:47">
      <c r="C10743" s="20"/>
      <c r="Z10743" s="20"/>
      <c r="AG10743" s="20"/>
      <c r="AQ10743" s="19"/>
      <c r="AR10743" s="19"/>
      <c r="AS10743" s="19"/>
      <c r="AT10743" s="19"/>
      <c r="AU10743" s="19"/>
    </row>
    <row r="10744" spans="3:47">
      <c r="C10744" s="20"/>
      <c r="Z10744" s="20"/>
      <c r="AG10744" s="20"/>
      <c r="AQ10744" s="19"/>
      <c r="AR10744" s="19"/>
      <c r="AS10744" s="19"/>
      <c r="AT10744" s="19"/>
      <c r="AU10744" s="19"/>
    </row>
    <row r="10745" spans="3:47">
      <c r="C10745" s="20"/>
      <c r="Z10745" s="20"/>
      <c r="AG10745" s="20"/>
      <c r="AQ10745" s="19"/>
      <c r="AR10745" s="19"/>
      <c r="AS10745" s="19"/>
      <c r="AT10745" s="19"/>
      <c r="AU10745" s="19"/>
    </row>
    <row r="10746" spans="3:47">
      <c r="C10746" s="20"/>
      <c r="Z10746" s="20"/>
      <c r="AG10746" s="20"/>
      <c r="AQ10746" s="19"/>
      <c r="AR10746" s="19"/>
      <c r="AS10746" s="19"/>
      <c r="AT10746" s="19"/>
      <c r="AU10746" s="19"/>
    </row>
    <row r="10747" spans="3:47">
      <c r="C10747" s="20"/>
      <c r="Z10747" s="20"/>
      <c r="AG10747" s="20"/>
      <c r="AQ10747" s="19"/>
      <c r="AR10747" s="19"/>
      <c r="AS10747" s="19"/>
      <c r="AT10747" s="19"/>
      <c r="AU10747" s="19"/>
    </row>
    <row r="10748" spans="3:47">
      <c r="C10748" s="20"/>
      <c r="Z10748" s="20"/>
      <c r="AG10748" s="20"/>
      <c r="AQ10748" s="19"/>
      <c r="AR10748" s="19"/>
      <c r="AS10748" s="19"/>
      <c r="AT10748" s="19"/>
      <c r="AU10748" s="19"/>
    </row>
    <row r="10749" spans="3:47">
      <c r="C10749" s="20"/>
      <c r="Z10749" s="20"/>
      <c r="AG10749" s="20"/>
      <c r="AQ10749" s="19"/>
      <c r="AR10749" s="19"/>
      <c r="AS10749" s="19"/>
      <c r="AT10749" s="19"/>
      <c r="AU10749" s="19"/>
    </row>
    <row r="10750" spans="3:47">
      <c r="C10750" s="20"/>
      <c r="Z10750" s="20"/>
      <c r="AG10750" s="20"/>
      <c r="AQ10750" s="19"/>
      <c r="AR10750" s="19"/>
      <c r="AS10750" s="19"/>
      <c r="AT10750" s="19"/>
      <c r="AU10750" s="19"/>
    </row>
    <row r="10751" spans="3:47">
      <c r="C10751" s="20"/>
      <c r="Z10751" s="20"/>
      <c r="AG10751" s="20"/>
      <c r="AQ10751" s="19"/>
      <c r="AR10751" s="19"/>
      <c r="AS10751" s="19"/>
      <c r="AT10751" s="19"/>
      <c r="AU10751" s="19"/>
    </row>
    <row r="10752" spans="3:47">
      <c r="C10752" s="20"/>
      <c r="Z10752" s="20"/>
      <c r="AG10752" s="20"/>
      <c r="AQ10752" s="19"/>
      <c r="AR10752" s="19"/>
      <c r="AS10752" s="19"/>
      <c r="AT10752" s="19"/>
      <c r="AU10752" s="19"/>
    </row>
    <row r="10753" spans="3:47">
      <c r="C10753" s="20"/>
      <c r="Z10753" s="20"/>
      <c r="AG10753" s="20"/>
      <c r="AQ10753" s="19"/>
      <c r="AR10753" s="19"/>
      <c r="AS10753" s="19"/>
      <c r="AT10753" s="19"/>
      <c r="AU10753" s="19"/>
    </row>
    <row r="10754" spans="3:47">
      <c r="C10754" s="20"/>
      <c r="Z10754" s="20"/>
      <c r="AG10754" s="20"/>
      <c r="AQ10754" s="19"/>
      <c r="AR10754" s="19"/>
      <c r="AS10754" s="19"/>
      <c r="AT10754" s="19"/>
      <c r="AU10754" s="19"/>
    </row>
    <row r="10755" spans="3:47">
      <c r="C10755" s="20"/>
      <c r="Z10755" s="20"/>
      <c r="AG10755" s="20"/>
      <c r="AQ10755" s="19"/>
      <c r="AR10755" s="19"/>
      <c r="AS10755" s="19"/>
      <c r="AT10755" s="19"/>
      <c r="AU10755" s="19"/>
    </row>
    <row r="10756" spans="3:47">
      <c r="C10756" s="20"/>
      <c r="Z10756" s="20"/>
      <c r="AG10756" s="20"/>
      <c r="AQ10756" s="19"/>
      <c r="AR10756" s="19"/>
      <c r="AS10756" s="19"/>
      <c r="AT10756" s="19"/>
      <c r="AU10756" s="19"/>
    </row>
    <row r="10757" spans="3:47">
      <c r="C10757" s="20"/>
      <c r="Z10757" s="20"/>
      <c r="AG10757" s="20"/>
      <c r="AQ10757" s="19"/>
      <c r="AR10757" s="19"/>
      <c r="AS10757" s="19"/>
      <c r="AT10757" s="19"/>
      <c r="AU10757" s="19"/>
    </row>
    <row r="10758" spans="3:47">
      <c r="C10758" s="20"/>
      <c r="Z10758" s="20"/>
      <c r="AG10758" s="20"/>
      <c r="AQ10758" s="19"/>
      <c r="AR10758" s="19"/>
      <c r="AS10758" s="19"/>
      <c r="AT10758" s="19"/>
      <c r="AU10758" s="19"/>
    </row>
    <row r="10759" spans="3:47">
      <c r="C10759" s="20"/>
      <c r="Z10759" s="20"/>
      <c r="AG10759" s="20"/>
      <c r="AQ10759" s="19"/>
      <c r="AR10759" s="19"/>
      <c r="AS10759" s="19"/>
      <c r="AT10759" s="19"/>
      <c r="AU10759" s="19"/>
    </row>
    <row r="10760" spans="3:47">
      <c r="C10760" s="20"/>
      <c r="Z10760" s="20"/>
      <c r="AG10760" s="20"/>
      <c r="AQ10760" s="19"/>
      <c r="AR10760" s="19"/>
      <c r="AS10760" s="19"/>
      <c r="AT10760" s="19"/>
      <c r="AU10760" s="19"/>
    </row>
    <row r="10761" spans="3:47">
      <c r="C10761" s="20"/>
      <c r="Z10761" s="20"/>
      <c r="AG10761" s="20"/>
      <c r="AQ10761" s="19"/>
      <c r="AR10761" s="19"/>
      <c r="AS10761" s="19"/>
      <c r="AT10761" s="19"/>
      <c r="AU10761" s="19"/>
    </row>
    <row r="10762" spans="3:47">
      <c r="C10762" s="20"/>
      <c r="Z10762" s="20"/>
      <c r="AG10762" s="20"/>
      <c r="AQ10762" s="19"/>
      <c r="AR10762" s="19"/>
      <c r="AS10762" s="19"/>
      <c r="AT10762" s="19"/>
      <c r="AU10762" s="19"/>
    </row>
    <row r="10763" spans="3:47">
      <c r="C10763" s="20"/>
      <c r="Z10763" s="20"/>
      <c r="AG10763" s="20"/>
      <c r="AQ10763" s="19"/>
      <c r="AR10763" s="19"/>
      <c r="AS10763" s="19"/>
      <c r="AT10763" s="19"/>
      <c r="AU10763" s="19"/>
    </row>
    <row r="10764" spans="3:47">
      <c r="C10764" s="20"/>
      <c r="Z10764" s="20"/>
      <c r="AG10764" s="20"/>
      <c r="AQ10764" s="19"/>
      <c r="AR10764" s="19"/>
      <c r="AS10764" s="19"/>
      <c r="AT10764" s="19"/>
      <c r="AU10764" s="19"/>
    </row>
    <row r="10765" spans="3:47">
      <c r="C10765" s="20"/>
      <c r="Z10765" s="20"/>
      <c r="AG10765" s="20"/>
      <c r="AQ10765" s="19"/>
      <c r="AR10765" s="19"/>
      <c r="AS10765" s="19"/>
      <c r="AT10765" s="19"/>
      <c r="AU10765" s="19"/>
    </row>
    <row r="10766" spans="3:47">
      <c r="C10766" s="20"/>
      <c r="Z10766" s="20"/>
      <c r="AG10766" s="20"/>
      <c r="AQ10766" s="19"/>
      <c r="AR10766" s="19"/>
      <c r="AS10766" s="19"/>
      <c r="AT10766" s="19"/>
      <c r="AU10766" s="19"/>
    </row>
    <row r="10767" spans="3:47">
      <c r="C10767" s="20"/>
      <c r="Z10767" s="20"/>
      <c r="AG10767" s="20"/>
      <c r="AQ10767" s="19"/>
      <c r="AR10767" s="19"/>
      <c r="AS10767" s="19"/>
      <c r="AT10767" s="19"/>
      <c r="AU10767" s="19"/>
    </row>
    <row r="10768" spans="3:47">
      <c r="C10768" s="20"/>
      <c r="Z10768" s="20"/>
      <c r="AG10768" s="20"/>
      <c r="AQ10768" s="19"/>
      <c r="AR10768" s="19"/>
      <c r="AS10768" s="19"/>
      <c r="AT10768" s="19"/>
      <c r="AU10768" s="19"/>
    </row>
    <row r="10769" spans="3:47">
      <c r="C10769" s="20"/>
      <c r="Z10769" s="20"/>
      <c r="AG10769" s="20"/>
      <c r="AQ10769" s="19"/>
      <c r="AR10769" s="19"/>
      <c r="AS10769" s="19"/>
      <c r="AT10769" s="19"/>
      <c r="AU10769" s="19"/>
    </row>
    <row r="10770" spans="3:47">
      <c r="C10770" s="20"/>
      <c r="Z10770" s="20"/>
      <c r="AG10770" s="20"/>
      <c r="AQ10770" s="19"/>
      <c r="AR10770" s="19"/>
      <c r="AS10770" s="19"/>
      <c r="AT10770" s="19"/>
      <c r="AU10770" s="19"/>
    </row>
    <row r="10771" spans="3:47">
      <c r="C10771" s="20"/>
      <c r="Z10771" s="20"/>
      <c r="AG10771" s="20"/>
      <c r="AQ10771" s="19"/>
      <c r="AR10771" s="19"/>
      <c r="AS10771" s="19"/>
      <c r="AT10771" s="19"/>
      <c r="AU10771" s="19"/>
    </row>
    <row r="10772" spans="3:47">
      <c r="C10772" s="20"/>
      <c r="Z10772" s="20"/>
      <c r="AG10772" s="20"/>
      <c r="AQ10772" s="19"/>
      <c r="AR10772" s="19"/>
      <c r="AS10772" s="19"/>
      <c r="AT10772" s="19"/>
      <c r="AU10772" s="19"/>
    </row>
    <row r="10773" spans="3:47">
      <c r="C10773" s="20"/>
      <c r="Z10773" s="20"/>
      <c r="AG10773" s="20"/>
      <c r="AQ10773" s="19"/>
      <c r="AR10773" s="19"/>
      <c r="AS10773" s="19"/>
      <c r="AT10773" s="19"/>
      <c r="AU10773" s="19"/>
    </row>
    <row r="10774" spans="3:47">
      <c r="C10774" s="20"/>
      <c r="Z10774" s="20"/>
      <c r="AG10774" s="20"/>
      <c r="AQ10774" s="19"/>
      <c r="AR10774" s="19"/>
      <c r="AS10774" s="19"/>
      <c r="AT10774" s="19"/>
      <c r="AU10774" s="19"/>
    </row>
    <row r="10775" spans="3:47">
      <c r="C10775" s="20"/>
      <c r="Z10775" s="20"/>
      <c r="AG10775" s="20"/>
      <c r="AQ10775" s="19"/>
      <c r="AR10775" s="19"/>
      <c r="AS10775" s="19"/>
      <c r="AT10775" s="19"/>
      <c r="AU10775" s="19"/>
    </row>
    <row r="10776" spans="3:47">
      <c r="C10776" s="20"/>
      <c r="Z10776" s="20"/>
      <c r="AG10776" s="20"/>
      <c r="AQ10776" s="19"/>
      <c r="AR10776" s="19"/>
      <c r="AS10776" s="19"/>
      <c r="AT10776" s="19"/>
      <c r="AU10776" s="19"/>
    </row>
    <row r="10777" spans="3:47">
      <c r="C10777" s="20"/>
      <c r="Z10777" s="20"/>
      <c r="AG10777" s="20"/>
      <c r="AQ10777" s="19"/>
      <c r="AR10777" s="19"/>
      <c r="AS10777" s="19"/>
      <c r="AT10777" s="19"/>
      <c r="AU10777" s="19"/>
    </row>
    <row r="10778" spans="3:47">
      <c r="C10778" s="20"/>
      <c r="Z10778" s="20"/>
      <c r="AG10778" s="20"/>
      <c r="AQ10778" s="19"/>
      <c r="AR10778" s="19"/>
      <c r="AS10778" s="19"/>
      <c r="AT10778" s="19"/>
      <c r="AU10778" s="19"/>
    </row>
    <row r="10779" spans="3:47">
      <c r="C10779" s="20"/>
      <c r="Z10779" s="20"/>
      <c r="AG10779" s="20"/>
      <c r="AQ10779" s="19"/>
      <c r="AR10779" s="19"/>
      <c r="AS10779" s="19"/>
      <c r="AT10779" s="19"/>
      <c r="AU10779" s="19"/>
    </row>
    <row r="10780" spans="3:47">
      <c r="C10780" s="20"/>
      <c r="Z10780" s="20"/>
      <c r="AG10780" s="20"/>
      <c r="AQ10780" s="19"/>
      <c r="AR10780" s="19"/>
      <c r="AS10780" s="19"/>
      <c r="AT10780" s="19"/>
      <c r="AU10780" s="19"/>
    </row>
    <row r="10781" spans="3:47">
      <c r="C10781" s="20"/>
      <c r="Z10781" s="20"/>
      <c r="AG10781" s="20"/>
      <c r="AQ10781" s="19"/>
      <c r="AR10781" s="19"/>
      <c r="AS10781" s="19"/>
      <c r="AT10781" s="19"/>
      <c r="AU10781" s="19"/>
    </row>
    <row r="10782" spans="3:47">
      <c r="C10782" s="20"/>
      <c r="Z10782" s="20"/>
      <c r="AG10782" s="20"/>
      <c r="AQ10782" s="19"/>
      <c r="AR10782" s="19"/>
      <c r="AS10782" s="19"/>
      <c r="AT10782" s="19"/>
      <c r="AU10782" s="19"/>
    </row>
    <row r="10783" spans="3:47">
      <c r="C10783" s="20"/>
      <c r="Z10783" s="20"/>
      <c r="AG10783" s="20"/>
      <c r="AQ10783" s="19"/>
      <c r="AR10783" s="19"/>
      <c r="AS10783" s="19"/>
      <c r="AT10783" s="19"/>
      <c r="AU10783" s="19"/>
    </row>
    <row r="10784" spans="3:47">
      <c r="C10784" s="20"/>
      <c r="Z10784" s="20"/>
      <c r="AG10784" s="20"/>
      <c r="AQ10784" s="19"/>
      <c r="AR10784" s="19"/>
      <c r="AS10784" s="19"/>
      <c r="AT10784" s="19"/>
      <c r="AU10784" s="19"/>
    </row>
    <row r="10785" spans="3:47">
      <c r="C10785" s="20"/>
      <c r="Z10785" s="20"/>
      <c r="AG10785" s="20"/>
      <c r="AQ10785" s="19"/>
      <c r="AR10785" s="19"/>
      <c r="AS10785" s="19"/>
      <c r="AT10785" s="19"/>
      <c r="AU10785" s="19"/>
    </row>
    <row r="10786" spans="3:47">
      <c r="C10786" s="20"/>
      <c r="Z10786" s="20"/>
      <c r="AG10786" s="20"/>
      <c r="AQ10786" s="19"/>
      <c r="AR10786" s="19"/>
      <c r="AS10786" s="19"/>
      <c r="AT10786" s="19"/>
      <c r="AU10786" s="19"/>
    </row>
    <row r="10787" spans="3:47">
      <c r="C10787" s="20"/>
      <c r="Z10787" s="20"/>
      <c r="AG10787" s="20"/>
      <c r="AQ10787" s="19"/>
      <c r="AR10787" s="19"/>
      <c r="AS10787" s="19"/>
      <c r="AT10787" s="19"/>
      <c r="AU10787" s="19"/>
    </row>
    <row r="10788" spans="3:47">
      <c r="C10788" s="20"/>
      <c r="Z10788" s="20"/>
      <c r="AG10788" s="20"/>
      <c r="AQ10788" s="19"/>
      <c r="AR10788" s="19"/>
      <c r="AS10788" s="19"/>
      <c r="AT10788" s="19"/>
      <c r="AU10788" s="19"/>
    </row>
    <row r="10789" spans="3:47">
      <c r="C10789" s="20"/>
      <c r="Z10789" s="20"/>
      <c r="AG10789" s="20"/>
      <c r="AQ10789" s="19"/>
      <c r="AR10789" s="19"/>
      <c r="AS10789" s="19"/>
      <c r="AT10789" s="19"/>
      <c r="AU10789" s="19"/>
    </row>
    <row r="10790" spans="3:47">
      <c r="C10790" s="20"/>
      <c r="Z10790" s="20"/>
      <c r="AG10790" s="20"/>
      <c r="AQ10790" s="19"/>
      <c r="AR10790" s="19"/>
      <c r="AS10790" s="19"/>
      <c r="AT10790" s="19"/>
      <c r="AU10790" s="19"/>
    </row>
    <row r="10791" spans="3:47">
      <c r="C10791" s="20"/>
      <c r="Z10791" s="20"/>
      <c r="AG10791" s="20"/>
      <c r="AQ10791" s="19"/>
      <c r="AR10791" s="19"/>
      <c r="AS10791" s="19"/>
      <c r="AT10791" s="19"/>
      <c r="AU10791" s="19"/>
    </row>
    <row r="10792" spans="3:47">
      <c r="C10792" s="20"/>
      <c r="Z10792" s="20"/>
      <c r="AG10792" s="20"/>
      <c r="AQ10792" s="19"/>
      <c r="AR10792" s="19"/>
      <c r="AS10792" s="19"/>
      <c r="AT10792" s="19"/>
      <c r="AU10792" s="19"/>
    </row>
    <row r="10793" spans="3:47">
      <c r="C10793" s="20"/>
      <c r="Z10793" s="20"/>
      <c r="AG10793" s="20"/>
      <c r="AQ10793" s="19"/>
      <c r="AR10793" s="19"/>
      <c r="AS10793" s="19"/>
      <c r="AT10793" s="19"/>
      <c r="AU10793" s="19"/>
    </row>
    <row r="10794" spans="3:47">
      <c r="C10794" s="20"/>
      <c r="Z10794" s="20"/>
      <c r="AG10794" s="20"/>
      <c r="AQ10794" s="19"/>
      <c r="AR10794" s="19"/>
      <c r="AS10794" s="19"/>
      <c r="AT10794" s="19"/>
      <c r="AU10794" s="19"/>
    </row>
    <row r="10795" spans="3:47">
      <c r="C10795" s="20"/>
      <c r="Z10795" s="20"/>
      <c r="AG10795" s="20"/>
      <c r="AQ10795" s="19"/>
      <c r="AR10795" s="19"/>
      <c r="AS10795" s="19"/>
      <c r="AT10795" s="19"/>
      <c r="AU10795" s="19"/>
    </row>
    <row r="10796" spans="3:47">
      <c r="C10796" s="20"/>
      <c r="Z10796" s="20"/>
      <c r="AG10796" s="20"/>
      <c r="AQ10796" s="19"/>
      <c r="AR10796" s="19"/>
      <c r="AS10796" s="19"/>
      <c r="AT10796" s="19"/>
      <c r="AU10796" s="19"/>
    </row>
    <row r="10797" spans="3:47">
      <c r="C10797" s="20"/>
      <c r="Z10797" s="20"/>
      <c r="AG10797" s="20"/>
      <c r="AQ10797" s="19"/>
      <c r="AR10797" s="19"/>
      <c r="AS10797" s="19"/>
      <c r="AT10797" s="19"/>
      <c r="AU10797" s="19"/>
    </row>
    <row r="10798" spans="3:47">
      <c r="C10798" s="20"/>
      <c r="Z10798" s="20"/>
      <c r="AG10798" s="20"/>
      <c r="AQ10798" s="19"/>
      <c r="AR10798" s="19"/>
      <c r="AS10798" s="19"/>
      <c r="AT10798" s="19"/>
      <c r="AU10798" s="19"/>
    </row>
    <row r="10799" spans="3:47">
      <c r="C10799" s="20"/>
      <c r="Z10799" s="20"/>
      <c r="AG10799" s="20"/>
      <c r="AQ10799" s="19"/>
      <c r="AR10799" s="19"/>
      <c r="AS10799" s="19"/>
      <c r="AT10799" s="19"/>
      <c r="AU10799" s="19"/>
    </row>
    <row r="10800" spans="3:47">
      <c r="C10800" s="20"/>
      <c r="Z10800" s="20"/>
      <c r="AG10800" s="20"/>
      <c r="AQ10800" s="19"/>
      <c r="AR10800" s="19"/>
      <c r="AS10800" s="19"/>
      <c r="AT10800" s="19"/>
      <c r="AU10800" s="19"/>
    </row>
    <row r="10801" spans="3:47">
      <c r="C10801" s="20"/>
      <c r="Z10801" s="20"/>
      <c r="AG10801" s="20"/>
      <c r="AQ10801" s="19"/>
      <c r="AR10801" s="19"/>
      <c r="AS10801" s="19"/>
      <c r="AT10801" s="19"/>
      <c r="AU10801" s="19"/>
    </row>
    <row r="10802" spans="3:47">
      <c r="C10802" s="20"/>
      <c r="Z10802" s="20"/>
      <c r="AG10802" s="20"/>
      <c r="AQ10802" s="19"/>
      <c r="AR10802" s="19"/>
      <c r="AS10802" s="19"/>
      <c r="AT10802" s="19"/>
      <c r="AU10802" s="19"/>
    </row>
    <row r="10803" spans="3:47">
      <c r="C10803" s="20"/>
      <c r="Z10803" s="20"/>
      <c r="AG10803" s="20"/>
      <c r="AQ10803" s="19"/>
      <c r="AR10803" s="19"/>
      <c r="AS10803" s="19"/>
      <c r="AT10803" s="19"/>
      <c r="AU10803" s="19"/>
    </row>
    <row r="10804" spans="3:47">
      <c r="C10804" s="20"/>
      <c r="Z10804" s="20"/>
      <c r="AG10804" s="20"/>
      <c r="AQ10804" s="19"/>
      <c r="AR10804" s="19"/>
      <c r="AS10804" s="19"/>
      <c r="AT10804" s="19"/>
      <c r="AU10804" s="19"/>
    </row>
    <row r="10805" spans="3:47">
      <c r="C10805" s="20"/>
      <c r="Z10805" s="20"/>
      <c r="AG10805" s="20"/>
      <c r="AQ10805" s="19"/>
      <c r="AR10805" s="19"/>
      <c r="AS10805" s="19"/>
      <c r="AT10805" s="19"/>
      <c r="AU10805" s="19"/>
    </row>
    <row r="10806" spans="3:47">
      <c r="C10806" s="20"/>
      <c r="Z10806" s="20"/>
      <c r="AG10806" s="20"/>
      <c r="AQ10806" s="19"/>
      <c r="AR10806" s="19"/>
      <c r="AS10806" s="19"/>
      <c r="AT10806" s="19"/>
      <c r="AU10806" s="19"/>
    </row>
    <row r="10807" spans="3:47">
      <c r="C10807" s="20"/>
      <c r="Z10807" s="20"/>
      <c r="AG10807" s="20"/>
      <c r="AQ10807" s="19"/>
      <c r="AR10807" s="19"/>
      <c r="AS10807" s="19"/>
      <c r="AT10807" s="19"/>
      <c r="AU10807" s="19"/>
    </row>
    <row r="10808" spans="3:47">
      <c r="C10808" s="20"/>
      <c r="Z10808" s="20"/>
      <c r="AG10808" s="20"/>
      <c r="AQ10808" s="19"/>
      <c r="AR10808" s="19"/>
      <c r="AS10808" s="19"/>
      <c r="AT10808" s="19"/>
      <c r="AU10808" s="19"/>
    </row>
    <row r="10809" spans="3:47">
      <c r="C10809" s="20"/>
      <c r="Z10809" s="20"/>
      <c r="AG10809" s="20"/>
      <c r="AQ10809" s="19"/>
      <c r="AR10809" s="19"/>
      <c r="AS10809" s="19"/>
      <c r="AT10809" s="19"/>
      <c r="AU10809" s="19"/>
    </row>
    <row r="10810" spans="3:47">
      <c r="C10810" s="20"/>
      <c r="Z10810" s="20"/>
      <c r="AG10810" s="20"/>
      <c r="AQ10810" s="19"/>
      <c r="AR10810" s="19"/>
      <c r="AS10810" s="19"/>
      <c r="AT10810" s="19"/>
      <c r="AU10810" s="19"/>
    </row>
    <row r="10811" spans="3:47">
      <c r="C10811" s="20"/>
      <c r="Z10811" s="20"/>
      <c r="AG10811" s="20"/>
      <c r="AQ10811" s="19"/>
      <c r="AR10811" s="19"/>
      <c r="AS10811" s="19"/>
      <c r="AT10811" s="19"/>
      <c r="AU10811" s="19"/>
    </row>
    <row r="10812" spans="3:47">
      <c r="C10812" s="20"/>
      <c r="Z10812" s="20"/>
      <c r="AG10812" s="20"/>
      <c r="AQ10812" s="19"/>
      <c r="AR10812" s="19"/>
      <c r="AS10812" s="19"/>
      <c r="AT10812" s="19"/>
      <c r="AU10812" s="19"/>
    </row>
    <row r="10813" spans="3:47">
      <c r="C10813" s="20"/>
      <c r="Z10813" s="20"/>
      <c r="AG10813" s="20"/>
      <c r="AQ10813" s="19"/>
      <c r="AR10813" s="19"/>
      <c r="AS10813" s="19"/>
      <c r="AT10813" s="19"/>
      <c r="AU10813" s="19"/>
    </row>
    <row r="10814" spans="3:47">
      <c r="C10814" s="20"/>
      <c r="Z10814" s="20"/>
      <c r="AG10814" s="20"/>
      <c r="AQ10814" s="19"/>
      <c r="AR10814" s="19"/>
      <c r="AS10814" s="19"/>
      <c r="AT10814" s="19"/>
      <c r="AU10814" s="19"/>
    </row>
    <row r="10815" spans="3:47">
      <c r="C10815" s="20"/>
      <c r="Z10815" s="20"/>
      <c r="AG10815" s="20"/>
      <c r="AQ10815" s="19"/>
      <c r="AR10815" s="19"/>
      <c r="AS10815" s="19"/>
      <c r="AT10815" s="19"/>
      <c r="AU10815" s="19"/>
    </row>
    <row r="10816" spans="3:47">
      <c r="C10816" s="20"/>
      <c r="Z10816" s="20"/>
      <c r="AG10816" s="20"/>
      <c r="AQ10816" s="19"/>
      <c r="AR10816" s="19"/>
      <c r="AS10816" s="19"/>
      <c r="AT10816" s="19"/>
      <c r="AU10816" s="19"/>
    </row>
    <row r="10817" spans="3:47">
      <c r="C10817" s="20"/>
      <c r="Z10817" s="20"/>
      <c r="AG10817" s="20"/>
      <c r="AQ10817" s="19"/>
      <c r="AR10817" s="19"/>
      <c r="AS10817" s="19"/>
      <c r="AT10817" s="19"/>
      <c r="AU10817" s="19"/>
    </row>
    <row r="10818" spans="3:47">
      <c r="C10818" s="20"/>
      <c r="Z10818" s="20"/>
      <c r="AG10818" s="20"/>
      <c r="AQ10818" s="19"/>
      <c r="AR10818" s="19"/>
      <c r="AS10818" s="19"/>
      <c r="AT10818" s="19"/>
      <c r="AU10818" s="19"/>
    </row>
    <row r="10819" spans="3:47">
      <c r="C10819" s="20"/>
      <c r="Z10819" s="20"/>
      <c r="AG10819" s="20"/>
      <c r="AQ10819" s="19"/>
      <c r="AR10819" s="19"/>
      <c r="AS10819" s="19"/>
      <c r="AT10819" s="19"/>
      <c r="AU10819" s="19"/>
    </row>
    <row r="10820" spans="3:47">
      <c r="C10820" s="20"/>
      <c r="Z10820" s="20"/>
      <c r="AG10820" s="20"/>
      <c r="AQ10820" s="19"/>
      <c r="AR10820" s="19"/>
      <c r="AS10820" s="19"/>
      <c r="AT10820" s="19"/>
      <c r="AU10820" s="19"/>
    </row>
    <row r="10821" spans="3:47">
      <c r="C10821" s="20"/>
      <c r="Z10821" s="20"/>
      <c r="AG10821" s="20"/>
      <c r="AQ10821" s="19"/>
      <c r="AR10821" s="19"/>
      <c r="AS10821" s="19"/>
      <c r="AT10821" s="19"/>
      <c r="AU10821" s="19"/>
    </row>
    <row r="10822" spans="3:47">
      <c r="C10822" s="20"/>
      <c r="Z10822" s="20"/>
      <c r="AG10822" s="20"/>
      <c r="AQ10822" s="19"/>
      <c r="AR10822" s="19"/>
      <c r="AS10822" s="19"/>
      <c r="AT10822" s="19"/>
      <c r="AU10822" s="19"/>
    </row>
    <row r="10823" spans="3:47">
      <c r="C10823" s="20"/>
      <c r="Z10823" s="20"/>
      <c r="AG10823" s="20"/>
      <c r="AQ10823" s="19"/>
      <c r="AR10823" s="19"/>
      <c r="AS10823" s="19"/>
      <c r="AT10823" s="19"/>
      <c r="AU10823" s="19"/>
    </row>
    <row r="10824" spans="3:47">
      <c r="C10824" s="20"/>
      <c r="Z10824" s="20"/>
      <c r="AG10824" s="20"/>
      <c r="AQ10824" s="19"/>
      <c r="AR10824" s="19"/>
      <c r="AS10824" s="19"/>
      <c r="AT10824" s="19"/>
      <c r="AU10824" s="19"/>
    </row>
    <row r="10825" spans="3:47">
      <c r="C10825" s="20"/>
      <c r="Z10825" s="20"/>
      <c r="AG10825" s="20"/>
      <c r="AQ10825" s="19"/>
      <c r="AR10825" s="19"/>
      <c r="AS10825" s="19"/>
      <c r="AT10825" s="19"/>
      <c r="AU10825" s="19"/>
    </row>
    <row r="10826" spans="3:47">
      <c r="C10826" s="20"/>
      <c r="Z10826" s="20"/>
      <c r="AG10826" s="20"/>
      <c r="AQ10826" s="19"/>
      <c r="AR10826" s="19"/>
      <c r="AS10826" s="19"/>
      <c r="AT10826" s="19"/>
      <c r="AU10826" s="19"/>
    </row>
    <row r="10827" spans="3:47">
      <c r="C10827" s="20"/>
      <c r="Z10827" s="20"/>
      <c r="AG10827" s="20"/>
      <c r="AQ10827" s="19"/>
      <c r="AR10827" s="19"/>
      <c r="AS10827" s="19"/>
      <c r="AT10827" s="19"/>
      <c r="AU10827" s="19"/>
    </row>
    <row r="10828" spans="3:47">
      <c r="C10828" s="20"/>
      <c r="Z10828" s="20"/>
      <c r="AG10828" s="20"/>
      <c r="AQ10828" s="19"/>
      <c r="AR10828" s="19"/>
      <c r="AS10828" s="19"/>
      <c r="AT10828" s="19"/>
      <c r="AU10828" s="19"/>
    </row>
    <row r="10829" spans="3:47">
      <c r="C10829" s="20"/>
      <c r="Z10829" s="20"/>
      <c r="AG10829" s="20"/>
      <c r="AQ10829" s="19"/>
      <c r="AR10829" s="19"/>
      <c r="AS10829" s="19"/>
      <c r="AT10829" s="19"/>
      <c r="AU10829" s="19"/>
    </row>
    <row r="10830" spans="3:47">
      <c r="C10830" s="20"/>
      <c r="Z10830" s="20"/>
      <c r="AG10830" s="20"/>
      <c r="AQ10830" s="19"/>
      <c r="AR10830" s="19"/>
      <c r="AS10830" s="19"/>
      <c r="AT10830" s="19"/>
      <c r="AU10830" s="19"/>
    </row>
    <row r="10831" spans="3:47">
      <c r="C10831" s="20"/>
      <c r="Z10831" s="20"/>
      <c r="AG10831" s="20"/>
      <c r="AQ10831" s="19"/>
      <c r="AR10831" s="19"/>
      <c r="AS10831" s="19"/>
      <c r="AT10831" s="19"/>
      <c r="AU10831" s="19"/>
    </row>
    <row r="10832" spans="3:47">
      <c r="C10832" s="20"/>
      <c r="Z10832" s="20"/>
      <c r="AG10832" s="20"/>
      <c r="AQ10832" s="19"/>
      <c r="AR10832" s="19"/>
      <c r="AS10832" s="19"/>
      <c r="AT10832" s="19"/>
      <c r="AU10832" s="19"/>
    </row>
    <row r="10833" spans="3:47">
      <c r="C10833" s="20"/>
      <c r="Z10833" s="20"/>
      <c r="AG10833" s="20"/>
      <c r="AQ10833" s="19"/>
      <c r="AR10833" s="19"/>
      <c r="AS10833" s="19"/>
      <c r="AT10833" s="19"/>
      <c r="AU10833" s="19"/>
    </row>
    <row r="10834" spans="3:47">
      <c r="C10834" s="20"/>
      <c r="Z10834" s="20"/>
      <c r="AG10834" s="20"/>
      <c r="AQ10834" s="19"/>
      <c r="AR10834" s="19"/>
      <c r="AS10834" s="19"/>
      <c r="AT10834" s="19"/>
      <c r="AU10834" s="19"/>
    </row>
    <row r="10835" spans="3:47">
      <c r="C10835" s="20"/>
      <c r="Z10835" s="20"/>
      <c r="AG10835" s="20"/>
      <c r="AQ10835" s="19"/>
      <c r="AR10835" s="19"/>
      <c r="AS10835" s="19"/>
      <c r="AT10835" s="19"/>
      <c r="AU10835" s="19"/>
    </row>
    <row r="10836" spans="3:47">
      <c r="C10836" s="20"/>
      <c r="Z10836" s="20"/>
      <c r="AG10836" s="20"/>
      <c r="AQ10836" s="19"/>
      <c r="AR10836" s="19"/>
      <c r="AS10836" s="19"/>
      <c r="AT10836" s="19"/>
      <c r="AU10836" s="19"/>
    </row>
    <row r="10837" spans="3:47">
      <c r="C10837" s="20"/>
      <c r="Z10837" s="20"/>
      <c r="AG10837" s="20"/>
      <c r="AQ10837" s="19"/>
      <c r="AR10837" s="19"/>
      <c r="AS10837" s="19"/>
      <c r="AT10837" s="19"/>
      <c r="AU10837" s="19"/>
    </row>
    <row r="10838" spans="3:47">
      <c r="C10838" s="20"/>
      <c r="Z10838" s="20"/>
      <c r="AG10838" s="20"/>
      <c r="AQ10838" s="19"/>
      <c r="AR10838" s="19"/>
      <c r="AS10838" s="19"/>
      <c r="AT10838" s="19"/>
      <c r="AU10838" s="19"/>
    </row>
    <row r="10839" spans="3:47">
      <c r="C10839" s="20"/>
      <c r="Z10839" s="20"/>
      <c r="AG10839" s="20"/>
      <c r="AQ10839" s="19"/>
      <c r="AR10839" s="19"/>
      <c r="AS10839" s="19"/>
      <c r="AT10839" s="19"/>
      <c r="AU10839" s="19"/>
    </row>
    <row r="10840" spans="3:47">
      <c r="C10840" s="20"/>
      <c r="Z10840" s="20"/>
      <c r="AG10840" s="20"/>
      <c r="AQ10840" s="19"/>
      <c r="AR10840" s="19"/>
      <c r="AS10840" s="19"/>
      <c r="AT10840" s="19"/>
      <c r="AU10840" s="19"/>
    </row>
    <row r="10841" spans="3:47">
      <c r="C10841" s="20"/>
      <c r="Z10841" s="20"/>
      <c r="AG10841" s="20"/>
      <c r="AQ10841" s="19"/>
      <c r="AR10841" s="19"/>
      <c r="AS10841" s="19"/>
      <c r="AT10841" s="19"/>
      <c r="AU10841" s="19"/>
    </row>
    <row r="10842" spans="3:47">
      <c r="C10842" s="20"/>
      <c r="Z10842" s="20"/>
      <c r="AG10842" s="20"/>
      <c r="AQ10842" s="19"/>
      <c r="AR10842" s="19"/>
      <c r="AS10842" s="19"/>
      <c r="AT10842" s="19"/>
      <c r="AU10842" s="19"/>
    </row>
    <row r="10843" spans="3:47">
      <c r="C10843" s="20"/>
      <c r="Z10843" s="20"/>
      <c r="AG10843" s="20"/>
      <c r="AQ10843" s="19"/>
      <c r="AR10843" s="19"/>
      <c r="AS10843" s="19"/>
      <c r="AT10843" s="19"/>
      <c r="AU10843" s="19"/>
    </row>
    <row r="10844" spans="3:47">
      <c r="C10844" s="20"/>
      <c r="Z10844" s="20"/>
      <c r="AG10844" s="20"/>
      <c r="AQ10844" s="19"/>
      <c r="AR10844" s="19"/>
      <c r="AS10844" s="19"/>
      <c r="AT10844" s="19"/>
      <c r="AU10844" s="19"/>
    </row>
    <row r="10845" spans="3:47">
      <c r="C10845" s="20"/>
      <c r="Z10845" s="20"/>
      <c r="AG10845" s="20"/>
      <c r="AQ10845" s="19"/>
      <c r="AR10845" s="19"/>
      <c r="AS10845" s="19"/>
      <c r="AT10845" s="19"/>
      <c r="AU10845" s="19"/>
    </row>
    <row r="10846" spans="3:47">
      <c r="C10846" s="20"/>
      <c r="Z10846" s="20"/>
      <c r="AG10846" s="20"/>
      <c r="AQ10846" s="19"/>
      <c r="AR10846" s="19"/>
      <c r="AS10846" s="19"/>
      <c r="AT10846" s="19"/>
      <c r="AU10846" s="19"/>
    </row>
    <row r="10847" spans="3:47">
      <c r="C10847" s="20"/>
      <c r="Z10847" s="20"/>
      <c r="AG10847" s="20"/>
      <c r="AQ10847" s="19"/>
      <c r="AR10847" s="19"/>
      <c r="AS10847" s="19"/>
      <c r="AT10847" s="19"/>
      <c r="AU10847" s="19"/>
    </row>
    <row r="10848" spans="3:47">
      <c r="C10848" s="20"/>
      <c r="Z10848" s="20"/>
      <c r="AG10848" s="20"/>
      <c r="AQ10848" s="19"/>
      <c r="AR10848" s="19"/>
      <c r="AS10848" s="19"/>
      <c r="AT10848" s="19"/>
      <c r="AU10848" s="19"/>
    </row>
    <row r="10849" spans="3:47">
      <c r="C10849" s="20"/>
      <c r="Z10849" s="20"/>
      <c r="AG10849" s="20"/>
      <c r="AQ10849" s="19"/>
      <c r="AR10849" s="19"/>
      <c r="AS10849" s="19"/>
      <c r="AT10849" s="19"/>
      <c r="AU10849" s="19"/>
    </row>
    <row r="10850" spans="3:47">
      <c r="C10850" s="20"/>
      <c r="Z10850" s="20"/>
      <c r="AG10850" s="20"/>
      <c r="AQ10850" s="19"/>
      <c r="AR10850" s="19"/>
      <c r="AS10850" s="19"/>
      <c r="AT10850" s="19"/>
      <c r="AU10850" s="19"/>
    </row>
    <row r="10851" spans="3:47">
      <c r="C10851" s="20"/>
      <c r="Z10851" s="20"/>
      <c r="AG10851" s="20"/>
      <c r="AQ10851" s="19"/>
      <c r="AR10851" s="19"/>
      <c r="AS10851" s="19"/>
      <c r="AT10851" s="19"/>
      <c r="AU10851" s="19"/>
    </row>
    <row r="10852" spans="3:47">
      <c r="C10852" s="20"/>
      <c r="Z10852" s="20"/>
      <c r="AG10852" s="20"/>
      <c r="AQ10852" s="19"/>
      <c r="AR10852" s="19"/>
      <c r="AS10852" s="19"/>
      <c r="AT10852" s="19"/>
      <c r="AU10852" s="19"/>
    </row>
    <row r="10853" spans="3:47">
      <c r="C10853" s="20"/>
      <c r="Z10853" s="20"/>
      <c r="AG10853" s="20"/>
      <c r="AQ10853" s="19"/>
      <c r="AR10853" s="19"/>
      <c r="AS10853" s="19"/>
      <c r="AT10853" s="19"/>
      <c r="AU10853" s="19"/>
    </row>
    <row r="10854" spans="3:47">
      <c r="C10854" s="20"/>
      <c r="Z10854" s="20"/>
      <c r="AG10854" s="20"/>
      <c r="AQ10854" s="19"/>
      <c r="AR10854" s="19"/>
      <c r="AS10854" s="19"/>
      <c r="AT10854" s="19"/>
      <c r="AU10854" s="19"/>
    </row>
    <row r="10855" spans="3:47">
      <c r="C10855" s="20"/>
      <c r="Z10855" s="20"/>
      <c r="AG10855" s="20"/>
      <c r="AQ10855" s="19"/>
      <c r="AR10855" s="19"/>
      <c r="AS10855" s="19"/>
      <c r="AT10855" s="19"/>
      <c r="AU10855" s="19"/>
    </row>
    <row r="10856" spans="3:47">
      <c r="C10856" s="20"/>
      <c r="Z10856" s="20"/>
      <c r="AG10856" s="20"/>
      <c r="AQ10856" s="19"/>
      <c r="AR10856" s="19"/>
      <c r="AS10856" s="19"/>
      <c r="AT10856" s="19"/>
      <c r="AU10856" s="19"/>
    </row>
    <row r="10857" spans="3:47">
      <c r="C10857" s="20"/>
      <c r="Z10857" s="20"/>
      <c r="AG10857" s="20"/>
      <c r="AQ10857" s="19"/>
      <c r="AR10857" s="19"/>
      <c r="AS10857" s="19"/>
      <c r="AT10857" s="19"/>
      <c r="AU10857" s="19"/>
    </row>
    <row r="10858" spans="3:47">
      <c r="C10858" s="20"/>
      <c r="Z10858" s="20"/>
      <c r="AG10858" s="20"/>
      <c r="AQ10858" s="19"/>
      <c r="AR10858" s="19"/>
      <c r="AS10858" s="19"/>
      <c r="AT10858" s="19"/>
      <c r="AU10858" s="19"/>
    </row>
    <row r="10859" spans="3:47">
      <c r="C10859" s="20"/>
      <c r="Z10859" s="20"/>
      <c r="AG10859" s="20"/>
      <c r="AQ10859" s="19"/>
      <c r="AR10859" s="19"/>
      <c r="AS10859" s="19"/>
      <c r="AT10859" s="19"/>
      <c r="AU10859" s="19"/>
    </row>
    <row r="10860" spans="3:47">
      <c r="C10860" s="20"/>
      <c r="Z10860" s="20"/>
      <c r="AG10860" s="20"/>
      <c r="AQ10860" s="19"/>
      <c r="AR10860" s="19"/>
      <c r="AS10860" s="19"/>
      <c r="AT10860" s="19"/>
      <c r="AU10860" s="19"/>
    </row>
    <row r="10861" spans="3:47">
      <c r="C10861" s="20"/>
      <c r="Z10861" s="20"/>
      <c r="AG10861" s="20"/>
      <c r="AQ10861" s="19"/>
      <c r="AR10861" s="19"/>
      <c r="AS10861" s="19"/>
      <c r="AT10861" s="19"/>
      <c r="AU10861" s="19"/>
    </row>
    <row r="10862" spans="3:47">
      <c r="C10862" s="20"/>
      <c r="Z10862" s="20"/>
      <c r="AG10862" s="20"/>
      <c r="AQ10862" s="19"/>
      <c r="AR10862" s="19"/>
      <c r="AS10862" s="19"/>
      <c r="AT10862" s="19"/>
      <c r="AU10862" s="19"/>
    </row>
    <row r="10863" spans="3:47">
      <c r="C10863" s="20"/>
      <c r="Z10863" s="20"/>
      <c r="AG10863" s="20"/>
      <c r="AQ10863" s="19"/>
      <c r="AR10863" s="19"/>
      <c r="AS10863" s="19"/>
      <c r="AT10863" s="19"/>
      <c r="AU10863" s="19"/>
    </row>
    <row r="10864" spans="3:47">
      <c r="C10864" s="20"/>
      <c r="Z10864" s="20"/>
      <c r="AG10864" s="20"/>
      <c r="AQ10864" s="19"/>
      <c r="AR10864" s="19"/>
      <c r="AS10864" s="19"/>
      <c r="AT10864" s="19"/>
      <c r="AU10864" s="19"/>
    </row>
    <row r="10865" spans="3:47">
      <c r="C10865" s="20"/>
      <c r="Z10865" s="20"/>
      <c r="AG10865" s="20"/>
      <c r="AQ10865" s="19"/>
      <c r="AR10865" s="19"/>
      <c r="AS10865" s="19"/>
      <c r="AT10865" s="19"/>
      <c r="AU10865" s="19"/>
    </row>
    <row r="10866" spans="3:47">
      <c r="C10866" s="20"/>
      <c r="Z10866" s="20"/>
      <c r="AG10866" s="20"/>
      <c r="AQ10866" s="19"/>
      <c r="AR10866" s="19"/>
      <c r="AS10866" s="19"/>
      <c r="AT10866" s="19"/>
      <c r="AU10866" s="19"/>
    </row>
    <row r="10867" spans="3:47">
      <c r="C10867" s="20"/>
      <c r="Z10867" s="20"/>
      <c r="AG10867" s="20"/>
      <c r="AQ10867" s="19"/>
      <c r="AR10867" s="19"/>
      <c r="AS10867" s="19"/>
      <c r="AT10867" s="19"/>
      <c r="AU10867" s="19"/>
    </row>
    <row r="10868" spans="3:47">
      <c r="C10868" s="20"/>
      <c r="Z10868" s="20"/>
      <c r="AG10868" s="20"/>
      <c r="AQ10868" s="19"/>
      <c r="AR10868" s="19"/>
      <c r="AS10868" s="19"/>
      <c r="AT10868" s="19"/>
      <c r="AU10868" s="19"/>
    </row>
    <row r="10869" spans="3:47">
      <c r="C10869" s="20"/>
      <c r="Z10869" s="20"/>
      <c r="AG10869" s="20"/>
      <c r="AQ10869" s="19"/>
      <c r="AR10869" s="19"/>
      <c r="AS10869" s="19"/>
      <c r="AT10869" s="19"/>
      <c r="AU10869" s="19"/>
    </row>
    <row r="10870" spans="3:47">
      <c r="C10870" s="20"/>
      <c r="Z10870" s="20"/>
      <c r="AG10870" s="20"/>
      <c r="AQ10870" s="19"/>
      <c r="AR10870" s="19"/>
      <c r="AS10870" s="19"/>
      <c r="AT10870" s="19"/>
      <c r="AU10870" s="19"/>
    </row>
    <row r="10871" spans="3:47">
      <c r="C10871" s="20"/>
      <c r="Z10871" s="20"/>
      <c r="AG10871" s="20"/>
      <c r="AQ10871" s="19"/>
      <c r="AR10871" s="19"/>
      <c r="AS10871" s="19"/>
      <c r="AT10871" s="19"/>
      <c r="AU10871" s="19"/>
    </row>
    <row r="10872" spans="3:47">
      <c r="C10872" s="20"/>
      <c r="Z10872" s="20"/>
      <c r="AG10872" s="20"/>
      <c r="AQ10872" s="19"/>
      <c r="AR10872" s="19"/>
      <c r="AS10872" s="19"/>
      <c r="AT10872" s="19"/>
      <c r="AU10872" s="19"/>
    </row>
    <row r="10873" spans="3:47">
      <c r="C10873" s="20"/>
      <c r="Z10873" s="20"/>
      <c r="AG10873" s="20"/>
      <c r="AQ10873" s="19"/>
      <c r="AR10873" s="19"/>
      <c r="AS10873" s="19"/>
      <c r="AT10873" s="19"/>
      <c r="AU10873" s="19"/>
    </row>
    <row r="10874" spans="3:47">
      <c r="C10874" s="20"/>
      <c r="Z10874" s="20"/>
      <c r="AG10874" s="20"/>
      <c r="AQ10874" s="19"/>
      <c r="AR10874" s="19"/>
      <c r="AS10874" s="19"/>
      <c r="AT10874" s="19"/>
      <c r="AU10874" s="19"/>
    </row>
    <row r="10875" spans="3:47">
      <c r="C10875" s="20"/>
      <c r="Z10875" s="20"/>
      <c r="AG10875" s="20"/>
      <c r="AQ10875" s="19"/>
      <c r="AR10875" s="19"/>
      <c r="AS10875" s="19"/>
      <c r="AT10875" s="19"/>
      <c r="AU10875" s="19"/>
    </row>
    <row r="10876" spans="3:47">
      <c r="C10876" s="20"/>
      <c r="Z10876" s="20"/>
      <c r="AG10876" s="20"/>
      <c r="AQ10876" s="19"/>
      <c r="AR10876" s="19"/>
      <c r="AS10876" s="19"/>
      <c r="AT10876" s="19"/>
      <c r="AU10876" s="19"/>
    </row>
    <row r="10877" spans="3:47">
      <c r="C10877" s="20"/>
      <c r="Z10877" s="20"/>
      <c r="AG10877" s="20"/>
      <c r="AQ10877" s="19"/>
      <c r="AR10877" s="19"/>
      <c r="AS10877" s="19"/>
      <c r="AT10877" s="19"/>
      <c r="AU10877" s="19"/>
    </row>
    <row r="10878" spans="3:47">
      <c r="C10878" s="20"/>
      <c r="Z10878" s="20"/>
      <c r="AG10878" s="20"/>
      <c r="AQ10878" s="19"/>
      <c r="AR10878" s="19"/>
      <c r="AS10878" s="19"/>
      <c r="AT10878" s="19"/>
      <c r="AU10878" s="19"/>
    </row>
    <row r="10879" spans="3:47">
      <c r="C10879" s="20"/>
      <c r="Z10879" s="20"/>
      <c r="AG10879" s="20"/>
      <c r="AQ10879" s="19"/>
      <c r="AR10879" s="19"/>
      <c r="AS10879" s="19"/>
      <c r="AT10879" s="19"/>
      <c r="AU10879" s="19"/>
    </row>
    <row r="10880" spans="3:47">
      <c r="C10880" s="20"/>
      <c r="Z10880" s="20"/>
      <c r="AG10880" s="20"/>
      <c r="AQ10880" s="19"/>
      <c r="AR10880" s="19"/>
      <c r="AS10880" s="19"/>
      <c r="AT10880" s="19"/>
      <c r="AU10880" s="19"/>
    </row>
    <row r="10881" spans="3:47">
      <c r="C10881" s="20"/>
      <c r="Z10881" s="20"/>
      <c r="AG10881" s="20"/>
      <c r="AQ10881" s="19"/>
      <c r="AR10881" s="19"/>
      <c r="AS10881" s="19"/>
      <c r="AT10881" s="19"/>
      <c r="AU10881" s="19"/>
    </row>
    <row r="10882" spans="3:47">
      <c r="C10882" s="20"/>
      <c r="Z10882" s="20"/>
      <c r="AG10882" s="20"/>
      <c r="AQ10882" s="19"/>
      <c r="AR10882" s="19"/>
      <c r="AS10882" s="19"/>
      <c r="AT10882" s="19"/>
      <c r="AU10882" s="19"/>
    </row>
    <row r="10883" spans="3:47">
      <c r="C10883" s="20"/>
      <c r="Z10883" s="20"/>
      <c r="AG10883" s="20"/>
      <c r="AQ10883" s="19"/>
      <c r="AR10883" s="19"/>
      <c r="AS10883" s="19"/>
      <c r="AT10883" s="19"/>
      <c r="AU10883" s="19"/>
    </row>
    <row r="10884" spans="3:47">
      <c r="C10884" s="20"/>
      <c r="Z10884" s="20"/>
      <c r="AG10884" s="20"/>
      <c r="AQ10884" s="19"/>
      <c r="AR10884" s="19"/>
      <c r="AS10884" s="19"/>
      <c r="AT10884" s="19"/>
      <c r="AU10884" s="19"/>
    </row>
    <row r="10885" spans="3:47">
      <c r="C10885" s="20"/>
      <c r="Z10885" s="20"/>
      <c r="AG10885" s="20"/>
      <c r="AQ10885" s="19"/>
      <c r="AR10885" s="19"/>
      <c r="AS10885" s="19"/>
      <c r="AT10885" s="19"/>
      <c r="AU10885" s="19"/>
    </row>
    <row r="10886" spans="3:47">
      <c r="C10886" s="20"/>
      <c r="Z10886" s="20"/>
      <c r="AG10886" s="20"/>
      <c r="AQ10886" s="19"/>
      <c r="AR10886" s="19"/>
      <c r="AS10886" s="19"/>
      <c r="AT10886" s="19"/>
      <c r="AU10886" s="19"/>
    </row>
    <row r="10887" spans="3:47">
      <c r="C10887" s="20"/>
      <c r="Z10887" s="20"/>
      <c r="AG10887" s="20"/>
      <c r="AQ10887" s="19"/>
      <c r="AR10887" s="19"/>
      <c r="AS10887" s="19"/>
      <c r="AT10887" s="19"/>
      <c r="AU10887" s="19"/>
    </row>
    <row r="10888" spans="3:47">
      <c r="C10888" s="20"/>
      <c r="Z10888" s="20"/>
      <c r="AG10888" s="20"/>
      <c r="AQ10888" s="19"/>
      <c r="AR10888" s="19"/>
      <c r="AS10888" s="19"/>
      <c r="AT10888" s="19"/>
      <c r="AU10888" s="19"/>
    </row>
    <row r="10889" spans="3:47">
      <c r="C10889" s="20"/>
      <c r="Z10889" s="20"/>
      <c r="AG10889" s="20"/>
      <c r="AQ10889" s="19"/>
      <c r="AR10889" s="19"/>
      <c r="AS10889" s="19"/>
      <c r="AT10889" s="19"/>
      <c r="AU10889" s="19"/>
    </row>
    <row r="10890" spans="3:47">
      <c r="C10890" s="20"/>
      <c r="Z10890" s="20"/>
      <c r="AG10890" s="20"/>
      <c r="AQ10890" s="19"/>
      <c r="AR10890" s="19"/>
      <c r="AS10890" s="19"/>
      <c r="AT10890" s="19"/>
      <c r="AU10890" s="19"/>
    </row>
    <row r="10891" spans="3:47">
      <c r="C10891" s="20"/>
      <c r="Z10891" s="20"/>
      <c r="AG10891" s="20"/>
      <c r="AQ10891" s="19"/>
      <c r="AR10891" s="19"/>
      <c r="AS10891" s="19"/>
      <c r="AT10891" s="19"/>
      <c r="AU10891" s="19"/>
    </row>
    <row r="10892" spans="3:47">
      <c r="C10892" s="20"/>
      <c r="Z10892" s="20"/>
      <c r="AG10892" s="20"/>
      <c r="AQ10892" s="19"/>
      <c r="AR10892" s="19"/>
      <c r="AS10892" s="19"/>
      <c r="AT10892" s="19"/>
      <c r="AU10892" s="19"/>
    </row>
    <row r="10893" spans="3:47">
      <c r="C10893" s="20"/>
      <c r="Z10893" s="20"/>
      <c r="AG10893" s="20"/>
      <c r="AQ10893" s="19"/>
      <c r="AR10893" s="19"/>
      <c r="AS10893" s="19"/>
      <c r="AT10893" s="19"/>
      <c r="AU10893" s="19"/>
    </row>
    <row r="10894" spans="3:47">
      <c r="C10894" s="20"/>
      <c r="Z10894" s="20"/>
      <c r="AG10894" s="20"/>
      <c r="AQ10894" s="19"/>
      <c r="AR10894" s="19"/>
      <c r="AS10894" s="19"/>
      <c r="AT10894" s="19"/>
      <c r="AU10894" s="19"/>
    </row>
    <row r="10895" spans="3:47">
      <c r="C10895" s="20"/>
      <c r="Z10895" s="20"/>
      <c r="AG10895" s="20"/>
      <c r="AQ10895" s="19"/>
      <c r="AR10895" s="19"/>
      <c r="AS10895" s="19"/>
      <c r="AT10895" s="19"/>
      <c r="AU10895" s="19"/>
    </row>
    <row r="10896" spans="3:47">
      <c r="C10896" s="20"/>
      <c r="Z10896" s="20"/>
      <c r="AG10896" s="20"/>
      <c r="AQ10896" s="19"/>
      <c r="AR10896" s="19"/>
      <c r="AS10896" s="19"/>
      <c r="AT10896" s="19"/>
      <c r="AU10896" s="19"/>
    </row>
    <row r="10897" spans="3:47">
      <c r="C10897" s="20"/>
      <c r="Z10897" s="20"/>
      <c r="AG10897" s="20"/>
      <c r="AQ10897" s="19"/>
      <c r="AR10897" s="19"/>
      <c r="AS10897" s="19"/>
      <c r="AT10897" s="19"/>
      <c r="AU10897" s="19"/>
    </row>
    <row r="10898" spans="3:47">
      <c r="C10898" s="20"/>
      <c r="Z10898" s="20"/>
      <c r="AG10898" s="20"/>
      <c r="AQ10898" s="19"/>
      <c r="AR10898" s="19"/>
      <c r="AS10898" s="19"/>
      <c r="AT10898" s="19"/>
      <c r="AU10898" s="19"/>
    </row>
    <row r="10899" spans="3:47">
      <c r="C10899" s="20"/>
      <c r="Z10899" s="20"/>
      <c r="AG10899" s="20"/>
      <c r="AQ10899" s="19"/>
      <c r="AR10899" s="19"/>
      <c r="AS10899" s="19"/>
      <c r="AT10899" s="19"/>
      <c r="AU10899" s="19"/>
    </row>
    <row r="10900" spans="3:47">
      <c r="C10900" s="20"/>
      <c r="Z10900" s="20"/>
      <c r="AG10900" s="20"/>
      <c r="AQ10900" s="19"/>
      <c r="AR10900" s="19"/>
      <c r="AS10900" s="19"/>
      <c r="AT10900" s="19"/>
      <c r="AU10900" s="19"/>
    </row>
    <row r="10901" spans="3:47">
      <c r="C10901" s="20"/>
      <c r="Z10901" s="20"/>
      <c r="AG10901" s="20"/>
      <c r="AQ10901" s="19"/>
      <c r="AR10901" s="19"/>
      <c r="AS10901" s="19"/>
      <c r="AT10901" s="19"/>
      <c r="AU10901" s="19"/>
    </row>
    <row r="10902" spans="3:47">
      <c r="C10902" s="20"/>
      <c r="Z10902" s="20"/>
      <c r="AG10902" s="20"/>
      <c r="AQ10902" s="19"/>
      <c r="AR10902" s="19"/>
      <c r="AS10902" s="19"/>
      <c r="AT10902" s="19"/>
      <c r="AU10902" s="19"/>
    </row>
    <row r="10903" spans="3:47">
      <c r="C10903" s="20"/>
      <c r="Z10903" s="20"/>
      <c r="AG10903" s="20"/>
      <c r="AQ10903" s="19"/>
      <c r="AR10903" s="19"/>
      <c r="AS10903" s="19"/>
      <c r="AT10903" s="19"/>
      <c r="AU10903" s="19"/>
    </row>
    <row r="10904" spans="3:47">
      <c r="C10904" s="20"/>
      <c r="Z10904" s="20"/>
      <c r="AG10904" s="20"/>
      <c r="AQ10904" s="19"/>
      <c r="AR10904" s="19"/>
      <c r="AS10904" s="19"/>
      <c r="AT10904" s="19"/>
      <c r="AU10904" s="19"/>
    </row>
    <row r="10905" spans="3:47">
      <c r="C10905" s="20"/>
      <c r="Z10905" s="20"/>
      <c r="AG10905" s="20"/>
      <c r="AQ10905" s="19"/>
      <c r="AR10905" s="19"/>
      <c r="AS10905" s="19"/>
      <c r="AT10905" s="19"/>
      <c r="AU10905" s="19"/>
    </row>
    <row r="10906" spans="3:47">
      <c r="C10906" s="20"/>
      <c r="Z10906" s="20"/>
      <c r="AG10906" s="20"/>
      <c r="AQ10906" s="19"/>
      <c r="AR10906" s="19"/>
      <c r="AS10906" s="19"/>
      <c r="AT10906" s="19"/>
      <c r="AU10906" s="19"/>
    </row>
    <row r="10907" spans="3:47">
      <c r="C10907" s="20"/>
      <c r="Z10907" s="20"/>
      <c r="AG10907" s="20"/>
      <c r="AQ10907" s="19"/>
      <c r="AR10907" s="19"/>
      <c r="AS10907" s="19"/>
      <c r="AT10907" s="19"/>
      <c r="AU10907" s="19"/>
    </row>
    <row r="10908" spans="3:47">
      <c r="C10908" s="20"/>
      <c r="Z10908" s="20"/>
      <c r="AG10908" s="20"/>
      <c r="AQ10908" s="19"/>
      <c r="AR10908" s="19"/>
      <c r="AS10908" s="19"/>
      <c r="AT10908" s="19"/>
      <c r="AU10908" s="19"/>
    </row>
    <row r="10909" spans="3:47">
      <c r="C10909" s="20"/>
      <c r="Z10909" s="20"/>
      <c r="AG10909" s="20"/>
      <c r="AQ10909" s="19"/>
      <c r="AR10909" s="19"/>
      <c r="AS10909" s="19"/>
      <c r="AT10909" s="19"/>
      <c r="AU10909" s="19"/>
    </row>
    <row r="10910" spans="3:47">
      <c r="C10910" s="20"/>
      <c r="Z10910" s="20"/>
      <c r="AG10910" s="20"/>
      <c r="AQ10910" s="19"/>
      <c r="AR10910" s="19"/>
      <c r="AS10910" s="19"/>
      <c r="AT10910" s="19"/>
      <c r="AU10910" s="19"/>
    </row>
    <row r="10911" spans="3:47">
      <c r="C10911" s="20"/>
      <c r="Z10911" s="20"/>
      <c r="AG10911" s="20"/>
      <c r="AQ10911" s="19"/>
      <c r="AR10911" s="19"/>
      <c r="AS10911" s="19"/>
      <c r="AT10911" s="19"/>
      <c r="AU10911" s="19"/>
    </row>
    <row r="10912" spans="3:47">
      <c r="C10912" s="20"/>
      <c r="Z10912" s="20"/>
      <c r="AG10912" s="20"/>
      <c r="AQ10912" s="19"/>
      <c r="AR10912" s="19"/>
      <c r="AS10912" s="19"/>
      <c r="AT10912" s="19"/>
      <c r="AU10912" s="19"/>
    </row>
    <row r="10913" spans="3:47">
      <c r="C10913" s="20"/>
      <c r="Z10913" s="20"/>
      <c r="AG10913" s="20"/>
      <c r="AQ10913" s="19"/>
      <c r="AR10913" s="19"/>
      <c r="AS10913" s="19"/>
      <c r="AT10913" s="19"/>
      <c r="AU10913" s="19"/>
    </row>
    <row r="10914" spans="3:47">
      <c r="C10914" s="20"/>
      <c r="Z10914" s="20"/>
      <c r="AG10914" s="20"/>
      <c r="AQ10914" s="19"/>
      <c r="AR10914" s="19"/>
      <c r="AS10914" s="19"/>
      <c r="AT10914" s="19"/>
      <c r="AU10914" s="19"/>
    </row>
    <row r="10915" spans="3:47">
      <c r="C10915" s="20"/>
      <c r="Z10915" s="20"/>
      <c r="AG10915" s="20"/>
      <c r="AQ10915" s="19"/>
      <c r="AR10915" s="19"/>
      <c r="AS10915" s="19"/>
      <c r="AT10915" s="19"/>
      <c r="AU10915" s="19"/>
    </row>
    <row r="10916" spans="3:47">
      <c r="C10916" s="20"/>
      <c r="Z10916" s="20"/>
      <c r="AG10916" s="20"/>
      <c r="AQ10916" s="19"/>
      <c r="AR10916" s="19"/>
      <c r="AS10916" s="19"/>
      <c r="AT10916" s="19"/>
      <c r="AU10916" s="19"/>
    </row>
    <row r="10917" spans="3:47">
      <c r="C10917" s="20"/>
      <c r="Z10917" s="20"/>
      <c r="AG10917" s="20"/>
      <c r="AQ10917" s="19"/>
      <c r="AR10917" s="19"/>
      <c r="AS10917" s="19"/>
      <c r="AT10917" s="19"/>
      <c r="AU10917" s="19"/>
    </row>
    <row r="10918" spans="3:47">
      <c r="C10918" s="20"/>
      <c r="Z10918" s="20"/>
      <c r="AG10918" s="20"/>
      <c r="AQ10918" s="19"/>
      <c r="AR10918" s="19"/>
      <c r="AS10918" s="19"/>
      <c r="AT10918" s="19"/>
      <c r="AU10918" s="19"/>
    </row>
    <row r="10919" spans="3:47">
      <c r="C10919" s="20"/>
      <c r="Z10919" s="20"/>
      <c r="AG10919" s="20"/>
      <c r="AQ10919" s="19"/>
      <c r="AR10919" s="19"/>
      <c r="AS10919" s="19"/>
      <c r="AT10919" s="19"/>
      <c r="AU10919" s="19"/>
    </row>
    <row r="10920" spans="3:47">
      <c r="C10920" s="20"/>
      <c r="Z10920" s="20"/>
      <c r="AG10920" s="20"/>
      <c r="AQ10920" s="19"/>
      <c r="AR10920" s="19"/>
      <c r="AS10920" s="19"/>
      <c r="AT10920" s="19"/>
      <c r="AU10920" s="19"/>
    </row>
    <row r="10921" spans="3:47">
      <c r="C10921" s="20"/>
      <c r="Z10921" s="20"/>
      <c r="AG10921" s="20"/>
      <c r="AQ10921" s="19"/>
      <c r="AR10921" s="19"/>
      <c r="AS10921" s="19"/>
      <c r="AT10921" s="19"/>
      <c r="AU10921" s="19"/>
    </row>
    <row r="10922" spans="3:47">
      <c r="C10922" s="20"/>
      <c r="Z10922" s="20"/>
      <c r="AG10922" s="20"/>
      <c r="AQ10922" s="19"/>
      <c r="AR10922" s="19"/>
      <c r="AS10922" s="19"/>
      <c r="AT10922" s="19"/>
      <c r="AU10922" s="19"/>
    </row>
    <row r="10923" spans="3:47">
      <c r="C10923" s="20"/>
      <c r="Z10923" s="20"/>
      <c r="AG10923" s="20"/>
      <c r="AQ10923" s="19"/>
      <c r="AR10923" s="19"/>
      <c r="AS10923" s="19"/>
      <c r="AT10923" s="19"/>
      <c r="AU10923" s="19"/>
    </row>
    <row r="10924" spans="3:47">
      <c r="C10924" s="20"/>
      <c r="Z10924" s="20"/>
      <c r="AG10924" s="20"/>
      <c r="AQ10924" s="19"/>
      <c r="AR10924" s="19"/>
      <c r="AS10924" s="19"/>
      <c r="AT10924" s="19"/>
      <c r="AU10924" s="19"/>
    </row>
    <row r="10925" spans="3:47">
      <c r="C10925" s="20"/>
      <c r="Z10925" s="20"/>
      <c r="AG10925" s="20"/>
      <c r="AQ10925" s="19"/>
      <c r="AR10925" s="19"/>
      <c r="AS10925" s="19"/>
      <c r="AT10925" s="19"/>
      <c r="AU10925" s="19"/>
    </row>
    <row r="10926" spans="3:47">
      <c r="C10926" s="20"/>
      <c r="Z10926" s="20"/>
      <c r="AG10926" s="20"/>
      <c r="AQ10926" s="19"/>
      <c r="AR10926" s="19"/>
      <c r="AS10926" s="19"/>
      <c r="AT10926" s="19"/>
      <c r="AU10926" s="19"/>
    </row>
    <row r="10927" spans="3:47">
      <c r="C10927" s="20"/>
      <c r="Z10927" s="20"/>
      <c r="AG10927" s="20"/>
      <c r="AQ10927" s="19"/>
      <c r="AR10927" s="19"/>
      <c r="AS10927" s="19"/>
      <c r="AT10927" s="19"/>
      <c r="AU10927" s="19"/>
    </row>
    <row r="10928" spans="3:47">
      <c r="C10928" s="20"/>
      <c r="Z10928" s="20"/>
      <c r="AG10928" s="20"/>
      <c r="AQ10928" s="19"/>
      <c r="AR10928" s="19"/>
      <c r="AS10928" s="19"/>
      <c r="AT10928" s="19"/>
      <c r="AU10928" s="19"/>
    </row>
    <row r="10929" spans="3:47">
      <c r="C10929" s="20"/>
      <c r="Z10929" s="20"/>
      <c r="AG10929" s="20"/>
      <c r="AQ10929" s="19"/>
      <c r="AR10929" s="19"/>
      <c r="AS10929" s="19"/>
      <c r="AT10929" s="19"/>
      <c r="AU10929" s="19"/>
    </row>
    <row r="10930" spans="3:47">
      <c r="C10930" s="20"/>
      <c r="Z10930" s="20"/>
      <c r="AG10930" s="20"/>
      <c r="AQ10930" s="19"/>
      <c r="AR10930" s="19"/>
      <c r="AS10930" s="19"/>
      <c r="AT10930" s="19"/>
      <c r="AU10930" s="19"/>
    </row>
    <row r="10931" spans="3:47">
      <c r="C10931" s="20"/>
      <c r="Z10931" s="20"/>
      <c r="AG10931" s="20"/>
      <c r="AQ10931" s="19"/>
      <c r="AR10931" s="19"/>
      <c r="AS10931" s="19"/>
      <c r="AT10931" s="19"/>
      <c r="AU10931" s="19"/>
    </row>
    <row r="10932" spans="3:47">
      <c r="C10932" s="20"/>
      <c r="Z10932" s="20"/>
      <c r="AG10932" s="20"/>
      <c r="AQ10932" s="19"/>
      <c r="AR10932" s="19"/>
      <c r="AS10932" s="19"/>
      <c r="AT10932" s="19"/>
      <c r="AU10932" s="19"/>
    </row>
    <row r="10933" spans="3:47">
      <c r="C10933" s="20"/>
      <c r="Z10933" s="20"/>
      <c r="AG10933" s="20"/>
      <c r="AQ10933" s="19"/>
      <c r="AR10933" s="19"/>
      <c r="AS10933" s="19"/>
      <c r="AT10933" s="19"/>
      <c r="AU10933" s="19"/>
    </row>
    <row r="10934" spans="3:47">
      <c r="C10934" s="20"/>
      <c r="Z10934" s="20"/>
      <c r="AG10934" s="20"/>
      <c r="AQ10934" s="19"/>
      <c r="AR10934" s="19"/>
      <c r="AS10934" s="19"/>
      <c r="AT10934" s="19"/>
      <c r="AU10934" s="19"/>
    </row>
    <row r="10935" spans="3:47">
      <c r="C10935" s="20"/>
      <c r="Z10935" s="20"/>
      <c r="AG10935" s="20"/>
      <c r="AQ10935" s="19"/>
      <c r="AR10935" s="19"/>
      <c r="AS10935" s="19"/>
      <c r="AT10935" s="19"/>
      <c r="AU10935" s="19"/>
    </row>
    <row r="10936" spans="3:47">
      <c r="C10936" s="20"/>
      <c r="Z10936" s="20"/>
      <c r="AG10936" s="20"/>
      <c r="AQ10936" s="19"/>
      <c r="AR10936" s="19"/>
      <c r="AS10936" s="19"/>
      <c r="AT10936" s="19"/>
      <c r="AU10936" s="19"/>
    </row>
    <row r="10937" spans="3:47">
      <c r="C10937" s="20"/>
      <c r="Z10937" s="20"/>
      <c r="AG10937" s="20"/>
      <c r="AQ10937" s="19"/>
      <c r="AR10937" s="19"/>
      <c r="AS10937" s="19"/>
      <c r="AT10937" s="19"/>
      <c r="AU10937" s="19"/>
    </row>
    <row r="10938" spans="3:47">
      <c r="C10938" s="20"/>
      <c r="Z10938" s="20"/>
      <c r="AG10938" s="20"/>
      <c r="AQ10938" s="19"/>
      <c r="AR10938" s="19"/>
      <c r="AS10938" s="19"/>
      <c r="AT10938" s="19"/>
      <c r="AU10938" s="19"/>
    </row>
    <row r="10939" spans="3:47">
      <c r="C10939" s="20"/>
      <c r="Z10939" s="20"/>
      <c r="AG10939" s="20"/>
      <c r="AQ10939" s="19"/>
      <c r="AR10939" s="19"/>
      <c r="AS10939" s="19"/>
      <c r="AT10939" s="19"/>
      <c r="AU10939" s="19"/>
    </row>
    <row r="10940" spans="3:47">
      <c r="C10940" s="20"/>
      <c r="Z10940" s="20"/>
      <c r="AG10940" s="20"/>
      <c r="AQ10940" s="19"/>
      <c r="AR10940" s="19"/>
      <c r="AS10940" s="19"/>
      <c r="AT10940" s="19"/>
      <c r="AU10940" s="19"/>
    </row>
    <row r="10941" spans="3:47">
      <c r="C10941" s="20"/>
      <c r="Z10941" s="20"/>
      <c r="AG10941" s="20"/>
      <c r="AQ10941" s="19"/>
      <c r="AR10941" s="19"/>
      <c r="AS10941" s="19"/>
      <c r="AT10941" s="19"/>
      <c r="AU10941" s="19"/>
    </row>
    <row r="10942" spans="3:47">
      <c r="C10942" s="20"/>
      <c r="Z10942" s="20"/>
      <c r="AG10942" s="20"/>
      <c r="AQ10942" s="19"/>
      <c r="AR10942" s="19"/>
      <c r="AS10942" s="19"/>
      <c r="AT10942" s="19"/>
      <c r="AU10942" s="19"/>
    </row>
    <row r="10943" spans="3:47">
      <c r="C10943" s="20"/>
      <c r="Z10943" s="20"/>
      <c r="AG10943" s="20"/>
      <c r="AQ10943" s="19"/>
      <c r="AR10943" s="19"/>
      <c r="AS10943" s="19"/>
      <c r="AT10943" s="19"/>
      <c r="AU10943" s="19"/>
    </row>
    <row r="10944" spans="3:47">
      <c r="C10944" s="20"/>
      <c r="Z10944" s="20"/>
      <c r="AG10944" s="20"/>
      <c r="AQ10944" s="19"/>
      <c r="AR10944" s="19"/>
      <c r="AS10944" s="19"/>
      <c r="AT10944" s="19"/>
      <c r="AU10944" s="19"/>
    </row>
    <row r="10945" spans="3:47">
      <c r="C10945" s="20"/>
      <c r="Z10945" s="20"/>
      <c r="AG10945" s="20"/>
      <c r="AQ10945" s="19"/>
      <c r="AR10945" s="19"/>
      <c r="AS10945" s="19"/>
      <c r="AT10945" s="19"/>
      <c r="AU10945" s="19"/>
    </row>
    <row r="10946" spans="3:47">
      <c r="C10946" s="20"/>
      <c r="Z10946" s="20"/>
      <c r="AG10946" s="20"/>
      <c r="AQ10946" s="19"/>
      <c r="AR10946" s="19"/>
      <c r="AS10946" s="19"/>
      <c r="AT10946" s="19"/>
      <c r="AU10946" s="19"/>
    </row>
    <row r="10947" spans="3:47">
      <c r="C10947" s="20"/>
      <c r="Z10947" s="20"/>
      <c r="AG10947" s="20"/>
      <c r="AQ10947" s="19"/>
      <c r="AR10947" s="19"/>
      <c r="AS10947" s="19"/>
      <c r="AT10947" s="19"/>
      <c r="AU10947" s="19"/>
    </row>
    <row r="10948" spans="3:47">
      <c r="C10948" s="20"/>
      <c r="Z10948" s="20"/>
      <c r="AG10948" s="20"/>
      <c r="AQ10948" s="19"/>
      <c r="AR10948" s="19"/>
      <c r="AS10948" s="19"/>
      <c r="AT10948" s="19"/>
      <c r="AU10948" s="19"/>
    </row>
    <row r="10949" spans="3:47">
      <c r="C10949" s="20"/>
      <c r="Z10949" s="20"/>
      <c r="AG10949" s="20"/>
      <c r="AQ10949" s="19"/>
      <c r="AR10949" s="19"/>
      <c r="AS10949" s="19"/>
      <c r="AT10949" s="19"/>
      <c r="AU10949" s="19"/>
    </row>
    <row r="10950" spans="3:47">
      <c r="C10950" s="20"/>
      <c r="Z10950" s="20"/>
      <c r="AG10950" s="20"/>
      <c r="AQ10950" s="19"/>
      <c r="AR10950" s="19"/>
      <c r="AS10950" s="19"/>
      <c r="AT10950" s="19"/>
      <c r="AU10950" s="19"/>
    </row>
    <row r="10951" spans="3:47">
      <c r="C10951" s="20"/>
      <c r="Z10951" s="20"/>
      <c r="AG10951" s="20"/>
      <c r="AQ10951" s="19"/>
      <c r="AR10951" s="19"/>
      <c r="AS10951" s="19"/>
      <c r="AT10951" s="19"/>
      <c r="AU10951" s="19"/>
    </row>
    <row r="10952" spans="3:47">
      <c r="C10952" s="20"/>
      <c r="Z10952" s="20"/>
      <c r="AG10952" s="20"/>
      <c r="AQ10952" s="19"/>
      <c r="AR10952" s="19"/>
      <c r="AS10952" s="19"/>
      <c r="AT10952" s="19"/>
      <c r="AU10952" s="19"/>
    </row>
    <row r="10953" spans="3:47">
      <c r="C10953" s="20"/>
      <c r="Z10953" s="20"/>
      <c r="AG10953" s="20"/>
      <c r="AQ10953" s="19"/>
      <c r="AR10953" s="19"/>
      <c r="AS10953" s="19"/>
      <c r="AT10953" s="19"/>
      <c r="AU10953" s="19"/>
    </row>
    <row r="10954" spans="3:47">
      <c r="C10954" s="20"/>
      <c r="Z10954" s="20"/>
      <c r="AG10954" s="20"/>
      <c r="AQ10954" s="19"/>
      <c r="AR10954" s="19"/>
      <c r="AS10954" s="19"/>
      <c r="AT10954" s="19"/>
      <c r="AU10954" s="19"/>
    </row>
    <row r="10955" spans="3:47">
      <c r="C10955" s="20"/>
      <c r="Z10955" s="20"/>
      <c r="AG10955" s="20"/>
      <c r="AQ10955" s="19"/>
      <c r="AR10955" s="19"/>
      <c r="AS10955" s="19"/>
      <c r="AT10955" s="19"/>
      <c r="AU10955" s="19"/>
    </row>
    <row r="10956" spans="3:47">
      <c r="C10956" s="20"/>
      <c r="Z10956" s="20"/>
      <c r="AG10956" s="20"/>
      <c r="AQ10956" s="19"/>
      <c r="AR10956" s="19"/>
      <c r="AS10956" s="19"/>
      <c r="AT10956" s="19"/>
      <c r="AU10956" s="19"/>
    </row>
    <row r="10957" spans="3:47">
      <c r="C10957" s="20"/>
      <c r="Z10957" s="20"/>
      <c r="AG10957" s="20"/>
      <c r="AQ10957" s="19"/>
      <c r="AR10957" s="19"/>
      <c r="AS10957" s="19"/>
      <c r="AT10957" s="19"/>
      <c r="AU10957" s="19"/>
    </row>
    <row r="10958" spans="3:47">
      <c r="C10958" s="20"/>
      <c r="Z10958" s="20"/>
      <c r="AG10958" s="20"/>
      <c r="AQ10958" s="19"/>
      <c r="AR10958" s="19"/>
      <c r="AS10958" s="19"/>
      <c r="AT10958" s="19"/>
      <c r="AU10958" s="19"/>
    </row>
    <row r="10959" spans="3:47">
      <c r="C10959" s="20"/>
      <c r="Z10959" s="20"/>
      <c r="AG10959" s="20"/>
      <c r="AQ10959" s="19"/>
      <c r="AR10959" s="19"/>
      <c r="AS10959" s="19"/>
      <c r="AT10959" s="19"/>
      <c r="AU10959" s="19"/>
    </row>
    <row r="10960" spans="3:47">
      <c r="C10960" s="20"/>
      <c r="Z10960" s="20"/>
      <c r="AG10960" s="20"/>
      <c r="AQ10960" s="19"/>
      <c r="AR10960" s="19"/>
      <c r="AS10960" s="19"/>
      <c r="AT10960" s="19"/>
      <c r="AU10960" s="19"/>
    </row>
    <row r="10961" spans="3:47">
      <c r="C10961" s="20"/>
      <c r="Z10961" s="20"/>
      <c r="AG10961" s="20"/>
      <c r="AQ10961" s="19"/>
      <c r="AR10961" s="19"/>
      <c r="AS10961" s="19"/>
      <c r="AT10961" s="19"/>
      <c r="AU10961" s="19"/>
    </row>
    <row r="10962" spans="3:47">
      <c r="C10962" s="20"/>
      <c r="Z10962" s="20"/>
      <c r="AG10962" s="20"/>
      <c r="AQ10962" s="19"/>
      <c r="AR10962" s="19"/>
      <c r="AS10962" s="19"/>
      <c r="AT10962" s="19"/>
      <c r="AU10962" s="19"/>
    </row>
    <row r="10963" spans="3:47">
      <c r="C10963" s="20"/>
      <c r="Z10963" s="20"/>
      <c r="AG10963" s="20"/>
      <c r="AQ10963" s="19"/>
      <c r="AR10963" s="19"/>
      <c r="AS10963" s="19"/>
      <c r="AT10963" s="19"/>
      <c r="AU10963" s="19"/>
    </row>
    <row r="10964" spans="3:47">
      <c r="C10964" s="20"/>
      <c r="Z10964" s="20"/>
      <c r="AG10964" s="20"/>
      <c r="AQ10964" s="19"/>
      <c r="AR10964" s="19"/>
      <c r="AS10964" s="19"/>
      <c r="AT10964" s="19"/>
      <c r="AU10964" s="19"/>
    </row>
    <row r="10965" spans="3:47">
      <c r="C10965" s="20"/>
      <c r="Z10965" s="20"/>
      <c r="AG10965" s="20"/>
      <c r="AQ10965" s="19"/>
      <c r="AR10965" s="19"/>
      <c r="AS10965" s="19"/>
      <c r="AT10965" s="19"/>
      <c r="AU10965" s="19"/>
    </row>
    <row r="10966" spans="3:47">
      <c r="C10966" s="20"/>
      <c r="Z10966" s="20"/>
      <c r="AG10966" s="20"/>
      <c r="AQ10966" s="19"/>
      <c r="AR10966" s="19"/>
      <c r="AS10966" s="19"/>
      <c r="AT10966" s="19"/>
      <c r="AU10966" s="19"/>
    </row>
    <row r="10967" spans="3:47">
      <c r="C10967" s="20"/>
      <c r="Z10967" s="20"/>
      <c r="AG10967" s="20"/>
      <c r="AQ10967" s="19"/>
      <c r="AR10967" s="19"/>
      <c r="AS10967" s="19"/>
      <c r="AT10967" s="19"/>
      <c r="AU10967" s="19"/>
    </row>
    <row r="10968" spans="3:47">
      <c r="C10968" s="20"/>
      <c r="Z10968" s="20"/>
      <c r="AG10968" s="20"/>
      <c r="AQ10968" s="19"/>
      <c r="AR10968" s="19"/>
      <c r="AS10968" s="19"/>
      <c r="AT10968" s="19"/>
      <c r="AU10968" s="19"/>
    </row>
    <row r="10969" spans="3:47">
      <c r="C10969" s="20"/>
      <c r="Z10969" s="20"/>
      <c r="AG10969" s="20"/>
      <c r="AQ10969" s="19"/>
      <c r="AR10969" s="19"/>
      <c r="AS10969" s="19"/>
      <c r="AT10969" s="19"/>
      <c r="AU10969" s="19"/>
    </row>
    <row r="10970" spans="3:47">
      <c r="C10970" s="20"/>
      <c r="Z10970" s="20"/>
      <c r="AG10970" s="20"/>
      <c r="AQ10970" s="19"/>
      <c r="AR10970" s="19"/>
      <c r="AS10970" s="19"/>
      <c r="AT10970" s="19"/>
      <c r="AU10970" s="19"/>
    </row>
    <row r="10971" spans="3:47">
      <c r="C10971" s="20"/>
      <c r="Z10971" s="20"/>
      <c r="AG10971" s="20"/>
      <c r="AQ10971" s="19"/>
      <c r="AR10971" s="19"/>
      <c r="AS10971" s="19"/>
      <c r="AT10971" s="19"/>
      <c r="AU10971" s="19"/>
    </row>
    <row r="10972" spans="3:47">
      <c r="C10972" s="20"/>
      <c r="Z10972" s="20"/>
      <c r="AG10972" s="20"/>
      <c r="AQ10972" s="19"/>
      <c r="AR10972" s="19"/>
      <c r="AS10972" s="19"/>
      <c r="AT10972" s="19"/>
      <c r="AU10972" s="19"/>
    </row>
    <row r="10973" spans="3:47">
      <c r="C10973" s="20"/>
      <c r="Z10973" s="20"/>
      <c r="AG10973" s="20"/>
      <c r="AQ10973" s="19"/>
      <c r="AR10973" s="19"/>
      <c r="AS10973" s="19"/>
      <c r="AT10973" s="19"/>
      <c r="AU10973" s="19"/>
    </row>
    <row r="10974" spans="3:47">
      <c r="C10974" s="20"/>
      <c r="Z10974" s="20"/>
      <c r="AG10974" s="20"/>
      <c r="AQ10974" s="19"/>
      <c r="AR10974" s="19"/>
      <c r="AS10974" s="19"/>
      <c r="AT10974" s="19"/>
      <c r="AU10974" s="19"/>
    </row>
    <row r="10975" spans="3:47">
      <c r="C10975" s="20"/>
      <c r="Z10975" s="20"/>
      <c r="AG10975" s="20"/>
      <c r="AQ10975" s="19"/>
      <c r="AR10975" s="19"/>
      <c r="AS10975" s="19"/>
      <c r="AT10975" s="19"/>
      <c r="AU10975" s="19"/>
    </row>
    <row r="10976" spans="3:47">
      <c r="C10976" s="20"/>
      <c r="Z10976" s="20"/>
      <c r="AG10976" s="20"/>
      <c r="AQ10976" s="19"/>
      <c r="AR10976" s="19"/>
      <c r="AS10976" s="19"/>
      <c r="AT10976" s="19"/>
      <c r="AU10976" s="19"/>
    </row>
    <row r="10977" spans="3:47">
      <c r="C10977" s="20"/>
      <c r="Z10977" s="20"/>
      <c r="AG10977" s="20"/>
      <c r="AQ10977" s="19"/>
      <c r="AR10977" s="19"/>
      <c r="AS10977" s="19"/>
      <c r="AT10977" s="19"/>
      <c r="AU10977" s="19"/>
    </row>
    <row r="10978" spans="3:47">
      <c r="C10978" s="20"/>
      <c r="Z10978" s="20"/>
      <c r="AG10978" s="20"/>
      <c r="AQ10978" s="19"/>
      <c r="AR10978" s="19"/>
      <c r="AS10978" s="19"/>
      <c r="AT10978" s="19"/>
      <c r="AU10978" s="19"/>
    </row>
    <row r="10979" spans="3:47">
      <c r="C10979" s="20"/>
      <c r="Z10979" s="20"/>
      <c r="AG10979" s="20"/>
      <c r="AQ10979" s="19"/>
      <c r="AR10979" s="19"/>
      <c r="AS10979" s="19"/>
      <c r="AT10979" s="19"/>
      <c r="AU10979" s="19"/>
    </row>
    <row r="10980" spans="3:47">
      <c r="C10980" s="20"/>
      <c r="Z10980" s="20"/>
      <c r="AG10980" s="20"/>
      <c r="AQ10980" s="19"/>
      <c r="AR10980" s="19"/>
      <c r="AS10980" s="19"/>
      <c r="AT10980" s="19"/>
      <c r="AU10980" s="19"/>
    </row>
    <row r="10981" spans="3:47">
      <c r="C10981" s="20"/>
      <c r="Z10981" s="20"/>
      <c r="AG10981" s="20"/>
      <c r="AQ10981" s="19"/>
      <c r="AR10981" s="19"/>
      <c r="AS10981" s="19"/>
      <c r="AT10981" s="19"/>
      <c r="AU10981" s="19"/>
    </row>
    <row r="10982" spans="3:47">
      <c r="C10982" s="20"/>
      <c r="Z10982" s="20"/>
      <c r="AG10982" s="20"/>
      <c r="AQ10982" s="19"/>
      <c r="AR10982" s="19"/>
      <c r="AS10982" s="19"/>
      <c r="AT10982" s="19"/>
      <c r="AU10982" s="19"/>
    </row>
    <row r="10983" spans="3:47">
      <c r="C10983" s="20"/>
      <c r="Z10983" s="20"/>
      <c r="AG10983" s="20"/>
      <c r="AQ10983" s="19"/>
      <c r="AR10983" s="19"/>
      <c r="AS10983" s="19"/>
      <c r="AT10983" s="19"/>
      <c r="AU10983" s="19"/>
    </row>
    <row r="10984" spans="3:47">
      <c r="C10984" s="20"/>
      <c r="Z10984" s="20"/>
      <c r="AG10984" s="20"/>
      <c r="AQ10984" s="19"/>
      <c r="AR10984" s="19"/>
      <c r="AS10984" s="19"/>
      <c r="AT10984" s="19"/>
      <c r="AU10984" s="19"/>
    </row>
    <row r="10985" spans="3:47">
      <c r="C10985" s="20"/>
      <c r="Z10985" s="20"/>
      <c r="AG10985" s="20"/>
      <c r="AQ10985" s="19"/>
      <c r="AR10985" s="19"/>
      <c r="AS10985" s="19"/>
      <c r="AT10985" s="19"/>
      <c r="AU10985" s="19"/>
    </row>
    <row r="10986" spans="3:47">
      <c r="C10986" s="20"/>
      <c r="Z10986" s="20"/>
      <c r="AG10986" s="20"/>
      <c r="AQ10986" s="19"/>
      <c r="AR10986" s="19"/>
      <c r="AS10986" s="19"/>
      <c r="AT10986" s="19"/>
      <c r="AU10986" s="19"/>
    </row>
    <row r="10987" spans="3:47">
      <c r="C10987" s="20"/>
      <c r="Z10987" s="20"/>
      <c r="AG10987" s="20"/>
      <c r="AQ10987" s="19"/>
      <c r="AR10987" s="19"/>
      <c r="AS10987" s="19"/>
      <c r="AT10987" s="19"/>
      <c r="AU10987" s="19"/>
    </row>
    <row r="10988" spans="3:47">
      <c r="C10988" s="20"/>
      <c r="Z10988" s="20"/>
      <c r="AG10988" s="20"/>
      <c r="AQ10988" s="19"/>
      <c r="AR10988" s="19"/>
      <c r="AS10988" s="19"/>
      <c r="AT10988" s="19"/>
      <c r="AU10988" s="19"/>
    </row>
    <row r="10989" spans="3:47">
      <c r="C10989" s="20"/>
      <c r="Z10989" s="20"/>
      <c r="AG10989" s="20"/>
      <c r="AQ10989" s="19"/>
      <c r="AR10989" s="19"/>
      <c r="AS10989" s="19"/>
      <c r="AT10989" s="19"/>
      <c r="AU10989" s="19"/>
    </row>
    <row r="10990" spans="3:47">
      <c r="C10990" s="20"/>
      <c r="Z10990" s="20"/>
      <c r="AG10990" s="20"/>
      <c r="AQ10990" s="19"/>
      <c r="AR10990" s="19"/>
      <c r="AS10990" s="19"/>
      <c r="AT10990" s="19"/>
      <c r="AU10990" s="19"/>
    </row>
    <row r="10991" spans="3:47">
      <c r="C10991" s="20"/>
      <c r="Z10991" s="20"/>
      <c r="AG10991" s="20"/>
      <c r="AQ10991" s="19"/>
      <c r="AR10991" s="19"/>
      <c r="AS10991" s="19"/>
      <c r="AT10991" s="19"/>
      <c r="AU10991" s="19"/>
    </row>
    <row r="10992" spans="3:47">
      <c r="C10992" s="20"/>
      <c r="Z10992" s="20"/>
      <c r="AG10992" s="20"/>
      <c r="AQ10992" s="19"/>
      <c r="AR10992" s="19"/>
      <c r="AS10992" s="19"/>
      <c r="AT10992" s="19"/>
      <c r="AU10992" s="19"/>
    </row>
    <row r="10993" spans="3:47">
      <c r="C10993" s="20"/>
      <c r="Z10993" s="20"/>
      <c r="AG10993" s="20"/>
      <c r="AQ10993" s="19"/>
      <c r="AR10993" s="19"/>
      <c r="AS10993" s="19"/>
      <c r="AT10993" s="19"/>
      <c r="AU10993" s="19"/>
    </row>
    <row r="10994" spans="3:47">
      <c r="C10994" s="20"/>
      <c r="Z10994" s="20"/>
      <c r="AG10994" s="20"/>
      <c r="AQ10994" s="19"/>
      <c r="AR10994" s="19"/>
      <c r="AS10994" s="19"/>
      <c r="AT10994" s="19"/>
      <c r="AU10994" s="19"/>
    </row>
    <row r="10995" spans="3:47">
      <c r="C10995" s="20"/>
      <c r="Z10995" s="20"/>
      <c r="AG10995" s="20"/>
      <c r="AQ10995" s="19"/>
      <c r="AR10995" s="19"/>
      <c r="AS10995" s="19"/>
      <c r="AT10995" s="19"/>
      <c r="AU10995" s="19"/>
    </row>
    <row r="10996" spans="3:47">
      <c r="C10996" s="20"/>
      <c r="Z10996" s="20"/>
      <c r="AG10996" s="20"/>
      <c r="AQ10996" s="19"/>
      <c r="AR10996" s="19"/>
      <c r="AS10996" s="19"/>
      <c r="AT10996" s="19"/>
      <c r="AU10996" s="19"/>
    </row>
    <row r="10997" spans="3:47">
      <c r="C10997" s="20"/>
      <c r="Z10997" s="20"/>
      <c r="AG10997" s="20"/>
      <c r="AQ10997" s="19"/>
      <c r="AR10997" s="19"/>
      <c r="AS10997" s="19"/>
      <c r="AT10997" s="19"/>
      <c r="AU10997" s="19"/>
    </row>
    <row r="10998" spans="3:47">
      <c r="C10998" s="20"/>
      <c r="Z10998" s="20"/>
      <c r="AG10998" s="20"/>
      <c r="AQ10998" s="19"/>
      <c r="AR10998" s="19"/>
      <c r="AS10998" s="19"/>
      <c r="AT10998" s="19"/>
      <c r="AU10998" s="19"/>
    </row>
    <row r="10999" spans="3:47">
      <c r="C10999" s="20"/>
      <c r="Z10999" s="20"/>
      <c r="AG10999" s="20"/>
      <c r="AQ10999" s="19"/>
      <c r="AR10999" s="19"/>
      <c r="AS10999" s="19"/>
      <c r="AT10999" s="19"/>
      <c r="AU10999" s="19"/>
    </row>
    <row r="11000" spans="3:47">
      <c r="C11000" s="20"/>
      <c r="Z11000" s="20"/>
      <c r="AG11000" s="20"/>
      <c r="AQ11000" s="19"/>
      <c r="AR11000" s="19"/>
      <c r="AS11000" s="19"/>
      <c r="AT11000" s="19"/>
      <c r="AU11000" s="19"/>
    </row>
    <row r="11001" spans="3:47">
      <c r="C11001" s="20"/>
      <c r="Z11001" s="20"/>
      <c r="AG11001" s="20"/>
      <c r="AQ11001" s="19"/>
      <c r="AR11001" s="19"/>
      <c r="AS11001" s="19"/>
      <c r="AT11001" s="19"/>
      <c r="AU11001" s="19"/>
    </row>
    <row r="11002" spans="3:47">
      <c r="C11002" s="20"/>
      <c r="Z11002" s="20"/>
      <c r="AG11002" s="20"/>
      <c r="AQ11002" s="19"/>
      <c r="AR11002" s="19"/>
      <c r="AS11002" s="19"/>
      <c r="AT11002" s="19"/>
      <c r="AU11002" s="19"/>
    </row>
    <row r="11003" spans="3:47">
      <c r="C11003" s="20"/>
      <c r="Z11003" s="20"/>
      <c r="AG11003" s="20"/>
      <c r="AQ11003" s="19"/>
      <c r="AR11003" s="19"/>
      <c r="AS11003" s="19"/>
      <c r="AT11003" s="19"/>
      <c r="AU11003" s="19"/>
    </row>
    <row r="11004" spans="3:47">
      <c r="C11004" s="20"/>
      <c r="Z11004" s="20"/>
      <c r="AG11004" s="20"/>
      <c r="AQ11004" s="19"/>
      <c r="AR11004" s="19"/>
      <c r="AS11004" s="19"/>
      <c r="AT11004" s="19"/>
      <c r="AU11004" s="19"/>
    </row>
    <row r="11005" spans="3:47">
      <c r="C11005" s="20"/>
      <c r="Z11005" s="20"/>
      <c r="AG11005" s="20"/>
      <c r="AQ11005" s="19"/>
      <c r="AR11005" s="19"/>
      <c r="AS11005" s="19"/>
      <c r="AT11005" s="19"/>
      <c r="AU11005" s="19"/>
    </row>
    <row r="11006" spans="3:47">
      <c r="C11006" s="20"/>
      <c r="Z11006" s="20"/>
      <c r="AG11006" s="20"/>
      <c r="AQ11006" s="19"/>
      <c r="AR11006" s="19"/>
      <c r="AS11006" s="19"/>
      <c r="AT11006" s="19"/>
      <c r="AU11006" s="19"/>
    </row>
    <row r="11007" spans="3:47">
      <c r="C11007" s="20"/>
      <c r="Z11007" s="20"/>
      <c r="AG11007" s="20"/>
      <c r="AQ11007" s="19"/>
      <c r="AR11007" s="19"/>
      <c r="AS11007" s="19"/>
      <c r="AT11007" s="19"/>
      <c r="AU11007" s="19"/>
    </row>
    <row r="11008" spans="3:47">
      <c r="C11008" s="20"/>
      <c r="Z11008" s="20"/>
      <c r="AG11008" s="20"/>
      <c r="AQ11008" s="19"/>
      <c r="AR11008" s="19"/>
      <c r="AS11008" s="19"/>
      <c r="AT11008" s="19"/>
      <c r="AU11008" s="19"/>
    </row>
    <row r="11009" spans="3:47">
      <c r="C11009" s="20"/>
      <c r="Z11009" s="20"/>
      <c r="AG11009" s="20"/>
      <c r="AQ11009" s="19"/>
      <c r="AR11009" s="19"/>
      <c r="AS11009" s="19"/>
      <c r="AT11009" s="19"/>
      <c r="AU11009" s="19"/>
    </row>
    <row r="11010" spans="3:47">
      <c r="C11010" s="20"/>
      <c r="Z11010" s="20"/>
      <c r="AG11010" s="20"/>
      <c r="AQ11010" s="19"/>
      <c r="AR11010" s="19"/>
      <c r="AS11010" s="19"/>
      <c r="AT11010" s="19"/>
      <c r="AU11010" s="19"/>
    </row>
    <row r="11011" spans="3:47">
      <c r="C11011" s="20"/>
      <c r="Z11011" s="20"/>
      <c r="AG11011" s="20"/>
      <c r="AQ11011" s="19"/>
      <c r="AR11011" s="19"/>
      <c r="AS11011" s="19"/>
      <c r="AT11011" s="19"/>
      <c r="AU11011" s="19"/>
    </row>
    <row r="11012" spans="3:47">
      <c r="C11012" s="20"/>
      <c r="Z11012" s="20"/>
      <c r="AG11012" s="20"/>
      <c r="AQ11012" s="19"/>
      <c r="AR11012" s="19"/>
      <c r="AS11012" s="19"/>
      <c r="AT11012" s="19"/>
      <c r="AU11012" s="19"/>
    </row>
    <row r="11013" spans="3:47">
      <c r="C11013" s="20"/>
      <c r="Z11013" s="20"/>
      <c r="AG11013" s="20"/>
      <c r="AQ11013" s="19"/>
      <c r="AR11013" s="19"/>
      <c r="AS11013" s="19"/>
      <c r="AT11013" s="19"/>
      <c r="AU11013" s="19"/>
    </row>
    <row r="11014" spans="3:47">
      <c r="C11014" s="20"/>
      <c r="Z11014" s="20"/>
      <c r="AG11014" s="20"/>
      <c r="AQ11014" s="19"/>
      <c r="AR11014" s="19"/>
      <c r="AS11014" s="19"/>
      <c r="AT11014" s="19"/>
      <c r="AU11014" s="19"/>
    </row>
    <row r="11015" spans="3:47">
      <c r="C11015" s="20"/>
      <c r="Z11015" s="20"/>
      <c r="AG11015" s="20"/>
      <c r="AQ11015" s="19"/>
      <c r="AR11015" s="19"/>
      <c r="AS11015" s="19"/>
      <c r="AT11015" s="19"/>
      <c r="AU11015" s="19"/>
    </row>
    <row r="11016" spans="3:47">
      <c r="C11016" s="20"/>
      <c r="Z11016" s="20"/>
      <c r="AG11016" s="20"/>
      <c r="AQ11016" s="19"/>
      <c r="AR11016" s="19"/>
      <c r="AS11016" s="19"/>
      <c r="AT11016" s="19"/>
      <c r="AU11016" s="19"/>
    </row>
    <row r="11017" spans="3:47">
      <c r="C11017" s="20"/>
      <c r="Z11017" s="20"/>
      <c r="AG11017" s="20"/>
      <c r="AQ11017" s="19"/>
      <c r="AR11017" s="19"/>
      <c r="AS11017" s="19"/>
      <c r="AT11017" s="19"/>
      <c r="AU11017" s="19"/>
    </row>
    <row r="11018" spans="3:47">
      <c r="C11018" s="20"/>
      <c r="Z11018" s="20"/>
      <c r="AG11018" s="20"/>
      <c r="AQ11018" s="19"/>
      <c r="AR11018" s="19"/>
      <c r="AS11018" s="19"/>
      <c r="AT11018" s="19"/>
      <c r="AU11018" s="19"/>
    </row>
    <row r="11019" spans="3:47">
      <c r="C11019" s="20"/>
      <c r="Z11019" s="20"/>
      <c r="AG11019" s="20"/>
      <c r="AQ11019" s="19"/>
      <c r="AR11019" s="19"/>
      <c r="AS11019" s="19"/>
      <c r="AT11019" s="19"/>
      <c r="AU11019" s="19"/>
    </row>
    <row r="11020" spans="3:47">
      <c r="C11020" s="20"/>
      <c r="Z11020" s="20"/>
      <c r="AG11020" s="20"/>
      <c r="AQ11020" s="19"/>
      <c r="AR11020" s="19"/>
      <c r="AS11020" s="19"/>
      <c r="AT11020" s="19"/>
      <c r="AU11020" s="19"/>
    </row>
    <row r="11021" spans="3:47">
      <c r="C11021" s="20"/>
      <c r="Z11021" s="20"/>
      <c r="AG11021" s="20"/>
      <c r="AQ11021" s="19"/>
      <c r="AR11021" s="19"/>
      <c r="AS11021" s="19"/>
      <c r="AT11021" s="19"/>
      <c r="AU11021" s="19"/>
    </row>
    <row r="11022" spans="3:47">
      <c r="C11022" s="20"/>
      <c r="Z11022" s="20"/>
      <c r="AG11022" s="20"/>
      <c r="AQ11022" s="19"/>
      <c r="AR11022" s="19"/>
      <c r="AS11022" s="19"/>
      <c r="AT11022" s="19"/>
      <c r="AU11022" s="19"/>
    </row>
    <row r="11023" spans="3:47">
      <c r="C11023" s="20"/>
      <c r="Z11023" s="20"/>
      <c r="AG11023" s="20"/>
      <c r="AQ11023" s="19"/>
      <c r="AR11023" s="19"/>
      <c r="AS11023" s="19"/>
      <c r="AT11023" s="19"/>
      <c r="AU11023" s="19"/>
    </row>
    <row r="11024" spans="3:47">
      <c r="C11024" s="20"/>
      <c r="Z11024" s="20"/>
      <c r="AG11024" s="20"/>
      <c r="AQ11024" s="19"/>
      <c r="AR11024" s="19"/>
      <c r="AS11024" s="19"/>
      <c r="AT11024" s="19"/>
      <c r="AU11024" s="19"/>
    </row>
    <row r="11025" spans="3:47">
      <c r="C11025" s="20"/>
      <c r="Z11025" s="20"/>
      <c r="AG11025" s="20"/>
      <c r="AQ11025" s="19"/>
      <c r="AR11025" s="19"/>
      <c r="AS11025" s="19"/>
      <c r="AT11025" s="19"/>
      <c r="AU11025" s="19"/>
    </row>
    <row r="11026" spans="3:47">
      <c r="C11026" s="20"/>
      <c r="Z11026" s="20"/>
      <c r="AG11026" s="20"/>
      <c r="AQ11026" s="19"/>
      <c r="AR11026" s="19"/>
      <c r="AS11026" s="19"/>
      <c r="AT11026" s="19"/>
      <c r="AU11026" s="19"/>
    </row>
    <row r="11027" spans="3:47">
      <c r="C11027" s="20"/>
      <c r="Z11027" s="20"/>
      <c r="AG11027" s="20"/>
      <c r="AQ11027" s="19"/>
      <c r="AR11027" s="19"/>
      <c r="AS11027" s="19"/>
      <c r="AT11027" s="19"/>
      <c r="AU11027" s="19"/>
    </row>
    <row r="11028" spans="3:47">
      <c r="C11028" s="20"/>
      <c r="Z11028" s="20"/>
      <c r="AG11028" s="20"/>
      <c r="AQ11028" s="19"/>
      <c r="AR11028" s="19"/>
      <c r="AS11028" s="19"/>
      <c r="AT11028" s="19"/>
      <c r="AU11028" s="19"/>
    </row>
    <row r="11029" spans="3:47">
      <c r="C11029" s="20"/>
      <c r="Z11029" s="20"/>
      <c r="AG11029" s="20"/>
      <c r="AQ11029" s="19"/>
      <c r="AR11029" s="19"/>
      <c r="AS11029" s="19"/>
      <c r="AT11029" s="19"/>
      <c r="AU11029" s="19"/>
    </row>
    <row r="11030" spans="3:47">
      <c r="C11030" s="20"/>
      <c r="Z11030" s="20"/>
      <c r="AG11030" s="20"/>
      <c r="AQ11030" s="19"/>
      <c r="AR11030" s="19"/>
      <c r="AS11030" s="19"/>
      <c r="AT11030" s="19"/>
      <c r="AU11030" s="19"/>
    </row>
    <row r="11031" spans="3:47">
      <c r="C11031" s="20"/>
      <c r="Z11031" s="20"/>
      <c r="AG11031" s="20"/>
      <c r="AQ11031" s="19"/>
      <c r="AR11031" s="19"/>
      <c r="AS11031" s="19"/>
      <c r="AT11031" s="19"/>
      <c r="AU11031" s="19"/>
    </row>
    <row r="11032" spans="3:47">
      <c r="C11032" s="20"/>
      <c r="Z11032" s="20"/>
      <c r="AG11032" s="20"/>
      <c r="AQ11032" s="19"/>
      <c r="AR11032" s="19"/>
      <c r="AS11032" s="19"/>
      <c r="AT11032" s="19"/>
      <c r="AU11032" s="19"/>
    </row>
    <row r="11033" spans="3:47">
      <c r="C11033" s="20"/>
      <c r="Z11033" s="20"/>
      <c r="AG11033" s="20"/>
      <c r="AQ11033" s="19"/>
      <c r="AR11033" s="19"/>
      <c r="AS11033" s="19"/>
      <c r="AT11033" s="19"/>
      <c r="AU11033" s="19"/>
    </row>
    <row r="11034" spans="3:47">
      <c r="C11034" s="20"/>
      <c r="Z11034" s="20"/>
      <c r="AG11034" s="20"/>
      <c r="AQ11034" s="19"/>
      <c r="AR11034" s="19"/>
      <c r="AS11034" s="19"/>
      <c r="AT11034" s="19"/>
      <c r="AU11034" s="19"/>
    </row>
    <row r="11035" spans="3:47">
      <c r="C11035" s="20"/>
      <c r="Z11035" s="20"/>
      <c r="AG11035" s="20"/>
      <c r="AQ11035" s="19"/>
      <c r="AR11035" s="19"/>
      <c r="AS11035" s="19"/>
      <c r="AT11035" s="19"/>
      <c r="AU11035" s="19"/>
    </row>
    <row r="11036" spans="3:47">
      <c r="C11036" s="20"/>
      <c r="Z11036" s="20"/>
      <c r="AG11036" s="20"/>
      <c r="AQ11036" s="19"/>
      <c r="AR11036" s="19"/>
      <c r="AS11036" s="19"/>
      <c r="AT11036" s="19"/>
      <c r="AU11036" s="19"/>
    </row>
    <row r="11037" spans="3:47">
      <c r="C11037" s="20"/>
      <c r="Z11037" s="20"/>
      <c r="AG11037" s="20"/>
      <c r="AQ11037" s="19"/>
      <c r="AR11037" s="19"/>
      <c r="AS11037" s="19"/>
      <c r="AT11037" s="19"/>
      <c r="AU11037" s="19"/>
    </row>
    <row r="11038" spans="3:47">
      <c r="C11038" s="20"/>
      <c r="Z11038" s="20"/>
      <c r="AG11038" s="20"/>
      <c r="AQ11038" s="19"/>
      <c r="AR11038" s="19"/>
      <c r="AS11038" s="19"/>
      <c r="AT11038" s="19"/>
      <c r="AU11038" s="19"/>
    </row>
    <row r="11039" spans="3:47">
      <c r="C11039" s="20"/>
      <c r="Z11039" s="20"/>
      <c r="AG11039" s="20"/>
      <c r="AQ11039" s="19"/>
      <c r="AR11039" s="19"/>
      <c r="AS11039" s="19"/>
      <c r="AT11039" s="19"/>
      <c r="AU11039" s="19"/>
    </row>
    <row r="11040" spans="3:47">
      <c r="C11040" s="20"/>
      <c r="Z11040" s="20"/>
      <c r="AG11040" s="20"/>
      <c r="AQ11040" s="19"/>
      <c r="AR11040" s="19"/>
      <c r="AS11040" s="19"/>
      <c r="AT11040" s="19"/>
      <c r="AU11040" s="19"/>
    </row>
    <row r="11041" spans="3:47">
      <c r="C11041" s="20"/>
      <c r="Z11041" s="20"/>
      <c r="AG11041" s="20"/>
      <c r="AQ11041" s="19"/>
      <c r="AR11041" s="19"/>
      <c r="AS11041" s="19"/>
      <c r="AT11041" s="19"/>
      <c r="AU11041" s="19"/>
    </row>
    <row r="11042" spans="3:47">
      <c r="C11042" s="20"/>
      <c r="Z11042" s="20"/>
      <c r="AG11042" s="20"/>
      <c r="AQ11042" s="19"/>
      <c r="AR11042" s="19"/>
      <c r="AS11042" s="19"/>
      <c r="AT11042" s="19"/>
      <c r="AU11042" s="19"/>
    </row>
    <row r="11043" spans="3:47">
      <c r="C11043" s="20"/>
      <c r="Z11043" s="20"/>
      <c r="AG11043" s="20"/>
      <c r="AQ11043" s="19"/>
      <c r="AR11043" s="19"/>
      <c r="AS11043" s="19"/>
      <c r="AT11043" s="19"/>
      <c r="AU11043" s="19"/>
    </row>
    <row r="11044" spans="3:47">
      <c r="C11044" s="20"/>
      <c r="Z11044" s="20"/>
      <c r="AG11044" s="20"/>
      <c r="AQ11044" s="19"/>
      <c r="AR11044" s="19"/>
      <c r="AS11044" s="19"/>
      <c r="AT11044" s="19"/>
      <c r="AU11044" s="19"/>
    </row>
    <row r="11045" spans="3:47">
      <c r="C11045" s="20"/>
      <c r="Z11045" s="20"/>
      <c r="AG11045" s="20"/>
      <c r="AQ11045" s="19"/>
      <c r="AR11045" s="19"/>
      <c r="AS11045" s="19"/>
      <c r="AT11045" s="19"/>
      <c r="AU11045" s="19"/>
    </row>
    <row r="11046" spans="3:47">
      <c r="C11046" s="20"/>
      <c r="Z11046" s="20"/>
      <c r="AG11046" s="20"/>
      <c r="AQ11046" s="19"/>
      <c r="AR11046" s="19"/>
      <c r="AS11046" s="19"/>
      <c r="AT11046" s="19"/>
      <c r="AU11046" s="19"/>
    </row>
    <row r="11047" spans="3:47">
      <c r="C11047" s="20"/>
      <c r="Z11047" s="20"/>
      <c r="AG11047" s="20"/>
      <c r="AQ11047" s="19"/>
      <c r="AR11047" s="19"/>
      <c r="AS11047" s="19"/>
      <c r="AT11047" s="19"/>
      <c r="AU11047" s="19"/>
    </row>
    <row r="11048" spans="3:47">
      <c r="C11048" s="20"/>
      <c r="Z11048" s="20"/>
      <c r="AG11048" s="20"/>
      <c r="AQ11048" s="19"/>
      <c r="AR11048" s="19"/>
      <c r="AS11048" s="19"/>
      <c r="AT11048" s="19"/>
      <c r="AU11048" s="19"/>
    </row>
    <row r="11049" spans="3:47">
      <c r="C11049" s="20"/>
      <c r="Z11049" s="20"/>
      <c r="AG11049" s="20"/>
      <c r="AQ11049" s="19"/>
      <c r="AR11049" s="19"/>
      <c r="AS11049" s="19"/>
      <c r="AT11049" s="19"/>
      <c r="AU11049" s="19"/>
    </row>
    <row r="11050" spans="3:47">
      <c r="C11050" s="20"/>
      <c r="Z11050" s="20"/>
      <c r="AG11050" s="20"/>
      <c r="AQ11050" s="19"/>
      <c r="AR11050" s="19"/>
      <c r="AS11050" s="19"/>
      <c r="AT11050" s="19"/>
      <c r="AU11050" s="19"/>
    </row>
    <row r="11051" spans="3:47">
      <c r="C11051" s="20"/>
      <c r="Z11051" s="20"/>
      <c r="AG11051" s="20"/>
      <c r="AQ11051" s="19"/>
      <c r="AR11051" s="19"/>
      <c r="AS11051" s="19"/>
      <c r="AT11051" s="19"/>
      <c r="AU11051" s="19"/>
    </row>
    <row r="11052" spans="3:47">
      <c r="C11052" s="20"/>
      <c r="Z11052" s="20"/>
      <c r="AG11052" s="20"/>
      <c r="AQ11052" s="19"/>
      <c r="AR11052" s="19"/>
      <c r="AS11052" s="19"/>
      <c r="AT11052" s="19"/>
      <c r="AU11052" s="19"/>
    </row>
    <row r="11053" spans="3:47">
      <c r="C11053" s="20"/>
      <c r="Z11053" s="20"/>
      <c r="AG11053" s="20"/>
      <c r="AQ11053" s="19"/>
      <c r="AR11053" s="19"/>
      <c r="AS11053" s="19"/>
      <c r="AT11053" s="19"/>
      <c r="AU11053" s="19"/>
    </row>
    <row r="11054" spans="3:47">
      <c r="C11054" s="20"/>
      <c r="Z11054" s="20"/>
      <c r="AG11054" s="20"/>
      <c r="AQ11054" s="19"/>
      <c r="AR11054" s="19"/>
      <c r="AS11054" s="19"/>
      <c r="AT11054" s="19"/>
      <c r="AU11054" s="19"/>
    </row>
    <row r="11055" spans="3:47">
      <c r="C11055" s="20"/>
      <c r="Z11055" s="20"/>
      <c r="AG11055" s="20"/>
      <c r="AQ11055" s="19"/>
      <c r="AR11055" s="19"/>
      <c r="AS11055" s="19"/>
      <c r="AT11055" s="19"/>
      <c r="AU11055" s="19"/>
    </row>
    <row r="11056" spans="3:47">
      <c r="C11056" s="20"/>
      <c r="Z11056" s="20"/>
      <c r="AG11056" s="20"/>
      <c r="AQ11056" s="19"/>
      <c r="AR11056" s="19"/>
      <c r="AS11056" s="19"/>
      <c r="AT11056" s="19"/>
      <c r="AU11056" s="19"/>
    </row>
    <row r="11057" spans="3:47">
      <c r="C11057" s="20"/>
      <c r="Z11057" s="20"/>
      <c r="AG11057" s="20"/>
      <c r="AQ11057" s="19"/>
      <c r="AR11057" s="19"/>
      <c r="AS11057" s="19"/>
      <c r="AT11057" s="19"/>
      <c r="AU11057" s="19"/>
    </row>
    <row r="11058" spans="3:47">
      <c r="C11058" s="20"/>
      <c r="Z11058" s="20"/>
      <c r="AG11058" s="20"/>
      <c r="AQ11058" s="19"/>
      <c r="AR11058" s="19"/>
      <c r="AS11058" s="19"/>
      <c r="AT11058" s="19"/>
      <c r="AU11058" s="19"/>
    </row>
    <row r="11059" spans="3:47">
      <c r="C11059" s="20"/>
      <c r="Z11059" s="20"/>
      <c r="AG11059" s="20"/>
      <c r="AQ11059" s="19"/>
      <c r="AR11059" s="19"/>
      <c r="AS11059" s="19"/>
      <c r="AT11059" s="19"/>
      <c r="AU11059" s="19"/>
    </row>
    <row r="11060" spans="3:47">
      <c r="C11060" s="20"/>
      <c r="Z11060" s="20"/>
      <c r="AG11060" s="20"/>
      <c r="AQ11060" s="19"/>
      <c r="AR11060" s="19"/>
      <c r="AS11060" s="19"/>
      <c r="AT11060" s="19"/>
      <c r="AU11060" s="19"/>
    </row>
    <row r="11061" spans="3:47">
      <c r="C11061" s="20"/>
      <c r="Z11061" s="20"/>
      <c r="AG11061" s="20"/>
      <c r="AQ11061" s="19"/>
      <c r="AR11061" s="19"/>
      <c r="AS11061" s="19"/>
      <c r="AT11061" s="19"/>
      <c r="AU11061" s="19"/>
    </row>
    <row r="11062" spans="3:47">
      <c r="C11062" s="20"/>
      <c r="Z11062" s="20"/>
      <c r="AG11062" s="20"/>
      <c r="AQ11062" s="19"/>
      <c r="AR11062" s="19"/>
      <c r="AS11062" s="19"/>
      <c r="AT11062" s="19"/>
      <c r="AU11062" s="19"/>
    </row>
    <row r="11063" spans="3:47">
      <c r="C11063" s="20"/>
      <c r="Z11063" s="20"/>
      <c r="AG11063" s="20"/>
      <c r="AQ11063" s="19"/>
      <c r="AR11063" s="19"/>
      <c r="AS11063" s="19"/>
      <c r="AT11063" s="19"/>
      <c r="AU11063" s="19"/>
    </row>
    <row r="11064" spans="3:47">
      <c r="C11064" s="20"/>
      <c r="Z11064" s="20"/>
      <c r="AG11064" s="20"/>
      <c r="AQ11064" s="19"/>
      <c r="AR11064" s="19"/>
      <c r="AS11064" s="19"/>
      <c r="AT11064" s="19"/>
      <c r="AU11064" s="19"/>
    </row>
    <row r="11065" spans="3:47">
      <c r="C11065" s="20"/>
      <c r="Z11065" s="20"/>
      <c r="AG11065" s="20"/>
      <c r="AQ11065" s="19"/>
      <c r="AR11065" s="19"/>
      <c r="AS11065" s="19"/>
      <c r="AT11065" s="19"/>
      <c r="AU11065" s="19"/>
    </row>
    <row r="11066" spans="3:47">
      <c r="C11066" s="20"/>
      <c r="Z11066" s="20"/>
      <c r="AG11066" s="20"/>
      <c r="AQ11066" s="19"/>
      <c r="AR11066" s="19"/>
      <c r="AS11066" s="19"/>
      <c r="AT11066" s="19"/>
      <c r="AU11066" s="19"/>
    </row>
    <row r="11067" spans="3:47">
      <c r="C11067" s="20"/>
      <c r="Z11067" s="20"/>
      <c r="AG11067" s="20"/>
      <c r="AQ11067" s="19"/>
      <c r="AR11067" s="19"/>
      <c r="AS11067" s="19"/>
      <c r="AT11067" s="19"/>
      <c r="AU11067" s="19"/>
    </row>
    <row r="11068" spans="3:47">
      <c r="C11068" s="20"/>
      <c r="Z11068" s="20"/>
      <c r="AG11068" s="20"/>
      <c r="AQ11068" s="19"/>
      <c r="AR11068" s="19"/>
      <c r="AS11068" s="19"/>
      <c r="AT11068" s="19"/>
      <c r="AU11068" s="19"/>
    </row>
    <row r="11069" spans="3:47">
      <c r="C11069" s="20"/>
      <c r="Z11069" s="20"/>
      <c r="AG11069" s="20"/>
      <c r="AQ11069" s="19"/>
      <c r="AR11069" s="19"/>
      <c r="AS11069" s="19"/>
      <c r="AT11069" s="19"/>
      <c r="AU11069" s="19"/>
    </row>
    <row r="11070" spans="3:47">
      <c r="C11070" s="20"/>
      <c r="Z11070" s="20"/>
      <c r="AG11070" s="20"/>
      <c r="AQ11070" s="19"/>
      <c r="AR11070" s="19"/>
      <c r="AS11070" s="19"/>
      <c r="AT11070" s="19"/>
      <c r="AU11070" s="19"/>
    </row>
    <row r="11071" spans="3:47">
      <c r="C11071" s="20"/>
      <c r="Z11071" s="20"/>
      <c r="AG11071" s="20"/>
      <c r="AQ11071" s="19"/>
      <c r="AR11071" s="19"/>
      <c r="AS11071" s="19"/>
      <c r="AT11071" s="19"/>
      <c r="AU11071" s="19"/>
    </row>
    <row r="11072" spans="3:47">
      <c r="C11072" s="20"/>
      <c r="Z11072" s="20"/>
      <c r="AG11072" s="20"/>
      <c r="AQ11072" s="19"/>
      <c r="AR11072" s="19"/>
      <c r="AS11072" s="19"/>
      <c r="AT11072" s="19"/>
      <c r="AU11072" s="19"/>
    </row>
    <row r="11073" spans="3:47">
      <c r="C11073" s="20"/>
      <c r="Z11073" s="20"/>
      <c r="AG11073" s="20"/>
      <c r="AQ11073" s="19"/>
      <c r="AR11073" s="19"/>
      <c r="AS11073" s="19"/>
      <c r="AT11073" s="19"/>
      <c r="AU11073" s="19"/>
    </row>
    <row r="11074" spans="3:47">
      <c r="C11074" s="20"/>
      <c r="Z11074" s="20"/>
      <c r="AG11074" s="20"/>
      <c r="AQ11074" s="19"/>
      <c r="AR11074" s="19"/>
      <c r="AS11074" s="19"/>
      <c r="AT11074" s="19"/>
      <c r="AU11074" s="19"/>
    </row>
    <row r="11075" spans="3:47">
      <c r="C11075" s="20"/>
      <c r="Z11075" s="20"/>
      <c r="AG11075" s="20"/>
      <c r="AQ11075" s="19"/>
      <c r="AR11075" s="19"/>
      <c r="AS11075" s="19"/>
      <c r="AT11075" s="19"/>
      <c r="AU11075" s="19"/>
    </row>
    <row r="11076" spans="3:47">
      <c r="C11076" s="20"/>
      <c r="Z11076" s="20"/>
      <c r="AG11076" s="20"/>
      <c r="AQ11076" s="19"/>
      <c r="AR11076" s="19"/>
      <c r="AS11076" s="19"/>
      <c r="AT11076" s="19"/>
      <c r="AU11076" s="19"/>
    </row>
    <row r="11077" spans="3:47">
      <c r="C11077" s="20"/>
      <c r="Z11077" s="20"/>
      <c r="AG11077" s="20"/>
      <c r="AQ11077" s="19"/>
      <c r="AR11077" s="19"/>
      <c r="AS11077" s="19"/>
      <c r="AT11077" s="19"/>
      <c r="AU11077" s="19"/>
    </row>
    <row r="11078" spans="3:47">
      <c r="C11078" s="20"/>
      <c r="Z11078" s="20"/>
      <c r="AG11078" s="20"/>
      <c r="AQ11078" s="19"/>
      <c r="AR11078" s="19"/>
      <c r="AS11078" s="19"/>
      <c r="AT11078" s="19"/>
      <c r="AU11078" s="19"/>
    </row>
    <row r="11079" spans="3:47">
      <c r="C11079" s="20"/>
      <c r="Z11079" s="20"/>
      <c r="AG11079" s="20"/>
      <c r="AQ11079" s="19"/>
      <c r="AR11079" s="19"/>
      <c r="AS11079" s="19"/>
      <c r="AT11079" s="19"/>
      <c r="AU11079" s="19"/>
    </row>
    <row r="11080" spans="3:47">
      <c r="C11080" s="20"/>
      <c r="Z11080" s="20"/>
      <c r="AG11080" s="20"/>
      <c r="AQ11080" s="19"/>
      <c r="AR11080" s="19"/>
      <c r="AS11080" s="19"/>
      <c r="AT11080" s="19"/>
      <c r="AU11080" s="19"/>
    </row>
    <row r="11081" spans="3:47">
      <c r="C11081" s="20"/>
      <c r="Z11081" s="20"/>
      <c r="AG11081" s="20"/>
      <c r="AQ11081" s="19"/>
      <c r="AR11081" s="19"/>
      <c r="AS11081" s="19"/>
      <c r="AT11081" s="19"/>
      <c r="AU11081" s="19"/>
    </row>
    <row r="11082" spans="3:47">
      <c r="C11082" s="20"/>
      <c r="Z11082" s="20"/>
      <c r="AG11082" s="20"/>
      <c r="AQ11082" s="19"/>
      <c r="AR11082" s="19"/>
      <c r="AS11082" s="19"/>
      <c r="AT11082" s="19"/>
      <c r="AU11082" s="19"/>
    </row>
    <row r="11083" spans="3:47">
      <c r="C11083" s="20"/>
      <c r="Z11083" s="20"/>
      <c r="AG11083" s="20"/>
      <c r="AQ11083" s="19"/>
      <c r="AR11083" s="19"/>
      <c r="AS11083" s="19"/>
      <c r="AT11083" s="19"/>
      <c r="AU11083" s="19"/>
    </row>
    <row r="11084" spans="3:47">
      <c r="C11084" s="20"/>
      <c r="Z11084" s="20"/>
      <c r="AG11084" s="20"/>
      <c r="AQ11084" s="19"/>
      <c r="AR11084" s="19"/>
      <c r="AS11084" s="19"/>
      <c r="AT11084" s="19"/>
      <c r="AU11084" s="19"/>
    </row>
    <row r="11085" spans="3:47">
      <c r="C11085" s="20"/>
      <c r="Z11085" s="20"/>
      <c r="AG11085" s="20"/>
      <c r="AQ11085" s="19"/>
      <c r="AR11085" s="19"/>
      <c r="AS11085" s="19"/>
      <c r="AT11085" s="19"/>
      <c r="AU11085" s="19"/>
    </row>
    <row r="11086" spans="3:47">
      <c r="C11086" s="20"/>
      <c r="Z11086" s="20"/>
      <c r="AG11086" s="20"/>
      <c r="AQ11086" s="19"/>
      <c r="AR11086" s="19"/>
      <c r="AS11086" s="19"/>
      <c r="AT11086" s="19"/>
      <c r="AU11086" s="19"/>
    </row>
    <row r="11087" spans="3:47">
      <c r="C11087" s="20"/>
      <c r="Z11087" s="20"/>
      <c r="AG11087" s="20"/>
      <c r="AQ11087" s="19"/>
      <c r="AR11087" s="19"/>
      <c r="AS11087" s="19"/>
      <c r="AT11087" s="19"/>
      <c r="AU11087" s="19"/>
    </row>
    <row r="11088" spans="3:47">
      <c r="C11088" s="20"/>
      <c r="Z11088" s="20"/>
      <c r="AG11088" s="20"/>
      <c r="AQ11088" s="19"/>
      <c r="AR11088" s="19"/>
      <c r="AS11088" s="19"/>
      <c r="AT11088" s="19"/>
      <c r="AU11088" s="19"/>
    </row>
    <row r="11089" spans="3:47">
      <c r="C11089" s="20"/>
      <c r="Z11089" s="20"/>
      <c r="AG11089" s="20"/>
      <c r="AQ11089" s="19"/>
      <c r="AR11089" s="19"/>
      <c r="AS11089" s="19"/>
      <c r="AT11089" s="19"/>
      <c r="AU11089" s="19"/>
    </row>
    <row r="11090" spans="3:47">
      <c r="C11090" s="20"/>
      <c r="Z11090" s="20"/>
      <c r="AG11090" s="20"/>
      <c r="AQ11090" s="19"/>
      <c r="AR11090" s="19"/>
      <c r="AS11090" s="19"/>
      <c r="AT11090" s="19"/>
      <c r="AU11090" s="19"/>
    </row>
    <row r="11091" spans="3:47">
      <c r="C11091" s="20"/>
      <c r="Z11091" s="20"/>
      <c r="AG11091" s="20"/>
      <c r="AQ11091" s="19"/>
      <c r="AR11091" s="19"/>
      <c r="AS11091" s="19"/>
      <c r="AT11091" s="19"/>
      <c r="AU11091" s="19"/>
    </row>
    <row r="11092" spans="3:47">
      <c r="C11092" s="20"/>
      <c r="Z11092" s="20"/>
      <c r="AG11092" s="20"/>
      <c r="AQ11092" s="19"/>
      <c r="AR11092" s="19"/>
      <c r="AS11092" s="19"/>
      <c r="AT11092" s="19"/>
      <c r="AU11092" s="19"/>
    </row>
    <row r="11093" spans="3:47">
      <c r="C11093" s="20"/>
      <c r="Z11093" s="20"/>
      <c r="AG11093" s="20"/>
      <c r="AQ11093" s="19"/>
      <c r="AR11093" s="19"/>
      <c r="AS11093" s="19"/>
      <c r="AT11093" s="19"/>
      <c r="AU11093" s="19"/>
    </row>
    <row r="11094" spans="3:47">
      <c r="C11094" s="20"/>
      <c r="Z11094" s="20"/>
      <c r="AG11094" s="20"/>
      <c r="AQ11094" s="19"/>
      <c r="AR11094" s="19"/>
      <c r="AS11094" s="19"/>
      <c r="AT11094" s="19"/>
      <c r="AU11094" s="19"/>
    </row>
    <row r="11095" spans="3:47">
      <c r="C11095" s="20"/>
      <c r="Z11095" s="20"/>
      <c r="AG11095" s="20"/>
      <c r="AQ11095" s="19"/>
      <c r="AR11095" s="19"/>
      <c r="AS11095" s="19"/>
      <c r="AT11095" s="19"/>
      <c r="AU11095" s="19"/>
    </row>
    <row r="11096" spans="3:47">
      <c r="C11096" s="20"/>
      <c r="Z11096" s="20"/>
      <c r="AG11096" s="20"/>
      <c r="AQ11096" s="19"/>
      <c r="AR11096" s="19"/>
      <c r="AS11096" s="19"/>
      <c r="AT11096" s="19"/>
      <c r="AU11096" s="19"/>
    </row>
    <row r="11097" spans="3:47">
      <c r="C11097" s="20"/>
      <c r="Z11097" s="20"/>
      <c r="AG11097" s="20"/>
      <c r="AQ11097" s="19"/>
      <c r="AR11097" s="19"/>
      <c r="AS11097" s="19"/>
      <c r="AT11097" s="19"/>
      <c r="AU11097" s="19"/>
    </row>
    <row r="11098" spans="3:47">
      <c r="C11098" s="20"/>
      <c r="Z11098" s="20"/>
      <c r="AG11098" s="20"/>
      <c r="AQ11098" s="19"/>
      <c r="AR11098" s="19"/>
      <c r="AS11098" s="19"/>
      <c r="AT11098" s="19"/>
      <c r="AU11098" s="19"/>
    </row>
    <row r="11099" spans="3:47">
      <c r="C11099" s="20"/>
      <c r="Z11099" s="20"/>
      <c r="AG11099" s="20"/>
      <c r="AQ11099" s="19"/>
      <c r="AR11099" s="19"/>
      <c r="AS11099" s="19"/>
      <c r="AT11099" s="19"/>
      <c r="AU11099" s="19"/>
    </row>
    <row r="11100" spans="3:47">
      <c r="C11100" s="20"/>
      <c r="Z11100" s="20"/>
      <c r="AG11100" s="20"/>
      <c r="AQ11100" s="19"/>
      <c r="AR11100" s="19"/>
      <c r="AS11100" s="19"/>
      <c r="AT11100" s="19"/>
      <c r="AU11100" s="19"/>
    </row>
    <row r="11101" spans="3:47">
      <c r="C11101" s="20"/>
      <c r="Z11101" s="20"/>
      <c r="AG11101" s="20"/>
      <c r="AQ11101" s="19"/>
      <c r="AR11101" s="19"/>
      <c r="AS11101" s="19"/>
      <c r="AT11101" s="19"/>
      <c r="AU11101" s="19"/>
    </row>
    <row r="11102" spans="3:47">
      <c r="C11102" s="20"/>
      <c r="Z11102" s="20"/>
      <c r="AG11102" s="20"/>
      <c r="AQ11102" s="19"/>
      <c r="AR11102" s="19"/>
      <c r="AS11102" s="19"/>
      <c r="AT11102" s="19"/>
      <c r="AU11102" s="19"/>
    </row>
    <row r="11103" spans="3:47">
      <c r="C11103" s="20"/>
      <c r="Z11103" s="20"/>
      <c r="AG11103" s="20"/>
      <c r="AQ11103" s="19"/>
      <c r="AR11103" s="19"/>
      <c r="AS11103" s="19"/>
      <c r="AT11103" s="19"/>
      <c r="AU11103" s="19"/>
    </row>
    <row r="11104" spans="3:47">
      <c r="C11104" s="20"/>
      <c r="Z11104" s="20"/>
      <c r="AG11104" s="20"/>
      <c r="AQ11104" s="19"/>
      <c r="AR11104" s="19"/>
      <c r="AS11104" s="19"/>
      <c r="AT11104" s="19"/>
      <c r="AU11104" s="19"/>
    </row>
    <row r="11105" spans="3:47">
      <c r="C11105" s="20"/>
      <c r="Z11105" s="20"/>
      <c r="AG11105" s="20"/>
      <c r="AQ11105" s="19"/>
      <c r="AR11105" s="19"/>
      <c r="AS11105" s="19"/>
      <c r="AT11105" s="19"/>
      <c r="AU11105" s="19"/>
    </row>
    <row r="11106" spans="3:47">
      <c r="C11106" s="20"/>
      <c r="Z11106" s="20"/>
      <c r="AG11106" s="20"/>
      <c r="AQ11106" s="19"/>
      <c r="AR11106" s="19"/>
      <c r="AS11106" s="19"/>
      <c r="AT11106" s="19"/>
      <c r="AU11106" s="19"/>
    </row>
    <row r="11107" spans="3:47">
      <c r="C11107" s="20"/>
      <c r="Z11107" s="20"/>
      <c r="AG11107" s="20"/>
      <c r="AQ11107" s="19"/>
      <c r="AR11107" s="19"/>
      <c r="AS11107" s="19"/>
      <c r="AT11107" s="19"/>
      <c r="AU11107" s="19"/>
    </row>
    <row r="11108" spans="3:47">
      <c r="C11108" s="20"/>
      <c r="Z11108" s="20"/>
      <c r="AG11108" s="20"/>
      <c r="AQ11108" s="19"/>
      <c r="AR11108" s="19"/>
      <c r="AS11108" s="19"/>
      <c r="AT11108" s="19"/>
      <c r="AU11108" s="19"/>
    </row>
    <row r="11109" spans="3:47">
      <c r="C11109" s="20"/>
      <c r="Z11109" s="20"/>
      <c r="AG11109" s="20"/>
      <c r="AQ11109" s="19"/>
      <c r="AR11109" s="19"/>
      <c r="AS11109" s="19"/>
      <c r="AT11109" s="19"/>
      <c r="AU11109" s="19"/>
    </row>
    <row r="11110" spans="3:47">
      <c r="C11110" s="20"/>
      <c r="Z11110" s="20"/>
      <c r="AG11110" s="20"/>
      <c r="AQ11110" s="19"/>
      <c r="AR11110" s="19"/>
      <c r="AS11110" s="19"/>
      <c r="AT11110" s="19"/>
      <c r="AU11110" s="19"/>
    </row>
    <row r="11111" spans="3:47">
      <c r="C11111" s="20"/>
      <c r="Z11111" s="20"/>
      <c r="AG11111" s="20"/>
      <c r="AQ11111" s="19"/>
      <c r="AR11111" s="19"/>
      <c r="AS11111" s="19"/>
      <c r="AT11111" s="19"/>
      <c r="AU11111" s="19"/>
    </row>
    <row r="11112" spans="3:47">
      <c r="C11112" s="20"/>
      <c r="Z11112" s="20"/>
      <c r="AG11112" s="20"/>
      <c r="AQ11112" s="19"/>
      <c r="AR11112" s="19"/>
      <c r="AS11112" s="19"/>
      <c r="AT11112" s="19"/>
      <c r="AU11112" s="19"/>
    </row>
    <row r="11113" spans="3:47">
      <c r="C11113" s="20"/>
      <c r="Z11113" s="20"/>
      <c r="AG11113" s="20"/>
      <c r="AQ11113" s="19"/>
      <c r="AR11113" s="19"/>
      <c r="AS11113" s="19"/>
      <c r="AT11113" s="19"/>
      <c r="AU11113" s="19"/>
    </row>
    <row r="11114" spans="3:47">
      <c r="C11114" s="20"/>
      <c r="Z11114" s="20"/>
      <c r="AG11114" s="20"/>
      <c r="AQ11114" s="19"/>
      <c r="AR11114" s="19"/>
      <c r="AS11114" s="19"/>
      <c r="AT11114" s="19"/>
      <c r="AU11114" s="19"/>
    </row>
    <row r="11115" spans="3:47">
      <c r="C11115" s="20"/>
      <c r="Z11115" s="20"/>
      <c r="AG11115" s="20"/>
      <c r="AQ11115" s="19"/>
      <c r="AR11115" s="19"/>
      <c r="AS11115" s="19"/>
      <c r="AT11115" s="19"/>
      <c r="AU11115" s="19"/>
    </row>
    <row r="11116" spans="3:47">
      <c r="C11116" s="20"/>
      <c r="Z11116" s="20"/>
      <c r="AG11116" s="20"/>
      <c r="AQ11116" s="19"/>
      <c r="AR11116" s="19"/>
      <c r="AS11116" s="19"/>
      <c r="AT11116" s="19"/>
      <c r="AU11116" s="19"/>
    </row>
    <row r="11117" spans="3:47">
      <c r="C11117" s="20"/>
      <c r="Z11117" s="20"/>
      <c r="AG11117" s="20"/>
      <c r="AQ11117" s="19"/>
      <c r="AR11117" s="19"/>
      <c r="AS11117" s="19"/>
      <c r="AT11117" s="19"/>
      <c r="AU11117" s="19"/>
    </row>
    <row r="11118" spans="3:47">
      <c r="C11118" s="20"/>
      <c r="Z11118" s="20"/>
      <c r="AG11118" s="20"/>
      <c r="AQ11118" s="19"/>
      <c r="AR11118" s="19"/>
      <c r="AS11118" s="19"/>
      <c r="AT11118" s="19"/>
      <c r="AU11118" s="19"/>
    </row>
    <row r="11119" spans="3:47">
      <c r="C11119" s="20"/>
      <c r="Z11119" s="20"/>
      <c r="AG11119" s="20"/>
      <c r="AQ11119" s="19"/>
      <c r="AR11119" s="19"/>
      <c r="AS11119" s="19"/>
      <c r="AT11119" s="19"/>
      <c r="AU11119" s="19"/>
    </row>
    <row r="11120" spans="3:47">
      <c r="C11120" s="20"/>
      <c r="Z11120" s="20"/>
      <c r="AG11120" s="20"/>
      <c r="AQ11120" s="19"/>
      <c r="AR11120" s="19"/>
      <c r="AS11120" s="19"/>
      <c r="AT11120" s="19"/>
      <c r="AU11120" s="19"/>
    </row>
    <row r="11121" spans="3:47">
      <c r="C11121" s="20"/>
      <c r="Z11121" s="20"/>
      <c r="AG11121" s="20"/>
      <c r="AQ11121" s="19"/>
      <c r="AR11121" s="19"/>
      <c r="AS11121" s="19"/>
      <c r="AT11121" s="19"/>
      <c r="AU11121" s="19"/>
    </row>
    <row r="11122" spans="3:47">
      <c r="C11122" s="20"/>
      <c r="Z11122" s="20"/>
      <c r="AG11122" s="20"/>
      <c r="AQ11122" s="19"/>
      <c r="AR11122" s="19"/>
      <c r="AS11122" s="19"/>
      <c r="AT11122" s="19"/>
      <c r="AU11122" s="19"/>
    </row>
    <row r="11123" spans="3:47">
      <c r="C11123" s="20"/>
      <c r="Z11123" s="20"/>
      <c r="AG11123" s="20"/>
      <c r="AQ11123" s="19"/>
      <c r="AR11123" s="19"/>
      <c r="AS11123" s="19"/>
      <c r="AT11123" s="19"/>
      <c r="AU11123" s="19"/>
    </row>
    <row r="11124" spans="3:47">
      <c r="C11124" s="20"/>
      <c r="Z11124" s="20"/>
      <c r="AG11124" s="20"/>
      <c r="AQ11124" s="19"/>
      <c r="AR11124" s="19"/>
      <c r="AS11124" s="19"/>
      <c r="AT11124" s="19"/>
      <c r="AU11124" s="19"/>
    </row>
    <row r="11125" spans="3:47">
      <c r="C11125" s="20"/>
      <c r="Z11125" s="20"/>
      <c r="AG11125" s="20"/>
      <c r="AQ11125" s="19"/>
      <c r="AR11125" s="19"/>
      <c r="AS11125" s="19"/>
      <c r="AT11125" s="19"/>
      <c r="AU11125" s="19"/>
    </row>
    <row r="11126" spans="3:47">
      <c r="C11126" s="20"/>
      <c r="Z11126" s="20"/>
      <c r="AG11126" s="20"/>
      <c r="AQ11126" s="19"/>
      <c r="AR11126" s="19"/>
      <c r="AS11126" s="19"/>
      <c r="AT11126" s="19"/>
      <c r="AU11126" s="19"/>
    </row>
    <row r="11127" spans="3:47">
      <c r="C11127" s="20"/>
      <c r="Z11127" s="20"/>
      <c r="AG11127" s="20"/>
      <c r="AQ11127" s="19"/>
      <c r="AR11127" s="19"/>
      <c r="AS11127" s="19"/>
      <c r="AT11127" s="19"/>
      <c r="AU11127" s="19"/>
    </row>
    <row r="11128" spans="3:47">
      <c r="C11128" s="20"/>
      <c r="Z11128" s="20"/>
      <c r="AG11128" s="20"/>
      <c r="AQ11128" s="19"/>
      <c r="AR11128" s="19"/>
      <c r="AS11128" s="19"/>
      <c r="AT11128" s="19"/>
      <c r="AU11128" s="19"/>
    </row>
    <row r="11129" spans="3:47">
      <c r="C11129" s="20"/>
      <c r="Z11129" s="20"/>
      <c r="AG11129" s="20"/>
      <c r="AQ11129" s="19"/>
      <c r="AR11129" s="19"/>
      <c r="AS11129" s="19"/>
      <c r="AT11129" s="19"/>
      <c r="AU11129" s="19"/>
    </row>
    <row r="11130" spans="3:47">
      <c r="C11130" s="20"/>
      <c r="Z11130" s="20"/>
      <c r="AG11130" s="20"/>
      <c r="AQ11130" s="19"/>
      <c r="AR11130" s="19"/>
      <c r="AS11130" s="19"/>
      <c r="AT11130" s="19"/>
      <c r="AU11130" s="19"/>
    </row>
    <row r="11131" spans="3:47">
      <c r="C11131" s="20"/>
      <c r="Z11131" s="20"/>
      <c r="AG11131" s="20"/>
      <c r="AQ11131" s="19"/>
      <c r="AR11131" s="19"/>
      <c r="AS11131" s="19"/>
      <c r="AT11131" s="19"/>
      <c r="AU11131" s="19"/>
    </row>
    <row r="11132" spans="3:47">
      <c r="C11132" s="20"/>
      <c r="Z11132" s="20"/>
      <c r="AG11132" s="20"/>
      <c r="AQ11132" s="19"/>
      <c r="AR11132" s="19"/>
      <c r="AS11132" s="19"/>
      <c r="AT11132" s="19"/>
      <c r="AU11132" s="19"/>
    </row>
    <row r="11133" spans="3:47">
      <c r="C11133" s="20"/>
      <c r="Z11133" s="20"/>
      <c r="AG11133" s="20"/>
      <c r="AQ11133" s="19"/>
      <c r="AR11133" s="19"/>
      <c r="AS11133" s="19"/>
      <c r="AT11133" s="19"/>
      <c r="AU11133" s="19"/>
    </row>
    <row r="11134" spans="3:47">
      <c r="C11134" s="20"/>
      <c r="Z11134" s="20"/>
      <c r="AG11134" s="20"/>
      <c r="AQ11134" s="19"/>
      <c r="AR11134" s="19"/>
      <c r="AS11134" s="19"/>
      <c r="AT11134" s="19"/>
      <c r="AU11134" s="19"/>
    </row>
    <row r="11135" spans="3:47">
      <c r="C11135" s="20"/>
      <c r="Z11135" s="20"/>
      <c r="AG11135" s="20"/>
      <c r="AQ11135" s="19"/>
      <c r="AR11135" s="19"/>
      <c r="AS11135" s="19"/>
      <c r="AT11135" s="19"/>
      <c r="AU11135" s="19"/>
    </row>
    <row r="11136" spans="3:47">
      <c r="C11136" s="20"/>
      <c r="Z11136" s="20"/>
      <c r="AG11136" s="20"/>
      <c r="AQ11136" s="19"/>
      <c r="AR11136" s="19"/>
      <c r="AS11136" s="19"/>
      <c r="AT11136" s="19"/>
      <c r="AU11136" s="19"/>
    </row>
    <row r="11137" spans="3:47">
      <c r="C11137" s="20"/>
      <c r="Z11137" s="20"/>
      <c r="AG11137" s="20"/>
      <c r="AQ11137" s="19"/>
      <c r="AR11137" s="19"/>
      <c r="AS11137" s="19"/>
      <c r="AT11137" s="19"/>
      <c r="AU11137" s="19"/>
    </row>
    <row r="11138" spans="3:47">
      <c r="C11138" s="20"/>
      <c r="Z11138" s="20"/>
      <c r="AG11138" s="20"/>
      <c r="AQ11138" s="19"/>
      <c r="AR11138" s="19"/>
      <c r="AS11138" s="19"/>
      <c r="AT11138" s="19"/>
      <c r="AU11138" s="19"/>
    </row>
    <row r="11139" spans="3:47">
      <c r="C11139" s="20"/>
      <c r="Z11139" s="20"/>
      <c r="AG11139" s="20"/>
      <c r="AQ11139" s="19"/>
      <c r="AR11139" s="19"/>
      <c r="AS11139" s="19"/>
      <c r="AT11139" s="19"/>
      <c r="AU11139" s="19"/>
    </row>
    <row r="11140" spans="3:47">
      <c r="C11140" s="20"/>
      <c r="Z11140" s="20"/>
      <c r="AG11140" s="20"/>
      <c r="AQ11140" s="19"/>
      <c r="AR11140" s="19"/>
      <c r="AS11140" s="19"/>
      <c r="AT11140" s="19"/>
      <c r="AU11140" s="19"/>
    </row>
    <row r="11141" spans="3:47">
      <c r="C11141" s="20"/>
      <c r="Z11141" s="20"/>
      <c r="AG11141" s="20"/>
      <c r="AQ11141" s="19"/>
      <c r="AR11141" s="19"/>
      <c r="AS11141" s="19"/>
      <c r="AT11141" s="19"/>
      <c r="AU11141" s="19"/>
    </row>
    <row r="11142" spans="3:47">
      <c r="C11142" s="20"/>
      <c r="Z11142" s="20"/>
      <c r="AG11142" s="20"/>
      <c r="AQ11142" s="19"/>
      <c r="AR11142" s="19"/>
      <c r="AS11142" s="19"/>
      <c r="AT11142" s="19"/>
      <c r="AU11142" s="19"/>
    </row>
    <row r="11143" spans="3:47">
      <c r="C11143" s="20"/>
      <c r="Z11143" s="20"/>
      <c r="AG11143" s="20"/>
      <c r="AQ11143" s="19"/>
      <c r="AR11143" s="19"/>
      <c r="AS11143" s="19"/>
      <c r="AT11143" s="19"/>
      <c r="AU11143" s="19"/>
    </row>
    <row r="11144" spans="3:47">
      <c r="C11144" s="20"/>
      <c r="Z11144" s="20"/>
      <c r="AG11144" s="20"/>
      <c r="AQ11144" s="19"/>
      <c r="AR11144" s="19"/>
      <c r="AS11144" s="19"/>
      <c r="AT11144" s="19"/>
      <c r="AU11144" s="19"/>
    </row>
    <row r="11145" spans="3:47">
      <c r="C11145" s="20"/>
      <c r="Z11145" s="20"/>
      <c r="AG11145" s="20"/>
      <c r="AQ11145" s="19"/>
      <c r="AR11145" s="19"/>
      <c r="AS11145" s="19"/>
      <c r="AT11145" s="19"/>
      <c r="AU11145" s="19"/>
    </row>
    <row r="11146" spans="3:47">
      <c r="C11146" s="20"/>
      <c r="Z11146" s="20"/>
      <c r="AG11146" s="20"/>
      <c r="AQ11146" s="19"/>
      <c r="AR11146" s="19"/>
      <c r="AS11146" s="19"/>
      <c r="AT11146" s="19"/>
      <c r="AU11146" s="19"/>
    </row>
    <row r="11147" spans="3:47">
      <c r="C11147" s="20"/>
      <c r="Z11147" s="20"/>
      <c r="AG11147" s="20"/>
      <c r="AQ11147" s="19"/>
      <c r="AR11147" s="19"/>
      <c r="AS11147" s="19"/>
      <c r="AT11147" s="19"/>
      <c r="AU11147" s="19"/>
    </row>
    <row r="11148" spans="3:47">
      <c r="C11148" s="20"/>
      <c r="Z11148" s="20"/>
      <c r="AG11148" s="20"/>
      <c r="AQ11148" s="19"/>
      <c r="AR11148" s="19"/>
      <c r="AS11148" s="19"/>
      <c r="AT11148" s="19"/>
      <c r="AU11148" s="19"/>
    </row>
    <row r="11149" spans="3:47">
      <c r="C11149" s="20"/>
      <c r="Z11149" s="20"/>
      <c r="AG11149" s="20"/>
      <c r="AQ11149" s="19"/>
      <c r="AR11149" s="19"/>
      <c r="AS11149" s="19"/>
      <c r="AT11149" s="19"/>
      <c r="AU11149" s="19"/>
    </row>
    <row r="11150" spans="3:47">
      <c r="C11150" s="20"/>
      <c r="Z11150" s="20"/>
      <c r="AG11150" s="20"/>
      <c r="AQ11150" s="19"/>
      <c r="AR11150" s="19"/>
      <c r="AS11150" s="19"/>
      <c r="AT11150" s="19"/>
      <c r="AU11150" s="19"/>
    </row>
    <row r="11151" spans="3:47">
      <c r="C11151" s="20"/>
      <c r="Z11151" s="20"/>
      <c r="AG11151" s="20"/>
      <c r="AQ11151" s="19"/>
      <c r="AR11151" s="19"/>
      <c r="AS11151" s="19"/>
      <c r="AT11151" s="19"/>
      <c r="AU11151" s="19"/>
    </row>
    <row r="11152" spans="3:47">
      <c r="C11152" s="20"/>
      <c r="Z11152" s="20"/>
      <c r="AG11152" s="20"/>
      <c r="AQ11152" s="19"/>
      <c r="AR11152" s="19"/>
      <c r="AS11152" s="19"/>
      <c r="AT11152" s="19"/>
      <c r="AU11152" s="19"/>
    </row>
    <row r="11153" spans="3:47">
      <c r="C11153" s="20"/>
      <c r="Z11153" s="20"/>
      <c r="AG11153" s="20"/>
      <c r="AQ11153" s="19"/>
      <c r="AR11153" s="19"/>
      <c r="AS11153" s="19"/>
      <c r="AT11153" s="19"/>
      <c r="AU11153" s="19"/>
    </row>
    <row r="11154" spans="3:47">
      <c r="C11154" s="20"/>
      <c r="Z11154" s="20"/>
      <c r="AG11154" s="20"/>
      <c r="AQ11154" s="19"/>
      <c r="AR11154" s="19"/>
      <c r="AS11154" s="19"/>
      <c r="AT11154" s="19"/>
      <c r="AU11154" s="19"/>
    </row>
    <row r="11155" spans="3:47">
      <c r="C11155" s="20"/>
      <c r="Z11155" s="20"/>
      <c r="AG11155" s="20"/>
      <c r="AQ11155" s="19"/>
      <c r="AR11155" s="19"/>
      <c r="AS11155" s="19"/>
      <c r="AT11155" s="19"/>
      <c r="AU11155" s="19"/>
    </row>
    <row r="11156" spans="3:47">
      <c r="C11156" s="20"/>
      <c r="Z11156" s="20"/>
      <c r="AG11156" s="20"/>
      <c r="AQ11156" s="19"/>
      <c r="AR11156" s="19"/>
      <c r="AS11156" s="19"/>
      <c r="AT11156" s="19"/>
      <c r="AU11156" s="19"/>
    </row>
    <row r="11157" spans="3:47">
      <c r="C11157" s="20"/>
      <c r="Z11157" s="20"/>
      <c r="AG11157" s="20"/>
      <c r="AQ11157" s="19"/>
      <c r="AR11157" s="19"/>
      <c r="AS11157" s="19"/>
      <c r="AT11157" s="19"/>
      <c r="AU11157" s="19"/>
    </row>
    <row r="11158" spans="3:47">
      <c r="C11158" s="20"/>
      <c r="Z11158" s="20"/>
      <c r="AG11158" s="20"/>
      <c r="AQ11158" s="19"/>
      <c r="AR11158" s="19"/>
      <c r="AS11158" s="19"/>
      <c r="AT11158" s="19"/>
      <c r="AU11158" s="19"/>
    </row>
    <row r="11159" spans="3:47">
      <c r="C11159" s="20"/>
      <c r="Z11159" s="20"/>
      <c r="AG11159" s="20"/>
      <c r="AQ11159" s="19"/>
      <c r="AR11159" s="19"/>
      <c r="AS11159" s="19"/>
      <c r="AT11159" s="19"/>
      <c r="AU11159" s="19"/>
    </row>
    <row r="11160" spans="3:47">
      <c r="C11160" s="20"/>
      <c r="Z11160" s="20"/>
      <c r="AG11160" s="20"/>
      <c r="AQ11160" s="19"/>
      <c r="AR11160" s="19"/>
      <c r="AS11160" s="19"/>
      <c r="AT11160" s="19"/>
      <c r="AU11160" s="19"/>
    </row>
    <row r="11161" spans="3:47">
      <c r="C11161" s="20"/>
      <c r="Z11161" s="20"/>
      <c r="AG11161" s="20"/>
      <c r="AQ11161" s="19"/>
      <c r="AR11161" s="19"/>
      <c r="AS11161" s="19"/>
      <c r="AT11161" s="19"/>
      <c r="AU11161" s="19"/>
    </row>
    <row r="11162" spans="3:47">
      <c r="C11162" s="20"/>
      <c r="Z11162" s="20"/>
      <c r="AG11162" s="20"/>
      <c r="AQ11162" s="19"/>
      <c r="AR11162" s="19"/>
      <c r="AS11162" s="19"/>
      <c r="AT11162" s="19"/>
      <c r="AU11162" s="19"/>
    </row>
    <row r="11163" spans="3:47">
      <c r="C11163" s="20"/>
      <c r="Z11163" s="20"/>
      <c r="AG11163" s="20"/>
      <c r="AQ11163" s="19"/>
      <c r="AR11163" s="19"/>
      <c r="AS11163" s="19"/>
      <c r="AT11163" s="19"/>
      <c r="AU11163" s="19"/>
    </row>
    <row r="11164" spans="3:47">
      <c r="C11164" s="20"/>
      <c r="Z11164" s="20"/>
      <c r="AG11164" s="20"/>
      <c r="AQ11164" s="19"/>
      <c r="AR11164" s="19"/>
      <c r="AS11164" s="19"/>
      <c r="AT11164" s="19"/>
      <c r="AU11164" s="19"/>
    </row>
    <row r="11165" spans="3:47">
      <c r="C11165" s="20"/>
      <c r="Z11165" s="20"/>
      <c r="AG11165" s="20"/>
      <c r="AQ11165" s="19"/>
      <c r="AR11165" s="19"/>
      <c r="AS11165" s="19"/>
      <c r="AT11165" s="19"/>
      <c r="AU11165" s="19"/>
    </row>
    <row r="11166" spans="3:47">
      <c r="C11166" s="20"/>
      <c r="Z11166" s="20"/>
      <c r="AG11166" s="20"/>
      <c r="AQ11166" s="19"/>
      <c r="AR11166" s="19"/>
      <c r="AS11166" s="19"/>
      <c r="AT11166" s="19"/>
      <c r="AU11166" s="19"/>
    </row>
    <row r="11167" spans="3:47">
      <c r="C11167" s="20"/>
      <c r="Z11167" s="20"/>
      <c r="AG11167" s="20"/>
      <c r="AQ11167" s="19"/>
      <c r="AR11167" s="19"/>
      <c r="AS11167" s="19"/>
      <c r="AT11167" s="19"/>
      <c r="AU11167" s="19"/>
    </row>
    <row r="11168" spans="3:47">
      <c r="C11168" s="20"/>
      <c r="Z11168" s="20"/>
      <c r="AG11168" s="20"/>
      <c r="AQ11168" s="19"/>
      <c r="AR11168" s="19"/>
      <c r="AS11168" s="19"/>
      <c r="AT11168" s="19"/>
      <c r="AU11168" s="19"/>
    </row>
    <row r="11169" spans="3:47">
      <c r="C11169" s="20"/>
      <c r="Z11169" s="20"/>
      <c r="AG11169" s="20"/>
      <c r="AQ11169" s="19"/>
      <c r="AR11169" s="19"/>
      <c r="AS11169" s="19"/>
      <c r="AT11169" s="19"/>
      <c r="AU11169" s="19"/>
    </row>
    <row r="11170" spans="3:47">
      <c r="C11170" s="20"/>
      <c r="Z11170" s="20"/>
      <c r="AG11170" s="20"/>
      <c r="AQ11170" s="19"/>
      <c r="AR11170" s="19"/>
      <c r="AS11170" s="19"/>
      <c r="AT11170" s="19"/>
      <c r="AU11170" s="19"/>
    </row>
    <row r="11171" spans="3:47">
      <c r="C11171" s="20"/>
      <c r="Z11171" s="20"/>
      <c r="AG11171" s="20"/>
      <c r="AQ11171" s="19"/>
      <c r="AR11171" s="19"/>
      <c r="AS11171" s="19"/>
      <c r="AT11171" s="19"/>
      <c r="AU11171" s="19"/>
    </row>
    <row r="11172" spans="3:47">
      <c r="C11172" s="20"/>
      <c r="Z11172" s="20"/>
      <c r="AG11172" s="20"/>
      <c r="AQ11172" s="19"/>
      <c r="AR11172" s="19"/>
      <c r="AS11172" s="19"/>
      <c r="AT11172" s="19"/>
      <c r="AU11172" s="19"/>
    </row>
    <row r="11173" spans="3:47">
      <c r="C11173" s="20"/>
      <c r="Z11173" s="20"/>
      <c r="AG11173" s="20"/>
      <c r="AQ11173" s="19"/>
      <c r="AR11173" s="19"/>
      <c r="AS11173" s="19"/>
      <c r="AT11173" s="19"/>
      <c r="AU11173" s="19"/>
    </row>
    <row r="11174" spans="3:47">
      <c r="C11174" s="20"/>
      <c r="Z11174" s="20"/>
      <c r="AG11174" s="20"/>
      <c r="AQ11174" s="19"/>
      <c r="AR11174" s="19"/>
      <c r="AS11174" s="19"/>
      <c r="AT11174" s="19"/>
      <c r="AU11174" s="19"/>
    </row>
    <row r="11175" spans="3:47">
      <c r="C11175" s="20"/>
      <c r="Z11175" s="20"/>
      <c r="AG11175" s="20"/>
      <c r="AQ11175" s="19"/>
      <c r="AR11175" s="19"/>
      <c r="AS11175" s="19"/>
      <c r="AT11175" s="19"/>
      <c r="AU11175" s="19"/>
    </row>
    <row r="11176" spans="3:47">
      <c r="C11176" s="20"/>
      <c r="Z11176" s="20"/>
      <c r="AG11176" s="20"/>
      <c r="AQ11176" s="19"/>
      <c r="AR11176" s="19"/>
      <c r="AS11176" s="19"/>
      <c r="AT11176" s="19"/>
      <c r="AU11176" s="19"/>
    </row>
    <row r="11177" spans="3:47">
      <c r="C11177" s="20"/>
      <c r="Z11177" s="20"/>
      <c r="AG11177" s="20"/>
      <c r="AQ11177" s="19"/>
      <c r="AR11177" s="19"/>
      <c r="AS11177" s="19"/>
      <c r="AT11177" s="19"/>
      <c r="AU11177" s="19"/>
    </row>
    <row r="11178" spans="3:47">
      <c r="C11178" s="20"/>
      <c r="Z11178" s="20"/>
      <c r="AG11178" s="20"/>
      <c r="AQ11178" s="19"/>
      <c r="AR11178" s="19"/>
      <c r="AS11178" s="19"/>
      <c r="AT11178" s="19"/>
      <c r="AU11178" s="19"/>
    </row>
    <row r="11179" spans="3:47">
      <c r="C11179" s="20"/>
      <c r="Z11179" s="20"/>
      <c r="AG11179" s="20"/>
      <c r="AQ11179" s="19"/>
      <c r="AR11179" s="19"/>
      <c r="AS11179" s="19"/>
      <c r="AT11179" s="19"/>
      <c r="AU11179" s="19"/>
    </row>
    <row r="11180" spans="3:47">
      <c r="C11180" s="20"/>
      <c r="Z11180" s="20"/>
      <c r="AG11180" s="20"/>
      <c r="AQ11180" s="19"/>
      <c r="AR11180" s="19"/>
      <c r="AS11180" s="19"/>
      <c r="AT11180" s="19"/>
      <c r="AU11180" s="19"/>
    </row>
    <row r="11181" spans="3:47">
      <c r="C11181" s="20"/>
      <c r="Z11181" s="20"/>
      <c r="AG11181" s="20"/>
      <c r="AQ11181" s="19"/>
      <c r="AR11181" s="19"/>
      <c r="AS11181" s="19"/>
      <c r="AT11181" s="19"/>
      <c r="AU11181" s="19"/>
    </row>
    <row r="11182" spans="3:47">
      <c r="C11182" s="20"/>
      <c r="Z11182" s="20"/>
      <c r="AG11182" s="20"/>
      <c r="AQ11182" s="19"/>
      <c r="AR11182" s="19"/>
      <c r="AS11182" s="19"/>
      <c r="AT11182" s="19"/>
      <c r="AU11182" s="19"/>
    </row>
    <row r="11183" spans="3:47">
      <c r="C11183" s="20"/>
      <c r="Z11183" s="20"/>
      <c r="AG11183" s="20"/>
      <c r="AQ11183" s="19"/>
      <c r="AR11183" s="19"/>
      <c r="AS11183" s="19"/>
      <c r="AT11183" s="19"/>
      <c r="AU11183" s="19"/>
    </row>
    <row r="11184" spans="3:47">
      <c r="C11184" s="20"/>
      <c r="Z11184" s="20"/>
      <c r="AG11184" s="20"/>
      <c r="AQ11184" s="19"/>
      <c r="AR11184" s="19"/>
      <c r="AS11184" s="19"/>
      <c r="AT11184" s="19"/>
      <c r="AU11184" s="19"/>
    </row>
    <row r="11185" spans="3:47">
      <c r="C11185" s="20"/>
      <c r="Z11185" s="20"/>
      <c r="AG11185" s="20"/>
      <c r="AQ11185" s="19"/>
      <c r="AR11185" s="19"/>
      <c r="AS11185" s="19"/>
      <c r="AT11185" s="19"/>
      <c r="AU11185" s="19"/>
    </row>
    <row r="11186" spans="3:47">
      <c r="C11186" s="20"/>
      <c r="Z11186" s="20"/>
      <c r="AG11186" s="20"/>
      <c r="AQ11186" s="19"/>
      <c r="AR11186" s="19"/>
      <c r="AS11186" s="19"/>
      <c r="AT11186" s="19"/>
      <c r="AU11186" s="19"/>
    </row>
    <row r="11187" spans="3:47">
      <c r="C11187" s="20"/>
      <c r="Z11187" s="20"/>
      <c r="AG11187" s="20"/>
      <c r="AQ11187" s="19"/>
      <c r="AR11187" s="19"/>
      <c r="AS11187" s="19"/>
      <c r="AT11187" s="19"/>
      <c r="AU11187" s="19"/>
    </row>
    <row r="11188" spans="3:47">
      <c r="C11188" s="20"/>
      <c r="Z11188" s="20"/>
      <c r="AG11188" s="20"/>
      <c r="AQ11188" s="19"/>
      <c r="AR11188" s="19"/>
      <c r="AS11188" s="19"/>
      <c r="AT11188" s="19"/>
      <c r="AU11188" s="19"/>
    </row>
    <row r="11189" spans="3:47">
      <c r="C11189" s="20"/>
      <c r="Z11189" s="20"/>
      <c r="AG11189" s="20"/>
      <c r="AQ11189" s="19"/>
      <c r="AR11189" s="19"/>
      <c r="AS11189" s="19"/>
      <c r="AT11189" s="19"/>
      <c r="AU11189" s="19"/>
    </row>
    <row r="11190" spans="3:47">
      <c r="C11190" s="20"/>
      <c r="Z11190" s="20"/>
      <c r="AG11190" s="20"/>
      <c r="AQ11190" s="19"/>
      <c r="AR11190" s="19"/>
      <c r="AS11190" s="19"/>
      <c r="AT11190" s="19"/>
      <c r="AU11190" s="19"/>
    </row>
    <row r="11191" spans="3:47">
      <c r="C11191" s="20"/>
      <c r="Z11191" s="20"/>
      <c r="AG11191" s="20"/>
      <c r="AQ11191" s="19"/>
      <c r="AR11191" s="19"/>
      <c r="AS11191" s="19"/>
      <c r="AT11191" s="19"/>
      <c r="AU11191" s="19"/>
    </row>
    <row r="11192" spans="3:47">
      <c r="C11192" s="20"/>
      <c r="Z11192" s="20"/>
      <c r="AG11192" s="20"/>
      <c r="AQ11192" s="19"/>
      <c r="AR11192" s="19"/>
      <c r="AS11192" s="19"/>
      <c r="AT11192" s="19"/>
      <c r="AU11192" s="19"/>
    </row>
    <row r="11193" spans="3:47">
      <c r="C11193" s="20"/>
      <c r="Z11193" s="20"/>
      <c r="AG11193" s="20"/>
      <c r="AQ11193" s="19"/>
      <c r="AR11193" s="19"/>
      <c r="AS11193" s="19"/>
      <c r="AT11193" s="19"/>
      <c r="AU11193" s="19"/>
    </row>
    <row r="11194" spans="3:47">
      <c r="C11194" s="20"/>
      <c r="Z11194" s="20"/>
      <c r="AG11194" s="20"/>
      <c r="AQ11194" s="19"/>
      <c r="AR11194" s="19"/>
      <c r="AS11194" s="19"/>
      <c r="AT11194" s="19"/>
      <c r="AU11194" s="19"/>
    </row>
    <row r="11195" spans="3:47">
      <c r="C11195" s="20"/>
      <c r="Z11195" s="20"/>
      <c r="AG11195" s="20"/>
      <c r="AQ11195" s="19"/>
      <c r="AR11195" s="19"/>
      <c r="AS11195" s="19"/>
      <c r="AT11195" s="19"/>
      <c r="AU11195" s="19"/>
    </row>
    <row r="11196" spans="3:47">
      <c r="C11196" s="20"/>
      <c r="Z11196" s="20"/>
      <c r="AG11196" s="20"/>
      <c r="AQ11196" s="19"/>
      <c r="AR11196" s="19"/>
      <c r="AS11196" s="19"/>
      <c r="AT11196" s="19"/>
      <c r="AU11196" s="19"/>
    </row>
    <row r="11197" spans="3:47">
      <c r="C11197" s="20"/>
      <c r="Z11197" s="20"/>
      <c r="AG11197" s="20"/>
      <c r="AQ11197" s="19"/>
      <c r="AR11197" s="19"/>
      <c r="AS11197" s="19"/>
      <c r="AT11197" s="19"/>
      <c r="AU11197" s="19"/>
    </row>
    <row r="11198" spans="3:47">
      <c r="C11198" s="20"/>
      <c r="Z11198" s="20"/>
      <c r="AG11198" s="20"/>
      <c r="AQ11198" s="19"/>
      <c r="AR11198" s="19"/>
      <c r="AS11198" s="19"/>
      <c r="AT11198" s="19"/>
      <c r="AU11198" s="19"/>
    </row>
    <row r="11199" spans="3:47">
      <c r="C11199" s="20"/>
      <c r="Z11199" s="20"/>
      <c r="AG11199" s="20"/>
      <c r="AQ11199" s="19"/>
      <c r="AR11199" s="19"/>
      <c r="AS11199" s="19"/>
      <c r="AT11199" s="19"/>
      <c r="AU11199" s="19"/>
    </row>
    <row r="11200" spans="3:47">
      <c r="C11200" s="20"/>
      <c r="Z11200" s="20"/>
      <c r="AG11200" s="20"/>
      <c r="AQ11200" s="19"/>
      <c r="AR11200" s="19"/>
      <c r="AS11200" s="19"/>
      <c r="AT11200" s="19"/>
      <c r="AU11200" s="19"/>
    </row>
    <row r="11201" spans="3:47">
      <c r="C11201" s="20"/>
      <c r="Z11201" s="20"/>
      <c r="AG11201" s="20"/>
      <c r="AQ11201" s="19"/>
      <c r="AR11201" s="19"/>
      <c r="AS11201" s="19"/>
      <c r="AT11201" s="19"/>
      <c r="AU11201" s="19"/>
    </row>
    <row r="11202" spans="3:47">
      <c r="C11202" s="20"/>
      <c r="Z11202" s="20"/>
      <c r="AG11202" s="20"/>
      <c r="AQ11202" s="19"/>
      <c r="AR11202" s="19"/>
      <c r="AS11202" s="19"/>
      <c r="AT11202" s="19"/>
      <c r="AU11202" s="19"/>
    </row>
    <row r="11203" spans="3:47">
      <c r="C11203" s="20"/>
      <c r="Z11203" s="20"/>
      <c r="AG11203" s="20"/>
      <c r="AQ11203" s="19"/>
      <c r="AR11203" s="19"/>
      <c r="AS11203" s="19"/>
      <c r="AT11203" s="19"/>
      <c r="AU11203" s="19"/>
    </row>
    <row r="11204" spans="3:47">
      <c r="C11204" s="20"/>
      <c r="Z11204" s="20"/>
      <c r="AG11204" s="20"/>
      <c r="AQ11204" s="19"/>
      <c r="AR11204" s="19"/>
      <c r="AS11204" s="19"/>
      <c r="AT11204" s="19"/>
      <c r="AU11204" s="19"/>
    </row>
    <row r="11205" spans="3:47">
      <c r="C11205" s="20"/>
      <c r="Z11205" s="20"/>
      <c r="AG11205" s="20"/>
      <c r="AQ11205" s="19"/>
      <c r="AR11205" s="19"/>
      <c r="AS11205" s="19"/>
      <c r="AT11205" s="19"/>
      <c r="AU11205" s="19"/>
    </row>
    <row r="11206" spans="3:47">
      <c r="C11206" s="20"/>
      <c r="Z11206" s="20"/>
      <c r="AG11206" s="20"/>
      <c r="AQ11206" s="19"/>
      <c r="AR11206" s="19"/>
      <c r="AS11206" s="19"/>
      <c r="AT11206" s="19"/>
      <c r="AU11206" s="19"/>
    </row>
    <row r="11207" spans="3:47">
      <c r="C11207" s="20"/>
      <c r="Z11207" s="20"/>
      <c r="AG11207" s="20"/>
      <c r="AQ11207" s="19"/>
      <c r="AR11207" s="19"/>
      <c r="AS11207" s="19"/>
      <c r="AT11207" s="19"/>
      <c r="AU11207" s="19"/>
    </row>
    <row r="11208" spans="3:47">
      <c r="C11208" s="20"/>
      <c r="Z11208" s="20"/>
      <c r="AG11208" s="20"/>
      <c r="AQ11208" s="19"/>
      <c r="AR11208" s="19"/>
      <c r="AS11208" s="19"/>
      <c r="AT11208" s="19"/>
      <c r="AU11208" s="19"/>
    </row>
    <row r="11209" spans="3:47">
      <c r="C11209" s="20"/>
      <c r="Z11209" s="20"/>
      <c r="AG11209" s="20"/>
      <c r="AQ11209" s="19"/>
      <c r="AR11209" s="19"/>
      <c r="AS11209" s="19"/>
      <c r="AT11209" s="19"/>
      <c r="AU11209" s="19"/>
    </row>
    <row r="11210" spans="3:47">
      <c r="C11210" s="20"/>
      <c r="Z11210" s="20"/>
      <c r="AG11210" s="20"/>
      <c r="AQ11210" s="19"/>
      <c r="AR11210" s="19"/>
      <c r="AS11210" s="19"/>
      <c r="AT11210" s="19"/>
      <c r="AU11210" s="19"/>
    </row>
    <row r="11211" spans="3:47">
      <c r="C11211" s="20"/>
      <c r="Z11211" s="20"/>
      <c r="AG11211" s="20"/>
      <c r="AQ11211" s="19"/>
      <c r="AR11211" s="19"/>
      <c r="AS11211" s="19"/>
      <c r="AT11211" s="19"/>
      <c r="AU11211" s="19"/>
    </row>
    <row r="11212" spans="3:47">
      <c r="C11212" s="20"/>
      <c r="Z11212" s="20"/>
      <c r="AG11212" s="20"/>
      <c r="AQ11212" s="19"/>
      <c r="AR11212" s="19"/>
      <c r="AS11212" s="19"/>
      <c r="AT11212" s="19"/>
      <c r="AU11212" s="19"/>
    </row>
    <row r="11213" spans="3:47">
      <c r="C11213" s="20"/>
      <c r="Z11213" s="20"/>
      <c r="AG11213" s="20"/>
      <c r="AQ11213" s="19"/>
      <c r="AR11213" s="19"/>
      <c r="AS11213" s="19"/>
      <c r="AT11213" s="19"/>
      <c r="AU11213" s="19"/>
    </row>
    <row r="11214" spans="3:47">
      <c r="C11214" s="20"/>
      <c r="Z11214" s="20"/>
      <c r="AG11214" s="20"/>
      <c r="AQ11214" s="19"/>
      <c r="AR11214" s="19"/>
      <c r="AS11214" s="19"/>
      <c r="AT11214" s="19"/>
      <c r="AU11214" s="19"/>
    </row>
    <row r="11215" spans="3:47">
      <c r="C11215" s="20"/>
      <c r="Z11215" s="20"/>
      <c r="AG11215" s="20"/>
      <c r="AQ11215" s="19"/>
      <c r="AR11215" s="19"/>
      <c r="AS11215" s="19"/>
      <c r="AT11215" s="19"/>
      <c r="AU11215" s="19"/>
    </row>
    <row r="11216" spans="3:47">
      <c r="C11216" s="20"/>
      <c r="Z11216" s="20"/>
      <c r="AG11216" s="20"/>
      <c r="AQ11216" s="19"/>
      <c r="AR11216" s="19"/>
      <c r="AS11216" s="19"/>
      <c r="AT11216" s="19"/>
      <c r="AU11216" s="19"/>
    </row>
    <row r="11217" spans="3:47">
      <c r="C11217" s="20"/>
      <c r="Z11217" s="20"/>
      <c r="AG11217" s="20"/>
      <c r="AQ11217" s="19"/>
      <c r="AR11217" s="19"/>
      <c r="AS11217" s="19"/>
      <c r="AT11217" s="19"/>
      <c r="AU11217" s="19"/>
    </row>
    <row r="11218" spans="3:47">
      <c r="C11218" s="20"/>
      <c r="Z11218" s="20"/>
      <c r="AG11218" s="20"/>
      <c r="AQ11218" s="19"/>
      <c r="AR11218" s="19"/>
      <c r="AS11218" s="19"/>
      <c r="AT11218" s="19"/>
      <c r="AU11218" s="19"/>
    </row>
    <row r="11219" spans="3:47">
      <c r="C11219" s="20"/>
      <c r="Z11219" s="20"/>
      <c r="AG11219" s="20"/>
      <c r="AQ11219" s="19"/>
      <c r="AR11219" s="19"/>
      <c r="AS11219" s="19"/>
      <c r="AT11219" s="19"/>
      <c r="AU11219" s="19"/>
    </row>
    <row r="11220" spans="3:47">
      <c r="C11220" s="20"/>
      <c r="Z11220" s="20"/>
      <c r="AG11220" s="20"/>
      <c r="AQ11220" s="19"/>
      <c r="AR11220" s="19"/>
      <c r="AS11220" s="19"/>
      <c r="AT11220" s="19"/>
      <c r="AU11220" s="19"/>
    </row>
    <row r="11221" spans="3:47">
      <c r="C11221" s="20"/>
      <c r="Z11221" s="20"/>
      <c r="AG11221" s="20"/>
      <c r="AQ11221" s="19"/>
      <c r="AR11221" s="19"/>
      <c r="AS11221" s="19"/>
      <c r="AT11221" s="19"/>
      <c r="AU11221" s="19"/>
    </row>
    <row r="11222" spans="3:47">
      <c r="C11222" s="20"/>
      <c r="Z11222" s="20"/>
      <c r="AG11222" s="20"/>
      <c r="AQ11222" s="19"/>
      <c r="AR11222" s="19"/>
      <c r="AS11222" s="19"/>
      <c r="AT11222" s="19"/>
      <c r="AU11222" s="19"/>
    </row>
    <row r="11223" spans="3:47">
      <c r="C11223" s="20"/>
      <c r="Z11223" s="20"/>
      <c r="AG11223" s="20"/>
      <c r="AQ11223" s="19"/>
      <c r="AR11223" s="19"/>
      <c r="AS11223" s="19"/>
      <c r="AT11223" s="19"/>
      <c r="AU11223" s="19"/>
    </row>
    <row r="11224" spans="3:47">
      <c r="C11224" s="20"/>
      <c r="Z11224" s="20"/>
      <c r="AG11224" s="20"/>
      <c r="AQ11224" s="19"/>
      <c r="AR11224" s="19"/>
      <c r="AS11224" s="19"/>
      <c r="AT11224" s="19"/>
      <c r="AU11224" s="19"/>
    </row>
    <row r="11225" spans="3:47">
      <c r="C11225" s="20"/>
      <c r="Z11225" s="20"/>
      <c r="AG11225" s="20"/>
      <c r="AQ11225" s="19"/>
      <c r="AR11225" s="19"/>
      <c r="AS11225" s="19"/>
      <c r="AT11225" s="19"/>
      <c r="AU11225" s="19"/>
    </row>
    <row r="11226" spans="3:47">
      <c r="C11226" s="20"/>
      <c r="Z11226" s="20"/>
      <c r="AG11226" s="20"/>
      <c r="AQ11226" s="19"/>
      <c r="AR11226" s="19"/>
      <c r="AS11226" s="19"/>
      <c r="AT11226" s="19"/>
      <c r="AU11226" s="19"/>
    </row>
    <row r="11227" spans="3:47">
      <c r="C11227" s="20"/>
      <c r="Z11227" s="20"/>
      <c r="AG11227" s="20"/>
      <c r="AQ11227" s="19"/>
      <c r="AR11227" s="19"/>
      <c r="AS11227" s="19"/>
      <c r="AT11227" s="19"/>
      <c r="AU11227" s="19"/>
    </row>
    <row r="11228" spans="3:47">
      <c r="C11228" s="20"/>
      <c r="Z11228" s="20"/>
      <c r="AG11228" s="20"/>
      <c r="AQ11228" s="19"/>
      <c r="AR11228" s="19"/>
      <c r="AS11228" s="19"/>
      <c r="AT11228" s="19"/>
      <c r="AU11228" s="19"/>
    </row>
    <row r="11229" spans="3:47">
      <c r="C11229" s="20"/>
      <c r="Z11229" s="20"/>
      <c r="AG11229" s="20"/>
      <c r="AQ11229" s="19"/>
      <c r="AR11229" s="19"/>
      <c r="AS11229" s="19"/>
      <c r="AT11229" s="19"/>
      <c r="AU11229" s="19"/>
    </row>
    <row r="11230" spans="3:47">
      <c r="C11230" s="20"/>
      <c r="Z11230" s="20"/>
      <c r="AG11230" s="20"/>
      <c r="AQ11230" s="19"/>
      <c r="AR11230" s="19"/>
      <c r="AS11230" s="19"/>
      <c r="AT11230" s="19"/>
      <c r="AU11230" s="19"/>
    </row>
    <row r="11231" spans="3:47">
      <c r="C11231" s="20"/>
      <c r="Z11231" s="20"/>
      <c r="AG11231" s="20"/>
      <c r="AQ11231" s="19"/>
      <c r="AR11231" s="19"/>
      <c r="AS11231" s="19"/>
      <c r="AT11231" s="19"/>
      <c r="AU11231" s="19"/>
    </row>
    <row r="11232" spans="3:47">
      <c r="C11232" s="20"/>
      <c r="Z11232" s="20"/>
      <c r="AG11232" s="20"/>
      <c r="AQ11232" s="19"/>
      <c r="AR11232" s="19"/>
      <c r="AS11232" s="19"/>
      <c r="AT11232" s="19"/>
      <c r="AU11232" s="19"/>
    </row>
    <row r="11233" spans="3:47">
      <c r="C11233" s="20"/>
      <c r="Z11233" s="20"/>
      <c r="AG11233" s="20"/>
      <c r="AQ11233" s="19"/>
      <c r="AR11233" s="19"/>
      <c r="AS11233" s="19"/>
      <c r="AT11233" s="19"/>
      <c r="AU11233" s="19"/>
    </row>
    <row r="11234" spans="3:47">
      <c r="C11234" s="20"/>
      <c r="Z11234" s="20"/>
      <c r="AG11234" s="20"/>
      <c r="AQ11234" s="19"/>
      <c r="AR11234" s="19"/>
      <c r="AS11234" s="19"/>
      <c r="AT11234" s="19"/>
      <c r="AU11234" s="19"/>
    </row>
    <row r="11235" spans="3:47">
      <c r="C11235" s="20"/>
      <c r="Z11235" s="20"/>
      <c r="AG11235" s="20"/>
      <c r="AQ11235" s="19"/>
      <c r="AR11235" s="19"/>
      <c r="AS11235" s="19"/>
      <c r="AT11235" s="19"/>
      <c r="AU11235" s="19"/>
    </row>
    <row r="11236" spans="3:47">
      <c r="C11236" s="20"/>
      <c r="Z11236" s="20"/>
      <c r="AG11236" s="20"/>
      <c r="AQ11236" s="19"/>
      <c r="AR11236" s="19"/>
      <c r="AS11236" s="19"/>
      <c r="AT11236" s="19"/>
      <c r="AU11236" s="19"/>
    </row>
    <row r="11237" spans="3:47">
      <c r="C11237" s="20"/>
      <c r="Z11237" s="20"/>
      <c r="AG11237" s="20"/>
      <c r="AQ11237" s="19"/>
      <c r="AR11237" s="19"/>
      <c r="AS11237" s="19"/>
      <c r="AT11237" s="19"/>
      <c r="AU11237" s="19"/>
    </row>
    <row r="11238" spans="3:47">
      <c r="C11238" s="20"/>
      <c r="Z11238" s="20"/>
      <c r="AG11238" s="20"/>
      <c r="AQ11238" s="19"/>
      <c r="AR11238" s="19"/>
      <c r="AS11238" s="19"/>
      <c r="AT11238" s="19"/>
      <c r="AU11238" s="19"/>
    </row>
    <row r="11239" spans="3:47">
      <c r="C11239" s="20"/>
      <c r="Z11239" s="20"/>
      <c r="AG11239" s="20"/>
      <c r="AQ11239" s="19"/>
      <c r="AR11239" s="19"/>
      <c r="AS11239" s="19"/>
      <c r="AT11239" s="19"/>
      <c r="AU11239" s="19"/>
    </row>
    <row r="11240" spans="3:47">
      <c r="C11240" s="20"/>
      <c r="Z11240" s="20"/>
      <c r="AG11240" s="20"/>
      <c r="AQ11240" s="19"/>
      <c r="AR11240" s="19"/>
      <c r="AS11240" s="19"/>
      <c r="AT11240" s="19"/>
      <c r="AU11240" s="19"/>
    </row>
    <row r="11241" spans="3:47">
      <c r="C11241" s="20"/>
      <c r="Z11241" s="20"/>
      <c r="AG11241" s="20"/>
      <c r="AQ11241" s="19"/>
      <c r="AR11241" s="19"/>
      <c r="AS11241" s="19"/>
      <c r="AT11241" s="19"/>
      <c r="AU11241" s="19"/>
    </row>
    <row r="11242" spans="3:47">
      <c r="C11242" s="20"/>
      <c r="Z11242" s="20"/>
      <c r="AG11242" s="20"/>
      <c r="AQ11242" s="19"/>
      <c r="AR11242" s="19"/>
      <c r="AS11242" s="19"/>
      <c r="AT11242" s="19"/>
      <c r="AU11242" s="19"/>
    </row>
    <row r="11243" spans="3:47">
      <c r="C11243" s="20"/>
      <c r="Z11243" s="20"/>
      <c r="AG11243" s="20"/>
      <c r="AQ11243" s="19"/>
      <c r="AR11243" s="19"/>
      <c r="AS11243" s="19"/>
      <c r="AT11243" s="19"/>
      <c r="AU11243" s="19"/>
    </row>
    <row r="11244" spans="3:47">
      <c r="C11244" s="20"/>
      <c r="Z11244" s="20"/>
      <c r="AG11244" s="20"/>
      <c r="AQ11244" s="19"/>
      <c r="AR11244" s="19"/>
      <c r="AS11244" s="19"/>
      <c r="AT11244" s="19"/>
      <c r="AU11244" s="19"/>
    </row>
    <row r="11245" spans="3:47">
      <c r="C11245" s="20"/>
      <c r="Z11245" s="20"/>
      <c r="AG11245" s="20"/>
      <c r="AQ11245" s="19"/>
      <c r="AR11245" s="19"/>
      <c r="AS11245" s="19"/>
      <c r="AT11245" s="19"/>
      <c r="AU11245" s="19"/>
    </row>
    <row r="11246" spans="3:47">
      <c r="C11246" s="20"/>
      <c r="Z11246" s="20"/>
      <c r="AG11246" s="20"/>
      <c r="AQ11246" s="19"/>
      <c r="AR11246" s="19"/>
      <c r="AS11246" s="19"/>
      <c r="AT11246" s="19"/>
      <c r="AU11246" s="19"/>
    </row>
    <row r="11247" spans="3:47">
      <c r="C11247" s="20"/>
      <c r="Z11247" s="20"/>
      <c r="AG11247" s="20"/>
      <c r="AQ11247" s="19"/>
      <c r="AR11247" s="19"/>
      <c r="AS11247" s="19"/>
      <c r="AT11247" s="19"/>
      <c r="AU11247" s="19"/>
    </row>
    <row r="11248" spans="3:47">
      <c r="C11248" s="20"/>
      <c r="Z11248" s="20"/>
      <c r="AG11248" s="20"/>
      <c r="AQ11248" s="19"/>
      <c r="AR11248" s="19"/>
      <c r="AS11248" s="19"/>
      <c r="AT11248" s="19"/>
      <c r="AU11248" s="19"/>
    </row>
    <row r="11249" spans="3:47">
      <c r="C11249" s="20"/>
      <c r="Z11249" s="20"/>
      <c r="AG11249" s="20"/>
      <c r="AQ11249" s="19"/>
      <c r="AR11249" s="19"/>
      <c r="AS11249" s="19"/>
      <c r="AT11249" s="19"/>
      <c r="AU11249" s="19"/>
    </row>
    <row r="11250" spans="3:47">
      <c r="C11250" s="20"/>
      <c r="Z11250" s="20"/>
      <c r="AG11250" s="20"/>
      <c r="AQ11250" s="19"/>
      <c r="AR11250" s="19"/>
      <c r="AS11250" s="19"/>
      <c r="AT11250" s="19"/>
      <c r="AU11250" s="19"/>
    </row>
    <row r="11251" spans="3:47">
      <c r="C11251" s="20"/>
      <c r="Z11251" s="20"/>
      <c r="AG11251" s="20"/>
      <c r="AQ11251" s="19"/>
      <c r="AR11251" s="19"/>
      <c r="AS11251" s="19"/>
      <c r="AT11251" s="19"/>
      <c r="AU11251" s="19"/>
    </row>
    <row r="11252" spans="3:47">
      <c r="C11252" s="20"/>
      <c r="Z11252" s="20"/>
      <c r="AG11252" s="20"/>
      <c r="AQ11252" s="19"/>
      <c r="AR11252" s="19"/>
      <c r="AS11252" s="19"/>
      <c r="AT11252" s="19"/>
      <c r="AU11252" s="19"/>
    </row>
    <row r="11253" spans="3:47">
      <c r="C11253" s="20"/>
      <c r="Z11253" s="20"/>
      <c r="AG11253" s="20"/>
      <c r="AQ11253" s="19"/>
      <c r="AR11253" s="19"/>
      <c r="AS11253" s="19"/>
      <c r="AT11253" s="19"/>
      <c r="AU11253" s="19"/>
    </row>
    <row r="11254" spans="3:47">
      <c r="C11254" s="20"/>
      <c r="Z11254" s="20"/>
      <c r="AG11254" s="20"/>
      <c r="AQ11254" s="19"/>
      <c r="AR11254" s="19"/>
      <c r="AS11254" s="19"/>
      <c r="AT11254" s="19"/>
      <c r="AU11254" s="19"/>
    </row>
    <row r="11255" spans="3:47">
      <c r="C11255" s="20"/>
      <c r="Z11255" s="20"/>
      <c r="AG11255" s="20"/>
      <c r="AQ11255" s="19"/>
      <c r="AR11255" s="19"/>
      <c r="AS11255" s="19"/>
      <c r="AT11255" s="19"/>
      <c r="AU11255" s="19"/>
    </row>
    <row r="11256" spans="3:47">
      <c r="C11256" s="20"/>
      <c r="Z11256" s="20"/>
      <c r="AG11256" s="20"/>
      <c r="AQ11256" s="19"/>
      <c r="AR11256" s="19"/>
      <c r="AS11256" s="19"/>
      <c r="AT11256" s="19"/>
      <c r="AU11256" s="19"/>
    </row>
    <row r="11257" spans="3:47">
      <c r="C11257" s="20"/>
      <c r="Z11257" s="20"/>
      <c r="AG11257" s="20"/>
      <c r="AQ11257" s="19"/>
      <c r="AR11257" s="19"/>
      <c r="AS11257" s="19"/>
      <c r="AT11257" s="19"/>
      <c r="AU11257" s="19"/>
    </row>
    <row r="11258" spans="3:47">
      <c r="C11258" s="20"/>
      <c r="Z11258" s="20"/>
      <c r="AG11258" s="20"/>
      <c r="AQ11258" s="19"/>
      <c r="AR11258" s="19"/>
      <c r="AS11258" s="19"/>
      <c r="AT11258" s="19"/>
      <c r="AU11258" s="19"/>
    </row>
    <row r="11259" spans="3:47">
      <c r="C11259" s="20"/>
      <c r="Z11259" s="20"/>
      <c r="AG11259" s="20"/>
      <c r="AQ11259" s="19"/>
      <c r="AR11259" s="19"/>
      <c r="AS11259" s="19"/>
      <c r="AT11259" s="19"/>
      <c r="AU11259" s="19"/>
    </row>
    <row r="11260" spans="3:47">
      <c r="C11260" s="20"/>
      <c r="Z11260" s="20"/>
      <c r="AG11260" s="20"/>
      <c r="AQ11260" s="19"/>
      <c r="AR11260" s="19"/>
      <c r="AS11260" s="19"/>
      <c r="AT11260" s="19"/>
      <c r="AU11260" s="19"/>
    </row>
    <row r="11261" spans="3:47">
      <c r="C11261" s="20"/>
      <c r="Z11261" s="20"/>
      <c r="AG11261" s="20"/>
      <c r="AQ11261" s="19"/>
      <c r="AR11261" s="19"/>
      <c r="AS11261" s="19"/>
      <c r="AT11261" s="19"/>
      <c r="AU11261" s="19"/>
    </row>
    <row r="11262" spans="3:47">
      <c r="C11262" s="20"/>
      <c r="Z11262" s="20"/>
      <c r="AG11262" s="20"/>
      <c r="AQ11262" s="19"/>
      <c r="AR11262" s="19"/>
      <c r="AS11262" s="19"/>
      <c r="AT11262" s="19"/>
      <c r="AU11262" s="19"/>
    </row>
    <row r="11263" spans="3:47">
      <c r="C11263" s="20"/>
      <c r="Z11263" s="20"/>
      <c r="AG11263" s="20"/>
      <c r="AQ11263" s="19"/>
      <c r="AR11263" s="19"/>
      <c r="AS11263" s="19"/>
      <c r="AT11263" s="19"/>
      <c r="AU11263" s="19"/>
    </row>
    <row r="11264" spans="3:47">
      <c r="C11264" s="20"/>
      <c r="Z11264" s="20"/>
      <c r="AG11264" s="20"/>
      <c r="AQ11264" s="19"/>
      <c r="AR11264" s="19"/>
      <c r="AS11264" s="19"/>
      <c r="AT11264" s="19"/>
      <c r="AU11264" s="19"/>
    </row>
    <row r="11265" spans="3:47">
      <c r="C11265" s="20"/>
      <c r="Z11265" s="20"/>
      <c r="AG11265" s="20"/>
      <c r="AQ11265" s="19"/>
      <c r="AR11265" s="19"/>
      <c r="AS11265" s="19"/>
      <c r="AT11265" s="19"/>
      <c r="AU11265" s="19"/>
    </row>
    <row r="11266" spans="3:47">
      <c r="C11266" s="20"/>
      <c r="Z11266" s="20"/>
      <c r="AG11266" s="20"/>
      <c r="AQ11266" s="19"/>
      <c r="AR11266" s="19"/>
      <c r="AS11266" s="19"/>
      <c r="AT11266" s="19"/>
      <c r="AU11266" s="19"/>
    </row>
    <row r="11267" spans="3:47">
      <c r="C11267" s="20"/>
      <c r="Z11267" s="20"/>
      <c r="AG11267" s="20"/>
      <c r="AQ11267" s="19"/>
      <c r="AR11267" s="19"/>
      <c r="AS11267" s="19"/>
      <c r="AT11267" s="19"/>
      <c r="AU11267" s="19"/>
    </row>
    <row r="11268" spans="3:47">
      <c r="C11268" s="20"/>
      <c r="Z11268" s="20"/>
      <c r="AG11268" s="20"/>
      <c r="AQ11268" s="19"/>
      <c r="AR11268" s="19"/>
      <c r="AS11268" s="19"/>
      <c r="AT11268" s="19"/>
      <c r="AU11268" s="19"/>
    </row>
    <row r="11269" spans="3:47">
      <c r="C11269" s="20"/>
      <c r="Z11269" s="20"/>
      <c r="AG11269" s="20"/>
      <c r="AQ11269" s="19"/>
      <c r="AR11269" s="19"/>
      <c r="AS11269" s="19"/>
      <c r="AT11269" s="19"/>
      <c r="AU11269" s="19"/>
    </row>
    <row r="11270" spans="3:47">
      <c r="C11270" s="20"/>
      <c r="Z11270" s="20"/>
      <c r="AG11270" s="20"/>
      <c r="AQ11270" s="19"/>
      <c r="AR11270" s="19"/>
      <c r="AS11270" s="19"/>
      <c r="AT11270" s="19"/>
      <c r="AU11270" s="19"/>
    </row>
    <row r="11271" spans="3:47">
      <c r="C11271" s="20"/>
      <c r="Z11271" s="20"/>
      <c r="AG11271" s="20"/>
      <c r="AQ11271" s="19"/>
      <c r="AR11271" s="19"/>
      <c r="AS11271" s="19"/>
      <c r="AT11271" s="19"/>
      <c r="AU11271" s="19"/>
    </row>
    <row r="11272" spans="3:47">
      <c r="C11272" s="20"/>
      <c r="Z11272" s="20"/>
      <c r="AG11272" s="20"/>
      <c r="AQ11272" s="19"/>
      <c r="AR11272" s="19"/>
      <c r="AS11272" s="19"/>
      <c r="AT11272" s="19"/>
      <c r="AU11272" s="19"/>
    </row>
    <row r="11273" spans="3:47">
      <c r="C11273" s="20"/>
      <c r="Z11273" s="20"/>
      <c r="AG11273" s="20"/>
      <c r="AQ11273" s="19"/>
      <c r="AR11273" s="19"/>
      <c r="AS11273" s="19"/>
      <c r="AT11273" s="19"/>
      <c r="AU11273" s="19"/>
    </row>
    <row r="11274" spans="3:47">
      <c r="C11274" s="20"/>
      <c r="Z11274" s="20"/>
      <c r="AG11274" s="20"/>
      <c r="AQ11274" s="19"/>
      <c r="AR11274" s="19"/>
      <c r="AS11274" s="19"/>
      <c r="AT11274" s="19"/>
      <c r="AU11274" s="19"/>
    </row>
    <row r="11275" spans="3:47">
      <c r="C11275" s="20"/>
      <c r="Z11275" s="20"/>
      <c r="AG11275" s="20"/>
      <c r="AQ11275" s="19"/>
      <c r="AR11275" s="19"/>
      <c r="AS11275" s="19"/>
      <c r="AT11275" s="19"/>
      <c r="AU11275" s="19"/>
    </row>
    <row r="11276" spans="3:47">
      <c r="C11276" s="20"/>
      <c r="Z11276" s="20"/>
      <c r="AG11276" s="20"/>
      <c r="AQ11276" s="19"/>
      <c r="AR11276" s="19"/>
      <c r="AS11276" s="19"/>
      <c r="AT11276" s="19"/>
      <c r="AU11276" s="19"/>
    </row>
    <row r="11277" spans="3:47">
      <c r="C11277" s="20"/>
      <c r="Z11277" s="20"/>
      <c r="AG11277" s="20"/>
      <c r="AQ11277" s="19"/>
      <c r="AR11277" s="19"/>
      <c r="AS11277" s="19"/>
      <c r="AT11277" s="19"/>
      <c r="AU11277" s="19"/>
    </row>
    <row r="11278" spans="3:47">
      <c r="C11278" s="20"/>
      <c r="Z11278" s="20"/>
      <c r="AG11278" s="20"/>
      <c r="AQ11278" s="19"/>
      <c r="AR11278" s="19"/>
      <c r="AS11278" s="19"/>
      <c r="AT11278" s="19"/>
      <c r="AU11278" s="19"/>
    </row>
    <row r="11279" spans="3:47">
      <c r="C11279" s="20"/>
      <c r="Z11279" s="20"/>
      <c r="AG11279" s="20"/>
      <c r="AQ11279" s="19"/>
      <c r="AR11279" s="19"/>
      <c r="AS11279" s="19"/>
      <c r="AT11279" s="19"/>
      <c r="AU11279" s="19"/>
    </row>
    <row r="11280" spans="3:47">
      <c r="C11280" s="20"/>
      <c r="Z11280" s="20"/>
      <c r="AG11280" s="20"/>
      <c r="AQ11280" s="19"/>
      <c r="AR11280" s="19"/>
      <c r="AS11280" s="19"/>
      <c r="AT11280" s="19"/>
      <c r="AU11280" s="19"/>
    </row>
    <row r="11281" spans="3:47">
      <c r="C11281" s="20"/>
      <c r="Z11281" s="20"/>
      <c r="AG11281" s="20"/>
      <c r="AQ11281" s="19"/>
      <c r="AR11281" s="19"/>
      <c r="AS11281" s="19"/>
      <c r="AT11281" s="19"/>
      <c r="AU11281" s="19"/>
    </row>
    <row r="11282" spans="3:47">
      <c r="C11282" s="20"/>
      <c r="Z11282" s="20"/>
      <c r="AG11282" s="20"/>
      <c r="AQ11282" s="19"/>
      <c r="AR11282" s="19"/>
      <c r="AS11282" s="19"/>
      <c r="AT11282" s="19"/>
      <c r="AU11282" s="19"/>
    </row>
    <row r="11283" spans="3:47">
      <c r="C11283" s="20"/>
      <c r="Z11283" s="20"/>
      <c r="AG11283" s="20"/>
      <c r="AQ11283" s="19"/>
      <c r="AR11283" s="19"/>
      <c r="AS11283" s="19"/>
      <c r="AT11283" s="19"/>
      <c r="AU11283" s="19"/>
    </row>
    <row r="11284" spans="3:47">
      <c r="C11284" s="20"/>
      <c r="Z11284" s="20"/>
      <c r="AG11284" s="20"/>
      <c r="AQ11284" s="19"/>
      <c r="AR11284" s="19"/>
      <c r="AS11284" s="19"/>
      <c r="AT11284" s="19"/>
      <c r="AU11284" s="19"/>
    </row>
    <row r="11285" spans="3:47">
      <c r="C11285" s="20"/>
      <c r="Z11285" s="20"/>
      <c r="AG11285" s="20"/>
      <c r="AQ11285" s="19"/>
      <c r="AR11285" s="19"/>
      <c r="AS11285" s="19"/>
      <c r="AT11285" s="19"/>
      <c r="AU11285" s="19"/>
    </row>
    <row r="11286" spans="3:47">
      <c r="C11286" s="20"/>
      <c r="Z11286" s="20"/>
      <c r="AG11286" s="20"/>
      <c r="AQ11286" s="19"/>
      <c r="AR11286" s="19"/>
      <c r="AS11286" s="19"/>
      <c r="AT11286" s="19"/>
      <c r="AU11286" s="19"/>
    </row>
    <row r="11287" spans="3:47">
      <c r="C11287" s="20"/>
      <c r="Z11287" s="20"/>
      <c r="AG11287" s="20"/>
      <c r="AQ11287" s="19"/>
      <c r="AR11287" s="19"/>
      <c r="AS11287" s="19"/>
      <c r="AT11287" s="19"/>
      <c r="AU11287" s="19"/>
    </row>
    <row r="11288" spans="3:47">
      <c r="C11288" s="20"/>
      <c r="Z11288" s="20"/>
      <c r="AG11288" s="20"/>
      <c r="AQ11288" s="19"/>
      <c r="AR11288" s="19"/>
      <c r="AS11288" s="19"/>
      <c r="AT11288" s="19"/>
      <c r="AU11288" s="19"/>
    </row>
    <row r="11289" spans="3:47">
      <c r="C11289" s="20"/>
      <c r="Z11289" s="20"/>
      <c r="AG11289" s="20"/>
      <c r="AQ11289" s="19"/>
      <c r="AR11289" s="19"/>
      <c r="AS11289" s="19"/>
      <c r="AT11289" s="19"/>
      <c r="AU11289" s="19"/>
    </row>
    <row r="11290" spans="3:47">
      <c r="C11290" s="20"/>
      <c r="Z11290" s="20"/>
      <c r="AG11290" s="20"/>
      <c r="AQ11290" s="19"/>
      <c r="AR11290" s="19"/>
      <c r="AS11290" s="19"/>
      <c r="AT11290" s="19"/>
      <c r="AU11290" s="19"/>
    </row>
    <row r="11291" spans="3:47">
      <c r="C11291" s="20"/>
      <c r="Z11291" s="20"/>
      <c r="AG11291" s="20"/>
      <c r="AQ11291" s="19"/>
      <c r="AR11291" s="19"/>
      <c r="AS11291" s="19"/>
      <c r="AT11291" s="19"/>
      <c r="AU11291" s="19"/>
    </row>
    <row r="11292" spans="3:47">
      <c r="C11292" s="20"/>
      <c r="Z11292" s="20"/>
      <c r="AG11292" s="20"/>
      <c r="AQ11292" s="19"/>
      <c r="AR11292" s="19"/>
      <c r="AS11292" s="19"/>
      <c r="AT11292" s="19"/>
      <c r="AU11292" s="19"/>
    </row>
    <row r="11293" spans="3:47">
      <c r="C11293" s="20"/>
      <c r="Z11293" s="20"/>
      <c r="AG11293" s="20"/>
      <c r="AQ11293" s="19"/>
      <c r="AR11293" s="19"/>
      <c r="AS11293" s="19"/>
      <c r="AT11293" s="19"/>
      <c r="AU11293" s="19"/>
    </row>
    <row r="11294" spans="3:47">
      <c r="C11294" s="20"/>
      <c r="Z11294" s="20"/>
      <c r="AG11294" s="20"/>
      <c r="AQ11294" s="19"/>
      <c r="AR11294" s="19"/>
      <c r="AS11294" s="19"/>
      <c r="AT11294" s="19"/>
      <c r="AU11294" s="19"/>
    </row>
    <row r="11295" spans="3:47">
      <c r="C11295" s="20"/>
      <c r="Z11295" s="20"/>
      <c r="AG11295" s="20"/>
      <c r="AQ11295" s="19"/>
      <c r="AR11295" s="19"/>
      <c r="AS11295" s="19"/>
      <c r="AT11295" s="19"/>
      <c r="AU11295" s="19"/>
    </row>
    <row r="11296" spans="3:47">
      <c r="C11296" s="20"/>
      <c r="Z11296" s="20"/>
      <c r="AG11296" s="20"/>
      <c r="AQ11296" s="19"/>
      <c r="AR11296" s="19"/>
      <c r="AS11296" s="19"/>
      <c r="AT11296" s="19"/>
      <c r="AU11296" s="19"/>
    </row>
    <row r="11297" spans="3:47">
      <c r="C11297" s="20"/>
      <c r="Z11297" s="20"/>
      <c r="AG11297" s="20"/>
      <c r="AQ11297" s="19"/>
      <c r="AR11297" s="19"/>
      <c r="AS11297" s="19"/>
      <c r="AT11297" s="19"/>
      <c r="AU11297" s="19"/>
    </row>
    <row r="11298" spans="3:47">
      <c r="C11298" s="20"/>
      <c r="Z11298" s="20"/>
      <c r="AG11298" s="20"/>
      <c r="AQ11298" s="19"/>
      <c r="AR11298" s="19"/>
      <c r="AS11298" s="19"/>
      <c r="AT11298" s="19"/>
      <c r="AU11298" s="19"/>
    </row>
    <row r="11299" spans="3:47">
      <c r="C11299" s="20"/>
      <c r="Z11299" s="20"/>
      <c r="AG11299" s="20"/>
      <c r="AQ11299" s="19"/>
      <c r="AR11299" s="19"/>
      <c r="AS11299" s="19"/>
      <c r="AT11299" s="19"/>
      <c r="AU11299" s="19"/>
    </row>
    <row r="11300" spans="3:47">
      <c r="C11300" s="20"/>
      <c r="Z11300" s="20"/>
      <c r="AG11300" s="20"/>
      <c r="AQ11300" s="19"/>
      <c r="AR11300" s="19"/>
      <c r="AS11300" s="19"/>
      <c r="AT11300" s="19"/>
      <c r="AU11300" s="19"/>
    </row>
    <row r="11301" spans="3:47">
      <c r="C11301" s="20"/>
      <c r="Z11301" s="20"/>
      <c r="AG11301" s="20"/>
      <c r="AQ11301" s="19"/>
      <c r="AR11301" s="19"/>
      <c r="AS11301" s="19"/>
      <c r="AT11301" s="19"/>
      <c r="AU11301" s="19"/>
    </row>
    <row r="11302" spans="3:47">
      <c r="C11302" s="20"/>
      <c r="Z11302" s="20"/>
      <c r="AG11302" s="20"/>
      <c r="AQ11302" s="19"/>
      <c r="AR11302" s="19"/>
      <c r="AS11302" s="19"/>
      <c r="AT11302" s="19"/>
      <c r="AU11302" s="19"/>
    </row>
    <row r="11303" spans="3:47">
      <c r="C11303" s="20"/>
      <c r="Z11303" s="20"/>
      <c r="AG11303" s="20"/>
      <c r="AQ11303" s="19"/>
      <c r="AR11303" s="19"/>
      <c r="AS11303" s="19"/>
      <c r="AT11303" s="19"/>
      <c r="AU11303" s="19"/>
    </row>
    <row r="11304" spans="3:47">
      <c r="C11304" s="20"/>
      <c r="Z11304" s="20"/>
      <c r="AG11304" s="20"/>
      <c r="AQ11304" s="19"/>
      <c r="AR11304" s="19"/>
      <c r="AS11304" s="19"/>
      <c r="AT11304" s="19"/>
      <c r="AU11304" s="19"/>
    </row>
    <row r="11305" spans="3:47">
      <c r="C11305" s="20"/>
      <c r="Z11305" s="20"/>
      <c r="AG11305" s="20"/>
      <c r="AQ11305" s="19"/>
      <c r="AR11305" s="19"/>
      <c r="AS11305" s="19"/>
      <c r="AT11305" s="19"/>
      <c r="AU11305" s="19"/>
    </row>
    <row r="11306" spans="3:47">
      <c r="C11306" s="20"/>
      <c r="Z11306" s="20"/>
      <c r="AG11306" s="20"/>
      <c r="AQ11306" s="19"/>
      <c r="AR11306" s="19"/>
      <c r="AS11306" s="19"/>
      <c r="AT11306" s="19"/>
      <c r="AU11306" s="19"/>
    </row>
    <row r="11307" spans="3:47">
      <c r="C11307" s="20"/>
      <c r="Z11307" s="20"/>
      <c r="AG11307" s="20"/>
      <c r="AQ11307" s="19"/>
      <c r="AR11307" s="19"/>
      <c r="AS11307" s="19"/>
      <c r="AT11307" s="19"/>
      <c r="AU11307" s="19"/>
    </row>
    <row r="11308" spans="3:47">
      <c r="C11308" s="20"/>
      <c r="Z11308" s="20"/>
      <c r="AG11308" s="20"/>
      <c r="AQ11308" s="19"/>
      <c r="AR11308" s="19"/>
      <c r="AS11308" s="19"/>
      <c r="AT11308" s="19"/>
      <c r="AU11308" s="19"/>
    </row>
    <row r="11309" spans="3:47">
      <c r="C11309" s="20"/>
      <c r="Z11309" s="20"/>
      <c r="AG11309" s="20"/>
      <c r="AQ11309" s="19"/>
      <c r="AR11309" s="19"/>
      <c r="AS11309" s="19"/>
      <c r="AT11309" s="19"/>
      <c r="AU11309" s="19"/>
    </row>
    <row r="11310" spans="3:47">
      <c r="C11310" s="20"/>
      <c r="Z11310" s="20"/>
      <c r="AG11310" s="20"/>
      <c r="AQ11310" s="19"/>
      <c r="AR11310" s="19"/>
      <c r="AS11310" s="19"/>
      <c r="AT11310" s="19"/>
      <c r="AU11310" s="19"/>
    </row>
    <row r="11311" spans="3:47">
      <c r="C11311" s="20"/>
      <c r="Z11311" s="20"/>
      <c r="AG11311" s="20"/>
      <c r="AQ11311" s="19"/>
      <c r="AR11311" s="19"/>
      <c r="AS11311" s="19"/>
      <c r="AT11311" s="19"/>
      <c r="AU11311" s="19"/>
    </row>
    <row r="11312" spans="3:47">
      <c r="C11312" s="20"/>
      <c r="Z11312" s="20"/>
      <c r="AG11312" s="20"/>
      <c r="AQ11312" s="19"/>
      <c r="AR11312" s="19"/>
      <c r="AS11312" s="19"/>
      <c r="AT11312" s="19"/>
      <c r="AU11312" s="19"/>
    </row>
    <row r="11313" spans="3:47">
      <c r="C11313" s="20"/>
      <c r="Z11313" s="20"/>
      <c r="AG11313" s="20"/>
      <c r="AQ11313" s="19"/>
      <c r="AR11313" s="19"/>
      <c r="AS11313" s="19"/>
      <c r="AT11313" s="19"/>
      <c r="AU11313" s="19"/>
    </row>
    <row r="11314" spans="3:47">
      <c r="C11314" s="20"/>
      <c r="Z11314" s="20"/>
      <c r="AG11314" s="20"/>
      <c r="AQ11314" s="19"/>
      <c r="AR11314" s="19"/>
      <c r="AS11314" s="19"/>
      <c r="AT11314" s="19"/>
      <c r="AU11314" s="19"/>
    </row>
    <row r="11315" spans="3:47">
      <c r="C11315" s="20"/>
      <c r="Z11315" s="20"/>
      <c r="AG11315" s="20"/>
      <c r="AQ11315" s="19"/>
      <c r="AR11315" s="19"/>
      <c r="AS11315" s="19"/>
      <c r="AT11315" s="19"/>
      <c r="AU11315" s="19"/>
    </row>
    <row r="11316" spans="3:47">
      <c r="C11316" s="20"/>
      <c r="Z11316" s="20"/>
      <c r="AG11316" s="20"/>
      <c r="AQ11316" s="19"/>
      <c r="AR11316" s="19"/>
      <c r="AS11316" s="19"/>
      <c r="AT11316" s="19"/>
      <c r="AU11316" s="19"/>
    </row>
    <row r="11317" spans="3:47">
      <c r="C11317" s="20"/>
      <c r="Z11317" s="20"/>
      <c r="AG11317" s="20"/>
      <c r="AQ11317" s="19"/>
      <c r="AR11317" s="19"/>
      <c r="AS11317" s="19"/>
      <c r="AT11317" s="19"/>
      <c r="AU11317" s="19"/>
    </row>
    <row r="11318" spans="3:47">
      <c r="C11318" s="20"/>
      <c r="Z11318" s="20"/>
      <c r="AG11318" s="20"/>
      <c r="AQ11318" s="19"/>
      <c r="AR11318" s="19"/>
      <c r="AS11318" s="19"/>
      <c r="AT11318" s="19"/>
      <c r="AU11318" s="19"/>
    </row>
    <row r="11319" spans="3:47">
      <c r="C11319" s="20"/>
      <c r="Z11319" s="20"/>
      <c r="AG11319" s="20"/>
      <c r="AQ11319" s="19"/>
      <c r="AR11319" s="19"/>
      <c r="AS11319" s="19"/>
      <c r="AT11319" s="19"/>
      <c r="AU11319" s="19"/>
    </row>
    <row r="11320" spans="3:47">
      <c r="C11320" s="20"/>
      <c r="Z11320" s="20"/>
      <c r="AG11320" s="20"/>
      <c r="AQ11320" s="19"/>
      <c r="AR11320" s="19"/>
      <c r="AS11320" s="19"/>
      <c r="AT11320" s="19"/>
      <c r="AU11320" s="19"/>
    </row>
    <row r="11321" spans="3:47">
      <c r="C11321" s="20"/>
      <c r="Z11321" s="20"/>
      <c r="AG11321" s="20"/>
      <c r="AQ11321" s="19"/>
      <c r="AR11321" s="19"/>
      <c r="AS11321" s="19"/>
      <c r="AT11321" s="19"/>
      <c r="AU11321" s="19"/>
    </row>
    <row r="11322" spans="3:47">
      <c r="C11322" s="20"/>
      <c r="Z11322" s="20"/>
      <c r="AG11322" s="20"/>
      <c r="AQ11322" s="19"/>
      <c r="AR11322" s="19"/>
      <c r="AS11322" s="19"/>
      <c r="AT11322" s="19"/>
      <c r="AU11322" s="19"/>
    </row>
    <row r="11323" spans="3:47">
      <c r="C11323" s="20"/>
      <c r="Z11323" s="20"/>
      <c r="AG11323" s="20"/>
      <c r="AQ11323" s="19"/>
      <c r="AR11323" s="19"/>
      <c r="AS11323" s="19"/>
      <c r="AT11323" s="19"/>
      <c r="AU11323" s="19"/>
    </row>
    <row r="11324" spans="3:47">
      <c r="C11324" s="20"/>
      <c r="Z11324" s="20"/>
      <c r="AG11324" s="20"/>
      <c r="AQ11324" s="19"/>
      <c r="AR11324" s="19"/>
      <c r="AS11324" s="19"/>
      <c r="AT11324" s="19"/>
      <c r="AU11324" s="19"/>
    </row>
    <row r="11325" spans="3:47">
      <c r="C11325" s="20"/>
      <c r="Z11325" s="20"/>
      <c r="AG11325" s="20"/>
      <c r="AQ11325" s="19"/>
      <c r="AR11325" s="19"/>
      <c r="AS11325" s="19"/>
      <c r="AT11325" s="19"/>
      <c r="AU11325" s="19"/>
    </row>
    <row r="11326" spans="3:47">
      <c r="C11326" s="20"/>
      <c r="Z11326" s="20"/>
      <c r="AG11326" s="20"/>
      <c r="AQ11326" s="19"/>
      <c r="AR11326" s="19"/>
      <c r="AS11326" s="19"/>
      <c r="AT11326" s="19"/>
      <c r="AU11326" s="19"/>
    </row>
    <row r="11327" spans="3:47">
      <c r="C11327" s="20"/>
      <c r="Z11327" s="20"/>
      <c r="AG11327" s="20"/>
      <c r="AQ11327" s="19"/>
      <c r="AR11327" s="19"/>
      <c r="AS11327" s="19"/>
      <c r="AT11327" s="19"/>
      <c r="AU11327" s="19"/>
    </row>
    <row r="11328" spans="3:47">
      <c r="C11328" s="20"/>
      <c r="Z11328" s="20"/>
      <c r="AG11328" s="20"/>
      <c r="AQ11328" s="19"/>
      <c r="AR11328" s="19"/>
      <c r="AS11328" s="19"/>
      <c r="AT11328" s="19"/>
      <c r="AU11328" s="19"/>
    </row>
    <row r="11329" spans="3:47">
      <c r="C11329" s="20"/>
      <c r="Z11329" s="20"/>
      <c r="AG11329" s="20"/>
      <c r="AQ11329" s="19"/>
      <c r="AR11329" s="19"/>
      <c r="AS11329" s="19"/>
      <c r="AT11329" s="19"/>
      <c r="AU11329" s="19"/>
    </row>
    <row r="11330" spans="3:47">
      <c r="C11330" s="20"/>
      <c r="Z11330" s="20"/>
      <c r="AG11330" s="20"/>
      <c r="AQ11330" s="19"/>
      <c r="AR11330" s="19"/>
      <c r="AS11330" s="19"/>
      <c r="AT11330" s="19"/>
      <c r="AU11330" s="19"/>
    </row>
    <row r="11331" spans="3:47">
      <c r="C11331" s="20"/>
      <c r="Z11331" s="20"/>
      <c r="AG11331" s="20"/>
      <c r="AQ11331" s="19"/>
      <c r="AR11331" s="19"/>
      <c r="AS11331" s="19"/>
      <c r="AT11331" s="19"/>
      <c r="AU11331" s="19"/>
    </row>
    <row r="11332" spans="3:47">
      <c r="C11332" s="20"/>
      <c r="Z11332" s="20"/>
      <c r="AG11332" s="20"/>
      <c r="AQ11332" s="19"/>
      <c r="AR11332" s="19"/>
      <c r="AS11332" s="19"/>
      <c r="AT11332" s="19"/>
      <c r="AU11332" s="19"/>
    </row>
    <row r="11333" spans="3:47">
      <c r="C11333" s="20"/>
      <c r="Z11333" s="20"/>
      <c r="AG11333" s="20"/>
      <c r="AQ11333" s="19"/>
      <c r="AR11333" s="19"/>
      <c r="AS11333" s="19"/>
      <c r="AT11333" s="19"/>
      <c r="AU11333" s="19"/>
    </row>
    <row r="11334" spans="3:47">
      <c r="C11334" s="20"/>
      <c r="Z11334" s="20"/>
      <c r="AG11334" s="20"/>
      <c r="AQ11334" s="19"/>
      <c r="AR11334" s="19"/>
      <c r="AS11334" s="19"/>
      <c r="AT11334" s="19"/>
      <c r="AU11334" s="19"/>
    </row>
    <row r="11335" spans="3:47">
      <c r="C11335" s="20"/>
      <c r="Z11335" s="20"/>
      <c r="AG11335" s="20"/>
      <c r="AQ11335" s="19"/>
      <c r="AR11335" s="19"/>
      <c r="AS11335" s="19"/>
      <c r="AT11335" s="19"/>
      <c r="AU11335" s="19"/>
    </row>
    <row r="11336" spans="3:47">
      <c r="C11336" s="20"/>
      <c r="Z11336" s="20"/>
      <c r="AG11336" s="20"/>
      <c r="AQ11336" s="19"/>
      <c r="AR11336" s="19"/>
      <c r="AS11336" s="19"/>
      <c r="AT11336" s="19"/>
      <c r="AU11336" s="19"/>
    </row>
    <row r="11337" spans="3:47">
      <c r="C11337" s="20"/>
      <c r="Z11337" s="20"/>
      <c r="AG11337" s="20"/>
      <c r="AQ11337" s="19"/>
      <c r="AR11337" s="19"/>
      <c r="AS11337" s="19"/>
      <c r="AT11337" s="19"/>
      <c r="AU11337" s="19"/>
    </row>
    <row r="11338" spans="3:47">
      <c r="C11338" s="20"/>
      <c r="Z11338" s="20"/>
      <c r="AG11338" s="20"/>
      <c r="AQ11338" s="19"/>
      <c r="AR11338" s="19"/>
      <c r="AS11338" s="19"/>
      <c r="AT11338" s="19"/>
      <c r="AU11338" s="19"/>
    </row>
    <row r="11339" spans="3:47">
      <c r="C11339" s="20"/>
      <c r="Z11339" s="20"/>
      <c r="AG11339" s="20"/>
      <c r="AQ11339" s="19"/>
      <c r="AR11339" s="19"/>
      <c r="AS11339" s="19"/>
      <c r="AT11339" s="19"/>
      <c r="AU11339" s="19"/>
    </row>
    <row r="11340" spans="3:47">
      <c r="C11340" s="20"/>
      <c r="Z11340" s="20"/>
      <c r="AG11340" s="20"/>
      <c r="AQ11340" s="19"/>
      <c r="AR11340" s="19"/>
      <c r="AS11340" s="19"/>
      <c r="AT11340" s="19"/>
      <c r="AU11340" s="19"/>
    </row>
    <row r="11341" spans="3:47">
      <c r="C11341" s="20"/>
      <c r="Z11341" s="20"/>
      <c r="AG11341" s="20"/>
      <c r="AQ11341" s="19"/>
      <c r="AR11341" s="19"/>
      <c r="AS11341" s="19"/>
      <c r="AT11341" s="19"/>
      <c r="AU11341" s="19"/>
    </row>
    <row r="11342" spans="3:47">
      <c r="C11342" s="20"/>
      <c r="Z11342" s="20"/>
      <c r="AG11342" s="20"/>
      <c r="AQ11342" s="19"/>
      <c r="AR11342" s="19"/>
      <c r="AS11342" s="19"/>
      <c r="AT11342" s="19"/>
      <c r="AU11342" s="19"/>
    </row>
    <row r="11343" spans="3:47">
      <c r="C11343" s="20"/>
      <c r="Z11343" s="20"/>
      <c r="AG11343" s="20"/>
      <c r="AQ11343" s="19"/>
      <c r="AR11343" s="19"/>
      <c r="AS11343" s="19"/>
      <c r="AT11343" s="19"/>
      <c r="AU11343" s="19"/>
    </row>
    <row r="11344" spans="3:47">
      <c r="C11344" s="20"/>
      <c r="Z11344" s="20"/>
      <c r="AG11344" s="20"/>
      <c r="AQ11344" s="19"/>
      <c r="AR11344" s="19"/>
      <c r="AS11344" s="19"/>
      <c r="AT11344" s="19"/>
      <c r="AU11344" s="19"/>
    </row>
    <row r="11345" spans="3:47">
      <c r="C11345" s="20"/>
      <c r="Z11345" s="20"/>
      <c r="AG11345" s="20"/>
      <c r="AQ11345" s="19"/>
      <c r="AR11345" s="19"/>
      <c r="AS11345" s="19"/>
      <c r="AT11345" s="19"/>
      <c r="AU11345" s="19"/>
    </row>
    <row r="11346" spans="3:47">
      <c r="C11346" s="20"/>
      <c r="Z11346" s="20"/>
      <c r="AG11346" s="20"/>
      <c r="AQ11346" s="19"/>
      <c r="AR11346" s="19"/>
      <c r="AS11346" s="19"/>
      <c r="AT11346" s="19"/>
      <c r="AU11346" s="19"/>
    </row>
    <row r="11347" spans="3:47">
      <c r="C11347" s="20"/>
      <c r="Z11347" s="20"/>
      <c r="AG11347" s="20"/>
      <c r="AQ11347" s="19"/>
      <c r="AR11347" s="19"/>
      <c r="AS11347" s="19"/>
      <c r="AT11347" s="19"/>
      <c r="AU11347" s="19"/>
    </row>
    <row r="11348" spans="3:47">
      <c r="C11348" s="20"/>
      <c r="Z11348" s="20"/>
      <c r="AG11348" s="20"/>
      <c r="AQ11348" s="19"/>
      <c r="AR11348" s="19"/>
      <c r="AS11348" s="19"/>
      <c r="AT11348" s="19"/>
      <c r="AU11348" s="19"/>
    </row>
    <row r="11349" spans="3:47">
      <c r="C11349" s="20"/>
      <c r="Z11349" s="20"/>
      <c r="AG11349" s="20"/>
      <c r="AQ11349" s="19"/>
      <c r="AR11349" s="19"/>
      <c r="AS11349" s="19"/>
      <c r="AT11349" s="19"/>
      <c r="AU11349" s="19"/>
    </row>
    <row r="11350" spans="3:47">
      <c r="C11350" s="20"/>
      <c r="Z11350" s="20"/>
      <c r="AG11350" s="20"/>
      <c r="AQ11350" s="19"/>
      <c r="AR11350" s="19"/>
      <c r="AS11350" s="19"/>
      <c r="AT11350" s="19"/>
      <c r="AU11350" s="19"/>
    </row>
    <row r="11351" spans="3:47">
      <c r="C11351" s="20"/>
      <c r="Z11351" s="20"/>
      <c r="AG11351" s="20"/>
      <c r="AQ11351" s="19"/>
      <c r="AR11351" s="19"/>
      <c r="AS11351" s="19"/>
      <c r="AT11351" s="19"/>
      <c r="AU11351" s="19"/>
    </row>
    <row r="11352" spans="3:47">
      <c r="C11352" s="20"/>
      <c r="Z11352" s="20"/>
      <c r="AG11352" s="20"/>
      <c r="AQ11352" s="19"/>
      <c r="AR11352" s="19"/>
      <c r="AS11352" s="19"/>
      <c r="AT11352" s="19"/>
      <c r="AU11352" s="19"/>
    </row>
    <row r="11353" spans="3:47">
      <c r="C11353" s="20"/>
      <c r="Z11353" s="20"/>
      <c r="AG11353" s="20"/>
      <c r="AQ11353" s="19"/>
      <c r="AR11353" s="19"/>
      <c r="AS11353" s="19"/>
      <c r="AT11353" s="19"/>
      <c r="AU11353" s="19"/>
    </row>
    <row r="11354" spans="3:47">
      <c r="C11354" s="20"/>
      <c r="Z11354" s="20"/>
      <c r="AG11354" s="20"/>
      <c r="AQ11354" s="19"/>
      <c r="AR11354" s="19"/>
      <c r="AS11354" s="19"/>
      <c r="AT11354" s="19"/>
      <c r="AU11354" s="19"/>
    </row>
    <row r="11355" spans="3:47">
      <c r="C11355" s="20"/>
      <c r="Z11355" s="20"/>
      <c r="AG11355" s="20"/>
      <c r="AQ11355" s="19"/>
      <c r="AR11355" s="19"/>
      <c r="AS11355" s="19"/>
      <c r="AT11355" s="19"/>
      <c r="AU11355" s="19"/>
    </row>
    <row r="11356" spans="3:47">
      <c r="C11356" s="20"/>
      <c r="Z11356" s="20"/>
      <c r="AG11356" s="20"/>
      <c r="AQ11356" s="19"/>
      <c r="AR11356" s="19"/>
      <c r="AS11356" s="19"/>
      <c r="AT11356" s="19"/>
      <c r="AU11356" s="19"/>
    </row>
    <row r="11357" spans="3:47">
      <c r="C11357" s="20"/>
      <c r="Z11357" s="20"/>
      <c r="AG11357" s="20"/>
      <c r="AQ11357" s="19"/>
      <c r="AR11357" s="19"/>
      <c r="AS11357" s="19"/>
      <c r="AT11357" s="19"/>
      <c r="AU11357" s="19"/>
    </row>
    <row r="11358" spans="3:47">
      <c r="C11358" s="20"/>
      <c r="Z11358" s="20"/>
      <c r="AG11358" s="20"/>
      <c r="AQ11358" s="19"/>
      <c r="AR11358" s="19"/>
      <c r="AS11358" s="19"/>
      <c r="AT11358" s="19"/>
      <c r="AU11358" s="19"/>
    </row>
    <row r="11359" spans="3:47">
      <c r="C11359" s="20"/>
      <c r="Z11359" s="20"/>
      <c r="AG11359" s="20"/>
      <c r="AQ11359" s="19"/>
      <c r="AR11359" s="19"/>
      <c r="AS11359" s="19"/>
      <c r="AT11359" s="19"/>
      <c r="AU11359" s="19"/>
    </row>
    <row r="11360" spans="3:47">
      <c r="C11360" s="20"/>
      <c r="Z11360" s="20"/>
      <c r="AG11360" s="20"/>
      <c r="AQ11360" s="19"/>
      <c r="AR11360" s="19"/>
      <c r="AS11360" s="19"/>
      <c r="AT11360" s="19"/>
      <c r="AU11360" s="19"/>
    </row>
    <row r="11361" spans="3:47">
      <c r="C11361" s="20"/>
      <c r="Z11361" s="20"/>
      <c r="AG11361" s="20"/>
      <c r="AQ11361" s="19"/>
      <c r="AR11361" s="19"/>
      <c r="AS11361" s="19"/>
      <c r="AT11361" s="19"/>
      <c r="AU11361" s="19"/>
    </row>
    <row r="11362" spans="3:47">
      <c r="C11362" s="20"/>
      <c r="Z11362" s="20"/>
      <c r="AG11362" s="20"/>
      <c r="AQ11362" s="19"/>
      <c r="AR11362" s="19"/>
      <c r="AS11362" s="19"/>
      <c r="AT11362" s="19"/>
      <c r="AU11362" s="19"/>
    </row>
    <row r="11363" spans="3:47">
      <c r="C11363" s="20"/>
      <c r="Z11363" s="20"/>
      <c r="AG11363" s="20"/>
      <c r="AQ11363" s="19"/>
      <c r="AR11363" s="19"/>
      <c r="AS11363" s="19"/>
      <c r="AT11363" s="19"/>
      <c r="AU11363" s="19"/>
    </row>
    <row r="11364" spans="3:47">
      <c r="C11364" s="20"/>
      <c r="Z11364" s="20"/>
      <c r="AG11364" s="20"/>
      <c r="AQ11364" s="19"/>
      <c r="AR11364" s="19"/>
      <c r="AS11364" s="19"/>
      <c r="AT11364" s="19"/>
      <c r="AU11364" s="19"/>
    </row>
    <row r="11365" spans="3:47">
      <c r="C11365" s="20"/>
      <c r="Z11365" s="20"/>
      <c r="AG11365" s="20"/>
      <c r="AQ11365" s="19"/>
      <c r="AR11365" s="19"/>
      <c r="AS11365" s="19"/>
      <c r="AT11365" s="19"/>
      <c r="AU11365" s="19"/>
    </row>
    <row r="11366" spans="3:47">
      <c r="C11366" s="20"/>
      <c r="Z11366" s="20"/>
      <c r="AG11366" s="20"/>
      <c r="AQ11366" s="19"/>
      <c r="AR11366" s="19"/>
      <c r="AS11366" s="19"/>
      <c r="AT11366" s="19"/>
      <c r="AU11366" s="19"/>
    </row>
    <row r="11367" spans="3:47">
      <c r="C11367" s="20"/>
      <c r="Z11367" s="20"/>
      <c r="AG11367" s="20"/>
      <c r="AQ11367" s="19"/>
      <c r="AR11367" s="19"/>
      <c r="AS11367" s="19"/>
      <c r="AT11367" s="19"/>
      <c r="AU11367" s="19"/>
    </row>
    <row r="11368" spans="3:47">
      <c r="C11368" s="20"/>
      <c r="Z11368" s="20"/>
      <c r="AG11368" s="20"/>
      <c r="AQ11368" s="19"/>
      <c r="AR11368" s="19"/>
      <c r="AS11368" s="19"/>
      <c r="AT11368" s="19"/>
      <c r="AU11368" s="19"/>
    </row>
    <row r="11369" spans="3:47">
      <c r="C11369" s="20"/>
      <c r="Z11369" s="20"/>
      <c r="AG11369" s="20"/>
      <c r="AQ11369" s="19"/>
      <c r="AR11369" s="19"/>
      <c r="AS11369" s="19"/>
      <c r="AT11369" s="19"/>
      <c r="AU11369" s="19"/>
    </row>
    <row r="11370" spans="3:47">
      <c r="C11370" s="20"/>
      <c r="Z11370" s="20"/>
      <c r="AG11370" s="20"/>
      <c r="AQ11370" s="19"/>
      <c r="AR11370" s="19"/>
      <c r="AS11370" s="19"/>
      <c r="AT11370" s="19"/>
      <c r="AU11370" s="19"/>
    </row>
    <row r="11371" spans="3:47">
      <c r="C11371" s="20"/>
      <c r="Z11371" s="20"/>
      <c r="AG11371" s="20"/>
      <c r="AQ11371" s="19"/>
      <c r="AR11371" s="19"/>
      <c r="AS11371" s="19"/>
      <c r="AT11371" s="19"/>
      <c r="AU11371" s="19"/>
    </row>
    <row r="11372" spans="3:47">
      <c r="C11372" s="20"/>
      <c r="Z11372" s="20"/>
      <c r="AG11372" s="20"/>
      <c r="AQ11372" s="19"/>
      <c r="AR11372" s="19"/>
      <c r="AS11372" s="19"/>
      <c r="AT11372" s="19"/>
      <c r="AU11372" s="19"/>
    </row>
    <row r="11373" spans="3:47">
      <c r="C11373" s="20"/>
      <c r="Z11373" s="20"/>
      <c r="AG11373" s="20"/>
      <c r="AQ11373" s="19"/>
      <c r="AR11373" s="19"/>
      <c r="AS11373" s="19"/>
      <c r="AT11373" s="19"/>
      <c r="AU11373" s="19"/>
    </row>
    <row r="11374" spans="3:47">
      <c r="C11374" s="20"/>
      <c r="Z11374" s="20"/>
      <c r="AG11374" s="20"/>
      <c r="AQ11374" s="19"/>
      <c r="AR11374" s="19"/>
      <c r="AS11374" s="19"/>
      <c r="AT11374" s="19"/>
      <c r="AU11374" s="19"/>
    </row>
    <row r="11375" spans="3:47">
      <c r="C11375" s="20"/>
      <c r="Z11375" s="20"/>
      <c r="AG11375" s="20"/>
      <c r="AQ11375" s="19"/>
      <c r="AR11375" s="19"/>
      <c r="AS11375" s="19"/>
      <c r="AT11375" s="19"/>
      <c r="AU11375" s="19"/>
    </row>
    <row r="11376" spans="3:47">
      <c r="C11376" s="20"/>
      <c r="Z11376" s="20"/>
      <c r="AG11376" s="20"/>
      <c r="AQ11376" s="19"/>
      <c r="AR11376" s="19"/>
      <c r="AS11376" s="19"/>
      <c r="AT11376" s="19"/>
      <c r="AU11376" s="19"/>
    </row>
    <row r="11377" spans="3:47">
      <c r="C11377" s="20"/>
      <c r="Z11377" s="20"/>
      <c r="AG11377" s="20"/>
      <c r="AQ11377" s="19"/>
      <c r="AR11377" s="19"/>
      <c r="AS11377" s="19"/>
      <c r="AT11377" s="19"/>
      <c r="AU11377" s="19"/>
    </row>
    <row r="11378" spans="3:47">
      <c r="C11378" s="20"/>
      <c r="Z11378" s="20"/>
      <c r="AG11378" s="20"/>
      <c r="AQ11378" s="19"/>
      <c r="AR11378" s="19"/>
      <c r="AS11378" s="19"/>
      <c r="AT11378" s="19"/>
      <c r="AU11378" s="19"/>
    </row>
    <row r="11379" spans="3:47">
      <c r="C11379" s="20"/>
      <c r="Z11379" s="20"/>
      <c r="AG11379" s="20"/>
      <c r="AQ11379" s="19"/>
      <c r="AR11379" s="19"/>
      <c r="AS11379" s="19"/>
      <c r="AT11379" s="19"/>
      <c r="AU11379" s="19"/>
    </row>
    <row r="11380" spans="3:47">
      <c r="C11380" s="20"/>
      <c r="Z11380" s="20"/>
      <c r="AG11380" s="20"/>
      <c r="AQ11380" s="19"/>
      <c r="AR11380" s="19"/>
      <c r="AS11380" s="19"/>
      <c r="AT11380" s="19"/>
      <c r="AU11380" s="19"/>
    </row>
    <row r="11381" spans="3:47">
      <c r="C11381" s="20"/>
      <c r="Z11381" s="20"/>
      <c r="AG11381" s="20"/>
      <c r="AQ11381" s="19"/>
      <c r="AR11381" s="19"/>
      <c r="AS11381" s="19"/>
      <c r="AT11381" s="19"/>
      <c r="AU11381" s="19"/>
    </row>
    <row r="11382" spans="3:47">
      <c r="C11382" s="20"/>
      <c r="Z11382" s="20"/>
      <c r="AG11382" s="20"/>
      <c r="AQ11382" s="19"/>
      <c r="AR11382" s="19"/>
      <c r="AS11382" s="19"/>
      <c r="AT11382" s="19"/>
      <c r="AU11382" s="19"/>
    </row>
    <row r="11383" spans="3:47">
      <c r="C11383" s="20"/>
      <c r="Z11383" s="20"/>
      <c r="AG11383" s="20"/>
      <c r="AQ11383" s="19"/>
      <c r="AR11383" s="19"/>
      <c r="AS11383" s="19"/>
      <c r="AT11383" s="19"/>
      <c r="AU11383" s="19"/>
    </row>
    <row r="11384" spans="3:47">
      <c r="C11384" s="20"/>
      <c r="Z11384" s="20"/>
      <c r="AG11384" s="20"/>
      <c r="AQ11384" s="19"/>
      <c r="AR11384" s="19"/>
      <c r="AS11384" s="19"/>
      <c r="AT11384" s="19"/>
      <c r="AU11384" s="19"/>
    </row>
    <row r="11385" spans="3:47">
      <c r="C11385" s="20"/>
      <c r="Z11385" s="20"/>
      <c r="AG11385" s="20"/>
      <c r="AQ11385" s="19"/>
      <c r="AR11385" s="19"/>
      <c r="AS11385" s="19"/>
      <c r="AT11385" s="19"/>
      <c r="AU11385" s="19"/>
    </row>
    <row r="11386" spans="3:47">
      <c r="C11386" s="20"/>
      <c r="Z11386" s="20"/>
      <c r="AG11386" s="20"/>
      <c r="AQ11386" s="19"/>
      <c r="AR11386" s="19"/>
      <c r="AS11386" s="19"/>
      <c r="AT11386" s="19"/>
      <c r="AU11386" s="19"/>
    </row>
    <row r="11387" spans="3:47">
      <c r="C11387" s="20"/>
      <c r="Z11387" s="20"/>
      <c r="AG11387" s="20"/>
      <c r="AQ11387" s="19"/>
      <c r="AR11387" s="19"/>
      <c r="AS11387" s="19"/>
      <c r="AT11387" s="19"/>
      <c r="AU11387" s="19"/>
    </row>
    <row r="11388" spans="3:47">
      <c r="C11388" s="20"/>
      <c r="Z11388" s="20"/>
      <c r="AG11388" s="20"/>
      <c r="AQ11388" s="19"/>
      <c r="AR11388" s="19"/>
      <c r="AS11388" s="19"/>
      <c r="AT11388" s="19"/>
      <c r="AU11388" s="19"/>
    </row>
    <row r="11389" spans="3:47">
      <c r="C11389" s="20"/>
      <c r="Z11389" s="20"/>
      <c r="AG11389" s="20"/>
      <c r="AQ11389" s="19"/>
      <c r="AR11389" s="19"/>
      <c r="AS11389" s="19"/>
      <c r="AT11389" s="19"/>
      <c r="AU11389" s="19"/>
    </row>
    <row r="11390" spans="3:47">
      <c r="C11390" s="20"/>
      <c r="Z11390" s="20"/>
      <c r="AG11390" s="20"/>
      <c r="AQ11390" s="19"/>
      <c r="AR11390" s="19"/>
      <c r="AS11390" s="19"/>
      <c r="AT11390" s="19"/>
      <c r="AU11390" s="19"/>
    </row>
    <row r="11391" spans="3:47">
      <c r="C11391" s="20"/>
      <c r="Z11391" s="20"/>
      <c r="AG11391" s="20"/>
      <c r="AQ11391" s="19"/>
      <c r="AR11391" s="19"/>
      <c r="AS11391" s="19"/>
      <c r="AT11391" s="19"/>
      <c r="AU11391" s="19"/>
    </row>
    <row r="11392" spans="3:47">
      <c r="C11392" s="20"/>
      <c r="Z11392" s="20"/>
      <c r="AG11392" s="20"/>
      <c r="AQ11392" s="19"/>
      <c r="AR11392" s="19"/>
      <c r="AS11392" s="19"/>
      <c r="AT11392" s="19"/>
      <c r="AU11392" s="19"/>
    </row>
    <row r="11393" spans="3:47">
      <c r="C11393" s="20"/>
      <c r="Z11393" s="20"/>
      <c r="AG11393" s="20"/>
      <c r="AQ11393" s="19"/>
      <c r="AR11393" s="19"/>
      <c r="AS11393" s="19"/>
      <c r="AT11393" s="19"/>
      <c r="AU11393" s="19"/>
    </row>
    <row r="11394" spans="3:47">
      <c r="C11394" s="20"/>
      <c r="Z11394" s="20"/>
      <c r="AG11394" s="20"/>
      <c r="AQ11394" s="19"/>
      <c r="AR11394" s="19"/>
      <c r="AS11394" s="19"/>
      <c r="AT11394" s="19"/>
      <c r="AU11394" s="19"/>
    </row>
    <row r="11395" spans="3:47">
      <c r="C11395" s="20"/>
      <c r="Z11395" s="20"/>
      <c r="AG11395" s="20"/>
      <c r="AQ11395" s="19"/>
      <c r="AR11395" s="19"/>
      <c r="AS11395" s="19"/>
      <c r="AT11395" s="19"/>
      <c r="AU11395" s="19"/>
    </row>
    <row r="11396" spans="3:47">
      <c r="C11396" s="20"/>
      <c r="Z11396" s="20"/>
      <c r="AG11396" s="20"/>
      <c r="AQ11396" s="19"/>
      <c r="AR11396" s="19"/>
      <c r="AS11396" s="19"/>
      <c r="AT11396" s="19"/>
      <c r="AU11396" s="19"/>
    </row>
    <row r="11397" spans="3:47">
      <c r="C11397" s="20"/>
      <c r="Z11397" s="20"/>
      <c r="AG11397" s="20"/>
      <c r="AQ11397" s="19"/>
      <c r="AR11397" s="19"/>
      <c r="AS11397" s="19"/>
      <c r="AT11397" s="19"/>
      <c r="AU11397" s="19"/>
    </row>
    <row r="11398" spans="3:47">
      <c r="C11398" s="20"/>
      <c r="Z11398" s="20"/>
      <c r="AG11398" s="20"/>
      <c r="AQ11398" s="19"/>
      <c r="AR11398" s="19"/>
      <c r="AS11398" s="19"/>
      <c r="AT11398" s="19"/>
      <c r="AU11398" s="19"/>
    </row>
    <row r="11399" spans="3:47">
      <c r="C11399" s="20"/>
      <c r="Z11399" s="20"/>
      <c r="AG11399" s="20"/>
      <c r="AQ11399" s="19"/>
      <c r="AR11399" s="19"/>
      <c r="AS11399" s="19"/>
      <c r="AT11399" s="19"/>
      <c r="AU11399" s="19"/>
    </row>
    <row r="11400" spans="3:47">
      <c r="C11400" s="20"/>
      <c r="Z11400" s="20"/>
      <c r="AG11400" s="20"/>
      <c r="AQ11400" s="19"/>
      <c r="AR11400" s="19"/>
      <c r="AS11400" s="19"/>
      <c r="AT11400" s="19"/>
      <c r="AU11400" s="19"/>
    </row>
    <row r="11401" spans="3:47">
      <c r="C11401" s="20"/>
      <c r="Z11401" s="20"/>
      <c r="AG11401" s="20"/>
      <c r="AQ11401" s="19"/>
      <c r="AR11401" s="19"/>
      <c r="AS11401" s="19"/>
      <c r="AT11401" s="19"/>
      <c r="AU11401" s="19"/>
    </row>
    <row r="11402" spans="3:47">
      <c r="C11402" s="20"/>
      <c r="Z11402" s="20"/>
      <c r="AG11402" s="20"/>
      <c r="AQ11402" s="19"/>
      <c r="AR11402" s="19"/>
      <c r="AS11402" s="19"/>
      <c r="AT11402" s="19"/>
      <c r="AU11402" s="19"/>
    </row>
    <row r="11403" spans="3:47">
      <c r="C11403" s="20"/>
      <c r="Z11403" s="20"/>
      <c r="AG11403" s="20"/>
      <c r="AQ11403" s="19"/>
      <c r="AR11403" s="19"/>
      <c r="AS11403" s="19"/>
      <c r="AT11403" s="19"/>
      <c r="AU11403" s="19"/>
    </row>
    <row r="11404" spans="3:47">
      <c r="C11404" s="20"/>
      <c r="Z11404" s="20"/>
      <c r="AG11404" s="20"/>
      <c r="AQ11404" s="19"/>
      <c r="AR11404" s="19"/>
      <c r="AS11404" s="19"/>
      <c r="AT11404" s="19"/>
      <c r="AU11404" s="19"/>
    </row>
    <row r="11405" spans="3:47">
      <c r="C11405" s="20"/>
      <c r="Z11405" s="20"/>
      <c r="AG11405" s="20"/>
      <c r="AQ11405" s="19"/>
      <c r="AR11405" s="19"/>
      <c r="AS11405" s="19"/>
      <c r="AT11405" s="19"/>
      <c r="AU11405" s="19"/>
    </row>
    <row r="11406" spans="3:47">
      <c r="C11406" s="20"/>
      <c r="Z11406" s="20"/>
      <c r="AG11406" s="20"/>
      <c r="AQ11406" s="19"/>
      <c r="AR11406" s="19"/>
      <c r="AS11406" s="19"/>
      <c r="AT11406" s="19"/>
      <c r="AU11406" s="19"/>
    </row>
    <row r="11407" spans="3:47">
      <c r="C11407" s="20"/>
      <c r="Z11407" s="20"/>
      <c r="AG11407" s="20"/>
      <c r="AQ11407" s="19"/>
      <c r="AR11407" s="19"/>
      <c r="AS11407" s="19"/>
      <c r="AT11407" s="19"/>
      <c r="AU11407" s="19"/>
    </row>
    <row r="11408" spans="3:47">
      <c r="C11408" s="20"/>
      <c r="Z11408" s="20"/>
      <c r="AG11408" s="20"/>
      <c r="AQ11408" s="19"/>
      <c r="AR11408" s="19"/>
      <c r="AS11408" s="19"/>
      <c r="AT11408" s="19"/>
      <c r="AU11408" s="19"/>
    </row>
    <row r="11409" spans="3:47">
      <c r="C11409" s="20"/>
      <c r="Z11409" s="20"/>
      <c r="AG11409" s="20"/>
      <c r="AQ11409" s="19"/>
      <c r="AR11409" s="19"/>
      <c r="AS11409" s="19"/>
      <c r="AT11409" s="19"/>
      <c r="AU11409" s="19"/>
    </row>
    <row r="11410" spans="3:47">
      <c r="C11410" s="20"/>
      <c r="Z11410" s="20"/>
      <c r="AG11410" s="20"/>
      <c r="AQ11410" s="19"/>
      <c r="AR11410" s="19"/>
      <c r="AS11410" s="19"/>
      <c r="AT11410" s="19"/>
      <c r="AU11410" s="19"/>
    </row>
    <row r="11411" spans="3:47">
      <c r="C11411" s="20"/>
      <c r="Z11411" s="20"/>
      <c r="AG11411" s="20"/>
      <c r="AQ11411" s="19"/>
      <c r="AR11411" s="19"/>
      <c r="AS11411" s="19"/>
      <c r="AT11411" s="19"/>
      <c r="AU11411" s="19"/>
    </row>
    <row r="11412" spans="3:47">
      <c r="C11412" s="20"/>
      <c r="Z11412" s="20"/>
      <c r="AG11412" s="20"/>
      <c r="AQ11412" s="19"/>
      <c r="AR11412" s="19"/>
      <c r="AS11412" s="19"/>
      <c r="AT11412" s="19"/>
      <c r="AU11412" s="19"/>
    </row>
    <row r="11413" spans="3:47">
      <c r="C11413" s="20"/>
      <c r="Z11413" s="20"/>
      <c r="AG11413" s="20"/>
      <c r="AQ11413" s="19"/>
      <c r="AR11413" s="19"/>
      <c r="AS11413" s="19"/>
      <c r="AT11413" s="19"/>
      <c r="AU11413" s="19"/>
    </row>
    <row r="11414" spans="3:47">
      <c r="C11414" s="20"/>
      <c r="Z11414" s="20"/>
      <c r="AG11414" s="20"/>
      <c r="AQ11414" s="19"/>
      <c r="AR11414" s="19"/>
      <c r="AS11414" s="19"/>
      <c r="AT11414" s="19"/>
      <c r="AU11414" s="19"/>
    </row>
    <row r="11415" spans="3:47">
      <c r="C11415" s="20"/>
      <c r="Z11415" s="20"/>
      <c r="AG11415" s="20"/>
      <c r="AQ11415" s="19"/>
      <c r="AR11415" s="19"/>
      <c r="AS11415" s="19"/>
      <c r="AT11415" s="19"/>
      <c r="AU11415" s="19"/>
    </row>
    <row r="11416" spans="3:47">
      <c r="C11416" s="20"/>
      <c r="Z11416" s="20"/>
      <c r="AG11416" s="20"/>
      <c r="AQ11416" s="19"/>
      <c r="AR11416" s="19"/>
      <c r="AS11416" s="19"/>
      <c r="AT11416" s="19"/>
      <c r="AU11416" s="19"/>
    </row>
    <row r="11417" spans="3:47">
      <c r="C11417" s="20"/>
      <c r="Z11417" s="20"/>
      <c r="AG11417" s="20"/>
      <c r="AQ11417" s="19"/>
      <c r="AR11417" s="19"/>
      <c r="AS11417" s="19"/>
      <c r="AT11417" s="19"/>
      <c r="AU11417" s="19"/>
    </row>
    <row r="11418" spans="3:47">
      <c r="C11418" s="20"/>
      <c r="Z11418" s="20"/>
      <c r="AG11418" s="20"/>
      <c r="AQ11418" s="19"/>
      <c r="AR11418" s="19"/>
      <c r="AS11418" s="19"/>
      <c r="AT11418" s="19"/>
      <c r="AU11418" s="19"/>
    </row>
    <row r="11419" spans="3:47">
      <c r="C11419" s="20"/>
      <c r="Z11419" s="20"/>
      <c r="AG11419" s="20"/>
      <c r="AQ11419" s="19"/>
      <c r="AR11419" s="19"/>
      <c r="AS11419" s="19"/>
      <c r="AT11419" s="19"/>
      <c r="AU11419" s="19"/>
    </row>
    <row r="11420" spans="3:47">
      <c r="C11420" s="20"/>
      <c r="Z11420" s="20"/>
      <c r="AG11420" s="20"/>
      <c r="AQ11420" s="19"/>
      <c r="AR11420" s="19"/>
      <c r="AS11420" s="19"/>
      <c r="AT11420" s="19"/>
      <c r="AU11420" s="19"/>
    </row>
    <row r="11421" spans="3:47">
      <c r="C11421" s="20"/>
      <c r="Z11421" s="20"/>
      <c r="AG11421" s="20"/>
      <c r="AQ11421" s="19"/>
      <c r="AR11421" s="19"/>
      <c r="AS11421" s="19"/>
      <c r="AT11421" s="19"/>
      <c r="AU11421" s="19"/>
    </row>
    <row r="11422" spans="3:47">
      <c r="C11422" s="20"/>
      <c r="Z11422" s="20"/>
      <c r="AG11422" s="20"/>
      <c r="AQ11422" s="19"/>
      <c r="AR11422" s="19"/>
      <c r="AS11422" s="19"/>
      <c r="AT11422" s="19"/>
      <c r="AU11422" s="19"/>
    </row>
    <row r="11423" spans="3:47">
      <c r="C11423" s="20"/>
      <c r="Z11423" s="20"/>
      <c r="AG11423" s="20"/>
      <c r="AQ11423" s="19"/>
      <c r="AR11423" s="19"/>
      <c r="AS11423" s="19"/>
      <c r="AT11423" s="19"/>
      <c r="AU11423" s="19"/>
    </row>
    <row r="11424" spans="3:47">
      <c r="C11424" s="20"/>
      <c r="Z11424" s="20"/>
      <c r="AG11424" s="20"/>
      <c r="AQ11424" s="19"/>
      <c r="AR11424" s="19"/>
      <c r="AS11424" s="19"/>
      <c r="AT11424" s="19"/>
      <c r="AU11424" s="19"/>
    </row>
    <row r="11425" spans="3:47">
      <c r="C11425" s="20"/>
      <c r="Z11425" s="20"/>
      <c r="AG11425" s="20"/>
      <c r="AQ11425" s="19"/>
      <c r="AR11425" s="19"/>
      <c r="AS11425" s="19"/>
      <c r="AT11425" s="19"/>
      <c r="AU11425" s="19"/>
    </row>
    <row r="11426" spans="3:47">
      <c r="C11426" s="20"/>
      <c r="Z11426" s="20"/>
      <c r="AG11426" s="20"/>
      <c r="AQ11426" s="19"/>
      <c r="AR11426" s="19"/>
      <c r="AS11426" s="19"/>
      <c r="AT11426" s="19"/>
      <c r="AU11426" s="19"/>
    </row>
    <row r="11427" spans="3:47">
      <c r="C11427" s="20"/>
      <c r="Z11427" s="20"/>
      <c r="AG11427" s="20"/>
      <c r="AQ11427" s="19"/>
      <c r="AR11427" s="19"/>
      <c r="AS11427" s="19"/>
      <c r="AT11427" s="19"/>
      <c r="AU11427" s="19"/>
    </row>
    <row r="11428" spans="3:47">
      <c r="C11428" s="20"/>
      <c r="Z11428" s="20"/>
      <c r="AG11428" s="20"/>
      <c r="AQ11428" s="19"/>
      <c r="AR11428" s="19"/>
      <c r="AS11428" s="19"/>
      <c r="AT11428" s="19"/>
      <c r="AU11428" s="19"/>
    </row>
    <row r="11429" spans="3:47">
      <c r="C11429" s="20"/>
      <c r="Z11429" s="20"/>
      <c r="AG11429" s="20"/>
      <c r="AQ11429" s="19"/>
      <c r="AR11429" s="19"/>
      <c r="AS11429" s="19"/>
      <c r="AT11429" s="19"/>
      <c r="AU11429" s="19"/>
    </row>
    <row r="11430" spans="3:47">
      <c r="C11430" s="20"/>
      <c r="Z11430" s="20"/>
      <c r="AG11430" s="20"/>
      <c r="AQ11430" s="19"/>
      <c r="AR11430" s="19"/>
      <c r="AS11430" s="19"/>
      <c r="AT11430" s="19"/>
      <c r="AU11430" s="19"/>
    </row>
    <row r="11431" spans="3:47">
      <c r="C11431" s="20"/>
      <c r="Z11431" s="20"/>
      <c r="AG11431" s="20"/>
      <c r="AQ11431" s="19"/>
      <c r="AR11431" s="19"/>
      <c r="AS11431" s="19"/>
      <c r="AT11431" s="19"/>
      <c r="AU11431" s="19"/>
    </row>
    <row r="11432" spans="3:47">
      <c r="C11432" s="20"/>
      <c r="Z11432" s="20"/>
      <c r="AG11432" s="20"/>
      <c r="AQ11432" s="19"/>
      <c r="AR11432" s="19"/>
      <c r="AS11432" s="19"/>
      <c r="AT11432" s="19"/>
      <c r="AU11432" s="19"/>
    </row>
    <row r="11433" spans="3:47">
      <c r="C11433" s="20"/>
      <c r="Z11433" s="20"/>
      <c r="AG11433" s="20"/>
      <c r="AQ11433" s="19"/>
      <c r="AR11433" s="19"/>
      <c r="AS11433" s="19"/>
      <c r="AT11433" s="19"/>
      <c r="AU11433" s="19"/>
    </row>
    <row r="11434" spans="3:47">
      <c r="C11434" s="20"/>
      <c r="Z11434" s="20"/>
      <c r="AG11434" s="20"/>
      <c r="AQ11434" s="19"/>
      <c r="AR11434" s="19"/>
      <c r="AS11434" s="19"/>
      <c r="AT11434" s="19"/>
      <c r="AU11434" s="19"/>
    </row>
    <row r="11435" spans="3:47">
      <c r="C11435" s="20"/>
      <c r="Z11435" s="20"/>
      <c r="AG11435" s="20"/>
      <c r="AQ11435" s="19"/>
      <c r="AR11435" s="19"/>
      <c r="AS11435" s="19"/>
      <c r="AT11435" s="19"/>
      <c r="AU11435" s="19"/>
    </row>
    <row r="11436" spans="3:47">
      <c r="C11436" s="20"/>
      <c r="Z11436" s="20"/>
      <c r="AG11436" s="20"/>
      <c r="AQ11436" s="19"/>
      <c r="AR11436" s="19"/>
      <c r="AS11436" s="19"/>
      <c r="AT11436" s="19"/>
      <c r="AU11436" s="19"/>
    </row>
    <row r="11437" spans="3:47">
      <c r="C11437" s="20"/>
      <c r="Z11437" s="20"/>
      <c r="AG11437" s="20"/>
      <c r="AQ11437" s="19"/>
      <c r="AR11437" s="19"/>
      <c r="AS11437" s="19"/>
      <c r="AT11437" s="19"/>
      <c r="AU11437" s="19"/>
    </row>
    <row r="11438" spans="3:47">
      <c r="C11438" s="20"/>
      <c r="Z11438" s="20"/>
      <c r="AG11438" s="20"/>
      <c r="AQ11438" s="19"/>
      <c r="AR11438" s="19"/>
      <c r="AS11438" s="19"/>
      <c r="AT11438" s="19"/>
      <c r="AU11438" s="19"/>
    </row>
    <row r="11439" spans="3:47">
      <c r="C11439" s="20"/>
      <c r="Z11439" s="20"/>
      <c r="AG11439" s="20"/>
      <c r="AQ11439" s="19"/>
      <c r="AR11439" s="19"/>
      <c r="AS11439" s="19"/>
      <c r="AT11439" s="19"/>
      <c r="AU11439" s="19"/>
    </row>
    <row r="11440" spans="3:47">
      <c r="C11440" s="20"/>
      <c r="Z11440" s="20"/>
      <c r="AG11440" s="20"/>
      <c r="AQ11440" s="19"/>
      <c r="AR11440" s="19"/>
      <c r="AS11440" s="19"/>
      <c r="AT11440" s="19"/>
      <c r="AU11440" s="19"/>
    </row>
    <row r="11441" spans="3:47">
      <c r="C11441" s="20"/>
      <c r="Z11441" s="20"/>
      <c r="AG11441" s="20"/>
      <c r="AQ11441" s="19"/>
      <c r="AR11441" s="19"/>
      <c r="AS11441" s="19"/>
      <c r="AT11441" s="19"/>
      <c r="AU11441" s="19"/>
    </row>
    <row r="11442" spans="3:47">
      <c r="C11442" s="20"/>
      <c r="Z11442" s="20"/>
      <c r="AG11442" s="20"/>
      <c r="AQ11442" s="19"/>
      <c r="AR11442" s="19"/>
      <c r="AS11442" s="19"/>
      <c r="AT11442" s="19"/>
      <c r="AU11442" s="19"/>
    </row>
    <row r="11443" spans="3:47">
      <c r="C11443" s="20"/>
      <c r="Z11443" s="20"/>
      <c r="AG11443" s="20"/>
      <c r="AQ11443" s="19"/>
      <c r="AR11443" s="19"/>
      <c r="AS11443" s="19"/>
      <c r="AT11443" s="19"/>
      <c r="AU11443" s="19"/>
    </row>
    <row r="11444" spans="3:47">
      <c r="C11444" s="20"/>
      <c r="Z11444" s="20"/>
      <c r="AG11444" s="20"/>
      <c r="AQ11444" s="19"/>
      <c r="AR11444" s="19"/>
      <c r="AS11444" s="19"/>
      <c r="AT11444" s="19"/>
      <c r="AU11444" s="19"/>
    </row>
    <row r="11445" spans="3:47">
      <c r="C11445" s="20"/>
      <c r="Z11445" s="20"/>
      <c r="AG11445" s="20"/>
      <c r="AQ11445" s="19"/>
      <c r="AR11445" s="19"/>
      <c r="AS11445" s="19"/>
      <c r="AT11445" s="19"/>
      <c r="AU11445" s="19"/>
    </row>
    <row r="11446" spans="3:47">
      <c r="C11446" s="20"/>
      <c r="Z11446" s="20"/>
      <c r="AG11446" s="20"/>
      <c r="AQ11446" s="19"/>
      <c r="AR11446" s="19"/>
      <c r="AS11446" s="19"/>
      <c r="AT11446" s="19"/>
      <c r="AU11446" s="19"/>
    </row>
    <row r="11447" spans="3:47">
      <c r="C11447" s="20"/>
      <c r="Z11447" s="20"/>
      <c r="AG11447" s="20"/>
      <c r="AQ11447" s="19"/>
      <c r="AR11447" s="19"/>
      <c r="AS11447" s="19"/>
      <c r="AT11447" s="19"/>
      <c r="AU11447" s="19"/>
    </row>
    <row r="11448" spans="3:47">
      <c r="C11448" s="20"/>
      <c r="Z11448" s="20"/>
      <c r="AG11448" s="20"/>
      <c r="AQ11448" s="19"/>
      <c r="AR11448" s="19"/>
      <c r="AS11448" s="19"/>
      <c r="AT11448" s="19"/>
      <c r="AU11448" s="19"/>
    </row>
    <row r="11449" spans="3:47">
      <c r="C11449" s="20"/>
      <c r="Z11449" s="20"/>
      <c r="AG11449" s="20"/>
      <c r="AQ11449" s="19"/>
      <c r="AR11449" s="19"/>
      <c r="AS11449" s="19"/>
      <c r="AT11449" s="19"/>
      <c r="AU11449" s="19"/>
    </row>
    <row r="11450" spans="3:47">
      <c r="C11450" s="20"/>
      <c r="Z11450" s="20"/>
      <c r="AG11450" s="20"/>
      <c r="AQ11450" s="19"/>
      <c r="AR11450" s="19"/>
      <c r="AS11450" s="19"/>
      <c r="AT11450" s="19"/>
      <c r="AU11450" s="19"/>
    </row>
    <row r="11451" spans="3:47">
      <c r="C11451" s="20"/>
      <c r="Z11451" s="20"/>
      <c r="AG11451" s="20"/>
      <c r="AQ11451" s="19"/>
      <c r="AR11451" s="19"/>
      <c r="AS11451" s="19"/>
      <c r="AT11451" s="19"/>
      <c r="AU11451" s="19"/>
    </row>
    <row r="11452" spans="3:47">
      <c r="C11452" s="20"/>
      <c r="Z11452" s="20"/>
      <c r="AG11452" s="20"/>
      <c r="AQ11452" s="19"/>
      <c r="AR11452" s="19"/>
      <c r="AS11452" s="19"/>
      <c r="AT11452" s="19"/>
      <c r="AU11452" s="19"/>
    </row>
    <row r="11453" spans="3:47">
      <c r="C11453" s="20"/>
      <c r="Z11453" s="20"/>
      <c r="AG11453" s="20"/>
      <c r="AQ11453" s="19"/>
      <c r="AR11453" s="19"/>
      <c r="AS11453" s="19"/>
      <c r="AT11453" s="19"/>
      <c r="AU11453" s="19"/>
    </row>
    <row r="11454" spans="3:47">
      <c r="C11454" s="20"/>
      <c r="Z11454" s="20"/>
      <c r="AG11454" s="20"/>
      <c r="AQ11454" s="19"/>
      <c r="AR11454" s="19"/>
      <c r="AS11454" s="19"/>
      <c r="AT11454" s="19"/>
      <c r="AU11454" s="19"/>
    </row>
    <row r="11455" spans="3:47">
      <c r="C11455" s="20"/>
      <c r="Z11455" s="20"/>
      <c r="AG11455" s="20"/>
      <c r="AQ11455" s="19"/>
      <c r="AR11455" s="19"/>
      <c r="AS11455" s="19"/>
      <c r="AT11455" s="19"/>
      <c r="AU11455" s="19"/>
    </row>
    <row r="11456" spans="3:47">
      <c r="C11456" s="20"/>
      <c r="Z11456" s="20"/>
      <c r="AG11456" s="20"/>
      <c r="AQ11456" s="19"/>
      <c r="AR11456" s="19"/>
      <c r="AS11456" s="19"/>
      <c r="AT11456" s="19"/>
      <c r="AU11456" s="19"/>
    </row>
    <row r="11457" spans="3:47">
      <c r="C11457" s="20"/>
      <c r="Z11457" s="20"/>
      <c r="AG11457" s="20"/>
      <c r="AQ11457" s="19"/>
      <c r="AR11457" s="19"/>
      <c r="AS11457" s="19"/>
      <c r="AT11457" s="19"/>
      <c r="AU11457" s="19"/>
    </row>
    <row r="11458" spans="3:47">
      <c r="C11458" s="20"/>
      <c r="Z11458" s="20"/>
      <c r="AG11458" s="20"/>
      <c r="AQ11458" s="19"/>
      <c r="AR11458" s="19"/>
      <c r="AS11458" s="19"/>
      <c r="AT11458" s="19"/>
      <c r="AU11458" s="19"/>
    </row>
    <row r="11459" spans="3:47">
      <c r="C11459" s="20"/>
      <c r="Z11459" s="20"/>
      <c r="AG11459" s="20"/>
      <c r="AQ11459" s="19"/>
      <c r="AR11459" s="19"/>
      <c r="AS11459" s="19"/>
      <c r="AT11459" s="19"/>
      <c r="AU11459" s="19"/>
    </row>
    <row r="11460" spans="3:47">
      <c r="C11460" s="20"/>
      <c r="Z11460" s="20"/>
      <c r="AG11460" s="20"/>
      <c r="AQ11460" s="19"/>
      <c r="AR11460" s="19"/>
      <c r="AS11460" s="19"/>
      <c r="AT11460" s="19"/>
      <c r="AU11460" s="19"/>
    </row>
    <row r="11461" spans="3:47">
      <c r="C11461" s="20"/>
      <c r="Z11461" s="20"/>
      <c r="AG11461" s="20"/>
      <c r="AQ11461" s="19"/>
      <c r="AR11461" s="19"/>
      <c r="AS11461" s="19"/>
      <c r="AT11461" s="19"/>
      <c r="AU11461" s="19"/>
    </row>
    <row r="11462" spans="3:47">
      <c r="C11462" s="20"/>
      <c r="Z11462" s="20"/>
      <c r="AG11462" s="20"/>
      <c r="AQ11462" s="19"/>
      <c r="AR11462" s="19"/>
      <c r="AS11462" s="19"/>
      <c r="AT11462" s="19"/>
      <c r="AU11462" s="19"/>
    </row>
    <row r="11463" spans="3:47">
      <c r="C11463" s="20"/>
      <c r="Z11463" s="20"/>
      <c r="AG11463" s="20"/>
      <c r="AQ11463" s="19"/>
      <c r="AR11463" s="19"/>
      <c r="AS11463" s="19"/>
      <c r="AT11463" s="19"/>
      <c r="AU11463" s="19"/>
    </row>
    <row r="11464" spans="3:47">
      <c r="C11464" s="20"/>
      <c r="Z11464" s="20"/>
      <c r="AG11464" s="20"/>
      <c r="AQ11464" s="19"/>
      <c r="AR11464" s="19"/>
      <c r="AS11464" s="19"/>
      <c r="AT11464" s="19"/>
      <c r="AU11464" s="19"/>
    </row>
    <row r="11465" spans="3:47">
      <c r="C11465" s="20"/>
      <c r="Z11465" s="20"/>
      <c r="AG11465" s="20"/>
      <c r="AQ11465" s="19"/>
      <c r="AR11465" s="19"/>
      <c r="AS11465" s="19"/>
      <c r="AT11465" s="19"/>
      <c r="AU11465" s="19"/>
    </row>
    <row r="11466" spans="3:47">
      <c r="C11466" s="20"/>
      <c r="Z11466" s="20"/>
      <c r="AG11466" s="20"/>
      <c r="AQ11466" s="19"/>
      <c r="AR11466" s="19"/>
      <c r="AS11466" s="19"/>
      <c r="AT11466" s="19"/>
      <c r="AU11466" s="19"/>
    </row>
    <row r="11467" spans="3:47">
      <c r="C11467" s="20"/>
      <c r="Z11467" s="20"/>
      <c r="AG11467" s="20"/>
      <c r="AQ11467" s="19"/>
      <c r="AR11467" s="19"/>
      <c r="AS11467" s="19"/>
      <c r="AT11467" s="19"/>
      <c r="AU11467" s="19"/>
    </row>
    <row r="11468" spans="3:47">
      <c r="C11468" s="20"/>
      <c r="Z11468" s="20"/>
      <c r="AG11468" s="20"/>
      <c r="AQ11468" s="19"/>
      <c r="AR11468" s="19"/>
      <c r="AS11468" s="19"/>
      <c r="AT11468" s="19"/>
      <c r="AU11468" s="19"/>
    </row>
    <row r="11469" spans="3:47">
      <c r="C11469" s="20"/>
      <c r="Z11469" s="20"/>
      <c r="AG11469" s="20"/>
      <c r="AQ11469" s="19"/>
      <c r="AR11469" s="19"/>
      <c r="AS11469" s="19"/>
      <c r="AT11469" s="19"/>
      <c r="AU11469" s="19"/>
    </row>
    <row r="11470" spans="3:47">
      <c r="C11470" s="20"/>
      <c r="Z11470" s="20"/>
      <c r="AG11470" s="20"/>
      <c r="AQ11470" s="19"/>
      <c r="AR11470" s="19"/>
      <c r="AS11470" s="19"/>
      <c r="AT11470" s="19"/>
      <c r="AU11470" s="19"/>
    </row>
    <row r="11471" spans="3:47">
      <c r="C11471" s="20"/>
      <c r="Z11471" s="20"/>
      <c r="AG11471" s="20"/>
      <c r="AQ11471" s="19"/>
      <c r="AR11471" s="19"/>
      <c r="AS11471" s="19"/>
      <c r="AT11471" s="19"/>
      <c r="AU11471" s="19"/>
    </row>
    <row r="11472" spans="3:47">
      <c r="C11472" s="20"/>
      <c r="Z11472" s="20"/>
      <c r="AG11472" s="20"/>
      <c r="AQ11472" s="19"/>
      <c r="AR11472" s="19"/>
      <c r="AS11472" s="19"/>
      <c r="AT11472" s="19"/>
      <c r="AU11472" s="19"/>
    </row>
    <row r="11473" spans="3:47">
      <c r="C11473" s="20"/>
      <c r="Z11473" s="20"/>
      <c r="AG11473" s="20"/>
      <c r="AQ11473" s="19"/>
      <c r="AR11473" s="19"/>
      <c r="AS11473" s="19"/>
      <c r="AT11473" s="19"/>
      <c r="AU11473" s="19"/>
    </row>
    <row r="11474" spans="3:47">
      <c r="C11474" s="20"/>
      <c r="Z11474" s="20"/>
      <c r="AG11474" s="20"/>
      <c r="AQ11474" s="19"/>
      <c r="AR11474" s="19"/>
      <c r="AS11474" s="19"/>
      <c r="AT11474" s="19"/>
      <c r="AU11474" s="19"/>
    </row>
    <row r="11475" spans="3:47">
      <c r="C11475" s="20"/>
      <c r="Z11475" s="20"/>
      <c r="AG11475" s="20"/>
      <c r="AQ11475" s="19"/>
      <c r="AR11475" s="19"/>
      <c r="AS11475" s="19"/>
      <c r="AT11475" s="19"/>
      <c r="AU11475" s="19"/>
    </row>
    <row r="11476" spans="3:47">
      <c r="C11476" s="20"/>
      <c r="Z11476" s="20"/>
      <c r="AG11476" s="20"/>
      <c r="AQ11476" s="19"/>
      <c r="AR11476" s="19"/>
      <c r="AS11476" s="19"/>
      <c r="AT11476" s="19"/>
      <c r="AU11476" s="19"/>
    </row>
    <row r="11477" spans="3:47">
      <c r="C11477" s="20"/>
      <c r="Z11477" s="20"/>
      <c r="AG11477" s="20"/>
      <c r="AQ11477" s="19"/>
      <c r="AR11477" s="19"/>
      <c r="AS11477" s="19"/>
      <c r="AT11477" s="19"/>
      <c r="AU11477" s="19"/>
    </row>
    <row r="11478" spans="3:47">
      <c r="C11478" s="20"/>
      <c r="Z11478" s="20"/>
      <c r="AG11478" s="20"/>
      <c r="AQ11478" s="19"/>
      <c r="AR11478" s="19"/>
      <c r="AS11478" s="19"/>
      <c r="AT11478" s="19"/>
      <c r="AU11478" s="19"/>
    </row>
    <row r="11479" spans="3:47">
      <c r="C11479" s="20"/>
      <c r="Z11479" s="20"/>
      <c r="AG11479" s="20"/>
      <c r="AQ11479" s="19"/>
      <c r="AR11479" s="19"/>
      <c r="AS11479" s="19"/>
      <c r="AT11479" s="19"/>
      <c r="AU11479" s="19"/>
    </row>
    <row r="11480" spans="3:47">
      <c r="C11480" s="20"/>
      <c r="Z11480" s="20"/>
      <c r="AG11480" s="20"/>
      <c r="AQ11480" s="19"/>
      <c r="AR11480" s="19"/>
      <c r="AS11480" s="19"/>
      <c r="AT11480" s="19"/>
      <c r="AU11480" s="19"/>
    </row>
    <row r="11481" spans="3:47">
      <c r="C11481" s="20"/>
      <c r="Z11481" s="20"/>
      <c r="AG11481" s="20"/>
      <c r="AQ11481" s="19"/>
      <c r="AR11481" s="19"/>
      <c r="AS11481" s="19"/>
      <c r="AT11481" s="19"/>
      <c r="AU11481" s="19"/>
    </row>
    <row r="11482" spans="3:47">
      <c r="C11482" s="20"/>
      <c r="Z11482" s="20"/>
      <c r="AG11482" s="20"/>
      <c r="AQ11482" s="19"/>
      <c r="AR11482" s="19"/>
      <c r="AS11482" s="19"/>
      <c r="AT11482" s="19"/>
      <c r="AU11482" s="19"/>
    </row>
    <row r="11483" spans="3:47">
      <c r="C11483" s="20"/>
      <c r="Z11483" s="20"/>
      <c r="AG11483" s="20"/>
      <c r="AQ11483" s="19"/>
      <c r="AR11483" s="19"/>
      <c r="AS11483" s="19"/>
      <c r="AT11483" s="19"/>
      <c r="AU11483" s="19"/>
    </row>
    <row r="11484" spans="3:47">
      <c r="C11484" s="20"/>
      <c r="Z11484" s="20"/>
      <c r="AG11484" s="20"/>
      <c r="AQ11484" s="19"/>
      <c r="AR11484" s="19"/>
      <c r="AS11484" s="19"/>
      <c r="AT11484" s="19"/>
      <c r="AU11484" s="19"/>
    </row>
    <row r="11485" spans="3:47">
      <c r="C11485" s="20"/>
      <c r="Z11485" s="20"/>
      <c r="AG11485" s="20"/>
      <c r="AQ11485" s="19"/>
      <c r="AR11485" s="19"/>
      <c r="AS11485" s="19"/>
      <c r="AT11485" s="19"/>
      <c r="AU11485" s="19"/>
    </row>
    <row r="11486" spans="3:47">
      <c r="C11486" s="20"/>
      <c r="Z11486" s="20"/>
      <c r="AG11486" s="20"/>
      <c r="AQ11486" s="19"/>
      <c r="AR11486" s="19"/>
      <c r="AS11486" s="19"/>
      <c r="AT11486" s="19"/>
      <c r="AU11486" s="19"/>
    </row>
    <row r="11487" spans="3:47">
      <c r="C11487" s="20"/>
      <c r="Z11487" s="20"/>
      <c r="AG11487" s="20"/>
      <c r="AQ11487" s="19"/>
      <c r="AR11487" s="19"/>
      <c r="AS11487" s="19"/>
      <c r="AT11487" s="19"/>
      <c r="AU11487" s="19"/>
    </row>
    <row r="11488" spans="3:47">
      <c r="C11488" s="20"/>
      <c r="Z11488" s="20"/>
      <c r="AG11488" s="20"/>
      <c r="AQ11488" s="19"/>
      <c r="AR11488" s="19"/>
      <c r="AS11488" s="19"/>
      <c r="AT11488" s="19"/>
      <c r="AU11488" s="19"/>
    </row>
    <row r="11489" spans="3:47">
      <c r="C11489" s="20"/>
      <c r="Z11489" s="20"/>
      <c r="AG11489" s="20"/>
      <c r="AQ11489" s="19"/>
      <c r="AR11489" s="19"/>
      <c r="AS11489" s="19"/>
      <c r="AT11489" s="19"/>
      <c r="AU11489" s="19"/>
    </row>
    <row r="11490" spans="3:47">
      <c r="C11490" s="20"/>
      <c r="Z11490" s="20"/>
      <c r="AG11490" s="20"/>
      <c r="AQ11490" s="19"/>
      <c r="AR11490" s="19"/>
      <c r="AS11490" s="19"/>
      <c r="AT11490" s="19"/>
      <c r="AU11490" s="19"/>
    </row>
    <row r="11491" spans="3:47">
      <c r="C11491" s="20"/>
      <c r="Z11491" s="20"/>
      <c r="AG11491" s="20"/>
      <c r="AQ11491" s="19"/>
      <c r="AR11491" s="19"/>
      <c r="AS11491" s="19"/>
      <c r="AT11491" s="19"/>
      <c r="AU11491" s="19"/>
    </row>
    <row r="11492" spans="3:47">
      <c r="C11492" s="20"/>
      <c r="Z11492" s="20"/>
      <c r="AG11492" s="20"/>
      <c r="AQ11492" s="19"/>
      <c r="AR11492" s="19"/>
      <c r="AS11492" s="19"/>
      <c r="AT11492" s="19"/>
      <c r="AU11492" s="19"/>
    </row>
    <row r="11493" spans="3:47">
      <c r="C11493" s="20"/>
      <c r="Z11493" s="20"/>
      <c r="AG11493" s="20"/>
      <c r="AQ11493" s="19"/>
      <c r="AR11493" s="19"/>
      <c r="AS11493" s="19"/>
      <c r="AT11493" s="19"/>
      <c r="AU11493" s="19"/>
    </row>
    <row r="11494" spans="3:47">
      <c r="C11494" s="20"/>
      <c r="Z11494" s="20"/>
      <c r="AG11494" s="20"/>
      <c r="AQ11494" s="19"/>
      <c r="AR11494" s="19"/>
      <c r="AS11494" s="19"/>
      <c r="AT11494" s="19"/>
      <c r="AU11494" s="19"/>
    </row>
    <row r="11495" spans="3:47">
      <c r="C11495" s="20"/>
      <c r="Z11495" s="20"/>
      <c r="AG11495" s="20"/>
      <c r="AQ11495" s="19"/>
      <c r="AR11495" s="19"/>
      <c r="AS11495" s="19"/>
      <c r="AT11495" s="19"/>
      <c r="AU11495" s="19"/>
    </row>
    <row r="11496" spans="3:47">
      <c r="C11496" s="20"/>
      <c r="Z11496" s="20"/>
      <c r="AG11496" s="20"/>
      <c r="AQ11496" s="19"/>
      <c r="AR11496" s="19"/>
      <c r="AS11496" s="19"/>
      <c r="AT11496" s="19"/>
      <c r="AU11496" s="19"/>
    </row>
    <row r="11497" spans="3:47">
      <c r="C11497" s="20"/>
      <c r="Z11497" s="20"/>
      <c r="AG11497" s="20"/>
      <c r="AQ11497" s="19"/>
      <c r="AR11497" s="19"/>
      <c r="AS11497" s="19"/>
      <c r="AT11497" s="19"/>
      <c r="AU11497" s="19"/>
    </row>
    <row r="11498" spans="3:47">
      <c r="C11498" s="20"/>
      <c r="Z11498" s="20"/>
      <c r="AG11498" s="20"/>
      <c r="AQ11498" s="19"/>
      <c r="AR11498" s="19"/>
      <c r="AS11498" s="19"/>
      <c r="AT11498" s="19"/>
      <c r="AU11498" s="19"/>
    </row>
    <row r="11499" spans="3:47">
      <c r="C11499" s="20"/>
      <c r="Z11499" s="20"/>
      <c r="AG11499" s="20"/>
      <c r="AQ11499" s="19"/>
      <c r="AR11499" s="19"/>
      <c r="AS11499" s="19"/>
      <c r="AT11499" s="19"/>
      <c r="AU11499" s="19"/>
    </row>
    <row r="11500" spans="3:47">
      <c r="C11500" s="20"/>
      <c r="Z11500" s="20"/>
      <c r="AG11500" s="20"/>
      <c r="AQ11500" s="19"/>
      <c r="AR11500" s="19"/>
      <c r="AS11500" s="19"/>
      <c r="AT11500" s="19"/>
      <c r="AU11500" s="19"/>
    </row>
    <row r="11501" spans="3:47">
      <c r="C11501" s="20"/>
      <c r="Z11501" s="20"/>
      <c r="AG11501" s="20"/>
      <c r="AQ11501" s="19"/>
      <c r="AR11501" s="19"/>
      <c r="AS11501" s="19"/>
      <c r="AT11501" s="19"/>
      <c r="AU11501" s="19"/>
    </row>
    <row r="11502" spans="3:47">
      <c r="C11502" s="20"/>
      <c r="Z11502" s="20"/>
      <c r="AG11502" s="20"/>
      <c r="AQ11502" s="19"/>
      <c r="AR11502" s="19"/>
      <c r="AS11502" s="19"/>
      <c r="AT11502" s="19"/>
      <c r="AU11502" s="19"/>
    </row>
    <row r="11503" spans="3:47">
      <c r="C11503" s="20"/>
      <c r="Z11503" s="20"/>
      <c r="AG11503" s="20"/>
      <c r="AQ11503" s="19"/>
      <c r="AR11503" s="19"/>
      <c r="AS11503" s="19"/>
      <c r="AT11503" s="19"/>
      <c r="AU11503" s="19"/>
    </row>
    <row r="11504" spans="3:47">
      <c r="C11504" s="20"/>
      <c r="Z11504" s="20"/>
      <c r="AG11504" s="20"/>
      <c r="AQ11504" s="19"/>
      <c r="AR11504" s="19"/>
      <c r="AS11504" s="19"/>
      <c r="AT11504" s="19"/>
      <c r="AU11504" s="19"/>
    </row>
    <row r="11505" spans="3:47">
      <c r="C11505" s="20"/>
      <c r="Z11505" s="20"/>
      <c r="AG11505" s="20"/>
      <c r="AQ11505" s="19"/>
      <c r="AR11505" s="19"/>
      <c r="AS11505" s="19"/>
      <c r="AT11505" s="19"/>
      <c r="AU11505" s="19"/>
    </row>
    <row r="11506" spans="3:47">
      <c r="C11506" s="20"/>
      <c r="Z11506" s="20"/>
      <c r="AG11506" s="20"/>
      <c r="AQ11506" s="19"/>
      <c r="AR11506" s="19"/>
      <c r="AS11506" s="19"/>
      <c r="AT11506" s="19"/>
      <c r="AU11506" s="19"/>
    </row>
    <row r="11507" spans="3:47">
      <c r="C11507" s="20"/>
      <c r="Z11507" s="20"/>
      <c r="AG11507" s="20"/>
      <c r="AQ11507" s="19"/>
      <c r="AR11507" s="19"/>
      <c r="AS11507" s="19"/>
      <c r="AT11507" s="19"/>
      <c r="AU11507" s="19"/>
    </row>
    <row r="11508" spans="3:47">
      <c r="C11508" s="20"/>
      <c r="Z11508" s="20"/>
      <c r="AG11508" s="20"/>
      <c r="AQ11508" s="19"/>
      <c r="AR11508" s="19"/>
      <c r="AS11508" s="19"/>
      <c r="AT11508" s="19"/>
      <c r="AU11508" s="19"/>
    </row>
    <row r="11509" spans="3:47">
      <c r="C11509" s="20"/>
      <c r="Z11509" s="20"/>
      <c r="AG11509" s="20"/>
      <c r="AQ11509" s="19"/>
      <c r="AR11509" s="19"/>
      <c r="AS11509" s="19"/>
      <c r="AT11509" s="19"/>
      <c r="AU11509" s="19"/>
    </row>
    <row r="11510" spans="3:47">
      <c r="C11510" s="20"/>
      <c r="Z11510" s="20"/>
      <c r="AG11510" s="20"/>
      <c r="AQ11510" s="19"/>
      <c r="AR11510" s="19"/>
      <c r="AS11510" s="19"/>
      <c r="AT11510" s="19"/>
      <c r="AU11510" s="19"/>
    </row>
    <row r="11511" spans="3:47">
      <c r="C11511" s="20"/>
      <c r="Z11511" s="20"/>
      <c r="AG11511" s="20"/>
      <c r="AQ11511" s="19"/>
      <c r="AR11511" s="19"/>
      <c r="AS11511" s="19"/>
      <c r="AT11511" s="19"/>
      <c r="AU11511" s="19"/>
    </row>
    <row r="11512" spans="3:47">
      <c r="C11512" s="20"/>
      <c r="Z11512" s="20"/>
      <c r="AG11512" s="20"/>
      <c r="AQ11512" s="19"/>
      <c r="AR11512" s="19"/>
      <c r="AS11512" s="19"/>
      <c r="AT11512" s="19"/>
      <c r="AU11512" s="19"/>
    </row>
    <row r="11513" spans="3:47">
      <c r="C11513" s="20"/>
      <c r="Z11513" s="20"/>
      <c r="AG11513" s="20"/>
      <c r="AQ11513" s="19"/>
      <c r="AR11513" s="19"/>
      <c r="AS11513" s="19"/>
      <c r="AT11513" s="19"/>
      <c r="AU11513" s="19"/>
    </row>
    <row r="11514" spans="3:47">
      <c r="C11514" s="20"/>
      <c r="Z11514" s="20"/>
      <c r="AG11514" s="20"/>
      <c r="AQ11514" s="19"/>
      <c r="AR11514" s="19"/>
      <c r="AS11514" s="19"/>
      <c r="AT11514" s="19"/>
      <c r="AU11514" s="19"/>
    </row>
    <row r="11515" spans="3:47">
      <c r="C11515" s="20"/>
      <c r="Z11515" s="20"/>
      <c r="AG11515" s="20"/>
      <c r="AQ11515" s="19"/>
      <c r="AR11515" s="19"/>
      <c r="AS11515" s="19"/>
      <c r="AT11515" s="19"/>
      <c r="AU11515" s="19"/>
    </row>
    <row r="11516" spans="3:47">
      <c r="C11516" s="20"/>
      <c r="Z11516" s="20"/>
      <c r="AG11516" s="20"/>
      <c r="AQ11516" s="19"/>
      <c r="AR11516" s="19"/>
      <c r="AS11516" s="19"/>
      <c r="AT11516" s="19"/>
      <c r="AU11516" s="19"/>
    </row>
    <row r="11517" spans="3:47">
      <c r="C11517" s="20"/>
      <c r="Z11517" s="20"/>
      <c r="AG11517" s="20"/>
      <c r="AQ11517" s="19"/>
      <c r="AR11517" s="19"/>
      <c r="AS11517" s="19"/>
      <c r="AT11517" s="19"/>
      <c r="AU11517" s="19"/>
    </row>
    <row r="11518" spans="3:47">
      <c r="C11518" s="20"/>
      <c r="Z11518" s="20"/>
      <c r="AG11518" s="20"/>
      <c r="AQ11518" s="19"/>
      <c r="AR11518" s="19"/>
      <c r="AS11518" s="19"/>
      <c r="AT11518" s="19"/>
      <c r="AU11518" s="19"/>
    </row>
    <row r="11519" spans="3:47">
      <c r="C11519" s="20"/>
      <c r="Z11519" s="20"/>
      <c r="AG11519" s="20"/>
      <c r="AQ11519" s="19"/>
      <c r="AR11519" s="19"/>
      <c r="AS11519" s="19"/>
      <c r="AT11519" s="19"/>
      <c r="AU11519" s="19"/>
    </row>
    <row r="11520" spans="3:47">
      <c r="C11520" s="20"/>
      <c r="Z11520" s="20"/>
      <c r="AG11520" s="20"/>
      <c r="AQ11520" s="19"/>
      <c r="AR11520" s="19"/>
      <c r="AS11520" s="19"/>
      <c r="AT11520" s="19"/>
      <c r="AU11520" s="19"/>
    </row>
    <row r="11521" spans="3:47">
      <c r="C11521" s="20"/>
      <c r="Z11521" s="20"/>
      <c r="AG11521" s="20"/>
      <c r="AQ11521" s="19"/>
      <c r="AR11521" s="19"/>
      <c r="AS11521" s="19"/>
      <c r="AT11521" s="19"/>
      <c r="AU11521" s="19"/>
    </row>
    <row r="11522" spans="3:47">
      <c r="C11522" s="20"/>
      <c r="Z11522" s="20"/>
      <c r="AG11522" s="20"/>
      <c r="AQ11522" s="19"/>
      <c r="AR11522" s="19"/>
      <c r="AS11522" s="19"/>
      <c r="AT11522" s="19"/>
      <c r="AU11522" s="19"/>
    </row>
    <row r="11523" spans="3:47">
      <c r="C11523" s="20"/>
      <c r="Z11523" s="20"/>
      <c r="AG11523" s="20"/>
      <c r="AQ11523" s="19"/>
      <c r="AR11523" s="19"/>
      <c r="AS11523" s="19"/>
      <c r="AT11523" s="19"/>
      <c r="AU11523" s="19"/>
    </row>
    <row r="11524" spans="3:47">
      <c r="C11524" s="20"/>
      <c r="Z11524" s="20"/>
      <c r="AG11524" s="20"/>
      <c r="AQ11524" s="19"/>
      <c r="AR11524" s="19"/>
      <c r="AS11524" s="19"/>
      <c r="AT11524" s="19"/>
      <c r="AU11524" s="19"/>
    </row>
    <row r="11525" spans="3:47">
      <c r="C11525" s="20"/>
      <c r="Z11525" s="20"/>
      <c r="AG11525" s="20"/>
      <c r="AQ11525" s="19"/>
      <c r="AR11525" s="19"/>
      <c r="AS11525" s="19"/>
      <c r="AT11525" s="19"/>
      <c r="AU11525" s="19"/>
    </row>
    <row r="11526" spans="3:47">
      <c r="C11526" s="20"/>
      <c r="Z11526" s="20"/>
      <c r="AG11526" s="20"/>
      <c r="AQ11526" s="19"/>
      <c r="AR11526" s="19"/>
      <c r="AS11526" s="19"/>
      <c r="AT11526" s="19"/>
      <c r="AU11526" s="19"/>
    </row>
    <row r="11527" spans="3:47">
      <c r="C11527" s="20"/>
      <c r="Z11527" s="20"/>
      <c r="AG11527" s="20"/>
      <c r="AQ11527" s="19"/>
      <c r="AR11527" s="19"/>
      <c r="AS11527" s="19"/>
      <c r="AT11527" s="19"/>
      <c r="AU11527" s="19"/>
    </row>
    <row r="11528" spans="3:47">
      <c r="C11528" s="20"/>
      <c r="Z11528" s="20"/>
      <c r="AG11528" s="20"/>
      <c r="AQ11528" s="19"/>
      <c r="AR11528" s="19"/>
      <c r="AS11528" s="19"/>
      <c r="AT11528" s="19"/>
      <c r="AU11528" s="19"/>
    </row>
    <row r="11529" spans="3:47">
      <c r="C11529" s="20"/>
      <c r="Z11529" s="20"/>
      <c r="AG11529" s="20"/>
      <c r="AQ11529" s="19"/>
      <c r="AR11529" s="19"/>
      <c r="AS11529" s="19"/>
      <c r="AT11529" s="19"/>
      <c r="AU11529" s="19"/>
    </row>
    <row r="11530" spans="3:47">
      <c r="C11530" s="20"/>
      <c r="Z11530" s="20"/>
      <c r="AG11530" s="20"/>
      <c r="AQ11530" s="19"/>
      <c r="AR11530" s="19"/>
      <c r="AS11530" s="19"/>
      <c r="AT11530" s="19"/>
      <c r="AU11530" s="19"/>
    </row>
    <row r="11531" spans="3:47">
      <c r="C11531" s="20"/>
      <c r="Z11531" s="20"/>
      <c r="AG11531" s="20"/>
      <c r="AQ11531" s="19"/>
      <c r="AR11531" s="19"/>
      <c r="AS11531" s="19"/>
      <c r="AT11531" s="19"/>
      <c r="AU11531" s="19"/>
    </row>
    <row r="11532" spans="3:47">
      <c r="C11532" s="20"/>
      <c r="Z11532" s="20"/>
      <c r="AG11532" s="20"/>
      <c r="AQ11532" s="19"/>
      <c r="AR11532" s="19"/>
      <c r="AS11532" s="19"/>
      <c r="AT11532" s="19"/>
      <c r="AU11532" s="19"/>
    </row>
    <row r="11533" spans="3:47">
      <c r="C11533" s="20"/>
      <c r="Z11533" s="20"/>
      <c r="AG11533" s="20"/>
      <c r="AQ11533" s="19"/>
      <c r="AR11533" s="19"/>
      <c r="AS11533" s="19"/>
      <c r="AT11533" s="19"/>
      <c r="AU11533" s="19"/>
    </row>
    <row r="11534" spans="3:47">
      <c r="C11534" s="20"/>
      <c r="Z11534" s="20"/>
      <c r="AG11534" s="20"/>
      <c r="AQ11534" s="19"/>
      <c r="AR11534" s="19"/>
      <c r="AS11534" s="19"/>
      <c r="AT11534" s="19"/>
      <c r="AU11534" s="19"/>
    </row>
    <row r="11535" spans="3:47">
      <c r="C11535" s="20"/>
      <c r="Z11535" s="20"/>
      <c r="AG11535" s="20"/>
      <c r="AQ11535" s="19"/>
      <c r="AR11535" s="19"/>
      <c r="AS11535" s="19"/>
      <c r="AT11535" s="19"/>
      <c r="AU11535" s="19"/>
    </row>
    <row r="11536" spans="3:47">
      <c r="C11536" s="20"/>
      <c r="Z11536" s="20"/>
      <c r="AG11536" s="20"/>
      <c r="AQ11536" s="19"/>
      <c r="AR11536" s="19"/>
      <c r="AS11536" s="19"/>
      <c r="AT11536" s="19"/>
      <c r="AU11536" s="19"/>
    </row>
    <row r="11537" spans="3:47">
      <c r="C11537" s="20"/>
      <c r="Z11537" s="20"/>
      <c r="AG11537" s="20"/>
      <c r="AQ11537" s="19"/>
      <c r="AR11537" s="19"/>
      <c r="AS11537" s="19"/>
      <c r="AT11537" s="19"/>
      <c r="AU11537" s="19"/>
    </row>
    <row r="11538" spans="3:47">
      <c r="C11538" s="20"/>
      <c r="Z11538" s="20"/>
      <c r="AG11538" s="20"/>
      <c r="AQ11538" s="19"/>
      <c r="AR11538" s="19"/>
      <c r="AS11538" s="19"/>
      <c r="AT11538" s="19"/>
      <c r="AU11538" s="19"/>
    </row>
    <row r="11539" spans="3:47">
      <c r="C11539" s="20"/>
      <c r="Z11539" s="20"/>
      <c r="AG11539" s="20"/>
      <c r="AQ11539" s="19"/>
      <c r="AR11539" s="19"/>
      <c r="AS11539" s="19"/>
      <c r="AT11539" s="19"/>
      <c r="AU11539" s="19"/>
    </row>
    <row r="11540" spans="3:47">
      <c r="C11540" s="20"/>
      <c r="Z11540" s="20"/>
      <c r="AG11540" s="20"/>
      <c r="AQ11540" s="19"/>
      <c r="AR11540" s="19"/>
      <c r="AS11540" s="19"/>
      <c r="AT11540" s="19"/>
      <c r="AU11540" s="19"/>
    </row>
    <row r="11541" spans="3:47">
      <c r="C11541" s="20"/>
      <c r="Z11541" s="20"/>
      <c r="AG11541" s="20"/>
      <c r="AQ11541" s="19"/>
      <c r="AR11541" s="19"/>
      <c r="AS11541" s="19"/>
      <c r="AT11541" s="19"/>
      <c r="AU11541" s="19"/>
    </row>
    <row r="11542" spans="3:47">
      <c r="C11542" s="20"/>
      <c r="Z11542" s="20"/>
      <c r="AG11542" s="20"/>
      <c r="AQ11542" s="19"/>
      <c r="AR11542" s="19"/>
      <c r="AS11542" s="19"/>
      <c r="AT11542" s="19"/>
      <c r="AU11542" s="19"/>
    </row>
    <row r="11543" spans="3:47">
      <c r="C11543" s="20"/>
      <c r="Z11543" s="20"/>
      <c r="AG11543" s="20"/>
      <c r="AQ11543" s="19"/>
      <c r="AR11543" s="19"/>
      <c r="AS11543" s="19"/>
      <c r="AT11543" s="19"/>
      <c r="AU11543" s="19"/>
    </row>
    <row r="11544" spans="3:47">
      <c r="C11544" s="20"/>
      <c r="Z11544" s="20"/>
      <c r="AG11544" s="20"/>
      <c r="AQ11544" s="19"/>
      <c r="AR11544" s="19"/>
      <c r="AS11544" s="19"/>
      <c r="AT11544" s="19"/>
      <c r="AU11544" s="19"/>
    </row>
    <row r="11545" spans="3:47">
      <c r="C11545" s="20"/>
      <c r="Z11545" s="20"/>
      <c r="AG11545" s="20"/>
      <c r="AQ11545" s="19"/>
      <c r="AR11545" s="19"/>
      <c r="AS11545" s="19"/>
      <c r="AT11545" s="19"/>
      <c r="AU11545" s="19"/>
    </row>
    <row r="11546" spans="3:47">
      <c r="C11546" s="20"/>
      <c r="Z11546" s="20"/>
      <c r="AG11546" s="20"/>
      <c r="AQ11546" s="19"/>
      <c r="AR11546" s="19"/>
      <c r="AS11546" s="19"/>
      <c r="AT11546" s="19"/>
      <c r="AU11546" s="19"/>
    </row>
    <row r="11547" spans="3:47">
      <c r="C11547" s="20"/>
      <c r="Z11547" s="20"/>
      <c r="AG11547" s="20"/>
      <c r="AQ11547" s="19"/>
      <c r="AR11547" s="19"/>
      <c r="AS11547" s="19"/>
      <c r="AT11547" s="19"/>
      <c r="AU11547" s="19"/>
    </row>
    <row r="11548" spans="3:47">
      <c r="C11548" s="20"/>
      <c r="Z11548" s="20"/>
      <c r="AG11548" s="20"/>
      <c r="AQ11548" s="19"/>
      <c r="AR11548" s="19"/>
      <c r="AS11548" s="19"/>
      <c r="AT11548" s="19"/>
      <c r="AU11548" s="19"/>
    </row>
    <row r="11549" spans="3:47">
      <c r="C11549" s="20"/>
      <c r="Z11549" s="20"/>
      <c r="AG11549" s="20"/>
      <c r="AQ11549" s="19"/>
      <c r="AR11549" s="19"/>
      <c r="AS11549" s="19"/>
      <c r="AT11549" s="19"/>
      <c r="AU11549" s="19"/>
    </row>
    <row r="11550" spans="3:47">
      <c r="C11550" s="20"/>
      <c r="Z11550" s="20"/>
      <c r="AG11550" s="20"/>
      <c r="AQ11550" s="19"/>
      <c r="AR11550" s="19"/>
      <c r="AS11550" s="19"/>
      <c r="AT11550" s="19"/>
      <c r="AU11550" s="19"/>
    </row>
    <row r="11551" spans="3:47">
      <c r="C11551" s="20"/>
      <c r="Z11551" s="20"/>
      <c r="AG11551" s="20"/>
      <c r="AQ11551" s="19"/>
      <c r="AR11551" s="19"/>
      <c r="AS11551" s="19"/>
      <c r="AT11551" s="19"/>
      <c r="AU11551" s="19"/>
    </row>
    <row r="11552" spans="3:47">
      <c r="C11552" s="20"/>
      <c r="Z11552" s="20"/>
      <c r="AG11552" s="20"/>
      <c r="AQ11552" s="19"/>
      <c r="AR11552" s="19"/>
      <c r="AS11552" s="19"/>
      <c r="AT11552" s="19"/>
      <c r="AU11552" s="19"/>
    </row>
    <row r="11553" spans="3:47">
      <c r="C11553" s="20"/>
      <c r="Z11553" s="20"/>
      <c r="AG11553" s="20"/>
      <c r="AQ11553" s="19"/>
      <c r="AR11553" s="19"/>
      <c r="AS11553" s="19"/>
      <c r="AT11553" s="19"/>
      <c r="AU11553" s="19"/>
    </row>
    <row r="11554" spans="3:47">
      <c r="C11554" s="20"/>
      <c r="Z11554" s="20"/>
      <c r="AG11554" s="20"/>
      <c r="AQ11554" s="19"/>
      <c r="AR11554" s="19"/>
      <c r="AS11554" s="19"/>
      <c r="AT11554" s="19"/>
      <c r="AU11554" s="19"/>
    </row>
    <row r="11555" spans="3:47">
      <c r="C11555" s="20"/>
      <c r="Z11555" s="20"/>
      <c r="AG11555" s="20"/>
      <c r="AQ11555" s="19"/>
      <c r="AR11555" s="19"/>
      <c r="AS11555" s="19"/>
      <c r="AT11555" s="19"/>
      <c r="AU11555" s="19"/>
    </row>
    <row r="11556" spans="3:47">
      <c r="C11556" s="20"/>
      <c r="Z11556" s="20"/>
      <c r="AG11556" s="20"/>
      <c r="AQ11556" s="19"/>
      <c r="AR11556" s="19"/>
      <c r="AS11556" s="19"/>
      <c r="AT11556" s="19"/>
      <c r="AU11556" s="19"/>
    </row>
    <row r="11557" spans="3:47">
      <c r="C11557" s="20"/>
      <c r="Z11557" s="20"/>
      <c r="AG11557" s="20"/>
      <c r="AQ11557" s="19"/>
      <c r="AR11557" s="19"/>
      <c r="AS11557" s="19"/>
      <c r="AT11557" s="19"/>
      <c r="AU11557" s="19"/>
    </row>
    <row r="11558" spans="3:47">
      <c r="C11558" s="20"/>
      <c r="Z11558" s="20"/>
      <c r="AG11558" s="20"/>
      <c r="AQ11558" s="19"/>
      <c r="AR11558" s="19"/>
      <c r="AS11558" s="19"/>
      <c r="AT11558" s="19"/>
      <c r="AU11558" s="19"/>
    </row>
    <row r="11559" spans="3:47">
      <c r="C11559" s="20"/>
      <c r="Z11559" s="20"/>
      <c r="AG11559" s="20"/>
      <c r="AQ11559" s="19"/>
      <c r="AR11559" s="19"/>
      <c r="AS11559" s="19"/>
      <c r="AT11559" s="19"/>
      <c r="AU11559" s="19"/>
    </row>
    <row r="11560" spans="3:47">
      <c r="C11560" s="20"/>
      <c r="Z11560" s="20"/>
      <c r="AG11560" s="20"/>
      <c r="AQ11560" s="19"/>
      <c r="AR11560" s="19"/>
      <c r="AS11560" s="19"/>
      <c r="AT11560" s="19"/>
      <c r="AU11560" s="19"/>
    </row>
    <row r="11561" spans="3:47">
      <c r="C11561" s="20"/>
      <c r="Z11561" s="20"/>
      <c r="AG11561" s="20"/>
      <c r="AQ11561" s="19"/>
      <c r="AR11561" s="19"/>
      <c r="AS11561" s="19"/>
      <c r="AT11561" s="19"/>
      <c r="AU11561" s="19"/>
    </row>
    <row r="11562" spans="3:47">
      <c r="C11562" s="20"/>
      <c r="Z11562" s="20"/>
      <c r="AG11562" s="20"/>
      <c r="AQ11562" s="19"/>
      <c r="AR11562" s="19"/>
      <c r="AS11562" s="19"/>
      <c r="AT11562" s="19"/>
      <c r="AU11562" s="19"/>
    </row>
    <row r="11563" spans="3:47">
      <c r="C11563" s="20"/>
      <c r="Z11563" s="20"/>
      <c r="AG11563" s="20"/>
      <c r="AQ11563" s="19"/>
      <c r="AR11563" s="19"/>
      <c r="AS11563" s="19"/>
      <c r="AT11563" s="19"/>
      <c r="AU11563" s="19"/>
    </row>
    <row r="11564" spans="3:47">
      <c r="C11564" s="20"/>
      <c r="Z11564" s="20"/>
      <c r="AG11564" s="20"/>
      <c r="AQ11564" s="19"/>
      <c r="AR11564" s="19"/>
      <c r="AS11564" s="19"/>
      <c r="AT11564" s="19"/>
      <c r="AU11564" s="19"/>
    </row>
    <row r="11565" spans="3:47">
      <c r="C11565" s="20"/>
      <c r="Z11565" s="20"/>
      <c r="AG11565" s="20"/>
      <c r="AQ11565" s="19"/>
      <c r="AR11565" s="19"/>
      <c r="AS11565" s="19"/>
      <c r="AT11565" s="19"/>
      <c r="AU11565" s="19"/>
    </row>
    <row r="11566" spans="3:47">
      <c r="C11566" s="20"/>
      <c r="Z11566" s="20"/>
      <c r="AG11566" s="20"/>
      <c r="AQ11566" s="19"/>
      <c r="AR11566" s="19"/>
      <c r="AS11566" s="19"/>
      <c r="AT11566" s="19"/>
      <c r="AU11566" s="19"/>
    </row>
    <row r="11567" spans="3:47">
      <c r="C11567" s="20"/>
      <c r="Z11567" s="20"/>
      <c r="AG11567" s="20"/>
      <c r="AQ11567" s="19"/>
      <c r="AR11567" s="19"/>
      <c r="AS11567" s="19"/>
      <c r="AT11567" s="19"/>
      <c r="AU11567" s="19"/>
    </row>
    <row r="11568" spans="3:47">
      <c r="C11568" s="20"/>
      <c r="Z11568" s="20"/>
      <c r="AG11568" s="20"/>
      <c r="AQ11568" s="19"/>
      <c r="AR11568" s="19"/>
      <c r="AS11568" s="19"/>
      <c r="AT11568" s="19"/>
      <c r="AU11568" s="19"/>
    </row>
    <row r="11569" spans="3:47">
      <c r="C11569" s="20"/>
      <c r="Z11569" s="20"/>
      <c r="AG11569" s="20"/>
      <c r="AQ11569" s="19"/>
      <c r="AR11569" s="19"/>
      <c r="AS11569" s="19"/>
      <c r="AT11569" s="19"/>
      <c r="AU11569" s="19"/>
    </row>
    <row r="11570" spans="3:47">
      <c r="C11570" s="20"/>
      <c r="Z11570" s="20"/>
      <c r="AG11570" s="20"/>
      <c r="AQ11570" s="19"/>
      <c r="AR11570" s="19"/>
      <c r="AS11570" s="19"/>
      <c r="AT11570" s="19"/>
      <c r="AU11570" s="19"/>
    </row>
    <row r="11571" spans="3:47">
      <c r="C11571" s="20"/>
      <c r="Z11571" s="20"/>
      <c r="AG11571" s="20"/>
      <c r="AQ11571" s="19"/>
      <c r="AR11571" s="19"/>
      <c r="AS11571" s="19"/>
      <c r="AT11571" s="19"/>
      <c r="AU11571" s="19"/>
    </row>
    <row r="11572" spans="3:47">
      <c r="C11572" s="20"/>
      <c r="Z11572" s="20"/>
      <c r="AG11572" s="20"/>
      <c r="AQ11572" s="19"/>
      <c r="AR11572" s="19"/>
      <c r="AS11572" s="19"/>
      <c r="AT11572" s="19"/>
      <c r="AU11572" s="19"/>
    </row>
    <row r="11573" spans="3:47">
      <c r="C11573" s="20"/>
      <c r="Z11573" s="20"/>
      <c r="AG11573" s="20"/>
      <c r="AQ11573" s="19"/>
      <c r="AR11573" s="19"/>
      <c r="AS11573" s="19"/>
      <c r="AT11573" s="19"/>
      <c r="AU11573" s="19"/>
    </row>
    <row r="11574" spans="3:47">
      <c r="C11574" s="20"/>
      <c r="Z11574" s="20"/>
      <c r="AG11574" s="20"/>
      <c r="AQ11574" s="19"/>
      <c r="AR11574" s="19"/>
      <c r="AS11574" s="19"/>
      <c r="AT11574" s="19"/>
      <c r="AU11574" s="19"/>
    </row>
    <row r="11575" spans="3:47">
      <c r="C11575" s="20"/>
      <c r="Z11575" s="20"/>
      <c r="AG11575" s="20"/>
      <c r="AQ11575" s="19"/>
      <c r="AR11575" s="19"/>
      <c r="AS11575" s="19"/>
      <c r="AT11575" s="19"/>
      <c r="AU11575" s="19"/>
    </row>
    <row r="11576" spans="3:47">
      <c r="C11576" s="20"/>
      <c r="Z11576" s="20"/>
      <c r="AG11576" s="20"/>
      <c r="AQ11576" s="19"/>
      <c r="AR11576" s="19"/>
      <c r="AS11576" s="19"/>
      <c r="AT11576" s="19"/>
      <c r="AU11576" s="19"/>
    </row>
    <row r="11577" spans="3:47">
      <c r="C11577" s="20"/>
      <c r="Z11577" s="20"/>
      <c r="AG11577" s="20"/>
      <c r="AQ11577" s="19"/>
      <c r="AR11577" s="19"/>
      <c r="AS11577" s="19"/>
      <c r="AT11577" s="19"/>
      <c r="AU11577" s="19"/>
    </row>
    <row r="11578" spans="3:47">
      <c r="C11578" s="20"/>
      <c r="Z11578" s="20"/>
      <c r="AG11578" s="20"/>
      <c r="AQ11578" s="19"/>
      <c r="AR11578" s="19"/>
      <c r="AS11578" s="19"/>
      <c r="AT11578" s="19"/>
      <c r="AU11578" s="19"/>
    </row>
    <row r="11579" spans="3:47">
      <c r="C11579" s="20"/>
      <c r="Z11579" s="20"/>
      <c r="AG11579" s="20"/>
      <c r="AQ11579" s="19"/>
      <c r="AR11579" s="19"/>
      <c r="AS11579" s="19"/>
      <c r="AT11579" s="19"/>
      <c r="AU11579" s="19"/>
    </row>
    <row r="11580" spans="3:47">
      <c r="C11580" s="20"/>
      <c r="Z11580" s="20"/>
      <c r="AG11580" s="20"/>
      <c r="AQ11580" s="19"/>
      <c r="AR11580" s="19"/>
      <c r="AS11580" s="19"/>
      <c r="AT11580" s="19"/>
      <c r="AU11580" s="19"/>
    </row>
    <row r="11581" spans="3:47">
      <c r="C11581" s="20"/>
      <c r="Z11581" s="20"/>
      <c r="AG11581" s="20"/>
      <c r="AQ11581" s="19"/>
      <c r="AR11581" s="19"/>
      <c r="AS11581" s="19"/>
      <c r="AT11581" s="19"/>
      <c r="AU11581" s="19"/>
    </row>
    <row r="11582" spans="3:47">
      <c r="C11582" s="20"/>
      <c r="Z11582" s="20"/>
      <c r="AG11582" s="20"/>
      <c r="AQ11582" s="19"/>
      <c r="AR11582" s="19"/>
      <c r="AS11582" s="19"/>
      <c r="AT11582" s="19"/>
      <c r="AU11582" s="19"/>
    </row>
    <row r="11583" spans="3:47">
      <c r="C11583" s="20"/>
      <c r="Z11583" s="20"/>
      <c r="AG11583" s="20"/>
      <c r="AQ11583" s="19"/>
      <c r="AR11583" s="19"/>
      <c r="AS11583" s="19"/>
      <c r="AT11583" s="19"/>
      <c r="AU11583" s="19"/>
    </row>
    <row r="11584" spans="3:47">
      <c r="C11584" s="20"/>
      <c r="Z11584" s="20"/>
      <c r="AG11584" s="20"/>
      <c r="AQ11584" s="19"/>
      <c r="AR11584" s="19"/>
      <c r="AS11584" s="19"/>
      <c r="AT11584" s="19"/>
      <c r="AU11584" s="19"/>
    </row>
    <row r="11585" spans="3:47">
      <c r="C11585" s="20"/>
      <c r="Z11585" s="20"/>
      <c r="AG11585" s="20"/>
      <c r="AQ11585" s="19"/>
      <c r="AR11585" s="19"/>
      <c r="AS11585" s="19"/>
      <c r="AT11585" s="19"/>
      <c r="AU11585" s="19"/>
    </row>
    <row r="11586" spans="3:47">
      <c r="C11586" s="20"/>
      <c r="Z11586" s="20"/>
      <c r="AG11586" s="20"/>
      <c r="AQ11586" s="19"/>
      <c r="AR11586" s="19"/>
      <c r="AS11586" s="19"/>
      <c r="AT11586" s="19"/>
      <c r="AU11586" s="19"/>
    </row>
    <row r="11587" spans="3:47">
      <c r="C11587" s="20"/>
      <c r="Z11587" s="20"/>
      <c r="AG11587" s="20"/>
      <c r="AQ11587" s="19"/>
      <c r="AR11587" s="19"/>
      <c r="AS11587" s="19"/>
      <c r="AT11587" s="19"/>
      <c r="AU11587" s="19"/>
    </row>
    <row r="11588" spans="3:47">
      <c r="C11588" s="20"/>
      <c r="Z11588" s="20"/>
      <c r="AG11588" s="20"/>
      <c r="AQ11588" s="19"/>
      <c r="AR11588" s="19"/>
      <c r="AS11588" s="19"/>
      <c r="AT11588" s="19"/>
      <c r="AU11588" s="19"/>
    </row>
    <row r="11589" spans="3:47">
      <c r="C11589" s="20"/>
      <c r="Z11589" s="20"/>
      <c r="AG11589" s="20"/>
      <c r="AQ11589" s="19"/>
      <c r="AR11589" s="19"/>
      <c r="AS11589" s="19"/>
      <c r="AT11589" s="19"/>
      <c r="AU11589" s="19"/>
    </row>
    <row r="11590" spans="3:47">
      <c r="C11590" s="20"/>
      <c r="Z11590" s="20"/>
      <c r="AG11590" s="20"/>
      <c r="AQ11590" s="19"/>
      <c r="AR11590" s="19"/>
      <c r="AS11590" s="19"/>
      <c r="AT11590" s="19"/>
      <c r="AU11590" s="19"/>
    </row>
    <row r="11591" spans="3:47">
      <c r="C11591" s="20"/>
      <c r="Z11591" s="20"/>
      <c r="AG11591" s="20"/>
      <c r="AQ11591" s="19"/>
      <c r="AR11591" s="19"/>
      <c r="AS11591" s="19"/>
      <c r="AT11591" s="19"/>
      <c r="AU11591" s="19"/>
    </row>
    <row r="11592" spans="3:47">
      <c r="C11592" s="20"/>
      <c r="Z11592" s="20"/>
      <c r="AG11592" s="20"/>
      <c r="AQ11592" s="19"/>
      <c r="AR11592" s="19"/>
      <c r="AS11592" s="19"/>
      <c r="AT11592" s="19"/>
      <c r="AU11592" s="19"/>
    </row>
    <row r="11593" spans="3:47">
      <c r="C11593" s="20"/>
      <c r="Z11593" s="20"/>
      <c r="AG11593" s="20"/>
      <c r="AQ11593" s="19"/>
      <c r="AR11593" s="19"/>
      <c r="AS11593" s="19"/>
      <c r="AT11593" s="19"/>
      <c r="AU11593" s="19"/>
    </row>
    <row r="11594" spans="3:47">
      <c r="C11594" s="20"/>
      <c r="Z11594" s="20"/>
      <c r="AG11594" s="20"/>
      <c r="AQ11594" s="19"/>
      <c r="AR11594" s="19"/>
      <c r="AS11594" s="19"/>
      <c r="AT11594" s="19"/>
      <c r="AU11594" s="19"/>
    </row>
    <row r="11595" spans="3:47">
      <c r="C11595" s="20"/>
      <c r="Z11595" s="20"/>
      <c r="AG11595" s="20"/>
      <c r="AQ11595" s="19"/>
      <c r="AR11595" s="19"/>
      <c r="AS11595" s="19"/>
      <c r="AT11595" s="19"/>
      <c r="AU11595" s="19"/>
    </row>
    <row r="11596" spans="3:47">
      <c r="C11596" s="20"/>
      <c r="Z11596" s="20"/>
      <c r="AG11596" s="20"/>
      <c r="AQ11596" s="19"/>
      <c r="AR11596" s="19"/>
      <c r="AS11596" s="19"/>
      <c r="AT11596" s="19"/>
      <c r="AU11596" s="19"/>
    </row>
    <row r="11597" spans="3:47">
      <c r="C11597" s="20"/>
      <c r="Z11597" s="20"/>
      <c r="AG11597" s="20"/>
      <c r="AQ11597" s="19"/>
      <c r="AR11597" s="19"/>
      <c r="AS11597" s="19"/>
      <c r="AT11597" s="19"/>
      <c r="AU11597" s="19"/>
    </row>
    <row r="11598" spans="3:47">
      <c r="C11598" s="20"/>
      <c r="Z11598" s="20"/>
      <c r="AG11598" s="20"/>
      <c r="AQ11598" s="19"/>
      <c r="AR11598" s="19"/>
      <c r="AS11598" s="19"/>
      <c r="AT11598" s="19"/>
      <c r="AU11598" s="19"/>
    </row>
    <row r="11599" spans="3:47">
      <c r="C11599" s="20"/>
      <c r="Z11599" s="20"/>
      <c r="AG11599" s="20"/>
      <c r="AQ11599" s="19"/>
      <c r="AR11599" s="19"/>
      <c r="AS11599" s="19"/>
      <c r="AT11599" s="19"/>
      <c r="AU11599" s="19"/>
    </row>
    <row r="11600" spans="3:47">
      <c r="C11600" s="20"/>
      <c r="Z11600" s="20"/>
      <c r="AG11600" s="20"/>
      <c r="AQ11600" s="19"/>
      <c r="AR11600" s="19"/>
      <c r="AS11600" s="19"/>
      <c r="AT11600" s="19"/>
      <c r="AU11600" s="19"/>
    </row>
    <row r="11601" spans="3:47">
      <c r="C11601" s="20"/>
      <c r="Z11601" s="20"/>
      <c r="AG11601" s="20"/>
      <c r="AQ11601" s="19"/>
      <c r="AR11601" s="19"/>
      <c r="AS11601" s="19"/>
      <c r="AT11601" s="19"/>
      <c r="AU11601" s="19"/>
    </row>
    <row r="11602" spans="3:47">
      <c r="C11602" s="20"/>
      <c r="Z11602" s="20"/>
      <c r="AG11602" s="20"/>
      <c r="AQ11602" s="19"/>
      <c r="AR11602" s="19"/>
      <c r="AS11602" s="19"/>
      <c r="AT11602" s="19"/>
      <c r="AU11602" s="19"/>
    </row>
    <row r="11603" spans="3:47">
      <c r="C11603" s="20"/>
      <c r="Z11603" s="20"/>
      <c r="AG11603" s="20"/>
      <c r="AQ11603" s="19"/>
      <c r="AR11603" s="19"/>
      <c r="AS11603" s="19"/>
      <c r="AT11603" s="19"/>
      <c r="AU11603" s="19"/>
    </row>
    <row r="11604" spans="3:47">
      <c r="C11604" s="20"/>
      <c r="Z11604" s="20"/>
      <c r="AG11604" s="20"/>
      <c r="AQ11604" s="19"/>
      <c r="AR11604" s="19"/>
      <c r="AS11604" s="19"/>
      <c r="AT11604" s="19"/>
      <c r="AU11604" s="19"/>
    </row>
    <row r="11605" spans="3:47">
      <c r="C11605" s="20"/>
      <c r="Z11605" s="20"/>
      <c r="AG11605" s="20"/>
      <c r="AQ11605" s="19"/>
      <c r="AR11605" s="19"/>
      <c r="AS11605" s="19"/>
      <c r="AT11605" s="19"/>
      <c r="AU11605" s="19"/>
    </row>
    <row r="11606" spans="3:47">
      <c r="C11606" s="20"/>
      <c r="Z11606" s="20"/>
      <c r="AG11606" s="20"/>
      <c r="AQ11606" s="19"/>
      <c r="AR11606" s="19"/>
      <c r="AS11606" s="19"/>
      <c r="AT11606" s="19"/>
      <c r="AU11606" s="19"/>
    </row>
    <row r="11607" spans="3:47">
      <c r="C11607" s="20"/>
      <c r="Z11607" s="20"/>
      <c r="AG11607" s="20"/>
      <c r="AQ11607" s="19"/>
      <c r="AR11607" s="19"/>
      <c r="AS11607" s="19"/>
      <c r="AT11607" s="19"/>
      <c r="AU11607" s="19"/>
    </row>
    <row r="11608" spans="3:47">
      <c r="C11608" s="20"/>
      <c r="Z11608" s="20"/>
      <c r="AG11608" s="20"/>
      <c r="AQ11608" s="19"/>
      <c r="AR11608" s="19"/>
      <c r="AS11608" s="19"/>
      <c r="AT11608" s="19"/>
      <c r="AU11608" s="19"/>
    </row>
    <row r="11609" spans="3:47">
      <c r="C11609" s="20"/>
      <c r="Z11609" s="20"/>
      <c r="AG11609" s="20"/>
      <c r="AQ11609" s="19"/>
      <c r="AR11609" s="19"/>
      <c r="AS11609" s="19"/>
      <c r="AT11609" s="19"/>
      <c r="AU11609" s="19"/>
    </row>
    <row r="11610" spans="3:47">
      <c r="C11610" s="20"/>
      <c r="Z11610" s="20"/>
      <c r="AG11610" s="20"/>
      <c r="AQ11610" s="19"/>
      <c r="AR11610" s="19"/>
      <c r="AS11610" s="19"/>
      <c r="AT11610" s="19"/>
      <c r="AU11610" s="19"/>
    </row>
    <row r="11611" spans="3:47">
      <c r="C11611" s="20"/>
      <c r="Z11611" s="20"/>
      <c r="AG11611" s="20"/>
      <c r="AQ11611" s="19"/>
      <c r="AR11611" s="19"/>
      <c r="AS11611" s="19"/>
      <c r="AT11611" s="19"/>
      <c r="AU11611" s="19"/>
    </row>
    <row r="11612" spans="3:47">
      <c r="C11612" s="20"/>
      <c r="Z11612" s="20"/>
      <c r="AG11612" s="20"/>
      <c r="AQ11612" s="19"/>
      <c r="AR11612" s="19"/>
      <c r="AS11612" s="19"/>
      <c r="AT11612" s="19"/>
      <c r="AU11612" s="19"/>
    </row>
    <row r="11613" spans="3:47">
      <c r="C11613" s="20"/>
      <c r="Z11613" s="20"/>
      <c r="AG11613" s="20"/>
      <c r="AQ11613" s="19"/>
      <c r="AR11613" s="19"/>
      <c r="AS11613" s="19"/>
      <c r="AT11613" s="19"/>
      <c r="AU11613" s="19"/>
    </row>
    <row r="11614" spans="3:47">
      <c r="C11614" s="20"/>
      <c r="Z11614" s="20"/>
      <c r="AG11614" s="20"/>
      <c r="AQ11614" s="19"/>
      <c r="AR11614" s="19"/>
      <c r="AS11614" s="19"/>
      <c r="AT11614" s="19"/>
      <c r="AU11614" s="19"/>
    </row>
    <row r="11615" spans="3:47">
      <c r="C11615" s="20"/>
      <c r="Z11615" s="20"/>
      <c r="AG11615" s="20"/>
      <c r="AQ11615" s="19"/>
      <c r="AR11615" s="19"/>
      <c r="AS11615" s="19"/>
      <c r="AT11615" s="19"/>
      <c r="AU11615" s="19"/>
    </row>
    <row r="11616" spans="3:47">
      <c r="C11616" s="20"/>
      <c r="Z11616" s="20"/>
      <c r="AG11616" s="20"/>
      <c r="AQ11616" s="19"/>
      <c r="AR11616" s="19"/>
      <c r="AS11616" s="19"/>
      <c r="AT11616" s="19"/>
      <c r="AU11616" s="19"/>
    </row>
    <row r="11617" spans="3:47">
      <c r="C11617" s="20"/>
      <c r="Z11617" s="20"/>
      <c r="AG11617" s="20"/>
      <c r="AQ11617" s="19"/>
      <c r="AR11617" s="19"/>
      <c r="AS11617" s="19"/>
      <c r="AT11617" s="19"/>
      <c r="AU11617" s="19"/>
    </row>
    <row r="11618" spans="3:47">
      <c r="C11618" s="20"/>
      <c r="Z11618" s="20"/>
      <c r="AG11618" s="20"/>
      <c r="AQ11618" s="19"/>
      <c r="AR11618" s="19"/>
      <c r="AS11618" s="19"/>
      <c r="AT11618" s="19"/>
      <c r="AU11618" s="19"/>
    </row>
    <row r="11619" spans="3:47">
      <c r="C11619" s="20"/>
      <c r="Z11619" s="20"/>
      <c r="AG11619" s="20"/>
      <c r="AQ11619" s="19"/>
      <c r="AR11619" s="19"/>
      <c r="AS11619" s="19"/>
      <c r="AT11619" s="19"/>
      <c r="AU11619" s="19"/>
    </row>
    <row r="11620" spans="3:47">
      <c r="C11620" s="20"/>
      <c r="Z11620" s="20"/>
      <c r="AG11620" s="20"/>
      <c r="AQ11620" s="19"/>
      <c r="AR11620" s="19"/>
      <c r="AS11620" s="19"/>
      <c r="AT11620" s="19"/>
      <c r="AU11620" s="19"/>
    </row>
    <row r="11621" spans="3:47">
      <c r="C11621" s="20"/>
      <c r="Z11621" s="20"/>
      <c r="AG11621" s="20"/>
      <c r="AQ11621" s="19"/>
      <c r="AR11621" s="19"/>
      <c r="AS11621" s="19"/>
      <c r="AT11621" s="19"/>
      <c r="AU11621" s="19"/>
    </row>
    <row r="11622" spans="3:47">
      <c r="C11622" s="20"/>
      <c r="Z11622" s="20"/>
      <c r="AG11622" s="20"/>
      <c r="AQ11622" s="19"/>
      <c r="AR11622" s="19"/>
      <c r="AS11622" s="19"/>
      <c r="AT11622" s="19"/>
      <c r="AU11622" s="19"/>
    </row>
    <row r="11623" spans="3:47">
      <c r="C11623" s="20"/>
      <c r="Z11623" s="20"/>
      <c r="AG11623" s="20"/>
      <c r="AQ11623" s="19"/>
      <c r="AR11623" s="19"/>
      <c r="AS11623" s="19"/>
      <c r="AT11623" s="19"/>
      <c r="AU11623" s="19"/>
    </row>
    <row r="11624" spans="3:47">
      <c r="C11624" s="20"/>
      <c r="Z11624" s="20"/>
      <c r="AG11624" s="20"/>
      <c r="AQ11624" s="19"/>
      <c r="AR11624" s="19"/>
      <c r="AS11624" s="19"/>
      <c r="AT11624" s="19"/>
      <c r="AU11624" s="19"/>
    </row>
    <row r="11625" spans="3:47">
      <c r="C11625" s="20"/>
      <c r="Z11625" s="20"/>
      <c r="AG11625" s="20"/>
      <c r="AQ11625" s="19"/>
      <c r="AR11625" s="19"/>
      <c r="AS11625" s="19"/>
      <c r="AT11625" s="19"/>
      <c r="AU11625" s="19"/>
    </row>
    <row r="11626" spans="3:47">
      <c r="C11626" s="20"/>
      <c r="Z11626" s="20"/>
      <c r="AG11626" s="20"/>
      <c r="AQ11626" s="19"/>
      <c r="AR11626" s="19"/>
      <c r="AS11626" s="19"/>
      <c r="AT11626" s="19"/>
      <c r="AU11626" s="19"/>
    </row>
    <row r="11627" spans="3:47">
      <c r="C11627" s="20"/>
      <c r="Z11627" s="20"/>
      <c r="AG11627" s="20"/>
      <c r="AQ11627" s="19"/>
      <c r="AR11627" s="19"/>
      <c r="AS11627" s="19"/>
      <c r="AT11627" s="19"/>
      <c r="AU11627" s="19"/>
    </row>
    <row r="11628" spans="3:47">
      <c r="C11628" s="20"/>
      <c r="Z11628" s="20"/>
      <c r="AG11628" s="20"/>
      <c r="AQ11628" s="19"/>
      <c r="AR11628" s="19"/>
      <c r="AS11628" s="19"/>
      <c r="AT11628" s="19"/>
      <c r="AU11628" s="19"/>
    </row>
    <row r="11629" spans="3:47">
      <c r="C11629" s="20"/>
      <c r="Z11629" s="20"/>
      <c r="AG11629" s="20"/>
      <c r="AQ11629" s="19"/>
      <c r="AR11629" s="19"/>
      <c r="AS11629" s="19"/>
      <c r="AT11629" s="19"/>
      <c r="AU11629" s="19"/>
    </row>
    <row r="11630" spans="3:47">
      <c r="C11630" s="20"/>
      <c r="Z11630" s="20"/>
      <c r="AG11630" s="20"/>
      <c r="AQ11630" s="19"/>
      <c r="AR11630" s="19"/>
      <c r="AS11630" s="19"/>
      <c r="AT11630" s="19"/>
      <c r="AU11630" s="19"/>
    </row>
    <row r="11631" spans="3:47">
      <c r="C11631" s="20"/>
      <c r="Z11631" s="20"/>
      <c r="AG11631" s="20"/>
      <c r="AQ11631" s="19"/>
      <c r="AR11631" s="19"/>
      <c r="AS11631" s="19"/>
      <c r="AT11631" s="19"/>
      <c r="AU11631" s="19"/>
    </row>
    <row r="11632" spans="3:47">
      <c r="C11632" s="20"/>
      <c r="Z11632" s="20"/>
      <c r="AG11632" s="20"/>
      <c r="AQ11632" s="19"/>
      <c r="AR11632" s="19"/>
      <c r="AS11632" s="19"/>
      <c r="AT11632" s="19"/>
      <c r="AU11632" s="19"/>
    </row>
    <row r="11633" spans="3:47">
      <c r="C11633" s="20"/>
      <c r="Z11633" s="20"/>
      <c r="AG11633" s="20"/>
      <c r="AQ11633" s="19"/>
      <c r="AR11633" s="19"/>
      <c r="AS11633" s="19"/>
      <c r="AT11633" s="19"/>
      <c r="AU11633" s="19"/>
    </row>
    <row r="11634" spans="3:47">
      <c r="C11634" s="20"/>
      <c r="Z11634" s="20"/>
      <c r="AG11634" s="20"/>
      <c r="AQ11634" s="19"/>
      <c r="AR11634" s="19"/>
      <c r="AS11634" s="19"/>
      <c r="AT11634" s="19"/>
      <c r="AU11634" s="19"/>
    </row>
    <row r="11635" spans="3:47">
      <c r="C11635" s="20"/>
      <c r="Z11635" s="20"/>
      <c r="AG11635" s="20"/>
      <c r="AQ11635" s="19"/>
      <c r="AR11635" s="19"/>
      <c r="AS11635" s="19"/>
      <c r="AT11635" s="19"/>
      <c r="AU11635" s="19"/>
    </row>
    <row r="11636" spans="3:47">
      <c r="C11636" s="20"/>
      <c r="Z11636" s="20"/>
      <c r="AG11636" s="20"/>
      <c r="AQ11636" s="19"/>
      <c r="AR11636" s="19"/>
      <c r="AS11636" s="19"/>
      <c r="AT11636" s="19"/>
      <c r="AU11636" s="19"/>
    </row>
    <row r="11637" spans="3:47">
      <c r="C11637" s="20"/>
      <c r="Z11637" s="20"/>
      <c r="AG11637" s="20"/>
      <c r="AQ11637" s="19"/>
      <c r="AR11637" s="19"/>
      <c r="AS11637" s="19"/>
      <c r="AT11637" s="19"/>
      <c r="AU11637" s="19"/>
    </row>
    <row r="11638" spans="3:47">
      <c r="C11638" s="20"/>
      <c r="Z11638" s="20"/>
      <c r="AG11638" s="20"/>
      <c r="AQ11638" s="19"/>
      <c r="AR11638" s="19"/>
      <c r="AS11638" s="19"/>
      <c r="AT11638" s="19"/>
      <c r="AU11638" s="19"/>
    </row>
    <row r="11639" spans="3:47">
      <c r="C11639" s="20"/>
      <c r="Z11639" s="20"/>
      <c r="AG11639" s="20"/>
      <c r="AQ11639" s="19"/>
      <c r="AR11639" s="19"/>
      <c r="AS11639" s="19"/>
      <c r="AT11639" s="19"/>
      <c r="AU11639" s="19"/>
    </row>
    <row r="11640" spans="3:47">
      <c r="C11640" s="20"/>
      <c r="Z11640" s="20"/>
      <c r="AG11640" s="20"/>
      <c r="AQ11640" s="19"/>
      <c r="AR11640" s="19"/>
      <c r="AS11640" s="19"/>
      <c r="AT11640" s="19"/>
      <c r="AU11640" s="19"/>
    </row>
    <row r="11641" spans="3:47">
      <c r="C11641" s="20"/>
      <c r="Z11641" s="20"/>
      <c r="AG11641" s="20"/>
      <c r="AQ11641" s="19"/>
      <c r="AR11641" s="19"/>
      <c r="AS11641" s="19"/>
      <c r="AT11641" s="19"/>
      <c r="AU11641" s="19"/>
    </row>
    <row r="11642" spans="3:47">
      <c r="C11642" s="20"/>
      <c r="Z11642" s="20"/>
      <c r="AG11642" s="20"/>
      <c r="AQ11642" s="19"/>
      <c r="AR11642" s="19"/>
      <c r="AS11642" s="19"/>
      <c r="AT11642" s="19"/>
      <c r="AU11642" s="19"/>
    </row>
    <row r="11643" spans="3:47">
      <c r="C11643" s="20"/>
      <c r="Z11643" s="20"/>
      <c r="AG11643" s="20"/>
      <c r="AQ11643" s="19"/>
      <c r="AR11643" s="19"/>
      <c r="AS11643" s="19"/>
      <c r="AT11643" s="19"/>
      <c r="AU11643" s="19"/>
    </row>
    <row r="11644" spans="3:47">
      <c r="C11644" s="20"/>
      <c r="Z11644" s="20"/>
      <c r="AG11644" s="20"/>
      <c r="AQ11644" s="19"/>
      <c r="AR11644" s="19"/>
      <c r="AS11644" s="19"/>
      <c r="AT11644" s="19"/>
      <c r="AU11644" s="19"/>
    </row>
    <row r="11645" spans="3:47">
      <c r="C11645" s="20"/>
      <c r="Z11645" s="20"/>
      <c r="AG11645" s="20"/>
      <c r="AQ11645" s="19"/>
      <c r="AR11645" s="19"/>
      <c r="AS11645" s="19"/>
      <c r="AT11645" s="19"/>
      <c r="AU11645" s="19"/>
    </row>
    <row r="11646" spans="3:47">
      <c r="C11646" s="20"/>
      <c r="Z11646" s="20"/>
      <c r="AG11646" s="20"/>
      <c r="AQ11646" s="19"/>
      <c r="AR11646" s="19"/>
      <c r="AS11646" s="19"/>
      <c r="AT11646" s="19"/>
      <c r="AU11646" s="19"/>
    </row>
    <row r="11647" spans="3:47">
      <c r="C11647" s="20"/>
      <c r="Z11647" s="20"/>
      <c r="AG11647" s="20"/>
      <c r="AQ11647" s="19"/>
      <c r="AR11647" s="19"/>
      <c r="AS11647" s="19"/>
      <c r="AT11647" s="19"/>
      <c r="AU11647" s="19"/>
    </row>
    <row r="11648" spans="3:47">
      <c r="C11648" s="20"/>
      <c r="Z11648" s="20"/>
      <c r="AG11648" s="20"/>
      <c r="AQ11648" s="19"/>
      <c r="AR11648" s="19"/>
      <c r="AS11648" s="19"/>
      <c r="AT11648" s="19"/>
      <c r="AU11648" s="19"/>
    </row>
    <row r="11649" spans="3:47">
      <c r="C11649" s="20"/>
      <c r="Z11649" s="20"/>
      <c r="AG11649" s="20"/>
      <c r="AQ11649" s="19"/>
      <c r="AR11649" s="19"/>
      <c r="AS11649" s="19"/>
      <c r="AT11649" s="19"/>
      <c r="AU11649" s="19"/>
    </row>
    <row r="11650" spans="3:47">
      <c r="C11650" s="20"/>
      <c r="Z11650" s="20"/>
      <c r="AG11650" s="20"/>
      <c r="AQ11650" s="19"/>
      <c r="AR11650" s="19"/>
      <c r="AS11650" s="19"/>
      <c r="AT11650" s="19"/>
      <c r="AU11650" s="19"/>
    </row>
    <row r="11651" spans="3:47">
      <c r="C11651" s="20"/>
      <c r="Z11651" s="20"/>
      <c r="AG11651" s="20"/>
      <c r="AQ11651" s="19"/>
      <c r="AR11651" s="19"/>
      <c r="AS11651" s="19"/>
      <c r="AT11651" s="19"/>
      <c r="AU11651" s="19"/>
    </row>
    <row r="11652" spans="3:47">
      <c r="C11652" s="20"/>
      <c r="Z11652" s="20"/>
      <c r="AG11652" s="20"/>
      <c r="AQ11652" s="19"/>
      <c r="AR11652" s="19"/>
      <c r="AS11652" s="19"/>
      <c r="AT11652" s="19"/>
      <c r="AU11652" s="19"/>
    </row>
    <row r="11653" spans="3:47">
      <c r="C11653" s="20"/>
      <c r="Z11653" s="20"/>
      <c r="AG11653" s="20"/>
      <c r="AQ11653" s="19"/>
      <c r="AR11653" s="19"/>
      <c r="AS11653" s="19"/>
      <c r="AT11653" s="19"/>
      <c r="AU11653" s="19"/>
    </row>
    <row r="11654" spans="3:47">
      <c r="C11654" s="20"/>
      <c r="Z11654" s="20"/>
      <c r="AG11654" s="20"/>
      <c r="AQ11654" s="19"/>
      <c r="AR11654" s="19"/>
      <c r="AS11654" s="19"/>
      <c r="AT11654" s="19"/>
      <c r="AU11654" s="19"/>
    </row>
    <row r="11655" spans="3:47">
      <c r="C11655" s="20"/>
      <c r="Z11655" s="20"/>
      <c r="AG11655" s="20"/>
      <c r="AQ11655" s="19"/>
      <c r="AR11655" s="19"/>
      <c r="AS11655" s="19"/>
      <c r="AT11655" s="19"/>
      <c r="AU11655" s="19"/>
    </row>
    <row r="11656" spans="3:47">
      <c r="C11656" s="20"/>
      <c r="Z11656" s="20"/>
      <c r="AG11656" s="20"/>
      <c r="AQ11656" s="19"/>
      <c r="AR11656" s="19"/>
      <c r="AS11656" s="19"/>
      <c r="AT11656" s="19"/>
      <c r="AU11656" s="19"/>
    </row>
    <row r="11657" spans="3:47">
      <c r="C11657" s="20"/>
      <c r="Z11657" s="20"/>
      <c r="AG11657" s="20"/>
      <c r="AQ11657" s="19"/>
      <c r="AR11657" s="19"/>
      <c r="AS11657" s="19"/>
      <c r="AT11657" s="19"/>
      <c r="AU11657" s="19"/>
    </row>
    <row r="11658" spans="3:47">
      <c r="C11658" s="20"/>
      <c r="Z11658" s="20"/>
      <c r="AG11658" s="20"/>
      <c r="AQ11658" s="19"/>
      <c r="AR11658" s="19"/>
      <c r="AS11658" s="19"/>
      <c r="AT11658" s="19"/>
      <c r="AU11658" s="19"/>
    </row>
    <row r="11659" spans="3:47">
      <c r="C11659" s="20"/>
      <c r="Z11659" s="20"/>
      <c r="AG11659" s="20"/>
      <c r="AQ11659" s="19"/>
      <c r="AR11659" s="19"/>
      <c r="AS11659" s="19"/>
      <c r="AT11659" s="19"/>
      <c r="AU11659" s="19"/>
    </row>
    <row r="11660" spans="3:47">
      <c r="C11660" s="20"/>
      <c r="Z11660" s="20"/>
      <c r="AG11660" s="20"/>
      <c r="AQ11660" s="19"/>
      <c r="AR11660" s="19"/>
      <c r="AS11660" s="19"/>
      <c r="AT11660" s="19"/>
      <c r="AU11660" s="19"/>
    </row>
    <row r="11661" spans="3:47">
      <c r="C11661" s="20"/>
      <c r="Z11661" s="20"/>
      <c r="AG11661" s="20"/>
      <c r="AQ11661" s="19"/>
      <c r="AR11661" s="19"/>
      <c r="AS11661" s="19"/>
      <c r="AT11661" s="19"/>
      <c r="AU11661" s="19"/>
    </row>
    <row r="11662" spans="3:47">
      <c r="C11662" s="20"/>
      <c r="Z11662" s="20"/>
      <c r="AG11662" s="20"/>
      <c r="AQ11662" s="19"/>
      <c r="AR11662" s="19"/>
      <c r="AS11662" s="19"/>
      <c r="AT11662" s="19"/>
      <c r="AU11662" s="19"/>
    </row>
    <row r="11663" spans="3:47">
      <c r="C11663" s="20"/>
      <c r="Z11663" s="20"/>
      <c r="AG11663" s="20"/>
      <c r="AQ11663" s="19"/>
      <c r="AR11663" s="19"/>
      <c r="AS11663" s="19"/>
      <c r="AT11663" s="19"/>
      <c r="AU11663" s="19"/>
    </row>
    <row r="11664" spans="3:47">
      <c r="C11664" s="20"/>
      <c r="Z11664" s="20"/>
      <c r="AG11664" s="20"/>
      <c r="AQ11664" s="19"/>
      <c r="AR11664" s="19"/>
      <c r="AS11664" s="19"/>
      <c r="AT11664" s="19"/>
      <c r="AU11664" s="19"/>
    </row>
    <row r="11665" spans="3:47">
      <c r="C11665" s="20"/>
      <c r="Z11665" s="20"/>
      <c r="AG11665" s="20"/>
      <c r="AQ11665" s="19"/>
      <c r="AR11665" s="19"/>
      <c r="AS11665" s="19"/>
      <c r="AT11665" s="19"/>
      <c r="AU11665" s="19"/>
    </row>
    <row r="11666" spans="3:47">
      <c r="C11666" s="20"/>
      <c r="Z11666" s="20"/>
      <c r="AG11666" s="20"/>
      <c r="AQ11666" s="19"/>
      <c r="AR11666" s="19"/>
      <c r="AS11666" s="19"/>
      <c r="AT11666" s="19"/>
      <c r="AU11666" s="19"/>
    </row>
    <row r="11667" spans="3:47">
      <c r="C11667" s="20"/>
      <c r="Z11667" s="20"/>
      <c r="AG11667" s="20"/>
      <c r="AQ11667" s="19"/>
      <c r="AR11667" s="19"/>
      <c r="AS11667" s="19"/>
      <c r="AT11667" s="19"/>
      <c r="AU11667" s="19"/>
    </row>
    <row r="11668" spans="3:47">
      <c r="C11668" s="20"/>
      <c r="Z11668" s="20"/>
      <c r="AG11668" s="20"/>
      <c r="AQ11668" s="19"/>
      <c r="AR11668" s="19"/>
      <c r="AS11668" s="19"/>
      <c r="AT11668" s="19"/>
      <c r="AU11668" s="19"/>
    </row>
    <row r="11669" spans="3:47">
      <c r="C11669" s="20"/>
      <c r="Z11669" s="20"/>
      <c r="AG11669" s="20"/>
      <c r="AQ11669" s="19"/>
      <c r="AR11669" s="19"/>
      <c r="AS11669" s="19"/>
      <c r="AT11669" s="19"/>
      <c r="AU11669" s="19"/>
    </row>
    <row r="11670" spans="3:47">
      <c r="C11670" s="20"/>
      <c r="Z11670" s="20"/>
      <c r="AG11670" s="20"/>
      <c r="AQ11670" s="19"/>
      <c r="AR11670" s="19"/>
      <c r="AS11670" s="19"/>
      <c r="AT11670" s="19"/>
      <c r="AU11670" s="19"/>
    </row>
    <row r="11671" spans="3:47">
      <c r="C11671" s="20"/>
      <c r="Z11671" s="20"/>
      <c r="AG11671" s="20"/>
      <c r="AQ11671" s="19"/>
      <c r="AR11671" s="19"/>
      <c r="AS11671" s="19"/>
      <c r="AT11671" s="19"/>
      <c r="AU11671" s="19"/>
    </row>
    <row r="11672" spans="3:47">
      <c r="C11672" s="20"/>
      <c r="Z11672" s="20"/>
      <c r="AG11672" s="20"/>
      <c r="AQ11672" s="19"/>
      <c r="AR11672" s="19"/>
      <c r="AS11672" s="19"/>
      <c r="AT11672" s="19"/>
      <c r="AU11672" s="19"/>
    </row>
    <row r="11673" spans="3:47">
      <c r="C11673" s="20"/>
      <c r="Z11673" s="20"/>
      <c r="AG11673" s="20"/>
      <c r="AQ11673" s="19"/>
      <c r="AR11673" s="19"/>
      <c r="AS11673" s="19"/>
      <c r="AT11673" s="19"/>
      <c r="AU11673" s="19"/>
    </row>
    <row r="11674" spans="3:47">
      <c r="C11674" s="20"/>
      <c r="Z11674" s="20"/>
      <c r="AG11674" s="20"/>
      <c r="AQ11674" s="19"/>
      <c r="AR11674" s="19"/>
      <c r="AS11674" s="19"/>
      <c r="AT11674" s="19"/>
      <c r="AU11674" s="19"/>
    </row>
    <row r="11675" spans="3:47">
      <c r="C11675" s="20"/>
      <c r="Z11675" s="20"/>
      <c r="AG11675" s="20"/>
      <c r="AQ11675" s="19"/>
      <c r="AR11675" s="19"/>
      <c r="AS11675" s="19"/>
      <c r="AT11675" s="19"/>
      <c r="AU11675" s="19"/>
    </row>
    <row r="11676" spans="3:47">
      <c r="C11676" s="20"/>
      <c r="Z11676" s="20"/>
      <c r="AG11676" s="20"/>
      <c r="AQ11676" s="19"/>
      <c r="AR11676" s="19"/>
      <c r="AS11676" s="19"/>
      <c r="AT11676" s="19"/>
      <c r="AU11676" s="19"/>
    </row>
    <row r="11677" spans="3:47">
      <c r="C11677" s="20"/>
      <c r="Z11677" s="20"/>
      <c r="AG11677" s="20"/>
      <c r="AQ11677" s="19"/>
      <c r="AR11677" s="19"/>
      <c r="AS11677" s="19"/>
      <c r="AT11677" s="19"/>
      <c r="AU11677" s="19"/>
    </row>
    <row r="11678" spans="3:47">
      <c r="C11678" s="20"/>
      <c r="Z11678" s="20"/>
      <c r="AG11678" s="20"/>
      <c r="AQ11678" s="19"/>
      <c r="AR11678" s="19"/>
      <c r="AS11678" s="19"/>
      <c r="AT11678" s="19"/>
      <c r="AU11678" s="19"/>
    </row>
    <row r="11679" spans="3:47">
      <c r="C11679" s="20"/>
      <c r="Z11679" s="20"/>
      <c r="AG11679" s="20"/>
      <c r="AQ11679" s="19"/>
      <c r="AR11679" s="19"/>
      <c r="AS11679" s="19"/>
      <c r="AT11679" s="19"/>
      <c r="AU11679" s="19"/>
    </row>
    <row r="11680" spans="3:47">
      <c r="C11680" s="20"/>
      <c r="Z11680" s="20"/>
      <c r="AG11680" s="20"/>
      <c r="AQ11680" s="19"/>
      <c r="AR11680" s="19"/>
      <c r="AS11680" s="19"/>
      <c r="AT11680" s="19"/>
      <c r="AU11680" s="19"/>
    </row>
    <row r="11681" spans="3:47">
      <c r="C11681" s="20"/>
      <c r="Z11681" s="20"/>
      <c r="AG11681" s="20"/>
      <c r="AQ11681" s="19"/>
      <c r="AR11681" s="19"/>
      <c r="AS11681" s="19"/>
      <c r="AT11681" s="19"/>
      <c r="AU11681" s="19"/>
    </row>
    <row r="11682" spans="3:47">
      <c r="C11682" s="20"/>
      <c r="Z11682" s="20"/>
      <c r="AG11682" s="20"/>
      <c r="AQ11682" s="19"/>
      <c r="AR11682" s="19"/>
      <c r="AS11682" s="19"/>
      <c r="AT11682" s="19"/>
      <c r="AU11682" s="19"/>
    </row>
    <row r="11683" spans="3:47">
      <c r="C11683" s="20"/>
      <c r="Z11683" s="20"/>
      <c r="AG11683" s="20"/>
      <c r="AQ11683" s="19"/>
      <c r="AR11683" s="19"/>
      <c r="AS11683" s="19"/>
      <c r="AT11683" s="19"/>
      <c r="AU11683" s="19"/>
    </row>
    <row r="11684" spans="3:47">
      <c r="C11684" s="20"/>
      <c r="Z11684" s="20"/>
      <c r="AG11684" s="20"/>
      <c r="AQ11684" s="19"/>
      <c r="AR11684" s="19"/>
      <c r="AS11684" s="19"/>
      <c r="AT11684" s="19"/>
      <c r="AU11684" s="19"/>
    </row>
    <row r="11685" spans="3:47">
      <c r="C11685" s="20"/>
      <c r="Z11685" s="20"/>
      <c r="AG11685" s="20"/>
      <c r="AQ11685" s="19"/>
      <c r="AR11685" s="19"/>
      <c r="AS11685" s="19"/>
      <c r="AT11685" s="19"/>
      <c r="AU11685" s="19"/>
    </row>
    <row r="11686" spans="3:47">
      <c r="C11686" s="20"/>
      <c r="Z11686" s="20"/>
      <c r="AG11686" s="20"/>
      <c r="AQ11686" s="19"/>
      <c r="AR11686" s="19"/>
      <c r="AS11686" s="19"/>
      <c r="AT11686" s="19"/>
      <c r="AU11686" s="19"/>
    </row>
    <row r="11687" spans="3:47">
      <c r="C11687" s="20"/>
      <c r="Z11687" s="20"/>
      <c r="AG11687" s="20"/>
      <c r="AQ11687" s="19"/>
      <c r="AR11687" s="19"/>
      <c r="AS11687" s="19"/>
      <c r="AT11687" s="19"/>
      <c r="AU11687" s="19"/>
    </row>
    <row r="11688" spans="3:47">
      <c r="C11688" s="20"/>
      <c r="Z11688" s="20"/>
      <c r="AG11688" s="20"/>
      <c r="AQ11688" s="19"/>
      <c r="AR11688" s="19"/>
      <c r="AS11688" s="19"/>
      <c r="AT11688" s="19"/>
      <c r="AU11688" s="19"/>
    </row>
    <row r="11689" spans="3:47">
      <c r="C11689" s="20"/>
      <c r="Z11689" s="20"/>
      <c r="AG11689" s="20"/>
      <c r="AQ11689" s="19"/>
      <c r="AR11689" s="19"/>
      <c r="AS11689" s="19"/>
      <c r="AT11689" s="19"/>
      <c r="AU11689" s="19"/>
    </row>
    <row r="11690" spans="3:47">
      <c r="C11690" s="20"/>
      <c r="Z11690" s="20"/>
      <c r="AG11690" s="20"/>
      <c r="AQ11690" s="19"/>
      <c r="AR11690" s="19"/>
      <c r="AS11690" s="19"/>
      <c r="AT11690" s="19"/>
      <c r="AU11690" s="19"/>
    </row>
    <row r="11691" spans="3:47">
      <c r="C11691" s="20"/>
      <c r="Z11691" s="20"/>
      <c r="AG11691" s="20"/>
      <c r="AQ11691" s="19"/>
      <c r="AR11691" s="19"/>
      <c r="AS11691" s="19"/>
      <c r="AT11691" s="19"/>
      <c r="AU11691" s="19"/>
    </row>
    <row r="11692" spans="3:47">
      <c r="C11692" s="20"/>
      <c r="Z11692" s="20"/>
      <c r="AG11692" s="20"/>
      <c r="AQ11692" s="19"/>
      <c r="AR11692" s="19"/>
      <c r="AS11692" s="19"/>
      <c r="AT11692" s="19"/>
      <c r="AU11692" s="19"/>
    </row>
    <row r="11693" spans="3:47">
      <c r="C11693" s="20"/>
      <c r="Z11693" s="20"/>
      <c r="AG11693" s="20"/>
      <c r="AQ11693" s="19"/>
      <c r="AR11693" s="19"/>
      <c r="AS11693" s="19"/>
      <c r="AT11693" s="19"/>
      <c r="AU11693" s="19"/>
    </row>
    <row r="11694" spans="3:47">
      <c r="C11694" s="20"/>
      <c r="Z11694" s="20"/>
      <c r="AG11694" s="20"/>
      <c r="AQ11694" s="19"/>
      <c r="AR11694" s="19"/>
      <c r="AS11694" s="19"/>
      <c r="AT11694" s="19"/>
      <c r="AU11694" s="19"/>
    </row>
    <row r="11695" spans="3:47">
      <c r="C11695" s="20"/>
      <c r="Z11695" s="20"/>
      <c r="AG11695" s="20"/>
      <c r="AQ11695" s="19"/>
      <c r="AR11695" s="19"/>
      <c r="AS11695" s="19"/>
      <c r="AT11695" s="19"/>
      <c r="AU11695" s="19"/>
    </row>
    <row r="11696" spans="3:47">
      <c r="C11696" s="20"/>
      <c r="Z11696" s="20"/>
      <c r="AG11696" s="20"/>
      <c r="AQ11696" s="19"/>
      <c r="AR11696" s="19"/>
      <c r="AS11696" s="19"/>
      <c r="AT11696" s="19"/>
      <c r="AU11696" s="19"/>
    </row>
    <row r="11697" spans="3:47">
      <c r="C11697" s="20"/>
      <c r="Z11697" s="20"/>
      <c r="AG11697" s="20"/>
      <c r="AQ11697" s="19"/>
      <c r="AR11697" s="19"/>
      <c r="AS11697" s="19"/>
      <c r="AT11697" s="19"/>
      <c r="AU11697" s="19"/>
    </row>
    <row r="11698" spans="3:47">
      <c r="C11698" s="20"/>
      <c r="Z11698" s="20"/>
      <c r="AG11698" s="20"/>
      <c r="AQ11698" s="19"/>
      <c r="AR11698" s="19"/>
      <c r="AS11698" s="19"/>
      <c r="AT11698" s="19"/>
      <c r="AU11698" s="19"/>
    </row>
    <row r="11699" spans="3:47">
      <c r="C11699" s="20"/>
      <c r="Z11699" s="20"/>
      <c r="AG11699" s="20"/>
      <c r="AQ11699" s="19"/>
      <c r="AR11699" s="19"/>
      <c r="AS11699" s="19"/>
      <c r="AT11699" s="19"/>
      <c r="AU11699" s="19"/>
    </row>
    <row r="11700" spans="3:47">
      <c r="C11700" s="20"/>
      <c r="Z11700" s="20"/>
      <c r="AG11700" s="20"/>
      <c r="AQ11700" s="19"/>
      <c r="AR11700" s="19"/>
      <c r="AS11700" s="19"/>
      <c r="AT11700" s="19"/>
      <c r="AU11700" s="19"/>
    </row>
    <row r="11701" spans="3:47">
      <c r="C11701" s="20"/>
      <c r="Z11701" s="20"/>
      <c r="AG11701" s="20"/>
      <c r="AQ11701" s="19"/>
      <c r="AR11701" s="19"/>
      <c r="AS11701" s="19"/>
      <c r="AT11701" s="19"/>
      <c r="AU11701" s="19"/>
    </row>
    <row r="11702" spans="3:47">
      <c r="C11702" s="20"/>
      <c r="Z11702" s="20"/>
      <c r="AG11702" s="20"/>
      <c r="AQ11702" s="19"/>
      <c r="AR11702" s="19"/>
      <c r="AS11702" s="19"/>
      <c r="AT11702" s="19"/>
      <c r="AU11702" s="19"/>
    </row>
    <row r="11703" spans="3:47">
      <c r="C11703" s="20"/>
      <c r="Z11703" s="20"/>
      <c r="AG11703" s="20"/>
      <c r="AQ11703" s="19"/>
      <c r="AR11703" s="19"/>
      <c r="AS11703" s="19"/>
      <c r="AT11703" s="19"/>
      <c r="AU11703" s="19"/>
    </row>
    <row r="11704" spans="3:47">
      <c r="C11704" s="20"/>
      <c r="Z11704" s="20"/>
      <c r="AG11704" s="20"/>
      <c r="AQ11704" s="19"/>
      <c r="AR11704" s="19"/>
      <c r="AS11704" s="19"/>
      <c r="AT11704" s="19"/>
      <c r="AU11704" s="19"/>
    </row>
    <row r="11705" spans="3:47">
      <c r="C11705" s="20"/>
      <c r="Z11705" s="20"/>
      <c r="AG11705" s="20"/>
      <c r="AQ11705" s="19"/>
      <c r="AR11705" s="19"/>
      <c r="AS11705" s="19"/>
      <c r="AT11705" s="19"/>
      <c r="AU11705" s="19"/>
    </row>
    <row r="11706" spans="3:47">
      <c r="C11706" s="20"/>
      <c r="Z11706" s="20"/>
      <c r="AG11706" s="20"/>
      <c r="AQ11706" s="19"/>
      <c r="AR11706" s="19"/>
      <c r="AS11706" s="19"/>
      <c r="AT11706" s="19"/>
      <c r="AU11706" s="19"/>
    </row>
    <row r="11707" spans="3:47">
      <c r="C11707" s="20"/>
      <c r="Z11707" s="20"/>
      <c r="AG11707" s="20"/>
      <c r="AQ11707" s="19"/>
      <c r="AR11707" s="19"/>
      <c r="AS11707" s="19"/>
      <c r="AT11707" s="19"/>
      <c r="AU11707" s="19"/>
    </row>
    <row r="11708" spans="3:47">
      <c r="C11708" s="20"/>
      <c r="Z11708" s="20"/>
      <c r="AG11708" s="20"/>
      <c r="AQ11708" s="19"/>
      <c r="AR11708" s="19"/>
      <c r="AS11708" s="19"/>
      <c r="AT11708" s="19"/>
      <c r="AU11708" s="19"/>
    </row>
    <row r="11709" spans="3:47">
      <c r="C11709" s="20"/>
      <c r="Z11709" s="20"/>
      <c r="AG11709" s="20"/>
      <c r="AQ11709" s="19"/>
      <c r="AR11709" s="19"/>
      <c r="AS11709" s="19"/>
      <c r="AT11709" s="19"/>
      <c r="AU11709" s="19"/>
    </row>
    <row r="11710" spans="3:47">
      <c r="C11710" s="20"/>
      <c r="Z11710" s="20"/>
      <c r="AG11710" s="20"/>
      <c r="AQ11710" s="19"/>
      <c r="AR11710" s="19"/>
      <c r="AS11710" s="19"/>
      <c r="AT11710" s="19"/>
      <c r="AU11710" s="19"/>
    </row>
    <row r="11711" spans="3:47">
      <c r="C11711" s="20"/>
      <c r="Z11711" s="20"/>
      <c r="AG11711" s="20"/>
      <c r="AQ11711" s="19"/>
      <c r="AR11711" s="19"/>
      <c r="AS11711" s="19"/>
      <c r="AT11711" s="19"/>
      <c r="AU11711" s="19"/>
    </row>
    <row r="11712" spans="3:47">
      <c r="C11712" s="20"/>
      <c r="Z11712" s="20"/>
      <c r="AG11712" s="20"/>
      <c r="AQ11712" s="19"/>
      <c r="AR11712" s="19"/>
      <c r="AS11712" s="19"/>
      <c r="AT11712" s="19"/>
      <c r="AU11712" s="19"/>
    </row>
    <row r="11713" spans="3:47">
      <c r="C11713" s="20"/>
      <c r="Z11713" s="20"/>
      <c r="AG11713" s="20"/>
      <c r="AQ11713" s="19"/>
      <c r="AR11713" s="19"/>
      <c r="AS11713" s="19"/>
      <c r="AT11713" s="19"/>
      <c r="AU11713" s="19"/>
    </row>
    <row r="11714" spans="3:47">
      <c r="C11714" s="20"/>
      <c r="Z11714" s="20"/>
      <c r="AG11714" s="20"/>
      <c r="AQ11714" s="19"/>
      <c r="AR11714" s="19"/>
      <c r="AS11714" s="19"/>
      <c r="AT11714" s="19"/>
      <c r="AU11714" s="19"/>
    </row>
    <row r="11715" spans="3:47">
      <c r="C11715" s="20"/>
      <c r="Z11715" s="20"/>
      <c r="AG11715" s="20"/>
      <c r="AQ11715" s="19"/>
      <c r="AR11715" s="19"/>
      <c r="AS11715" s="19"/>
      <c r="AT11715" s="19"/>
      <c r="AU11715" s="19"/>
    </row>
    <row r="11716" spans="3:47">
      <c r="C11716" s="20"/>
      <c r="Z11716" s="20"/>
      <c r="AG11716" s="20"/>
      <c r="AQ11716" s="19"/>
      <c r="AR11716" s="19"/>
      <c r="AS11716" s="19"/>
      <c r="AT11716" s="19"/>
      <c r="AU11716" s="19"/>
    </row>
    <row r="11717" spans="3:47">
      <c r="C11717" s="20"/>
      <c r="Z11717" s="20"/>
      <c r="AG11717" s="20"/>
      <c r="AQ11717" s="19"/>
      <c r="AR11717" s="19"/>
      <c r="AS11717" s="19"/>
      <c r="AT11717" s="19"/>
      <c r="AU11717" s="19"/>
    </row>
    <row r="11718" spans="3:47">
      <c r="C11718" s="20"/>
      <c r="Z11718" s="20"/>
      <c r="AG11718" s="20"/>
      <c r="AQ11718" s="19"/>
      <c r="AR11718" s="19"/>
      <c r="AS11718" s="19"/>
      <c r="AT11718" s="19"/>
      <c r="AU11718" s="19"/>
    </row>
    <row r="11719" spans="3:47">
      <c r="C11719" s="20"/>
      <c r="Z11719" s="20"/>
      <c r="AG11719" s="20"/>
      <c r="AQ11719" s="19"/>
      <c r="AR11719" s="19"/>
      <c r="AS11719" s="19"/>
      <c r="AT11719" s="19"/>
      <c r="AU11719" s="19"/>
    </row>
    <row r="11720" spans="3:47">
      <c r="C11720" s="20"/>
      <c r="Z11720" s="20"/>
      <c r="AG11720" s="20"/>
      <c r="AQ11720" s="19"/>
      <c r="AR11720" s="19"/>
      <c r="AS11720" s="19"/>
      <c r="AT11720" s="19"/>
      <c r="AU11720" s="19"/>
    </row>
    <row r="11721" spans="3:47">
      <c r="C11721" s="20"/>
      <c r="Z11721" s="20"/>
      <c r="AG11721" s="20"/>
      <c r="AQ11721" s="19"/>
      <c r="AR11721" s="19"/>
      <c r="AS11721" s="19"/>
      <c r="AT11721" s="19"/>
      <c r="AU11721" s="19"/>
    </row>
    <row r="11722" spans="3:47">
      <c r="C11722" s="20"/>
      <c r="Z11722" s="20"/>
      <c r="AG11722" s="20"/>
      <c r="AQ11722" s="19"/>
      <c r="AR11722" s="19"/>
      <c r="AS11722" s="19"/>
      <c r="AT11722" s="19"/>
      <c r="AU11722" s="19"/>
    </row>
    <row r="11723" spans="3:47">
      <c r="C11723" s="20"/>
      <c r="Z11723" s="20"/>
      <c r="AG11723" s="20"/>
      <c r="AQ11723" s="19"/>
      <c r="AR11723" s="19"/>
      <c r="AS11723" s="19"/>
      <c r="AT11723" s="19"/>
      <c r="AU11723" s="19"/>
    </row>
    <row r="11724" spans="3:47">
      <c r="C11724" s="20"/>
      <c r="Z11724" s="20"/>
      <c r="AG11724" s="20"/>
      <c r="AQ11724" s="19"/>
      <c r="AR11724" s="19"/>
      <c r="AS11724" s="19"/>
      <c r="AT11724" s="19"/>
      <c r="AU11724" s="19"/>
    </row>
    <row r="11725" spans="3:47">
      <c r="C11725" s="20"/>
      <c r="Z11725" s="20"/>
      <c r="AG11725" s="20"/>
      <c r="AQ11725" s="19"/>
      <c r="AR11725" s="19"/>
      <c r="AS11725" s="19"/>
      <c r="AT11725" s="19"/>
      <c r="AU11725" s="19"/>
    </row>
    <row r="11726" spans="3:47">
      <c r="C11726" s="20"/>
      <c r="Z11726" s="20"/>
      <c r="AG11726" s="20"/>
      <c r="AQ11726" s="19"/>
      <c r="AR11726" s="19"/>
      <c r="AS11726" s="19"/>
      <c r="AT11726" s="19"/>
      <c r="AU11726" s="19"/>
    </row>
    <row r="11727" spans="3:47">
      <c r="C11727" s="20"/>
      <c r="Z11727" s="20"/>
      <c r="AG11727" s="20"/>
      <c r="AQ11727" s="19"/>
      <c r="AR11727" s="19"/>
      <c r="AS11727" s="19"/>
      <c r="AT11727" s="19"/>
      <c r="AU11727" s="19"/>
    </row>
    <row r="11728" spans="3:47">
      <c r="C11728" s="20"/>
      <c r="Z11728" s="20"/>
      <c r="AG11728" s="20"/>
      <c r="AQ11728" s="19"/>
      <c r="AR11728" s="19"/>
      <c r="AS11728" s="19"/>
      <c r="AT11728" s="19"/>
      <c r="AU11728" s="19"/>
    </row>
    <row r="11729" spans="3:47">
      <c r="C11729" s="20"/>
      <c r="Z11729" s="20"/>
      <c r="AG11729" s="20"/>
      <c r="AQ11729" s="19"/>
      <c r="AR11729" s="19"/>
      <c r="AS11729" s="19"/>
      <c r="AT11729" s="19"/>
      <c r="AU11729" s="19"/>
    </row>
    <row r="11730" spans="3:47">
      <c r="C11730" s="20"/>
      <c r="Z11730" s="20"/>
      <c r="AG11730" s="20"/>
      <c r="AQ11730" s="19"/>
      <c r="AR11730" s="19"/>
      <c r="AS11730" s="19"/>
      <c r="AT11730" s="19"/>
      <c r="AU11730" s="19"/>
    </row>
    <row r="11731" spans="3:47">
      <c r="C11731" s="20"/>
      <c r="Z11731" s="20"/>
      <c r="AG11731" s="20"/>
      <c r="AQ11731" s="19"/>
      <c r="AR11731" s="19"/>
      <c r="AS11731" s="19"/>
      <c r="AT11731" s="19"/>
      <c r="AU11731" s="19"/>
    </row>
    <row r="11732" spans="3:47">
      <c r="C11732" s="20"/>
      <c r="Z11732" s="20"/>
      <c r="AG11732" s="20"/>
      <c r="AQ11732" s="19"/>
      <c r="AR11732" s="19"/>
      <c r="AS11732" s="19"/>
      <c r="AT11732" s="19"/>
      <c r="AU11732" s="19"/>
    </row>
    <row r="11733" spans="3:47">
      <c r="C11733" s="20"/>
      <c r="Z11733" s="20"/>
      <c r="AG11733" s="20"/>
      <c r="AQ11733" s="19"/>
      <c r="AR11733" s="19"/>
      <c r="AS11733" s="19"/>
      <c r="AT11733" s="19"/>
      <c r="AU11733" s="19"/>
    </row>
    <row r="11734" spans="3:47">
      <c r="C11734" s="20"/>
      <c r="Z11734" s="20"/>
      <c r="AG11734" s="20"/>
      <c r="AQ11734" s="19"/>
      <c r="AR11734" s="19"/>
      <c r="AS11734" s="19"/>
      <c r="AT11734" s="19"/>
      <c r="AU11734" s="19"/>
    </row>
    <row r="11735" spans="3:47">
      <c r="C11735" s="20"/>
      <c r="Z11735" s="20"/>
      <c r="AG11735" s="20"/>
      <c r="AQ11735" s="19"/>
      <c r="AR11735" s="19"/>
      <c r="AS11735" s="19"/>
      <c r="AT11735" s="19"/>
      <c r="AU11735" s="19"/>
    </row>
    <row r="11736" spans="3:47">
      <c r="C11736" s="20"/>
      <c r="Z11736" s="20"/>
      <c r="AG11736" s="20"/>
      <c r="AQ11736" s="19"/>
      <c r="AR11736" s="19"/>
      <c r="AS11736" s="19"/>
      <c r="AT11736" s="19"/>
      <c r="AU11736" s="19"/>
    </row>
    <row r="11737" spans="3:47">
      <c r="C11737" s="20"/>
      <c r="Z11737" s="20"/>
      <c r="AG11737" s="20"/>
      <c r="AQ11737" s="19"/>
      <c r="AR11737" s="19"/>
      <c r="AS11737" s="19"/>
      <c r="AT11737" s="19"/>
      <c r="AU11737" s="19"/>
    </row>
    <row r="11738" spans="3:47">
      <c r="C11738" s="20"/>
      <c r="Z11738" s="20"/>
      <c r="AG11738" s="20"/>
      <c r="AQ11738" s="19"/>
      <c r="AR11738" s="19"/>
      <c r="AS11738" s="19"/>
      <c r="AT11738" s="19"/>
      <c r="AU11738" s="19"/>
    </row>
    <row r="11739" spans="3:47">
      <c r="C11739" s="20"/>
      <c r="Z11739" s="20"/>
      <c r="AG11739" s="20"/>
      <c r="AQ11739" s="19"/>
      <c r="AR11739" s="19"/>
      <c r="AS11739" s="19"/>
      <c r="AT11739" s="19"/>
      <c r="AU11739" s="19"/>
    </row>
    <row r="11740" spans="3:47">
      <c r="C11740" s="20"/>
      <c r="Z11740" s="20"/>
      <c r="AG11740" s="20"/>
      <c r="AQ11740" s="19"/>
      <c r="AR11740" s="19"/>
      <c r="AS11740" s="19"/>
      <c r="AT11740" s="19"/>
      <c r="AU11740" s="19"/>
    </row>
    <row r="11741" spans="3:47">
      <c r="C11741" s="20"/>
      <c r="Z11741" s="20"/>
      <c r="AG11741" s="20"/>
      <c r="AQ11741" s="19"/>
      <c r="AR11741" s="19"/>
      <c r="AS11741" s="19"/>
      <c r="AT11741" s="19"/>
      <c r="AU11741" s="19"/>
    </row>
    <row r="11742" spans="3:47">
      <c r="C11742" s="20"/>
      <c r="Z11742" s="20"/>
      <c r="AG11742" s="20"/>
      <c r="AQ11742" s="19"/>
      <c r="AR11742" s="19"/>
      <c r="AS11742" s="19"/>
      <c r="AT11742" s="19"/>
      <c r="AU11742" s="19"/>
    </row>
    <row r="11743" spans="3:47">
      <c r="C11743" s="20"/>
      <c r="Z11743" s="20"/>
      <c r="AG11743" s="20"/>
      <c r="AQ11743" s="19"/>
      <c r="AR11743" s="19"/>
      <c r="AS11743" s="19"/>
      <c r="AT11743" s="19"/>
      <c r="AU11743" s="19"/>
    </row>
    <row r="11744" spans="3:47">
      <c r="C11744" s="20"/>
      <c r="Z11744" s="20"/>
      <c r="AG11744" s="20"/>
      <c r="AQ11744" s="19"/>
      <c r="AR11744" s="19"/>
      <c r="AS11744" s="19"/>
      <c r="AT11744" s="19"/>
      <c r="AU11744" s="19"/>
    </row>
    <row r="11745" spans="3:47">
      <c r="C11745" s="20"/>
      <c r="Z11745" s="20"/>
      <c r="AG11745" s="20"/>
      <c r="AQ11745" s="19"/>
      <c r="AR11745" s="19"/>
      <c r="AS11745" s="19"/>
      <c r="AT11745" s="19"/>
      <c r="AU11745" s="19"/>
    </row>
    <row r="11746" spans="3:47">
      <c r="C11746" s="20"/>
      <c r="Z11746" s="20"/>
      <c r="AG11746" s="20"/>
      <c r="AQ11746" s="19"/>
      <c r="AR11746" s="19"/>
      <c r="AS11746" s="19"/>
      <c r="AT11746" s="19"/>
      <c r="AU11746" s="19"/>
    </row>
    <row r="11747" spans="3:47">
      <c r="C11747" s="20"/>
      <c r="Z11747" s="20"/>
      <c r="AG11747" s="20"/>
      <c r="AQ11747" s="19"/>
      <c r="AR11747" s="19"/>
      <c r="AS11747" s="19"/>
      <c r="AT11747" s="19"/>
      <c r="AU11747" s="19"/>
    </row>
    <row r="11748" spans="3:47">
      <c r="C11748" s="20"/>
      <c r="Z11748" s="20"/>
      <c r="AG11748" s="20"/>
      <c r="AQ11748" s="19"/>
      <c r="AR11748" s="19"/>
      <c r="AS11748" s="19"/>
      <c r="AT11748" s="19"/>
      <c r="AU11748" s="19"/>
    </row>
    <row r="11749" spans="3:47">
      <c r="C11749" s="20"/>
      <c r="Z11749" s="20"/>
      <c r="AG11749" s="20"/>
      <c r="AQ11749" s="19"/>
      <c r="AR11749" s="19"/>
      <c r="AS11749" s="19"/>
      <c r="AT11749" s="19"/>
      <c r="AU11749" s="19"/>
    </row>
    <row r="11750" spans="3:47">
      <c r="C11750" s="20"/>
      <c r="Z11750" s="20"/>
      <c r="AG11750" s="20"/>
      <c r="AQ11750" s="19"/>
      <c r="AR11750" s="19"/>
      <c r="AS11750" s="19"/>
      <c r="AT11750" s="19"/>
      <c r="AU11750" s="19"/>
    </row>
    <row r="11751" spans="3:47">
      <c r="C11751" s="20"/>
      <c r="Z11751" s="20"/>
      <c r="AG11751" s="20"/>
      <c r="AQ11751" s="19"/>
      <c r="AR11751" s="19"/>
      <c r="AS11751" s="19"/>
      <c r="AT11751" s="19"/>
      <c r="AU11751" s="19"/>
    </row>
    <row r="11752" spans="3:47">
      <c r="C11752" s="20"/>
      <c r="Z11752" s="20"/>
      <c r="AG11752" s="20"/>
      <c r="AQ11752" s="19"/>
      <c r="AR11752" s="19"/>
      <c r="AS11752" s="19"/>
      <c r="AT11752" s="19"/>
      <c r="AU11752" s="19"/>
    </row>
    <row r="11753" spans="3:47">
      <c r="C11753" s="20"/>
      <c r="Z11753" s="20"/>
      <c r="AG11753" s="20"/>
      <c r="AQ11753" s="19"/>
      <c r="AR11753" s="19"/>
      <c r="AS11753" s="19"/>
      <c r="AT11753" s="19"/>
      <c r="AU11753" s="19"/>
    </row>
    <row r="11754" spans="3:47">
      <c r="C11754" s="20"/>
      <c r="Z11754" s="20"/>
      <c r="AG11754" s="20"/>
      <c r="AQ11754" s="19"/>
      <c r="AR11754" s="19"/>
      <c r="AS11754" s="19"/>
      <c r="AT11754" s="19"/>
      <c r="AU11754" s="19"/>
    </row>
    <row r="11755" spans="3:47">
      <c r="C11755" s="20"/>
      <c r="Z11755" s="20"/>
      <c r="AG11755" s="20"/>
      <c r="AQ11755" s="19"/>
      <c r="AR11755" s="19"/>
      <c r="AS11755" s="19"/>
      <c r="AT11755" s="19"/>
      <c r="AU11755" s="19"/>
    </row>
    <row r="11756" spans="3:47">
      <c r="C11756" s="20"/>
      <c r="Z11756" s="20"/>
      <c r="AG11756" s="20"/>
      <c r="AQ11756" s="19"/>
      <c r="AR11756" s="19"/>
      <c r="AS11756" s="19"/>
      <c r="AT11756" s="19"/>
      <c r="AU11756" s="19"/>
    </row>
    <row r="11757" spans="3:47">
      <c r="C11757" s="20"/>
      <c r="Z11757" s="20"/>
      <c r="AG11757" s="20"/>
      <c r="AQ11757" s="19"/>
      <c r="AR11757" s="19"/>
      <c r="AS11757" s="19"/>
      <c r="AT11757" s="19"/>
      <c r="AU11757" s="19"/>
    </row>
    <row r="11758" spans="3:47">
      <c r="C11758" s="20"/>
      <c r="Z11758" s="20"/>
      <c r="AG11758" s="20"/>
      <c r="AQ11758" s="19"/>
      <c r="AR11758" s="19"/>
      <c r="AS11758" s="19"/>
      <c r="AT11758" s="19"/>
      <c r="AU11758" s="19"/>
    </row>
    <row r="11759" spans="3:47">
      <c r="C11759" s="20"/>
      <c r="Z11759" s="20"/>
      <c r="AG11759" s="20"/>
      <c r="AQ11759" s="19"/>
      <c r="AR11759" s="19"/>
      <c r="AS11759" s="19"/>
      <c r="AT11759" s="19"/>
      <c r="AU11759" s="19"/>
    </row>
    <row r="11760" spans="3:47">
      <c r="C11760" s="20"/>
      <c r="Z11760" s="20"/>
      <c r="AG11760" s="20"/>
      <c r="AQ11760" s="19"/>
      <c r="AR11760" s="19"/>
      <c r="AS11760" s="19"/>
      <c r="AT11760" s="19"/>
      <c r="AU11760" s="19"/>
    </row>
    <row r="11761" spans="3:47">
      <c r="C11761" s="20"/>
      <c r="Z11761" s="20"/>
      <c r="AG11761" s="20"/>
      <c r="AQ11761" s="19"/>
      <c r="AR11761" s="19"/>
      <c r="AS11761" s="19"/>
      <c r="AT11761" s="19"/>
      <c r="AU11761" s="19"/>
    </row>
    <row r="11762" spans="3:47">
      <c r="C11762" s="20"/>
      <c r="Z11762" s="20"/>
      <c r="AG11762" s="20"/>
      <c r="AQ11762" s="19"/>
      <c r="AR11762" s="19"/>
      <c r="AS11762" s="19"/>
      <c r="AT11762" s="19"/>
      <c r="AU11762" s="19"/>
    </row>
    <row r="11763" spans="3:47">
      <c r="C11763" s="20"/>
      <c r="Z11763" s="20"/>
      <c r="AG11763" s="20"/>
      <c r="AQ11763" s="19"/>
      <c r="AR11763" s="19"/>
      <c r="AS11763" s="19"/>
      <c r="AT11763" s="19"/>
      <c r="AU11763" s="19"/>
    </row>
    <row r="11764" spans="3:47">
      <c r="C11764" s="20"/>
      <c r="Z11764" s="20"/>
      <c r="AG11764" s="20"/>
      <c r="AQ11764" s="19"/>
      <c r="AR11764" s="19"/>
      <c r="AS11764" s="19"/>
      <c r="AT11764" s="19"/>
      <c r="AU11764" s="19"/>
    </row>
    <row r="11765" spans="3:47">
      <c r="C11765" s="20"/>
      <c r="Z11765" s="20"/>
      <c r="AG11765" s="20"/>
      <c r="AQ11765" s="19"/>
      <c r="AR11765" s="19"/>
      <c r="AS11765" s="19"/>
      <c r="AT11765" s="19"/>
      <c r="AU11765" s="19"/>
    </row>
    <row r="11766" spans="3:47">
      <c r="C11766" s="20"/>
      <c r="Z11766" s="20"/>
      <c r="AG11766" s="20"/>
      <c r="AQ11766" s="19"/>
      <c r="AR11766" s="19"/>
      <c r="AS11766" s="19"/>
      <c r="AT11766" s="19"/>
      <c r="AU11766" s="19"/>
    </row>
    <row r="11767" spans="3:47">
      <c r="C11767" s="20"/>
      <c r="Z11767" s="20"/>
      <c r="AG11767" s="20"/>
      <c r="AQ11767" s="19"/>
      <c r="AR11767" s="19"/>
      <c r="AS11767" s="19"/>
      <c r="AT11767" s="19"/>
      <c r="AU11767" s="19"/>
    </row>
    <row r="11768" spans="3:47">
      <c r="C11768" s="20"/>
      <c r="Z11768" s="20"/>
      <c r="AG11768" s="20"/>
      <c r="AQ11768" s="19"/>
      <c r="AR11768" s="19"/>
      <c r="AS11768" s="19"/>
      <c r="AT11768" s="19"/>
      <c r="AU11768" s="19"/>
    </row>
    <row r="11769" spans="3:47">
      <c r="C11769" s="20"/>
      <c r="Z11769" s="20"/>
      <c r="AG11769" s="20"/>
      <c r="AQ11769" s="19"/>
      <c r="AR11769" s="19"/>
      <c r="AS11769" s="19"/>
      <c r="AT11769" s="19"/>
      <c r="AU11769" s="19"/>
    </row>
    <row r="11770" spans="3:47">
      <c r="C11770" s="20"/>
      <c r="Z11770" s="20"/>
      <c r="AG11770" s="20"/>
      <c r="AQ11770" s="19"/>
      <c r="AR11770" s="19"/>
      <c r="AS11770" s="19"/>
      <c r="AT11770" s="19"/>
      <c r="AU11770" s="19"/>
    </row>
    <row r="11771" spans="3:47">
      <c r="C11771" s="20"/>
      <c r="Z11771" s="20"/>
      <c r="AG11771" s="20"/>
      <c r="AQ11771" s="19"/>
      <c r="AR11771" s="19"/>
      <c r="AS11771" s="19"/>
      <c r="AT11771" s="19"/>
      <c r="AU11771" s="19"/>
    </row>
    <row r="11772" spans="3:47">
      <c r="C11772" s="20"/>
      <c r="Z11772" s="20"/>
      <c r="AG11772" s="20"/>
      <c r="AQ11772" s="19"/>
      <c r="AR11772" s="19"/>
      <c r="AS11772" s="19"/>
      <c r="AT11772" s="19"/>
      <c r="AU11772" s="19"/>
    </row>
    <row r="11773" spans="3:47">
      <c r="C11773" s="20"/>
      <c r="Z11773" s="20"/>
      <c r="AG11773" s="20"/>
      <c r="AQ11773" s="19"/>
      <c r="AR11773" s="19"/>
      <c r="AS11773" s="19"/>
      <c r="AT11773" s="19"/>
      <c r="AU11773" s="19"/>
    </row>
    <row r="11774" spans="3:47">
      <c r="C11774" s="20"/>
      <c r="Z11774" s="20"/>
      <c r="AG11774" s="20"/>
      <c r="AQ11774" s="19"/>
      <c r="AR11774" s="19"/>
      <c r="AS11774" s="19"/>
      <c r="AT11774" s="19"/>
      <c r="AU11774" s="19"/>
    </row>
    <row r="11775" spans="3:47">
      <c r="C11775" s="20"/>
      <c r="Z11775" s="20"/>
      <c r="AG11775" s="20"/>
      <c r="AQ11775" s="19"/>
      <c r="AR11775" s="19"/>
      <c r="AS11775" s="19"/>
      <c r="AT11775" s="19"/>
      <c r="AU11775" s="19"/>
    </row>
    <row r="11776" spans="3:47">
      <c r="C11776" s="20"/>
      <c r="Z11776" s="20"/>
      <c r="AG11776" s="20"/>
      <c r="AQ11776" s="19"/>
      <c r="AR11776" s="19"/>
      <c r="AS11776" s="19"/>
      <c r="AT11776" s="19"/>
      <c r="AU11776" s="19"/>
    </row>
    <row r="11777" spans="3:47">
      <c r="C11777" s="20"/>
      <c r="Z11777" s="20"/>
      <c r="AG11777" s="20"/>
      <c r="AQ11777" s="19"/>
      <c r="AR11777" s="19"/>
      <c r="AS11777" s="19"/>
      <c r="AT11777" s="19"/>
      <c r="AU11777" s="19"/>
    </row>
    <row r="11778" spans="3:47">
      <c r="C11778" s="20"/>
      <c r="Z11778" s="20"/>
      <c r="AG11778" s="20"/>
      <c r="AQ11778" s="19"/>
      <c r="AR11778" s="19"/>
      <c r="AS11778" s="19"/>
      <c r="AT11778" s="19"/>
      <c r="AU11778" s="19"/>
    </row>
    <row r="11779" spans="3:47">
      <c r="C11779" s="20"/>
      <c r="Z11779" s="20"/>
      <c r="AG11779" s="20"/>
      <c r="AQ11779" s="19"/>
      <c r="AR11779" s="19"/>
      <c r="AS11779" s="19"/>
      <c r="AT11779" s="19"/>
      <c r="AU11779" s="19"/>
    </row>
    <row r="11780" spans="3:47">
      <c r="C11780" s="20"/>
      <c r="Z11780" s="20"/>
      <c r="AG11780" s="20"/>
      <c r="AQ11780" s="19"/>
      <c r="AR11780" s="19"/>
      <c r="AS11780" s="19"/>
      <c r="AT11780" s="19"/>
      <c r="AU11780" s="19"/>
    </row>
    <row r="11781" spans="3:47">
      <c r="C11781" s="20"/>
      <c r="Z11781" s="20"/>
      <c r="AG11781" s="20"/>
      <c r="AQ11781" s="19"/>
      <c r="AR11781" s="19"/>
      <c r="AS11781" s="19"/>
      <c r="AT11781" s="19"/>
      <c r="AU11781" s="19"/>
    </row>
    <row r="11782" spans="3:47">
      <c r="C11782" s="20"/>
      <c r="Z11782" s="20"/>
      <c r="AG11782" s="20"/>
      <c r="AQ11782" s="19"/>
      <c r="AR11782" s="19"/>
      <c r="AS11782" s="19"/>
      <c r="AT11782" s="19"/>
      <c r="AU11782" s="19"/>
    </row>
    <row r="11783" spans="3:47">
      <c r="C11783" s="20"/>
      <c r="Z11783" s="20"/>
      <c r="AG11783" s="20"/>
      <c r="AQ11783" s="19"/>
      <c r="AR11783" s="19"/>
      <c r="AS11783" s="19"/>
      <c r="AT11783" s="19"/>
      <c r="AU11783" s="19"/>
    </row>
    <row r="11784" spans="3:47">
      <c r="C11784" s="20"/>
      <c r="Z11784" s="20"/>
      <c r="AG11784" s="20"/>
      <c r="AQ11784" s="19"/>
      <c r="AR11784" s="19"/>
      <c r="AS11784" s="19"/>
      <c r="AT11784" s="19"/>
      <c r="AU11784" s="19"/>
    </row>
    <row r="11785" spans="3:47">
      <c r="C11785" s="20"/>
      <c r="Z11785" s="20"/>
      <c r="AG11785" s="20"/>
      <c r="AQ11785" s="19"/>
      <c r="AR11785" s="19"/>
      <c r="AS11785" s="19"/>
      <c r="AT11785" s="19"/>
      <c r="AU11785" s="19"/>
    </row>
    <row r="11786" spans="3:47">
      <c r="C11786" s="20"/>
      <c r="Z11786" s="20"/>
      <c r="AG11786" s="20"/>
      <c r="AQ11786" s="19"/>
      <c r="AR11786" s="19"/>
      <c r="AS11786" s="19"/>
      <c r="AT11786" s="19"/>
      <c r="AU11786" s="19"/>
    </row>
    <row r="11787" spans="3:47">
      <c r="C11787" s="20"/>
      <c r="Z11787" s="20"/>
      <c r="AG11787" s="20"/>
      <c r="AQ11787" s="19"/>
      <c r="AR11787" s="19"/>
      <c r="AS11787" s="19"/>
      <c r="AT11787" s="19"/>
      <c r="AU11787" s="19"/>
    </row>
    <row r="11788" spans="3:47">
      <c r="C11788" s="20"/>
      <c r="Z11788" s="20"/>
      <c r="AG11788" s="20"/>
      <c r="AQ11788" s="19"/>
      <c r="AR11788" s="19"/>
      <c r="AS11788" s="19"/>
      <c r="AT11788" s="19"/>
      <c r="AU11788" s="19"/>
    </row>
    <row r="11789" spans="3:47">
      <c r="C11789" s="20"/>
      <c r="Z11789" s="20"/>
      <c r="AG11789" s="20"/>
      <c r="AQ11789" s="19"/>
      <c r="AR11789" s="19"/>
      <c r="AS11789" s="19"/>
      <c r="AT11789" s="19"/>
      <c r="AU11789" s="19"/>
    </row>
    <row r="11790" spans="3:47">
      <c r="C11790" s="20"/>
      <c r="Z11790" s="20"/>
      <c r="AG11790" s="20"/>
      <c r="AQ11790" s="19"/>
      <c r="AR11790" s="19"/>
      <c r="AS11790" s="19"/>
      <c r="AT11790" s="19"/>
      <c r="AU11790" s="19"/>
    </row>
    <row r="11791" spans="3:47">
      <c r="C11791" s="20"/>
      <c r="Z11791" s="20"/>
      <c r="AG11791" s="20"/>
      <c r="AQ11791" s="19"/>
      <c r="AR11791" s="19"/>
      <c r="AS11791" s="19"/>
      <c r="AT11791" s="19"/>
      <c r="AU11791" s="19"/>
    </row>
    <row r="11792" spans="3:47">
      <c r="C11792" s="20"/>
      <c r="Z11792" s="20"/>
      <c r="AG11792" s="20"/>
      <c r="AQ11792" s="19"/>
      <c r="AR11792" s="19"/>
      <c r="AS11792" s="19"/>
      <c r="AT11792" s="19"/>
      <c r="AU11792" s="19"/>
    </row>
    <row r="11793" spans="3:47">
      <c r="C11793" s="20"/>
      <c r="Z11793" s="20"/>
      <c r="AG11793" s="20"/>
      <c r="AQ11793" s="19"/>
      <c r="AR11793" s="19"/>
      <c r="AS11793" s="19"/>
      <c r="AT11793" s="19"/>
      <c r="AU11793" s="19"/>
    </row>
    <row r="11794" spans="3:47">
      <c r="C11794" s="20"/>
      <c r="Z11794" s="20"/>
      <c r="AG11794" s="20"/>
      <c r="AQ11794" s="19"/>
      <c r="AR11794" s="19"/>
      <c r="AS11794" s="19"/>
      <c r="AT11794" s="19"/>
      <c r="AU11794" s="19"/>
    </row>
    <row r="11795" spans="3:47">
      <c r="C11795" s="20"/>
      <c r="Z11795" s="20"/>
      <c r="AG11795" s="20"/>
      <c r="AQ11795" s="19"/>
      <c r="AR11795" s="19"/>
      <c r="AS11795" s="19"/>
      <c r="AT11795" s="19"/>
      <c r="AU11795" s="19"/>
    </row>
    <row r="11796" spans="3:47">
      <c r="C11796" s="20"/>
      <c r="Z11796" s="20"/>
      <c r="AG11796" s="20"/>
      <c r="AQ11796" s="19"/>
      <c r="AR11796" s="19"/>
      <c r="AS11796" s="19"/>
      <c r="AT11796" s="19"/>
      <c r="AU11796" s="19"/>
    </row>
    <row r="11797" spans="3:47">
      <c r="C11797" s="20"/>
      <c r="Z11797" s="20"/>
      <c r="AG11797" s="20"/>
      <c r="AQ11797" s="19"/>
      <c r="AR11797" s="19"/>
      <c r="AS11797" s="19"/>
      <c r="AT11797" s="19"/>
      <c r="AU11797" s="19"/>
    </row>
    <row r="11798" spans="3:47">
      <c r="C11798" s="20"/>
      <c r="Z11798" s="20"/>
      <c r="AG11798" s="20"/>
      <c r="AQ11798" s="19"/>
      <c r="AR11798" s="19"/>
      <c r="AS11798" s="19"/>
      <c r="AT11798" s="19"/>
      <c r="AU11798" s="19"/>
    </row>
    <row r="11799" spans="3:47">
      <c r="C11799" s="20"/>
      <c r="Z11799" s="20"/>
      <c r="AG11799" s="20"/>
      <c r="AQ11799" s="19"/>
      <c r="AR11799" s="19"/>
      <c r="AS11799" s="19"/>
      <c r="AT11799" s="19"/>
      <c r="AU11799" s="19"/>
    </row>
    <row r="11800" spans="3:47">
      <c r="C11800" s="20"/>
      <c r="Z11800" s="20"/>
      <c r="AG11800" s="20"/>
      <c r="AQ11800" s="19"/>
      <c r="AR11800" s="19"/>
      <c r="AS11800" s="19"/>
      <c r="AT11800" s="19"/>
      <c r="AU11800" s="19"/>
    </row>
    <row r="11801" spans="3:47">
      <c r="C11801" s="20"/>
      <c r="Z11801" s="20"/>
      <c r="AG11801" s="20"/>
      <c r="AQ11801" s="19"/>
      <c r="AR11801" s="19"/>
      <c r="AS11801" s="19"/>
      <c r="AT11801" s="19"/>
      <c r="AU11801" s="19"/>
    </row>
    <row r="11802" spans="3:47">
      <c r="C11802" s="20"/>
      <c r="Z11802" s="20"/>
      <c r="AG11802" s="20"/>
      <c r="AQ11802" s="19"/>
      <c r="AR11802" s="19"/>
      <c r="AS11802" s="19"/>
      <c r="AT11802" s="19"/>
      <c r="AU11802" s="19"/>
    </row>
    <row r="11803" spans="3:47">
      <c r="C11803" s="20"/>
      <c r="Z11803" s="20"/>
      <c r="AG11803" s="20"/>
      <c r="AQ11803" s="19"/>
      <c r="AR11803" s="19"/>
      <c r="AS11803" s="19"/>
      <c r="AT11803" s="19"/>
      <c r="AU11803" s="19"/>
    </row>
    <row r="11804" spans="3:47">
      <c r="C11804" s="20"/>
      <c r="Z11804" s="20"/>
      <c r="AG11804" s="20"/>
      <c r="AQ11804" s="19"/>
      <c r="AR11804" s="19"/>
      <c r="AS11804" s="19"/>
      <c r="AT11804" s="19"/>
      <c r="AU11804" s="19"/>
    </row>
    <row r="11805" spans="3:47">
      <c r="C11805" s="20"/>
      <c r="Z11805" s="20"/>
      <c r="AG11805" s="20"/>
      <c r="AQ11805" s="19"/>
      <c r="AR11805" s="19"/>
      <c r="AS11805" s="19"/>
      <c r="AT11805" s="19"/>
      <c r="AU11805" s="19"/>
    </row>
    <row r="11806" spans="3:47">
      <c r="C11806" s="20"/>
      <c r="Z11806" s="20"/>
      <c r="AG11806" s="20"/>
      <c r="AQ11806" s="19"/>
      <c r="AR11806" s="19"/>
      <c r="AS11806" s="19"/>
      <c r="AT11806" s="19"/>
      <c r="AU11806" s="19"/>
    </row>
    <row r="11807" spans="3:47">
      <c r="C11807" s="20"/>
      <c r="Z11807" s="20"/>
      <c r="AG11807" s="20"/>
      <c r="AQ11807" s="19"/>
      <c r="AR11807" s="19"/>
      <c r="AS11807" s="19"/>
      <c r="AT11807" s="19"/>
      <c r="AU11807" s="19"/>
    </row>
    <row r="11808" spans="3:47">
      <c r="C11808" s="20"/>
      <c r="Z11808" s="20"/>
      <c r="AG11808" s="20"/>
      <c r="AQ11808" s="19"/>
      <c r="AR11808" s="19"/>
      <c r="AS11808" s="19"/>
      <c r="AT11808" s="19"/>
      <c r="AU11808" s="19"/>
    </row>
    <row r="11809" spans="3:47">
      <c r="C11809" s="20"/>
      <c r="Z11809" s="20"/>
      <c r="AG11809" s="20"/>
      <c r="AQ11809" s="19"/>
      <c r="AR11809" s="19"/>
      <c r="AS11809" s="19"/>
      <c r="AT11809" s="19"/>
      <c r="AU11809" s="19"/>
    </row>
    <row r="11810" spans="3:47">
      <c r="C11810" s="20"/>
      <c r="Z11810" s="20"/>
      <c r="AG11810" s="20"/>
      <c r="AQ11810" s="19"/>
      <c r="AR11810" s="19"/>
      <c r="AS11810" s="19"/>
      <c r="AT11810" s="19"/>
      <c r="AU11810" s="19"/>
    </row>
    <row r="11811" spans="3:47">
      <c r="C11811" s="20"/>
      <c r="Z11811" s="20"/>
      <c r="AG11811" s="20"/>
      <c r="AQ11811" s="19"/>
      <c r="AR11811" s="19"/>
      <c r="AS11811" s="19"/>
      <c r="AT11811" s="19"/>
      <c r="AU11811" s="19"/>
    </row>
    <row r="11812" spans="3:47">
      <c r="C11812" s="20"/>
      <c r="Z11812" s="20"/>
      <c r="AG11812" s="20"/>
      <c r="AQ11812" s="19"/>
      <c r="AR11812" s="19"/>
      <c r="AS11812" s="19"/>
      <c r="AT11812" s="19"/>
      <c r="AU11812" s="19"/>
    </row>
    <row r="11813" spans="3:47">
      <c r="C11813" s="20"/>
      <c r="Z11813" s="20"/>
      <c r="AG11813" s="20"/>
      <c r="AQ11813" s="19"/>
      <c r="AR11813" s="19"/>
      <c r="AS11813" s="19"/>
      <c r="AT11813" s="19"/>
      <c r="AU11813" s="19"/>
    </row>
    <row r="11814" spans="3:47">
      <c r="C11814" s="20"/>
      <c r="Z11814" s="20"/>
      <c r="AG11814" s="20"/>
      <c r="AQ11814" s="19"/>
      <c r="AR11814" s="19"/>
      <c r="AS11814" s="19"/>
      <c r="AT11814" s="19"/>
      <c r="AU11814" s="19"/>
    </row>
    <row r="11815" spans="3:47">
      <c r="C11815" s="20"/>
      <c r="Z11815" s="20"/>
      <c r="AG11815" s="20"/>
      <c r="AQ11815" s="19"/>
      <c r="AR11815" s="19"/>
      <c r="AS11815" s="19"/>
      <c r="AT11815" s="19"/>
      <c r="AU11815" s="19"/>
    </row>
    <row r="11816" spans="3:47">
      <c r="C11816" s="20"/>
      <c r="Z11816" s="20"/>
      <c r="AG11816" s="20"/>
      <c r="AQ11816" s="19"/>
      <c r="AR11816" s="19"/>
      <c r="AS11816" s="19"/>
      <c r="AT11816" s="19"/>
      <c r="AU11816" s="19"/>
    </row>
    <row r="11817" spans="3:47">
      <c r="C11817" s="20"/>
      <c r="Z11817" s="20"/>
      <c r="AG11817" s="20"/>
      <c r="AQ11817" s="19"/>
      <c r="AR11817" s="19"/>
      <c r="AS11817" s="19"/>
      <c r="AT11817" s="19"/>
      <c r="AU11817" s="19"/>
    </row>
    <row r="11818" spans="3:47">
      <c r="C11818" s="20"/>
      <c r="Z11818" s="20"/>
      <c r="AG11818" s="20"/>
      <c r="AQ11818" s="19"/>
      <c r="AR11818" s="19"/>
      <c r="AS11818" s="19"/>
      <c r="AT11818" s="19"/>
      <c r="AU11818" s="19"/>
    </row>
    <row r="11819" spans="3:47">
      <c r="C11819" s="20"/>
      <c r="Z11819" s="20"/>
      <c r="AG11819" s="20"/>
      <c r="AQ11819" s="19"/>
      <c r="AR11819" s="19"/>
      <c r="AS11819" s="19"/>
      <c r="AT11819" s="19"/>
      <c r="AU11819" s="19"/>
    </row>
    <row r="11820" spans="3:47">
      <c r="C11820" s="20"/>
      <c r="Z11820" s="20"/>
      <c r="AG11820" s="20"/>
      <c r="AQ11820" s="19"/>
      <c r="AR11820" s="19"/>
      <c r="AS11820" s="19"/>
      <c r="AT11820" s="19"/>
      <c r="AU11820" s="19"/>
    </row>
    <row r="11821" spans="3:47">
      <c r="C11821" s="20"/>
      <c r="Z11821" s="20"/>
      <c r="AG11821" s="20"/>
      <c r="AQ11821" s="19"/>
      <c r="AR11821" s="19"/>
      <c r="AS11821" s="19"/>
      <c r="AT11821" s="19"/>
      <c r="AU11821" s="19"/>
    </row>
    <row r="11822" spans="3:47">
      <c r="C11822" s="20"/>
      <c r="Z11822" s="20"/>
      <c r="AG11822" s="20"/>
      <c r="AQ11822" s="19"/>
      <c r="AR11822" s="19"/>
      <c r="AS11822" s="19"/>
      <c r="AT11822" s="19"/>
      <c r="AU11822" s="19"/>
    </row>
    <row r="11823" spans="3:47">
      <c r="C11823" s="20"/>
      <c r="Z11823" s="20"/>
      <c r="AG11823" s="20"/>
      <c r="AQ11823" s="19"/>
      <c r="AR11823" s="19"/>
      <c r="AS11823" s="19"/>
      <c r="AT11823" s="19"/>
      <c r="AU11823" s="19"/>
    </row>
    <row r="11824" spans="3:47">
      <c r="C11824" s="20"/>
      <c r="Z11824" s="20"/>
      <c r="AG11824" s="20"/>
      <c r="AQ11824" s="19"/>
      <c r="AR11824" s="19"/>
      <c r="AS11824" s="19"/>
      <c r="AT11824" s="19"/>
      <c r="AU11824" s="19"/>
    </row>
    <row r="11825" spans="3:47">
      <c r="C11825" s="20"/>
      <c r="Z11825" s="20"/>
      <c r="AG11825" s="20"/>
      <c r="AQ11825" s="19"/>
      <c r="AR11825" s="19"/>
      <c r="AS11825" s="19"/>
      <c r="AT11825" s="19"/>
      <c r="AU11825" s="19"/>
    </row>
    <row r="11826" spans="3:47">
      <c r="C11826" s="20"/>
      <c r="Z11826" s="20"/>
      <c r="AG11826" s="20"/>
      <c r="AQ11826" s="19"/>
      <c r="AR11826" s="19"/>
      <c r="AS11826" s="19"/>
      <c r="AT11826" s="19"/>
      <c r="AU11826" s="19"/>
    </row>
    <row r="11827" spans="3:47">
      <c r="C11827" s="20"/>
      <c r="Z11827" s="20"/>
      <c r="AG11827" s="20"/>
      <c r="AQ11827" s="19"/>
      <c r="AR11827" s="19"/>
      <c r="AS11827" s="19"/>
      <c r="AT11827" s="19"/>
      <c r="AU11827" s="19"/>
    </row>
    <row r="11828" spans="3:47">
      <c r="C11828" s="20"/>
      <c r="Z11828" s="20"/>
      <c r="AG11828" s="20"/>
      <c r="AQ11828" s="19"/>
      <c r="AR11828" s="19"/>
      <c r="AS11828" s="19"/>
      <c r="AT11828" s="19"/>
      <c r="AU11828" s="19"/>
    </row>
    <row r="11829" spans="3:47">
      <c r="C11829" s="20"/>
      <c r="Z11829" s="20"/>
      <c r="AG11829" s="20"/>
      <c r="AQ11829" s="19"/>
      <c r="AR11829" s="19"/>
      <c r="AS11829" s="19"/>
      <c r="AT11829" s="19"/>
      <c r="AU11829" s="19"/>
    </row>
    <row r="11830" spans="3:47">
      <c r="C11830" s="20"/>
      <c r="Z11830" s="20"/>
      <c r="AG11830" s="20"/>
      <c r="AQ11830" s="19"/>
      <c r="AR11830" s="19"/>
      <c r="AS11830" s="19"/>
      <c r="AT11830" s="19"/>
      <c r="AU11830" s="19"/>
    </row>
    <row r="11831" spans="3:47">
      <c r="C11831" s="20"/>
      <c r="Z11831" s="20"/>
      <c r="AG11831" s="20"/>
      <c r="AQ11831" s="19"/>
      <c r="AR11831" s="19"/>
      <c r="AS11831" s="19"/>
      <c r="AT11831" s="19"/>
      <c r="AU11831" s="19"/>
    </row>
    <row r="11832" spans="3:47">
      <c r="C11832" s="20"/>
      <c r="Z11832" s="20"/>
      <c r="AG11832" s="20"/>
      <c r="AQ11832" s="19"/>
      <c r="AR11832" s="19"/>
      <c r="AS11832" s="19"/>
      <c r="AT11832" s="19"/>
      <c r="AU11832" s="19"/>
    </row>
    <row r="11833" spans="3:47">
      <c r="C11833" s="20"/>
      <c r="Z11833" s="20"/>
      <c r="AG11833" s="20"/>
      <c r="AQ11833" s="19"/>
      <c r="AR11833" s="19"/>
      <c r="AS11833" s="19"/>
      <c r="AT11833" s="19"/>
      <c r="AU11833" s="19"/>
    </row>
    <row r="11834" spans="3:47">
      <c r="C11834" s="20"/>
      <c r="Z11834" s="20"/>
      <c r="AG11834" s="20"/>
      <c r="AQ11834" s="19"/>
      <c r="AR11834" s="19"/>
      <c r="AS11834" s="19"/>
      <c r="AT11834" s="19"/>
      <c r="AU11834" s="19"/>
    </row>
    <row r="11835" spans="3:47">
      <c r="C11835" s="20"/>
      <c r="Z11835" s="20"/>
      <c r="AG11835" s="20"/>
      <c r="AQ11835" s="19"/>
      <c r="AR11835" s="19"/>
      <c r="AS11835" s="19"/>
      <c r="AT11835" s="19"/>
      <c r="AU11835" s="19"/>
    </row>
    <row r="11836" spans="3:47">
      <c r="C11836" s="20"/>
      <c r="Z11836" s="20"/>
      <c r="AG11836" s="20"/>
      <c r="AQ11836" s="19"/>
      <c r="AR11836" s="19"/>
      <c r="AS11836" s="19"/>
      <c r="AT11836" s="19"/>
      <c r="AU11836" s="19"/>
    </row>
    <row r="11837" spans="3:47">
      <c r="C11837" s="20"/>
      <c r="Z11837" s="20"/>
      <c r="AG11837" s="20"/>
      <c r="AQ11837" s="19"/>
      <c r="AR11837" s="19"/>
      <c r="AS11837" s="19"/>
      <c r="AT11837" s="19"/>
      <c r="AU11837" s="19"/>
    </row>
    <row r="11838" spans="3:47">
      <c r="C11838" s="20"/>
      <c r="Z11838" s="20"/>
      <c r="AG11838" s="20"/>
      <c r="AQ11838" s="19"/>
      <c r="AR11838" s="19"/>
      <c r="AS11838" s="19"/>
      <c r="AT11838" s="19"/>
      <c r="AU11838" s="19"/>
    </row>
    <row r="11839" spans="3:47">
      <c r="C11839" s="20"/>
      <c r="Z11839" s="20"/>
      <c r="AG11839" s="20"/>
      <c r="AQ11839" s="19"/>
      <c r="AR11839" s="19"/>
      <c r="AS11839" s="19"/>
      <c r="AT11839" s="19"/>
      <c r="AU11839" s="19"/>
    </row>
    <row r="11840" spans="3:47">
      <c r="C11840" s="20"/>
      <c r="Z11840" s="20"/>
      <c r="AG11840" s="20"/>
      <c r="AQ11840" s="19"/>
      <c r="AR11840" s="19"/>
      <c r="AS11840" s="19"/>
      <c r="AT11840" s="19"/>
      <c r="AU11840" s="19"/>
    </row>
    <row r="11841" spans="3:47">
      <c r="C11841" s="20"/>
      <c r="Z11841" s="20"/>
      <c r="AG11841" s="20"/>
      <c r="AQ11841" s="19"/>
      <c r="AR11841" s="19"/>
      <c r="AS11841" s="19"/>
      <c r="AT11841" s="19"/>
      <c r="AU11841" s="19"/>
    </row>
    <row r="11842" spans="3:47">
      <c r="C11842" s="20"/>
      <c r="Z11842" s="20"/>
      <c r="AG11842" s="20"/>
      <c r="AQ11842" s="19"/>
      <c r="AR11842" s="19"/>
      <c r="AS11842" s="19"/>
      <c r="AT11842" s="19"/>
      <c r="AU11842" s="19"/>
    </row>
    <row r="11843" spans="3:47">
      <c r="C11843" s="20"/>
      <c r="Z11843" s="20"/>
      <c r="AG11843" s="20"/>
      <c r="AQ11843" s="19"/>
      <c r="AR11843" s="19"/>
      <c r="AS11843" s="19"/>
      <c r="AT11843" s="19"/>
      <c r="AU11843" s="19"/>
    </row>
    <row r="11844" spans="3:47">
      <c r="C11844" s="20"/>
      <c r="Z11844" s="20"/>
      <c r="AG11844" s="20"/>
      <c r="AQ11844" s="19"/>
      <c r="AR11844" s="19"/>
      <c r="AS11844" s="19"/>
      <c r="AT11844" s="19"/>
      <c r="AU11844" s="19"/>
    </row>
    <row r="11845" spans="3:47">
      <c r="C11845" s="20"/>
      <c r="Z11845" s="20"/>
      <c r="AG11845" s="20"/>
      <c r="AQ11845" s="19"/>
      <c r="AR11845" s="19"/>
      <c r="AS11845" s="19"/>
      <c r="AT11845" s="19"/>
      <c r="AU11845" s="19"/>
    </row>
    <row r="11846" spans="3:47">
      <c r="C11846" s="20"/>
      <c r="Z11846" s="20"/>
      <c r="AG11846" s="20"/>
      <c r="AQ11846" s="19"/>
      <c r="AR11846" s="19"/>
      <c r="AS11846" s="19"/>
      <c r="AT11846" s="19"/>
      <c r="AU11846" s="19"/>
    </row>
    <row r="11847" spans="3:47">
      <c r="C11847" s="20"/>
      <c r="Z11847" s="20"/>
      <c r="AG11847" s="20"/>
      <c r="AQ11847" s="19"/>
      <c r="AR11847" s="19"/>
      <c r="AS11847" s="19"/>
      <c r="AT11847" s="19"/>
      <c r="AU11847" s="19"/>
    </row>
    <row r="11848" spans="3:47">
      <c r="C11848" s="20"/>
      <c r="Z11848" s="20"/>
      <c r="AG11848" s="20"/>
      <c r="AQ11848" s="19"/>
      <c r="AR11848" s="19"/>
      <c r="AS11848" s="19"/>
      <c r="AT11848" s="19"/>
      <c r="AU11848" s="19"/>
    </row>
    <row r="11849" spans="3:47">
      <c r="C11849" s="20"/>
      <c r="Z11849" s="20"/>
      <c r="AG11849" s="20"/>
      <c r="AQ11849" s="19"/>
      <c r="AR11849" s="19"/>
      <c r="AS11849" s="19"/>
      <c r="AT11849" s="19"/>
      <c r="AU11849" s="19"/>
    </row>
    <row r="11850" spans="3:47">
      <c r="C11850" s="20"/>
      <c r="Z11850" s="20"/>
      <c r="AG11850" s="20"/>
      <c r="AQ11850" s="19"/>
      <c r="AR11850" s="19"/>
      <c r="AS11850" s="19"/>
      <c r="AT11850" s="19"/>
      <c r="AU11850" s="19"/>
    </row>
    <row r="11851" spans="3:47">
      <c r="C11851" s="20"/>
      <c r="Z11851" s="20"/>
      <c r="AG11851" s="20"/>
      <c r="AQ11851" s="19"/>
      <c r="AR11851" s="19"/>
      <c r="AS11851" s="19"/>
      <c r="AT11851" s="19"/>
      <c r="AU11851" s="19"/>
    </row>
    <row r="11852" spans="3:47">
      <c r="C11852" s="20"/>
      <c r="Z11852" s="20"/>
      <c r="AG11852" s="20"/>
      <c r="AQ11852" s="19"/>
      <c r="AR11852" s="19"/>
      <c r="AS11852" s="19"/>
      <c r="AT11852" s="19"/>
      <c r="AU11852" s="19"/>
    </row>
    <row r="11853" spans="3:47">
      <c r="C11853" s="20"/>
      <c r="Z11853" s="20"/>
      <c r="AG11853" s="20"/>
      <c r="AQ11853" s="19"/>
      <c r="AR11853" s="19"/>
      <c r="AS11853" s="19"/>
      <c r="AT11853" s="19"/>
      <c r="AU11853" s="19"/>
    </row>
    <row r="11854" spans="3:47">
      <c r="C11854" s="20"/>
      <c r="Z11854" s="20"/>
      <c r="AG11854" s="20"/>
      <c r="AQ11854" s="19"/>
      <c r="AR11854" s="19"/>
      <c r="AS11854" s="19"/>
      <c r="AT11854" s="19"/>
      <c r="AU11854" s="19"/>
    </row>
    <row r="11855" spans="3:47">
      <c r="C11855" s="20"/>
      <c r="Z11855" s="20"/>
      <c r="AG11855" s="20"/>
      <c r="AQ11855" s="19"/>
      <c r="AR11855" s="19"/>
      <c r="AS11855" s="19"/>
      <c r="AT11855" s="19"/>
      <c r="AU11855" s="19"/>
    </row>
    <row r="11856" spans="3:47">
      <c r="C11856" s="20"/>
      <c r="Z11856" s="20"/>
      <c r="AG11856" s="20"/>
      <c r="AQ11856" s="19"/>
      <c r="AR11856" s="19"/>
      <c r="AS11856" s="19"/>
      <c r="AT11856" s="19"/>
      <c r="AU11856" s="19"/>
    </row>
    <row r="11857" spans="3:47">
      <c r="C11857" s="20"/>
      <c r="Z11857" s="20"/>
      <c r="AG11857" s="20"/>
      <c r="AQ11857" s="19"/>
      <c r="AR11857" s="19"/>
      <c r="AS11857" s="19"/>
      <c r="AT11857" s="19"/>
      <c r="AU11857" s="19"/>
    </row>
    <row r="11858" spans="3:47">
      <c r="C11858" s="20"/>
      <c r="Z11858" s="20"/>
      <c r="AG11858" s="20"/>
      <c r="AQ11858" s="19"/>
      <c r="AR11858" s="19"/>
      <c r="AS11858" s="19"/>
      <c r="AT11858" s="19"/>
      <c r="AU11858" s="19"/>
    </row>
    <row r="11859" spans="3:47">
      <c r="C11859" s="20"/>
      <c r="Z11859" s="20"/>
      <c r="AG11859" s="20"/>
      <c r="AQ11859" s="19"/>
      <c r="AR11859" s="19"/>
      <c r="AS11859" s="19"/>
      <c r="AT11859" s="19"/>
      <c r="AU11859" s="19"/>
    </row>
    <row r="11860" spans="3:47">
      <c r="C11860" s="20"/>
      <c r="Z11860" s="20"/>
      <c r="AG11860" s="20"/>
      <c r="AQ11860" s="19"/>
      <c r="AR11860" s="19"/>
      <c r="AS11860" s="19"/>
      <c r="AT11860" s="19"/>
      <c r="AU11860" s="19"/>
    </row>
    <row r="11861" spans="3:47">
      <c r="C11861" s="20"/>
      <c r="Z11861" s="20"/>
      <c r="AG11861" s="20"/>
      <c r="AQ11861" s="19"/>
      <c r="AR11861" s="19"/>
      <c r="AS11861" s="19"/>
      <c r="AT11861" s="19"/>
      <c r="AU11861" s="19"/>
    </row>
    <row r="11862" spans="3:47">
      <c r="C11862" s="20"/>
      <c r="Z11862" s="20"/>
      <c r="AG11862" s="20"/>
      <c r="AQ11862" s="19"/>
      <c r="AR11862" s="19"/>
      <c r="AS11862" s="19"/>
      <c r="AT11862" s="19"/>
      <c r="AU11862" s="19"/>
    </row>
    <row r="11863" spans="3:47">
      <c r="C11863" s="20"/>
      <c r="Z11863" s="20"/>
      <c r="AG11863" s="20"/>
      <c r="AQ11863" s="19"/>
      <c r="AR11863" s="19"/>
      <c r="AS11863" s="19"/>
      <c r="AT11863" s="19"/>
      <c r="AU11863" s="19"/>
    </row>
    <row r="11864" spans="3:47">
      <c r="C11864" s="20"/>
      <c r="Z11864" s="20"/>
      <c r="AG11864" s="20"/>
      <c r="AQ11864" s="19"/>
      <c r="AR11864" s="19"/>
      <c r="AS11864" s="19"/>
      <c r="AT11864" s="19"/>
      <c r="AU11864" s="19"/>
    </row>
    <row r="11865" spans="3:47">
      <c r="C11865" s="20"/>
      <c r="Z11865" s="20"/>
      <c r="AG11865" s="20"/>
      <c r="AQ11865" s="19"/>
      <c r="AR11865" s="19"/>
      <c r="AS11865" s="19"/>
      <c r="AT11865" s="19"/>
      <c r="AU11865" s="19"/>
    </row>
    <row r="11866" spans="3:47">
      <c r="C11866" s="20"/>
      <c r="Z11866" s="20"/>
      <c r="AG11866" s="20"/>
      <c r="AQ11866" s="19"/>
      <c r="AR11866" s="19"/>
      <c r="AS11866" s="19"/>
      <c r="AT11866" s="19"/>
      <c r="AU11866" s="19"/>
    </row>
    <row r="11867" spans="3:47">
      <c r="C11867" s="20"/>
      <c r="Z11867" s="20"/>
      <c r="AG11867" s="20"/>
      <c r="AQ11867" s="19"/>
      <c r="AR11867" s="19"/>
      <c r="AS11867" s="19"/>
      <c r="AT11867" s="19"/>
      <c r="AU11867" s="19"/>
    </row>
    <row r="11868" spans="3:47">
      <c r="C11868" s="20"/>
      <c r="Z11868" s="20"/>
      <c r="AG11868" s="20"/>
      <c r="AQ11868" s="19"/>
      <c r="AR11868" s="19"/>
      <c r="AS11868" s="19"/>
      <c r="AT11868" s="19"/>
      <c r="AU11868" s="19"/>
    </row>
    <row r="11869" spans="3:47">
      <c r="C11869" s="20"/>
      <c r="Z11869" s="20"/>
      <c r="AG11869" s="20"/>
      <c r="AQ11869" s="19"/>
      <c r="AR11869" s="19"/>
      <c r="AS11869" s="19"/>
      <c r="AT11869" s="19"/>
      <c r="AU11869" s="19"/>
    </row>
    <row r="11870" spans="3:47">
      <c r="C11870" s="20"/>
      <c r="Z11870" s="20"/>
      <c r="AG11870" s="20"/>
      <c r="AQ11870" s="19"/>
      <c r="AR11870" s="19"/>
      <c r="AS11870" s="19"/>
      <c r="AT11870" s="19"/>
      <c r="AU11870" s="19"/>
    </row>
    <row r="11871" spans="3:47">
      <c r="C11871" s="20"/>
      <c r="Z11871" s="20"/>
      <c r="AG11871" s="20"/>
      <c r="AQ11871" s="19"/>
      <c r="AR11871" s="19"/>
      <c r="AS11871" s="19"/>
      <c r="AT11871" s="19"/>
      <c r="AU11871" s="19"/>
    </row>
    <row r="11872" spans="3:47">
      <c r="C11872" s="20"/>
      <c r="Z11872" s="20"/>
      <c r="AG11872" s="20"/>
      <c r="AQ11872" s="19"/>
      <c r="AR11872" s="19"/>
      <c r="AS11872" s="19"/>
      <c r="AT11872" s="19"/>
      <c r="AU11872" s="19"/>
    </row>
    <row r="11873" spans="3:47">
      <c r="C11873" s="20"/>
      <c r="Z11873" s="20"/>
      <c r="AG11873" s="20"/>
      <c r="AQ11873" s="19"/>
      <c r="AR11873" s="19"/>
      <c r="AS11873" s="19"/>
      <c r="AT11873" s="19"/>
      <c r="AU11873" s="19"/>
    </row>
    <row r="11874" spans="3:47">
      <c r="C11874" s="20"/>
      <c r="Z11874" s="20"/>
      <c r="AG11874" s="20"/>
      <c r="AQ11874" s="19"/>
      <c r="AR11874" s="19"/>
      <c r="AS11874" s="19"/>
      <c r="AT11874" s="19"/>
      <c r="AU11874" s="19"/>
    </row>
    <row r="11875" spans="3:47">
      <c r="C11875" s="20"/>
      <c r="Z11875" s="20"/>
      <c r="AG11875" s="20"/>
      <c r="AQ11875" s="19"/>
      <c r="AR11875" s="19"/>
      <c r="AS11875" s="19"/>
      <c r="AT11875" s="19"/>
      <c r="AU11875" s="19"/>
    </row>
    <row r="11876" spans="3:47">
      <c r="C11876" s="20"/>
      <c r="Z11876" s="20"/>
      <c r="AG11876" s="20"/>
      <c r="AQ11876" s="19"/>
      <c r="AR11876" s="19"/>
      <c r="AS11876" s="19"/>
      <c r="AT11876" s="19"/>
      <c r="AU11876" s="19"/>
    </row>
    <row r="11877" spans="3:47">
      <c r="C11877" s="20"/>
      <c r="Z11877" s="20"/>
      <c r="AG11877" s="20"/>
      <c r="AQ11877" s="19"/>
      <c r="AR11877" s="19"/>
      <c r="AS11877" s="19"/>
      <c r="AT11877" s="19"/>
      <c r="AU11877" s="19"/>
    </row>
    <row r="11878" spans="3:47">
      <c r="C11878" s="20"/>
      <c r="Z11878" s="20"/>
      <c r="AG11878" s="20"/>
      <c r="AQ11878" s="19"/>
      <c r="AR11878" s="19"/>
      <c r="AS11878" s="19"/>
      <c r="AT11878" s="19"/>
      <c r="AU11878" s="19"/>
    </row>
    <row r="11879" spans="3:47">
      <c r="C11879" s="20"/>
      <c r="Z11879" s="20"/>
      <c r="AG11879" s="20"/>
      <c r="AQ11879" s="19"/>
      <c r="AR11879" s="19"/>
      <c r="AS11879" s="19"/>
      <c r="AT11879" s="19"/>
      <c r="AU11879" s="19"/>
    </row>
    <row r="11880" spans="3:47">
      <c r="C11880" s="20"/>
      <c r="Z11880" s="20"/>
      <c r="AG11880" s="20"/>
      <c r="AQ11880" s="19"/>
      <c r="AR11880" s="19"/>
      <c r="AS11880" s="19"/>
      <c r="AT11880" s="19"/>
      <c r="AU11880" s="19"/>
    </row>
    <row r="11881" spans="3:47">
      <c r="C11881" s="20"/>
      <c r="Z11881" s="20"/>
      <c r="AG11881" s="20"/>
      <c r="AQ11881" s="19"/>
      <c r="AR11881" s="19"/>
      <c r="AS11881" s="19"/>
      <c r="AT11881" s="19"/>
      <c r="AU11881" s="19"/>
    </row>
    <row r="11882" spans="3:47">
      <c r="C11882" s="20"/>
      <c r="Z11882" s="20"/>
      <c r="AG11882" s="20"/>
      <c r="AQ11882" s="19"/>
      <c r="AR11882" s="19"/>
      <c r="AS11882" s="19"/>
      <c r="AT11882" s="19"/>
      <c r="AU11882" s="19"/>
    </row>
    <row r="11883" spans="3:47">
      <c r="C11883" s="20"/>
      <c r="Z11883" s="20"/>
      <c r="AG11883" s="20"/>
      <c r="AQ11883" s="19"/>
      <c r="AR11883" s="19"/>
      <c r="AS11883" s="19"/>
      <c r="AT11883" s="19"/>
      <c r="AU11883" s="19"/>
    </row>
    <row r="11884" spans="3:47">
      <c r="C11884" s="20"/>
      <c r="Z11884" s="20"/>
      <c r="AG11884" s="20"/>
      <c r="AQ11884" s="19"/>
      <c r="AR11884" s="19"/>
      <c r="AS11884" s="19"/>
      <c r="AT11884" s="19"/>
      <c r="AU11884" s="19"/>
    </row>
    <row r="11885" spans="3:47">
      <c r="C11885" s="20"/>
      <c r="Z11885" s="20"/>
      <c r="AG11885" s="20"/>
      <c r="AQ11885" s="19"/>
      <c r="AR11885" s="19"/>
      <c r="AS11885" s="19"/>
      <c r="AT11885" s="19"/>
      <c r="AU11885" s="19"/>
    </row>
    <row r="11886" spans="3:47">
      <c r="C11886" s="20"/>
      <c r="Z11886" s="20"/>
      <c r="AG11886" s="20"/>
      <c r="AQ11886" s="19"/>
      <c r="AR11886" s="19"/>
      <c r="AS11886" s="19"/>
      <c r="AT11886" s="19"/>
      <c r="AU11886" s="19"/>
    </row>
    <row r="11887" spans="3:47">
      <c r="C11887" s="20"/>
      <c r="Z11887" s="20"/>
      <c r="AG11887" s="20"/>
      <c r="AQ11887" s="19"/>
      <c r="AR11887" s="19"/>
      <c r="AS11887" s="19"/>
      <c r="AT11887" s="19"/>
      <c r="AU11887" s="19"/>
    </row>
    <row r="11888" spans="3:47">
      <c r="C11888" s="20"/>
      <c r="Z11888" s="20"/>
      <c r="AG11888" s="20"/>
      <c r="AQ11888" s="19"/>
      <c r="AR11888" s="19"/>
      <c r="AS11888" s="19"/>
      <c r="AT11888" s="19"/>
      <c r="AU11888" s="19"/>
    </row>
    <row r="11889" spans="3:47">
      <c r="C11889" s="20"/>
      <c r="Z11889" s="20"/>
      <c r="AG11889" s="20"/>
      <c r="AQ11889" s="19"/>
      <c r="AR11889" s="19"/>
      <c r="AS11889" s="19"/>
      <c r="AT11889" s="19"/>
      <c r="AU11889" s="19"/>
    </row>
    <row r="11890" spans="3:47">
      <c r="C11890" s="20"/>
      <c r="Z11890" s="20"/>
      <c r="AG11890" s="20"/>
      <c r="AQ11890" s="19"/>
      <c r="AR11890" s="19"/>
      <c r="AS11890" s="19"/>
      <c r="AT11890" s="19"/>
      <c r="AU11890" s="19"/>
    </row>
    <row r="11891" spans="3:47">
      <c r="C11891" s="20"/>
      <c r="Z11891" s="20"/>
      <c r="AG11891" s="20"/>
      <c r="AQ11891" s="19"/>
      <c r="AR11891" s="19"/>
      <c r="AS11891" s="19"/>
      <c r="AT11891" s="19"/>
      <c r="AU11891" s="19"/>
    </row>
    <row r="11892" spans="3:47">
      <c r="C11892" s="20"/>
      <c r="Z11892" s="20"/>
      <c r="AG11892" s="20"/>
      <c r="AQ11892" s="19"/>
      <c r="AR11892" s="19"/>
      <c r="AS11892" s="19"/>
      <c r="AT11892" s="19"/>
      <c r="AU11892" s="19"/>
    </row>
    <row r="11893" spans="3:47">
      <c r="C11893" s="20"/>
      <c r="Z11893" s="20"/>
      <c r="AG11893" s="20"/>
      <c r="AQ11893" s="19"/>
      <c r="AR11893" s="19"/>
      <c r="AS11893" s="19"/>
      <c r="AT11893" s="19"/>
      <c r="AU11893" s="19"/>
    </row>
    <row r="11894" spans="3:47">
      <c r="C11894" s="20"/>
      <c r="Z11894" s="20"/>
      <c r="AG11894" s="20"/>
      <c r="AQ11894" s="19"/>
      <c r="AR11894" s="19"/>
      <c r="AS11894" s="19"/>
      <c r="AT11894" s="19"/>
      <c r="AU11894" s="19"/>
    </row>
    <row r="11895" spans="3:47">
      <c r="C11895" s="20"/>
      <c r="Z11895" s="20"/>
      <c r="AG11895" s="20"/>
      <c r="AQ11895" s="19"/>
      <c r="AR11895" s="19"/>
      <c r="AS11895" s="19"/>
      <c r="AT11895" s="19"/>
      <c r="AU11895" s="19"/>
    </row>
    <row r="11896" spans="3:47">
      <c r="C11896" s="20"/>
      <c r="Z11896" s="20"/>
      <c r="AG11896" s="20"/>
      <c r="AQ11896" s="19"/>
      <c r="AR11896" s="19"/>
      <c r="AS11896" s="19"/>
      <c r="AT11896" s="19"/>
      <c r="AU11896" s="19"/>
    </row>
    <row r="11897" spans="3:47">
      <c r="C11897" s="20"/>
      <c r="Z11897" s="20"/>
      <c r="AG11897" s="20"/>
      <c r="AQ11897" s="19"/>
      <c r="AR11897" s="19"/>
      <c r="AS11897" s="19"/>
      <c r="AT11897" s="19"/>
      <c r="AU11897" s="19"/>
    </row>
    <row r="11898" spans="3:47">
      <c r="C11898" s="20"/>
      <c r="Z11898" s="20"/>
      <c r="AG11898" s="20"/>
      <c r="AQ11898" s="19"/>
      <c r="AR11898" s="19"/>
      <c r="AS11898" s="19"/>
      <c r="AT11898" s="19"/>
      <c r="AU11898" s="19"/>
    </row>
    <row r="11899" spans="3:47">
      <c r="C11899" s="20"/>
      <c r="Z11899" s="20"/>
      <c r="AG11899" s="20"/>
      <c r="AQ11899" s="19"/>
      <c r="AR11899" s="19"/>
      <c r="AS11899" s="19"/>
      <c r="AT11899" s="19"/>
      <c r="AU11899" s="19"/>
    </row>
    <row r="11900" spans="3:47">
      <c r="C11900" s="20"/>
      <c r="Z11900" s="20"/>
      <c r="AG11900" s="20"/>
      <c r="AQ11900" s="19"/>
      <c r="AR11900" s="19"/>
      <c r="AS11900" s="19"/>
      <c r="AT11900" s="19"/>
      <c r="AU11900" s="19"/>
    </row>
    <row r="11901" spans="3:47">
      <c r="C11901" s="20"/>
      <c r="Z11901" s="20"/>
      <c r="AG11901" s="20"/>
      <c r="AQ11901" s="19"/>
      <c r="AR11901" s="19"/>
      <c r="AS11901" s="19"/>
      <c r="AT11901" s="19"/>
      <c r="AU11901" s="19"/>
    </row>
    <row r="11902" spans="3:47">
      <c r="C11902" s="20"/>
      <c r="Z11902" s="20"/>
      <c r="AG11902" s="20"/>
      <c r="AQ11902" s="19"/>
      <c r="AR11902" s="19"/>
      <c r="AS11902" s="19"/>
      <c r="AT11902" s="19"/>
      <c r="AU11902" s="19"/>
    </row>
    <row r="11903" spans="3:47">
      <c r="C11903" s="20"/>
      <c r="Z11903" s="20"/>
      <c r="AG11903" s="20"/>
      <c r="AQ11903" s="19"/>
      <c r="AR11903" s="19"/>
      <c r="AS11903" s="19"/>
      <c r="AT11903" s="19"/>
      <c r="AU11903" s="19"/>
    </row>
    <row r="11904" spans="3:47">
      <c r="C11904" s="20"/>
      <c r="Z11904" s="20"/>
      <c r="AG11904" s="20"/>
      <c r="AQ11904" s="19"/>
      <c r="AR11904" s="19"/>
      <c r="AS11904" s="19"/>
      <c r="AT11904" s="19"/>
      <c r="AU11904" s="19"/>
    </row>
    <row r="11905" spans="3:47">
      <c r="C11905" s="20"/>
      <c r="Z11905" s="20"/>
      <c r="AG11905" s="20"/>
      <c r="AQ11905" s="19"/>
      <c r="AR11905" s="19"/>
      <c r="AS11905" s="19"/>
      <c r="AT11905" s="19"/>
      <c r="AU11905" s="19"/>
    </row>
    <row r="11906" spans="3:47">
      <c r="C11906" s="20"/>
      <c r="Z11906" s="20"/>
      <c r="AG11906" s="20"/>
      <c r="AQ11906" s="19"/>
      <c r="AR11906" s="19"/>
      <c r="AS11906" s="19"/>
      <c r="AT11906" s="19"/>
      <c r="AU11906" s="19"/>
    </row>
    <row r="11907" spans="3:47">
      <c r="C11907" s="20"/>
      <c r="Z11907" s="20"/>
      <c r="AG11907" s="20"/>
      <c r="AQ11907" s="19"/>
      <c r="AR11907" s="19"/>
      <c r="AS11907" s="19"/>
      <c r="AT11907" s="19"/>
      <c r="AU11907" s="19"/>
    </row>
    <row r="11908" spans="3:47">
      <c r="C11908" s="20"/>
      <c r="Z11908" s="20"/>
      <c r="AG11908" s="20"/>
      <c r="AQ11908" s="19"/>
      <c r="AR11908" s="19"/>
      <c r="AS11908" s="19"/>
      <c r="AT11908" s="19"/>
      <c r="AU11908" s="19"/>
    </row>
    <row r="11909" spans="3:47">
      <c r="C11909" s="20"/>
      <c r="Z11909" s="20"/>
      <c r="AG11909" s="20"/>
      <c r="AQ11909" s="19"/>
      <c r="AR11909" s="19"/>
      <c r="AS11909" s="19"/>
      <c r="AT11909" s="19"/>
      <c r="AU11909" s="19"/>
    </row>
    <row r="11910" spans="3:47">
      <c r="C11910" s="20"/>
      <c r="Z11910" s="20"/>
      <c r="AG11910" s="20"/>
      <c r="AQ11910" s="19"/>
      <c r="AR11910" s="19"/>
      <c r="AS11910" s="19"/>
      <c r="AT11910" s="19"/>
      <c r="AU11910" s="19"/>
    </row>
    <row r="11911" spans="3:47">
      <c r="C11911" s="20"/>
      <c r="Z11911" s="20"/>
      <c r="AG11911" s="20"/>
      <c r="AQ11911" s="19"/>
      <c r="AR11911" s="19"/>
      <c r="AS11911" s="19"/>
      <c r="AT11911" s="19"/>
      <c r="AU11911" s="19"/>
    </row>
    <row r="11912" spans="3:47">
      <c r="C11912" s="20"/>
      <c r="Z11912" s="20"/>
      <c r="AG11912" s="20"/>
      <c r="AQ11912" s="19"/>
      <c r="AR11912" s="19"/>
      <c r="AS11912" s="19"/>
      <c r="AT11912" s="19"/>
      <c r="AU11912" s="19"/>
    </row>
    <row r="11913" spans="3:47">
      <c r="C11913" s="20"/>
      <c r="Z11913" s="20"/>
      <c r="AG11913" s="20"/>
      <c r="AQ11913" s="19"/>
      <c r="AR11913" s="19"/>
      <c r="AS11913" s="19"/>
      <c r="AT11913" s="19"/>
      <c r="AU11913" s="19"/>
    </row>
    <row r="11914" spans="3:47">
      <c r="C11914" s="20"/>
      <c r="Z11914" s="20"/>
      <c r="AG11914" s="20"/>
      <c r="AQ11914" s="19"/>
      <c r="AR11914" s="19"/>
      <c r="AS11914" s="19"/>
      <c r="AT11914" s="19"/>
      <c r="AU11914" s="19"/>
    </row>
    <row r="11915" spans="3:47">
      <c r="C11915" s="20"/>
      <c r="Z11915" s="20"/>
      <c r="AG11915" s="20"/>
      <c r="AQ11915" s="19"/>
      <c r="AR11915" s="19"/>
      <c r="AS11915" s="19"/>
      <c r="AT11915" s="19"/>
      <c r="AU11915" s="19"/>
    </row>
    <row r="11916" spans="3:47">
      <c r="C11916" s="20"/>
      <c r="Z11916" s="20"/>
      <c r="AG11916" s="20"/>
      <c r="AQ11916" s="19"/>
      <c r="AR11916" s="19"/>
      <c r="AS11916" s="19"/>
      <c r="AT11916" s="19"/>
      <c r="AU11916" s="19"/>
    </row>
    <row r="11917" spans="3:47">
      <c r="C11917" s="20"/>
      <c r="Z11917" s="20"/>
      <c r="AG11917" s="20"/>
      <c r="AQ11917" s="19"/>
      <c r="AR11917" s="19"/>
      <c r="AS11917" s="19"/>
      <c r="AT11917" s="19"/>
      <c r="AU11917" s="19"/>
    </row>
    <row r="11918" spans="3:47">
      <c r="C11918" s="20"/>
      <c r="Z11918" s="20"/>
      <c r="AG11918" s="20"/>
      <c r="AQ11918" s="19"/>
      <c r="AR11918" s="19"/>
      <c r="AS11918" s="19"/>
      <c r="AT11918" s="19"/>
      <c r="AU11918" s="19"/>
    </row>
    <row r="11919" spans="3:47">
      <c r="C11919" s="20"/>
      <c r="Z11919" s="20"/>
      <c r="AG11919" s="20"/>
      <c r="AQ11919" s="19"/>
      <c r="AR11919" s="19"/>
      <c r="AS11919" s="19"/>
      <c r="AT11919" s="19"/>
      <c r="AU11919" s="19"/>
    </row>
    <row r="11920" spans="3:47">
      <c r="C11920" s="20"/>
      <c r="Z11920" s="20"/>
      <c r="AG11920" s="20"/>
      <c r="AQ11920" s="19"/>
      <c r="AR11920" s="19"/>
      <c r="AS11920" s="19"/>
      <c r="AT11920" s="19"/>
      <c r="AU11920" s="19"/>
    </row>
    <row r="11921" spans="3:47">
      <c r="C11921" s="20"/>
      <c r="Z11921" s="20"/>
      <c r="AG11921" s="20"/>
      <c r="AQ11921" s="19"/>
      <c r="AR11921" s="19"/>
      <c r="AS11921" s="19"/>
      <c r="AT11921" s="19"/>
      <c r="AU11921" s="19"/>
    </row>
    <row r="11922" spans="3:47">
      <c r="C11922" s="20"/>
      <c r="Z11922" s="20"/>
      <c r="AG11922" s="20"/>
      <c r="AQ11922" s="19"/>
      <c r="AR11922" s="19"/>
      <c r="AS11922" s="19"/>
      <c r="AT11922" s="19"/>
      <c r="AU11922" s="19"/>
    </row>
    <row r="11923" spans="3:47">
      <c r="C11923" s="20"/>
      <c r="Z11923" s="20"/>
      <c r="AG11923" s="20"/>
      <c r="AQ11923" s="19"/>
      <c r="AR11923" s="19"/>
      <c r="AS11923" s="19"/>
      <c r="AT11923" s="19"/>
      <c r="AU11923" s="19"/>
    </row>
    <row r="11924" spans="3:47">
      <c r="C11924" s="20"/>
      <c r="Z11924" s="20"/>
      <c r="AG11924" s="20"/>
      <c r="AQ11924" s="19"/>
      <c r="AR11924" s="19"/>
      <c r="AS11924" s="19"/>
      <c r="AT11924" s="19"/>
      <c r="AU11924" s="19"/>
    </row>
    <row r="11925" spans="3:47">
      <c r="C11925" s="20"/>
      <c r="Z11925" s="20"/>
      <c r="AG11925" s="20"/>
      <c r="AQ11925" s="19"/>
      <c r="AR11925" s="19"/>
      <c r="AS11925" s="19"/>
      <c r="AT11925" s="19"/>
      <c r="AU11925" s="19"/>
    </row>
    <row r="11926" spans="3:47">
      <c r="C11926" s="20"/>
      <c r="Z11926" s="20"/>
      <c r="AG11926" s="20"/>
      <c r="AQ11926" s="19"/>
      <c r="AR11926" s="19"/>
      <c r="AS11926" s="19"/>
      <c r="AT11926" s="19"/>
      <c r="AU11926" s="19"/>
    </row>
    <row r="11927" spans="3:47">
      <c r="C11927" s="20"/>
      <c r="Z11927" s="20"/>
      <c r="AG11927" s="20"/>
      <c r="AQ11927" s="19"/>
      <c r="AR11927" s="19"/>
      <c r="AS11927" s="19"/>
      <c r="AT11927" s="19"/>
      <c r="AU11927" s="19"/>
    </row>
    <row r="11928" spans="3:47">
      <c r="C11928" s="20"/>
      <c r="Z11928" s="20"/>
      <c r="AG11928" s="20"/>
      <c r="AQ11928" s="19"/>
      <c r="AR11928" s="19"/>
      <c r="AS11928" s="19"/>
      <c r="AT11928" s="19"/>
      <c r="AU11928" s="19"/>
    </row>
    <row r="11929" spans="3:47">
      <c r="C11929" s="20"/>
      <c r="Z11929" s="20"/>
      <c r="AG11929" s="20"/>
      <c r="AQ11929" s="19"/>
      <c r="AR11929" s="19"/>
      <c r="AS11929" s="19"/>
      <c r="AT11929" s="19"/>
      <c r="AU11929" s="19"/>
    </row>
    <row r="11930" spans="3:47">
      <c r="C11930" s="20"/>
      <c r="Z11930" s="20"/>
      <c r="AG11930" s="20"/>
      <c r="AQ11930" s="19"/>
      <c r="AR11930" s="19"/>
      <c r="AS11930" s="19"/>
      <c r="AT11930" s="19"/>
      <c r="AU11930" s="19"/>
    </row>
    <row r="11931" spans="3:47">
      <c r="C11931" s="20"/>
      <c r="Z11931" s="20"/>
      <c r="AG11931" s="20"/>
      <c r="AQ11931" s="19"/>
      <c r="AR11931" s="19"/>
      <c r="AS11931" s="19"/>
      <c r="AT11931" s="19"/>
      <c r="AU11931" s="19"/>
    </row>
    <row r="11932" spans="3:47">
      <c r="C11932" s="20"/>
      <c r="Z11932" s="20"/>
      <c r="AG11932" s="20"/>
      <c r="AQ11932" s="19"/>
      <c r="AR11932" s="19"/>
      <c r="AS11932" s="19"/>
      <c r="AT11932" s="19"/>
      <c r="AU11932" s="19"/>
    </row>
    <row r="11933" spans="3:47">
      <c r="C11933" s="20"/>
      <c r="Z11933" s="20"/>
      <c r="AG11933" s="20"/>
      <c r="AQ11933" s="19"/>
      <c r="AR11933" s="19"/>
      <c r="AS11933" s="19"/>
      <c r="AT11933" s="19"/>
      <c r="AU11933" s="19"/>
    </row>
    <row r="11934" spans="3:47">
      <c r="C11934" s="20"/>
      <c r="Z11934" s="20"/>
      <c r="AG11934" s="20"/>
      <c r="AQ11934" s="19"/>
      <c r="AR11934" s="19"/>
      <c r="AS11934" s="19"/>
      <c r="AT11934" s="19"/>
      <c r="AU11934" s="19"/>
    </row>
    <row r="11935" spans="3:47">
      <c r="C11935" s="20"/>
      <c r="Z11935" s="20"/>
      <c r="AG11935" s="20"/>
      <c r="AQ11935" s="19"/>
      <c r="AR11935" s="19"/>
      <c r="AS11935" s="19"/>
      <c r="AT11935" s="19"/>
      <c r="AU11935" s="19"/>
    </row>
    <row r="11936" spans="3:47">
      <c r="C11936" s="20"/>
      <c r="Z11936" s="20"/>
      <c r="AG11936" s="20"/>
      <c r="AQ11936" s="19"/>
      <c r="AR11936" s="19"/>
      <c r="AS11936" s="19"/>
      <c r="AT11936" s="19"/>
      <c r="AU11936" s="19"/>
    </row>
    <row r="11937" spans="3:47">
      <c r="C11937" s="20"/>
      <c r="Z11937" s="20"/>
      <c r="AG11937" s="20"/>
      <c r="AQ11937" s="19"/>
      <c r="AR11937" s="19"/>
      <c r="AS11937" s="19"/>
      <c r="AT11937" s="19"/>
      <c r="AU11937" s="19"/>
    </row>
    <row r="11938" spans="3:47">
      <c r="C11938" s="20"/>
      <c r="Z11938" s="20"/>
      <c r="AG11938" s="20"/>
      <c r="AQ11938" s="19"/>
      <c r="AR11938" s="19"/>
      <c r="AS11938" s="19"/>
      <c r="AT11938" s="19"/>
      <c r="AU11938" s="19"/>
    </row>
    <row r="11939" spans="3:47">
      <c r="C11939" s="20"/>
      <c r="Z11939" s="20"/>
      <c r="AG11939" s="20"/>
      <c r="AQ11939" s="19"/>
      <c r="AR11939" s="19"/>
      <c r="AS11939" s="19"/>
      <c r="AT11939" s="19"/>
      <c r="AU11939" s="19"/>
    </row>
    <row r="11940" spans="3:47">
      <c r="C11940" s="20"/>
      <c r="Z11940" s="20"/>
      <c r="AG11940" s="20"/>
      <c r="AQ11940" s="19"/>
      <c r="AR11940" s="19"/>
      <c r="AS11940" s="19"/>
      <c r="AT11940" s="19"/>
      <c r="AU11940" s="19"/>
    </row>
    <row r="11941" spans="3:47">
      <c r="C11941" s="20"/>
      <c r="Z11941" s="20"/>
      <c r="AG11941" s="20"/>
      <c r="AQ11941" s="19"/>
      <c r="AR11941" s="19"/>
      <c r="AS11941" s="19"/>
      <c r="AT11941" s="19"/>
      <c r="AU11941" s="19"/>
    </row>
    <row r="11942" spans="3:47">
      <c r="C11942" s="20"/>
      <c r="Z11942" s="20"/>
      <c r="AG11942" s="20"/>
      <c r="AQ11942" s="19"/>
      <c r="AR11942" s="19"/>
      <c r="AS11942" s="19"/>
      <c r="AT11942" s="19"/>
      <c r="AU11942" s="19"/>
    </row>
    <row r="11943" spans="3:47">
      <c r="C11943" s="20"/>
      <c r="Z11943" s="20"/>
      <c r="AG11943" s="20"/>
      <c r="AQ11943" s="19"/>
      <c r="AR11943" s="19"/>
      <c r="AS11943" s="19"/>
      <c r="AT11943" s="19"/>
      <c r="AU11943" s="19"/>
    </row>
    <row r="11944" spans="3:47">
      <c r="C11944" s="20"/>
      <c r="Z11944" s="20"/>
      <c r="AG11944" s="20"/>
      <c r="AQ11944" s="19"/>
      <c r="AR11944" s="19"/>
      <c r="AS11944" s="19"/>
      <c r="AT11944" s="19"/>
      <c r="AU11944" s="19"/>
    </row>
    <row r="11945" spans="3:47">
      <c r="C11945" s="20"/>
      <c r="Z11945" s="20"/>
      <c r="AG11945" s="20"/>
      <c r="AQ11945" s="19"/>
      <c r="AR11945" s="19"/>
      <c r="AS11945" s="19"/>
      <c r="AT11945" s="19"/>
      <c r="AU11945" s="19"/>
    </row>
    <row r="11946" spans="3:47">
      <c r="C11946" s="20"/>
      <c r="Z11946" s="20"/>
      <c r="AG11946" s="20"/>
      <c r="AQ11946" s="19"/>
      <c r="AR11946" s="19"/>
      <c r="AS11946" s="19"/>
      <c r="AT11946" s="19"/>
      <c r="AU11946" s="19"/>
    </row>
    <row r="11947" spans="3:47">
      <c r="C11947" s="20"/>
      <c r="Z11947" s="20"/>
      <c r="AG11947" s="20"/>
      <c r="AQ11947" s="19"/>
      <c r="AR11947" s="19"/>
      <c r="AS11947" s="19"/>
      <c r="AT11947" s="19"/>
      <c r="AU11947" s="19"/>
    </row>
    <row r="11948" spans="3:47">
      <c r="C11948" s="20"/>
      <c r="Z11948" s="20"/>
      <c r="AG11948" s="20"/>
      <c r="AQ11948" s="19"/>
      <c r="AR11948" s="19"/>
      <c r="AS11948" s="19"/>
      <c r="AT11948" s="19"/>
      <c r="AU11948" s="19"/>
    </row>
    <row r="11949" spans="3:47">
      <c r="C11949" s="20"/>
      <c r="Z11949" s="20"/>
      <c r="AG11949" s="20"/>
      <c r="AQ11949" s="19"/>
      <c r="AR11949" s="19"/>
      <c r="AS11949" s="19"/>
      <c r="AT11949" s="19"/>
      <c r="AU11949" s="19"/>
    </row>
    <row r="11950" spans="3:47">
      <c r="C11950" s="20"/>
      <c r="Z11950" s="20"/>
      <c r="AG11950" s="20"/>
      <c r="AQ11950" s="19"/>
      <c r="AR11950" s="19"/>
      <c r="AS11950" s="19"/>
      <c r="AT11950" s="19"/>
      <c r="AU11950" s="19"/>
    </row>
    <row r="11951" spans="3:47">
      <c r="C11951" s="20"/>
      <c r="Z11951" s="20"/>
      <c r="AG11951" s="20"/>
      <c r="AQ11951" s="19"/>
      <c r="AR11951" s="19"/>
      <c r="AS11951" s="19"/>
      <c r="AT11951" s="19"/>
      <c r="AU11951" s="19"/>
    </row>
    <row r="11952" spans="3:47">
      <c r="C11952" s="20"/>
      <c r="Z11952" s="20"/>
      <c r="AG11952" s="20"/>
      <c r="AQ11952" s="19"/>
      <c r="AR11952" s="19"/>
      <c r="AS11952" s="19"/>
      <c r="AT11952" s="19"/>
      <c r="AU11952" s="19"/>
    </row>
    <row r="11953" spans="3:47">
      <c r="C11953" s="20"/>
      <c r="Z11953" s="20"/>
      <c r="AG11953" s="20"/>
      <c r="AQ11953" s="19"/>
      <c r="AR11953" s="19"/>
      <c r="AS11953" s="19"/>
      <c r="AT11953" s="19"/>
      <c r="AU11953" s="19"/>
    </row>
    <row r="11954" spans="3:47">
      <c r="C11954" s="20"/>
      <c r="Z11954" s="20"/>
      <c r="AG11954" s="20"/>
      <c r="AQ11954" s="19"/>
      <c r="AR11954" s="19"/>
      <c r="AS11954" s="19"/>
      <c r="AT11954" s="19"/>
      <c r="AU11954" s="19"/>
    </row>
    <row r="11955" spans="3:47">
      <c r="C11955" s="20"/>
      <c r="Z11955" s="20"/>
      <c r="AG11955" s="20"/>
      <c r="AQ11955" s="19"/>
      <c r="AR11955" s="19"/>
      <c r="AS11955" s="19"/>
      <c r="AT11955" s="19"/>
      <c r="AU11955" s="19"/>
    </row>
    <row r="11956" spans="3:47">
      <c r="C11956" s="20"/>
      <c r="Z11956" s="20"/>
      <c r="AG11956" s="20"/>
      <c r="AQ11956" s="19"/>
      <c r="AR11956" s="19"/>
      <c r="AS11956" s="19"/>
      <c r="AT11956" s="19"/>
      <c r="AU11956" s="19"/>
    </row>
    <row r="11957" spans="3:47">
      <c r="C11957" s="20"/>
      <c r="Z11957" s="20"/>
      <c r="AG11957" s="20"/>
      <c r="AQ11957" s="19"/>
      <c r="AR11957" s="19"/>
      <c r="AS11957" s="19"/>
      <c r="AT11957" s="19"/>
      <c r="AU11957" s="19"/>
    </row>
    <row r="11958" spans="3:47">
      <c r="C11958" s="20"/>
      <c r="Z11958" s="20"/>
      <c r="AG11958" s="20"/>
      <c r="AQ11958" s="19"/>
      <c r="AR11958" s="19"/>
      <c r="AS11958" s="19"/>
      <c r="AT11958" s="19"/>
      <c r="AU11958" s="19"/>
    </row>
    <row r="11959" spans="3:47">
      <c r="C11959" s="20"/>
      <c r="Z11959" s="20"/>
      <c r="AG11959" s="20"/>
      <c r="AQ11959" s="19"/>
      <c r="AR11959" s="19"/>
      <c r="AS11959" s="19"/>
      <c r="AT11959" s="19"/>
      <c r="AU11959" s="19"/>
    </row>
    <row r="11960" spans="3:47">
      <c r="C11960" s="20"/>
      <c r="Z11960" s="20"/>
      <c r="AG11960" s="20"/>
      <c r="AQ11960" s="19"/>
      <c r="AR11960" s="19"/>
      <c r="AS11960" s="19"/>
      <c r="AT11960" s="19"/>
      <c r="AU11960" s="19"/>
    </row>
    <row r="11961" spans="3:47">
      <c r="C11961" s="20"/>
      <c r="Z11961" s="20"/>
      <c r="AG11961" s="20"/>
      <c r="AQ11961" s="19"/>
      <c r="AR11961" s="19"/>
      <c r="AS11961" s="19"/>
      <c r="AT11961" s="19"/>
      <c r="AU11961" s="19"/>
    </row>
    <row r="11962" spans="3:47">
      <c r="C11962" s="20"/>
      <c r="Z11962" s="20"/>
      <c r="AG11962" s="20"/>
      <c r="AQ11962" s="19"/>
      <c r="AR11962" s="19"/>
      <c r="AS11962" s="19"/>
      <c r="AT11962" s="19"/>
      <c r="AU11962" s="19"/>
    </row>
    <row r="11963" spans="3:47">
      <c r="C11963" s="20"/>
      <c r="Z11963" s="20"/>
      <c r="AG11963" s="20"/>
      <c r="AQ11963" s="19"/>
      <c r="AR11963" s="19"/>
      <c r="AS11963" s="19"/>
      <c r="AT11963" s="19"/>
      <c r="AU11963" s="19"/>
    </row>
    <row r="11964" spans="3:47">
      <c r="C11964" s="20"/>
      <c r="Z11964" s="20"/>
      <c r="AG11964" s="20"/>
      <c r="AQ11964" s="19"/>
      <c r="AR11964" s="19"/>
      <c r="AS11964" s="19"/>
      <c r="AT11964" s="19"/>
      <c r="AU11964" s="19"/>
    </row>
    <row r="11965" spans="3:47">
      <c r="C11965" s="20"/>
      <c r="Z11965" s="20"/>
      <c r="AG11965" s="20"/>
      <c r="AQ11965" s="19"/>
      <c r="AR11965" s="19"/>
      <c r="AS11965" s="19"/>
      <c r="AT11965" s="19"/>
      <c r="AU11965" s="19"/>
    </row>
    <row r="11966" spans="3:47">
      <c r="C11966" s="20"/>
      <c r="Z11966" s="20"/>
      <c r="AG11966" s="20"/>
      <c r="AQ11966" s="19"/>
      <c r="AR11966" s="19"/>
      <c r="AS11966" s="19"/>
      <c r="AT11966" s="19"/>
      <c r="AU11966" s="19"/>
    </row>
    <row r="11967" spans="3:47">
      <c r="C11967" s="20"/>
      <c r="Z11967" s="20"/>
      <c r="AG11967" s="20"/>
      <c r="AQ11967" s="19"/>
      <c r="AR11967" s="19"/>
      <c r="AS11967" s="19"/>
      <c r="AT11967" s="19"/>
      <c r="AU11967" s="19"/>
    </row>
    <row r="11968" spans="3:47">
      <c r="C11968" s="20"/>
      <c r="Z11968" s="20"/>
      <c r="AG11968" s="20"/>
      <c r="AQ11968" s="19"/>
      <c r="AR11968" s="19"/>
      <c r="AS11968" s="19"/>
      <c r="AT11968" s="19"/>
      <c r="AU11968" s="19"/>
    </row>
    <row r="11969" spans="3:47">
      <c r="C11969" s="20"/>
      <c r="Z11969" s="20"/>
      <c r="AG11969" s="20"/>
      <c r="AQ11969" s="19"/>
      <c r="AR11969" s="19"/>
      <c r="AS11969" s="19"/>
      <c r="AT11969" s="19"/>
      <c r="AU11969" s="19"/>
    </row>
    <row r="11970" spans="3:47">
      <c r="C11970" s="20"/>
      <c r="Z11970" s="20"/>
      <c r="AG11970" s="20"/>
      <c r="AQ11970" s="19"/>
      <c r="AR11970" s="19"/>
      <c r="AS11970" s="19"/>
      <c r="AT11970" s="19"/>
      <c r="AU11970" s="19"/>
    </row>
    <row r="11971" spans="3:47">
      <c r="C11971" s="20"/>
      <c r="Z11971" s="20"/>
      <c r="AG11971" s="20"/>
      <c r="AQ11971" s="19"/>
      <c r="AR11971" s="19"/>
      <c r="AS11971" s="19"/>
      <c r="AT11971" s="19"/>
      <c r="AU11971" s="19"/>
    </row>
    <row r="11972" spans="3:47">
      <c r="C11972" s="20"/>
      <c r="Z11972" s="20"/>
      <c r="AG11972" s="20"/>
      <c r="AQ11972" s="19"/>
      <c r="AR11972" s="19"/>
      <c r="AS11972" s="19"/>
      <c r="AT11972" s="19"/>
      <c r="AU11972" s="19"/>
    </row>
    <row r="11973" spans="3:47">
      <c r="C11973" s="20"/>
      <c r="Z11973" s="20"/>
      <c r="AG11973" s="20"/>
      <c r="AQ11973" s="19"/>
      <c r="AR11973" s="19"/>
      <c r="AS11973" s="19"/>
      <c r="AT11973" s="19"/>
      <c r="AU11973" s="19"/>
    </row>
    <row r="11974" spans="3:47">
      <c r="C11974" s="20"/>
      <c r="Z11974" s="20"/>
      <c r="AG11974" s="20"/>
      <c r="AQ11974" s="19"/>
      <c r="AR11974" s="19"/>
      <c r="AS11974" s="19"/>
      <c r="AT11974" s="19"/>
      <c r="AU11974" s="19"/>
    </row>
    <row r="11975" spans="3:47">
      <c r="C11975" s="20"/>
      <c r="Z11975" s="20"/>
      <c r="AG11975" s="20"/>
      <c r="AQ11975" s="19"/>
      <c r="AR11975" s="19"/>
      <c r="AS11975" s="19"/>
      <c r="AT11975" s="19"/>
      <c r="AU11975" s="19"/>
    </row>
    <row r="11976" spans="3:47">
      <c r="C11976" s="20"/>
      <c r="Z11976" s="20"/>
      <c r="AG11976" s="20"/>
      <c r="AQ11976" s="19"/>
      <c r="AR11976" s="19"/>
      <c r="AS11976" s="19"/>
      <c r="AT11976" s="19"/>
      <c r="AU11976" s="19"/>
    </row>
    <row r="11977" spans="3:47">
      <c r="C11977" s="20"/>
      <c r="Z11977" s="20"/>
      <c r="AG11977" s="20"/>
      <c r="AQ11977" s="19"/>
      <c r="AR11977" s="19"/>
      <c r="AS11977" s="19"/>
      <c r="AT11977" s="19"/>
      <c r="AU11977" s="19"/>
    </row>
    <row r="11978" spans="3:47">
      <c r="C11978" s="20"/>
      <c r="Z11978" s="20"/>
      <c r="AG11978" s="20"/>
      <c r="AQ11978" s="19"/>
      <c r="AR11978" s="19"/>
      <c r="AS11978" s="19"/>
      <c r="AT11978" s="19"/>
      <c r="AU11978" s="19"/>
    </row>
    <row r="11979" spans="3:47">
      <c r="C11979" s="20"/>
      <c r="Z11979" s="20"/>
      <c r="AG11979" s="20"/>
      <c r="AQ11979" s="19"/>
      <c r="AR11979" s="19"/>
      <c r="AS11979" s="19"/>
      <c r="AT11979" s="19"/>
      <c r="AU11979" s="19"/>
    </row>
    <row r="11980" spans="3:47">
      <c r="C11980" s="20"/>
      <c r="Z11980" s="20"/>
      <c r="AG11980" s="20"/>
      <c r="AQ11980" s="19"/>
      <c r="AR11980" s="19"/>
      <c r="AS11980" s="19"/>
      <c r="AT11980" s="19"/>
      <c r="AU11980" s="19"/>
    </row>
    <row r="11981" spans="3:47">
      <c r="C11981" s="20"/>
      <c r="Z11981" s="20"/>
      <c r="AG11981" s="20"/>
      <c r="AQ11981" s="19"/>
      <c r="AR11981" s="19"/>
      <c r="AS11981" s="19"/>
      <c r="AT11981" s="19"/>
      <c r="AU11981" s="19"/>
    </row>
    <row r="11982" spans="3:47">
      <c r="C11982" s="20"/>
      <c r="Z11982" s="20"/>
      <c r="AG11982" s="20"/>
      <c r="AQ11982" s="19"/>
      <c r="AR11982" s="19"/>
      <c r="AS11982" s="19"/>
      <c r="AT11982" s="19"/>
      <c r="AU11982" s="19"/>
    </row>
    <row r="11983" spans="3:47">
      <c r="C11983" s="20"/>
      <c r="Z11983" s="20"/>
      <c r="AG11983" s="20"/>
      <c r="AQ11983" s="19"/>
      <c r="AR11983" s="19"/>
      <c r="AS11983" s="19"/>
      <c r="AT11983" s="19"/>
      <c r="AU11983" s="19"/>
    </row>
    <row r="11984" spans="3:47">
      <c r="C11984" s="20"/>
      <c r="Z11984" s="20"/>
      <c r="AG11984" s="20"/>
      <c r="AQ11984" s="19"/>
      <c r="AR11984" s="19"/>
      <c r="AS11984" s="19"/>
      <c r="AT11984" s="19"/>
      <c r="AU11984" s="19"/>
    </row>
    <row r="11985" spans="3:47">
      <c r="C11985" s="20"/>
      <c r="Z11985" s="20"/>
      <c r="AG11985" s="20"/>
      <c r="AQ11985" s="19"/>
      <c r="AR11985" s="19"/>
      <c r="AS11985" s="19"/>
      <c r="AT11985" s="19"/>
      <c r="AU11985" s="19"/>
    </row>
    <row r="11986" spans="3:47">
      <c r="C11986" s="20"/>
      <c r="Z11986" s="20"/>
      <c r="AG11986" s="20"/>
      <c r="AQ11986" s="19"/>
      <c r="AR11986" s="19"/>
      <c r="AS11986" s="19"/>
      <c r="AT11986" s="19"/>
      <c r="AU11986" s="19"/>
    </row>
    <row r="11987" spans="3:47">
      <c r="C11987" s="20"/>
      <c r="Z11987" s="20"/>
      <c r="AG11987" s="20"/>
      <c r="AQ11987" s="19"/>
      <c r="AR11987" s="19"/>
      <c r="AS11987" s="19"/>
      <c r="AT11987" s="19"/>
      <c r="AU11987" s="19"/>
    </row>
    <row r="11988" spans="3:47">
      <c r="C11988" s="20"/>
      <c r="Z11988" s="20"/>
      <c r="AG11988" s="20"/>
      <c r="AQ11988" s="19"/>
      <c r="AR11988" s="19"/>
      <c r="AS11988" s="19"/>
      <c r="AT11988" s="19"/>
      <c r="AU11988" s="19"/>
    </row>
    <row r="11989" spans="3:47">
      <c r="C11989" s="20"/>
      <c r="Z11989" s="20"/>
      <c r="AG11989" s="20"/>
      <c r="AQ11989" s="19"/>
      <c r="AR11989" s="19"/>
      <c r="AS11989" s="19"/>
      <c r="AT11989" s="19"/>
      <c r="AU11989" s="19"/>
    </row>
    <row r="11990" spans="3:47">
      <c r="C11990" s="20"/>
      <c r="Z11990" s="20"/>
      <c r="AG11990" s="20"/>
      <c r="AQ11990" s="19"/>
      <c r="AR11990" s="19"/>
      <c r="AS11990" s="19"/>
      <c r="AT11990" s="19"/>
      <c r="AU11990" s="19"/>
    </row>
    <row r="11991" spans="3:47">
      <c r="C11991" s="20"/>
      <c r="Z11991" s="20"/>
      <c r="AG11991" s="20"/>
      <c r="AQ11991" s="19"/>
      <c r="AR11991" s="19"/>
      <c r="AS11991" s="19"/>
      <c r="AT11991" s="19"/>
      <c r="AU11991" s="19"/>
    </row>
    <row r="11992" spans="3:47">
      <c r="C11992" s="20"/>
      <c r="Z11992" s="20"/>
      <c r="AG11992" s="20"/>
      <c r="AQ11992" s="19"/>
      <c r="AR11992" s="19"/>
      <c r="AS11992" s="19"/>
      <c r="AT11992" s="19"/>
      <c r="AU11992" s="19"/>
    </row>
    <row r="11993" spans="3:47">
      <c r="C11993" s="20"/>
      <c r="Z11993" s="20"/>
      <c r="AG11993" s="20"/>
      <c r="AQ11993" s="19"/>
      <c r="AR11993" s="19"/>
      <c r="AS11993" s="19"/>
      <c r="AT11993" s="19"/>
      <c r="AU11993" s="19"/>
    </row>
    <row r="11994" spans="3:47">
      <c r="C11994" s="20"/>
      <c r="Z11994" s="20"/>
      <c r="AG11994" s="20"/>
      <c r="AQ11994" s="19"/>
      <c r="AR11994" s="19"/>
      <c r="AS11994" s="19"/>
      <c r="AT11994" s="19"/>
      <c r="AU11994" s="19"/>
    </row>
    <row r="11995" spans="3:47">
      <c r="C11995" s="20"/>
      <c r="Z11995" s="20"/>
      <c r="AG11995" s="20"/>
      <c r="AQ11995" s="19"/>
      <c r="AR11995" s="19"/>
      <c r="AS11995" s="19"/>
      <c r="AT11995" s="19"/>
      <c r="AU11995" s="19"/>
    </row>
    <row r="11996" spans="3:47">
      <c r="C11996" s="20"/>
      <c r="Z11996" s="20"/>
      <c r="AG11996" s="20"/>
      <c r="AQ11996" s="19"/>
      <c r="AR11996" s="19"/>
      <c r="AS11996" s="19"/>
      <c r="AT11996" s="19"/>
      <c r="AU11996" s="19"/>
    </row>
    <row r="11997" spans="3:47">
      <c r="C11997" s="20"/>
      <c r="Z11997" s="20"/>
      <c r="AG11997" s="20"/>
      <c r="AQ11997" s="19"/>
      <c r="AR11997" s="19"/>
      <c r="AS11997" s="19"/>
      <c r="AT11997" s="19"/>
      <c r="AU11997" s="19"/>
    </row>
    <row r="11998" spans="3:47">
      <c r="C11998" s="20"/>
      <c r="Z11998" s="20"/>
      <c r="AG11998" s="20"/>
      <c r="AQ11998" s="19"/>
      <c r="AR11998" s="19"/>
      <c r="AS11998" s="19"/>
      <c r="AT11998" s="19"/>
      <c r="AU11998" s="19"/>
    </row>
    <row r="11999" spans="3:47">
      <c r="C11999" s="20"/>
      <c r="Z11999" s="20"/>
      <c r="AG11999" s="20"/>
      <c r="AQ11999" s="19"/>
      <c r="AR11999" s="19"/>
      <c r="AS11999" s="19"/>
      <c r="AT11999" s="19"/>
      <c r="AU11999" s="19"/>
    </row>
    <row r="12000" spans="3:47">
      <c r="C12000" s="20"/>
      <c r="Z12000" s="20"/>
      <c r="AG12000" s="20"/>
      <c r="AQ12000" s="19"/>
      <c r="AR12000" s="19"/>
      <c r="AS12000" s="19"/>
      <c r="AT12000" s="19"/>
      <c r="AU12000" s="19"/>
    </row>
    <row r="12001" spans="3:47">
      <c r="C12001" s="20"/>
      <c r="Z12001" s="20"/>
      <c r="AG12001" s="20"/>
      <c r="AQ12001" s="19"/>
      <c r="AR12001" s="19"/>
      <c r="AS12001" s="19"/>
      <c r="AT12001" s="19"/>
      <c r="AU12001" s="19"/>
    </row>
    <row r="12002" spans="3:47">
      <c r="C12002" s="20"/>
      <c r="Z12002" s="20"/>
      <c r="AG12002" s="20"/>
      <c r="AQ12002" s="19"/>
      <c r="AR12002" s="19"/>
      <c r="AS12002" s="19"/>
      <c r="AT12002" s="19"/>
      <c r="AU12002" s="19"/>
    </row>
    <row r="12003" spans="3:47">
      <c r="C12003" s="20"/>
      <c r="Z12003" s="20"/>
      <c r="AG12003" s="20"/>
      <c r="AQ12003" s="19"/>
      <c r="AR12003" s="19"/>
      <c r="AS12003" s="19"/>
      <c r="AT12003" s="19"/>
      <c r="AU12003" s="19"/>
    </row>
    <row r="12004" spans="3:47">
      <c r="C12004" s="20"/>
      <c r="Z12004" s="20"/>
      <c r="AG12004" s="20"/>
      <c r="AQ12004" s="19"/>
      <c r="AR12004" s="19"/>
      <c r="AS12004" s="19"/>
      <c r="AT12004" s="19"/>
      <c r="AU12004" s="19"/>
    </row>
    <row r="12005" spans="3:47">
      <c r="C12005" s="20"/>
      <c r="Z12005" s="20"/>
      <c r="AG12005" s="20"/>
      <c r="AQ12005" s="19"/>
      <c r="AR12005" s="19"/>
      <c r="AS12005" s="19"/>
      <c r="AT12005" s="19"/>
      <c r="AU12005" s="19"/>
    </row>
    <row r="12006" spans="3:47">
      <c r="C12006" s="20"/>
      <c r="Z12006" s="20"/>
      <c r="AG12006" s="20"/>
      <c r="AQ12006" s="19"/>
      <c r="AR12006" s="19"/>
      <c r="AS12006" s="19"/>
      <c r="AT12006" s="19"/>
      <c r="AU12006" s="19"/>
    </row>
    <row r="12007" spans="3:47">
      <c r="C12007" s="20"/>
      <c r="Z12007" s="20"/>
      <c r="AG12007" s="20"/>
      <c r="AQ12007" s="19"/>
      <c r="AR12007" s="19"/>
      <c r="AS12007" s="19"/>
      <c r="AT12007" s="19"/>
      <c r="AU12007" s="19"/>
    </row>
    <row r="12008" spans="3:47">
      <c r="C12008" s="20"/>
      <c r="Z12008" s="20"/>
      <c r="AG12008" s="20"/>
      <c r="AQ12008" s="19"/>
      <c r="AR12008" s="19"/>
      <c r="AS12008" s="19"/>
      <c r="AT12008" s="19"/>
      <c r="AU12008" s="19"/>
    </row>
    <row r="12009" spans="3:47">
      <c r="C12009" s="20"/>
      <c r="Z12009" s="20"/>
      <c r="AG12009" s="20"/>
      <c r="AQ12009" s="19"/>
      <c r="AR12009" s="19"/>
      <c r="AS12009" s="19"/>
      <c r="AT12009" s="19"/>
      <c r="AU12009" s="19"/>
    </row>
    <row r="12010" spans="3:47">
      <c r="C12010" s="20"/>
      <c r="Z12010" s="20"/>
      <c r="AG12010" s="20"/>
      <c r="AQ12010" s="19"/>
      <c r="AR12010" s="19"/>
      <c r="AS12010" s="19"/>
      <c r="AT12010" s="19"/>
      <c r="AU12010" s="19"/>
    </row>
    <row r="12011" spans="3:47">
      <c r="C12011" s="20"/>
      <c r="Z12011" s="20"/>
      <c r="AG12011" s="20"/>
      <c r="AQ12011" s="19"/>
      <c r="AR12011" s="19"/>
      <c r="AS12011" s="19"/>
      <c r="AT12011" s="19"/>
      <c r="AU12011" s="19"/>
    </row>
    <row r="12012" spans="3:47">
      <c r="C12012" s="20"/>
      <c r="Z12012" s="20"/>
      <c r="AG12012" s="20"/>
      <c r="AQ12012" s="19"/>
      <c r="AR12012" s="19"/>
      <c r="AS12012" s="19"/>
      <c r="AT12012" s="19"/>
      <c r="AU12012" s="19"/>
    </row>
    <row r="12013" spans="3:47">
      <c r="C12013" s="20"/>
      <c r="Z12013" s="20"/>
      <c r="AG12013" s="20"/>
      <c r="AQ12013" s="19"/>
      <c r="AR12013" s="19"/>
      <c r="AS12013" s="19"/>
      <c r="AT12013" s="19"/>
      <c r="AU12013" s="19"/>
    </row>
    <row r="12014" spans="3:47">
      <c r="C12014" s="20"/>
      <c r="Z12014" s="20"/>
      <c r="AG12014" s="20"/>
      <c r="AQ12014" s="19"/>
      <c r="AR12014" s="19"/>
      <c r="AS12014" s="19"/>
      <c r="AT12014" s="19"/>
      <c r="AU12014" s="19"/>
    </row>
    <row r="12015" spans="3:47">
      <c r="C12015" s="20"/>
      <c r="Z12015" s="20"/>
      <c r="AG12015" s="20"/>
      <c r="AQ12015" s="19"/>
      <c r="AR12015" s="19"/>
      <c r="AS12015" s="19"/>
      <c r="AT12015" s="19"/>
      <c r="AU12015" s="19"/>
    </row>
    <row r="12016" spans="3:47">
      <c r="C12016" s="20"/>
      <c r="Z12016" s="20"/>
      <c r="AG12016" s="20"/>
      <c r="AQ12016" s="19"/>
      <c r="AR12016" s="19"/>
      <c r="AS12016" s="19"/>
      <c r="AT12016" s="19"/>
      <c r="AU12016" s="19"/>
    </row>
    <row r="12017" spans="3:47">
      <c r="C12017" s="20"/>
      <c r="Z12017" s="20"/>
      <c r="AG12017" s="20"/>
      <c r="AQ12017" s="19"/>
      <c r="AR12017" s="19"/>
      <c r="AS12017" s="19"/>
      <c r="AT12017" s="19"/>
      <c r="AU12017" s="19"/>
    </row>
    <row r="12018" spans="3:47">
      <c r="C12018" s="20"/>
      <c r="Z12018" s="20"/>
      <c r="AG12018" s="20"/>
      <c r="AQ12018" s="19"/>
      <c r="AR12018" s="19"/>
      <c r="AS12018" s="19"/>
      <c r="AT12018" s="19"/>
      <c r="AU12018" s="19"/>
    </row>
    <row r="12019" spans="3:47">
      <c r="C12019" s="20"/>
      <c r="Z12019" s="20"/>
      <c r="AG12019" s="20"/>
      <c r="AQ12019" s="19"/>
      <c r="AR12019" s="19"/>
      <c r="AS12019" s="19"/>
      <c r="AT12019" s="19"/>
      <c r="AU12019" s="19"/>
    </row>
    <row r="12020" spans="3:47">
      <c r="C12020" s="20"/>
      <c r="Z12020" s="20"/>
      <c r="AG12020" s="20"/>
      <c r="AQ12020" s="19"/>
      <c r="AR12020" s="19"/>
      <c r="AS12020" s="19"/>
      <c r="AT12020" s="19"/>
      <c r="AU12020" s="19"/>
    </row>
    <row r="12021" spans="3:47">
      <c r="C12021" s="20"/>
      <c r="Z12021" s="20"/>
      <c r="AG12021" s="20"/>
      <c r="AQ12021" s="19"/>
      <c r="AR12021" s="19"/>
      <c r="AS12021" s="19"/>
      <c r="AT12021" s="19"/>
      <c r="AU12021" s="19"/>
    </row>
    <row r="12022" spans="3:47">
      <c r="C12022" s="20"/>
      <c r="Z12022" s="20"/>
      <c r="AG12022" s="20"/>
      <c r="AQ12022" s="19"/>
      <c r="AR12022" s="19"/>
      <c r="AS12022" s="19"/>
      <c r="AT12022" s="19"/>
      <c r="AU12022" s="19"/>
    </row>
    <row r="12023" spans="3:47">
      <c r="C12023" s="20"/>
      <c r="Z12023" s="20"/>
      <c r="AG12023" s="20"/>
      <c r="AQ12023" s="19"/>
      <c r="AR12023" s="19"/>
      <c r="AS12023" s="19"/>
      <c r="AT12023" s="19"/>
      <c r="AU12023" s="19"/>
    </row>
    <row r="12024" spans="3:47">
      <c r="C12024" s="20"/>
      <c r="Z12024" s="20"/>
      <c r="AG12024" s="20"/>
      <c r="AQ12024" s="19"/>
      <c r="AR12024" s="19"/>
      <c r="AS12024" s="19"/>
      <c r="AT12024" s="19"/>
      <c r="AU12024" s="19"/>
    </row>
    <row r="12025" spans="3:47">
      <c r="C12025" s="20"/>
      <c r="Z12025" s="20"/>
      <c r="AG12025" s="20"/>
      <c r="AQ12025" s="19"/>
      <c r="AR12025" s="19"/>
      <c r="AS12025" s="19"/>
      <c r="AT12025" s="19"/>
      <c r="AU12025" s="19"/>
    </row>
    <row r="12026" spans="3:47">
      <c r="C12026" s="20"/>
      <c r="Z12026" s="20"/>
      <c r="AG12026" s="20"/>
      <c r="AQ12026" s="19"/>
      <c r="AR12026" s="19"/>
      <c r="AS12026" s="19"/>
      <c r="AT12026" s="19"/>
      <c r="AU12026" s="19"/>
    </row>
    <row r="12027" spans="3:47">
      <c r="C12027" s="20"/>
      <c r="Z12027" s="20"/>
      <c r="AG12027" s="20"/>
      <c r="AQ12027" s="19"/>
      <c r="AR12027" s="19"/>
      <c r="AS12027" s="19"/>
      <c r="AT12027" s="19"/>
      <c r="AU12027" s="19"/>
    </row>
    <row r="12028" spans="3:47">
      <c r="C12028" s="20"/>
      <c r="Z12028" s="20"/>
      <c r="AG12028" s="20"/>
      <c r="AQ12028" s="19"/>
      <c r="AR12028" s="19"/>
      <c r="AS12028" s="19"/>
      <c r="AT12028" s="19"/>
      <c r="AU12028" s="19"/>
    </row>
    <row r="12029" spans="3:47">
      <c r="C12029" s="20"/>
      <c r="Z12029" s="20"/>
      <c r="AG12029" s="20"/>
      <c r="AQ12029" s="19"/>
      <c r="AR12029" s="19"/>
      <c r="AS12029" s="19"/>
      <c r="AT12029" s="19"/>
      <c r="AU12029" s="19"/>
    </row>
    <row r="12030" spans="3:47">
      <c r="C12030" s="20"/>
      <c r="Z12030" s="20"/>
      <c r="AG12030" s="20"/>
      <c r="AQ12030" s="19"/>
      <c r="AR12030" s="19"/>
      <c r="AS12030" s="19"/>
      <c r="AT12030" s="19"/>
      <c r="AU12030" s="19"/>
    </row>
    <row r="12031" spans="3:47">
      <c r="C12031" s="20"/>
      <c r="Z12031" s="20"/>
      <c r="AG12031" s="20"/>
      <c r="AQ12031" s="19"/>
      <c r="AR12031" s="19"/>
      <c r="AS12031" s="19"/>
      <c r="AT12031" s="19"/>
      <c r="AU12031" s="19"/>
    </row>
    <row r="12032" spans="3:47">
      <c r="C12032" s="20"/>
      <c r="Z12032" s="20"/>
      <c r="AG12032" s="20"/>
      <c r="AQ12032" s="19"/>
      <c r="AR12032" s="19"/>
      <c r="AS12032" s="19"/>
      <c r="AT12032" s="19"/>
      <c r="AU12032" s="19"/>
    </row>
    <row r="12033" spans="3:47">
      <c r="C12033" s="20"/>
      <c r="Z12033" s="20"/>
      <c r="AG12033" s="20"/>
      <c r="AQ12033" s="19"/>
      <c r="AR12033" s="19"/>
      <c r="AS12033" s="19"/>
      <c r="AT12033" s="19"/>
      <c r="AU12033" s="19"/>
    </row>
    <row r="12034" spans="3:47">
      <c r="C12034" s="20"/>
      <c r="Z12034" s="20"/>
      <c r="AG12034" s="20"/>
      <c r="AQ12034" s="19"/>
      <c r="AR12034" s="19"/>
      <c r="AS12034" s="19"/>
      <c r="AT12034" s="19"/>
      <c r="AU12034" s="19"/>
    </row>
    <row r="12035" spans="3:47">
      <c r="C12035" s="20"/>
      <c r="Z12035" s="20"/>
      <c r="AG12035" s="20"/>
      <c r="AQ12035" s="19"/>
      <c r="AR12035" s="19"/>
      <c r="AS12035" s="19"/>
      <c r="AT12035" s="19"/>
      <c r="AU12035" s="19"/>
    </row>
    <row r="12036" spans="3:47">
      <c r="C12036" s="20"/>
      <c r="Z12036" s="20"/>
      <c r="AG12036" s="20"/>
      <c r="AQ12036" s="19"/>
      <c r="AR12036" s="19"/>
      <c r="AS12036" s="19"/>
      <c r="AT12036" s="19"/>
      <c r="AU12036" s="19"/>
    </row>
    <row r="12037" spans="3:47">
      <c r="C12037" s="20"/>
      <c r="Z12037" s="20"/>
      <c r="AG12037" s="20"/>
      <c r="AQ12037" s="19"/>
      <c r="AR12037" s="19"/>
      <c r="AS12037" s="19"/>
      <c r="AT12037" s="19"/>
      <c r="AU12037" s="19"/>
    </row>
    <row r="12038" spans="3:47">
      <c r="C12038" s="20"/>
      <c r="Z12038" s="20"/>
      <c r="AG12038" s="20"/>
      <c r="AQ12038" s="19"/>
      <c r="AR12038" s="19"/>
      <c r="AS12038" s="19"/>
      <c r="AT12038" s="19"/>
      <c r="AU12038" s="19"/>
    </row>
    <row r="12039" spans="3:47">
      <c r="C12039" s="20"/>
      <c r="Z12039" s="20"/>
      <c r="AG12039" s="20"/>
      <c r="AQ12039" s="19"/>
      <c r="AR12039" s="19"/>
      <c r="AS12039" s="19"/>
      <c r="AT12039" s="19"/>
      <c r="AU12039" s="19"/>
    </row>
    <row r="12040" spans="3:47">
      <c r="C12040" s="20"/>
      <c r="Z12040" s="20"/>
      <c r="AG12040" s="20"/>
      <c r="AQ12040" s="19"/>
      <c r="AR12040" s="19"/>
      <c r="AS12040" s="19"/>
      <c r="AT12040" s="19"/>
      <c r="AU12040" s="19"/>
    </row>
    <row r="12041" spans="3:47">
      <c r="C12041" s="20"/>
      <c r="Z12041" s="20"/>
      <c r="AG12041" s="20"/>
      <c r="AQ12041" s="19"/>
      <c r="AR12041" s="19"/>
      <c r="AS12041" s="19"/>
      <c r="AT12041" s="19"/>
      <c r="AU12041" s="19"/>
    </row>
    <row r="12042" spans="3:47">
      <c r="C12042" s="20"/>
      <c r="Z12042" s="20"/>
      <c r="AG12042" s="20"/>
      <c r="AQ12042" s="19"/>
      <c r="AR12042" s="19"/>
      <c r="AS12042" s="19"/>
      <c r="AT12042" s="19"/>
      <c r="AU12042" s="19"/>
    </row>
    <row r="12043" spans="3:47">
      <c r="C12043" s="20"/>
      <c r="Z12043" s="20"/>
      <c r="AG12043" s="20"/>
      <c r="AQ12043" s="19"/>
      <c r="AR12043" s="19"/>
      <c r="AS12043" s="19"/>
      <c r="AT12043" s="19"/>
      <c r="AU12043" s="19"/>
    </row>
    <row r="12044" spans="3:47">
      <c r="C12044" s="20"/>
      <c r="Z12044" s="20"/>
      <c r="AG12044" s="20"/>
      <c r="AQ12044" s="19"/>
      <c r="AR12044" s="19"/>
      <c r="AS12044" s="19"/>
      <c r="AT12044" s="19"/>
      <c r="AU12044" s="19"/>
    </row>
    <row r="12045" spans="3:47">
      <c r="C12045" s="20"/>
      <c r="Z12045" s="20"/>
      <c r="AG12045" s="20"/>
      <c r="AQ12045" s="19"/>
      <c r="AR12045" s="19"/>
      <c r="AS12045" s="19"/>
      <c r="AT12045" s="19"/>
      <c r="AU12045" s="19"/>
    </row>
    <row r="12046" spans="3:47">
      <c r="C12046" s="20"/>
      <c r="Z12046" s="20"/>
      <c r="AG12046" s="20"/>
      <c r="AQ12046" s="19"/>
      <c r="AR12046" s="19"/>
      <c r="AS12046" s="19"/>
      <c r="AT12046" s="19"/>
      <c r="AU12046" s="19"/>
    </row>
    <row r="12047" spans="3:47">
      <c r="C12047" s="20"/>
      <c r="Z12047" s="20"/>
      <c r="AG12047" s="20"/>
      <c r="AQ12047" s="19"/>
      <c r="AR12047" s="19"/>
      <c r="AS12047" s="19"/>
      <c r="AT12047" s="19"/>
      <c r="AU12047" s="19"/>
    </row>
    <row r="12048" spans="3:47">
      <c r="C12048" s="20"/>
      <c r="Z12048" s="20"/>
      <c r="AG12048" s="20"/>
      <c r="AQ12048" s="19"/>
      <c r="AR12048" s="19"/>
      <c r="AS12048" s="19"/>
      <c r="AT12048" s="19"/>
      <c r="AU12048" s="19"/>
    </row>
    <row r="12049" spans="3:47">
      <c r="C12049" s="20"/>
      <c r="Z12049" s="20"/>
      <c r="AG12049" s="20"/>
      <c r="AQ12049" s="19"/>
      <c r="AR12049" s="19"/>
      <c r="AS12049" s="19"/>
      <c r="AT12049" s="19"/>
      <c r="AU12049" s="19"/>
    </row>
    <row r="12050" spans="3:47">
      <c r="C12050" s="20"/>
      <c r="Z12050" s="20"/>
      <c r="AG12050" s="20"/>
      <c r="AQ12050" s="19"/>
      <c r="AR12050" s="19"/>
      <c r="AS12050" s="19"/>
      <c r="AT12050" s="19"/>
      <c r="AU12050" s="19"/>
    </row>
    <row r="12051" spans="3:47">
      <c r="C12051" s="20"/>
      <c r="Z12051" s="20"/>
      <c r="AG12051" s="20"/>
      <c r="AQ12051" s="19"/>
      <c r="AR12051" s="19"/>
      <c r="AS12051" s="19"/>
      <c r="AT12051" s="19"/>
      <c r="AU12051" s="19"/>
    </row>
    <row r="12052" spans="3:47">
      <c r="C12052" s="20"/>
      <c r="Z12052" s="20"/>
      <c r="AG12052" s="20"/>
      <c r="AQ12052" s="19"/>
      <c r="AR12052" s="19"/>
      <c r="AS12052" s="19"/>
      <c r="AT12052" s="19"/>
      <c r="AU12052" s="19"/>
    </row>
    <row r="12053" spans="3:47">
      <c r="C12053" s="20"/>
      <c r="Z12053" s="20"/>
      <c r="AG12053" s="20"/>
      <c r="AQ12053" s="19"/>
      <c r="AR12053" s="19"/>
      <c r="AS12053" s="19"/>
      <c r="AT12053" s="19"/>
      <c r="AU12053" s="19"/>
    </row>
    <row r="12054" spans="3:47">
      <c r="C12054" s="20"/>
      <c r="Z12054" s="20"/>
      <c r="AG12054" s="20"/>
      <c r="AQ12054" s="19"/>
      <c r="AR12054" s="19"/>
      <c r="AS12054" s="19"/>
      <c r="AT12054" s="19"/>
      <c r="AU12054" s="19"/>
    </row>
    <row r="12055" spans="3:47">
      <c r="C12055" s="20"/>
      <c r="Z12055" s="20"/>
      <c r="AG12055" s="20"/>
      <c r="AQ12055" s="19"/>
      <c r="AR12055" s="19"/>
      <c r="AS12055" s="19"/>
      <c r="AT12055" s="19"/>
      <c r="AU12055" s="19"/>
    </row>
    <row r="12056" spans="3:47">
      <c r="C12056" s="20"/>
      <c r="Z12056" s="20"/>
      <c r="AG12056" s="20"/>
      <c r="AQ12056" s="19"/>
      <c r="AR12056" s="19"/>
      <c r="AS12056" s="19"/>
      <c r="AT12056" s="19"/>
      <c r="AU12056" s="19"/>
    </row>
    <row r="12057" spans="3:47">
      <c r="C12057" s="20"/>
      <c r="Z12057" s="20"/>
      <c r="AG12057" s="20"/>
      <c r="AQ12057" s="19"/>
      <c r="AR12057" s="19"/>
      <c r="AS12057" s="19"/>
      <c r="AT12057" s="19"/>
      <c r="AU12057" s="19"/>
    </row>
    <row r="12058" spans="3:47">
      <c r="C12058" s="20"/>
      <c r="Z12058" s="20"/>
      <c r="AG12058" s="20"/>
      <c r="AQ12058" s="19"/>
      <c r="AR12058" s="19"/>
      <c r="AS12058" s="19"/>
      <c r="AT12058" s="19"/>
      <c r="AU12058" s="19"/>
    </row>
    <row r="12059" spans="3:47">
      <c r="C12059" s="20"/>
      <c r="Z12059" s="20"/>
      <c r="AG12059" s="20"/>
      <c r="AQ12059" s="19"/>
      <c r="AR12059" s="19"/>
      <c r="AS12059" s="19"/>
      <c r="AT12059" s="19"/>
      <c r="AU12059" s="19"/>
    </row>
    <row r="12060" spans="3:47">
      <c r="C12060" s="20"/>
      <c r="Z12060" s="20"/>
      <c r="AG12060" s="20"/>
      <c r="AQ12060" s="19"/>
      <c r="AR12060" s="19"/>
      <c r="AS12060" s="19"/>
      <c r="AT12060" s="19"/>
      <c r="AU12060" s="19"/>
    </row>
    <row r="12061" spans="3:47">
      <c r="C12061" s="20"/>
      <c r="Z12061" s="20"/>
      <c r="AG12061" s="20"/>
      <c r="AQ12061" s="19"/>
      <c r="AR12061" s="19"/>
      <c r="AS12061" s="19"/>
      <c r="AT12061" s="19"/>
      <c r="AU12061" s="19"/>
    </row>
    <row r="12062" spans="3:47">
      <c r="C12062" s="20"/>
      <c r="Z12062" s="20"/>
      <c r="AG12062" s="20"/>
      <c r="AQ12062" s="19"/>
      <c r="AR12062" s="19"/>
      <c r="AS12062" s="19"/>
      <c r="AT12062" s="19"/>
      <c r="AU12062" s="19"/>
    </row>
    <row r="12063" spans="3:47">
      <c r="C12063" s="20"/>
      <c r="Z12063" s="20"/>
      <c r="AG12063" s="20"/>
      <c r="AQ12063" s="19"/>
      <c r="AR12063" s="19"/>
      <c r="AS12063" s="19"/>
      <c r="AT12063" s="19"/>
      <c r="AU12063" s="19"/>
    </row>
    <row r="12064" spans="3:47">
      <c r="C12064" s="20"/>
      <c r="Z12064" s="20"/>
      <c r="AG12064" s="20"/>
      <c r="AQ12064" s="19"/>
      <c r="AR12064" s="19"/>
      <c r="AS12064" s="19"/>
      <c r="AT12064" s="19"/>
      <c r="AU12064" s="19"/>
    </row>
    <row r="12065" spans="3:47">
      <c r="C12065" s="20"/>
      <c r="Z12065" s="20"/>
      <c r="AG12065" s="20"/>
      <c r="AQ12065" s="19"/>
      <c r="AR12065" s="19"/>
      <c r="AS12065" s="19"/>
      <c r="AT12065" s="19"/>
      <c r="AU12065" s="19"/>
    </row>
    <row r="12066" spans="3:47">
      <c r="C12066" s="20"/>
      <c r="Z12066" s="20"/>
      <c r="AG12066" s="20"/>
      <c r="AQ12066" s="19"/>
      <c r="AR12066" s="19"/>
      <c r="AS12066" s="19"/>
      <c r="AT12066" s="19"/>
      <c r="AU12066" s="19"/>
    </row>
    <row r="12067" spans="3:47">
      <c r="C12067" s="20"/>
      <c r="Z12067" s="20"/>
      <c r="AG12067" s="20"/>
      <c r="AQ12067" s="19"/>
      <c r="AR12067" s="19"/>
      <c r="AS12067" s="19"/>
      <c r="AT12067" s="19"/>
      <c r="AU12067" s="19"/>
    </row>
    <row r="12068" spans="3:47">
      <c r="C12068" s="20"/>
      <c r="Z12068" s="20"/>
      <c r="AG12068" s="20"/>
      <c r="AQ12068" s="19"/>
      <c r="AR12068" s="19"/>
      <c r="AS12068" s="19"/>
      <c r="AT12068" s="19"/>
      <c r="AU12068" s="19"/>
    </row>
    <row r="12069" spans="3:47">
      <c r="C12069" s="20"/>
      <c r="Z12069" s="20"/>
      <c r="AG12069" s="20"/>
      <c r="AQ12069" s="19"/>
      <c r="AR12069" s="19"/>
      <c r="AS12069" s="19"/>
      <c r="AT12069" s="19"/>
      <c r="AU12069" s="19"/>
    </row>
    <row r="12070" spans="3:47">
      <c r="C12070" s="20"/>
      <c r="Z12070" s="20"/>
      <c r="AG12070" s="20"/>
      <c r="AQ12070" s="19"/>
      <c r="AR12070" s="19"/>
      <c r="AS12070" s="19"/>
      <c r="AT12070" s="19"/>
      <c r="AU12070" s="19"/>
    </row>
    <row r="12071" spans="3:47">
      <c r="C12071" s="20"/>
      <c r="Z12071" s="20"/>
      <c r="AG12071" s="20"/>
      <c r="AQ12071" s="19"/>
      <c r="AR12071" s="19"/>
      <c r="AS12071" s="19"/>
      <c r="AT12071" s="19"/>
      <c r="AU12071" s="19"/>
    </row>
    <row r="12072" spans="3:47">
      <c r="C12072" s="20"/>
      <c r="Z12072" s="20"/>
      <c r="AG12072" s="20"/>
      <c r="AQ12072" s="19"/>
      <c r="AR12072" s="19"/>
      <c r="AS12072" s="19"/>
      <c r="AT12072" s="19"/>
      <c r="AU12072" s="19"/>
    </row>
    <row r="12073" spans="3:47">
      <c r="C12073" s="20"/>
      <c r="Z12073" s="20"/>
      <c r="AG12073" s="20"/>
      <c r="AQ12073" s="19"/>
      <c r="AR12073" s="19"/>
      <c r="AS12073" s="19"/>
      <c r="AT12073" s="19"/>
      <c r="AU12073" s="19"/>
    </row>
    <row r="12074" spans="3:47">
      <c r="C12074" s="20"/>
      <c r="Z12074" s="20"/>
      <c r="AG12074" s="20"/>
      <c r="AQ12074" s="19"/>
      <c r="AR12074" s="19"/>
      <c r="AS12074" s="19"/>
      <c r="AT12074" s="19"/>
      <c r="AU12074" s="19"/>
    </row>
    <row r="12075" spans="3:47">
      <c r="C12075" s="20"/>
      <c r="Z12075" s="20"/>
      <c r="AG12075" s="20"/>
      <c r="AQ12075" s="19"/>
      <c r="AR12075" s="19"/>
      <c r="AS12075" s="19"/>
      <c r="AT12075" s="19"/>
      <c r="AU12075" s="19"/>
    </row>
    <row r="12076" spans="3:47">
      <c r="C12076" s="20"/>
      <c r="Z12076" s="20"/>
      <c r="AG12076" s="20"/>
      <c r="AQ12076" s="19"/>
      <c r="AR12076" s="19"/>
      <c r="AS12076" s="19"/>
      <c r="AT12076" s="19"/>
      <c r="AU12076" s="19"/>
    </row>
    <row r="12077" spans="3:47">
      <c r="C12077" s="20"/>
      <c r="Z12077" s="20"/>
      <c r="AG12077" s="20"/>
      <c r="AQ12077" s="19"/>
      <c r="AR12077" s="19"/>
      <c r="AS12077" s="19"/>
      <c r="AT12077" s="19"/>
      <c r="AU12077" s="19"/>
    </row>
    <row r="12078" spans="3:47">
      <c r="C12078" s="20"/>
      <c r="Z12078" s="20"/>
      <c r="AG12078" s="20"/>
      <c r="AQ12078" s="19"/>
      <c r="AR12078" s="19"/>
      <c r="AS12078" s="19"/>
      <c r="AT12078" s="19"/>
      <c r="AU12078" s="19"/>
    </row>
    <row r="12079" spans="3:47">
      <c r="C12079" s="20"/>
      <c r="Z12079" s="20"/>
      <c r="AG12079" s="20"/>
      <c r="AQ12079" s="19"/>
      <c r="AR12079" s="19"/>
      <c r="AS12079" s="19"/>
      <c r="AT12079" s="19"/>
      <c r="AU12079" s="19"/>
    </row>
    <row r="12080" spans="3:47">
      <c r="C12080" s="20"/>
      <c r="Z12080" s="20"/>
      <c r="AG12080" s="20"/>
      <c r="AQ12080" s="19"/>
      <c r="AR12080" s="19"/>
      <c r="AS12080" s="19"/>
      <c r="AT12080" s="19"/>
      <c r="AU12080" s="19"/>
    </row>
    <row r="12081" spans="3:47">
      <c r="C12081" s="20"/>
      <c r="Z12081" s="20"/>
      <c r="AG12081" s="20"/>
      <c r="AQ12081" s="19"/>
      <c r="AR12081" s="19"/>
      <c r="AS12081" s="19"/>
      <c r="AT12081" s="19"/>
      <c r="AU12081" s="19"/>
    </row>
    <row r="12082" spans="3:47">
      <c r="C12082" s="20"/>
      <c r="Z12082" s="20"/>
      <c r="AG12082" s="20"/>
      <c r="AQ12082" s="19"/>
      <c r="AR12082" s="19"/>
      <c r="AS12082" s="19"/>
      <c r="AT12082" s="19"/>
      <c r="AU12082" s="19"/>
    </row>
    <row r="12083" spans="3:47">
      <c r="C12083" s="20"/>
      <c r="Z12083" s="20"/>
      <c r="AG12083" s="20"/>
      <c r="AQ12083" s="19"/>
      <c r="AR12083" s="19"/>
      <c r="AS12083" s="19"/>
      <c r="AT12083" s="19"/>
      <c r="AU12083" s="19"/>
    </row>
    <row r="12084" spans="3:47">
      <c r="C12084" s="20"/>
      <c r="Z12084" s="20"/>
      <c r="AG12084" s="20"/>
      <c r="AQ12084" s="19"/>
      <c r="AR12084" s="19"/>
      <c r="AS12084" s="19"/>
      <c r="AT12084" s="19"/>
      <c r="AU12084" s="19"/>
    </row>
    <row r="12085" spans="3:47">
      <c r="C12085" s="20"/>
      <c r="Z12085" s="20"/>
      <c r="AG12085" s="20"/>
      <c r="AQ12085" s="19"/>
      <c r="AR12085" s="19"/>
      <c r="AS12085" s="19"/>
      <c r="AT12085" s="19"/>
      <c r="AU12085" s="19"/>
    </row>
    <row r="12086" spans="3:47">
      <c r="C12086" s="20"/>
      <c r="Z12086" s="20"/>
      <c r="AG12086" s="20"/>
      <c r="AQ12086" s="19"/>
      <c r="AR12086" s="19"/>
      <c r="AS12086" s="19"/>
      <c r="AT12086" s="19"/>
      <c r="AU12086" s="19"/>
    </row>
    <row r="12087" spans="3:47">
      <c r="C12087" s="20"/>
      <c r="Z12087" s="20"/>
      <c r="AG12087" s="20"/>
      <c r="AQ12087" s="19"/>
      <c r="AR12087" s="19"/>
      <c r="AS12087" s="19"/>
      <c r="AT12087" s="19"/>
      <c r="AU12087" s="19"/>
    </row>
    <row r="12088" spans="3:47">
      <c r="C12088" s="20"/>
      <c r="Z12088" s="20"/>
      <c r="AG12088" s="20"/>
      <c r="AQ12088" s="19"/>
      <c r="AR12088" s="19"/>
      <c r="AS12088" s="19"/>
      <c r="AT12088" s="19"/>
      <c r="AU12088" s="19"/>
    </row>
    <row r="12089" spans="3:47">
      <c r="C12089" s="20"/>
      <c r="Z12089" s="20"/>
      <c r="AG12089" s="20"/>
      <c r="AQ12089" s="19"/>
      <c r="AR12089" s="19"/>
      <c r="AS12089" s="19"/>
      <c r="AT12089" s="19"/>
      <c r="AU12089" s="19"/>
    </row>
    <row r="12090" spans="3:47">
      <c r="C12090" s="20"/>
      <c r="Z12090" s="20"/>
      <c r="AG12090" s="20"/>
      <c r="AQ12090" s="19"/>
      <c r="AR12090" s="19"/>
      <c r="AS12090" s="19"/>
      <c r="AT12090" s="19"/>
      <c r="AU12090" s="19"/>
    </row>
    <row r="12091" spans="3:47">
      <c r="C12091" s="20"/>
      <c r="Z12091" s="20"/>
      <c r="AG12091" s="20"/>
      <c r="AQ12091" s="19"/>
      <c r="AR12091" s="19"/>
      <c r="AS12091" s="19"/>
      <c r="AT12091" s="19"/>
      <c r="AU12091" s="19"/>
    </row>
    <row r="12092" spans="3:47">
      <c r="C12092" s="20"/>
      <c r="Z12092" s="20"/>
      <c r="AG12092" s="20"/>
      <c r="AQ12092" s="19"/>
      <c r="AR12092" s="19"/>
      <c r="AS12092" s="19"/>
      <c r="AT12092" s="19"/>
      <c r="AU12092" s="19"/>
    </row>
    <row r="12093" spans="3:47">
      <c r="C12093" s="20"/>
      <c r="Z12093" s="20"/>
      <c r="AG12093" s="20"/>
      <c r="AQ12093" s="19"/>
      <c r="AR12093" s="19"/>
      <c r="AS12093" s="19"/>
      <c r="AT12093" s="19"/>
      <c r="AU12093" s="19"/>
    </row>
    <row r="12094" spans="3:47">
      <c r="C12094" s="20"/>
      <c r="Z12094" s="20"/>
      <c r="AG12094" s="20"/>
      <c r="AQ12094" s="19"/>
      <c r="AR12094" s="19"/>
      <c r="AS12094" s="19"/>
      <c r="AT12094" s="19"/>
      <c r="AU12094" s="19"/>
    </row>
    <row r="12095" spans="3:47">
      <c r="C12095" s="20"/>
      <c r="Z12095" s="20"/>
      <c r="AG12095" s="20"/>
      <c r="AQ12095" s="19"/>
      <c r="AR12095" s="19"/>
      <c r="AS12095" s="19"/>
      <c r="AT12095" s="19"/>
      <c r="AU12095" s="19"/>
    </row>
    <row r="12096" spans="3:47">
      <c r="C12096" s="20"/>
      <c r="Z12096" s="20"/>
      <c r="AG12096" s="20"/>
      <c r="AQ12096" s="19"/>
      <c r="AR12096" s="19"/>
      <c r="AS12096" s="19"/>
      <c r="AT12096" s="19"/>
      <c r="AU12096" s="19"/>
    </row>
    <row r="12097" spans="3:47">
      <c r="C12097" s="20"/>
      <c r="Z12097" s="20"/>
      <c r="AG12097" s="20"/>
      <c r="AQ12097" s="19"/>
      <c r="AR12097" s="19"/>
      <c r="AS12097" s="19"/>
      <c r="AT12097" s="19"/>
      <c r="AU12097" s="19"/>
    </row>
    <row r="12098" spans="3:47">
      <c r="C12098" s="20"/>
      <c r="Z12098" s="20"/>
      <c r="AG12098" s="20"/>
      <c r="AQ12098" s="19"/>
      <c r="AR12098" s="19"/>
      <c r="AS12098" s="19"/>
      <c r="AT12098" s="19"/>
      <c r="AU12098" s="19"/>
    </row>
    <row r="12099" spans="3:47">
      <c r="C12099" s="20"/>
      <c r="Z12099" s="20"/>
      <c r="AG12099" s="20"/>
      <c r="AQ12099" s="19"/>
      <c r="AR12099" s="19"/>
      <c r="AS12099" s="19"/>
      <c r="AT12099" s="19"/>
      <c r="AU12099" s="19"/>
    </row>
    <row r="12100" spans="3:47">
      <c r="C12100" s="20"/>
      <c r="Z12100" s="20"/>
      <c r="AG12100" s="20"/>
      <c r="AQ12100" s="19"/>
      <c r="AR12100" s="19"/>
      <c r="AS12100" s="19"/>
      <c r="AT12100" s="19"/>
      <c r="AU12100" s="19"/>
    </row>
    <row r="12101" spans="3:47">
      <c r="C12101" s="20"/>
      <c r="Z12101" s="20"/>
      <c r="AG12101" s="20"/>
      <c r="AQ12101" s="19"/>
      <c r="AR12101" s="19"/>
      <c r="AS12101" s="19"/>
      <c r="AT12101" s="19"/>
      <c r="AU12101" s="19"/>
    </row>
    <row r="12102" spans="3:47">
      <c r="C12102" s="20"/>
      <c r="Z12102" s="20"/>
      <c r="AG12102" s="20"/>
      <c r="AQ12102" s="19"/>
      <c r="AR12102" s="19"/>
      <c r="AS12102" s="19"/>
      <c r="AT12102" s="19"/>
      <c r="AU12102" s="19"/>
    </row>
    <row r="12103" spans="3:47">
      <c r="C12103" s="20"/>
      <c r="Z12103" s="20"/>
      <c r="AG12103" s="20"/>
      <c r="AQ12103" s="19"/>
      <c r="AR12103" s="19"/>
      <c r="AS12103" s="19"/>
      <c r="AT12103" s="19"/>
      <c r="AU12103" s="19"/>
    </row>
    <row r="12104" spans="3:47">
      <c r="C12104" s="20"/>
      <c r="Z12104" s="20"/>
      <c r="AG12104" s="20"/>
      <c r="AQ12104" s="19"/>
      <c r="AR12104" s="19"/>
      <c r="AS12104" s="19"/>
      <c r="AT12104" s="19"/>
      <c r="AU12104" s="19"/>
    </row>
    <row r="12105" spans="3:47">
      <c r="C12105" s="20"/>
      <c r="Z12105" s="20"/>
      <c r="AG12105" s="20"/>
      <c r="AQ12105" s="19"/>
      <c r="AR12105" s="19"/>
      <c r="AS12105" s="19"/>
      <c r="AT12105" s="19"/>
      <c r="AU12105" s="19"/>
    </row>
    <row r="12106" spans="3:47">
      <c r="C12106" s="20"/>
      <c r="Z12106" s="20"/>
      <c r="AG12106" s="20"/>
      <c r="AQ12106" s="19"/>
      <c r="AR12106" s="19"/>
      <c r="AS12106" s="19"/>
      <c r="AT12106" s="19"/>
      <c r="AU12106" s="19"/>
    </row>
    <row r="12107" spans="3:47">
      <c r="C12107" s="20"/>
      <c r="Z12107" s="20"/>
      <c r="AG12107" s="20"/>
      <c r="AQ12107" s="19"/>
      <c r="AR12107" s="19"/>
      <c r="AS12107" s="19"/>
      <c r="AT12107" s="19"/>
      <c r="AU12107" s="19"/>
    </row>
    <row r="12108" spans="3:47">
      <c r="C12108" s="20"/>
      <c r="Z12108" s="20"/>
      <c r="AG12108" s="20"/>
      <c r="AQ12108" s="19"/>
      <c r="AR12108" s="19"/>
      <c r="AS12108" s="19"/>
      <c r="AT12108" s="19"/>
      <c r="AU12108" s="19"/>
    </row>
    <row r="12109" spans="3:47">
      <c r="C12109" s="20"/>
      <c r="Z12109" s="20"/>
      <c r="AG12109" s="20"/>
      <c r="AQ12109" s="19"/>
      <c r="AR12109" s="19"/>
      <c r="AS12109" s="19"/>
      <c r="AT12109" s="19"/>
      <c r="AU12109" s="19"/>
    </row>
    <row r="12110" spans="3:47">
      <c r="C12110" s="20"/>
      <c r="Z12110" s="20"/>
      <c r="AG12110" s="20"/>
      <c r="AQ12110" s="19"/>
      <c r="AR12110" s="19"/>
      <c r="AS12110" s="19"/>
      <c r="AT12110" s="19"/>
      <c r="AU12110" s="19"/>
    </row>
    <row r="12111" spans="3:47">
      <c r="C12111" s="20"/>
      <c r="Z12111" s="20"/>
      <c r="AG12111" s="20"/>
      <c r="AQ12111" s="19"/>
      <c r="AR12111" s="19"/>
      <c r="AS12111" s="19"/>
      <c r="AT12111" s="19"/>
      <c r="AU12111" s="19"/>
    </row>
    <row r="12112" spans="3:47">
      <c r="C12112" s="20"/>
      <c r="Z12112" s="20"/>
      <c r="AG12112" s="20"/>
      <c r="AQ12112" s="19"/>
      <c r="AR12112" s="19"/>
      <c r="AS12112" s="19"/>
      <c r="AT12112" s="19"/>
      <c r="AU12112" s="19"/>
    </row>
    <row r="12113" spans="3:47">
      <c r="C12113" s="20"/>
      <c r="Z12113" s="20"/>
      <c r="AG12113" s="20"/>
      <c r="AQ12113" s="19"/>
      <c r="AR12113" s="19"/>
      <c r="AS12113" s="19"/>
      <c r="AT12113" s="19"/>
      <c r="AU12113" s="19"/>
    </row>
    <row r="12114" spans="3:47">
      <c r="C12114" s="20"/>
      <c r="Z12114" s="20"/>
      <c r="AG12114" s="20"/>
      <c r="AQ12114" s="19"/>
      <c r="AR12114" s="19"/>
      <c r="AS12114" s="19"/>
      <c r="AT12114" s="19"/>
      <c r="AU12114" s="19"/>
    </row>
    <row r="12115" spans="3:47">
      <c r="C12115" s="20"/>
      <c r="Z12115" s="20"/>
      <c r="AG12115" s="20"/>
      <c r="AQ12115" s="19"/>
      <c r="AR12115" s="19"/>
      <c r="AS12115" s="19"/>
      <c r="AT12115" s="19"/>
      <c r="AU12115" s="19"/>
    </row>
    <row r="12116" spans="3:47">
      <c r="C12116" s="20"/>
      <c r="Z12116" s="20"/>
      <c r="AG12116" s="20"/>
      <c r="AQ12116" s="19"/>
      <c r="AR12116" s="19"/>
      <c r="AS12116" s="19"/>
      <c r="AT12116" s="19"/>
      <c r="AU12116" s="19"/>
    </row>
    <row r="12117" spans="3:47">
      <c r="C12117" s="20"/>
      <c r="Z12117" s="20"/>
      <c r="AG12117" s="20"/>
      <c r="AQ12117" s="19"/>
      <c r="AR12117" s="19"/>
      <c r="AS12117" s="19"/>
      <c r="AT12117" s="19"/>
      <c r="AU12117" s="19"/>
    </row>
    <row r="12118" spans="3:47">
      <c r="C12118" s="20"/>
      <c r="Z12118" s="20"/>
      <c r="AG12118" s="20"/>
      <c r="AQ12118" s="19"/>
      <c r="AR12118" s="19"/>
      <c r="AS12118" s="19"/>
      <c r="AT12118" s="19"/>
      <c r="AU12118" s="19"/>
    </row>
    <row r="12119" spans="3:47">
      <c r="C12119" s="20"/>
      <c r="Z12119" s="20"/>
      <c r="AG12119" s="20"/>
      <c r="AQ12119" s="19"/>
      <c r="AR12119" s="19"/>
      <c r="AS12119" s="19"/>
      <c r="AT12119" s="19"/>
      <c r="AU12119" s="19"/>
    </row>
    <row r="12120" spans="3:47">
      <c r="C12120" s="20"/>
      <c r="Z12120" s="20"/>
      <c r="AG12120" s="20"/>
      <c r="AQ12120" s="19"/>
      <c r="AR12120" s="19"/>
      <c r="AS12120" s="19"/>
      <c r="AT12120" s="19"/>
      <c r="AU12120" s="19"/>
    </row>
    <row r="12121" spans="3:47">
      <c r="C12121" s="20"/>
      <c r="Z12121" s="20"/>
      <c r="AG12121" s="20"/>
      <c r="AQ12121" s="19"/>
      <c r="AR12121" s="19"/>
      <c r="AS12121" s="19"/>
      <c r="AT12121" s="19"/>
      <c r="AU12121" s="19"/>
    </row>
    <row r="12122" spans="3:47">
      <c r="C12122" s="20"/>
      <c r="Z12122" s="20"/>
      <c r="AG12122" s="20"/>
      <c r="AQ12122" s="19"/>
      <c r="AR12122" s="19"/>
      <c r="AS12122" s="19"/>
      <c r="AT12122" s="19"/>
      <c r="AU12122" s="19"/>
    </row>
    <row r="12123" spans="3:47">
      <c r="C12123" s="20"/>
      <c r="Z12123" s="20"/>
      <c r="AG12123" s="20"/>
      <c r="AQ12123" s="19"/>
      <c r="AR12123" s="19"/>
      <c r="AS12123" s="19"/>
      <c r="AT12123" s="19"/>
      <c r="AU12123" s="19"/>
    </row>
    <row r="12124" spans="3:47">
      <c r="C12124" s="20"/>
      <c r="Z12124" s="20"/>
      <c r="AG12124" s="20"/>
      <c r="AQ12124" s="19"/>
      <c r="AR12124" s="19"/>
      <c r="AS12124" s="19"/>
      <c r="AT12124" s="19"/>
      <c r="AU12124" s="19"/>
    </row>
    <row r="12125" spans="3:47">
      <c r="C12125" s="20"/>
      <c r="Z12125" s="20"/>
      <c r="AG12125" s="20"/>
      <c r="AQ12125" s="19"/>
      <c r="AR12125" s="19"/>
      <c r="AS12125" s="19"/>
      <c r="AT12125" s="19"/>
      <c r="AU12125" s="19"/>
    </row>
    <row r="12126" spans="3:47">
      <c r="C12126" s="20"/>
      <c r="Z12126" s="20"/>
      <c r="AG12126" s="20"/>
      <c r="AQ12126" s="19"/>
      <c r="AR12126" s="19"/>
      <c r="AS12126" s="19"/>
      <c r="AT12126" s="19"/>
      <c r="AU12126" s="19"/>
    </row>
    <row r="12127" spans="3:47">
      <c r="C12127" s="20"/>
      <c r="Z12127" s="20"/>
      <c r="AG12127" s="20"/>
      <c r="AQ12127" s="19"/>
      <c r="AR12127" s="19"/>
      <c r="AS12127" s="19"/>
      <c r="AT12127" s="19"/>
      <c r="AU12127" s="19"/>
    </row>
    <row r="12128" spans="3:47">
      <c r="C12128" s="20"/>
      <c r="Z12128" s="20"/>
      <c r="AG12128" s="20"/>
      <c r="AQ12128" s="19"/>
      <c r="AR12128" s="19"/>
      <c r="AS12128" s="19"/>
      <c r="AT12128" s="19"/>
      <c r="AU12128" s="19"/>
    </row>
    <row r="12129" spans="3:47">
      <c r="C12129" s="20"/>
      <c r="Z12129" s="20"/>
      <c r="AG12129" s="20"/>
      <c r="AQ12129" s="19"/>
      <c r="AR12129" s="19"/>
      <c r="AS12129" s="19"/>
      <c r="AT12129" s="19"/>
      <c r="AU12129" s="19"/>
    </row>
    <row r="12130" spans="3:47">
      <c r="C12130" s="20"/>
      <c r="Z12130" s="20"/>
      <c r="AG12130" s="20"/>
      <c r="AQ12130" s="19"/>
      <c r="AR12130" s="19"/>
      <c r="AS12130" s="19"/>
      <c r="AT12130" s="19"/>
      <c r="AU12130" s="19"/>
    </row>
    <row r="12131" spans="3:47">
      <c r="C12131" s="20"/>
      <c r="Z12131" s="20"/>
      <c r="AG12131" s="20"/>
      <c r="AQ12131" s="19"/>
      <c r="AR12131" s="19"/>
      <c r="AS12131" s="19"/>
      <c r="AT12131" s="19"/>
      <c r="AU12131" s="19"/>
    </row>
    <row r="12132" spans="3:47">
      <c r="C12132" s="20"/>
      <c r="Z12132" s="20"/>
      <c r="AG12132" s="20"/>
      <c r="AQ12132" s="19"/>
      <c r="AR12132" s="19"/>
      <c r="AS12132" s="19"/>
      <c r="AT12132" s="19"/>
      <c r="AU12132" s="19"/>
    </row>
    <row r="12133" spans="3:47">
      <c r="C12133" s="20"/>
      <c r="Z12133" s="20"/>
      <c r="AG12133" s="20"/>
      <c r="AQ12133" s="19"/>
      <c r="AR12133" s="19"/>
      <c r="AS12133" s="19"/>
      <c r="AT12133" s="19"/>
      <c r="AU12133" s="19"/>
    </row>
    <row r="12134" spans="3:47">
      <c r="C12134" s="20"/>
      <c r="Z12134" s="20"/>
      <c r="AG12134" s="20"/>
      <c r="AQ12134" s="19"/>
      <c r="AR12134" s="19"/>
      <c r="AS12134" s="19"/>
      <c r="AT12134" s="19"/>
      <c r="AU12134" s="19"/>
    </row>
    <row r="12135" spans="3:47">
      <c r="C12135" s="20"/>
      <c r="Z12135" s="20"/>
      <c r="AG12135" s="20"/>
      <c r="AQ12135" s="19"/>
      <c r="AR12135" s="19"/>
      <c r="AS12135" s="19"/>
      <c r="AT12135" s="19"/>
      <c r="AU12135" s="19"/>
    </row>
    <row r="12136" spans="3:47">
      <c r="C12136" s="20"/>
      <c r="Z12136" s="20"/>
      <c r="AG12136" s="20"/>
      <c r="AQ12136" s="19"/>
      <c r="AR12136" s="19"/>
      <c r="AS12136" s="19"/>
      <c r="AT12136" s="19"/>
      <c r="AU12136" s="19"/>
    </row>
    <row r="12137" spans="3:47">
      <c r="C12137" s="20"/>
      <c r="Z12137" s="20"/>
      <c r="AG12137" s="20"/>
      <c r="AQ12137" s="19"/>
      <c r="AR12137" s="19"/>
      <c r="AS12137" s="19"/>
      <c r="AT12137" s="19"/>
      <c r="AU12137" s="19"/>
    </row>
    <row r="12138" spans="3:47">
      <c r="C12138" s="20"/>
      <c r="Z12138" s="20"/>
      <c r="AG12138" s="20"/>
      <c r="AQ12138" s="19"/>
      <c r="AR12138" s="19"/>
      <c r="AS12138" s="19"/>
      <c r="AT12138" s="19"/>
      <c r="AU12138" s="19"/>
    </row>
    <row r="12139" spans="3:47">
      <c r="C12139" s="20"/>
      <c r="Z12139" s="20"/>
      <c r="AG12139" s="20"/>
      <c r="AQ12139" s="19"/>
      <c r="AR12139" s="19"/>
      <c r="AS12139" s="19"/>
      <c r="AT12139" s="19"/>
      <c r="AU12139" s="19"/>
    </row>
    <row r="12140" spans="3:47">
      <c r="C12140" s="20"/>
      <c r="Z12140" s="20"/>
      <c r="AG12140" s="20"/>
      <c r="AQ12140" s="19"/>
      <c r="AR12140" s="19"/>
      <c r="AS12140" s="19"/>
      <c r="AT12140" s="19"/>
      <c r="AU12140" s="19"/>
    </row>
    <row r="12141" spans="3:47">
      <c r="C12141" s="20"/>
      <c r="Z12141" s="20"/>
      <c r="AG12141" s="20"/>
      <c r="AQ12141" s="19"/>
      <c r="AR12141" s="19"/>
      <c r="AS12141" s="19"/>
      <c r="AT12141" s="19"/>
      <c r="AU12141" s="19"/>
    </row>
    <row r="12142" spans="3:47">
      <c r="C12142" s="20"/>
      <c r="Z12142" s="20"/>
      <c r="AG12142" s="20"/>
      <c r="AQ12142" s="19"/>
      <c r="AR12142" s="19"/>
      <c r="AS12142" s="19"/>
      <c r="AT12142" s="19"/>
      <c r="AU12142" s="19"/>
    </row>
    <row r="12143" spans="3:47">
      <c r="C12143" s="20"/>
      <c r="Z12143" s="20"/>
      <c r="AG12143" s="20"/>
      <c r="AQ12143" s="19"/>
      <c r="AR12143" s="19"/>
      <c r="AS12143" s="19"/>
      <c r="AT12143" s="19"/>
      <c r="AU12143" s="19"/>
    </row>
    <row r="12144" spans="3:47">
      <c r="C12144" s="20"/>
      <c r="Z12144" s="20"/>
      <c r="AG12144" s="20"/>
      <c r="AQ12144" s="19"/>
      <c r="AR12144" s="19"/>
      <c r="AS12144" s="19"/>
      <c r="AT12144" s="19"/>
      <c r="AU12144" s="19"/>
    </row>
    <row r="12145" spans="3:47">
      <c r="C12145" s="20"/>
      <c r="Z12145" s="20"/>
      <c r="AG12145" s="20"/>
      <c r="AQ12145" s="19"/>
      <c r="AR12145" s="19"/>
      <c r="AS12145" s="19"/>
      <c r="AT12145" s="19"/>
      <c r="AU12145" s="19"/>
    </row>
    <row r="12146" spans="3:47">
      <c r="C12146" s="20"/>
      <c r="Z12146" s="20"/>
      <c r="AG12146" s="20"/>
      <c r="AQ12146" s="19"/>
      <c r="AR12146" s="19"/>
      <c r="AS12146" s="19"/>
      <c r="AT12146" s="19"/>
      <c r="AU12146" s="19"/>
    </row>
    <row r="12147" spans="3:47">
      <c r="C12147" s="20"/>
      <c r="Z12147" s="20"/>
      <c r="AG12147" s="20"/>
      <c r="AQ12147" s="19"/>
      <c r="AR12147" s="19"/>
      <c r="AS12147" s="19"/>
      <c r="AT12147" s="19"/>
      <c r="AU12147" s="19"/>
    </row>
    <row r="12148" spans="3:47">
      <c r="C12148" s="20"/>
      <c r="Z12148" s="20"/>
      <c r="AG12148" s="20"/>
      <c r="AQ12148" s="19"/>
      <c r="AR12148" s="19"/>
      <c r="AS12148" s="19"/>
      <c r="AT12148" s="19"/>
      <c r="AU12148" s="19"/>
    </row>
    <row r="12149" spans="3:47">
      <c r="C12149" s="20"/>
      <c r="Z12149" s="20"/>
      <c r="AG12149" s="20"/>
      <c r="AQ12149" s="19"/>
      <c r="AR12149" s="19"/>
      <c r="AS12149" s="19"/>
      <c r="AT12149" s="19"/>
      <c r="AU12149" s="19"/>
    </row>
    <row r="12150" spans="3:47">
      <c r="C12150" s="20"/>
      <c r="Z12150" s="20"/>
      <c r="AG12150" s="20"/>
      <c r="AQ12150" s="19"/>
      <c r="AR12150" s="19"/>
      <c r="AS12150" s="19"/>
      <c r="AT12150" s="19"/>
      <c r="AU12150" s="19"/>
    </row>
    <row r="12151" spans="3:47">
      <c r="C12151" s="20"/>
      <c r="Z12151" s="20"/>
      <c r="AG12151" s="20"/>
      <c r="AQ12151" s="19"/>
      <c r="AR12151" s="19"/>
      <c r="AS12151" s="19"/>
      <c r="AT12151" s="19"/>
      <c r="AU12151" s="19"/>
    </row>
    <row r="12152" spans="3:47">
      <c r="C12152" s="20"/>
      <c r="Z12152" s="20"/>
      <c r="AG12152" s="20"/>
      <c r="AQ12152" s="19"/>
      <c r="AR12152" s="19"/>
      <c r="AS12152" s="19"/>
      <c r="AT12152" s="19"/>
      <c r="AU12152" s="19"/>
    </row>
    <row r="12153" spans="3:47">
      <c r="C12153" s="20"/>
      <c r="Z12153" s="20"/>
      <c r="AG12153" s="20"/>
      <c r="AQ12153" s="19"/>
      <c r="AR12153" s="19"/>
      <c r="AS12153" s="19"/>
      <c r="AT12153" s="19"/>
      <c r="AU12153" s="19"/>
    </row>
    <row r="12154" spans="3:47">
      <c r="C12154" s="20"/>
      <c r="Z12154" s="20"/>
      <c r="AG12154" s="20"/>
      <c r="AQ12154" s="19"/>
      <c r="AR12154" s="19"/>
      <c r="AS12154" s="19"/>
      <c r="AT12154" s="19"/>
      <c r="AU12154" s="19"/>
    </row>
    <row r="12155" spans="3:47">
      <c r="C12155" s="20"/>
      <c r="Z12155" s="20"/>
      <c r="AG12155" s="20"/>
      <c r="AQ12155" s="19"/>
      <c r="AR12155" s="19"/>
      <c r="AS12155" s="19"/>
      <c r="AT12155" s="19"/>
      <c r="AU12155" s="19"/>
    </row>
    <row r="12156" spans="3:47">
      <c r="C12156" s="20"/>
      <c r="Z12156" s="20"/>
      <c r="AG12156" s="20"/>
      <c r="AQ12156" s="19"/>
      <c r="AR12156" s="19"/>
      <c r="AS12156" s="19"/>
      <c r="AT12156" s="19"/>
      <c r="AU12156" s="19"/>
    </row>
    <row r="12157" spans="3:47">
      <c r="C12157" s="20"/>
      <c r="Z12157" s="20"/>
      <c r="AG12157" s="20"/>
      <c r="AQ12157" s="19"/>
      <c r="AR12157" s="19"/>
      <c r="AS12157" s="19"/>
      <c r="AT12157" s="19"/>
      <c r="AU12157" s="19"/>
    </row>
    <row r="12158" spans="3:47">
      <c r="C12158" s="20"/>
      <c r="Z12158" s="20"/>
      <c r="AG12158" s="20"/>
      <c r="AQ12158" s="19"/>
      <c r="AR12158" s="19"/>
      <c r="AS12158" s="19"/>
      <c r="AT12158" s="19"/>
      <c r="AU12158" s="19"/>
    </row>
    <row r="12159" spans="3:47">
      <c r="C12159" s="20"/>
      <c r="Z12159" s="20"/>
      <c r="AG12159" s="20"/>
      <c r="AQ12159" s="19"/>
      <c r="AR12159" s="19"/>
      <c r="AS12159" s="19"/>
      <c r="AT12159" s="19"/>
      <c r="AU12159" s="19"/>
    </row>
    <row r="12160" spans="3:47">
      <c r="C12160" s="20"/>
      <c r="Z12160" s="20"/>
      <c r="AG12160" s="20"/>
      <c r="AQ12160" s="19"/>
      <c r="AR12160" s="19"/>
      <c r="AS12160" s="19"/>
      <c r="AT12160" s="19"/>
      <c r="AU12160" s="19"/>
    </row>
    <row r="12161" spans="3:47">
      <c r="C12161" s="20"/>
      <c r="Z12161" s="20"/>
      <c r="AG12161" s="20"/>
      <c r="AQ12161" s="19"/>
      <c r="AR12161" s="19"/>
      <c r="AS12161" s="19"/>
      <c r="AT12161" s="19"/>
      <c r="AU12161" s="19"/>
    </row>
    <row r="12162" spans="3:47">
      <c r="C12162" s="20"/>
      <c r="Z12162" s="20"/>
      <c r="AG12162" s="20"/>
      <c r="AQ12162" s="19"/>
      <c r="AR12162" s="19"/>
      <c r="AS12162" s="19"/>
      <c r="AT12162" s="19"/>
      <c r="AU12162" s="19"/>
    </row>
    <row r="12163" spans="3:47">
      <c r="C12163" s="20"/>
      <c r="Z12163" s="20"/>
      <c r="AG12163" s="20"/>
      <c r="AQ12163" s="19"/>
      <c r="AR12163" s="19"/>
      <c r="AS12163" s="19"/>
      <c r="AT12163" s="19"/>
      <c r="AU12163" s="19"/>
    </row>
    <row r="12164" spans="3:47">
      <c r="C12164" s="20"/>
      <c r="Z12164" s="20"/>
      <c r="AG12164" s="20"/>
      <c r="AQ12164" s="19"/>
      <c r="AR12164" s="19"/>
      <c r="AS12164" s="19"/>
      <c r="AT12164" s="19"/>
      <c r="AU12164" s="19"/>
    </row>
    <row r="12165" spans="3:47">
      <c r="C12165" s="20"/>
      <c r="Z12165" s="20"/>
      <c r="AG12165" s="20"/>
      <c r="AQ12165" s="19"/>
      <c r="AR12165" s="19"/>
      <c r="AS12165" s="19"/>
      <c r="AT12165" s="19"/>
      <c r="AU12165" s="19"/>
    </row>
    <row r="12166" spans="3:47">
      <c r="C12166" s="20"/>
      <c r="Z12166" s="20"/>
      <c r="AG12166" s="20"/>
      <c r="AQ12166" s="19"/>
      <c r="AR12166" s="19"/>
      <c r="AS12166" s="19"/>
      <c r="AT12166" s="19"/>
      <c r="AU12166" s="19"/>
    </row>
    <row r="12167" spans="3:47">
      <c r="C12167" s="20"/>
      <c r="Z12167" s="20"/>
      <c r="AG12167" s="20"/>
      <c r="AQ12167" s="19"/>
      <c r="AR12167" s="19"/>
      <c r="AS12167" s="19"/>
      <c r="AT12167" s="19"/>
      <c r="AU12167" s="19"/>
    </row>
    <row r="12168" spans="3:47">
      <c r="C12168" s="20"/>
      <c r="Z12168" s="20"/>
      <c r="AG12168" s="20"/>
      <c r="AQ12168" s="19"/>
      <c r="AR12168" s="19"/>
      <c r="AS12168" s="19"/>
      <c r="AT12168" s="19"/>
      <c r="AU12168" s="19"/>
    </row>
    <row r="12169" spans="3:47">
      <c r="C12169" s="20"/>
      <c r="Z12169" s="20"/>
      <c r="AG12169" s="20"/>
      <c r="AQ12169" s="19"/>
      <c r="AR12169" s="19"/>
      <c r="AS12169" s="19"/>
      <c r="AT12169" s="19"/>
      <c r="AU12169" s="19"/>
    </row>
    <row r="12170" spans="3:47">
      <c r="C12170" s="20"/>
      <c r="Z12170" s="20"/>
      <c r="AG12170" s="20"/>
      <c r="AQ12170" s="19"/>
      <c r="AR12170" s="19"/>
      <c r="AS12170" s="19"/>
      <c r="AT12170" s="19"/>
      <c r="AU12170" s="19"/>
    </row>
    <row r="12171" spans="3:47">
      <c r="C12171" s="20"/>
      <c r="Z12171" s="20"/>
      <c r="AG12171" s="20"/>
      <c r="AQ12171" s="19"/>
      <c r="AR12171" s="19"/>
      <c r="AS12171" s="19"/>
      <c r="AT12171" s="19"/>
      <c r="AU12171" s="19"/>
    </row>
    <row r="12172" spans="3:47">
      <c r="C12172" s="20"/>
      <c r="Z12172" s="20"/>
      <c r="AG12172" s="20"/>
      <c r="AQ12172" s="19"/>
      <c r="AR12172" s="19"/>
      <c r="AS12172" s="19"/>
      <c r="AT12172" s="19"/>
      <c r="AU12172" s="19"/>
    </row>
    <row r="12173" spans="3:47">
      <c r="C12173" s="20"/>
      <c r="Z12173" s="20"/>
      <c r="AG12173" s="20"/>
      <c r="AQ12173" s="19"/>
      <c r="AR12173" s="19"/>
      <c r="AS12173" s="19"/>
      <c r="AT12173" s="19"/>
      <c r="AU12173" s="19"/>
    </row>
    <row r="12174" spans="3:47">
      <c r="C12174" s="20"/>
      <c r="Z12174" s="20"/>
      <c r="AG12174" s="20"/>
      <c r="AQ12174" s="19"/>
      <c r="AR12174" s="19"/>
      <c r="AS12174" s="19"/>
      <c r="AT12174" s="19"/>
      <c r="AU12174" s="19"/>
    </row>
    <row r="12175" spans="3:47">
      <c r="C12175" s="20"/>
      <c r="Z12175" s="20"/>
      <c r="AG12175" s="20"/>
      <c r="AQ12175" s="19"/>
      <c r="AR12175" s="19"/>
      <c r="AS12175" s="19"/>
      <c r="AT12175" s="19"/>
      <c r="AU12175" s="19"/>
    </row>
    <row r="12176" spans="3:47">
      <c r="C12176" s="20"/>
      <c r="Z12176" s="20"/>
      <c r="AG12176" s="20"/>
      <c r="AQ12176" s="19"/>
      <c r="AR12176" s="19"/>
      <c r="AS12176" s="19"/>
      <c r="AT12176" s="19"/>
      <c r="AU12176" s="19"/>
    </row>
    <row r="12177" spans="3:47">
      <c r="C12177" s="20"/>
      <c r="Z12177" s="20"/>
      <c r="AG12177" s="20"/>
      <c r="AQ12177" s="19"/>
      <c r="AR12177" s="19"/>
      <c r="AS12177" s="19"/>
      <c r="AT12177" s="19"/>
      <c r="AU12177" s="19"/>
    </row>
    <row r="12178" spans="3:47">
      <c r="C12178" s="20"/>
      <c r="Z12178" s="20"/>
      <c r="AG12178" s="20"/>
      <c r="AQ12178" s="19"/>
      <c r="AR12178" s="19"/>
      <c r="AS12178" s="19"/>
      <c r="AT12178" s="19"/>
      <c r="AU12178" s="19"/>
    </row>
    <row r="12179" spans="3:47">
      <c r="C12179" s="20"/>
      <c r="Z12179" s="20"/>
      <c r="AG12179" s="20"/>
      <c r="AQ12179" s="19"/>
      <c r="AR12179" s="19"/>
      <c r="AS12179" s="19"/>
      <c r="AT12179" s="19"/>
      <c r="AU12179" s="19"/>
    </row>
    <row r="12180" spans="3:47">
      <c r="C12180" s="20"/>
      <c r="Z12180" s="20"/>
      <c r="AG12180" s="20"/>
      <c r="AQ12180" s="19"/>
      <c r="AR12180" s="19"/>
      <c r="AS12180" s="19"/>
      <c r="AT12180" s="19"/>
      <c r="AU12180" s="19"/>
    </row>
    <row r="12181" spans="3:47">
      <c r="C12181" s="20"/>
      <c r="Z12181" s="20"/>
      <c r="AG12181" s="20"/>
      <c r="AQ12181" s="19"/>
      <c r="AR12181" s="19"/>
      <c r="AS12181" s="19"/>
      <c r="AT12181" s="19"/>
      <c r="AU12181" s="19"/>
    </row>
    <row r="12182" spans="3:47">
      <c r="C12182" s="20"/>
      <c r="Z12182" s="20"/>
      <c r="AG12182" s="20"/>
      <c r="AQ12182" s="19"/>
      <c r="AR12182" s="19"/>
      <c r="AS12182" s="19"/>
      <c r="AT12182" s="19"/>
      <c r="AU12182" s="19"/>
    </row>
    <row r="12183" spans="3:47">
      <c r="C12183" s="20"/>
      <c r="Z12183" s="20"/>
      <c r="AG12183" s="20"/>
      <c r="AQ12183" s="19"/>
      <c r="AR12183" s="19"/>
      <c r="AS12183" s="19"/>
      <c r="AT12183" s="19"/>
      <c r="AU12183" s="19"/>
    </row>
    <row r="12184" spans="3:47">
      <c r="C12184" s="20"/>
      <c r="Z12184" s="20"/>
      <c r="AG12184" s="20"/>
      <c r="AQ12184" s="19"/>
      <c r="AR12184" s="19"/>
      <c r="AS12184" s="19"/>
      <c r="AT12184" s="19"/>
      <c r="AU12184" s="19"/>
    </row>
    <row r="12185" spans="3:47">
      <c r="C12185" s="20"/>
      <c r="Z12185" s="20"/>
      <c r="AG12185" s="20"/>
      <c r="AQ12185" s="19"/>
      <c r="AR12185" s="19"/>
      <c r="AS12185" s="19"/>
      <c r="AT12185" s="19"/>
      <c r="AU12185" s="19"/>
    </row>
    <row r="12186" spans="3:47">
      <c r="C12186" s="20"/>
      <c r="Z12186" s="20"/>
      <c r="AG12186" s="20"/>
      <c r="AQ12186" s="19"/>
      <c r="AR12186" s="19"/>
      <c r="AS12186" s="19"/>
      <c r="AT12186" s="19"/>
      <c r="AU12186" s="19"/>
    </row>
    <row r="12187" spans="3:47">
      <c r="C12187" s="20"/>
      <c r="Z12187" s="20"/>
      <c r="AG12187" s="20"/>
      <c r="AQ12187" s="19"/>
      <c r="AR12187" s="19"/>
      <c r="AS12187" s="19"/>
      <c r="AT12187" s="19"/>
      <c r="AU12187" s="19"/>
    </row>
    <row r="12188" spans="3:47">
      <c r="C12188" s="20"/>
      <c r="Z12188" s="20"/>
      <c r="AG12188" s="20"/>
      <c r="AQ12188" s="19"/>
      <c r="AR12188" s="19"/>
      <c r="AS12188" s="19"/>
      <c r="AT12188" s="19"/>
      <c r="AU12188" s="19"/>
    </row>
    <row r="12189" spans="3:47">
      <c r="C12189" s="20"/>
      <c r="Z12189" s="20"/>
      <c r="AG12189" s="20"/>
      <c r="AQ12189" s="19"/>
      <c r="AR12189" s="19"/>
      <c r="AS12189" s="19"/>
      <c r="AT12189" s="19"/>
      <c r="AU12189" s="19"/>
    </row>
    <row r="12190" spans="3:47">
      <c r="C12190" s="20"/>
      <c r="Z12190" s="20"/>
      <c r="AG12190" s="20"/>
      <c r="AQ12190" s="19"/>
      <c r="AR12190" s="19"/>
      <c r="AS12190" s="19"/>
      <c r="AT12190" s="19"/>
      <c r="AU12190" s="19"/>
    </row>
    <row r="12191" spans="3:47">
      <c r="C12191" s="20"/>
      <c r="Z12191" s="20"/>
      <c r="AG12191" s="20"/>
      <c r="AQ12191" s="19"/>
      <c r="AR12191" s="19"/>
      <c r="AS12191" s="19"/>
      <c r="AT12191" s="19"/>
      <c r="AU12191" s="19"/>
    </row>
    <row r="12192" spans="3:47">
      <c r="C12192" s="20"/>
      <c r="Z12192" s="20"/>
      <c r="AG12192" s="20"/>
      <c r="AQ12192" s="19"/>
      <c r="AR12192" s="19"/>
      <c r="AS12192" s="19"/>
      <c r="AT12192" s="19"/>
      <c r="AU12192" s="19"/>
    </row>
    <row r="12193" spans="3:47">
      <c r="C12193" s="20"/>
      <c r="Z12193" s="20"/>
      <c r="AG12193" s="20"/>
      <c r="AQ12193" s="19"/>
      <c r="AR12193" s="19"/>
      <c r="AS12193" s="19"/>
      <c r="AT12193" s="19"/>
      <c r="AU12193" s="19"/>
    </row>
    <row r="12194" spans="3:47">
      <c r="C12194" s="20"/>
      <c r="Z12194" s="20"/>
      <c r="AG12194" s="20"/>
      <c r="AQ12194" s="19"/>
      <c r="AR12194" s="19"/>
      <c r="AS12194" s="19"/>
      <c r="AT12194" s="19"/>
      <c r="AU12194" s="19"/>
    </row>
    <row r="12195" spans="3:47">
      <c r="C12195" s="20"/>
      <c r="Z12195" s="20"/>
      <c r="AG12195" s="20"/>
      <c r="AQ12195" s="19"/>
      <c r="AR12195" s="19"/>
      <c r="AS12195" s="19"/>
      <c r="AT12195" s="19"/>
      <c r="AU12195" s="19"/>
    </row>
    <row r="12196" spans="3:47">
      <c r="C12196" s="20"/>
      <c r="Z12196" s="20"/>
      <c r="AG12196" s="20"/>
      <c r="AQ12196" s="19"/>
      <c r="AR12196" s="19"/>
      <c r="AS12196" s="19"/>
      <c r="AT12196" s="19"/>
      <c r="AU12196" s="19"/>
    </row>
    <row r="12197" spans="3:47">
      <c r="C12197" s="20"/>
      <c r="Z12197" s="20"/>
      <c r="AG12197" s="20"/>
      <c r="AQ12197" s="19"/>
      <c r="AR12197" s="19"/>
      <c r="AS12197" s="19"/>
      <c r="AT12197" s="19"/>
      <c r="AU12197" s="19"/>
    </row>
    <row r="12198" spans="3:47">
      <c r="C12198" s="20"/>
      <c r="Z12198" s="20"/>
      <c r="AG12198" s="20"/>
      <c r="AQ12198" s="19"/>
      <c r="AR12198" s="19"/>
      <c r="AS12198" s="19"/>
      <c r="AT12198" s="19"/>
      <c r="AU12198" s="19"/>
    </row>
    <row r="12199" spans="3:47">
      <c r="C12199" s="20"/>
      <c r="Z12199" s="20"/>
      <c r="AG12199" s="20"/>
      <c r="AQ12199" s="19"/>
      <c r="AR12199" s="19"/>
      <c r="AS12199" s="19"/>
      <c r="AT12199" s="19"/>
      <c r="AU12199" s="19"/>
    </row>
    <row r="12200" spans="3:47">
      <c r="C12200" s="20"/>
      <c r="Z12200" s="20"/>
      <c r="AG12200" s="20"/>
      <c r="AQ12200" s="19"/>
      <c r="AR12200" s="19"/>
      <c r="AS12200" s="19"/>
      <c r="AT12200" s="19"/>
      <c r="AU12200" s="19"/>
    </row>
    <row r="12201" spans="3:47">
      <c r="C12201" s="20"/>
      <c r="Z12201" s="20"/>
      <c r="AG12201" s="20"/>
      <c r="AQ12201" s="19"/>
      <c r="AR12201" s="19"/>
      <c r="AS12201" s="19"/>
      <c r="AT12201" s="19"/>
      <c r="AU12201" s="19"/>
    </row>
    <row r="12202" spans="3:47">
      <c r="C12202" s="20"/>
      <c r="Z12202" s="20"/>
      <c r="AG12202" s="20"/>
      <c r="AQ12202" s="19"/>
      <c r="AR12202" s="19"/>
      <c r="AS12202" s="19"/>
      <c r="AT12202" s="19"/>
      <c r="AU12202" s="19"/>
    </row>
    <row r="12203" spans="3:47">
      <c r="C12203" s="20"/>
      <c r="Z12203" s="20"/>
      <c r="AG12203" s="20"/>
      <c r="AQ12203" s="19"/>
      <c r="AR12203" s="19"/>
      <c r="AS12203" s="19"/>
      <c r="AT12203" s="19"/>
      <c r="AU12203" s="19"/>
    </row>
    <row r="12204" spans="3:47">
      <c r="C12204" s="20"/>
      <c r="Z12204" s="20"/>
      <c r="AG12204" s="20"/>
      <c r="AQ12204" s="19"/>
      <c r="AR12204" s="19"/>
      <c r="AS12204" s="19"/>
      <c r="AT12204" s="19"/>
      <c r="AU12204" s="19"/>
    </row>
    <row r="12205" spans="3:47">
      <c r="C12205" s="20"/>
      <c r="Z12205" s="20"/>
      <c r="AG12205" s="20"/>
      <c r="AQ12205" s="19"/>
      <c r="AR12205" s="19"/>
      <c r="AS12205" s="19"/>
      <c r="AT12205" s="19"/>
      <c r="AU12205" s="19"/>
    </row>
    <row r="12206" spans="3:47">
      <c r="C12206" s="20"/>
      <c r="Z12206" s="20"/>
      <c r="AG12206" s="20"/>
      <c r="AQ12206" s="19"/>
      <c r="AR12206" s="19"/>
      <c r="AS12206" s="19"/>
      <c r="AT12206" s="19"/>
      <c r="AU12206" s="19"/>
    </row>
    <row r="12207" spans="3:47">
      <c r="C12207" s="20"/>
      <c r="Z12207" s="20"/>
      <c r="AG12207" s="20"/>
      <c r="AQ12207" s="19"/>
      <c r="AR12207" s="19"/>
      <c r="AS12207" s="19"/>
      <c r="AT12207" s="19"/>
      <c r="AU12207" s="19"/>
    </row>
    <row r="12208" spans="3:47">
      <c r="C12208" s="20"/>
      <c r="Z12208" s="20"/>
      <c r="AG12208" s="20"/>
      <c r="AQ12208" s="19"/>
      <c r="AR12208" s="19"/>
      <c r="AS12208" s="19"/>
      <c r="AT12208" s="19"/>
      <c r="AU12208" s="19"/>
    </row>
    <row r="12209" spans="3:47">
      <c r="C12209" s="20"/>
      <c r="Z12209" s="20"/>
      <c r="AG12209" s="20"/>
      <c r="AQ12209" s="19"/>
      <c r="AR12209" s="19"/>
      <c r="AS12209" s="19"/>
      <c r="AT12209" s="19"/>
      <c r="AU12209" s="19"/>
    </row>
    <row r="12210" spans="3:47">
      <c r="C12210" s="20"/>
      <c r="Z12210" s="20"/>
      <c r="AG12210" s="20"/>
      <c r="AQ12210" s="19"/>
      <c r="AR12210" s="19"/>
      <c r="AS12210" s="19"/>
      <c r="AT12210" s="19"/>
      <c r="AU12210" s="19"/>
    </row>
    <row r="12211" spans="3:47">
      <c r="C12211" s="20"/>
      <c r="Z12211" s="20"/>
      <c r="AG12211" s="20"/>
      <c r="AQ12211" s="19"/>
      <c r="AR12211" s="19"/>
      <c r="AS12211" s="19"/>
      <c r="AT12211" s="19"/>
      <c r="AU12211" s="19"/>
    </row>
    <row r="12212" spans="3:47">
      <c r="C12212" s="20"/>
      <c r="Z12212" s="20"/>
      <c r="AG12212" s="20"/>
      <c r="AQ12212" s="19"/>
      <c r="AR12212" s="19"/>
      <c r="AS12212" s="19"/>
      <c r="AT12212" s="19"/>
      <c r="AU12212" s="19"/>
    </row>
    <row r="12213" spans="3:47">
      <c r="C12213" s="20"/>
      <c r="Z12213" s="20"/>
      <c r="AG12213" s="20"/>
      <c r="AQ12213" s="19"/>
      <c r="AR12213" s="19"/>
      <c r="AS12213" s="19"/>
      <c r="AT12213" s="19"/>
      <c r="AU12213" s="19"/>
    </row>
    <row r="12214" spans="3:47">
      <c r="C12214" s="20"/>
      <c r="Z12214" s="20"/>
      <c r="AG12214" s="20"/>
      <c r="AQ12214" s="19"/>
      <c r="AR12214" s="19"/>
      <c r="AS12214" s="19"/>
      <c r="AT12214" s="19"/>
      <c r="AU12214" s="19"/>
    </row>
    <row r="12215" spans="3:47">
      <c r="C12215" s="20"/>
      <c r="Z12215" s="20"/>
      <c r="AG12215" s="20"/>
      <c r="AQ12215" s="19"/>
      <c r="AR12215" s="19"/>
      <c r="AS12215" s="19"/>
      <c r="AT12215" s="19"/>
      <c r="AU12215" s="19"/>
    </row>
    <row r="12216" spans="3:47">
      <c r="C12216" s="20"/>
      <c r="Z12216" s="20"/>
      <c r="AG12216" s="20"/>
      <c r="AQ12216" s="19"/>
      <c r="AR12216" s="19"/>
      <c r="AS12216" s="19"/>
      <c r="AT12216" s="19"/>
      <c r="AU12216" s="19"/>
    </row>
    <row r="12217" spans="3:47">
      <c r="C12217" s="20"/>
      <c r="Z12217" s="20"/>
      <c r="AG12217" s="20"/>
      <c r="AQ12217" s="19"/>
      <c r="AR12217" s="19"/>
      <c r="AS12217" s="19"/>
      <c r="AT12217" s="19"/>
      <c r="AU12217" s="19"/>
    </row>
    <row r="12218" spans="3:47">
      <c r="C12218" s="20"/>
      <c r="Z12218" s="20"/>
      <c r="AG12218" s="20"/>
      <c r="AQ12218" s="19"/>
      <c r="AR12218" s="19"/>
      <c r="AS12218" s="19"/>
      <c r="AT12218" s="19"/>
      <c r="AU12218" s="19"/>
    </row>
    <row r="12219" spans="3:47">
      <c r="C12219" s="20"/>
      <c r="Z12219" s="20"/>
      <c r="AG12219" s="20"/>
      <c r="AQ12219" s="19"/>
      <c r="AR12219" s="19"/>
      <c r="AS12219" s="19"/>
      <c r="AT12219" s="19"/>
      <c r="AU12219" s="19"/>
    </row>
    <row r="12220" spans="3:47">
      <c r="C12220" s="20"/>
      <c r="Z12220" s="20"/>
      <c r="AG12220" s="20"/>
      <c r="AQ12220" s="19"/>
      <c r="AR12220" s="19"/>
      <c r="AS12220" s="19"/>
      <c r="AT12220" s="19"/>
      <c r="AU12220" s="19"/>
    </row>
    <row r="12221" spans="3:47">
      <c r="C12221" s="20"/>
      <c r="Z12221" s="20"/>
      <c r="AG12221" s="20"/>
      <c r="AQ12221" s="19"/>
      <c r="AR12221" s="19"/>
      <c r="AS12221" s="19"/>
      <c r="AT12221" s="19"/>
      <c r="AU12221" s="19"/>
    </row>
    <row r="12222" spans="3:47">
      <c r="C12222" s="20"/>
      <c r="Z12222" s="20"/>
      <c r="AG12222" s="20"/>
      <c r="AQ12222" s="19"/>
      <c r="AR12222" s="19"/>
      <c r="AS12222" s="19"/>
      <c r="AT12222" s="19"/>
      <c r="AU12222" s="19"/>
    </row>
    <row r="12223" spans="3:47">
      <c r="C12223" s="20"/>
      <c r="Z12223" s="20"/>
      <c r="AG12223" s="20"/>
      <c r="AQ12223" s="19"/>
      <c r="AR12223" s="19"/>
      <c r="AS12223" s="19"/>
      <c r="AT12223" s="19"/>
      <c r="AU12223" s="19"/>
    </row>
    <row r="12224" spans="3:47">
      <c r="C12224" s="20"/>
      <c r="Z12224" s="20"/>
      <c r="AG12224" s="20"/>
      <c r="AQ12224" s="19"/>
      <c r="AR12224" s="19"/>
      <c r="AS12224" s="19"/>
      <c r="AT12224" s="19"/>
      <c r="AU12224" s="19"/>
    </row>
    <row r="12225" spans="3:47">
      <c r="C12225" s="20"/>
      <c r="Z12225" s="20"/>
      <c r="AG12225" s="20"/>
      <c r="AQ12225" s="19"/>
      <c r="AR12225" s="19"/>
      <c r="AS12225" s="19"/>
      <c r="AT12225" s="19"/>
      <c r="AU12225" s="19"/>
    </row>
    <row r="12226" spans="3:47">
      <c r="C12226" s="20"/>
      <c r="Z12226" s="20"/>
      <c r="AG12226" s="20"/>
      <c r="AQ12226" s="19"/>
      <c r="AR12226" s="19"/>
      <c r="AS12226" s="19"/>
      <c r="AT12226" s="19"/>
      <c r="AU12226" s="19"/>
    </row>
    <row r="12227" spans="3:47">
      <c r="C12227" s="20"/>
      <c r="Z12227" s="20"/>
      <c r="AG12227" s="20"/>
      <c r="AQ12227" s="19"/>
      <c r="AR12227" s="19"/>
      <c r="AS12227" s="19"/>
      <c r="AT12227" s="19"/>
      <c r="AU12227" s="19"/>
    </row>
    <row r="12228" spans="3:47">
      <c r="C12228" s="20"/>
      <c r="Z12228" s="20"/>
      <c r="AG12228" s="20"/>
      <c r="AQ12228" s="19"/>
      <c r="AR12228" s="19"/>
      <c r="AS12228" s="19"/>
      <c r="AT12228" s="19"/>
      <c r="AU12228" s="19"/>
    </row>
    <row r="12229" spans="3:47">
      <c r="C12229" s="20"/>
      <c r="Z12229" s="20"/>
      <c r="AG12229" s="20"/>
      <c r="AQ12229" s="19"/>
      <c r="AR12229" s="19"/>
      <c r="AS12229" s="19"/>
      <c r="AT12229" s="19"/>
      <c r="AU12229" s="19"/>
    </row>
    <row r="12230" spans="3:47">
      <c r="C12230" s="20"/>
      <c r="Z12230" s="20"/>
      <c r="AG12230" s="20"/>
      <c r="AQ12230" s="19"/>
      <c r="AR12230" s="19"/>
      <c r="AS12230" s="19"/>
      <c r="AT12230" s="19"/>
      <c r="AU12230" s="19"/>
    </row>
    <row r="12231" spans="3:47">
      <c r="C12231" s="20"/>
      <c r="Z12231" s="20"/>
      <c r="AG12231" s="20"/>
      <c r="AQ12231" s="19"/>
      <c r="AR12231" s="19"/>
      <c r="AS12231" s="19"/>
      <c r="AT12231" s="19"/>
      <c r="AU12231" s="19"/>
    </row>
    <row r="12232" spans="3:47">
      <c r="C12232" s="20"/>
      <c r="Z12232" s="20"/>
      <c r="AG12232" s="20"/>
      <c r="AQ12232" s="19"/>
      <c r="AR12232" s="19"/>
      <c r="AS12232" s="19"/>
      <c r="AT12232" s="19"/>
      <c r="AU12232" s="19"/>
    </row>
    <row r="12233" spans="3:47">
      <c r="C12233" s="20"/>
      <c r="Z12233" s="20"/>
      <c r="AG12233" s="20"/>
      <c r="AQ12233" s="19"/>
      <c r="AR12233" s="19"/>
      <c r="AS12233" s="19"/>
      <c r="AT12233" s="19"/>
      <c r="AU12233" s="19"/>
    </row>
    <row r="12234" spans="3:47">
      <c r="C12234" s="20"/>
      <c r="Z12234" s="20"/>
      <c r="AG12234" s="20"/>
      <c r="AQ12234" s="19"/>
      <c r="AR12234" s="19"/>
      <c r="AS12234" s="19"/>
      <c r="AT12234" s="19"/>
      <c r="AU12234" s="19"/>
    </row>
    <row r="12235" spans="3:47">
      <c r="C12235" s="20"/>
      <c r="Z12235" s="20"/>
      <c r="AG12235" s="20"/>
      <c r="AQ12235" s="19"/>
      <c r="AR12235" s="19"/>
      <c r="AS12235" s="19"/>
      <c r="AT12235" s="19"/>
      <c r="AU12235" s="19"/>
    </row>
    <row r="12236" spans="3:47">
      <c r="C12236" s="20"/>
      <c r="Z12236" s="20"/>
      <c r="AG12236" s="20"/>
      <c r="AQ12236" s="19"/>
      <c r="AR12236" s="19"/>
      <c r="AS12236" s="19"/>
      <c r="AT12236" s="19"/>
      <c r="AU12236" s="19"/>
    </row>
    <row r="12237" spans="3:47">
      <c r="C12237" s="20"/>
      <c r="Z12237" s="20"/>
      <c r="AG12237" s="20"/>
      <c r="AQ12237" s="19"/>
      <c r="AR12237" s="19"/>
      <c r="AS12237" s="19"/>
      <c r="AT12237" s="19"/>
      <c r="AU12237" s="19"/>
    </row>
    <row r="12238" spans="3:47">
      <c r="C12238" s="20"/>
      <c r="Z12238" s="20"/>
      <c r="AG12238" s="20"/>
      <c r="AQ12238" s="19"/>
      <c r="AR12238" s="19"/>
      <c r="AS12238" s="19"/>
      <c r="AT12238" s="19"/>
      <c r="AU12238" s="19"/>
    </row>
    <row r="12239" spans="3:47">
      <c r="C12239" s="20"/>
      <c r="Z12239" s="20"/>
      <c r="AG12239" s="20"/>
      <c r="AQ12239" s="19"/>
      <c r="AR12239" s="19"/>
      <c r="AS12239" s="19"/>
      <c r="AT12239" s="19"/>
      <c r="AU12239" s="19"/>
    </row>
    <row r="12240" spans="3:47">
      <c r="C12240" s="20"/>
      <c r="Z12240" s="20"/>
      <c r="AG12240" s="20"/>
      <c r="AQ12240" s="19"/>
      <c r="AR12240" s="19"/>
      <c r="AS12240" s="19"/>
      <c r="AT12240" s="19"/>
      <c r="AU12240" s="19"/>
    </row>
    <row r="12241" spans="3:47">
      <c r="C12241" s="20"/>
      <c r="Z12241" s="20"/>
      <c r="AG12241" s="20"/>
      <c r="AQ12241" s="19"/>
      <c r="AR12241" s="19"/>
      <c r="AS12241" s="19"/>
      <c r="AT12241" s="19"/>
      <c r="AU12241" s="19"/>
    </row>
    <row r="12242" spans="3:47">
      <c r="C12242" s="20"/>
      <c r="Z12242" s="20"/>
      <c r="AG12242" s="20"/>
      <c r="AQ12242" s="19"/>
      <c r="AR12242" s="19"/>
      <c r="AS12242" s="19"/>
      <c r="AT12242" s="19"/>
      <c r="AU12242" s="19"/>
    </row>
    <row r="12243" spans="3:47">
      <c r="C12243" s="20"/>
      <c r="Z12243" s="20"/>
      <c r="AG12243" s="20"/>
      <c r="AQ12243" s="19"/>
      <c r="AR12243" s="19"/>
      <c r="AS12243" s="19"/>
      <c r="AT12243" s="19"/>
      <c r="AU12243" s="19"/>
    </row>
    <row r="12244" spans="3:47">
      <c r="C12244" s="20"/>
      <c r="Z12244" s="20"/>
      <c r="AG12244" s="20"/>
      <c r="AQ12244" s="19"/>
      <c r="AR12244" s="19"/>
      <c r="AS12244" s="19"/>
      <c r="AT12244" s="19"/>
      <c r="AU12244" s="19"/>
    </row>
    <row r="12245" spans="3:47">
      <c r="C12245" s="20"/>
      <c r="Z12245" s="20"/>
      <c r="AG12245" s="20"/>
      <c r="AQ12245" s="19"/>
      <c r="AR12245" s="19"/>
      <c r="AS12245" s="19"/>
      <c r="AT12245" s="19"/>
      <c r="AU12245" s="19"/>
    </row>
    <row r="12246" spans="3:47">
      <c r="C12246" s="20"/>
      <c r="Z12246" s="20"/>
      <c r="AG12246" s="20"/>
      <c r="AQ12246" s="19"/>
      <c r="AR12246" s="19"/>
      <c r="AS12246" s="19"/>
      <c r="AT12246" s="19"/>
      <c r="AU12246" s="19"/>
    </row>
    <row r="12247" spans="3:47">
      <c r="C12247" s="20"/>
      <c r="Z12247" s="20"/>
      <c r="AG12247" s="20"/>
      <c r="AQ12247" s="19"/>
      <c r="AR12247" s="19"/>
      <c r="AS12247" s="19"/>
      <c r="AT12247" s="19"/>
      <c r="AU12247" s="19"/>
    </row>
    <row r="12248" spans="3:47">
      <c r="C12248" s="20"/>
      <c r="Z12248" s="20"/>
      <c r="AG12248" s="20"/>
      <c r="AQ12248" s="19"/>
      <c r="AR12248" s="19"/>
      <c r="AS12248" s="19"/>
      <c r="AT12248" s="19"/>
      <c r="AU12248" s="19"/>
    </row>
    <row r="12249" spans="3:47">
      <c r="C12249" s="20"/>
      <c r="Z12249" s="20"/>
      <c r="AG12249" s="20"/>
      <c r="AQ12249" s="19"/>
      <c r="AR12249" s="19"/>
      <c r="AS12249" s="19"/>
      <c r="AT12249" s="19"/>
      <c r="AU12249" s="19"/>
    </row>
    <row r="12250" spans="3:47">
      <c r="C12250" s="20"/>
      <c r="Z12250" s="20"/>
      <c r="AG12250" s="20"/>
      <c r="AQ12250" s="19"/>
      <c r="AR12250" s="19"/>
      <c r="AS12250" s="19"/>
      <c r="AT12250" s="19"/>
      <c r="AU12250" s="19"/>
    </row>
    <row r="12251" spans="3:47">
      <c r="C12251" s="20"/>
      <c r="Z12251" s="20"/>
      <c r="AG12251" s="20"/>
      <c r="AQ12251" s="19"/>
      <c r="AR12251" s="19"/>
      <c r="AS12251" s="19"/>
      <c r="AT12251" s="19"/>
      <c r="AU12251" s="19"/>
    </row>
    <row r="12252" spans="3:47">
      <c r="C12252" s="20"/>
      <c r="Z12252" s="20"/>
      <c r="AG12252" s="20"/>
      <c r="AQ12252" s="19"/>
      <c r="AR12252" s="19"/>
      <c r="AS12252" s="19"/>
      <c r="AT12252" s="19"/>
      <c r="AU12252" s="19"/>
    </row>
    <row r="12253" spans="3:47">
      <c r="C12253" s="20"/>
      <c r="Z12253" s="20"/>
      <c r="AG12253" s="20"/>
      <c r="AQ12253" s="19"/>
      <c r="AR12253" s="19"/>
      <c r="AS12253" s="19"/>
      <c r="AT12253" s="19"/>
      <c r="AU12253" s="19"/>
    </row>
    <row r="12254" spans="3:47">
      <c r="C12254" s="20"/>
      <c r="Z12254" s="20"/>
      <c r="AG12254" s="20"/>
      <c r="AQ12254" s="19"/>
      <c r="AR12254" s="19"/>
      <c r="AS12254" s="19"/>
      <c r="AT12254" s="19"/>
      <c r="AU12254" s="19"/>
    </row>
    <row r="12255" spans="3:47">
      <c r="C12255" s="20"/>
      <c r="Z12255" s="20"/>
      <c r="AG12255" s="20"/>
      <c r="AQ12255" s="19"/>
      <c r="AR12255" s="19"/>
      <c r="AS12255" s="19"/>
      <c r="AT12255" s="19"/>
      <c r="AU12255" s="19"/>
    </row>
    <row r="12256" spans="3:47">
      <c r="C12256" s="20"/>
      <c r="Z12256" s="20"/>
      <c r="AG12256" s="20"/>
      <c r="AQ12256" s="19"/>
      <c r="AR12256" s="19"/>
      <c r="AS12256" s="19"/>
      <c r="AT12256" s="19"/>
      <c r="AU12256" s="19"/>
    </row>
    <row r="12257" spans="3:47">
      <c r="C12257" s="20"/>
      <c r="Z12257" s="20"/>
      <c r="AG12257" s="20"/>
      <c r="AQ12257" s="19"/>
      <c r="AR12257" s="19"/>
      <c r="AS12257" s="19"/>
      <c r="AT12257" s="19"/>
      <c r="AU12257" s="19"/>
    </row>
    <row r="12258" spans="3:47">
      <c r="C12258" s="20"/>
      <c r="Z12258" s="20"/>
      <c r="AG12258" s="20"/>
      <c r="AQ12258" s="19"/>
      <c r="AR12258" s="19"/>
      <c r="AS12258" s="19"/>
      <c r="AT12258" s="19"/>
      <c r="AU12258" s="19"/>
    </row>
    <row r="12259" spans="3:47">
      <c r="C12259" s="20"/>
      <c r="Z12259" s="20"/>
      <c r="AG12259" s="20"/>
      <c r="AQ12259" s="19"/>
      <c r="AR12259" s="19"/>
      <c r="AS12259" s="19"/>
      <c r="AT12259" s="19"/>
      <c r="AU12259" s="19"/>
    </row>
    <row r="12260" spans="3:47">
      <c r="C12260" s="20"/>
      <c r="Z12260" s="20"/>
      <c r="AG12260" s="20"/>
      <c r="AQ12260" s="19"/>
      <c r="AR12260" s="19"/>
      <c r="AS12260" s="19"/>
      <c r="AT12260" s="19"/>
      <c r="AU12260" s="19"/>
    </row>
    <row r="12261" spans="3:47">
      <c r="C12261" s="20"/>
      <c r="Z12261" s="20"/>
      <c r="AG12261" s="20"/>
      <c r="AQ12261" s="19"/>
      <c r="AR12261" s="19"/>
      <c r="AS12261" s="19"/>
      <c r="AT12261" s="19"/>
      <c r="AU12261" s="19"/>
    </row>
    <row r="12262" spans="3:47">
      <c r="C12262" s="20"/>
      <c r="Z12262" s="20"/>
      <c r="AG12262" s="20"/>
      <c r="AQ12262" s="19"/>
      <c r="AR12262" s="19"/>
      <c r="AS12262" s="19"/>
      <c r="AT12262" s="19"/>
      <c r="AU12262" s="19"/>
    </row>
    <row r="12263" spans="3:47">
      <c r="C12263" s="20"/>
      <c r="Z12263" s="20"/>
      <c r="AG12263" s="20"/>
      <c r="AQ12263" s="19"/>
      <c r="AR12263" s="19"/>
      <c r="AS12263" s="19"/>
      <c r="AT12263" s="19"/>
      <c r="AU12263" s="19"/>
    </row>
    <row r="12264" spans="3:47">
      <c r="C12264" s="20"/>
      <c r="Z12264" s="20"/>
      <c r="AG12264" s="20"/>
      <c r="AQ12264" s="19"/>
      <c r="AR12264" s="19"/>
      <c r="AS12264" s="19"/>
      <c r="AT12264" s="19"/>
      <c r="AU12264" s="19"/>
    </row>
    <row r="12265" spans="3:47">
      <c r="C12265" s="20"/>
      <c r="Z12265" s="20"/>
      <c r="AG12265" s="20"/>
      <c r="AQ12265" s="19"/>
      <c r="AR12265" s="19"/>
      <c r="AS12265" s="19"/>
      <c r="AT12265" s="19"/>
      <c r="AU12265" s="19"/>
    </row>
    <row r="12266" spans="3:47">
      <c r="C12266" s="20"/>
      <c r="Z12266" s="20"/>
      <c r="AG12266" s="20"/>
      <c r="AQ12266" s="19"/>
      <c r="AR12266" s="19"/>
      <c r="AS12266" s="19"/>
      <c r="AT12266" s="19"/>
      <c r="AU12266" s="19"/>
    </row>
    <row r="12267" spans="3:47">
      <c r="C12267" s="20"/>
      <c r="Z12267" s="20"/>
      <c r="AG12267" s="20"/>
      <c r="AQ12267" s="19"/>
      <c r="AR12267" s="19"/>
      <c r="AS12267" s="19"/>
      <c r="AT12267" s="19"/>
      <c r="AU12267" s="19"/>
    </row>
    <row r="12268" spans="3:47">
      <c r="C12268" s="20"/>
      <c r="Z12268" s="20"/>
      <c r="AG12268" s="20"/>
      <c r="AQ12268" s="19"/>
      <c r="AR12268" s="19"/>
      <c r="AS12268" s="19"/>
      <c r="AT12268" s="19"/>
      <c r="AU12268" s="19"/>
    </row>
    <row r="12269" spans="3:47">
      <c r="C12269" s="20"/>
      <c r="Z12269" s="20"/>
      <c r="AG12269" s="20"/>
      <c r="AQ12269" s="19"/>
      <c r="AR12269" s="19"/>
      <c r="AS12269" s="19"/>
      <c r="AT12269" s="19"/>
      <c r="AU12269" s="19"/>
    </row>
    <row r="12270" spans="3:47">
      <c r="C12270" s="20"/>
      <c r="Z12270" s="20"/>
      <c r="AG12270" s="20"/>
      <c r="AQ12270" s="19"/>
      <c r="AR12270" s="19"/>
      <c r="AS12270" s="19"/>
      <c r="AT12270" s="19"/>
      <c r="AU12270" s="19"/>
    </row>
    <row r="12271" spans="3:47">
      <c r="C12271" s="20"/>
      <c r="Z12271" s="20"/>
      <c r="AG12271" s="20"/>
      <c r="AQ12271" s="19"/>
      <c r="AR12271" s="19"/>
      <c r="AS12271" s="19"/>
      <c r="AT12271" s="19"/>
      <c r="AU12271" s="19"/>
    </row>
    <row r="12272" spans="3:47">
      <c r="C12272" s="20"/>
      <c r="Z12272" s="20"/>
      <c r="AG12272" s="20"/>
      <c r="AQ12272" s="19"/>
      <c r="AR12272" s="19"/>
      <c r="AS12272" s="19"/>
      <c r="AT12272" s="19"/>
      <c r="AU12272" s="19"/>
    </row>
    <row r="12273" spans="3:47">
      <c r="C12273" s="20"/>
      <c r="Z12273" s="20"/>
      <c r="AG12273" s="20"/>
      <c r="AQ12273" s="19"/>
      <c r="AR12273" s="19"/>
      <c r="AS12273" s="19"/>
      <c r="AT12273" s="19"/>
      <c r="AU12273" s="19"/>
    </row>
    <row r="12274" spans="3:47">
      <c r="C12274" s="20"/>
      <c r="Z12274" s="20"/>
      <c r="AG12274" s="20"/>
      <c r="AQ12274" s="19"/>
      <c r="AR12274" s="19"/>
      <c r="AS12274" s="19"/>
      <c r="AT12274" s="19"/>
      <c r="AU12274" s="19"/>
    </row>
    <row r="12275" spans="3:47">
      <c r="C12275" s="20"/>
      <c r="Z12275" s="20"/>
      <c r="AG12275" s="20"/>
      <c r="AQ12275" s="19"/>
      <c r="AR12275" s="19"/>
      <c r="AS12275" s="19"/>
      <c r="AT12275" s="19"/>
      <c r="AU12275" s="19"/>
    </row>
    <row r="12276" spans="3:47">
      <c r="C12276" s="20"/>
      <c r="Z12276" s="20"/>
      <c r="AG12276" s="20"/>
      <c r="AQ12276" s="19"/>
      <c r="AR12276" s="19"/>
      <c r="AS12276" s="19"/>
      <c r="AT12276" s="19"/>
      <c r="AU12276" s="19"/>
    </row>
    <row r="12277" spans="3:47">
      <c r="C12277" s="20"/>
      <c r="Z12277" s="20"/>
      <c r="AG12277" s="20"/>
      <c r="AQ12277" s="19"/>
      <c r="AR12277" s="19"/>
      <c r="AS12277" s="19"/>
      <c r="AT12277" s="19"/>
      <c r="AU12277" s="19"/>
    </row>
    <row r="12278" spans="3:47">
      <c r="C12278" s="20"/>
      <c r="Z12278" s="20"/>
      <c r="AG12278" s="20"/>
      <c r="AQ12278" s="19"/>
      <c r="AR12278" s="19"/>
      <c r="AS12278" s="19"/>
      <c r="AT12278" s="19"/>
      <c r="AU12278" s="19"/>
    </row>
    <row r="12279" spans="3:47">
      <c r="C12279" s="20"/>
      <c r="Z12279" s="20"/>
      <c r="AG12279" s="20"/>
      <c r="AQ12279" s="19"/>
      <c r="AR12279" s="19"/>
      <c r="AS12279" s="19"/>
      <c r="AT12279" s="19"/>
      <c r="AU12279" s="19"/>
    </row>
    <row r="12280" spans="3:47">
      <c r="C12280" s="20"/>
      <c r="Z12280" s="20"/>
      <c r="AG12280" s="20"/>
      <c r="AQ12280" s="19"/>
      <c r="AR12280" s="19"/>
      <c r="AS12280" s="19"/>
      <c r="AT12280" s="19"/>
      <c r="AU12280" s="19"/>
    </row>
    <row r="12281" spans="3:47">
      <c r="C12281" s="20"/>
      <c r="Z12281" s="20"/>
      <c r="AG12281" s="20"/>
      <c r="AQ12281" s="19"/>
      <c r="AR12281" s="19"/>
      <c r="AS12281" s="19"/>
      <c r="AT12281" s="19"/>
      <c r="AU12281" s="19"/>
    </row>
    <row r="12282" spans="3:47">
      <c r="C12282" s="20"/>
      <c r="Z12282" s="20"/>
      <c r="AG12282" s="20"/>
      <c r="AQ12282" s="19"/>
      <c r="AR12282" s="19"/>
      <c r="AS12282" s="19"/>
      <c r="AT12282" s="19"/>
      <c r="AU12282" s="19"/>
    </row>
    <row r="12283" spans="3:47">
      <c r="C12283" s="20"/>
      <c r="Z12283" s="20"/>
      <c r="AG12283" s="20"/>
      <c r="AQ12283" s="19"/>
      <c r="AR12283" s="19"/>
      <c r="AS12283" s="19"/>
      <c r="AT12283" s="19"/>
      <c r="AU12283" s="19"/>
    </row>
    <row r="12284" spans="3:47">
      <c r="C12284" s="20"/>
      <c r="Z12284" s="20"/>
      <c r="AG12284" s="20"/>
      <c r="AQ12284" s="19"/>
      <c r="AR12284" s="19"/>
      <c r="AS12284" s="19"/>
      <c r="AT12284" s="19"/>
      <c r="AU12284" s="19"/>
    </row>
    <row r="12285" spans="3:47">
      <c r="C12285" s="20"/>
      <c r="Z12285" s="20"/>
      <c r="AG12285" s="20"/>
      <c r="AQ12285" s="19"/>
      <c r="AR12285" s="19"/>
      <c r="AS12285" s="19"/>
      <c r="AT12285" s="19"/>
      <c r="AU12285" s="19"/>
    </row>
    <row r="12286" spans="3:47">
      <c r="C12286" s="20"/>
      <c r="Z12286" s="20"/>
      <c r="AG12286" s="20"/>
      <c r="AQ12286" s="19"/>
      <c r="AR12286" s="19"/>
      <c r="AS12286" s="19"/>
      <c r="AT12286" s="19"/>
      <c r="AU12286" s="19"/>
    </row>
    <row r="12287" spans="3:47">
      <c r="C12287" s="20"/>
      <c r="Z12287" s="20"/>
      <c r="AG12287" s="20"/>
      <c r="AQ12287" s="19"/>
      <c r="AR12287" s="19"/>
      <c r="AS12287" s="19"/>
      <c r="AT12287" s="19"/>
      <c r="AU12287" s="19"/>
    </row>
    <row r="12288" spans="3:47">
      <c r="C12288" s="20"/>
      <c r="Z12288" s="20"/>
      <c r="AG12288" s="20"/>
      <c r="AQ12288" s="19"/>
      <c r="AR12288" s="19"/>
      <c r="AS12288" s="19"/>
      <c r="AT12288" s="19"/>
      <c r="AU12288" s="19"/>
    </row>
    <row r="12289" spans="3:47">
      <c r="C12289" s="20"/>
      <c r="Z12289" s="20"/>
      <c r="AG12289" s="20"/>
      <c r="AQ12289" s="19"/>
      <c r="AR12289" s="19"/>
      <c r="AS12289" s="19"/>
      <c r="AT12289" s="19"/>
      <c r="AU12289" s="19"/>
    </row>
    <row r="12290" spans="3:47">
      <c r="C12290" s="20"/>
      <c r="Z12290" s="20"/>
      <c r="AG12290" s="20"/>
      <c r="AQ12290" s="19"/>
      <c r="AR12290" s="19"/>
      <c r="AS12290" s="19"/>
      <c r="AT12290" s="19"/>
      <c r="AU12290" s="19"/>
    </row>
    <row r="12291" spans="3:47">
      <c r="C12291" s="20"/>
      <c r="Z12291" s="20"/>
      <c r="AG12291" s="20"/>
      <c r="AQ12291" s="19"/>
      <c r="AR12291" s="19"/>
      <c r="AS12291" s="19"/>
      <c r="AT12291" s="19"/>
      <c r="AU12291" s="19"/>
    </row>
    <row r="12292" spans="3:47">
      <c r="C12292" s="20"/>
      <c r="Z12292" s="20"/>
      <c r="AG12292" s="20"/>
      <c r="AQ12292" s="19"/>
      <c r="AR12292" s="19"/>
      <c r="AS12292" s="19"/>
      <c r="AT12292" s="19"/>
      <c r="AU12292" s="19"/>
    </row>
    <row r="12293" spans="3:47">
      <c r="C12293" s="20"/>
      <c r="Z12293" s="20"/>
      <c r="AG12293" s="20"/>
      <c r="AQ12293" s="19"/>
      <c r="AR12293" s="19"/>
      <c r="AS12293" s="19"/>
      <c r="AT12293" s="19"/>
      <c r="AU12293" s="19"/>
    </row>
    <row r="12294" spans="3:47">
      <c r="C12294" s="20"/>
      <c r="Z12294" s="20"/>
      <c r="AG12294" s="20"/>
      <c r="AQ12294" s="19"/>
      <c r="AR12294" s="19"/>
      <c r="AS12294" s="19"/>
      <c r="AT12294" s="19"/>
      <c r="AU12294" s="19"/>
    </row>
    <row r="12295" spans="3:47">
      <c r="C12295" s="20"/>
      <c r="Z12295" s="20"/>
      <c r="AG12295" s="20"/>
      <c r="AQ12295" s="19"/>
      <c r="AR12295" s="19"/>
      <c r="AS12295" s="19"/>
      <c r="AT12295" s="19"/>
      <c r="AU12295" s="19"/>
    </row>
    <row r="12296" spans="3:47">
      <c r="C12296" s="20"/>
      <c r="Z12296" s="20"/>
      <c r="AG12296" s="20"/>
      <c r="AQ12296" s="19"/>
      <c r="AR12296" s="19"/>
      <c r="AS12296" s="19"/>
      <c r="AT12296" s="19"/>
      <c r="AU12296" s="19"/>
    </row>
    <row r="12297" spans="3:47">
      <c r="C12297" s="20"/>
      <c r="Z12297" s="20"/>
      <c r="AG12297" s="20"/>
      <c r="AQ12297" s="19"/>
      <c r="AR12297" s="19"/>
      <c r="AS12297" s="19"/>
      <c r="AT12297" s="19"/>
      <c r="AU12297" s="19"/>
    </row>
    <row r="12298" spans="3:47">
      <c r="C12298" s="20"/>
      <c r="Z12298" s="20"/>
      <c r="AG12298" s="20"/>
      <c r="AQ12298" s="19"/>
      <c r="AR12298" s="19"/>
      <c r="AS12298" s="19"/>
      <c r="AT12298" s="19"/>
      <c r="AU12298" s="19"/>
    </row>
    <row r="12299" spans="3:47">
      <c r="C12299" s="20"/>
      <c r="Z12299" s="20"/>
      <c r="AG12299" s="20"/>
      <c r="AQ12299" s="19"/>
      <c r="AR12299" s="19"/>
      <c r="AS12299" s="19"/>
      <c r="AT12299" s="19"/>
      <c r="AU12299" s="19"/>
    </row>
    <row r="12300" spans="3:47">
      <c r="C12300" s="20"/>
      <c r="Z12300" s="20"/>
      <c r="AG12300" s="20"/>
      <c r="AQ12300" s="19"/>
      <c r="AR12300" s="19"/>
      <c r="AS12300" s="19"/>
      <c r="AT12300" s="19"/>
      <c r="AU12300" s="19"/>
    </row>
    <row r="12301" spans="3:47">
      <c r="C12301" s="20"/>
      <c r="Z12301" s="20"/>
      <c r="AG12301" s="20"/>
      <c r="AQ12301" s="19"/>
      <c r="AR12301" s="19"/>
      <c r="AS12301" s="19"/>
      <c r="AT12301" s="19"/>
      <c r="AU12301" s="19"/>
    </row>
    <row r="12302" spans="3:47">
      <c r="C12302" s="20"/>
      <c r="Z12302" s="20"/>
      <c r="AG12302" s="20"/>
      <c r="AQ12302" s="19"/>
      <c r="AR12302" s="19"/>
      <c r="AS12302" s="19"/>
      <c r="AT12302" s="19"/>
      <c r="AU12302" s="19"/>
    </row>
    <row r="12303" spans="3:47">
      <c r="C12303" s="20"/>
      <c r="Z12303" s="20"/>
      <c r="AG12303" s="20"/>
      <c r="AQ12303" s="19"/>
      <c r="AR12303" s="19"/>
      <c r="AS12303" s="19"/>
      <c r="AT12303" s="19"/>
      <c r="AU12303" s="19"/>
    </row>
    <row r="12304" spans="3:47">
      <c r="C12304" s="20"/>
      <c r="Z12304" s="20"/>
      <c r="AG12304" s="20"/>
      <c r="AQ12304" s="19"/>
      <c r="AR12304" s="19"/>
      <c r="AS12304" s="19"/>
      <c r="AT12304" s="19"/>
      <c r="AU12304" s="19"/>
    </row>
    <row r="12305" spans="3:47">
      <c r="C12305" s="20"/>
      <c r="Z12305" s="20"/>
      <c r="AG12305" s="20"/>
      <c r="AQ12305" s="19"/>
      <c r="AR12305" s="19"/>
      <c r="AS12305" s="19"/>
      <c r="AT12305" s="19"/>
      <c r="AU12305" s="19"/>
    </row>
    <row r="12306" spans="3:47">
      <c r="C12306" s="20"/>
      <c r="Z12306" s="20"/>
      <c r="AG12306" s="20"/>
      <c r="AQ12306" s="19"/>
      <c r="AR12306" s="19"/>
      <c r="AS12306" s="19"/>
      <c r="AT12306" s="19"/>
      <c r="AU12306" s="19"/>
    </row>
    <row r="12307" spans="3:47">
      <c r="C12307" s="20"/>
      <c r="Z12307" s="20"/>
      <c r="AG12307" s="20"/>
      <c r="AQ12307" s="19"/>
      <c r="AR12307" s="19"/>
      <c r="AS12307" s="19"/>
      <c r="AT12307" s="19"/>
      <c r="AU12307" s="19"/>
    </row>
    <row r="12308" spans="3:47">
      <c r="C12308" s="20"/>
      <c r="Z12308" s="20"/>
      <c r="AG12308" s="20"/>
      <c r="AQ12308" s="19"/>
      <c r="AR12308" s="19"/>
      <c r="AS12308" s="19"/>
      <c r="AT12308" s="19"/>
      <c r="AU12308" s="19"/>
    </row>
    <row r="12309" spans="3:47">
      <c r="C12309" s="20"/>
      <c r="Z12309" s="20"/>
      <c r="AG12309" s="20"/>
      <c r="AQ12309" s="19"/>
      <c r="AR12309" s="19"/>
      <c r="AS12309" s="19"/>
      <c r="AT12309" s="19"/>
      <c r="AU12309" s="19"/>
    </row>
    <row r="12310" spans="3:47">
      <c r="C12310" s="20"/>
      <c r="Z12310" s="20"/>
      <c r="AG12310" s="20"/>
      <c r="AQ12310" s="19"/>
      <c r="AR12310" s="19"/>
      <c r="AS12310" s="19"/>
      <c r="AT12310" s="19"/>
      <c r="AU12310" s="19"/>
    </row>
    <row r="12311" spans="3:47">
      <c r="C12311" s="20"/>
      <c r="Z12311" s="20"/>
      <c r="AG12311" s="20"/>
      <c r="AQ12311" s="19"/>
      <c r="AR12311" s="19"/>
      <c r="AS12311" s="19"/>
      <c r="AT12311" s="19"/>
      <c r="AU12311" s="19"/>
    </row>
    <row r="12312" spans="3:47">
      <c r="C12312" s="20"/>
      <c r="Z12312" s="20"/>
      <c r="AG12312" s="20"/>
      <c r="AQ12312" s="19"/>
      <c r="AR12312" s="19"/>
      <c r="AS12312" s="19"/>
      <c r="AT12312" s="19"/>
      <c r="AU12312" s="19"/>
    </row>
    <row r="12313" spans="3:47">
      <c r="C12313" s="20"/>
      <c r="Z12313" s="20"/>
      <c r="AG12313" s="20"/>
      <c r="AQ12313" s="19"/>
      <c r="AR12313" s="19"/>
      <c r="AS12313" s="19"/>
      <c r="AT12313" s="19"/>
      <c r="AU12313" s="19"/>
    </row>
    <row r="12314" spans="3:47">
      <c r="C12314" s="20"/>
      <c r="Z12314" s="20"/>
      <c r="AG12314" s="20"/>
      <c r="AQ12314" s="19"/>
      <c r="AR12314" s="19"/>
      <c r="AS12314" s="19"/>
      <c r="AT12314" s="19"/>
      <c r="AU12314" s="19"/>
    </row>
    <row r="12315" spans="3:47">
      <c r="C12315" s="20"/>
      <c r="Z12315" s="20"/>
      <c r="AG12315" s="20"/>
      <c r="AQ12315" s="19"/>
      <c r="AR12315" s="19"/>
      <c r="AS12315" s="19"/>
      <c r="AT12315" s="19"/>
      <c r="AU12315" s="19"/>
    </row>
    <row r="12316" spans="3:47">
      <c r="C12316" s="20"/>
      <c r="Z12316" s="20"/>
      <c r="AG12316" s="20"/>
      <c r="AQ12316" s="19"/>
      <c r="AR12316" s="19"/>
      <c r="AS12316" s="19"/>
      <c r="AT12316" s="19"/>
      <c r="AU12316" s="19"/>
    </row>
    <row r="12317" spans="3:47">
      <c r="C12317" s="20"/>
      <c r="Z12317" s="20"/>
      <c r="AG12317" s="20"/>
      <c r="AQ12317" s="19"/>
      <c r="AR12317" s="19"/>
      <c r="AS12317" s="19"/>
      <c r="AT12317" s="19"/>
      <c r="AU12317" s="19"/>
    </row>
    <row r="12318" spans="3:47">
      <c r="C12318" s="20"/>
      <c r="Z12318" s="20"/>
      <c r="AG12318" s="20"/>
      <c r="AQ12318" s="19"/>
      <c r="AR12318" s="19"/>
      <c r="AS12318" s="19"/>
      <c r="AT12318" s="19"/>
      <c r="AU12318" s="19"/>
    </row>
    <row r="12319" spans="3:47">
      <c r="C12319" s="20"/>
      <c r="Z12319" s="20"/>
      <c r="AG12319" s="20"/>
      <c r="AQ12319" s="19"/>
      <c r="AR12319" s="19"/>
      <c r="AS12319" s="19"/>
      <c r="AT12319" s="19"/>
      <c r="AU12319" s="19"/>
    </row>
    <row r="12320" spans="3:47">
      <c r="C12320" s="20"/>
      <c r="Z12320" s="20"/>
      <c r="AG12320" s="20"/>
      <c r="AQ12320" s="19"/>
      <c r="AR12320" s="19"/>
      <c r="AS12320" s="19"/>
      <c r="AT12320" s="19"/>
      <c r="AU12320" s="19"/>
    </row>
    <row r="12321" spans="3:47">
      <c r="C12321" s="20"/>
      <c r="Z12321" s="20"/>
      <c r="AG12321" s="20"/>
      <c r="AQ12321" s="19"/>
      <c r="AR12321" s="19"/>
      <c r="AS12321" s="19"/>
      <c r="AT12321" s="19"/>
      <c r="AU12321" s="19"/>
    </row>
    <row r="12322" spans="3:47">
      <c r="C12322" s="20"/>
      <c r="Z12322" s="20"/>
      <c r="AG12322" s="20"/>
      <c r="AQ12322" s="19"/>
      <c r="AR12322" s="19"/>
      <c r="AS12322" s="19"/>
      <c r="AT12322" s="19"/>
      <c r="AU12322" s="19"/>
    </row>
    <row r="12323" spans="3:47">
      <c r="C12323" s="20"/>
      <c r="Z12323" s="20"/>
      <c r="AG12323" s="20"/>
      <c r="AQ12323" s="19"/>
      <c r="AR12323" s="19"/>
      <c r="AS12323" s="19"/>
      <c r="AT12323" s="19"/>
      <c r="AU12323" s="19"/>
    </row>
    <row r="12324" spans="3:47">
      <c r="C12324" s="20"/>
      <c r="Z12324" s="20"/>
      <c r="AG12324" s="20"/>
      <c r="AQ12324" s="19"/>
      <c r="AR12324" s="19"/>
      <c r="AS12324" s="19"/>
      <c r="AT12324" s="19"/>
      <c r="AU12324" s="19"/>
    </row>
    <row r="12325" spans="3:47">
      <c r="C12325" s="20"/>
      <c r="Z12325" s="20"/>
      <c r="AG12325" s="20"/>
      <c r="AQ12325" s="19"/>
      <c r="AR12325" s="19"/>
      <c r="AS12325" s="19"/>
      <c r="AT12325" s="19"/>
      <c r="AU12325" s="19"/>
    </row>
    <row r="12326" spans="3:47">
      <c r="C12326" s="20"/>
      <c r="Z12326" s="20"/>
      <c r="AG12326" s="20"/>
      <c r="AQ12326" s="19"/>
      <c r="AR12326" s="19"/>
      <c r="AS12326" s="19"/>
      <c r="AT12326" s="19"/>
      <c r="AU12326" s="19"/>
    </row>
    <row r="12327" spans="3:47">
      <c r="C12327" s="20"/>
      <c r="Z12327" s="20"/>
      <c r="AG12327" s="20"/>
      <c r="AQ12327" s="19"/>
      <c r="AR12327" s="19"/>
      <c r="AS12327" s="19"/>
      <c r="AT12327" s="19"/>
      <c r="AU12327" s="19"/>
    </row>
    <row r="12328" spans="3:47">
      <c r="C12328" s="20"/>
      <c r="Z12328" s="20"/>
      <c r="AG12328" s="20"/>
      <c r="AQ12328" s="19"/>
      <c r="AR12328" s="19"/>
      <c r="AS12328" s="19"/>
      <c r="AT12328" s="19"/>
      <c r="AU12328" s="19"/>
    </row>
    <row r="12329" spans="3:47">
      <c r="C12329" s="20"/>
      <c r="Z12329" s="20"/>
      <c r="AG12329" s="20"/>
      <c r="AQ12329" s="19"/>
      <c r="AR12329" s="19"/>
      <c r="AS12329" s="19"/>
      <c r="AT12329" s="19"/>
      <c r="AU12329" s="19"/>
    </row>
    <row r="12330" spans="3:47">
      <c r="C12330" s="20"/>
      <c r="Z12330" s="20"/>
      <c r="AG12330" s="20"/>
      <c r="AQ12330" s="19"/>
      <c r="AR12330" s="19"/>
      <c r="AS12330" s="19"/>
      <c r="AT12330" s="19"/>
      <c r="AU12330" s="19"/>
    </row>
    <row r="12331" spans="3:47">
      <c r="C12331" s="20"/>
      <c r="Z12331" s="20"/>
      <c r="AG12331" s="20"/>
      <c r="AQ12331" s="19"/>
      <c r="AR12331" s="19"/>
      <c r="AS12331" s="19"/>
      <c r="AT12331" s="19"/>
      <c r="AU12331" s="19"/>
    </row>
    <row r="12332" spans="3:47">
      <c r="C12332" s="20"/>
      <c r="Z12332" s="20"/>
      <c r="AG12332" s="20"/>
      <c r="AQ12332" s="19"/>
      <c r="AR12332" s="19"/>
      <c r="AS12332" s="19"/>
      <c r="AT12332" s="19"/>
      <c r="AU12332" s="19"/>
    </row>
    <row r="12333" spans="3:47">
      <c r="C12333" s="20"/>
      <c r="Z12333" s="20"/>
      <c r="AG12333" s="20"/>
      <c r="AQ12333" s="19"/>
      <c r="AR12333" s="19"/>
      <c r="AS12333" s="19"/>
      <c r="AT12333" s="19"/>
      <c r="AU12333" s="19"/>
    </row>
    <row r="12334" spans="3:47">
      <c r="C12334" s="20"/>
      <c r="Z12334" s="20"/>
      <c r="AG12334" s="20"/>
      <c r="AQ12334" s="19"/>
      <c r="AR12334" s="19"/>
      <c r="AS12334" s="19"/>
      <c r="AT12334" s="19"/>
      <c r="AU12334" s="19"/>
    </row>
    <row r="12335" spans="3:47">
      <c r="C12335" s="20"/>
      <c r="Z12335" s="20"/>
      <c r="AG12335" s="20"/>
      <c r="AQ12335" s="19"/>
      <c r="AR12335" s="19"/>
      <c r="AS12335" s="19"/>
      <c r="AT12335" s="19"/>
      <c r="AU12335" s="19"/>
    </row>
    <row r="12336" spans="3:47">
      <c r="C12336" s="20"/>
      <c r="Z12336" s="20"/>
      <c r="AG12336" s="20"/>
      <c r="AQ12336" s="19"/>
      <c r="AR12336" s="19"/>
      <c r="AS12336" s="19"/>
      <c r="AT12336" s="19"/>
      <c r="AU12336" s="19"/>
    </row>
    <row r="12337" spans="3:47">
      <c r="C12337" s="20"/>
      <c r="Z12337" s="20"/>
      <c r="AG12337" s="20"/>
      <c r="AQ12337" s="19"/>
      <c r="AR12337" s="19"/>
      <c r="AS12337" s="19"/>
      <c r="AT12337" s="19"/>
      <c r="AU12337" s="19"/>
    </row>
    <row r="12338" spans="3:47">
      <c r="C12338" s="20"/>
      <c r="Z12338" s="20"/>
      <c r="AG12338" s="20"/>
      <c r="AQ12338" s="19"/>
      <c r="AR12338" s="19"/>
      <c r="AS12338" s="19"/>
      <c r="AT12338" s="19"/>
      <c r="AU12338" s="19"/>
    </row>
    <row r="12339" spans="3:47">
      <c r="C12339" s="20"/>
      <c r="Z12339" s="20"/>
      <c r="AG12339" s="20"/>
      <c r="AQ12339" s="19"/>
      <c r="AR12339" s="19"/>
      <c r="AS12339" s="19"/>
      <c r="AT12339" s="19"/>
      <c r="AU12339" s="19"/>
    </row>
    <row r="12340" spans="3:47">
      <c r="C12340" s="20"/>
      <c r="Z12340" s="20"/>
      <c r="AG12340" s="20"/>
      <c r="AQ12340" s="19"/>
      <c r="AR12340" s="19"/>
      <c r="AS12340" s="19"/>
      <c r="AT12340" s="19"/>
      <c r="AU12340" s="19"/>
    </row>
    <row r="12341" spans="3:47">
      <c r="C12341" s="20"/>
      <c r="Z12341" s="20"/>
      <c r="AG12341" s="20"/>
      <c r="AQ12341" s="19"/>
      <c r="AR12341" s="19"/>
      <c r="AS12341" s="19"/>
      <c r="AT12341" s="19"/>
      <c r="AU12341" s="19"/>
    </row>
    <row r="12342" spans="3:47">
      <c r="C12342" s="20"/>
      <c r="Z12342" s="20"/>
      <c r="AG12342" s="20"/>
      <c r="AQ12342" s="19"/>
      <c r="AR12342" s="19"/>
      <c r="AS12342" s="19"/>
      <c r="AT12342" s="19"/>
      <c r="AU12342" s="19"/>
    </row>
    <row r="12343" spans="3:47">
      <c r="C12343" s="20"/>
      <c r="Z12343" s="20"/>
      <c r="AG12343" s="20"/>
      <c r="AQ12343" s="19"/>
      <c r="AR12343" s="19"/>
      <c r="AS12343" s="19"/>
      <c r="AT12343" s="19"/>
      <c r="AU12343" s="19"/>
    </row>
    <row r="12344" spans="3:47">
      <c r="C12344" s="20"/>
      <c r="Z12344" s="20"/>
      <c r="AG12344" s="20"/>
      <c r="AQ12344" s="19"/>
      <c r="AR12344" s="19"/>
      <c r="AS12344" s="19"/>
      <c r="AT12344" s="19"/>
      <c r="AU12344" s="19"/>
    </row>
    <row r="12345" spans="3:47">
      <c r="C12345" s="20"/>
      <c r="Z12345" s="20"/>
      <c r="AG12345" s="20"/>
      <c r="AQ12345" s="19"/>
      <c r="AR12345" s="19"/>
      <c r="AS12345" s="19"/>
      <c r="AT12345" s="19"/>
      <c r="AU12345" s="19"/>
    </row>
    <row r="12346" spans="3:47">
      <c r="C12346" s="20"/>
      <c r="Z12346" s="20"/>
      <c r="AG12346" s="20"/>
      <c r="AQ12346" s="19"/>
      <c r="AR12346" s="19"/>
      <c r="AS12346" s="19"/>
      <c r="AT12346" s="19"/>
      <c r="AU12346" s="19"/>
    </row>
    <row r="12347" spans="3:47">
      <c r="C12347" s="20"/>
      <c r="Z12347" s="20"/>
      <c r="AG12347" s="20"/>
      <c r="AQ12347" s="19"/>
      <c r="AR12347" s="19"/>
      <c r="AS12347" s="19"/>
      <c r="AT12347" s="19"/>
      <c r="AU12347" s="19"/>
    </row>
    <row r="12348" spans="3:47">
      <c r="C12348" s="20"/>
      <c r="Z12348" s="20"/>
      <c r="AG12348" s="20"/>
      <c r="AQ12348" s="19"/>
      <c r="AR12348" s="19"/>
      <c r="AS12348" s="19"/>
      <c r="AT12348" s="19"/>
      <c r="AU12348" s="19"/>
    </row>
    <row r="12349" spans="3:47">
      <c r="C12349" s="20"/>
      <c r="Z12349" s="20"/>
      <c r="AG12349" s="20"/>
      <c r="AQ12349" s="19"/>
      <c r="AR12349" s="19"/>
      <c r="AS12349" s="19"/>
      <c r="AT12349" s="19"/>
      <c r="AU12349" s="19"/>
    </row>
    <row r="12350" spans="3:47">
      <c r="C12350" s="20"/>
      <c r="Z12350" s="20"/>
      <c r="AG12350" s="20"/>
      <c r="AQ12350" s="19"/>
      <c r="AR12350" s="19"/>
      <c r="AS12350" s="19"/>
      <c r="AT12350" s="19"/>
      <c r="AU12350" s="19"/>
    </row>
    <row r="12351" spans="3:47">
      <c r="C12351" s="20"/>
      <c r="Z12351" s="20"/>
      <c r="AG12351" s="20"/>
      <c r="AQ12351" s="19"/>
      <c r="AR12351" s="19"/>
      <c r="AS12351" s="19"/>
      <c r="AT12351" s="19"/>
      <c r="AU12351" s="19"/>
    </row>
    <row r="12352" spans="3:47">
      <c r="C12352" s="20"/>
      <c r="Z12352" s="20"/>
      <c r="AG12352" s="20"/>
      <c r="AQ12352" s="19"/>
      <c r="AR12352" s="19"/>
      <c r="AS12352" s="19"/>
      <c r="AT12352" s="19"/>
      <c r="AU12352" s="19"/>
    </row>
    <row r="12353" spans="3:47">
      <c r="C12353" s="20"/>
      <c r="Z12353" s="20"/>
      <c r="AG12353" s="20"/>
      <c r="AQ12353" s="19"/>
      <c r="AR12353" s="19"/>
      <c r="AS12353" s="19"/>
      <c r="AT12353" s="19"/>
      <c r="AU12353" s="19"/>
    </row>
    <row r="12354" spans="3:47">
      <c r="C12354" s="20"/>
      <c r="Z12354" s="20"/>
      <c r="AG12354" s="20"/>
      <c r="AQ12354" s="19"/>
      <c r="AR12354" s="19"/>
      <c r="AS12354" s="19"/>
      <c r="AT12354" s="19"/>
      <c r="AU12354" s="19"/>
    </row>
    <row r="12355" spans="3:47">
      <c r="C12355" s="20"/>
      <c r="Z12355" s="20"/>
      <c r="AG12355" s="20"/>
      <c r="AQ12355" s="19"/>
      <c r="AR12355" s="19"/>
      <c r="AS12355" s="19"/>
      <c r="AT12355" s="19"/>
      <c r="AU12355" s="19"/>
    </row>
    <row r="12356" spans="3:47">
      <c r="C12356" s="20"/>
      <c r="Z12356" s="20"/>
      <c r="AG12356" s="20"/>
      <c r="AQ12356" s="19"/>
      <c r="AR12356" s="19"/>
      <c r="AS12356" s="19"/>
      <c r="AT12356" s="19"/>
      <c r="AU12356" s="19"/>
    </row>
    <row r="12357" spans="3:47">
      <c r="C12357" s="20"/>
      <c r="Z12357" s="20"/>
      <c r="AG12357" s="20"/>
      <c r="AQ12357" s="19"/>
      <c r="AR12357" s="19"/>
      <c r="AS12357" s="19"/>
      <c r="AT12357" s="19"/>
      <c r="AU12357" s="19"/>
    </row>
    <row r="12358" spans="3:47">
      <c r="C12358" s="20"/>
      <c r="Z12358" s="20"/>
      <c r="AG12358" s="20"/>
      <c r="AQ12358" s="19"/>
      <c r="AR12358" s="19"/>
      <c r="AS12358" s="19"/>
      <c r="AT12358" s="19"/>
      <c r="AU12358" s="19"/>
    </row>
    <row r="12359" spans="3:47">
      <c r="C12359" s="20"/>
      <c r="Z12359" s="20"/>
      <c r="AG12359" s="20"/>
      <c r="AQ12359" s="19"/>
      <c r="AR12359" s="19"/>
      <c r="AS12359" s="19"/>
      <c r="AT12359" s="19"/>
      <c r="AU12359" s="19"/>
    </row>
    <row r="12360" spans="3:47">
      <c r="C12360" s="20"/>
      <c r="Z12360" s="20"/>
      <c r="AG12360" s="20"/>
      <c r="AQ12360" s="19"/>
      <c r="AR12360" s="19"/>
      <c r="AS12360" s="19"/>
      <c r="AT12360" s="19"/>
      <c r="AU12360" s="19"/>
    </row>
    <row r="12361" spans="3:47">
      <c r="C12361" s="20"/>
      <c r="Z12361" s="20"/>
      <c r="AG12361" s="20"/>
      <c r="AQ12361" s="19"/>
      <c r="AR12361" s="19"/>
      <c r="AS12361" s="19"/>
      <c r="AT12361" s="19"/>
      <c r="AU12361" s="19"/>
    </row>
    <row r="12362" spans="3:47">
      <c r="C12362" s="20"/>
      <c r="Z12362" s="20"/>
      <c r="AG12362" s="20"/>
      <c r="AQ12362" s="19"/>
      <c r="AR12362" s="19"/>
      <c r="AS12362" s="19"/>
      <c r="AT12362" s="19"/>
      <c r="AU12362" s="19"/>
    </row>
    <row r="12363" spans="3:47">
      <c r="C12363" s="20"/>
      <c r="Z12363" s="20"/>
      <c r="AG12363" s="20"/>
      <c r="AQ12363" s="19"/>
      <c r="AR12363" s="19"/>
      <c r="AS12363" s="19"/>
      <c r="AT12363" s="19"/>
      <c r="AU12363" s="19"/>
    </row>
    <row r="12364" spans="3:47">
      <c r="C12364" s="20"/>
      <c r="Z12364" s="20"/>
      <c r="AG12364" s="20"/>
      <c r="AQ12364" s="19"/>
      <c r="AR12364" s="19"/>
      <c r="AS12364" s="19"/>
      <c r="AT12364" s="19"/>
      <c r="AU12364" s="19"/>
    </row>
    <row r="12365" spans="3:47">
      <c r="C12365" s="20"/>
      <c r="Z12365" s="20"/>
      <c r="AG12365" s="20"/>
      <c r="AQ12365" s="19"/>
      <c r="AR12365" s="19"/>
      <c r="AS12365" s="19"/>
      <c r="AT12365" s="19"/>
      <c r="AU12365" s="19"/>
    </row>
    <row r="12366" spans="3:47">
      <c r="C12366" s="20"/>
      <c r="Z12366" s="20"/>
      <c r="AG12366" s="20"/>
      <c r="AQ12366" s="19"/>
      <c r="AR12366" s="19"/>
      <c r="AS12366" s="19"/>
      <c r="AT12366" s="19"/>
      <c r="AU12366" s="19"/>
    </row>
    <row r="12367" spans="3:47">
      <c r="C12367" s="20"/>
      <c r="Z12367" s="20"/>
      <c r="AG12367" s="20"/>
      <c r="AQ12367" s="19"/>
      <c r="AR12367" s="19"/>
      <c r="AS12367" s="19"/>
      <c r="AT12367" s="19"/>
      <c r="AU12367" s="19"/>
    </row>
    <row r="12368" spans="3:47">
      <c r="C12368" s="20"/>
      <c r="Z12368" s="20"/>
      <c r="AG12368" s="20"/>
      <c r="AQ12368" s="19"/>
      <c r="AR12368" s="19"/>
      <c r="AS12368" s="19"/>
      <c r="AT12368" s="19"/>
      <c r="AU12368" s="19"/>
    </row>
    <row r="12369" spans="3:47">
      <c r="C12369" s="20"/>
      <c r="Z12369" s="20"/>
      <c r="AG12369" s="20"/>
      <c r="AQ12369" s="19"/>
      <c r="AR12369" s="19"/>
      <c r="AS12369" s="19"/>
      <c r="AT12369" s="19"/>
      <c r="AU12369" s="19"/>
    </row>
    <row r="12370" spans="3:47">
      <c r="C12370" s="20"/>
      <c r="Z12370" s="20"/>
      <c r="AG12370" s="20"/>
      <c r="AQ12370" s="19"/>
      <c r="AR12370" s="19"/>
      <c r="AS12370" s="19"/>
      <c r="AT12370" s="19"/>
      <c r="AU12370" s="19"/>
    </row>
    <row r="12371" spans="3:47">
      <c r="C12371" s="20"/>
      <c r="Z12371" s="20"/>
      <c r="AG12371" s="20"/>
      <c r="AQ12371" s="19"/>
      <c r="AR12371" s="19"/>
      <c r="AS12371" s="19"/>
      <c r="AT12371" s="19"/>
      <c r="AU12371" s="19"/>
    </row>
    <row r="12372" spans="3:47">
      <c r="C12372" s="20"/>
      <c r="Z12372" s="20"/>
      <c r="AG12372" s="20"/>
      <c r="AQ12372" s="19"/>
      <c r="AR12372" s="19"/>
      <c r="AS12372" s="19"/>
      <c r="AT12372" s="19"/>
      <c r="AU12372" s="19"/>
    </row>
    <row r="12373" spans="3:47">
      <c r="C12373" s="20"/>
      <c r="Z12373" s="20"/>
      <c r="AG12373" s="20"/>
      <c r="AQ12373" s="19"/>
      <c r="AR12373" s="19"/>
      <c r="AS12373" s="19"/>
      <c r="AT12373" s="19"/>
      <c r="AU12373" s="19"/>
    </row>
    <row r="12374" spans="3:47">
      <c r="C12374" s="20"/>
      <c r="Z12374" s="20"/>
      <c r="AG12374" s="20"/>
      <c r="AQ12374" s="19"/>
      <c r="AR12374" s="19"/>
      <c r="AS12374" s="19"/>
      <c r="AT12374" s="19"/>
      <c r="AU12374" s="19"/>
    </row>
    <row r="12375" spans="3:47">
      <c r="C12375" s="20"/>
      <c r="Z12375" s="20"/>
      <c r="AG12375" s="20"/>
      <c r="AQ12375" s="19"/>
      <c r="AR12375" s="19"/>
      <c r="AS12375" s="19"/>
      <c r="AT12375" s="19"/>
      <c r="AU12375" s="19"/>
    </row>
    <row r="12376" spans="3:47">
      <c r="C12376" s="20"/>
      <c r="Z12376" s="20"/>
      <c r="AG12376" s="20"/>
      <c r="AQ12376" s="19"/>
      <c r="AR12376" s="19"/>
      <c r="AS12376" s="19"/>
      <c r="AT12376" s="19"/>
      <c r="AU12376" s="19"/>
    </row>
    <row r="12377" spans="3:47">
      <c r="C12377" s="20"/>
      <c r="Z12377" s="20"/>
      <c r="AG12377" s="20"/>
      <c r="AQ12377" s="19"/>
      <c r="AR12377" s="19"/>
      <c r="AS12377" s="19"/>
      <c r="AT12377" s="19"/>
      <c r="AU12377" s="19"/>
    </row>
    <row r="12378" spans="3:47">
      <c r="C12378" s="20"/>
      <c r="Z12378" s="20"/>
      <c r="AG12378" s="20"/>
      <c r="AQ12378" s="19"/>
      <c r="AR12378" s="19"/>
      <c r="AS12378" s="19"/>
      <c r="AT12378" s="19"/>
      <c r="AU12378" s="19"/>
    </row>
    <row r="12379" spans="3:47">
      <c r="C12379" s="20"/>
      <c r="Z12379" s="20"/>
      <c r="AG12379" s="20"/>
      <c r="AQ12379" s="19"/>
      <c r="AR12379" s="19"/>
      <c r="AS12379" s="19"/>
      <c r="AT12379" s="19"/>
      <c r="AU12379" s="19"/>
    </row>
    <row r="12380" spans="3:47">
      <c r="C12380" s="20"/>
      <c r="Z12380" s="20"/>
      <c r="AG12380" s="20"/>
      <c r="AQ12380" s="19"/>
      <c r="AR12380" s="19"/>
      <c r="AS12380" s="19"/>
      <c r="AT12380" s="19"/>
      <c r="AU12380" s="19"/>
    </row>
    <row r="12381" spans="3:47">
      <c r="C12381" s="20"/>
      <c r="Z12381" s="20"/>
      <c r="AG12381" s="20"/>
      <c r="AQ12381" s="19"/>
      <c r="AR12381" s="19"/>
      <c r="AS12381" s="19"/>
      <c r="AT12381" s="19"/>
      <c r="AU12381" s="19"/>
    </row>
    <row r="12382" spans="3:47">
      <c r="C12382" s="20"/>
      <c r="Z12382" s="20"/>
      <c r="AG12382" s="20"/>
      <c r="AQ12382" s="19"/>
      <c r="AR12382" s="19"/>
      <c r="AS12382" s="19"/>
      <c r="AT12382" s="19"/>
      <c r="AU12382" s="19"/>
    </row>
    <row r="12383" spans="3:47">
      <c r="C12383" s="20"/>
      <c r="Z12383" s="20"/>
      <c r="AG12383" s="20"/>
      <c r="AQ12383" s="19"/>
      <c r="AR12383" s="19"/>
      <c r="AS12383" s="19"/>
      <c r="AT12383" s="19"/>
      <c r="AU12383" s="19"/>
    </row>
    <row r="12384" spans="3:47">
      <c r="C12384" s="20"/>
      <c r="Z12384" s="20"/>
      <c r="AG12384" s="20"/>
      <c r="AQ12384" s="19"/>
      <c r="AR12384" s="19"/>
      <c r="AS12384" s="19"/>
      <c r="AT12384" s="19"/>
      <c r="AU12384" s="19"/>
    </row>
    <row r="12385" spans="3:47">
      <c r="C12385" s="20"/>
      <c r="Z12385" s="20"/>
      <c r="AG12385" s="20"/>
      <c r="AQ12385" s="19"/>
      <c r="AR12385" s="19"/>
      <c r="AS12385" s="19"/>
      <c r="AT12385" s="19"/>
      <c r="AU12385" s="19"/>
    </row>
    <row r="12386" spans="3:47">
      <c r="C12386" s="20"/>
      <c r="Z12386" s="20"/>
      <c r="AG12386" s="20"/>
      <c r="AQ12386" s="19"/>
      <c r="AR12386" s="19"/>
      <c r="AS12386" s="19"/>
      <c r="AT12386" s="19"/>
      <c r="AU12386" s="19"/>
    </row>
    <row r="12387" spans="3:47">
      <c r="C12387" s="20"/>
      <c r="Z12387" s="20"/>
      <c r="AG12387" s="20"/>
      <c r="AQ12387" s="19"/>
      <c r="AR12387" s="19"/>
      <c r="AS12387" s="19"/>
      <c r="AT12387" s="19"/>
      <c r="AU12387" s="19"/>
    </row>
    <row r="12388" spans="3:47">
      <c r="C12388" s="20"/>
      <c r="Z12388" s="20"/>
      <c r="AG12388" s="20"/>
      <c r="AQ12388" s="19"/>
      <c r="AR12388" s="19"/>
      <c r="AS12388" s="19"/>
      <c r="AT12388" s="19"/>
      <c r="AU12388" s="19"/>
    </row>
    <row r="12389" spans="3:47">
      <c r="C12389" s="20"/>
      <c r="Z12389" s="20"/>
      <c r="AG12389" s="20"/>
      <c r="AQ12389" s="19"/>
      <c r="AR12389" s="19"/>
      <c r="AS12389" s="19"/>
      <c r="AT12389" s="19"/>
      <c r="AU12389" s="19"/>
    </row>
    <row r="12390" spans="3:47">
      <c r="C12390" s="20"/>
      <c r="Z12390" s="20"/>
      <c r="AG12390" s="20"/>
      <c r="AQ12390" s="19"/>
      <c r="AR12390" s="19"/>
      <c r="AS12390" s="19"/>
      <c r="AT12390" s="19"/>
      <c r="AU12390" s="19"/>
    </row>
    <row r="12391" spans="3:47">
      <c r="C12391" s="20"/>
      <c r="Z12391" s="20"/>
      <c r="AG12391" s="20"/>
      <c r="AQ12391" s="19"/>
      <c r="AR12391" s="19"/>
      <c r="AS12391" s="19"/>
      <c r="AT12391" s="19"/>
      <c r="AU12391" s="19"/>
    </row>
    <row r="12392" spans="3:47">
      <c r="C12392" s="20"/>
      <c r="Z12392" s="20"/>
      <c r="AG12392" s="20"/>
      <c r="AQ12392" s="19"/>
      <c r="AR12392" s="19"/>
      <c r="AS12392" s="19"/>
      <c r="AT12392" s="19"/>
      <c r="AU12392" s="19"/>
    </row>
    <row r="12393" spans="3:47">
      <c r="C12393" s="20"/>
      <c r="Z12393" s="20"/>
      <c r="AG12393" s="20"/>
      <c r="AQ12393" s="19"/>
      <c r="AR12393" s="19"/>
      <c r="AS12393" s="19"/>
      <c r="AT12393" s="19"/>
      <c r="AU12393" s="19"/>
    </row>
    <row r="12394" spans="3:47">
      <c r="C12394" s="20"/>
      <c r="Z12394" s="20"/>
      <c r="AG12394" s="20"/>
      <c r="AQ12394" s="19"/>
      <c r="AR12394" s="19"/>
      <c r="AS12394" s="19"/>
      <c r="AT12394" s="19"/>
      <c r="AU12394" s="19"/>
    </row>
    <row r="12395" spans="3:47">
      <c r="C12395" s="20"/>
      <c r="Z12395" s="20"/>
      <c r="AG12395" s="20"/>
      <c r="AQ12395" s="19"/>
      <c r="AR12395" s="19"/>
      <c r="AS12395" s="19"/>
      <c r="AT12395" s="19"/>
      <c r="AU12395" s="19"/>
    </row>
    <row r="12396" spans="3:47">
      <c r="C12396" s="20"/>
      <c r="Z12396" s="20"/>
      <c r="AG12396" s="20"/>
      <c r="AQ12396" s="19"/>
      <c r="AR12396" s="19"/>
      <c r="AS12396" s="19"/>
      <c r="AT12396" s="19"/>
      <c r="AU12396" s="19"/>
    </row>
    <row r="12397" spans="3:47">
      <c r="C12397" s="20"/>
      <c r="Z12397" s="20"/>
      <c r="AG12397" s="20"/>
      <c r="AQ12397" s="19"/>
      <c r="AR12397" s="19"/>
      <c r="AS12397" s="19"/>
      <c r="AT12397" s="19"/>
      <c r="AU12397" s="19"/>
    </row>
    <row r="12398" spans="3:47">
      <c r="C12398" s="20"/>
      <c r="Z12398" s="20"/>
      <c r="AG12398" s="20"/>
      <c r="AQ12398" s="19"/>
      <c r="AR12398" s="19"/>
      <c r="AS12398" s="19"/>
      <c r="AT12398" s="19"/>
      <c r="AU12398" s="19"/>
    </row>
    <row r="12399" spans="3:47">
      <c r="C12399" s="20"/>
      <c r="Z12399" s="20"/>
      <c r="AG12399" s="20"/>
      <c r="AQ12399" s="19"/>
      <c r="AR12399" s="19"/>
      <c r="AS12399" s="19"/>
      <c r="AT12399" s="19"/>
      <c r="AU12399" s="19"/>
    </row>
    <row r="12400" spans="3:47">
      <c r="C12400" s="20"/>
      <c r="Z12400" s="20"/>
      <c r="AG12400" s="20"/>
      <c r="AQ12400" s="19"/>
      <c r="AR12400" s="19"/>
      <c r="AS12400" s="19"/>
      <c r="AT12400" s="19"/>
      <c r="AU12400" s="19"/>
    </row>
    <row r="12401" spans="3:47">
      <c r="C12401" s="20"/>
      <c r="Z12401" s="20"/>
      <c r="AG12401" s="20"/>
      <c r="AQ12401" s="19"/>
      <c r="AR12401" s="19"/>
      <c r="AS12401" s="19"/>
      <c r="AT12401" s="19"/>
      <c r="AU12401" s="19"/>
    </row>
    <row r="12402" spans="3:47">
      <c r="C12402" s="20"/>
      <c r="Z12402" s="20"/>
      <c r="AG12402" s="20"/>
      <c r="AQ12402" s="19"/>
      <c r="AR12402" s="19"/>
      <c r="AS12402" s="19"/>
      <c r="AT12402" s="19"/>
      <c r="AU12402" s="19"/>
    </row>
    <row r="12403" spans="3:47">
      <c r="C12403" s="20"/>
      <c r="Z12403" s="20"/>
      <c r="AG12403" s="20"/>
      <c r="AQ12403" s="19"/>
      <c r="AR12403" s="19"/>
      <c r="AS12403" s="19"/>
      <c r="AT12403" s="19"/>
      <c r="AU12403" s="19"/>
    </row>
    <row r="12404" spans="3:47">
      <c r="C12404" s="20"/>
      <c r="Z12404" s="20"/>
      <c r="AG12404" s="20"/>
      <c r="AQ12404" s="19"/>
      <c r="AR12404" s="19"/>
      <c r="AS12404" s="19"/>
      <c r="AT12404" s="19"/>
      <c r="AU12404" s="19"/>
    </row>
    <row r="12405" spans="3:47">
      <c r="C12405" s="20"/>
      <c r="Z12405" s="20"/>
      <c r="AG12405" s="20"/>
      <c r="AQ12405" s="19"/>
      <c r="AR12405" s="19"/>
      <c r="AS12405" s="19"/>
      <c r="AT12405" s="19"/>
      <c r="AU12405" s="19"/>
    </row>
    <row r="12406" spans="3:47">
      <c r="C12406" s="20"/>
      <c r="Z12406" s="20"/>
      <c r="AG12406" s="20"/>
      <c r="AQ12406" s="19"/>
      <c r="AR12406" s="19"/>
      <c r="AS12406" s="19"/>
      <c r="AT12406" s="19"/>
      <c r="AU12406" s="19"/>
    </row>
    <row r="12407" spans="3:47">
      <c r="C12407" s="20"/>
      <c r="Z12407" s="20"/>
      <c r="AG12407" s="20"/>
      <c r="AQ12407" s="19"/>
      <c r="AR12407" s="19"/>
      <c r="AS12407" s="19"/>
      <c r="AT12407" s="19"/>
      <c r="AU12407" s="19"/>
    </row>
    <row r="12408" spans="3:47">
      <c r="C12408" s="20"/>
      <c r="Z12408" s="20"/>
      <c r="AG12408" s="20"/>
      <c r="AQ12408" s="19"/>
      <c r="AR12408" s="19"/>
      <c r="AS12408" s="19"/>
      <c r="AT12408" s="19"/>
      <c r="AU12408" s="19"/>
    </row>
    <row r="12409" spans="3:47">
      <c r="C12409" s="20"/>
      <c r="Z12409" s="20"/>
      <c r="AG12409" s="20"/>
      <c r="AQ12409" s="19"/>
      <c r="AR12409" s="19"/>
      <c r="AS12409" s="19"/>
      <c r="AT12409" s="19"/>
      <c r="AU12409" s="19"/>
    </row>
    <row r="12410" spans="3:47">
      <c r="C12410" s="20"/>
      <c r="Z12410" s="20"/>
      <c r="AG12410" s="20"/>
      <c r="AQ12410" s="19"/>
      <c r="AR12410" s="19"/>
      <c r="AS12410" s="19"/>
      <c r="AT12410" s="19"/>
      <c r="AU12410" s="19"/>
    </row>
    <row r="12411" spans="3:47">
      <c r="C12411" s="20"/>
      <c r="Z12411" s="20"/>
      <c r="AG12411" s="20"/>
      <c r="AQ12411" s="19"/>
      <c r="AR12411" s="19"/>
      <c r="AS12411" s="19"/>
      <c r="AT12411" s="19"/>
      <c r="AU12411" s="19"/>
    </row>
    <row r="12412" spans="3:47">
      <c r="C12412" s="20"/>
      <c r="Z12412" s="20"/>
      <c r="AG12412" s="20"/>
      <c r="AQ12412" s="19"/>
      <c r="AR12412" s="19"/>
      <c r="AS12412" s="19"/>
      <c r="AT12412" s="19"/>
      <c r="AU12412" s="19"/>
    </row>
    <row r="12413" spans="3:47">
      <c r="C12413" s="20"/>
      <c r="Z12413" s="20"/>
      <c r="AG12413" s="20"/>
      <c r="AQ12413" s="19"/>
      <c r="AR12413" s="19"/>
      <c r="AS12413" s="19"/>
      <c r="AT12413" s="19"/>
      <c r="AU12413" s="19"/>
    </row>
    <row r="12414" spans="3:47">
      <c r="C12414" s="20"/>
      <c r="Z12414" s="20"/>
      <c r="AG12414" s="20"/>
      <c r="AQ12414" s="19"/>
      <c r="AR12414" s="19"/>
      <c r="AS12414" s="19"/>
      <c r="AT12414" s="19"/>
      <c r="AU12414" s="19"/>
    </row>
    <row r="12415" spans="3:47">
      <c r="C12415" s="20"/>
      <c r="Z12415" s="20"/>
      <c r="AG12415" s="20"/>
      <c r="AQ12415" s="19"/>
      <c r="AR12415" s="19"/>
      <c r="AS12415" s="19"/>
      <c r="AT12415" s="19"/>
      <c r="AU12415" s="19"/>
    </row>
    <row r="12416" spans="3:47">
      <c r="C12416" s="20"/>
      <c r="Z12416" s="20"/>
      <c r="AG12416" s="20"/>
      <c r="AQ12416" s="19"/>
      <c r="AR12416" s="19"/>
      <c r="AS12416" s="19"/>
      <c r="AT12416" s="19"/>
      <c r="AU12416" s="19"/>
    </row>
    <row r="12417" spans="3:47">
      <c r="C12417" s="20"/>
      <c r="Z12417" s="20"/>
      <c r="AG12417" s="20"/>
      <c r="AQ12417" s="19"/>
      <c r="AR12417" s="19"/>
      <c r="AS12417" s="19"/>
      <c r="AT12417" s="19"/>
      <c r="AU12417" s="19"/>
    </row>
    <row r="12418" spans="3:47">
      <c r="C12418" s="20"/>
      <c r="Z12418" s="20"/>
      <c r="AG12418" s="20"/>
      <c r="AQ12418" s="19"/>
      <c r="AR12418" s="19"/>
      <c r="AS12418" s="19"/>
      <c r="AT12418" s="19"/>
      <c r="AU12418" s="19"/>
    </row>
    <row r="12419" spans="3:47">
      <c r="C12419" s="20"/>
      <c r="Z12419" s="20"/>
      <c r="AG12419" s="20"/>
      <c r="AQ12419" s="19"/>
      <c r="AR12419" s="19"/>
      <c r="AS12419" s="19"/>
      <c r="AT12419" s="19"/>
      <c r="AU12419" s="19"/>
    </row>
    <row r="12420" spans="3:47">
      <c r="C12420" s="20"/>
      <c r="Z12420" s="20"/>
      <c r="AG12420" s="20"/>
      <c r="AQ12420" s="19"/>
      <c r="AR12420" s="19"/>
      <c r="AS12420" s="19"/>
      <c r="AT12420" s="19"/>
      <c r="AU12420" s="19"/>
    </row>
    <row r="12421" spans="3:47">
      <c r="C12421" s="20"/>
      <c r="Z12421" s="20"/>
      <c r="AG12421" s="20"/>
      <c r="AQ12421" s="19"/>
      <c r="AR12421" s="19"/>
      <c r="AS12421" s="19"/>
      <c r="AT12421" s="19"/>
      <c r="AU12421" s="19"/>
    </row>
    <row r="12422" spans="3:47">
      <c r="C12422" s="20"/>
      <c r="Z12422" s="20"/>
      <c r="AG12422" s="20"/>
      <c r="AQ12422" s="19"/>
      <c r="AR12422" s="19"/>
      <c r="AS12422" s="19"/>
      <c r="AT12422" s="19"/>
      <c r="AU12422" s="19"/>
    </row>
    <row r="12423" spans="3:47">
      <c r="C12423" s="20"/>
      <c r="Z12423" s="20"/>
      <c r="AG12423" s="20"/>
      <c r="AQ12423" s="19"/>
      <c r="AR12423" s="19"/>
      <c r="AS12423" s="19"/>
      <c r="AT12423" s="19"/>
      <c r="AU12423" s="19"/>
    </row>
    <row r="12424" spans="3:47">
      <c r="C12424" s="20"/>
      <c r="Z12424" s="20"/>
      <c r="AG12424" s="20"/>
      <c r="AQ12424" s="19"/>
      <c r="AR12424" s="19"/>
      <c r="AS12424" s="19"/>
      <c r="AT12424" s="19"/>
      <c r="AU12424" s="19"/>
    </row>
    <row r="12425" spans="3:47">
      <c r="C12425" s="20"/>
      <c r="Z12425" s="20"/>
      <c r="AG12425" s="20"/>
      <c r="AQ12425" s="19"/>
      <c r="AR12425" s="19"/>
      <c r="AS12425" s="19"/>
      <c r="AT12425" s="19"/>
      <c r="AU12425" s="19"/>
    </row>
    <row r="12426" spans="3:47">
      <c r="C12426" s="20"/>
      <c r="Z12426" s="20"/>
      <c r="AG12426" s="20"/>
      <c r="AQ12426" s="19"/>
      <c r="AR12426" s="19"/>
      <c r="AS12426" s="19"/>
      <c r="AT12426" s="19"/>
      <c r="AU12426" s="19"/>
    </row>
    <row r="12427" spans="3:47">
      <c r="C12427" s="20"/>
      <c r="Z12427" s="20"/>
      <c r="AG12427" s="20"/>
      <c r="AQ12427" s="19"/>
      <c r="AR12427" s="19"/>
      <c r="AS12427" s="19"/>
      <c r="AT12427" s="19"/>
      <c r="AU12427" s="19"/>
    </row>
    <row r="12428" spans="3:47">
      <c r="C12428" s="20"/>
      <c r="Z12428" s="20"/>
      <c r="AG12428" s="20"/>
      <c r="AQ12428" s="19"/>
      <c r="AR12428" s="19"/>
      <c r="AS12428" s="19"/>
      <c r="AT12428" s="19"/>
      <c r="AU12428" s="19"/>
    </row>
    <row r="12429" spans="3:47">
      <c r="C12429" s="20"/>
      <c r="Z12429" s="20"/>
      <c r="AG12429" s="20"/>
      <c r="AQ12429" s="19"/>
      <c r="AR12429" s="19"/>
      <c r="AS12429" s="19"/>
      <c r="AT12429" s="19"/>
      <c r="AU12429" s="19"/>
    </row>
    <row r="12430" spans="3:47">
      <c r="C12430" s="20"/>
      <c r="Z12430" s="20"/>
      <c r="AG12430" s="20"/>
      <c r="AQ12430" s="19"/>
      <c r="AR12430" s="19"/>
      <c r="AS12430" s="19"/>
      <c r="AT12430" s="19"/>
      <c r="AU12430" s="19"/>
    </row>
    <row r="12431" spans="3:47">
      <c r="C12431" s="20"/>
      <c r="Z12431" s="20"/>
      <c r="AG12431" s="20"/>
      <c r="AQ12431" s="19"/>
      <c r="AR12431" s="19"/>
      <c r="AS12431" s="19"/>
      <c r="AT12431" s="19"/>
      <c r="AU12431" s="19"/>
    </row>
    <row r="12432" spans="3:47">
      <c r="C12432" s="20"/>
      <c r="Z12432" s="20"/>
      <c r="AG12432" s="20"/>
      <c r="AQ12432" s="19"/>
      <c r="AR12432" s="19"/>
      <c r="AS12432" s="19"/>
      <c r="AT12432" s="19"/>
      <c r="AU12432" s="19"/>
    </row>
    <row r="12433" spans="3:47">
      <c r="C12433" s="20"/>
      <c r="Z12433" s="20"/>
      <c r="AG12433" s="20"/>
      <c r="AQ12433" s="19"/>
      <c r="AR12433" s="19"/>
      <c r="AS12433" s="19"/>
      <c r="AT12433" s="19"/>
      <c r="AU12433" s="19"/>
    </row>
    <row r="12434" spans="3:47">
      <c r="C12434" s="20"/>
      <c r="Z12434" s="20"/>
      <c r="AG12434" s="20"/>
      <c r="AQ12434" s="19"/>
      <c r="AR12434" s="19"/>
      <c r="AS12434" s="19"/>
      <c r="AT12434" s="19"/>
      <c r="AU12434" s="19"/>
    </row>
    <row r="12435" spans="3:47">
      <c r="C12435" s="20"/>
      <c r="Z12435" s="20"/>
      <c r="AG12435" s="20"/>
      <c r="AQ12435" s="19"/>
      <c r="AR12435" s="19"/>
      <c r="AS12435" s="19"/>
      <c r="AT12435" s="19"/>
      <c r="AU12435" s="19"/>
    </row>
    <row r="12436" spans="3:47">
      <c r="C12436" s="20"/>
      <c r="Z12436" s="20"/>
      <c r="AG12436" s="20"/>
      <c r="AQ12436" s="19"/>
      <c r="AR12436" s="19"/>
      <c r="AS12436" s="19"/>
      <c r="AT12436" s="19"/>
      <c r="AU12436" s="19"/>
    </row>
    <row r="12437" spans="3:47">
      <c r="C12437" s="20"/>
      <c r="Z12437" s="20"/>
      <c r="AG12437" s="20"/>
      <c r="AQ12437" s="19"/>
      <c r="AR12437" s="19"/>
      <c r="AS12437" s="19"/>
      <c r="AT12437" s="19"/>
      <c r="AU12437" s="19"/>
    </row>
    <row r="12438" spans="3:47">
      <c r="C12438" s="20"/>
      <c r="Z12438" s="20"/>
      <c r="AG12438" s="20"/>
      <c r="AQ12438" s="19"/>
      <c r="AR12438" s="19"/>
      <c r="AS12438" s="19"/>
      <c r="AT12438" s="19"/>
      <c r="AU12438" s="19"/>
    </row>
    <row r="12439" spans="3:47">
      <c r="C12439" s="20"/>
      <c r="Z12439" s="20"/>
      <c r="AG12439" s="20"/>
      <c r="AQ12439" s="19"/>
      <c r="AR12439" s="19"/>
      <c r="AS12439" s="19"/>
      <c r="AT12439" s="19"/>
      <c r="AU12439" s="19"/>
    </row>
    <row r="12440" spans="3:47">
      <c r="C12440" s="20"/>
      <c r="Z12440" s="20"/>
      <c r="AG12440" s="20"/>
      <c r="AQ12440" s="19"/>
      <c r="AR12440" s="19"/>
      <c r="AS12440" s="19"/>
      <c r="AT12440" s="19"/>
      <c r="AU12440" s="19"/>
    </row>
    <row r="12441" spans="3:47">
      <c r="C12441" s="20"/>
      <c r="Z12441" s="20"/>
      <c r="AG12441" s="20"/>
      <c r="AQ12441" s="19"/>
      <c r="AR12441" s="19"/>
      <c r="AS12441" s="19"/>
      <c r="AT12441" s="19"/>
      <c r="AU12441" s="19"/>
    </row>
    <row r="12442" spans="3:47">
      <c r="C12442" s="20"/>
      <c r="Z12442" s="20"/>
      <c r="AG12442" s="20"/>
      <c r="AQ12442" s="19"/>
      <c r="AR12442" s="19"/>
      <c r="AS12442" s="19"/>
      <c r="AT12442" s="19"/>
      <c r="AU12442" s="19"/>
    </row>
    <row r="12443" spans="3:47">
      <c r="C12443" s="20"/>
      <c r="Z12443" s="20"/>
      <c r="AG12443" s="20"/>
      <c r="AQ12443" s="19"/>
      <c r="AR12443" s="19"/>
      <c r="AS12443" s="19"/>
      <c r="AT12443" s="19"/>
      <c r="AU12443" s="19"/>
    </row>
    <row r="12444" spans="3:47">
      <c r="C12444" s="20"/>
      <c r="Z12444" s="20"/>
      <c r="AG12444" s="20"/>
      <c r="AQ12444" s="19"/>
      <c r="AR12444" s="19"/>
      <c r="AS12444" s="19"/>
      <c r="AT12444" s="19"/>
      <c r="AU12444" s="19"/>
    </row>
    <row r="12445" spans="3:47">
      <c r="C12445" s="20"/>
      <c r="Z12445" s="20"/>
      <c r="AG12445" s="20"/>
      <c r="AQ12445" s="19"/>
      <c r="AR12445" s="19"/>
      <c r="AS12445" s="19"/>
      <c r="AT12445" s="19"/>
      <c r="AU12445" s="19"/>
    </row>
    <row r="12446" spans="3:47">
      <c r="C12446" s="20"/>
      <c r="Z12446" s="20"/>
      <c r="AG12446" s="20"/>
      <c r="AQ12446" s="19"/>
      <c r="AR12446" s="19"/>
      <c r="AS12446" s="19"/>
      <c r="AT12446" s="19"/>
      <c r="AU12446" s="19"/>
    </row>
    <row r="12447" spans="3:47">
      <c r="C12447" s="20"/>
      <c r="Z12447" s="20"/>
      <c r="AG12447" s="20"/>
      <c r="AQ12447" s="19"/>
      <c r="AR12447" s="19"/>
      <c r="AS12447" s="19"/>
      <c r="AT12447" s="19"/>
      <c r="AU12447" s="19"/>
    </row>
    <row r="12448" spans="3:47">
      <c r="C12448" s="20"/>
      <c r="Z12448" s="20"/>
      <c r="AG12448" s="20"/>
      <c r="AQ12448" s="19"/>
      <c r="AR12448" s="19"/>
      <c r="AS12448" s="19"/>
      <c r="AT12448" s="19"/>
      <c r="AU12448" s="19"/>
    </row>
    <row r="12449" spans="3:47">
      <c r="C12449" s="20"/>
      <c r="Z12449" s="20"/>
      <c r="AG12449" s="20"/>
      <c r="AQ12449" s="19"/>
      <c r="AR12449" s="19"/>
      <c r="AS12449" s="19"/>
      <c r="AT12449" s="19"/>
      <c r="AU12449" s="19"/>
    </row>
    <row r="12450" spans="3:47">
      <c r="C12450" s="20"/>
      <c r="Z12450" s="20"/>
      <c r="AG12450" s="20"/>
      <c r="AQ12450" s="19"/>
      <c r="AR12450" s="19"/>
      <c r="AS12450" s="19"/>
      <c r="AT12450" s="19"/>
      <c r="AU12450" s="19"/>
    </row>
    <row r="12451" spans="3:47">
      <c r="C12451" s="20"/>
      <c r="Z12451" s="20"/>
      <c r="AG12451" s="20"/>
      <c r="AQ12451" s="19"/>
      <c r="AR12451" s="19"/>
      <c r="AS12451" s="19"/>
      <c r="AT12451" s="19"/>
      <c r="AU12451" s="19"/>
    </row>
    <row r="12452" spans="3:47">
      <c r="C12452" s="20"/>
      <c r="Z12452" s="20"/>
      <c r="AG12452" s="20"/>
      <c r="AQ12452" s="19"/>
      <c r="AR12452" s="19"/>
      <c r="AS12452" s="19"/>
      <c r="AT12452" s="19"/>
      <c r="AU12452" s="19"/>
    </row>
    <row r="12453" spans="3:47">
      <c r="C12453" s="20"/>
      <c r="Z12453" s="20"/>
      <c r="AG12453" s="20"/>
      <c r="AQ12453" s="19"/>
      <c r="AR12453" s="19"/>
      <c r="AS12453" s="19"/>
      <c r="AT12453" s="19"/>
      <c r="AU12453" s="19"/>
    </row>
    <row r="12454" spans="3:47">
      <c r="C12454" s="20"/>
      <c r="Z12454" s="20"/>
      <c r="AG12454" s="20"/>
      <c r="AQ12454" s="19"/>
      <c r="AR12454" s="19"/>
      <c r="AS12454" s="19"/>
      <c r="AT12454" s="19"/>
      <c r="AU12454" s="19"/>
    </row>
    <row r="12455" spans="3:47">
      <c r="C12455" s="20"/>
      <c r="Z12455" s="20"/>
      <c r="AG12455" s="20"/>
      <c r="AQ12455" s="19"/>
      <c r="AR12455" s="19"/>
      <c r="AS12455" s="19"/>
      <c r="AT12455" s="19"/>
      <c r="AU12455" s="19"/>
    </row>
    <row r="12456" spans="3:47">
      <c r="C12456" s="20"/>
      <c r="Z12456" s="20"/>
      <c r="AG12456" s="20"/>
      <c r="AQ12456" s="19"/>
      <c r="AR12456" s="19"/>
      <c r="AS12456" s="19"/>
      <c r="AT12456" s="19"/>
      <c r="AU12456" s="19"/>
    </row>
    <row r="12457" spans="3:47">
      <c r="C12457" s="20"/>
      <c r="Z12457" s="20"/>
      <c r="AG12457" s="20"/>
      <c r="AQ12457" s="19"/>
      <c r="AR12457" s="19"/>
      <c r="AS12457" s="19"/>
      <c r="AT12457" s="19"/>
      <c r="AU12457" s="19"/>
    </row>
    <row r="12458" spans="3:47">
      <c r="C12458" s="20"/>
      <c r="Z12458" s="20"/>
      <c r="AG12458" s="20"/>
      <c r="AQ12458" s="19"/>
      <c r="AR12458" s="19"/>
      <c r="AS12458" s="19"/>
      <c r="AT12458" s="19"/>
      <c r="AU12458" s="19"/>
    </row>
    <row r="12459" spans="3:47">
      <c r="C12459" s="20"/>
      <c r="Z12459" s="20"/>
      <c r="AG12459" s="20"/>
      <c r="AQ12459" s="19"/>
      <c r="AR12459" s="19"/>
      <c r="AS12459" s="19"/>
      <c r="AT12459" s="19"/>
      <c r="AU12459" s="19"/>
    </row>
    <row r="12460" spans="3:47">
      <c r="C12460" s="20"/>
      <c r="Z12460" s="20"/>
      <c r="AG12460" s="20"/>
      <c r="AQ12460" s="19"/>
      <c r="AR12460" s="19"/>
      <c r="AS12460" s="19"/>
      <c r="AT12460" s="19"/>
      <c r="AU12460" s="19"/>
    </row>
    <row r="12461" spans="3:47">
      <c r="C12461" s="20"/>
      <c r="Z12461" s="20"/>
      <c r="AG12461" s="20"/>
      <c r="AQ12461" s="19"/>
      <c r="AR12461" s="19"/>
      <c r="AS12461" s="19"/>
      <c r="AT12461" s="19"/>
      <c r="AU12461" s="19"/>
    </row>
    <row r="12462" spans="3:47">
      <c r="C12462" s="20"/>
      <c r="Z12462" s="20"/>
      <c r="AG12462" s="20"/>
      <c r="AQ12462" s="19"/>
      <c r="AR12462" s="19"/>
      <c r="AS12462" s="19"/>
      <c r="AT12462" s="19"/>
      <c r="AU12462" s="19"/>
    </row>
    <row r="12463" spans="3:47">
      <c r="C12463" s="20"/>
      <c r="Z12463" s="20"/>
      <c r="AG12463" s="20"/>
      <c r="AQ12463" s="19"/>
      <c r="AR12463" s="19"/>
      <c r="AS12463" s="19"/>
      <c r="AT12463" s="19"/>
      <c r="AU12463" s="19"/>
    </row>
    <row r="12464" spans="3:47">
      <c r="C12464" s="20"/>
      <c r="Z12464" s="20"/>
      <c r="AG12464" s="20"/>
      <c r="AQ12464" s="19"/>
      <c r="AR12464" s="19"/>
      <c r="AS12464" s="19"/>
      <c r="AT12464" s="19"/>
      <c r="AU12464" s="19"/>
    </row>
    <row r="12465" spans="3:47">
      <c r="C12465" s="20"/>
      <c r="Z12465" s="20"/>
      <c r="AG12465" s="20"/>
      <c r="AQ12465" s="19"/>
      <c r="AR12465" s="19"/>
      <c r="AS12465" s="19"/>
      <c r="AT12465" s="19"/>
      <c r="AU12465" s="19"/>
    </row>
    <row r="12466" spans="3:47">
      <c r="C12466" s="20"/>
      <c r="Z12466" s="20"/>
      <c r="AG12466" s="20"/>
      <c r="AQ12466" s="19"/>
      <c r="AR12466" s="19"/>
      <c r="AS12466" s="19"/>
      <c r="AT12466" s="19"/>
      <c r="AU12466" s="19"/>
    </row>
    <row r="12467" spans="3:47">
      <c r="C12467" s="20"/>
      <c r="Z12467" s="20"/>
      <c r="AG12467" s="20"/>
      <c r="AQ12467" s="19"/>
      <c r="AR12467" s="19"/>
      <c r="AS12467" s="19"/>
      <c r="AT12467" s="19"/>
      <c r="AU12467" s="19"/>
    </row>
    <row r="12468" spans="3:47">
      <c r="C12468" s="20"/>
      <c r="Z12468" s="20"/>
      <c r="AG12468" s="20"/>
      <c r="AQ12468" s="19"/>
      <c r="AR12468" s="19"/>
      <c r="AS12468" s="19"/>
      <c r="AT12468" s="19"/>
      <c r="AU12468" s="19"/>
    </row>
    <row r="12469" spans="3:47">
      <c r="C12469" s="20"/>
      <c r="Z12469" s="20"/>
      <c r="AG12469" s="20"/>
      <c r="AQ12469" s="19"/>
      <c r="AR12469" s="19"/>
      <c r="AS12469" s="19"/>
      <c r="AT12469" s="19"/>
      <c r="AU12469" s="19"/>
    </row>
    <row r="12470" spans="3:47">
      <c r="C12470" s="20"/>
      <c r="Z12470" s="20"/>
      <c r="AG12470" s="20"/>
      <c r="AQ12470" s="19"/>
      <c r="AR12470" s="19"/>
      <c r="AS12470" s="19"/>
      <c r="AT12470" s="19"/>
      <c r="AU12470" s="19"/>
    </row>
    <row r="12471" spans="3:47">
      <c r="C12471" s="20"/>
      <c r="Z12471" s="20"/>
      <c r="AG12471" s="20"/>
      <c r="AQ12471" s="19"/>
      <c r="AR12471" s="19"/>
      <c r="AS12471" s="19"/>
      <c r="AT12471" s="19"/>
      <c r="AU12471" s="19"/>
    </row>
    <row r="12472" spans="3:47">
      <c r="C12472" s="20"/>
      <c r="Z12472" s="20"/>
      <c r="AG12472" s="20"/>
      <c r="AQ12472" s="19"/>
      <c r="AR12472" s="19"/>
      <c r="AS12472" s="19"/>
      <c r="AT12472" s="19"/>
      <c r="AU12472" s="19"/>
    </row>
    <row r="12473" spans="3:47">
      <c r="C12473" s="20"/>
      <c r="Z12473" s="20"/>
      <c r="AG12473" s="20"/>
      <c r="AQ12473" s="19"/>
      <c r="AR12473" s="19"/>
      <c r="AS12473" s="19"/>
      <c r="AT12473" s="19"/>
      <c r="AU12473" s="19"/>
    </row>
    <row r="12474" spans="3:47">
      <c r="C12474" s="20"/>
      <c r="Z12474" s="20"/>
      <c r="AG12474" s="20"/>
      <c r="AQ12474" s="19"/>
      <c r="AR12474" s="19"/>
      <c r="AS12474" s="19"/>
      <c r="AT12474" s="19"/>
      <c r="AU12474" s="19"/>
    </row>
    <row r="12475" spans="3:47">
      <c r="C12475" s="20"/>
      <c r="Z12475" s="20"/>
      <c r="AG12475" s="20"/>
      <c r="AQ12475" s="19"/>
      <c r="AR12475" s="19"/>
      <c r="AS12475" s="19"/>
      <c r="AT12475" s="19"/>
      <c r="AU12475" s="19"/>
    </row>
    <row r="12476" spans="3:47">
      <c r="C12476" s="20"/>
      <c r="Z12476" s="20"/>
      <c r="AG12476" s="20"/>
      <c r="AQ12476" s="19"/>
      <c r="AR12476" s="19"/>
      <c r="AS12476" s="19"/>
      <c r="AT12476" s="19"/>
      <c r="AU12476" s="19"/>
    </row>
    <row r="12477" spans="3:47">
      <c r="C12477" s="20"/>
      <c r="Z12477" s="20"/>
      <c r="AG12477" s="20"/>
      <c r="AQ12477" s="19"/>
      <c r="AR12477" s="19"/>
      <c r="AS12477" s="19"/>
      <c r="AT12477" s="19"/>
      <c r="AU12477" s="19"/>
    </row>
    <row r="12478" spans="3:47">
      <c r="C12478" s="20"/>
      <c r="Z12478" s="20"/>
      <c r="AG12478" s="20"/>
      <c r="AQ12478" s="19"/>
      <c r="AR12478" s="19"/>
      <c r="AS12478" s="19"/>
      <c r="AT12478" s="19"/>
      <c r="AU12478" s="19"/>
    </row>
    <row r="12479" spans="3:47">
      <c r="C12479" s="20"/>
      <c r="Z12479" s="20"/>
      <c r="AG12479" s="20"/>
      <c r="AQ12479" s="19"/>
      <c r="AR12479" s="19"/>
      <c r="AS12479" s="19"/>
      <c r="AT12479" s="19"/>
      <c r="AU12479" s="19"/>
    </row>
    <row r="12480" spans="3:47">
      <c r="C12480" s="20"/>
      <c r="Z12480" s="20"/>
      <c r="AG12480" s="20"/>
      <c r="AQ12480" s="19"/>
      <c r="AR12480" s="19"/>
      <c r="AS12480" s="19"/>
      <c r="AT12480" s="19"/>
      <c r="AU12480" s="19"/>
    </row>
    <row r="12481" spans="3:47">
      <c r="C12481" s="20"/>
      <c r="Z12481" s="20"/>
      <c r="AG12481" s="20"/>
      <c r="AQ12481" s="19"/>
      <c r="AR12481" s="19"/>
      <c r="AS12481" s="19"/>
      <c r="AT12481" s="19"/>
      <c r="AU12481" s="19"/>
    </row>
    <row r="12482" spans="3:47">
      <c r="C12482" s="20"/>
      <c r="Z12482" s="20"/>
      <c r="AG12482" s="20"/>
      <c r="AQ12482" s="19"/>
      <c r="AR12482" s="19"/>
      <c r="AS12482" s="19"/>
      <c r="AT12482" s="19"/>
      <c r="AU12482" s="19"/>
    </row>
    <row r="12483" spans="3:47">
      <c r="C12483" s="20"/>
      <c r="Z12483" s="20"/>
      <c r="AG12483" s="20"/>
      <c r="AQ12483" s="19"/>
      <c r="AR12483" s="19"/>
      <c r="AS12483" s="19"/>
      <c r="AT12483" s="19"/>
      <c r="AU12483" s="19"/>
    </row>
    <row r="12484" spans="3:47">
      <c r="C12484" s="20"/>
      <c r="Z12484" s="20"/>
      <c r="AG12484" s="20"/>
      <c r="AQ12484" s="19"/>
      <c r="AR12484" s="19"/>
      <c r="AS12484" s="19"/>
      <c r="AT12484" s="19"/>
      <c r="AU12484" s="19"/>
    </row>
    <row r="12485" spans="3:47">
      <c r="C12485" s="20"/>
      <c r="Z12485" s="20"/>
      <c r="AG12485" s="20"/>
      <c r="AQ12485" s="19"/>
      <c r="AR12485" s="19"/>
      <c r="AS12485" s="19"/>
      <c r="AT12485" s="19"/>
      <c r="AU12485" s="19"/>
    </row>
    <row r="12486" spans="3:47">
      <c r="C12486" s="20"/>
      <c r="Z12486" s="20"/>
      <c r="AG12486" s="20"/>
      <c r="AQ12486" s="19"/>
      <c r="AR12486" s="19"/>
      <c r="AS12486" s="19"/>
      <c r="AT12486" s="19"/>
      <c r="AU12486" s="19"/>
    </row>
    <row r="12487" spans="3:47">
      <c r="C12487" s="20"/>
      <c r="Z12487" s="20"/>
      <c r="AG12487" s="20"/>
      <c r="AQ12487" s="19"/>
      <c r="AR12487" s="19"/>
      <c r="AS12487" s="19"/>
      <c r="AT12487" s="19"/>
      <c r="AU12487" s="19"/>
    </row>
    <row r="12488" spans="3:47">
      <c r="C12488" s="20"/>
      <c r="Z12488" s="20"/>
      <c r="AG12488" s="20"/>
      <c r="AQ12488" s="19"/>
      <c r="AR12488" s="19"/>
      <c r="AS12488" s="19"/>
      <c r="AT12488" s="19"/>
      <c r="AU12488" s="19"/>
    </row>
    <row r="12489" spans="3:47">
      <c r="C12489" s="20"/>
      <c r="Z12489" s="20"/>
      <c r="AG12489" s="20"/>
      <c r="AQ12489" s="19"/>
      <c r="AR12489" s="19"/>
      <c r="AS12489" s="19"/>
      <c r="AT12489" s="19"/>
      <c r="AU12489" s="19"/>
    </row>
    <row r="12490" spans="3:47">
      <c r="C12490" s="20"/>
      <c r="Z12490" s="20"/>
      <c r="AG12490" s="20"/>
      <c r="AQ12490" s="19"/>
      <c r="AR12490" s="19"/>
      <c r="AS12490" s="19"/>
      <c r="AT12490" s="19"/>
      <c r="AU12490" s="19"/>
    </row>
    <row r="12491" spans="3:47">
      <c r="C12491" s="20"/>
      <c r="Z12491" s="20"/>
      <c r="AG12491" s="20"/>
      <c r="AQ12491" s="19"/>
      <c r="AR12491" s="19"/>
      <c r="AS12491" s="19"/>
      <c r="AT12491" s="19"/>
      <c r="AU12491" s="19"/>
    </row>
    <row r="12492" spans="3:47">
      <c r="C12492" s="20"/>
      <c r="Z12492" s="20"/>
      <c r="AG12492" s="20"/>
      <c r="AQ12492" s="19"/>
      <c r="AR12492" s="19"/>
      <c r="AS12492" s="19"/>
      <c r="AT12492" s="19"/>
      <c r="AU12492" s="19"/>
    </row>
    <row r="12493" spans="3:47">
      <c r="C12493" s="20"/>
      <c r="Z12493" s="20"/>
      <c r="AG12493" s="20"/>
      <c r="AQ12493" s="19"/>
      <c r="AR12493" s="19"/>
      <c r="AS12493" s="19"/>
      <c r="AT12493" s="19"/>
      <c r="AU12493" s="19"/>
    </row>
    <row r="12494" spans="3:47">
      <c r="C12494" s="20"/>
      <c r="Z12494" s="20"/>
      <c r="AG12494" s="20"/>
      <c r="AQ12494" s="19"/>
      <c r="AR12494" s="19"/>
      <c r="AS12494" s="19"/>
      <c r="AT12494" s="19"/>
      <c r="AU12494" s="19"/>
    </row>
    <row r="12495" spans="3:47">
      <c r="C12495" s="20"/>
      <c r="Z12495" s="20"/>
      <c r="AG12495" s="20"/>
      <c r="AQ12495" s="19"/>
      <c r="AR12495" s="19"/>
      <c r="AS12495" s="19"/>
      <c r="AT12495" s="19"/>
      <c r="AU12495" s="19"/>
    </row>
    <row r="12496" spans="3:47">
      <c r="C12496" s="20"/>
      <c r="Z12496" s="20"/>
      <c r="AG12496" s="20"/>
      <c r="AQ12496" s="19"/>
      <c r="AR12496" s="19"/>
      <c r="AS12496" s="19"/>
      <c r="AT12496" s="19"/>
      <c r="AU12496" s="19"/>
    </row>
    <row r="12497" spans="3:47">
      <c r="C12497" s="20"/>
      <c r="Z12497" s="20"/>
      <c r="AG12497" s="20"/>
      <c r="AQ12497" s="19"/>
      <c r="AR12497" s="19"/>
      <c r="AS12497" s="19"/>
      <c r="AT12497" s="19"/>
      <c r="AU12497" s="19"/>
    </row>
    <row r="12498" spans="3:47">
      <c r="C12498" s="20"/>
      <c r="Z12498" s="20"/>
      <c r="AG12498" s="20"/>
      <c r="AQ12498" s="19"/>
      <c r="AR12498" s="19"/>
      <c r="AS12498" s="19"/>
      <c r="AT12498" s="19"/>
      <c r="AU12498" s="19"/>
    </row>
    <row r="12499" spans="3:47">
      <c r="C12499" s="20"/>
      <c r="Z12499" s="20"/>
      <c r="AG12499" s="20"/>
      <c r="AQ12499" s="19"/>
      <c r="AR12499" s="19"/>
      <c r="AS12499" s="19"/>
      <c r="AT12499" s="19"/>
      <c r="AU12499" s="19"/>
    </row>
    <row r="12500" spans="3:47">
      <c r="C12500" s="20"/>
      <c r="Z12500" s="20"/>
      <c r="AG12500" s="20"/>
      <c r="AQ12500" s="19"/>
      <c r="AR12500" s="19"/>
      <c r="AS12500" s="19"/>
      <c r="AT12500" s="19"/>
      <c r="AU12500" s="19"/>
    </row>
    <row r="12501" spans="3:47">
      <c r="C12501" s="20"/>
      <c r="Z12501" s="20"/>
      <c r="AG12501" s="20"/>
      <c r="AQ12501" s="19"/>
      <c r="AR12501" s="19"/>
      <c r="AS12501" s="19"/>
      <c r="AT12501" s="19"/>
      <c r="AU12501" s="19"/>
    </row>
    <row r="12502" spans="3:47">
      <c r="C12502" s="20"/>
      <c r="Z12502" s="20"/>
      <c r="AG12502" s="20"/>
      <c r="AQ12502" s="19"/>
      <c r="AR12502" s="19"/>
      <c r="AS12502" s="19"/>
      <c r="AT12502" s="19"/>
      <c r="AU12502" s="19"/>
    </row>
    <row r="12503" spans="3:47">
      <c r="C12503" s="20"/>
      <c r="Z12503" s="20"/>
      <c r="AG12503" s="20"/>
      <c r="AQ12503" s="19"/>
      <c r="AR12503" s="19"/>
      <c r="AS12503" s="19"/>
      <c r="AT12503" s="19"/>
      <c r="AU12503" s="19"/>
    </row>
    <row r="12504" spans="3:47">
      <c r="C12504" s="20"/>
      <c r="Z12504" s="20"/>
      <c r="AG12504" s="20"/>
      <c r="AQ12504" s="19"/>
      <c r="AR12504" s="19"/>
      <c r="AS12504" s="19"/>
      <c r="AT12504" s="19"/>
      <c r="AU12504" s="19"/>
    </row>
    <row r="12505" spans="3:47">
      <c r="C12505" s="20"/>
      <c r="Z12505" s="20"/>
      <c r="AG12505" s="20"/>
      <c r="AQ12505" s="19"/>
      <c r="AR12505" s="19"/>
      <c r="AS12505" s="19"/>
      <c r="AT12505" s="19"/>
      <c r="AU12505" s="19"/>
    </row>
    <row r="12506" spans="3:47">
      <c r="C12506" s="20"/>
      <c r="Z12506" s="20"/>
      <c r="AG12506" s="20"/>
      <c r="AQ12506" s="19"/>
      <c r="AR12506" s="19"/>
      <c r="AS12506" s="19"/>
      <c r="AT12506" s="19"/>
      <c r="AU12506" s="19"/>
    </row>
    <row r="12507" spans="3:47">
      <c r="C12507" s="20"/>
      <c r="Z12507" s="20"/>
      <c r="AG12507" s="20"/>
      <c r="AQ12507" s="19"/>
      <c r="AR12507" s="19"/>
      <c r="AS12507" s="19"/>
      <c r="AT12507" s="19"/>
      <c r="AU12507" s="19"/>
    </row>
    <row r="12508" spans="3:47">
      <c r="C12508" s="20"/>
      <c r="Z12508" s="20"/>
      <c r="AG12508" s="20"/>
      <c r="AQ12508" s="19"/>
      <c r="AR12508" s="19"/>
      <c r="AS12508" s="19"/>
      <c r="AT12508" s="19"/>
      <c r="AU12508" s="19"/>
    </row>
    <row r="12509" spans="3:47">
      <c r="C12509" s="20"/>
      <c r="Z12509" s="20"/>
      <c r="AG12509" s="20"/>
      <c r="AQ12509" s="19"/>
      <c r="AR12509" s="19"/>
      <c r="AS12509" s="19"/>
      <c r="AT12509" s="19"/>
      <c r="AU12509" s="19"/>
    </row>
    <row r="12510" spans="3:47">
      <c r="C12510" s="20"/>
      <c r="Z12510" s="20"/>
      <c r="AG12510" s="20"/>
      <c r="AQ12510" s="19"/>
      <c r="AR12510" s="19"/>
      <c r="AS12510" s="19"/>
      <c r="AT12510" s="19"/>
      <c r="AU12510" s="19"/>
    </row>
    <row r="12511" spans="3:47">
      <c r="C12511" s="20"/>
      <c r="Z12511" s="20"/>
      <c r="AG12511" s="20"/>
      <c r="AQ12511" s="19"/>
      <c r="AR12511" s="19"/>
      <c r="AS12511" s="19"/>
      <c r="AT12511" s="19"/>
      <c r="AU12511" s="19"/>
    </row>
    <row r="12512" spans="3:47">
      <c r="C12512" s="20"/>
      <c r="Z12512" s="20"/>
      <c r="AG12512" s="20"/>
      <c r="AQ12512" s="19"/>
      <c r="AR12512" s="19"/>
      <c r="AS12512" s="19"/>
      <c r="AT12512" s="19"/>
      <c r="AU12512" s="19"/>
    </row>
    <row r="12513" spans="3:47">
      <c r="C12513" s="20"/>
      <c r="Z12513" s="20"/>
      <c r="AG12513" s="20"/>
      <c r="AQ12513" s="19"/>
      <c r="AR12513" s="19"/>
      <c r="AS12513" s="19"/>
      <c r="AT12513" s="19"/>
      <c r="AU12513" s="19"/>
    </row>
    <row r="12514" spans="3:47">
      <c r="C12514" s="20"/>
      <c r="Z12514" s="20"/>
      <c r="AG12514" s="20"/>
      <c r="AQ12514" s="19"/>
      <c r="AR12514" s="19"/>
      <c r="AS12514" s="19"/>
      <c r="AT12514" s="19"/>
      <c r="AU12514" s="19"/>
    </row>
    <row r="12515" spans="3:47">
      <c r="C12515" s="20"/>
      <c r="Z12515" s="20"/>
      <c r="AG12515" s="20"/>
      <c r="AQ12515" s="19"/>
      <c r="AR12515" s="19"/>
      <c r="AS12515" s="19"/>
      <c r="AT12515" s="19"/>
      <c r="AU12515" s="19"/>
    </row>
    <row r="12516" spans="3:47">
      <c r="C12516" s="20"/>
      <c r="Z12516" s="20"/>
      <c r="AG12516" s="20"/>
      <c r="AQ12516" s="19"/>
      <c r="AR12516" s="19"/>
      <c r="AS12516" s="19"/>
      <c r="AT12516" s="19"/>
      <c r="AU12516" s="19"/>
    </row>
    <row r="12517" spans="3:47">
      <c r="C12517" s="20"/>
      <c r="Z12517" s="20"/>
      <c r="AG12517" s="20"/>
      <c r="AQ12517" s="19"/>
      <c r="AR12517" s="19"/>
      <c r="AS12517" s="19"/>
      <c r="AT12517" s="19"/>
      <c r="AU12517" s="19"/>
    </row>
    <row r="12518" spans="3:47">
      <c r="C12518" s="20"/>
      <c r="Z12518" s="20"/>
      <c r="AG12518" s="20"/>
      <c r="AQ12518" s="19"/>
      <c r="AR12518" s="19"/>
      <c r="AS12518" s="19"/>
      <c r="AT12518" s="19"/>
      <c r="AU12518" s="19"/>
    </row>
    <row r="12519" spans="3:47">
      <c r="C12519" s="20"/>
      <c r="Z12519" s="20"/>
      <c r="AG12519" s="20"/>
      <c r="AQ12519" s="19"/>
      <c r="AR12519" s="19"/>
      <c r="AS12519" s="19"/>
      <c r="AT12519" s="19"/>
      <c r="AU12519" s="19"/>
    </row>
    <row r="12520" spans="3:47">
      <c r="C12520" s="20"/>
      <c r="Z12520" s="20"/>
      <c r="AG12520" s="20"/>
      <c r="AQ12520" s="19"/>
      <c r="AR12520" s="19"/>
      <c r="AS12520" s="19"/>
      <c r="AT12520" s="19"/>
      <c r="AU12520" s="19"/>
    </row>
    <row r="12521" spans="3:47">
      <c r="C12521" s="20"/>
      <c r="Z12521" s="20"/>
      <c r="AG12521" s="20"/>
      <c r="AQ12521" s="19"/>
      <c r="AR12521" s="19"/>
      <c r="AS12521" s="19"/>
      <c r="AT12521" s="19"/>
      <c r="AU12521" s="19"/>
    </row>
    <row r="12522" spans="3:47">
      <c r="C12522" s="20"/>
      <c r="Z12522" s="20"/>
      <c r="AG12522" s="20"/>
      <c r="AQ12522" s="19"/>
      <c r="AR12522" s="19"/>
      <c r="AS12522" s="19"/>
      <c r="AT12522" s="19"/>
      <c r="AU12522" s="19"/>
    </row>
    <row r="12523" spans="3:47">
      <c r="C12523" s="20"/>
      <c r="Z12523" s="20"/>
      <c r="AG12523" s="20"/>
      <c r="AQ12523" s="19"/>
      <c r="AR12523" s="19"/>
      <c r="AS12523" s="19"/>
      <c r="AT12523" s="19"/>
      <c r="AU12523" s="19"/>
    </row>
    <row r="12524" spans="3:47">
      <c r="C12524" s="20"/>
      <c r="Z12524" s="20"/>
      <c r="AG12524" s="20"/>
      <c r="AQ12524" s="19"/>
      <c r="AR12524" s="19"/>
      <c r="AS12524" s="19"/>
      <c r="AT12524" s="19"/>
      <c r="AU12524" s="19"/>
    </row>
    <row r="12525" spans="3:47">
      <c r="C12525" s="20"/>
      <c r="Z12525" s="20"/>
      <c r="AG12525" s="20"/>
      <c r="AQ12525" s="19"/>
      <c r="AR12525" s="19"/>
      <c r="AS12525" s="19"/>
      <c r="AT12525" s="19"/>
      <c r="AU12525" s="19"/>
    </row>
    <row r="12526" spans="3:47">
      <c r="C12526" s="20"/>
      <c r="Z12526" s="20"/>
      <c r="AG12526" s="20"/>
      <c r="AQ12526" s="19"/>
      <c r="AR12526" s="19"/>
      <c r="AS12526" s="19"/>
      <c r="AT12526" s="19"/>
      <c r="AU12526" s="19"/>
    </row>
    <row r="12527" spans="3:47">
      <c r="C12527" s="20"/>
      <c r="Z12527" s="20"/>
      <c r="AG12527" s="20"/>
      <c r="AQ12527" s="19"/>
      <c r="AR12527" s="19"/>
      <c r="AS12527" s="19"/>
      <c r="AT12527" s="19"/>
      <c r="AU12527" s="19"/>
    </row>
    <row r="12528" spans="3:47">
      <c r="C12528" s="20"/>
      <c r="Z12528" s="20"/>
      <c r="AG12528" s="20"/>
      <c r="AQ12528" s="19"/>
      <c r="AR12528" s="19"/>
      <c r="AS12528" s="19"/>
      <c r="AT12528" s="19"/>
      <c r="AU12528" s="19"/>
    </row>
    <row r="12529" spans="3:47">
      <c r="C12529" s="20"/>
      <c r="Z12529" s="20"/>
      <c r="AG12529" s="20"/>
      <c r="AQ12529" s="19"/>
      <c r="AR12529" s="19"/>
      <c r="AS12529" s="19"/>
      <c r="AT12529" s="19"/>
      <c r="AU12529" s="19"/>
    </row>
    <row r="12530" spans="3:47">
      <c r="C12530" s="20"/>
      <c r="Z12530" s="20"/>
      <c r="AG12530" s="20"/>
      <c r="AQ12530" s="19"/>
      <c r="AR12530" s="19"/>
      <c r="AS12530" s="19"/>
      <c r="AT12530" s="19"/>
      <c r="AU12530" s="19"/>
    </row>
    <row r="12531" spans="3:47">
      <c r="C12531" s="20"/>
      <c r="Z12531" s="20"/>
      <c r="AG12531" s="20"/>
      <c r="AQ12531" s="19"/>
      <c r="AR12531" s="19"/>
      <c r="AS12531" s="19"/>
      <c r="AT12531" s="19"/>
      <c r="AU12531" s="19"/>
    </row>
    <row r="12532" spans="3:47">
      <c r="C12532" s="20"/>
      <c r="Z12532" s="20"/>
      <c r="AG12532" s="20"/>
      <c r="AQ12532" s="19"/>
      <c r="AR12532" s="19"/>
      <c r="AS12532" s="19"/>
      <c r="AT12532" s="19"/>
      <c r="AU12532" s="19"/>
    </row>
    <row r="12533" spans="3:47">
      <c r="C12533" s="20"/>
      <c r="Z12533" s="20"/>
      <c r="AG12533" s="20"/>
      <c r="AQ12533" s="19"/>
      <c r="AR12533" s="19"/>
      <c r="AS12533" s="19"/>
      <c r="AT12533" s="19"/>
      <c r="AU12533" s="19"/>
    </row>
    <row r="12534" spans="3:47">
      <c r="C12534" s="20"/>
      <c r="Z12534" s="20"/>
      <c r="AG12534" s="20"/>
      <c r="AQ12534" s="19"/>
      <c r="AR12534" s="19"/>
      <c r="AS12534" s="19"/>
      <c r="AT12534" s="19"/>
      <c r="AU12534" s="19"/>
    </row>
    <row r="12535" spans="3:47">
      <c r="C12535" s="20"/>
      <c r="Z12535" s="20"/>
      <c r="AG12535" s="20"/>
      <c r="AQ12535" s="19"/>
      <c r="AR12535" s="19"/>
      <c r="AS12535" s="19"/>
      <c r="AT12535" s="19"/>
      <c r="AU12535" s="19"/>
    </row>
    <row r="12536" spans="3:47">
      <c r="C12536" s="20"/>
      <c r="Z12536" s="20"/>
      <c r="AG12536" s="20"/>
      <c r="AQ12536" s="19"/>
      <c r="AR12536" s="19"/>
      <c r="AS12536" s="19"/>
      <c r="AT12536" s="19"/>
      <c r="AU12536" s="19"/>
    </row>
    <row r="12537" spans="3:47">
      <c r="C12537" s="20"/>
      <c r="Z12537" s="20"/>
      <c r="AG12537" s="20"/>
      <c r="AQ12537" s="19"/>
      <c r="AR12537" s="19"/>
      <c r="AS12537" s="19"/>
      <c r="AT12537" s="19"/>
      <c r="AU12537" s="19"/>
    </row>
    <row r="12538" spans="3:47">
      <c r="C12538" s="20"/>
      <c r="Z12538" s="20"/>
      <c r="AG12538" s="20"/>
      <c r="AQ12538" s="19"/>
      <c r="AR12538" s="19"/>
      <c r="AS12538" s="19"/>
      <c r="AT12538" s="19"/>
      <c r="AU12538" s="19"/>
    </row>
    <row r="12539" spans="3:47">
      <c r="C12539" s="20"/>
      <c r="Z12539" s="20"/>
      <c r="AG12539" s="20"/>
      <c r="AQ12539" s="19"/>
      <c r="AR12539" s="19"/>
      <c r="AS12539" s="19"/>
      <c r="AT12539" s="19"/>
      <c r="AU12539" s="19"/>
    </row>
    <row r="12540" spans="3:47">
      <c r="C12540" s="20"/>
      <c r="Z12540" s="20"/>
      <c r="AG12540" s="20"/>
      <c r="AQ12540" s="19"/>
      <c r="AR12540" s="19"/>
      <c r="AS12540" s="19"/>
      <c r="AT12540" s="19"/>
      <c r="AU12540" s="19"/>
    </row>
    <row r="12541" spans="3:47">
      <c r="C12541" s="20"/>
      <c r="Z12541" s="20"/>
      <c r="AG12541" s="20"/>
      <c r="AQ12541" s="19"/>
      <c r="AR12541" s="19"/>
      <c r="AS12541" s="19"/>
      <c r="AT12541" s="19"/>
      <c r="AU12541" s="19"/>
    </row>
    <row r="12542" spans="3:47">
      <c r="C12542" s="20"/>
      <c r="Z12542" s="20"/>
      <c r="AG12542" s="20"/>
      <c r="AQ12542" s="19"/>
      <c r="AR12542" s="19"/>
      <c r="AS12542" s="19"/>
      <c r="AT12542" s="19"/>
      <c r="AU12542" s="19"/>
    </row>
    <row r="12543" spans="3:47">
      <c r="C12543" s="20"/>
      <c r="Z12543" s="20"/>
      <c r="AG12543" s="20"/>
      <c r="AQ12543" s="19"/>
      <c r="AR12543" s="19"/>
      <c r="AS12543" s="19"/>
      <c r="AT12543" s="19"/>
      <c r="AU12543" s="19"/>
    </row>
    <row r="12544" spans="3:47">
      <c r="C12544" s="20"/>
      <c r="Z12544" s="20"/>
      <c r="AG12544" s="20"/>
      <c r="AQ12544" s="19"/>
      <c r="AR12544" s="19"/>
      <c r="AS12544" s="19"/>
      <c r="AT12544" s="19"/>
      <c r="AU12544" s="19"/>
    </row>
    <row r="12545" spans="3:47">
      <c r="C12545" s="20"/>
      <c r="Z12545" s="20"/>
      <c r="AG12545" s="20"/>
      <c r="AQ12545" s="19"/>
      <c r="AR12545" s="19"/>
      <c r="AS12545" s="19"/>
      <c r="AT12545" s="19"/>
      <c r="AU12545" s="19"/>
    </row>
    <row r="12546" spans="3:47">
      <c r="C12546" s="20"/>
      <c r="Z12546" s="20"/>
      <c r="AG12546" s="20"/>
      <c r="AQ12546" s="19"/>
      <c r="AR12546" s="19"/>
      <c r="AS12546" s="19"/>
      <c r="AT12546" s="19"/>
      <c r="AU12546" s="19"/>
    </row>
    <row r="12547" spans="3:47">
      <c r="C12547" s="20"/>
      <c r="Z12547" s="20"/>
      <c r="AG12547" s="20"/>
      <c r="AQ12547" s="19"/>
      <c r="AR12547" s="19"/>
      <c r="AS12547" s="19"/>
      <c r="AT12547" s="19"/>
      <c r="AU12547" s="19"/>
    </row>
    <row r="12548" spans="3:47">
      <c r="C12548" s="20"/>
      <c r="Z12548" s="20"/>
      <c r="AG12548" s="20"/>
      <c r="AQ12548" s="19"/>
      <c r="AR12548" s="19"/>
      <c r="AS12548" s="19"/>
      <c r="AT12548" s="19"/>
      <c r="AU12548" s="19"/>
    </row>
    <row r="12549" spans="3:47">
      <c r="C12549" s="20"/>
      <c r="Z12549" s="20"/>
      <c r="AG12549" s="20"/>
      <c r="AQ12549" s="19"/>
      <c r="AR12549" s="19"/>
      <c r="AS12549" s="19"/>
      <c r="AT12549" s="19"/>
      <c r="AU12549" s="19"/>
    </row>
    <row r="12550" spans="3:47">
      <c r="C12550" s="20"/>
      <c r="Z12550" s="20"/>
      <c r="AG12550" s="20"/>
      <c r="AQ12550" s="19"/>
      <c r="AR12550" s="19"/>
      <c r="AS12550" s="19"/>
      <c r="AT12550" s="19"/>
      <c r="AU12550" s="19"/>
    </row>
    <row r="12551" spans="3:47">
      <c r="C12551" s="20"/>
      <c r="Z12551" s="20"/>
      <c r="AG12551" s="20"/>
      <c r="AQ12551" s="19"/>
      <c r="AR12551" s="19"/>
      <c r="AS12551" s="19"/>
      <c r="AT12551" s="19"/>
      <c r="AU12551" s="19"/>
    </row>
    <row r="12552" spans="3:47">
      <c r="C12552" s="20"/>
      <c r="Z12552" s="20"/>
      <c r="AG12552" s="20"/>
      <c r="AQ12552" s="19"/>
      <c r="AR12552" s="19"/>
      <c r="AS12552" s="19"/>
      <c r="AT12552" s="19"/>
      <c r="AU12552" s="19"/>
    </row>
    <row r="12553" spans="3:47">
      <c r="C12553" s="20"/>
      <c r="Z12553" s="20"/>
      <c r="AG12553" s="20"/>
      <c r="AQ12553" s="19"/>
      <c r="AR12553" s="19"/>
      <c r="AS12553" s="19"/>
      <c r="AT12553" s="19"/>
      <c r="AU12553" s="19"/>
    </row>
    <row r="12554" spans="3:47">
      <c r="C12554" s="20"/>
      <c r="Z12554" s="20"/>
      <c r="AG12554" s="20"/>
      <c r="AQ12554" s="19"/>
      <c r="AR12554" s="19"/>
      <c r="AS12554" s="19"/>
      <c r="AT12554" s="19"/>
      <c r="AU12554" s="19"/>
    </row>
    <row r="12555" spans="3:47">
      <c r="C12555" s="20"/>
      <c r="Z12555" s="20"/>
      <c r="AG12555" s="20"/>
      <c r="AQ12555" s="19"/>
      <c r="AR12555" s="19"/>
      <c r="AS12555" s="19"/>
      <c r="AT12555" s="19"/>
      <c r="AU12555" s="19"/>
    </row>
    <row r="12556" spans="3:47">
      <c r="C12556" s="20"/>
      <c r="Z12556" s="20"/>
      <c r="AG12556" s="20"/>
      <c r="AQ12556" s="19"/>
      <c r="AR12556" s="19"/>
      <c r="AS12556" s="19"/>
      <c r="AT12556" s="19"/>
      <c r="AU12556" s="19"/>
    </row>
    <row r="12557" spans="3:47">
      <c r="C12557" s="20"/>
      <c r="Z12557" s="20"/>
      <c r="AG12557" s="20"/>
      <c r="AQ12557" s="19"/>
      <c r="AR12557" s="19"/>
      <c r="AS12557" s="19"/>
      <c r="AT12557" s="19"/>
      <c r="AU12557" s="19"/>
    </row>
    <row r="12558" spans="3:47">
      <c r="C12558" s="20"/>
      <c r="Z12558" s="20"/>
      <c r="AG12558" s="20"/>
      <c r="AQ12558" s="19"/>
      <c r="AR12558" s="19"/>
      <c r="AS12558" s="19"/>
      <c r="AT12558" s="19"/>
      <c r="AU12558" s="19"/>
    </row>
    <row r="12559" spans="3:47">
      <c r="C12559" s="20"/>
      <c r="Z12559" s="20"/>
      <c r="AG12559" s="20"/>
      <c r="AQ12559" s="19"/>
      <c r="AR12559" s="19"/>
      <c r="AS12559" s="19"/>
      <c r="AT12559" s="19"/>
      <c r="AU12559" s="19"/>
    </row>
    <row r="12560" spans="3:47">
      <c r="C12560" s="20"/>
      <c r="Z12560" s="20"/>
      <c r="AG12560" s="20"/>
      <c r="AQ12560" s="19"/>
      <c r="AR12560" s="19"/>
      <c r="AS12560" s="19"/>
      <c r="AT12560" s="19"/>
      <c r="AU12560" s="19"/>
    </row>
    <row r="12561" spans="3:47">
      <c r="C12561" s="20"/>
      <c r="Z12561" s="20"/>
      <c r="AG12561" s="20"/>
      <c r="AQ12561" s="19"/>
      <c r="AR12561" s="19"/>
      <c r="AS12561" s="19"/>
      <c r="AT12561" s="19"/>
      <c r="AU12561" s="19"/>
    </row>
    <row r="12562" spans="3:47">
      <c r="C12562" s="20"/>
      <c r="Z12562" s="20"/>
      <c r="AG12562" s="20"/>
      <c r="AQ12562" s="19"/>
      <c r="AR12562" s="19"/>
      <c r="AS12562" s="19"/>
      <c r="AT12562" s="19"/>
      <c r="AU12562" s="19"/>
    </row>
    <row r="12563" spans="3:47">
      <c r="C12563" s="20"/>
      <c r="Z12563" s="20"/>
      <c r="AG12563" s="20"/>
      <c r="AQ12563" s="19"/>
      <c r="AR12563" s="19"/>
      <c r="AS12563" s="19"/>
      <c r="AT12563" s="19"/>
      <c r="AU12563" s="19"/>
    </row>
    <row r="12564" spans="3:47">
      <c r="C12564" s="20"/>
      <c r="Z12564" s="20"/>
      <c r="AG12564" s="20"/>
      <c r="AQ12564" s="19"/>
      <c r="AR12564" s="19"/>
      <c r="AS12564" s="19"/>
      <c r="AT12564" s="19"/>
      <c r="AU12564" s="19"/>
    </row>
    <row r="12565" spans="3:47">
      <c r="C12565" s="20"/>
      <c r="Z12565" s="20"/>
      <c r="AG12565" s="20"/>
      <c r="AQ12565" s="19"/>
      <c r="AR12565" s="19"/>
      <c r="AS12565" s="19"/>
      <c r="AT12565" s="19"/>
      <c r="AU12565" s="19"/>
    </row>
    <row r="12566" spans="3:47">
      <c r="C12566" s="20"/>
      <c r="Z12566" s="20"/>
      <c r="AG12566" s="20"/>
      <c r="AQ12566" s="19"/>
      <c r="AR12566" s="19"/>
      <c r="AS12566" s="19"/>
      <c r="AT12566" s="19"/>
      <c r="AU12566" s="19"/>
    </row>
    <row r="12567" spans="3:47">
      <c r="C12567" s="20"/>
      <c r="Z12567" s="20"/>
      <c r="AG12567" s="20"/>
      <c r="AQ12567" s="19"/>
      <c r="AR12567" s="19"/>
      <c r="AS12567" s="19"/>
      <c r="AT12567" s="19"/>
      <c r="AU12567" s="19"/>
    </row>
    <row r="12568" spans="3:47">
      <c r="C12568" s="20"/>
      <c r="Z12568" s="20"/>
      <c r="AG12568" s="20"/>
      <c r="AQ12568" s="19"/>
      <c r="AR12568" s="19"/>
      <c r="AS12568" s="19"/>
      <c r="AT12568" s="19"/>
      <c r="AU12568" s="19"/>
    </row>
    <row r="12569" spans="3:47">
      <c r="C12569" s="20"/>
      <c r="Z12569" s="20"/>
      <c r="AG12569" s="20"/>
      <c r="AQ12569" s="19"/>
      <c r="AR12569" s="19"/>
      <c r="AS12569" s="19"/>
      <c r="AT12569" s="19"/>
      <c r="AU12569" s="19"/>
    </row>
    <row r="12570" spans="3:47">
      <c r="C12570" s="20"/>
      <c r="Z12570" s="20"/>
      <c r="AG12570" s="20"/>
      <c r="AQ12570" s="19"/>
      <c r="AR12570" s="19"/>
      <c r="AS12570" s="19"/>
      <c r="AT12570" s="19"/>
      <c r="AU12570" s="19"/>
    </row>
    <row r="12571" spans="3:47">
      <c r="C12571" s="20"/>
      <c r="Z12571" s="20"/>
      <c r="AG12571" s="20"/>
      <c r="AQ12571" s="19"/>
      <c r="AR12571" s="19"/>
      <c r="AS12571" s="19"/>
      <c r="AT12571" s="19"/>
      <c r="AU12571" s="19"/>
    </row>
    <row r="12572" spans="3:47">
      <c r="C12572" s="20"/>
      <c r="Z12572" s="20"/>
      <c r="AG12572" s="20"/>
      <c r="AQ12572" s="19"/>
      <c r="AR12572" s="19"/>
      <c r="AS12572" s="19"/>
      <c r="AT12572" s="19"/>
      <c r="AU12572" s="19"/>
    </row>
    <row r="12573" spans="3:47">
      <c r="C12573" s="20"/>
      <c r="Z12573" s="20"/>
      <c r="AG12573" s="20"/>
      <c r="AQ12573" s="19"/>
      <c r="AR12573" s="19"/>
      <c r="AS12573" s="19"/>
      <c r="AT12573" s="19"/>
      <c r="AU12573" s="19"/>
    </row>
    <row r="12574" spans="3:47">
      <c r="C12574" s="20"/>
      <c r="Z12574" s="20"/>
      <c r="AG12574" s="20"/>
      <c r="AQ12574" s="19"/>
      <c r="AR12574" s="19"/>
      <c r="AS12574" s="19"/>
      <c r="AT12574" s="19"/>
      <c r="AU12574" s="19"/>
    </row>
    <row r="12575" spans="3:47">
      <c r="C12575" s="20"/>
      <c r="Z12575" s="20"/>
      <c r="AG12575" s="20"/>
      <c r="AQ12575" s="19"/>
      <c r="AR12575" s="19"/>
      <c r="AS12575" s="19"/>
      <c r="AT12575" s="19"/>
      <c r="AU12575" s="19"/>
    </row>
    <row r="12576" spans="3:47">
      <c r="C12576" s="20"/>
      <c r="Z12576" s="20"/>
      <c r="AG12576" s="20"/>
      <c r="AQ12576" s="19"/>
      <c r="AR12576" s="19"/>
      <c r="AS12576" s="19"/>
      <c r="AT12576" s="19"/>
      <c r="AU12576" s="19"/>
    </row>
    <row r="12577" spans="3:47">
      <c r="C12577" s="20"/>
      <c r="Z12577" s="20"/>
      <c r="AG12577" s="20"/>
      <c r="AQ12577" s="19"/>
      <c r="AR12577" s="19"/>
      <c r="AS12577" s="19"/>
      <c r="AT12577" s="19"/>
      <c r="AU12577" s="19"/>
    </row>
    <row r="12578" spans="3:47">
      <c r="C12578" s="20"/>
      <c r="Z12578" s="20"/>
      <c r="AG12578" s="20"/>
      <c r="AQ12578" s="19"/>
      <c r="AR12578" s="19"/>
      <c r="AS12578" s="19"/>
      <c r="AT12578" s="19"/>
      <c r="AU12578" s="19"/>
    </row>
    <row r="12579" spans="3:47">
      <c r="C12579" s="20"/>
      <c r="Z12579" s="20"/>
      <c r="AG12579" s="20"/>
      <c r="AQ12579" s="19"/>
      <c r="AR12579" s="19"/>
      <c r="AS12579" s="19"/>
      <c r="AT12579" s="19"/>
      <c r="AU12579" s="19"/>
    </row>
    <row r="12580" spans="3:47">
      <c r="C12580" s="20"/>
      <c r="Z12580" s="20"/>
      <c r="AG12580" s="20"/>
      <c r="AQ12580" s="19"/>
      <c r="AR12580" s="19"/>
      <c r="AS12580" s="19"/>
      <c r="AT12580" s="19"/>
      <c r="AU12580" s="19"/>
    </row>
    <row r="12581" spans="3:47">
      <c r="C12581" s="20"/>
      <c r="Z12581" s="20"/>
      <c r="AG12581" s="20"/>
      <c r="AQ12581" s="19"/>
      <c r="AR12581" s="19"/>
      <c r="AS12581" s="19"/>
      <c r="AT12581" s="19"/>
      <c r="AU12581" s="19"/>
    </row>
    <row r="12582" spans="3:47">
      <c r="C12582" s="20"/>
      <c r="Z12582" s="20"/>
      <c r="AG12582" s="20"/>
      <c r="AQ12582" s="19"/>
      <c r="AR12582" s="19"/>
      <c r="AS12582" s="19"/>
      <c r="AT12582" s="19"/>
      <c r="AU12582" s="19"/>
    </row>
    <row r="12583" spans="3:47">
      <c r="C12583" s="20"/>
      <c r="Z12583" s="20"/>
      <c r="AG12583" s="20"/>
      <c r="AQ12583" s="19"/>
      <c r="AR12583" s="19"/>
      <c r="AS12583" s="19"/>
      <c r="AT12583" s="19"/>
      <c r="AU12583" s="19"/>
    </row>
    <row r="12584" spans="3:47">
      <c r="C12584" s="20"/>
      <c r="Z12584" s="20"/>
      <c r="AG12584" s="20"/>
      <c r="AQ12584" s="19"/>
      <c r="AR12584" s="19"/>
      <c r="AS12584" s="19"/>
      <c r="AT12584" s="19"/>
      <c r="AU12584" s="19"/>
    </row>
    <row r="12585" spans="3:47">
      <c r="C12585" s="20"/>
      <c r="Z12585" s="20"/>
      <c r="AG12585" s="20"/>
      <c r="AQ12585" s="19"/>
      <c r="AR12585" s="19"/>
      <c r="AS12585" s="19"/>
      <c r="AT12585" s="19"/>
      <c r="AU12585" s="19"/>
    </row>
    <row r="12586" spans="3:47">
      <c r="C12586" s="20"/>
      <c r="Z12586" s="20"/>
      <c r="AG12586" s="20"/>
      <c r="AQ12586" s="19"/>
      <c r="AR12586" s="19"/>
      <c r="AS12586" s="19"/>
      <c r="AT12586" s="19"/>
      <c r="AU12586" s="19"/>
    </row>
    <row r="12587" spans="3:47">
      <c r="C12587" s="20"/>
      <c r="Z12587" s="20"/>
      <c r="AG12587" s="20"/>
      <c r="AQ12587" s="19"/>
      <c r="AR12587" s="19"/>
      <c r="AS12587" s="19"/>
      <c r="AT12587" s="19"/>
      <c r="AU12587" s="19"/>
    </row>
    <row r="12588" spans="3:47">
      <c r="C12588" s="20"/>
      <c r="Z12588" s="20"/>
      <c r="AG12588" s="20"/>
      <c r="AQ12588" s="19"/>
      <c r="AR12588" s="19"/>
      <c r="AS12588" s="19"/>
      <c r="AT12588" s="19"/>
      <c r="AU12588" s="19"/>
    </row>
    <row r="12589" spans="3:47">
      <c r="C12589" s="20"/>
      <c r="Z12589" s="20"/>
      <c r="AG12589" s="20"/>
      <c r="AQ12589" s="19"/>
      <c r="AR12589" s="19"/>
      <c r="AS12589" s="19"/>
      <c r="AT12589" s="19"/>
      <c r="AU12589" s="19"/>
    </row>
    <row r="12590" spans="3:47">
      <c r="C12590" s="20"/>
      <c r="Z12590" s="20"/>
      <c r="AG12590" s="20"/>
      <c r="AQ12590" s="19"/>
      <c r="AR12590" s="19"/>
      <c r="AS12590" s="19"/>
      <c r="AT12590" s="19"/>
      <c r="AU12590" s="19"/>
    </row>
    <row r="12591" spans="3:47">
      <c r="C12591" s="20"/>
      <c r="Z12591" s="20"/>
      <c r="AG12591" s="20"/>
      <c r="AQ12591" s="19"/>
      <c r="AR12591" s="19"/>
      <c r="AS12591" s="19"/>
      <c r="AT12591" s="19"/>
      <c r="AU12591" s="19"/>
    </row>
    <row r="12592" spans="3:47">
      <c r="C12592" s="20"/>
      <c r="Z12592" s="20"/>
      <c r="AG12592" s="20"/>
      <c r="AQ12592" s="19"/>
      <c r="AR12592" s="19"/>
      <c r="AS12592" s="19"/>
      <c r="AT12592" s="19"/>
      <c r="AU12592" s="19"/>
    </row>
    <row r="12593" spans="3:47">
      <c r="C12593" s="20"/>
      <c r="Z12593" s="20"/>
      <c r="AG12593" s="20"/>
      <c r="AQ12593" s="19"/>
      <c r="AR12593" s="19"/>
      <c r="AS12593" s="19"/>
      <c r="AT12593" s="19"/>
      <c r="AU12593" s="19"/>
    </row>
    <row r="12594" spans="3:47">
      <c r="C12594" s="20"/>
      <c r="Z12594" s="20"/>
      <c r="AG12594" s="20"/>
      <c r="AQ12594" s="19"/>
      <c r="AR12594" s="19"/>
      <c r="AS12594" s="19"/>
      <c r="AT12594" s="19"/>
      <c r="AU12594" s="19"/>
    </row>
    <row r="12595" spans="3:47">
      <c r="C12595" s="20"/>
      <c r="Z12595" s="20"/>
      <c r="AG12595" s="20"/>
      <c r="AQ12595" s="19"/>
      <c r="AR12595" s="19"/>
      <c r="AS12595" s="19"/>
      <c r="AT12595" s="19"/>
      <c r="AU12595" s="19"/>
    </row>
    <row r="12596" spans="3:47">
      <c r="C12596" s="20"/>
      <c r="Z12596" s="20"/>
      <c r="AG12596" s="20"/>
      <c r="AQ12596" s="19"/>
      <c r="AR12596" s="19"/>
      <c r="AS12596" s="19"/>
      <c r="AT12596" s="19"/>
      <c r="AU12596" s="19"/>
    </row>
    <row r="12597" spans="3:47">
      <c r="C12597" s="20"/>
      <c r="Z12597" s="20"/>
      <c r="AG12597" s="20"/>
      <c r="AQ12597" s="19"/>
      <c r="AR12597" s="19"/>
      <c r="AS12597" s="19"/>
      <c r="AT12597" s="19"/>
      <c r="AU12597" s="19"/>
    </row>
    <row r="12598" spans="3:47">
      <c r="C12598" s="20"/>
      <c r="Z12598" s="20"/>
      <c r="AG12598" s="20"/>
      <c r="AQ12598" s="19"/>
      <c r="AR12598" s="19"/>
      <c r="AS12598" s="19"/>
      <c r="AT12598" s="19"/>
      <c r="AU12598" s="19"/>
    </row>
    <row r="12599" spans="3:47">
      <c r="C12599" s="20"/>
      <c r="Z12599" s="20"/>
      <c r="AG12599" s="20"/>
      <c r="AQ12599" s="19"/>
      <c r="AR12599" s="19"/>
      <c r="AS12599" s="19"/>
      <c r="AT12599" s="19"/>
      <c r="AU12599" s="19"/>
    </row>
    <row r="12600" spans="3:47">
      <c r="C12600" s="20"/>
      <c r="Z12600" s="20"/>
      <c r="AG12600" s="20"/>
      <c r="AQ12600" s="19"/>
      <c r="AR12600" s="19"/>
      <c r="AS12600" s="19"/>
      <c r="AT12600" s="19"/>
      <c r="AU12600" s="19"/>
    </row>
    <row r="12601" spans="3:47">
      <c r="C12601" s="20"/>
      <c r="Z12601" s="20"/>
      <c r="AG12601" s="20"/>
      <c r="AQ12601" s="19"/>
      <c r="AR12601" s="19"/>
      <c r="AS12601" s="19"/>
      <c r="AT12601" s="19"/>
      <c r="AU12601" s="19"/>
    </row>
    <row r="12602" spans="3:47">
      <c r="C12602" s="20"/>
      <c r="Z12602" s="20"/>
      <c r="AG12602" s="20"/>
      <c r="AQ12602" s="19"/>
      <c r="AR12602" s="19"/>
      <c r="AS12602" s="19"/>
      <c r="AT12602" s="19"/>
      <c r="AU12602" s="19"/>
    </row>
    <row r="12603" spans="3:47">
      <c r="C12603" s="20"/>
      <c r="Z12603" s="20"/>
      <c r="AG12603" s="20"/>
      <c r="AQ12603" s="19"/>
      <c r="AR12603" s="19"/>
      <c r="AS12603" s="19"/>
      <c r="AT12603" s="19"/>
      <c r="AU12603" s="19"/>
    </row>
    <row r="12604" spans="3:47">
      <c r="C12604" s="20"/>
      <c r="Z12604" s="20"/>
      <c r="AG12604" s="20"/>
      <c r="AQ12604" s="19"/>
      <c r="AR12604" s="19"/>
      <c r="AS12604" s="19"/>
      <c r="AT12604" s="19"/>
      <c r="AU12604" s="19"/>
    </row>
    <row r="12605" spans="3:47">
      <c r="C12605" s="20"/>
      <c r="Z12605" s="20"/>
      <c r="AG12605" s="20"/>
      <c r="AQ12605" s="19"/>
      <c r="AR12605" s="19"/>
      <c r="AS12605" s="19"/>
      <c r="AT12605" s="19"/>
      <c r="AU12605" s="19"/>
    </row>
    <row r="12606" spans="3:47">
      <c r="C12606" s="20"/>
      <c r="Z12606" s="20"/>
      <c r="AG12606" s="20"/>
      <c r="AQ12606" s="19"/>
      <c r="AR12606" s="19"/>
      <c r="AS12606" s="19"/>
      <c r="AT12606" s="19"/>
      <c r="AU12606" s="19"/>
    </row>
    <row r="12607" spans="3:47">
      <c r="C12607" s="20"/>
      <c r="Z12607" s="20"/>
      <c r="AG12607" s="20"/>
      <c r="AQ12607" s="19"/>
      <c r="AR12607" s="19"/>
      <c r="AS12607" s="19"/>
      <c r="AT12607" s="19"/>
      <c r="AU12607" s="19"/>
    </row>
    <row r="12608" spans="3:47">
      <c r="C12608" s="20"/>
      <c r="Z12608" s="20"/>
      <c r="AG12608" s="20"/>
      <c r="AQ12608" s="19"/>
      <c r="AR12608" s="19"/>
      <c r="AS12608" s="19"/>
      <c r="AT12608" s="19"/>
      <c r="AU12608" s="19"/>
    </row>
    <row r="12609" spans="3:47">
      <c r="C12609" s="20"/>
      <c r="Z12609" s="20"/>
      <c r="AG12609" s="20"/>
      <c r="AQ12609" s="19"/>
      <c r="AR12609" s="19"/>
      <c r="AS12609" s="19"/>
      <c r="AT12609" s="19"/>
      <c r="AU12609" s="19"/>
    </row>
    <row r="12610" spans="3:47">
      <c r="C12610" s="20"/>
      <c r="Z12610" s="20"/>
      <c r="AG12610" s="20"/>
      <c r="AQ12610" s="19"/>
      <c r="AR12610" s="19"/>
      <c r="AS12610" s="19"/>
      <c r="AT12610" s="19"/>
      <c r="AU12610" s="19"/>
    </row>
    <row r="12611" spans="3:47">
      <c r="C12611" s="20"/>
      <c r="Z12611" s="20"/>
      <c r="AG12611" s="20"/>
      <c r="AQ12611" s="19"/>
      <c r="AR12611" s="19"/>
      <c r="AS12611" s="19"/>
      <c r="AT12611" s="19"/>
      <c r="AU12611" s="19"/>
    </row>
    <row r="12612" spans="3:47">
      <c r="C12612" s="20"/>
      <c r="Z12612" s="20"/>
      <c r="AG12612" s="20"/>
      <c r="AQ12612" s="19"/>
      <c r="AR12612" s="19"/>
      <c r="AS12612" s="19"/>
      <c r="AT12612" s="19"/>
      <c r="AU12612" s="19"/>
    </row>
    <row r="12613" spans="3:47">
      <c r="C12613" s="20"/>
      <c r="Z12613" s="20"/>
      <c r="AG12613" s="20"/>
      <c r="AQ12613" s="19"/>
      <c r="AR12613" s="19"/>
      <c r="AS12613" s="19"/>
      <c r="AT12613" s="19"/>
      <c r="AU12613" s="19"/>
    </row>
    <row r="12614" spans="3:47">
      <c r="C12614" s="20"/>
      <c r="Z12614" s="20"/>
      <c r="AG12614" s="20"/>
      <c r="AQ12614" s="19"/>
      <c r="AR12614" s="19"/>
      <c r="AS12614" s="19"/>
      <c r="AT12614" s="19"/>
      <c r="AU12614" s="19"/>
    </row>
    <row r="12615" spans="3:47">
      <c r="C12615" s="20"/>
      <c r="Z12615" s="20"/>
      <c r="AG12615" s="20"/>
      <c r="AQ12615" s="19"/>
      <c r="AR12615" s="19"/>
      <c r="AS12615" s="19"/>
      <c r="AT12615" s="19"/>
      <c r="AU12615" s="19"/>
    </row>
    <row r="12616" spans="3:47">
      <c r="C12616" s="20"/>
      <c r="Z12616" s="20"/>
      <c r="AG12616" s="20"/>
      <c r="AQ12616" s="19"/>
      <c r="AR12616" s="19"/>
      <c r="AS12616" s="19"/>
      <c r="AT12616" s="19"/>
      <c r="AU12616" s="19"/>
    </row>
    <row r="12617" spans="3:47">
      <c r="C12617" s="20"/>
      <c r="Z12617" s="20"/>
      <c r="AG12617" s="20"/>
      <c r="AQ12617" s="19"/>
      <c r="AR12617" s="19"/>
      <c r="AS12617" s="19"/>
      <c r="AT12617" s="19"/>
      <c r="AU12617" s="19"/>
    </row>
    <row r="12618" spans="3:47">
      <c r="C12618" s="20"/>
      <c r="Z12618" s="20"/>
      <c r="AG12618" s="20"/>
      <c r="AQ12618" s="19"/>
      <c r="AR12618" s="19"/>
      <c r="AS12618" s="19"/>
      <c r="AT12618" s="19"/>
      <c r="AU12618" s="19"/>
    </row>
    <row r="12619" spans="3:47">
      <c r="C12619" s="20"/>
      <c r="Z12619" s="20"/>
      <c r="AG12619" s="20"/>
      <c r="AQ12619" s="19"/>
      <c r="AR12619" s="19"/>
      <c r="AS12619" s="19"/>
      <c r="AT12619" s="19"/>
      <c r="AU12619" s="19"/>
    </row>
    <row r="12620" spans="3:47">
      <c r="C12620" s="20"/>
      <c r="Z12620" s="20"/>
      <c r="AG12620" s="20"/>
      <c r="AQ12620" s="19"/>
      <c r="AR12620" s="19"/>
      <c r="AS12620" s="19"/>
      <c r="AT12620" s="19"/>
      <c r="AU12620" s="19"/>
    </row>
    <row r="12621" spans="3:47">
      <c r="C12621" s="20"/>
      <c r="Z12621" s="20"/>
      <c r="AG12621" s="20"/>
      <c r="AQ12621" s="19"/>
      <c r="AR12621" s="19"/>
      <c r="AS12621" s="19"/>
      <c r="AT12621" s="19"/>
      <c r="AU12621" s="19"/>
    </row>
    <row r="12622" spans="3:47">
      <c r="C12622" s="20"/>
      <c r="Z12622" s="20"/>
      <c r="AG12622" s="20"/>
      <c r="AQ12622" s="19"/>
      <c r="AR12622" s="19"/>
      <c r="AS12622" s="19"/>
      <c r="AT12622" s="19"/>
      <c r="AU12622" s="19"/>
    </row>
    <row r="12623" spans="3:47">
      <c r="C12623" s="20"/>
      <c r="Z12623" s="20"/>
      <c r="AG12623" s="20"/>
      <c r="AQ12623" s="19"/>
      <c r="AR12623" s="19"/>
      <c r="AS12623" s="19"/>
      <c r="AT12623" s="19"/>
      <c r="AU12623" s="19"/>
    </row>
    <row r="12624" spans="3:47">
      <c r="C12624" s="20"/>
      <c r="Z12624" s="20"/>
      <c r="AG12624" s="20"/>
      <c r="AQ12624" s="19"/>
      <c r="AR12624" s="19"/>
      <c r="AS12624" s="19"/>
      <c r="AT12624" s="19"/>
      <c r="AU12624" s="19"/>
    </row>
    <row r="12625" spans="3:47">
      <c r="C12625" s="20"/>
      <c r="Z12625" s="20"/>
      <c r="AG12625" s="20"/>
      <c r="AQ12625" s="19"/>
      <c r="AR12625" s="19"/>
      <c r="AS12625" s="19"/>
      <c r="AT12625" s="19"/>
      <c r="AU12625" s="19"/>
    </row>
    <row r="12626" spans="3:47">
      <c r="C12626" s="20"/>
      <c r="Z12626" s="20"/>
      <c r="AG12626" s="20"/>
      <c r="AQ12626" s="19"/>
      <c r="AR12626" s="19"/>
      <c r="AS12626" s="19"/>
      <c r="AT12626" s="19"/>
      <c r="AU12626" s="19"/>
    </row>
    <row r="12627" spans="3:47">
      <c r="C12627" s="20"/>
      <c r="Z12627" s="20"/>
      <c r="AG12627" s="20"/>
      <c r="AQ12627" s="19"/>
      <c r="AR12627" s="19"/>
      <c r="AS12627" s="19"/>
      <c r="AT12627" s="19"/>
      <c r="AU12627" s="19"/>
    </row>
    <row r="12628" spans="3:47">
      <c r="C12628" s="20"/>
      <c r="Z12628" s="20"/>
      <c r="AG12628" s="20"/>
      <c r="AQ12628" s="19"/>
      <c r="AR12628" s="19"/>
      <c r="AS12628" s="19"/>
      <c r="AT12628" s="19"/>
      <c r="AU12628" s="19"/>
    </row>
    <row r="12629" spans="3:47">
      <c r="C12629" s="20"/>
      <c r="Z12629" s="20"/>
      <c r="AG12629" s="20"/>
      <c r="AQ12629" s="19"/>
      <c r="AR12629" s="19"/>
      <c r="AS12629" s="19"/>
      <c r="AT12629" s="19"/>
      <c r="AU12629" s="19"/>
    </row>
    <row r="12630" spans="3:47">
      <c r="C12630" s="20"/>
      <c r="Z12630" s="20"/>
      <c r="AG12630" s="20"/>
      <c r="AQ12630" s="19"/>
      <c r="AR12630" s="19"/>
      <c r="AS12630" s="19"/>
      <c r="AT12630" s="19"/>
      <c r="AU12630" s="19"/>
    </row>
    <row r="12631" spans="3:47">
      <c r="C12631" s="20"/>
      <c r="Z12631" s="20"/>
      <c r="AG12631" s="20"/>
      <c r="AQ12631" s="19"/>
      <c r="AR12631" s="19"/>
      <c r="AS12631" s="19"/>
      <c r="AT12631" s="19"/>
      <c r="AU12631" s="19"/>
    </row>
    <row r="12632" spans="3:47">
      <c r="C12632" s="20"/>
      <c r="Z12632" s="20"/>
      <c r="AG12632" s="20"/>
      <c r="AQ12632" s="19"/>
      <c r="AR12632" s="19"/>
      <c r="AS12632" s="19"/>
      <c r="AT12632" s="19"/>
      <c r="AU12632" s="19"/>
    </row>
    <row r="12633" spans="3:47">
      <c r="C12633" s="20"/>
      <c r="Z12633" s="20"/>
      <c r="AG12633" s="20"/>
      <c r="AQ12633" s="19"/>
      <c r="AR12633" s="19"/>
      <c r="AS12633" s="19"/>
      <c r="AT12633" s="19"/>
      <c r="AU12633" s="19"/>
    </row>
    <row r="12634" spans="3:47">
      <c r="C12634" s="20"/>
      <c r="Z12634" s="20"/>
      <c r="AG12634" s="20"/>
      <c r="AQ12634" s="19"/>
      <c r="AR12634" s="19"/>
      <c r="AS12634" s="19"/>
      <c r="AT12634" s="19"/>
      <c r="AU12634" s="19"/>
    </row>
    <row r="12635" spans="3:47">
      <c r="C12635" s="20"/>
      <c r="Z12635" s="20"/>
      <c r="AG12635" s="20"/>
      <c r="AQ12635" s="19"/>
      <c r="AR12635" s="19"/>
      <c r="AS12635" s="19"/>
      <c r="AT12635" s="19"/>
      <c r="AU12635" s="19"/>
    </row>
    <row r="12636" spans="3:47">
      <c r="C12636" s="20"/>
      <c r="Z12636" s="20"/>
      <c r="AG12636" s="20"/>
      <c r="AQ12636" s="19"/>
      <c r="AR12636" s="19"/>
      <c r="AS12636" s="19"/>
      <c r="AT12636" s="19"/>
      <c r="AU12636" s="19"/>
    </row>
    <row r="12637" spans="3:47">
      <c r="C12637" s="20"/>
      <c r="Z12637" s="20"/>
      <c r="AG12637" s="20"/>
      <c r="AQ12637" s="19"/>
      <c r="AR12637" s="19"/>
      <c r="AS12637" s="19"/>
      <c r="AT12637" s="19"/>
      <c r="AU12637" s="19"/>
    </row>
    <row r="12638" spans="3:47">
      <c r="C12638" s="20"/>
      <c r="Z12638" s="20"/>
      <c r="AG12638" s="20"/>
      <c r="AQ12638" s="19"/>
      <c r="AR12638" s="19"/>
      <c r="AS12638" s="19"/>
      <c r="AT12638" s="19"/>
      <c r="AU12638" s="19"/>
    </row>
    <row r="12639" spans="3:47">
      <c r="C12639" s="20"/>
      <c r="Z12639" s="20"/>
      <c r="AG12639" s="20"/>
      <c r="AQ12639" s="19"/>
      <c r="AR12639" s="19"/>
      <c r="AS12639" s="19"/>
      <c r="AT12639" s="19"/>
      <c r="AU12639" s="19"/>
    </row>
    <row r="12640" spans="3:47">
      <c r="C12640" s="20"/>
      <c r="Z12640" s="20"/>
      <c r="AG12640" s="20"/>
      <c r="AQ12640" s="19"/>
      <c r="AR12640" s="19"/>
      <c r="AS12640" s="19"/>
      <c r="AT12640" s="19"/>
      <c r="AU12640" s="19"/>
    </row>
    <row r="12641" spans="3:47">
      <c r="C12641" s="20"/>
      <c r="Z12641" s="20"/>
      <c r="AG12641" s="20"/>
      <c r="AQ12641" s="19"/>
      <c r="AR12641" s="19"/>
      <c r="AS12641" s="19"/>
      <c r="AT12641" s="19"/>
      <c r="AU12641" s="19"/>
    </row>
    <row r="12642" spans="3:47">
      <c r="C12642" s="20"/>
      <c r="Z12642" s="20"/>
      <c r="AG12642" s="20"/>
      <c r="AQ12642" s="19"/>
      <c r="AR12642" s="19"/>
      <c r="AS12642" s="19"/>
      <c r="AT12642" s="19"/>
      <c r="AU12642" s="19"/>
    </row>
    <row r="12643" spans="3:47">
      <c r="C12643" s="20"/>
      <c r="Z12643" s="20"/>
      <c r="AG12643" s="20"/>
      <c r="AQ12643" s="19"/>
      <c r="AR12643" s="19"/>
      <c r="AS12643" s="19"/>
      <c r="AT12643" s="19"/>
      <c r="AU12643" s="19"/>
    </row>
    <row r="12644" spans="3:47">
      <c r="C12644" s="20"/>
      <c r="Z12644" s="20"/>
      <c r="AG12644" s="20"/>
      <c r="AQ12644" s="19"/>
      <c r="AR12644" s="19"/>
      <c r="AS12644" s="19"/>
      <c r="AT12644" s="19"/>
      <c r="AU12644" s="19"/>
    </row>
    <row r="12645" spans="3:47">
      <c r="C12645" s="20"/>
      <c r="Z12645" s="20"/>
      <c r="AG12645" s="20"/>
      <c r="AQ12645" s="19"/>
      <c r="AR12645" s="19"/>
      <c r="AS12645" s="19"/>
      <c r="AT12645" s="19"/>
      <c r="AU12645" s="19"/>
    </row>
    <row r="12646" spans="3:47">
      <c r="C12646" s="20"/>
      <c r="Z12646" s="20"/>
      <c r="AG12646" s="20"/>
      <c r="AQ12646" s="19"/>
      <c r="AR12646" s="19"/>
      <c r="AS12646" s="19"/>
      <c r="AT12646" s="19"/>
      <c r="AU12646" s="19"/>
    </row>
    <row r="12647" spans="3:47">
      <c r="C12647" s="20"/>
      <c r="Z12647" s="20"/>
      <c r="AG12647" s="20"/>
      <c r="AQ12647" s="19"/>
      <c r="AR12647" s="19"/>
      <c r="AS12647" s="19"/>
      <c r="AT12647" s="19"/>
      <c r="AU12647" s="19"/>
    </row>
    <row r="12648" spans="3:47">
      <c r="C12648" s="20"/>
      <c r="Z12648" s="20"/>
      <c r="AG12648" s="20"/>
      <c r="AQ12648" s="19"/>
      <c r="AR12648" s="19"/>
      <c r="AS12648" s="19"/>
      <c r="AT12648" s="19"/>
      <c r="AU12648" s="19"/>
    </row>
    <row r="12649" spans="3:47">
      <c r="C12649" s="20"/>
      <c r="Z12649" s="20"/>
      <c r="AG12649" s="20"/>
      <c r="AQ12649" s="19"/>
      <c r="AR12649" s="19"/>
      <c r="AS12649" s="19"/>
      <c r="AT12649" s="19"/>
      <c r="AU12649" s="19"/>
    </row>
    <row r="12650" spans="3:47">
      <c r="C12650" s="20"/>
      <c r="Z12650" s="20"/>
      <c r="AG12650" s="20"/>
      <c r="AQ12650" s="19"/>
      <c r="AR12650" s="19"/>
      <c r="AS12650" s="19"/>
      <c r="AT12650" s="19"/>
      <c r="AU12650" s="19"/>
    </row>
    <row r="12651" spans="3:47">
      <c r="C12651" s="20"/>
      <c r="Z12651" s="20"/>
      <c r="AG12651" s="20"/>
      <c r="AQ12651" s="19"/>
      <c r="AR12651" s="19"/>
      <c r="AS12651" s="19"/>
      <c r="AT12651" s="19"/>
      <c r="AU12651" s="19"/>
    </row>
    <row r="12652" spans="3:47">
      <c r="C12652" s="20"/>
      <c r="Z12652" s="20"/>
      <c r="AG12652" s="20"/>
      <c r="AQ12652" s="19"/>
      <c r="AR12652" s="19"/>
      <c r="AS12652" s="19"/>
      <c r="AT12652" s="19"/>
      <c r="AU12652" s="19"/>
    </row>
    <row r="12653" spans="3:47">
      <c r="C12653" s="20"/>
      <c r="Z12653" s="20"/>
      <c r="AG12653" s="20"/>
      <c r="AQ12653" s="19"/>
      <c r="AR12653" s="19"/>
      <c r="AS12653" s="19"/>
      <c r="AT12653" s="19"/>
      <c r="AU12653" s="19"/>
    </row>
    <row r="12654" spans="3:47">
      <c r="C12654" s="20"/>
      <c r="Z12654" s="20"/>
      <c r="AG12654" s="20"/>
      <c r="AQ12654" s="19"/>
      <c r="AR12654" s="19"/>
      <c r="AS12654" s="19"/>
      <c r="AT12654" s="19"/>
      <c r="AU12654" s="19"/>
    </row>
    <row r="12655" spans="3:47">
      <c r="C12655" s="20"/>
      <c r="Z12655" s="20"/>
      <c r="AG12655" s="20"/>
      <c r="AQ12655" s="19"/>
      <c r="AR12655" s="19"/>
      <c r="AS12655" s="19"/>
      <c r="AT12655" s="19"/>
      <c r="AU12655" s="19"/>
    </row>
    <row r="12656" spans="3:47">
      <c r="C12656" s="20"/>
      <c r="Z12656" s="20"/>
      <c r="AG12656" s="20"/>
      <c r="AQ12656" s="19"/>
      <c r="AR12656" s="19"/>
      <c r="AS12656" s="19"/>
      <c r="AT12656" s="19"/>
      <c r="AU12656" s="19"/>
    </row>
    <row r="12657" spans="3:47">
      <c r="C12657" s="20"/>
      <c r="Z12657" s="20"/>
      <c r="AG12657" s="20"/>
      <c r="AQ12657" s="19"/>
      <c r="AR12657" s="19"/>
      <c r="AS12657" s="19"/>
      <c r="AT12657" s="19"/>
      <c r="AU12657" s="19"/>
    </row>
    <row r="12658" spans="3:47">
      <c r="C12658" s="20"/>
      <c r="Z12658" s="20"/>
      <c r="AG12658" s="20"/>
      <c r="AQ12658" s="19"/>
      <c r="AR12658" s="19"/>
      <c r="AS12658" s="19"/>
      <c r="AT12658" s="19"/>
      <c r="AU12658" s="19"/>
    </row>
    <row r="12659" spans="3:47">
      <c r="C12659" s="20"/>
      <c r="Z12659" s="20"/>
      <c r="AG12659" s="20"/>
      <c r="AQ12659" s="19"/>
      <c r="AR12659" s="19"/>
      <c r="AS12659" s="19"/>
      <c r="AT12659" s="19"/>
      <c r="AU12659" s="19"/>
    </row>
    <row r="12660" spans="3:47">
      <c r="C12660" s="20"/>
      <c r="Z12660" s="20"/>
      <c r="AG12660" s="20"/>
      <c r="AQ12660" s="19"/>
      <c r="AR12660" s="19"/>
      <c r="AS12660" s="19"/>
      <c r="AT12660" s="19"/>
      <c r="AU12660" s="19"/>
    </row>
    <row r="12661" spans="3:47">
      <c r="C12661" s="20"/>
      <c r="Z12661" s="20"/>
      <c r="AG12661" s="20"/>
      <c r="AQ12661" s="19"/>
      <c r="AR12661" s="19"/>
      <c r="AS12661" s="19"/>
      <c r="AT12661" s="19"/>
      <c r="AU12661" s="19"/>
    </row>
    <row r="12662" spans="3:47">
      <c r="C12662" s="20"/>
      <c r="Z12662" s="20"/>
      <c r="AG12662" s="20"/>
      <c r="AQ12662" s="19"/>
      <c r="AR12662" s="19"/>
      <c r="AS12662" s="19"/>
      <c r="AT12662" s="19"/>
      <c r="AU12662" s="19"/>
    </row>
    <row r="12663" spans="3:47">
      <c r="C12663" s="20"/>
      <c r="Z12663" s="20"/>
      <c r="AG12663" s="20"/>
      <c r="AQ12663" s="19"/>
      <c r="AR12663" s="19"/>
      <c r="AS12663" s="19"/>
      <c r="AT12663" s="19"/>
      <c r="AU12663" s="19"/>
    </row>
    <row r="12664" spans="3:47">
      <c r="C12664" s="20"/>
      <c r="Z12664" s="20"/>
      <c r="AG12664" s="20"/>
      <c r="AQ12664" s="19"/>
      <c r="AR12664" s="19"/>
      <c r="AS12664" s="19"/>
      <c r="AT12664" s="19"/>
      <c r="AU12664" s="19"/>
    </row>
    <row r="12665" spans="3:47">
      <c r="C12665" s="20"/>
      <c r="Z12665" s="20"/>
      <c r="AG12665" s="20"/>
      <c r="AQ12665" s="19"/>
      <c r="AR12665" s="19"/>
      <c r="AS12665" s="19"/>
      <c r="AT12665" s="19"/>
      <c r="AU12665" s="19"/>
    </row>
    <row r="12666" spans="3:47">
      <c r="C12666" s="20"/>
      <c r="Z12666" s="20"/>
      <c r="AG12666" s="20"/>
      <c r="AQ12666" s="19"/>
      <c r="AR12666" s="19"/>
      <c r="AS12666" s="19"/>
      <c r="AT12666" s="19"/>
      <c r="AU12666" s="19"/>
    </row>
    <row r="12667" spans="3:47">
      <c r="C12667" s="20"/>
      <c r="Z12667" s="20"/>
      <c r="AG12667" s="20"/>
      <c r="AQ12667" s="19"/>
      <c r="AR12667" s="19"/>
      <c r="AS12667" s="19"/>
      <c r="AT12667" s="19"/>
      <c r="AU12667" s="19"/>
    </row>
    <row r="12668" spans="3:47">
      <c r="C12668" s="20"/>
      <c r="Z12668" s="20"/>
      <c r="AG12668" s="20"/>
      <c r="AQ12668" s="19"/>
      <c r="AR12668" s="19"/>
      <c r="AS12668" s="19"/>
      <c r="AT12668" s="19"/>
      <c r="AU12668" s="19"/>
    </row>
    <row r="12669" spans="3:47">
      <c r="C12669" s="20"/>
      <c r="Z12669" s="20"/>
      <c r="AG12669" s="20"/>
      <c r="AQ12669" s="19"/>
      <c r="AR12669" s="19"/>
      <c r="AS12669" s="19"/>
      <c r="AT12669" s="19"/>
      <c r="AU12669" s="19"/>
    </row>
    <row r="12670" spans="3:47">
      <c r="C12670" s="20"/>
      <c r="Z12670" s="20"/>
      <c r="AG12670" s="20"/>
      <c r="AQ12670" s="19"/>
      <c r="AR12670" s="19"/>
      <c r="AS12670" s="19"/>
      <c r="AT12670" s="19"/>
      <c r="AU12670" s="19"/>
    </row>
    <row r="12671" spans="3:47">
      <c r="C12671" s="20"/>
      <c r="Z12671" s="20"/>
      <c r="AG12671" s="20"/>
      <c r="AQ12671" s="19"/>
      <c r="AR12671" s="19"/>
      <c r="AS12671" s="19"/>
      <c r="AT12671" s="19"/>
      <c r="AU12671" s="19"/>
    </row>
    <row r="12672" spans="3:47">
      <c r="C12672" s="20"/>
      <c r="Z12672" s="20"/>
      <c r="AG12672" s="20"/>
      <c r="AQ12672" s="19"/>
      <c r="AR12672" s="19"/>
      <c r="AS12672" s="19"/>
      <c r="AT12672" s="19"/>
      <c r="AU12672" s="19"/>
    </row>
    <row r="12673" spans="3:47">
      <c r="C12673" s="20"/>
      <c r="Z12673" s="20"/>
      <c r="AG12673" s="20"/>
      <c r="AQ12673" s="19"/>
      <c r="AR12673" s="19"/>
      <c r="AS12673" s="19"/>
      <c r="AT12673" s="19"/>
      <c r="AU12673" s="19"/>
    </row>
    <row r="12674" spans="3:47">
      <c r="C12674" s="20"/>
      <c r="Z12674" s="20"/>
      <c r="AG12674" s="20"/>
      <c r="AQ12674" s="19"/>
      <c r="AR12674" s="19"/>
      <c r="AS12674" s="19"/>
      <c r="AT12674" s="19"/>
      <c r="AU12674" s="19"/>
    </row>
    <row r="12675" spans="3:47">
      <c r="C12675" s="20"/>
      <c r="Z12675" s="20"/>
      <c r="AG12675" s="20"/>
      <c r="AQ12675" s="19"/>
      <c r="AR12675" s="19"/>
      <c r="AS12675" s="19"/>
      <c r="AT12675" s="19"/>
      <c r="AU12675" s="19"/>
    </row>
    <row r="12676" spans="3:47">
      <c r="C12676" s="20"/>
      <c r="Z12676" s="20"/>
      <c r="AG12676" s="20"/>
      <c r="AQ12676" s="19"/>
      <c r="AR12676" s="19"/>
      <c r="AS12676" s="19"/>
      <c r="AT12676" s="19"/>
      <c r="AU12676" s="19"/>
    </row>
    <row r="12677" spans="3:47">
      <c r="C12677" s="20"/>
      <c r="Z12677" s="20"/>
      <c r="AG12677" s="20"/>
      <c r="AQ12677" s="19"/>
      <c r="AR12677" s="19"/>
      <c r="AS12677" s="19"/>
      <c r="AT12677" s="19"/>
      <c r="AU12677" s="19"/>
    </row>
    <row r="12678" spans="3:47">
      <c r="C12678" s="20"/>
      <c r="Z12678" s="20"/>
      <c r="AG12678" s="20"/>
      <c r="AQ12678" s="19"/>
      <c r="AR12678" s="19"/>
      <c r="AS12678" s="19"/>
      <c r="AT12678" s="19"/>
      <c r="AU12678" s="19"/>
    </row>
    <row r="12679" spans="3:47">
      <c r="C12679" s="20"/>
      <c r="Z12679" s="20"/>
      <c r="AG12679" s="20"/>
      <c r="AQ12679" s="19"/>
      <c r="AR12679" s="19"/>
      <c r="AS12679" s="19"/>
      <c r="AT12679" s="19"/>
      <c r="AU12679" s="19"/>
    </row>
    <row r="12680" spans="3:47">
      <c r="C12680" s="20"/>
      <c r="Z12680" s="20"/>
      <c r="AG12680" s="20"/>
      <c r="AQ12680" s="19"/>
      <c r="AR12680" s="19"/>
      <c r="AS12680" s="19"/>
      <c r="AT12680" s="19"/>
      <c r="AU12680" s="19"/>
    </row>
    <row r="12681" spans="3:47">
      <c r="C12681" s="20"/>
      <c r="Z12681" s="20"/>
      <c r="AG12681" s="20"/>
      <c r="AQ12681" s="19"/>
      <c r="AR12681" s="19"/>
      <c r="AS12681" s="19"/>
      <c r="AT12681" s="19"/>
      <c r="AU12681" s="19"/>
    </row>
    <row r="12682" spans="3:47">
      <c r="C12682" s="20"/>
      <c r="Z12682" s="20"/>
      <c r="AG12682" s="20"/>
      <c r="AQ12682" s="19"/>
      <c r="AR12682" s="19"/>
      <c r="AS12682" s="19"/>
      <c r="AT12682" s="19"/>
      <c r="AU12682" s="19"/>
    </row>
    <row r="12683" spans="3:47">
      <c r="C12683" s="20"/>
      <c r="Z12683" s="20"/>
      <c r="AG12683" s="20"/>
      <c r="AQ12683" s="19"/>
      <c r="AR12683" s="19"/>
      <c r="AS12683" s="19"/>
      <c r="AT12683" s="19"/>
      <c r="AU12683" s="19"/>
    </row>
    <row r="12684" spans="3:47">
      <c r="C12684" s="20"/>
      <c r="Z12684" s="20"/>
      <c r="AG12684" s="20"/>
      <c r="AQ12684" s="19"/>
      <c r="AR12684" s="19"/>
      <c r="AS12684" s="19"/>
      <c r="AT12684" s="19"/>
      <c r="AU12684" s="19"/>
    </row>
    <row r="12685" spans="3:47">
      <c r="C12685" s="20"/>
      <c r="Z12685" s="20"/>
      <c r="AG12685" s="20"/>
      <c r="AQ12685" s="19"/>
      <c r="AR12685" s="19"/>
      <c r="AS12685" s="19"/>
      <c r="AT12685" s="19"/>
      <c r="AU12685" s="19"/>
    </row>
    <row r="12686" spans="3:47">
      <c r="C12686" s="20"/>
      <c r="Z12686" s="20"/>
      <c r="AG12686" s="20"/>
      <c r="AQ12686" s="19"/>
      <c r="AR12686" s="19"/>
      <c r="AS12686" s="19"/>
      <c r="AT12686" s="19"/>
      <c r="AU12686" s="19"/>
    </row>
    <row r="12687" spans="3:47">
      <c r="C12687" s="20"/>
      <c r="Z12687" s="20"/>
      <c r="AG12687" s="20"/>
      <c r="AQ12687" s="19"/>
      <c r="AR12687" s="19"/>
      <c r="AS12687" s="19"/>
      <c r="AT12687" s="19"/>
      <c r="AU12687" s="19"/>
    </row>
    <row r="12688" spans="3:47">
      <c r="C12688" s="20"/>
      <c r="Z12688" s="20"/>
      <c r="AG12688" s="20"/>
      <c r="AQ12688" s="19"/>
      <c r="AR12688" s="19"/>
      <c r="AS12688" s="19"/>
      <c r="AT12688" s="19"/>
      <c r="AU12688" s="19"/>
    </row>
    <row r="12689" spans="3:47">
      <c r="C12689" s="20"/>
      <c r="Z12689" s="20"/>
      <c r="AG12689" s="20"/>
      <c r="AQ12689" s="19"/>
      <c r="AR12689" s="19"/>
      <c r="AS12689" s="19"/>
      <c r="AT12689" s="19"/>
      <c r="AU12689" s="19"/>
    </row>
    <row r="12690" spans="3:47">
      <c r="C12690" s="20"/>
      <c r="Z12690" s="20"/>
      <c r="AG12690" s="20"/>
      <c r="AQ12690" s="19"/>
      <c r="AR12690" s="19"/>
      <c r="AS12690" s="19"/>
      <c r="AT12690" s="19"/>
      <c r="AU12690" s="19"/>
    </row>
    <row r="12691" spans="3:47">
      <c r="C12691" s="20"/>
      <c r="Z12691" s="20"/>
      <c r="AG12691" s="20"/>
      <c r="AQ12691" s="19"/>
      <c r="AR12691" s="19"/>
      <c r="AS12691" s="19"/>
      <c r="AT12691" s="19"/>
      <c r="AU12691" s="19"/>
    </row>
    <row r="12692" spans="3:47">
      <c r="C12692" s="20"/>
      <c r="Z12692" s="20"/>
      <c r="AG12692" s="20"/>
      <c r="AQ12692" s="19"/>
      <c r="AR12692" s="19"/>
      <c r="AS12692" s="19"/>
      <c r="AT12692" s="19"/>
      <c r="AU12692" s="19"/>
    </row>
    <row r="12693" spans="3:47">
      <c r="C12693" s="20"/>
      <c r="Z12693" s="20"/>
      <c r="AG12693" s="20"/>
      <c r="AQ12693" s="19"/>
      <c r="AR12693" s="19"/>
      <c r="AS12693" s="19"/>
      <c r="AT12693" s="19"/>
      <c r="AU12693" s="19"/>
    </row>
    <row r="12694" spans="3:47">
      <c r="C12694" s="20"/>
      <c r="Z12694" s="20"/>
      <c r="AG12694" s="20"/>
      <c r="AQ12694" s="19"/>
      <c r="AR12694" s="19"/>
      <c r="AS12694" s="19"/>
      <c r="AT12694" s="19"/>
      <c r="AU12694" s="19"/>
    </row>
    <row r="12695" spans="3:47">
      <c r="C12695" s="20"/>
      <c r="Z12695" s="20"/>
      <c r="AG12695" s="20"/>
      <c r="AQ12695" s="19"/>
      <c r="AR12695" s="19"/>
      <c r="AS12695" s="19"/>
      <c r="AT12695" s="19"/>
      <c r="AU12695" s="19"/>
    </row>
    <row r="12696" spans="3:47">
      <c r="C12696" s="20"/>
      <c r="Z12696" s="20"/>
      <c r="AG12696" s="20"/>
      <c r="AQ12696" s="19"/>
      <c r="AR12696" s="19"/>
      <c r="AS12696" s="19"/>
      <c r="AT12696" s="19"/>
      <c r="AU12696" s="19"/>
    </row>
    <row r="12697" spans="3:47">
      <c r="C12697" s="20"/>
      <c r="Z12697" s="20"/>
      <c r="AG12697" s="20"/>
      <c r="AQ12697" s="19"/>
      <c r="AR12697" s="19"/>
      <c r="AS12697" s="19"/>
      <c r="AT12697" s="19"/>
      <c r="AU12697" s="19"/>
    </row>
    <row r="12698" spans="3:47">
      <c r="C12698" s="20"/>
      <c r="Z12698" s="20"/>
      <c r="AG12698" s="20"/>
      <c r="AQ12698" s="19"/>
      <c r="AR12698" s="19"/>
      <c r="AS12698" s="19"/>
      <c r="AT12698" s="19"/>
      <c r="AU12698" s="19"/>
    </row>
    <row r="12699" spans="3:47">
      <c r="C12699" s="20"/>
      <c r="Z12699" s="20"/>
      <c r="AG12699" s="20"/>
      <c r="AQ12699" s="19"/>
      <c r="AR12699" s="19"/>
      <c r="AS12699" s="19"/>
      <c r="AT12699" s="19"/>
      <c r="AU12699" s="19"/>
    </row>
    <row r="12700" spans="3:47">
      <c r="C12700" s="20"/>
      <c r="Z12700" s="20"/>
      <c r="AG12700" s="20"/>
      <c r="AQ12700" s="19"/>
      <c r="AR12700" s="19"/>
      <c r="AS12700" s="19"/>
      <c r="AT12700" s="19"/>
      <c r="AU12700" s="19"/>
    </row>
    <row r="12701" spans="3:47">
      <c r="C12701" s="20"/>
      <c r="Z12701" s="20"/>
      <c r="AG12701" s="20"/>
      <c r="AQ12701" s="19"/>
      <c r="AR12701" s="19"/>
      <c r="AS12701" s="19"/>
      <c r="AT12701" s="19"/>
      <c r="AU12701" s="19"/>
    </row>
    <row r="12702" spans="3:47">
      <c r="C12702" s="20"/>
      <c r="Z12702" s="20"/>
      <c r="AG12702" s="20"/>
      <c r="AQ12702" s="19"/>
      <c r="AR12702" s="19"/>
      <c r="AS12702" s="19"/>
      <c r="AT12702" s="19"/>
      <c r="AU12702" s="19"/>
    </row>
    <row r="12703" spans="3:47">
      <c r="C12703" s="20"/>
      <c r="Z12703" s="20"/>
      <c r="AG12703" s="20"/>
      <c r="AQ12703" s="19"/>
      <c r="AR12703" s="19"/>
      <c r="AS12703" s="19"/>
      <c r="AT12703" s="19"/>
      <c r="AU12703" s="19"/>
    </row>
    <row r="12704" spans="3:47">
      <c r="C12704" s="20"/>
      <c r="Z12704" s="20"/>
      <c r="AG12704" s="20"/>
      <c r="AQ12704" s="19"/>
      <c r="AR12704" s="19"/>
      <c r="AS12704" s="19"/>
      <c r="AT12704" s="19"/>
      <c r="AU12704" s="19"/>
    </row>
    <row r="12705" spans="3:47">
      <c r="C12705" s="20"/>
      <c r="Z12705" s="20"/>
      <c r="AG12705" s="20"/>
      <c r="AQ12705" s="19"/>
      <c r="AR12705" s="19"/>
      <c r="AS12705" s="19"/>
      <c r="AT12705" s="19"/>
      <c r="AU12705" s="19"/>
    </row>
    <row r="12706" spans="3:47">
      <c r="C12706" s="20"/>
      <c r="Z12706" s="20"/>
      <c r="AG12706" s="20"/>
      <c r="AQ12706" s="19"/>
      <c r="AR12706" s="19"/>
      <c r="AS12706" s="19"/>
      <c r="AT12706" s="19"/>
      <c r="AU12706" s="19"/>
    </row>
    <row r="12707" spans="3:47">
      <c r="C12707" s="20"/>
      <c r="Z12707" s="20"/>
      <c r="AG12707" s="20"/>
      <c r="AQ12707" s="19"/>
      <c r="AR12707" s="19"/>
      <c r="AS12707" s="19"/>
      <c r="AT12707" s="19"/>
      <c r="AU12707" s="19"/>
    </row>
    <row r="12708" spans="3:47">
      <c r="C12708" s="20"/>
      <c r="Z12708" s="20"/>
      <c r="AG12708" s="20"/>
      <c r="AQ12708" s="19"/>
      <c r="AR12708" s="19"/>
      <c r="AS12708" s="19"/>
      <c r="AT12708" s="19"/>
      <c r="AU12708" s="19"/>
    </row>
    <row r="12709" spans="3:47">
      <c r="C12709" s="20"/>
      <c r="Z12709" s="20"/>
      <c r="AG12709" s="20"/>
      <c r="AQ12709" s="19"/>
      <c r="AR12709" s="19"/>
      <c r="AS12709" s="19"/>
      <c r="AT12709" s="19"/>
      <c r="AU12709" s="19"/>
    </row>
    <row r="12710" spans="3:47">
      <c r="C12710" s="20"/>
      <c r="Z12710" s="20"/>
      <c r="AG12710" s="20"/>
      <c r="AQ12710" s="19"/>
      <c r="AR12710" s="19"/>
      <c r="AS12710" s="19"/>
      <c r="AT12710" s="19"/>
      <c r="AU12710" s="19"/>
    </row>
    <row r="12711" spans="3:47">
      <c r="C12711" s="20"/>
      <c r="Z12711" s="20"/>
      <c r="AG12711" s="20"/>
      <c r="AQ12711" s="19"/>
      <c r="AR12711" s="19"/>
      <c r="AS12711" s="19"/>
      <c r="AT12711" s="19"/>
      <c r="AU12711" s="19"/>
    </row>
    <row r="12712" spans="3:47">
      <c r="C12712" s="20"/>
      <c r="Z12712" s="20"/>
      <c r="AG12712" s="20"/>
      <c r="AQ12712" s="19"/>
      <c r="AR12712" s="19"/>
      <c r="AS12712" s="19"/>
      <c r="AT12712" s="19"/>
      <c r="AU12712" s="19"/>
    </row>
    <row r="12713" spans="3:47">
      <c r="C12713" s="20"/>
      <c r="Z12713" s="20"/>
      <c r="AG12713" s="20"/>
      <c r="AQ12713" s="19"/>
      <c r="AR12713" s="19"/>
      <c r="AS12713" s="19"/>
      <c r="AT12713" s="19"/>
      <c r="AU12713" s="19"/>
    </row>
    <row r="12714" spans="3:47">
      <c r="C12714" s="20"/>
      <c r="Z12714" s="20"/>
      <c r="AG12714" s="20"/>
      <c r="AQ12714" s="19"/>
      <c r="AR12714" s="19"/>
      <c r="AS12714" s="19"/>
      <c r="AT12714" s="19"/>
      <c r="AU12714" s="19"/>
    </row>
    <row r="12715" spans="3:47">
      <c r="C12715" s="20"/>
      <c r="Z12715" s="20"/>
      <c r="AG12715" s="20"/>
      <c r="AQ12715" s="19"/>
      <c r="AR12715" s="19"/>
      <c r="AS12715" s="19"/>
      <c r="AT12715" s="19"/>
      <c r="AU12715" s="19"/>
    </row>
    <row r="12716" spans="3:47">
      <c r="C12716" s="20"/>
      <c r="Z12716" s="20"/>
      <c r="AG12716" s="20"/>
      <c r="AQ12716" s="19"/>
      <c r="AR12716" s="19"/>
      <c r="AS12716" s="19"/>
      <c r="AT12716" s="19"/>
      <c r="AU12716" s="19"/>
    </row>
    <row r="12717" spans="3:47">
      <c r="C12717" s="20"/>
      <c r="Z12717" s="20"/>
      <c r="AG12717" s="20"/>
      <c r="AQ12717" s="19"/>
      <c r="AR12717" s="19"/>
      <c r="AS12717" s="19"/>
      <c r="AT12717" s="19"/>
      <c r="AU12717" s="19"/>
    </row>
    <row r="12718" spans="3:47">
      <c r="C12718" s="20"/>
      <c r="Z12718" s="20"/>
      <c r="AG12718" s="20"/>
      <c r="AQ12718" s="19"/>
      <c r="AR12718" s="19"/>
      <c r="AS12718" s="19"/>
      <c r="AT12718" s="19"/>
      <c r="AU12718" s="19"/>
    </row>
    <row r="12719" spans="3:47">
      <c r="C12719" s="20"/>
      <c r="Z12719" s="20"/>
      <c r="AG12719" s="20"/>
      <c r="AQ12719" s="19"/>
      <c r="AR12719" s="19"/>
      <c r="AS12719" s="19"/>
      <c r="AT12719" s="19"/>
      <c r="AU12719" s="19"/>
    </row>
    <row r="12720" spans="3:47">
      <c r="C12720" s="20"/>
      <c r="Z12720" s="20"/>
      <c r="AG12720" s="20"/>
      <c r="AQ12720" s="19"/>
      <c r="AR12720" s="19"/>
      <c r="AS12720" s="19"/>
      <c r="AT12720" s="19"/>
      <c r="AU12720" s="19"/>
    </row>
    <row r="12721" spans="3:47">
      <c r="C12721" s="20"/>
      <c r="Z12721" s="20"/>
      <c r="AG12721" s="20"/>
      <c r="AQ12721" s="19"/>
      <c r="AR12721" s="19"/>
      <c r="AS12721" s="19"/>
      <c r="AT12721" s="19"/>
      <c r="AU12721" s="19"/>
    </row>
    <row r="12722" spans="3:47">
      <c r="C12722" s="20"/>
      <c r="Z12722" s="20"/>
      <c r="AG12722" s="20"/>
      <c r="AQ12722" s="19"/>
      <c r="AR12722" s="19"/>
      <c r="AS12722" s="19"/>
      <c r="AT12722" s="19"/>
      <c r="AU12722" s="19"/>
    </row>
    <row r="12723" spans="3:47">
      <c r="C12723" s="20"/>
      <c r="Z12723" s="20"/>
      <c r="AG12723" s="20"/>
      <c r="AQ12723" s="19"/>
      <c r="AR12723" s="19"/>
      <c r="AS12723" s="19"/>
      <c r="AT12723" s="19"/>
      <c r="AU12723" s="19"/>
    </row>
    <row r="12724" spans="3:47">
      <c r="C12724" s="20"/>
      <c r="Z12724" s="20"/>
      <c r="AG12724" s="20"/>
      <c r="AQ12724" s="19"/>
      <c r="AR12724" s="19"/>
      <c r="AS12724" s="19"/>
      <c r="AT12724" s="19"/>
      <c r="AU12724" s="19"/>
    </row>
    <row r="12725" spans="3:47">
      <c r="C12725" s="20"/>
      <c r="Z12725" s="20"/>
      <c r="AG12725" s="20"/>
      <c r="AQ12725" s="19"/>
      <c r="AR12725" s="19"/>
      <c r="AS12725" s="19"/>
      <c r="AT12725" s="19"/>
      <c r="AU12725" s="19"/>
    </row>
    <row r="12726" spans="3:47">
      <c r="C12726" s="20"/>
      <c r="Z12726" s="20"/>
      <c r="AG12726" s="20"/>
      <c r="AQ12726" s="19"/>
      <c r="AR12726" s="19"/>
      <c r="AS12726" s="19"/>
      <c r="AT12726" s="19"/>
      <c r="AU12726" s="19"/>
    </row>
    <row r="12727" spans="3:47">
      <c r="C12727" s="20"/>
      <c r="Z12727" s="20"/>
      <c r="AG12727" s="20"/>
      <c r="AQ12727" s="19"/>
      <c r="AR12727" s="19"/>
      <c r="AS12727" s="19"/>
      <c r="AT12727" s="19"/>
      <c r="AU12727" s="19"/>
    </row>
    <row r="12728" spans="3:47">
      <c r="C12728" s="20"/>
      <c r="Z12728" s="20"/>
      <c r="AG12728" s="20"/>
      <c r="AQ12728" s="19"/>
      <c r="AR12728" s="19"/>
      <c r="AS12728" s="19"/>
      <c r="AT12728" s="19"/>
      <c r="AU12728" s="19"/>
    </row>
    <row r="12729" spans="3:47">
      <c r="C12729" s="20"/>
      <c r="Z12729" s="20"/>
      <c r="AG12729" s="20"/>
      <c r="AQ12729" s="19"/>
      <c r="AR12729" s="19"/>
      <c r="AS12729" s="19"/>
      <c r="AT12729" s="19"/>
      <c r="AU12729" s="19"/>
    </row>
    <row r="12730" spans="3:47">
      <c r="C12730" s="20"/>
      <c r="Z12730" s="20"/>
      <c r="AG12730" s="20"/>
      <c r="AQ12730" s="19"/>
      <c r="AR12730" s="19"/>
      <c r="AS12730" s="19"/>
      <c r="AT12730" s="19"/>
      <c r="AU12730" s="19"/>
    </row>
    <row r="12731" spans="3:47">
      <c r="C12731" s="20"/>
      <c r="Z12731" s="20"/>
      <c r="AG12731" s="20"/>
      <c r="AQ12731" s="19"/>
      <c r="AR12731" s="19"/>
      <c r="AS12731" s="19"/>
      <c r="AT12731" s="19"/>
      <c r="AU12731" s="19"/>
    </row>
    <row r="12732" spans="3:47">
      <c r="C12732" s="20"/>
      <c r="Z12732" s="20"/>
      <c r="AG12732" s="20"/>
      <c r="AQ12732" s="19"/>
      <c r="AR12732" s="19"/>
      <c r="AS12732" s="19"/>
      <c r="AT12732" s="19"/>
      <c r="AU12732" s="19"/>
    </row>
    <row r="12733" spans="3:47">
      <c r="C12733" s="20"/>
      <c r="Z12733" s="20"/>
      <c r="AG12733" s="20"/>
      <c r="AQ12733" s="19"/>
      <c r="AR12733" s="19"/>
      <c r="AS12733" s="19"/>
      <c r="AT12733" s="19"/>
      <c r="AU12733" s="19"/>
    </row>
    <row r="12734" spans="3:47">
      <c r="C12734" s="20"/>
      <c r="Z12734" s="20"/>
      <c r="AG12734" s="20"/>
      <c r="AQ12734" s="19"/>
      <c r="AR12734" s="19"/>
      <c r="AS12734" s="19"/>
      <c r="AT12734" s="19"/>
      <c r="AU12734" s="19"/>
    </row>
    <row r="12735" spans="3:47">
      <c r="C12735" s="20"/>
      <c r="Z12735" s="20"/>
      <c r="AG12735" s="20"/>
      <c r="AQ12735" s="19"/>
      <c r="AR12735" s="19"/>
      <c r="AS12735" s="19"/>
      <c r="AT12735" s="19"/>
      <c r="AU12735" s="19"/>
    </row>
    <row r="12736" spans="3:47">
      <c r="C12736" s="20"/>
      <c r="Z12736" s="20"/>
      <c r="AG12736" s="20"/>
      <c r="AQ12736" s="19"/>
      <c r="AR12736" s="19"/>
      <c r="AS12736" s="19"/>
      <c r="AT12736" s="19"/>
      <c r="AU12736" s="19"/>
    </row>
    <row r="12737" spans="3:47">
      <c r="C12737" s="20"/>
      <c r="Z12737" s="20"/>
      <c r="AG12737" s="20"/>
      <c r="AQ12737" s="19"/>
      <c r="AR12737" s="19"/>
      <c r="AS12737" s="19"/>
      <c r="AT12737" s="19"/>
      <c r="AU12737" s="19"/>
    </row>
    <row r="12738" spans="3:47">
      <c r="C12738" s="20"/>
      <c r="Z12738" s="20"/>
      <c r="AG12738" s="20"/>
      <c r="AQ12738" s="19"/>
      <c r="AR12738" s="19"/>
      <c r="AS12738" s="19"/>
      <c r="AT12738" s="19"/>
      <c r="AU12738" s="19"/>
    </row>
    <row r="12739" spans="3:47">
      <c r="C12739" s="20"/>
      <c r="Z12739" s="20"/>
      <c r="AG12739" s="20"/>
      <c r="AQ12739" s="19"/>
      <c r="AR12739" s="19"/>
      <c r="AS12739" s="19"/>
      <c r="AT12739" s="19"/>
      <c r="AU12739" s="19"/>
    </row>
    <row r="12740" spans="3:47">
      <c r="C12740" s="20"/>
      <c r="Z12740" s="20"/>
      <c r="AG12740" s="20"/>
      <c r="AQ12740" s="19"/>
      <c r="AR12740" s="19"/>
      <c r="AS12740" s="19"/>
      <c r="AT12740" s="19"/>
      <c r="AU12740" s="19"/>
    </row>
    <row r="12741" spans="3:47">
      <c r="C12741" s="20"/>
      <c r="Z12741" s="20"/>
      <c r="AG12741" s="20"/>
      <c r="AQ12741" s="19"/>
      <c r="AR12741" s="19"/>
      <c r="AS12741" s="19"/>
      <c r="AT12741" s="19"/>
      <c r="AU12741" s="19"/>
    </row>
    <row r="12742" spans="3:47">
      <c r="C12742" s="20"/>
      <c r="Z12742" s="20"/>
      <c r="AG12742" s="20"/>
      <c r="AQ12742" s="19"/>
      <c r="AR12742" s="19"/>
      <c r="AS12742" s="19"/>
      <c r="AT12742" s="19"/>
      <c r="AU12742" s="19"/>
    </row>
    <row r="12743" spans="3:47">
      <c r="C12743" s="20"/>
      <c r="Z12743" s="20"/>
      <c r="AG12743" s="20"/>
      <c r="AQ12743" s="19"/>
      <c r="AR12743" s="19"/>
      <c r="AS12743" s="19"/>
      <c r="AT12743" s="19"/>
      <c r="AU12743" s="19"/>
    </row>
    <row r="12744" spans="3:47">
      <c r="C12744" s="20"/>
      <c r="Z12744" s="20"/>
      <c r="AG12744" s="20"/>
      <c r="AQ12744" s="19"/>
      <c r="AR12744" s="19"/>
      <c r="AS12744" s="19"/>
      <c r="AT12744" s="19"/>
      <c r="AU12744" s="19"/>
    </row>
    <row r="12745" spans="3:47">
      <c r="C12745" s="20"/>
      <c r="Z12745" s="20"/>
      <c r="AG12745" s="20"/>
      <c r="AQ12745" s="19"/>
      <c r="AR12745" s="19"/>
      <c r="AS12745" s="19"/>
      <c r="AT12745" s="19"/>
      <c r="AU12745" s="19"/>
    </row>
    <row r="12746" spans="3:47">
      <c r="C12746" s="20"/>
      <c r="Z12746" s="20"/>
      <c r="AG12746" s="20"/>
      <c r="AQ12746" s="19"/>
      <c r="AR12746" s="19"/>
      <c r="AS12746" s="19"/>
      <c r="AT12746" s="19"/>
      <c r="AU12746" s="19"/>
    </row>
    <row r="12747" spans="3:47">
      <c r="C12747" s="20"/>
      <c r="Z12747" s="20"/>
      <c r="AG12747" s="20"/>
      <c r="AQ12747" s="19"/>
      <c r="AR12747" s="19"/>
      <c r="AS12747" s="19"/>
      <c r="AT12747" s="19"/>
      <c r="AU12747" s="19"/>
    </row>
    <row r="12748" spans="3:47">
      <c r="C12748" s="20"/>
      <c r="Z12748" s="20"/>
      <c r="AG12748" s="20"/>
      <c r="AQ12748" s="19"/>
      <c r="AR12748" s="19"/>
      <c r="AS12748" s="19"/>
      <c r="AT12748" s="19"/>
      <c r="AU12748" s="19"/>
    </row>
    <row r="12749" spans="3:47">
      <c r="C12749" s="20"/>
      <c r="Z12749" s="20"/>
      <c r="AG12749" s="20"/>
      <c r="AQ12749" s="19"/>
      <c r="AR12749" s="19"/>
      <c r="AS12749" s="19"/>
      <c r="AT12749" s="19"/>
      <c r="AU12749" s="19"/>
    </row>
    <row r="12750" spans="3:47">
      <c r="C12750" s="20"/>
      <c r="Z12750" s="20"/>
      <c r="AG12750" s="20"/>
      <c r="AQ12750" s="19"/>
      <c r="AR12750" s="19"/>
      <c r="AS12750" s="19"/>
      <c r="AT12750" s="19"/>
      <c r="AU12750" s="19"/>
    </row>
    <row r="12751" spans="3:47">
      <c r="C12751" s="20"/>
      <c r="Z12751" s="20"/>
      <c r="AG12751" s="20"/>
      <c r="AQ12751" s="19"/>
      <c r="AR12751" s="19"/>
      <c r="AS12751" s="19"/>
      <c r="AT12751" s="19"/>
      <c r="AU12751" s="19"/>
    </row>
    <row r="12752" spans="3:47">
      <c r="C12752" s="20"/>
      <c r="Z12752" s="20"/>
      <c r="AG12752" s="20"/>
      <c r="AQ12752" s="19"/>
      <c r="AR12752" s="19"/>
      <c r="AS12752" s="19"/>
      <c r="AT12752" s="19"/>
      <c r="AU12752" s="19"/>
    </row>
    <row r="12753" spans="3:47">
      <c r="C12753" s="20"/>
      <c r="Z12753" s="20"/>
      <c r="AG12753" s="20"/>
      <c r="AQ12753" s="19"/>
      <c r="AR12753" s="19"/>
      <c r="AS12753" s="19"/>
      <c r="AT12753" s="19"/>
      <c r="AU12753" s="19"/>
    </row>
    <row r="12754" spans="3:47">
      <c r="C12754" s="20"/>
      <c r="Z12754" s="20"/>
      <c r="AG12754" s="20"/>
      <c r="AQ12754" s="19"/>
      <c r="AR12754" s="19"/>
      <c r="AS12754" s="19"/>
      <c r="AT12754" s="19"/>
      <c r="AU12754" s="19"/>
    </row>
    <row r="12755" spans="3:47">
      <c r="C12755" s="20"/>
      <c r="Z12755" s="20"/>
      <c r="AG12755" s="20"/>
      <c r="AQ12755" s="19"/>
      <c r="AR12755" s="19"/>
      <c r="AS12755" s="19"/>
      <c r="AT12755" s="19"/>
      <c r="AU12755" s="19"/>
    </row>
    <row r="12756" spans="3:47">
      <c r="C12756" s="20"/>
      <c r="Z12756" s="20"/>
      <c r="AG12756" s="20"/>
      <c r="AQ12756" s="19"/>
      <c r="AR12756" s="19"/>
      <c r="AS12756" s="19"/>
      <c r="AT12756" s="19"/>
      <c r="AU12756" s="19"/>
    </row>
    <row r="12757" spans="3:47">
      <c r="C12757" s="20"/>
      <c r="Z12757" s="20"/>
      <c r="AG12757" s="20"/>
      <c r="AQ12757" s="19"/>
      <c r="AR12757" s="19"/>
      <c r="AS12757" s="19"/>
      <c r="AT12757" s="19"/>
      <c r="AU12757" s="19"/>
    </row>
    <row r="12758" spans="3:47">
      <c r="C12758" s="20"/>
      <c r="Z12758" s="20"/>
      <c r="AG12758" s="20"/>
      <c r="AQ12758" s="19"/>
      <c r="AR12758" s="19"/>
      <c r="AS12758" s="19"/>
      <c r="AT12758" s="19"/>
      <c r="AU12758" s="19"/>
    </row>
    <row r="12759" spans="3:47">
      <c r="C12759" s="20"/>
      <c r="Z12759" s="20"/>
      <c r="AG12759" s="20"/>
      <c r="AQ12759" s="19"/>
      <c r="AR12759" s="19"/>
      <c r="AS12759" s="19"/>
      <c r="AT12759" s="19"/>
      <c r="AU12759" s="19"/>
    </row>
    <row r="12760" spans="3:47">
      <c r="C12760" s="20"/>
      <c r="Z12760" s="20"/>
      <c r="AG12760" s="20"/>
      <c r="AQ12760" s="19"/>
      <c r="AR12760" s="19"/>
      <c r="AS12760" s="19"/>
      <c r="AT12760" s="19"/>
      <c r="AU12760" s="19"/>
    </row>
    <row r="12761" spans="3:47">
      <c r="C12761" s="20"/>
      <c r="Z12761" s="20"/>
      <c r="AG12761" s="20"/>
      <c r="AQ12761" s="19"/>
      <c r="AR12761" s="19"/>
      <c r="AS12761" s="19"/>
      <c r="AT12761" s="19"/>
      <c r="AU12761" s="19"/>
    </row>
    <row r="12762" spans="3:47">
      <c r="C12762" s="20"/>
      <c r="Z12762" s="20"/>
      <c r="AG12762" s="20"/>
      <c r="AQ12762" s="19"/>
      <c r="AR12762" s="19"/>
      <c r="AS12762" s="19"/>
      <c r="AT12762" s="19"/>
      <c r="AU12762" s="19"/>
    </row>
    <row r="12763" spans="3:47">
      <c r="C12763" s="20"/>
      <c r="Z12763" s="20"/>
      <c r="AG12763" s="20"/>
      <c r="AQ12763" s="19"/>
      <c r="AR12763" s="19"/>
      <c r="AS12763" s="19"/>
      <c r="AT12763" s="19"/>
      <c r="AU12763" s="19"/>
    </row>
    <row r="12764" spans="3:47">
      <c r="C12764" s="20"/>
      <c r="Z12764" s="20"/>
      <c r="AG12764" s="20"/>
      <c r="AQ12764" s="19"/>
      <c r="AR12764" s="19"/>
      <c r="AS12764" s="19"/>
      <c r="AT12764" s="19"/>
      <c r="AU12764" s="19"/>
    </row>
    <row r="12765" spans="3:47">
      <c r="C12765" s="20"/>
      <c r="Z12765" s="20"/>
      <c r="AG12765" s="20"/>
      <c r="AQ12765" s="19"/>
      <c r="AR12765" s="19"/>
      <c r="AS12765" s="19"/>
      <c r="AT12765" s="19"/>
      <c r="AU12765" s="19"/>
    </row>
    <row r="12766" spans="3:47">
      <c r="C12766" s="20"/>
      <c r="Z12766" s="20"/>
      <c r="AG12766" s="20"/>
      <c r="AQ12766" s="19"/>
      <c r="AR12766" s="19"/>
      <c r="AS12766" s="19"/>
      <c r="AT12766" s="19"/>
      <c r="AU12766" s="19"/>
    </row>
    <row r="12767" spans="3:47">
      <c r="C12767" s="20"/>
      <c r="Z12767" s="20"/>
      <c r="AG12767" s="20"/>
      <c r="AQ12767" s="19"/>
      <c r="AR12767" s="19"/>
      <c r="AS12767" s="19"/>
      <c r="AT12767" s="19"/>
      <c r="AU12767" s="19"/>
    </row>
    <row r="12768" spans="3:47">
      <c r="C12768" s="20"/>
      <c r="Z12768" s="20"/>
      <c r="AG12768" s="20"/>
      <c r="AQ12768" s="19"/>
      <c r="AR12768" s="19"/>
      <c r="AS12768" s="19"/>
      <c r="AT12768" s="19"/>
      <c r="AU12768" s="19"/>
    </row>
    <row r="12769" spans="3:47">
      <c r="C12769" s="20"/>
      <c r="Z12769" s="20"/>
      <c r="AG12769" s="20"/>
      <c r="AQ12769" s="19"/>
      <c r="AR12769" s="19"/>
      <c r="AS12769" s="19"/>
      <c r="AT12769" s="19"/>
      <c r="AU12769" s="19"/>
    </row>
    <row r="12770" spans="3:47">
      <c r="C12770" s="20"/>
      <c r="Z12770" s="20"/>
      <c r="AG12770" s="20"/>
      <c r="AQ12770" s="19"/>
      <c r="AR12770" s="19"/>
      <c r="AS12770" s="19"/>
      <c r="AT12770" s="19"/>
      <c r="AU12770" s="19"/>
    </row>
    <row r="12771" spans="3:47">
      <c r="C12771" s="20"/>
      <c r="Z12771" s="20"/>
      <c r="AG12771" s="20"/>
      <c r="AQ12771" s="19"/>
      <c r="AR12771" s="19"/>
      <c r="AS12771" s="19"/>
      <c r="AT12771" s="19"/>
      <c r="AU12771" s="19"/>
    </row>
    <row r="12772" spans="3:47">
      <c r="C12772" s="20"/>
      <c r="Z12772" s="20"/>
      <c r="AG12772" s="20"/>
      <c r="AQ12772" s="19"/>
      <c r="AR12772" s="19"/>
      <c r="AS12772" s="19"/>
      <c r="AT12772" s="19"/>
      <c r="AU12772" s="19"/>
    </row>
    <row r="12773" spans="3:47">
      <c r="C12773" s="20"/>
      <c r="Z12773" s="20"/>
      <c r="AG12773" s="20"/>
      <c r="AQ12773" s="19"/>
      <c r="AR12773" s="19"/>
      <c r="AS12773" s="19"/>
      <c r="AT12773" s="19"/>
      <c r="AU12773" s="19"/>
    </row>
    <row r="12774" spans="3:47">
      <c r="C12774" s="20"/>
      <c r="Z12774" s="20"/>
      <c r="AG12774" s="20"/>
      <c r="AQ12774" s="19"/>
      <c r="AR12774" s="19"/>
      <c r="AS12774" s="19"/>
      <c r="AT12774" s="19"/>
      <c r="AU12774" s="19"/>
    </row>
    <row r="12775" spans="3:47">
      <c r="C12775" s="20"/>
      <c r="Z12775" s="20"/>
      <c r="AG12775" s="20"/>
      <c r="AQ12775" s="19"/>
      <c r="AR12775" s="19"/>
      <c r="AS12775" s="19"/>
      <c r="AT12775" s="19"/>
      <c r="AU12775" s="19"/>
    </row>
    <row r="12776" spans="3:47">
      <c r="C12776" s="20"/>
      <c r="Z12776" s="20"/>
      <c r="AG12776" s="20"/>
      <c r="AQ12776" s="19"/>
      <c r="AR12776" s="19"/>
      <c r="AS12776" s="19"/>
      <c r="AT12776" s="19"/>
      <c r="AU12776" s="19"/>
    </row>
    <row r="12777" spans="3:47">
      <c r="C12777" s="20"/>
      <c r="Z12777" s="20"/>
      <c r="AG12777" s="20"/>
      <c r="AQ12777" s="19"/>
      <c r="AR12777" s="19"/>
      <c r="AS12777" s="19"/>
      <c r="AT12777" s="19"/>
      <c r="AU12777" s="19"/>
    </row>
    <row r="12778" spans="3:47">
      <c r="C12778" s="20"/>
      <c r="Z12778" s="20"/>
      <c r="AG12778" s="20"/>
      <c r="AQ12778" s="19"/>
      <c r="AR12778" s="19"/>
      <c r="AS12778" s="19"/>
      <c r="AT12778" s="19"/>
      <c r="AU12778" s="19"/>
    </row>
    <row r="12779" spans="3:47">
      <c r="C12779" s="20"/>
      <c r="Z12779" s="20"/>
      <c r="AG12779" s="20"/>
      <c r="AQ12779" s="19"/>
      <c r="AR12779" s="19"/>
      <c r="AS12779" s="19"/>
      <c r="AT12779" s="19"/>
      <c r="AU12779" s="19"/>
    </row>
    <row r="12780" spans="3:47">
      <c r="C12780" s="20"/>
      <c r="Z12780" s="20"/>
      <c r="AG12780" s="20"/>
      <c r="AQ12780" s="19"/>
      <c r="AR12780" s="19"/>
      <c r="AS12780" s="19"/>
      <c r="AT12780" s="19"/>
      <c r="AU12780" s="19"/>
    </row>
    <row r="12781" spans="3:47">
      <c r="C12781" s="20"/>
      <c r="Z12781" s="20"/>
      <c r="AG12781" s="20"/>
      <c r="AQ12781" s="19"/>
      <c r="AR12781" s="19"/>
      <c r="AS12781" s="19"/>
      <c r="AT12781" s="19"/>
      <c r="AU12781" s="19"/>
    </row>
    <row r="12782" spans="3:47">
      <c r="C12782" s="20"/>
      <c r="Z12782" s="20"/>
      <c r="AG12782" s="20"/>
      <c r="AQ12782" s="19"/>
      <c r="AR12782" s="19"/>
      <c r="AS12782" s="19"/>
      <c r="AT12782" s="19"/>
      <c r="AU12782" s="19"/>
    </row>
    <row r="12783" spans="3:47">
      <c r="C12783" s="20"/>
      <c r="Z12783" s="20"/>
      <c r="AG12783" s="20"/>
      <c r="AQ12783" s="19"/>
      <c r="AR12783" s="19"/>
      <c r="AS12783" s="19"/>
      <c r="AT12783" s="19"/>
      <c r="AU12783" s="19"/>
    </row>
    <row r="12784" spans="3:47">
      <c r="C12784" s="20"/>
      <c r="Z12784" s="20"/>
      <c r="AG12784" s="20"/>
      <c r="AQ12784" s="19"/>
      <c r="AR12784" s="19"/>
      <c r="AS12784" s="19"/>
      <c r="AT12784" s="19"/>
      <c r="AU12784" s="19"/>
    </row>
    <row r="12785" spans="3:47">
      <c r="C12785" s="20"/>
      <c r="Z12785" s="20"/>
      <c r="AG12785" s="20"/>
      <c r="AQ12785" s="19"/>
      <c r="AR12785" s="19"/>
      <c r="AS12785" s="19"/>
      <c r="AT12785" s="19"/>
      <c r="AU12785" s="19"/>
    </row>
    <row r="12786" spans="3:47">
      <c r="C12786" s="20"/>
      <c r="Z12786" s="20"/>
      <c r="AG12786" s="20"/>
      <c r="AQ12786" s="19"/>
      <c r="AR12786" s="19"/>
      <c r="AS12786" s="19"/>
      <c r="AT12786" s="19"/>
      <c r="AU12786" s="19"/>
    </row>
    <row r="12787" spans="3:47">
      <c r="C12787" s="20"/>
      <c r="Z12787" s="20"/>
      <c r="AG12787" s="20"/>
      <c r="AQ12787" s="19"/>
      <c r="AR12787" s="19"/>
      <c r="AS12787" s="19"/>
      <c r="AT12787" s="19"/>
      <c r="AU12787" s="19"/>
    </row>
    <row r="12788" spans="3:47">
      <c r="C12788" s="20"/>
      <c r="Z12788" s="20"/>
      <c r="AG12788" s="20"/>
      <c r="AQ12788" s="19"/>
      <c r="AR12788" s="19"/>
      <c r="AS12788" s="19"/>
      <c r="AT12788" s="19"/>
      <c r="AU12788" s="19"/>
    </row>
    <row r="12789" spans="3:47">
      <c r="C12789" s="20"/>
      <c r="Z12789" s="20"/>
      <c r="AG12789" s="20"/>
      <c r="AQ12789" s="19"/>
      <c r="AR12789" s="19"/>
      <c r="AS12789" s="19"/>
      <c r="AT12789" s="19"/>
      <c r="AU12789" s="19"/>
    </row>
    <row r="12790" spans="3:47">
      <c r="C12790" s="20"/>
      <c r="Z12790" s="20"/>
      <c r="AG12790" s="20"/>
      <c r="AQ12790" s="19"/>
      <c r="AR12790" s="19"/>
      <c r="AS12790" s="19"/>
      <c r="AT12790" s="19"/>
      <c r="AU12790" s="19"/>
    </row>
    <row r="12791" spans="3:47">
      <c r="C12791" s="20"/>
      <c r="Z12791" s="20"/>
      <c r="AG12791" s="20"/>
      <c r="AQ12791" s="19"/>
      <c r="AR12791" s="19"/>
      <c r="AS12791" s="19"/>
      <c r="AT12791" s="19"/>
      <c r="AU12791" s="19"/>
    </row>
    <row r="12792" spans="3:47">
      <c r="C12792" s="20"/>
      <c r="Z12792" s="20"/>
      <c r="AG12792" s="20"/>
      <c r="AQ12792" s="19"/>
      <c r="AR12792" s="19"/>
      <c r="AS12792" s="19"/>
      <c r="AT12792" s="19"/>
      <c r="AU12792" s="19"/>
    </row>
    <row r="12793" spans="3:47">
      <c r="C12793" s="20"/>
      <c r="Z12793" s="20"/>
      <c r="AG12793" s="20"/>
      <c r="AQ12793" s="19"/>
      <c r="AR12793" s="19"/>
      <c r="AS12793" s="19"/>
      <c r="AT12793" s="19"/>
      <c r="AU12793" s="19"/>
    </row>
    <row r="12794" spans="3:47">
      <c r="C12794" s="20"/>
      <c r="Z12794" s="20"/>
      <c r="AG12794" s="20"/>
      <c r="AQ12794" s="19"/>
      <c r="AR12794" s="19"/>
      <c r="AS12794" s="19"/>
      <c r="AT12794" s="19"/>
      <c r="AU12794" s="19"/>
    </row>
    <row r="12795" spans="3:47">
      <c r="C12795" s="20"/>
      <c r="Z12795" s="20"/>
      <c r="AG12795" s="20"/>
      <c r="AQ12795" s="19"/>
      <c r="AR12795" s="19"/>
      <c r="AS12795" s="19"/>
      <c r="AT12795" s="19"/>
      <c r="AU12795" s="19"/>
    </row>
    <row r="12796" spans="3:47">
      <c r="C12796" s="20"/>
      <c r="Z12796" s="20"/>
      <c r="AG12796" s="20"/>
      <c r="AQ12796" s="19"/>
      <c r="AR12796" s="19"/>
      <c r="AS12796" s="19"/>
      <c r="AT12796" s="19"/>
      <c r="AU12796" s="19"/>
    </row>
    <row r="12797" spans="3:47">
      <c r="C12797" s="20"/>
      <c r="Z12797" s="20"/>
      <c r="AG12797" s="20"/>
      <c r="AQ12797" s="19"/>
      <c r="AR12797" s="19"/>
      <c r="AS12797" s="19"/>
      <c r="AT12797" s="19"/>
      <c r="AU12797" s="19"/>
    </row>
    <row r="12798" spans="3:47">
      <c r="C12798" s="20"/>
      <c r="Z12798" s="20"/>
      <c r="AG12798" s="20"/>
      <c r="AQ12798" s="19"/>
      <c r="AR12798" s="19"/>
      <c r="AS12798" s="19"/>
      <c r="AT12798" s="19"/>
      <c r="AU12798" s="19"/>
    </row>
    <row r="12799" spans="3:47">
      <c r="C12799" s="20"/>
      <c r="Z12799" s="20"/>
      <c r="AG12799" s="20"/>
      <c r="AQ12799" s="19"/>
      <c r="AR12799" s="19"/>
      <c r="AS12799" s="19"/>
      <c r="AT12799" s="19"/>
      <c r="AU12799" s="19"/>
    </row>
    <row r="12800" spans="3:47">
      <c r="C12800" s="20"/>
      <c r="Z12800" s="20"/>
      <c r="AG12800" s="20"/>
      <c r="AQ12800" s="19"/>
      <c r="AR12800" s="19"/>
      <c r="AS12800" s="19"/>
      <c r="AT12800" s="19"/>
      <c r="AU12800" s="19"/>
    </row>
    <row r="12801" spans="3:47">
      <c r="C12801" s="20"/>
      <c r="Z12801" s="20"/>
      <c r="AG12801" s="20"/>
      <c r="AQ12801" s="19"/>
      <c r="AR12801" s="19"/>
      <c r="AS12801" s="19"/>
      <c r="AT12801" s="19"/>
      <c r="AU12801" s="19"/>
    </row>
    <row r="12802" spans="3:47">
      <c r="C12802" s="20"/>
      <c r="Z12802" s="20"/>
      <c r="AG12802" s="20"/>
      <c r="AQ12802" s="19"/>
      <c r="AR12802" s="19"/>
      <c r="AS12802" s="19"/>
      <c r="AT12802" s="19"/>
      <c r="AU12802" s="19"/>
    </row>
    <row r="12803" spans="3:47">
      <c r="C12803" s="20"/>
      <c r="Z12803" s="20"/>
      <c r="AG12803" s="20"/>
      <c r="AQ12803" s="19"/>
      <c r="AR12803" s="19"/>
      <c r="AS12803" s="19"/>
      <c r="AT12803" s="19"/>
      <c r="AU12803" s="19"/>
    </row>
    <row r="12804" spans="3:47">
      <c r="C12804" s="20"/>
      <c r="Z12804" s="20"/>
      <c r="AG12804" s="20"/>
      <c r="AQ12804" s="19"/>
      <c r="AR12804" s="19"/>
      <c r="AS12804" s="19"/>
      <c r="AT12804" s="19"/>
      <c r="AU12804" s="19"/>
    </row>
    <row r="12805" spans="3:47">
      <c r="C12805" s="20"/>
      <c r="Z12805" s="20"/>
      <c r="AG12805" s="20"/>
      <c r="AQ12805" s="19"/>
      <c r="AR12805" s="19"/>
      <c r="AS12805" s="19"/>
      <c r="AT12805" s="19"/>
      <c r="AU12805" s="19"/>
    </row>
    <row r="12806" spans="3:47">
      <c r="C12806" s="20"/>
      <c r="Z12806" s="20"/>
      <c r="AG12806" s="20"/>
      <c r="AQ12806" s="19"/>
      <c r="AR12806" s="19"/>
      <c r="AS12806" s="19"/>
      <c r="AT12806" s="19"/>
      <c r="AU12806" s="19"/>
    </row>
    <row r="12807" spans="3:47">
      <c r="C12807" s="20"/>
      <c r="Z12807" s="20"/>
      <c r="AG12807" s="20"/>
      <c r="AQ12807" s="19"/>
      <c r="AR12807" s="19"/>
      <c r="AS12807" s="19"/>
      <c r="AT12807" s="19"/>
      <c r="AU12807" s="19"/>
    </row>
    <row r="12808" spans="3:47">
      <c r="C12808" s="20"/>
      <c r="Z12808" s="20"/>
      <c r="AG12808" s="20"/>
      <c r="AQ12808" s="19"/>
      <c r="AR12808" s="19"/>
      <c r="AS12808" s="19"/>
      <c r="AT12808" s="19"/>
      <c r="AU12808" s="19"/>
    </row>
    <row r="12809" spans="3:47">
      <c r="C12809" s="20"/>
      <c r="Z12809" s="20"/>
      <c r="AG12809" s="20"/>
      <c r="AQ12809" s="19"/>
      <c r="AR12809" s="19"/>
      <c r="AS12809" s="19"/>
      <c r="AT12809" s="19"/>
      <c r="AU12809" s="19"/>
    </row>
    <row r="12810" spans="3:47">
      <c r="C12810" s="20"/>
      <c r="Z12810" s="20"/>
      <c r="AG12810" s="20"/>
      <c r="AQ12810" s="19"/>
      <c r="AR12810" s="19"/>
      <c r="AS12810" s="19"/>
      <c r="AT12810" s="19"/>
      <c r="AU12810" s="19"/>
    </row>
    <row r="12811" spans="3:47">
      <c r="C12811" s="20"/>
      <c r="Z12811" s="20"/>
      <c r="AG12811" s="20"/>
      <c r="AQ12811" s="19"/>
      <c r="AR12811" s="19"/>
      <c r="AS12811" s="19"/>
      <c r="AT12811" s="19"/>
      <c r="AU12811" s="19"/>
    </row>
    <row r="12812" spans="3:47">
      <c r="C12812" s="20"/>
      <c r="Z12812" s="20"/>
      <c r="AG12812" s="20"/>
      <c r="AQ12812" s="19"/>
      <c r="AR12812" s="19"/>
      <c r="AS12812" s="19"/>
      <c r="AT12812" s="19"/>
      <c r="AU12812" s="19"/>
    </row>
    <row r="12813" spans="3:47">
      <c r="C12813" s="20"/>
      <c r="Z12813" s="20"/>
      <c r="AG12813" s="20"/>
      <c r="AQ12813" s="19"/>
      <c r="AR12813" s="19"/>
      <c r="AS12813" s="19"/>
      <c r="AT12813" s="19"/>
      <c r="AU12813" s="19"/>
    </row>
    <row r="12814" spans="3:47">
      <c r="C12814" s="20"/>
      <c r="Z12814" s="20"/>
      <c r="AG12814" s="20"/>
      <c r="AQ12814" s="19"/>
      <c r="AR12814" s="19"/>
      <c r="AS12814" s="19"/>
      <c r="AT12814" s="19"/>
      <c r="AU12814" s="19"/>
    </row>
    <row r="12815" spans="3:47">
      <c r="C12815" s="20"/>
      <c r="Z12815" s="20"/>
      <c r="AG12815" s="20"/>
      <c r="AQ12815" s="19"/>
      <c r="AR12815" s="19"/>
      <c r="AS12815" s="19"/>
      <c r="AT12815" s="19"/>
      <c r="AU12815" s="19"/>
    </row>
    <row r="12816" spans="3:47">
      <c r="C12816" s="20"/>
      <c r="Z12816" s="20"/>
      <c r="AG12816" s="20"/>
      <c r="AQ12816" s="19"/>
      <c r="AR12816" s="19"/>
      <c r="AS12816" s="19"/>
      <c r="AT12816" s="19"/>
      <c r="AU12816" s="19"/>
    </row>
    <row r="12817" spans="3:47">
      <c r="C12817" s="20"/>
      <c r="Z12817" s="20"/>
      <c r="AG12817" s="20"/>
      <c r="AQ12817" s="19"/>
      <c r="AR12817" s="19"/>
      <c r="AS12817" s="19"/>
      <c r="AT12817" s="19"/>
      <c r="AU12817" s="19"/>
    </row>
    <row r="12818" spans="3:47">
      <c r="C12818" s="20"/>
      <c r="Z12818" s="20"/>
      <c r="AG12818" s="20"/>
      <c r="AQ12818" s="19"/>
      <c r="AR12818" s="19"/>
      <c r="AS12818" s="19"/>
      <c r="AT12818" s="19"/>
      <c r="AU12818" s="19"/>
    </row>
    <row r="12819" spans="3:47">
      <c r="C12819" s="20"/>
      <c r="Z12819" s="20"/>
      <c r="AG12819" s="20"/>
      <c r="AQ12819" s="19"/>
      <c r="AR12819" s="19"/>
      <c r="AS12819" s="19"/>
      <c r="AT12819" s="19"/>
      <c r="AU12819" s="19"/>
    </row>
    <row r="12820" spans="3:47">
      <c r="C12820" s="20"/>
      <c r="Z12820" s="20"/>
      <c r="AG12820" s="20"/>
      <c r="AQ12820" s="19"/>
      <c r="AR12820" s="19"/>
      <c r="AS12820" s="19"/>
      <c r="AT12820" s="19"/>
      <c r="AU12820" s="19"/>
    </row>
    <row r="12821" spans="3:47">
      <c r="C12821" s="20"/>
      <c r="Z12821" s="20"/>
      <c r="AG12821" s="20"/>
      <c r="AQ12821" s="19"/>
      <c r="AR12821" s="19"/>
      <c r="AS12821" s="19"/>
      <c r="AT12821" s="19"/>
      <c r="AU12821" s="19"/>
    </row>
    <row r="12822" spans="3:47">
      <c r="C12822" s="20"/>
      <c r="Z12822" s="20"/>
      <c r="AG12822" s="20"/>
      <c r="AQ12822" s="19"/>
      <c r="AR12822" s="19"/>
      <c r="AS12822" s="19"/>
      <c r="AT12822" s="19"/>
      <c r="AU12822" s="19"/>
    </row>
    <row r="12823" spans="3:47">
      <c r="C12823" s="20"/>
      <c r="Z12823" s="20"/>
      <c r="AG12823" s="20"/>
      <c r="AQ12823" s="19"/>
      <c r="AR12823" s="19"/>
      <c r="AS12823" s="19"/>
      <c r="AT12823" s="19"/>
      <c r="AU12823" s="19"/>
    </row>
    <row r="12824" spans="3:47">
      <c r="C12824" s="20"/>
      <c r="Z12824" s="20"/>
      <c r="AG12824" s="20"/>
      <c r="AQ12824" s="19"/>
      <c r="AR12824" s="19"/>
      <c r="AS12824" s="19"/>
      <c r="AT12824" s="19"/>
      <c r="AU12824" s="19"/>
    </row>
    <row r="12825" spans="3:47">
      <c r="C12825" s="20"/>
      <c r="Z12825" s="20"/>
      <c r="AG12825" s="20"/>
      <c r="AQ12825" s="19"/>
      <c r="AR12825" s="19"/>
      <c r="AS12825" s="19"/>
      <c r="AT12825" s="19"/>
      <c r="AU12825" s="19"/>
    </row>
    <row r="12826" spans="3:47">
      <c r="C12826" s="20"/>
      <c r="Z12826" s="20"/>
      <c r="AG12826" s="20"/>
      <c r="AQ12826" s="19"/>
      <c r="AR12826" s="19"/>
      <c r="AS12826" s="19"/>
      <c r="AT12826" s="19"/>
      <c r="AU12826" s="19"/>
    </row>
    <row r="12827" spans="3:47">
      <c r="C12827" s="20"/>
      <c r="Z12827" s="20"/>
      <c r="AG12827" s="20"/>
      <c r="AQ12827" s="19"/>
      <c r="AR12827" s="19"/>
      <c r="AS12827" s="19"/>
      <c r="AT12827" s="19"/>
      <c r="AU12827" s="19"/>
    </row>
    <row r="12828" spans="3:47">
      <c r="C12828" s="20"/>
      <c r="Z12828" s="20"/>
      <c r="AG12828" s="20"/>
      <c r="AQ12828" s="19"/>
      <c r="AR12828" s="19"/>
      <c r="AS12828" s="19"/>
      <c r="AT12828" s="19"/>
      <c r="AU12828" s="19"/>
    </row>
    <row r="12829" spans="3:47">
      <c r="C12829" s="20"/>
      <c r="Z12829" s="20"/>
      <c r="AG12829" s="20"/>
      <c r="AQ12829" s="19"/>
      <c r="AR12829" s="19"/>
      <c r="AS12829" s="19"/>
      <c r="AT12829" s="19"/>
      <c r="AU12829" s="19"/>
    </row>
    <row r="12830" spans="3:47">
      <c r="C12830" s="20"/>
      <c r="Z12830" s="20"/>
      <c r="AG12830" s="20"/>
      <c r="AQ12830" s="19"/>
      <c r="AR12830" s="19"/>
      <c r="AS12830" s="19"/>
      <c r="AT12830" s="19"/>
      <c r="AU12830" s="19"/>
    </row>
    <row r="12831" spans="3:47">
      <c r="C12831" s="20"/>
      <c r="Z12831" s="20"/>
      <c r="AG12831" s="20"/>
      <c r="AQ12831" s="19"/>
      <c r="AR12831" s="19"/>
      <c r="AS12831" s="19"/>
      <c r="AT12831" s="19"/>
      <c r="AU12831" s="19"/>
    </row>
    <row r="12832" spans="3:47">
      <c r="C12832" s="20"/>
      <c r="Z12832" s="20"/>
      <c r="AG12832" s="20"/>
      <c r="AQ12832" s="19"/>
      <c r="AR12832" s="19"/>
      <c r="AS12832" s="19"/>
      <c r="AT12832" s="19"/>
      <c r="AU12832" s="19"/>
    </row>
    <row r="12833" spans="3:47">
      <c r="C12833" s="20"/>
      <c r="Z12833" s="20"/>
      <c r="AG12833" s="20"/>
      <c r="AQ12833" s="19"/>
      <c r="AR12833" s="19"/>
      <c r="AS12833" s="19"/>
      <c r="AT12833" s="19"/>
      <c r="AU12833" s="19"/>
    </row>
    <row r="12834" spans="3:47">
      <c r="C12834" s="20"/>
      <c r="Z12834" s="20"/>
      <c r="AG12834" s="20"/>
      <c r="AQ12834" s="19"/>
      <c r="AR12834" s="19"/>
      <c r="AS12834" s="19"/>
      <c r="AT12834" s="19"/>
      <c r="AU12834" s="19"/>
    </row>
    <row r="12835" spans="3:47">
      <c r="C12835" s="20"/>
      <c r="Z12835" s="20"/>
      <c r="AG12835" s="20"/>
      <c r="AQ12835" s="19"/>
      <c r="AR12835" s="19"/>
      <c r="AS12835" s="19"/>
      <c r="AT12835" s="19"/>
      <c r="AU12835" s="19"/>
    </row>
    <row r="12836" spans="3:47">
      <c r="C12836" s="20"/>
      <c r="Z12836" s="20"/>
      <c r="AG12836" s="20"/>
      <c r="AQ12836" s="19"/>
      <c r="AR12836" s="19"/>
      <c r="AS12836" s="19"/>
      <c r="AT12836" s="19"/>
      <c r="AU12836" s="19"/>
    </row>
    <row r="12837" spans="3:47">
      <c r="C12837" s="20"/>
      <c r="Z12837" s="20"/>
      <c r="AG12837" s="20"/>
      <c r="AQ12837" s="19"/>
      <c r="AR12837" s="19"/>
      <c r="AS12837" s="19"/>
      <c r="AT12837" s="19"/>
      <c r="AU12837" s="19"/>
    </row>
    <row r="12838" spans="3:47">
      <c r="C12838" s="20"/>
      <c r="Z12838" s="20"/>
      <c r="AG12838" s="20"/>
      <c r="AQ12838" s="19"/>
      <c r="AR12838" s="19"/>
      <c r="AS12838" s="19"/>
      <c r="AT12838" s="19"/>
      <c r="AU12838" s="19"/>
    </row>
    <row r="12839" spans="3:47">
      <c r="C12839" s="20"/>
      <c r="Z12839" s="20"/>
      <c r="AG12839" s="20"/>
      <c r="AQ12839" s="19"/>
      <c r="AR12839" s="19"/>
      <c r="AS12839" s="19"/>
      <c r="AT12839" s="19"/>
      <c r="AU12839" s="19"/>
    </row>
    <row r="12840" spans="3:47">
      <c r="C12840" s="20"/>
      <c r="Z12840" s="20"/>
      <c r="AG12840" s="20"/>
      <c r="AQ12840" s="19"/>
      <c r="AR12840" s="19"/>
      <c r="AS12840" s="19"/>
      <c r="AT12840" s="19"/>
      <c r="AU12840" s="19"/>
    </row>
    <row r="12841" spans="3:47">
      <c r="C12841" s="20"/>
      <c r="Z12841" s="20"/>
      <c r="AG12841" s="20"/>
      <c r="AQ12841" s="19"/>
      <c r="AR12841" s="19"/>
      <c r="AS12841" s="19"/>
      <c r="AT12841" s="19"/>
      <c r="AU12841" s="19"/>
    </row>
    <row r="12842" spans="3:47">
      <c r="C12842" s="20"/>
      <c r="Z12842" s="20"/>
      <c r="AG12842" s="20"/>
      <c r="AQ12842" s="19"/>
      <c r="AR12842" s="19"/>
      <c r="AS12842" s="19"/>
      <c r="AT12842" s="19"/>
      <c r="AU12842" s="19"/>
    </row>
    <row r="12843" spans="3:47">
      <c r="C12843" s="20"/>
      <c r="Z12843" s="20"/>
      <c r="AG12843" s="20"/>
      <c r="AQ12843" s="19"/>
      <c r="AR12843" s="19"/>
      <c r="AS12843" s="19"/>
      <c r="AT12843" s="19"/>
      <c r="AU12843" s="19"/>
    </row>
    <row r="12844" spans="3:47">
      <c r="C12844" s="20"/>
      <c r="Z12844" s="20"/>
      <c r="AG12844" s="20"/>
      <c r="AQ12844" s="19"/>
      <c r="AR12844" s="19"/>
      <c r="AS12844" s="19"/>
      <c r="AT12844" s="19"/>
      <c r="AU12844" s="19"/>
    </row>
    <row r="12845" spans="3:47">
      <c r="C12845" s="20"/>
      <c r="Z12845" s="20"/>
      <c r="AG12845" s="20"/>
      <c r="AQ12845" s="19"/>
      <c r="AR12845" s="19"/>
      <c r="AS12845" s="19"/>
      <c r="AT12845" s="19"/>
      <c r="AU12845" s="19"/>
    </row>
    <row r="12846" spans="3:47">
      <c r="C12846" s="20"/>
      <c r="Z12846" s="20"/>
      <c r="AG12846" s="20"/>
      <c r="AQ12846" s="19"/>
      <c r="AR12846" s="19"/>
      <c r="AS12846" s="19"/>
      <c r="AT12846" s="19"/>
      <c r="AU12846" s="19"/>
    </row>
    <row r="12847" spans="3:47">
      <c r="C12847" s="20"/>
      <c r="Z12847" s="20"/>
      <c r="AG12847" s="20"/>
      <c r="AQ12847" s="19"/>
      <c r="AR12847" s="19"/>
      <c r="AS12847" s="19"/>
      <c r="AT12847" s="19"/>
      <c r="AU12847" s="19"/>
    </row>
    <row r="12848" spans="3:47">
      <c r="C12848" s="20"/>
      <c r="Z12848" s="20"/>
      <c r="AG12848" s="20"/>
      <c r="AQ12848" s="19"/>
      <c r="AR12848" s="19"/>
      <c r="AS12848" s="19"/>
      <c r="AT12848" s="19"/>
      <c r="AU12848" s="19"/>
    </row>
    <row r="12849" spans="3:47">
      <c r="C12849" s="20"/>
      <c r="Z12849" s="20"/>
      <c r="AG12849" s="20"/>
      <c r="AQ12849" s="19"/>
      <c r="AR12849" s="19"/>
      <c r="AS12849" s="19"/>
      <c r="AT12849" s="19"/>
      <c r="AU12849" s="19"/>
    </row>
    <row r="12850" spans="3:47">
      <c r="C12850" s="20"/>
      <c r="Z12850" s="20"/>
      <c r="AG12850" s="20"/>
      <c r="AQ12850" s="19"/>
      <c r="AR12850" s="19"/>
      <c r="AS12850" s="19"/>
      <c r="AT12850" s="19"/>
      <c r="AU12850" s="19"/>
    </row>
    <row r="12851" spans="3:47">
      <c r="C12851" s="20"/>
      <c r="Z12851" s="20"/>
      <c r="AG12851" s="20"/>
      <c r="AQ12851" s="19"/>
      <c r="AR12851" s="19"/>
      <c r="AS12851" s="19"/>
      <c r="AT12851" s="19"/>
      <c r="AU12851" s="19"/>
    </row>
    <row r="12852" spans="3:47">
      <c r="C12852" s="20"/>
      <c r="Z12852" s="20"/>
      <c r="AG12852" s="20"/>
      <c r="AQ12852" s="19"/>
      <c r="AR12852" s="19"/>
      <c r="AS12852" s="19"/>
      <c r="AT12852" s="19"/>
      <c r="AU12852" s="19"/>
    </row>
    <row r="12853" spans="3:47">
      <c r="C12853" s="20"/>
      <c r="Z12853" s="20"/>
      <c r="AG12853" s="20"/>
      <c r="AQ12853" s="19"/>
      <c r="AR12853" s="19"/>
      <c r="AS12853" s="19"/>
      <c r="AT12853" s="19"/>
      <c r="AU12853" s="19"/>
    </row>
    <row r="12854" spans="3:47">
      <c r="C12854" s="20"/>
      <c r="Z12854" s="20"/>
      <c r="AG12854" s="20"/>
      <c r="AQ12854" s="19"/>
      <c r="AR12854" s="19"/>
      <c r="AS12854" s="19"/>
      <c r="AT12854" s="19"/>
      <c r="AU12854" s="19"/>
    </row>
    <row r="12855" spans="3:47">
      <c r="C12855" s="20"/>
      <c r="Z12855" s="20"/>
      <c r="AG12855" s="20"/>
      <c r="AQ12855" s="19"/>
      <c r="AR12855" s="19"/>
      <c r="AS12855" s="19"/>
      <c r="AT12855" s="19"/>
      <c r="AU12855" s="19"/>
    </row>
    <row r="12856" spans="3:47">
      <c r="C12856" s="20"/>
      <c r="Z12856" s="20"/>
      <c r="AG12856" s="20"/>
      <c r="AQ12856" s="19"/>
      <c r="AR12856" s="19"/>
      <c r="AS12856" s="19"/>
      <c r="AT12856" s="19"/>
      <c r="AU12856" s="19"/>
    </row>
    <row r="12857" spans="3:47">
      <c r="C12857" s="20"/>
      <c r="Z12857" s="20"/>
      <c r="AG12857" s="20"/>
      <c r="AQ12857" s="19"/>
      <c r="AR12857" s="19"/>
      <c r="AS12857" s="19"/>
      <c r="AT12857" s="19"/>
      <c r="AU12857" s="19"/>
    </row>
    <row r="12858" spans="3:47">
      <c r="C12858" s="20"/>
      <c r="Z12858" s="20"/>
      <c r="AG12858" s="20"/>
      <c r="AQ12858" s="19"/>
      <c r="AR12858" s="19"/>
      <c r="AS12858" s="19"/>
      <c r="AT12858" s="19"/>
      <c r="AU12858" s="19"/>
    </row>
    <row r="12859" spans="3:47">
      <c r="C12859" s="20"/>
      <c r="Z12859" s="20"/>
      <c r="AG12859" s="20"/>
      <c r="AQ12859" s="19"/>
      <c r="AR12859" s="19"/>
      <c r="AS12859" s="19"/>
      <c r="AT12859" s="19"/>
      <c r="AU12859" s="19"/>
    </row>
    <row r="12860" spans="3:47">
      <c r="C12860" s="20"/>
      <c r="Z12860" s="20"/>
      <c r="AG12860" s="20"/>
      <c r="AQ12860" s="19"/>
      <c r="AR12860" s="19"/>
      <c r="AS12860" s="19"/>
      <c r="AT12860" s="19"/>
      <c r="AU12860" s="19"/>
    </row>
    <row r="12861" spans="3:47">
      <c r="C12861" s="20"/>
      <c r="Z12861" s="20"/>
      <c r="AG12861" s="20"/>
      <c r="AQ12861" s="19"/>
      <c r="AR12861" s="19"/>
      <c r="AS12861" s="19"/>
      <c r="AT12861" s="19"/>
      <c r="AU12861" s="19"/>
    </row>
    <row r="12862" spans="3:47">
      <c r="C12862" s="20"/>
      <c r="Z12862" s="20"/>
      <c r="AG12862" s="20"/>
      <c r="AQ12862" s="19"/>
      <c r="AR12862" s="19"/>
      <c r="AS12862" s="19"/>
      <c r="AT12862" s="19"/>
      <c r="AU12862" s="19"/>
    </row>
    <row r="12863" spans="3:47">
      <c r="C12863" s="20"/>
      <c r="Z12863" s="20"/>
      <c r="AG12863" s="20"/>
      <c r="AQ12863" s="19"/>
      <c r="AR12863" s="19"/>
      <c r="AS12863" s="19"/>
      <c r="AT12863" s="19"/>
      <c r="AU12863" s="19"/>
    </row>
    <row r="12864" spans="3:47">
      <c r="C12864" s="20"/>
      <c r="Z12864" s="20"/>
      <c r="AG12864" s="20"/>
      <c r="AQ12864" s="19"/>
      <c r="AR12864" s="19"/>
      <c r="AS12864" s="19"/>
      <c r="AT12864" s="19"/>
      <c r="AU12864" s="19"/>
    </row>
    <row r="12865" spans="3:47">
      <c r="C12865" s="20"/>
      <c r="Z12865" s="20"/>
      <c r="AG12865" s="20"/>
      <c r="AQ12865" s="19"/>
      <c r="AR12865" s="19"/>
      <c r="AS12865" s="19"/>
      <c r="AT12865" s="19"/>
      <c r="AU12865" s="19"/>
    </row>
    <row r="12866" spans="3:47">
      <c r="C12866" s="20"/>
      <c r="Z12866" s="20"/>
      <c r="AG12866" s="20"/>
      <c r="AQ12866" s="19"/>
      <c r="AR12866" s="19"/>
      <c r="AS12866" s="19"/>
      <c r="AT12866" s="19"/>
      <c r="AU12866" s="19"/>
    </row>
    <row r="12867" spans="3:47">
      <c r="C12867" s="20"/>
      <c r="Z12867" s="20"/>
      <c r="AG12867" s="20"/>
      <c r="AQ12867" s="19"/>
      <c r="AR12867" s="19"/>
      <c r="AS12867" s="19"/>
      <c r="AT12867" s="19"/>
      <c r="AU12867" s="19"/>
    </row>
    <row r="12868" spans="3:47">
      <c r="C12868" s="20"/>
      <c r="Z12868" s="20"/>
      <c r="AG12868" s="20"/>
      <c r="AQ12868" s="19"/>
      <c r="AR12868" s="19"/>
      <c r="AS12868" s="19"/>
      <c r="AT12868" s="19"/>
      <c r="AU12868" s="19"/>
    </row>
    <row r="12869" spans="3:47">
      <c r="C12869" s="20"/>
      <c r="Z12869" s="20"/>
      <c r="AG12869" s="20"/>
      <c r="AQ12869" s="19"/>
      <c r="AR12869" s="19"/>
      <c r="AS12869" s="19"/>
      <c r="AT12869" s="19"/>
      <c r="AU12869" s="19"/>
    </row>
    <row r="12870" spans="3:47">
      <c r="C12870" s="20"/>
      <c r="Z12870" s="20"/>
      <c r="AG12870" s="20"/>
      <c r="AQ12870" s="19"/>
      <c r="AR12870" s="19"/>
      <c r="AS12870" s="19"/>
      <c r="AT12870" s="19"/>
      <c r="AU12870" s="19"/>
    </row>
    <row r="12871" spans="3:47">
      <c r="C12871" s="20"/>
      <c r="Z12871" s="20"/>
      <c r="AG12871" s="20"/>
      <c r="AQ12871" s="19"/>
      <c r="AR12871" s="19"/>
      <c r="AS12871" s="19"/>
      <c r="AT12871" s="19"/>
      <c r="AU12871" s="19"/>
    </row>
    <row r="12872" spans="3:47">
      <c r="C12872" s="20"/>
      <c r="Z12872" s="20"/>
      <c r="AG12872" s="20"/>
      <c r="AQ12872" s="19"/>
      <c r="AR12872" s="19"/>
      <c r="AS12872" s="19"/>
      <c r="AT12872" s="19"/>
      <c r="AU12872" s="19"/>
    </row>
    <row r="12873" spans="3:47">
      <c r="C12873" s="20"/>
      <c r="Z12873" s="20"/>
      <c r="AG12873" s="20"/>
      <c r="AQ12873" s="19"/>
      <c r="AR12873" s="19"/>
      <c r="AS12873" s="19"/>
      <c r="AT12873" s="19"/>
      <c r="AU12873" s="19"/>
    </row>
    <row r="12874" spans="3:47">
      <c r="C12874" s="20"/>
      <c r="Z12874" s="20"/>
      <c r="AG12874" s="20"/>
      <c r="AQ12874" s="19"/>
      <c r="AR12874" s="19"/>
      <c r="AS12874" s="19"/>
      <c r="AT12874" s="19"/>
      <c r="AU12874" s="19"/>
    </row>
    <row r="12875" spans="3:47">
      <c r="C12875" s="20"/>
      <c r="Z12875" s="20"/>
      <c r="AG12875" s="20"/>
      <c r="AQ12875" s="19"/>
      <c r="AR12875" s="19"/>
      <c r="AS12875" s="19"/>
      <c r="AT12875" s="19"/>
      <c r="AU12875" s="19"/>
    </row>
    <row r="12876" spans="3:47">
      <c r="C12876" s="20"/>
      <c r="Z12876" s="20"/>
      <c r="AG12876" s="20"/>
      <c r="AQ12876" s="19"/>
      <c r="AR12876" s="19"/>
      <c r="AS12876" s="19"/>
      <c r="AT12876" s="19"/>
      <c r="AU12876" s="19"/>
    </row>
    <row r="12877" spans="3:47">
      <c r="C12877" s="20"/>
      <c r="Z12877" s="20"/>
      <c r="AG12877" s="20"/>
      <c r="AQ12877" s="19"/>
      <c r="AR12877" s="19"/>
      <c r="AS12877" s="19"/>
      <c r="AT12877" s="19"/>
      <c r="AU12877" s="19"/>
    </row>
    <row r="12878" spans="3:47">
      <c r="C12878" s="20"/>
      <c r="Z12878" s="20"/>
      <c r="AG12878" s="20"/>
      <c r="AQ12878" s="19"/>
      <c r="AR12878" s="19"/>
      <c r="AS12878" s="19"/>
      <c r="AT12878" s="19"/>
      <c r="AU12878" s="19"/>
    </row>
    <row r="12879" spans="3:47">
      <c r="C12879" s="20"/>
      <c r="Z12879" s="20"/>
      <c r="AG12879" s="20"/>
      <c r="AQ12879" s="19"/>
      <c r="AR12879" s="19"/>
      <c r="AS12879" s="19"/>
      <c r="AT12879" s="19"/>
      <c r="AU12879" s="19"/>
    </row>
    <row r="12880" spans="3:47">
      <c r="C12880" s="20"/>
      <c r="Z12880" s="20"/>
      <c r="AG12880" s="20"/>
      <c r="AQ12880" s="19"/>
      <c r="AR12880" s="19"/>
      <c r="AS12880" s="19"/>
      <c r="AT12880" s="19"/>
      <c r="AU12880" s="19"/>
    </row>
    <row r="12881" spans="3:47">
      <c r="C12881" s="20"/>
      <c r="Z12881" s="20"/>
      <c r="AG12881" s="20"/>
      <c r="AQ12881" s="19"/>
      <c r="AR12881" s="19"/>
      <c r="AS12881" s="19"/>
      <c r="AT12881" s="19"/>
      <c r="AU12881" s="19"/>
    </row>
    <row r="12882" spans="3:47">
      <c r="C12882" s="20"/>
      <c r="Z12882" s="20"/>
      <c r="AG12882" s="20"/>
      <c r="AQ12882" s="19"/>
      <c r="AR12882" s="19"/>
      <c r="AS12882" s="19"/>
      <c r="AT12882" s="19"/>
      <c r="AU12882" s="19"/>
    </row>
    <row r="12883" spans="3:47">
      <c r="C12883" s="20"/>
      <c r="Z12883" s="20"/>
      <c r="AG12883" s="20"/>
      <c r="AQ12883" s="19"/>
      <c r="AR12883" s="19"/>
      <c r="AS12883" s="19"/>
      <c r="AT12883" s="19"/>
      <c r="AU12883" s="19"/>
    </row>
    <row r="12884" spans="3:47">
      <c r="C12884" s="20"/>
      <c r="Z12884" s="20"/>
      <c r="AG12884" s="20"/>
      <c r="AQ12884" s="19"/>
      <c r="AR12884" s="19"/>
      <c r="AS12884" s="19"/>
      <c r="AT12884" s="19"/>
      <c r="AU12884" s="19"/>
    </row>
    <row r="12885" spans="3:47">
      <c r="C12885" s="20"/>
      <c r="Z12885" s="20"/>
      <c r="AG12885" s="20"/>
      <c r="AQ12885" s="19"/>
      <c r="AR12885" s="19"/>
      <c r="AS12885" s="19"/>
      <c r="AT12885" s="19"/>
      <c r="AU12885" s="19"/>
    </row>
    <row r="12886" spans="3:47">
      <c r="C12886" s="20"/>
      <c r="Z12886" s="20"/>
      <c r="AG12886" s="20"/>
      <c r="AQ12886" s="19"/>
      <c r="AR12886" s="19"/>
      <c r="AS12886" s="19"/>
      <c r="AT12886" s="19"/>
      <c r="AU12886" s="19"/>
    </row>
    <row r="12887" spans="3:47">
      <c r="C12887" s="20"/>
      <c r="Z12887" s="20"/>
      <c r="AG12887" s="20"/>
      <c r="AQ12887" s="19"/>
      <c r="AR12887" s="19"/>
      <c r="AS12887" s="19"/>
      <c r="AT12887" s="19"/>
      <c r="AU12887" s="19"/>
    </row>
    <row r="12888" spans="3:47">
      <c r="C12888" s="20"/>
      <c r="Z12888" s="20"/>
      <c r="AG12888" s="20"/>
      <c r="AQ12888" s="19"/>
      <c r="AR12888" s="19"/>
      <c r="AS12888" s="19"/>
      <c r="AT12888" s="19"/>
      <c r="AU12888" s="19"/>
    </row>
    <row r="12889" spans="3:47">
      <c r="C12889" s="20"/>
      <c r="Z12889" s="20"/>
      <c r="AG12889" s="20"/>
      <c r="AQ12889" s="19"/>
      <c r="AR12889" s="19"/>
      <c r="AS12889" s="19"/>
      <c r="AT12889" s="19"/>
      <c r="AU12889" s="19"/>
    </row>
    <row r="12890" spans="3:47">
      <c r="C12890" s="20"/>
      <c r="Z12890" s="20"/>
      <c r="AG12890" s="20"/>
      <c r="AQ12890" s="19"/>
      <c r="AR12890" s="19"/>
      <c r="AS12890" s="19"/>
      <c r="AT12890" s="19"/>
      <c r="AU12890" s="19"/>
    </row>
    <row r="12891" spans="3:47">
      <c r="C12891" s="20"/>
      <c r="Z12891" s="20"/>
      <c r="AG12891" s="20"/>
      <c r="AQ12891" s="19"/>
      <c r="AR12891" s="19"/>
      <c r="AS12891" s="19"/>
      <c r="AT12891" s="19"/>
      <c r="AU12891" s="19"/>
    </row>
    <row r="12892" spans="3:47">
      <c r="C12892" s="20"/>
      <c r="Z12892" s="20"/>
      <c r="AG12892" s="20"/>
      <c r="AQ12892" s="19"/>
      <c r="AR12892" s="19"/>
      <c r="AS12892" s="19"/>
      <c r="AT12892" s="19"/>
      <c r="AU12892" s="19"/>
    </row>
    <row r="12893" spans="3:47">
      <c r="C12893" s="20"/>
      <c r="Z12893" s="20"/>
      <c r="AG12893" s="20"/>
      <c r="AQ12893" s="19"/>
      <c r="AR12893" s="19"/>
      <c r="AS12893" s="19"/>
      <c r="AT12893" s="19"/>
      <c r="AU12893" s="19"/>
    </row>
    <row r="12894" spans="3:47">
      <c r="C12894" s="20"/>
      <c r="Z12894" s="20"/>
      <c r="AG12894" s="20"/>
      <c r="AQ12894" s="19"/>
      <c r="AR12894" s="19"/>
      <c r="AS12894" s="19"/>
      <c r="AT12894" s="19"/>
      <c r="AU12894" s="19"/>
    </row>
    <row r="12895" spans="3:47">
      <c r="C12895" s="20"/>
      <c r="Z12895" s="20"/>
      <c r="AG12895" s="20"/>
      <c r="AQ12895" s="19"/>
      <c r="AR12895" s="19"/>
      <c r="AS12895" s="19"/>
      <c r="AT12895" s="19"/>
      <c r="AU12895" s="19"/>
    </row>
    <row r="12896" spans="3:47">
      <c r="C12896" s="20"/>
      <c r="Z12896" s="20"/>
      <c r="AG12896" s="20"/>
      <c r="AQ12896" s="19"/>
      <c r="AR12896" s="19"/>
      <c r="AS12896" s="19"/>
      <c r="AT12896" s="19"/>
      <c r="AU12896" s="19"/>
    </row>
    <row r="12897" spans="3:47">
      <c r="C12897" s="20"/>
      <c r="Z12897" s="20"/>
      <c r="AG12897" s="20"/>
      <c r="AQ12897" s="19"/>
      <c r="AR12897" s="19"/>
      <c r="AS12897" s="19"/>
      <c r="AT12897" s="19"/>
      <c r="AU12897" s="19"/>
    </row>
    <row r="12898" spans="3:47">
      <c r="C12898" s="20"/>
      <c r="Z12898" s="20"/>
      <c r="AG12898" s="20"/>
      <c r="AQ12898" s="19"/>
      <c r="AR12898" s="19"/>
      <c r="AS12898" s="19"/>
      <c r="AT12898" s="19"/>
      <c r="AU12898" s="19"/>
    </row>
    <row r="12899" spans="3:47">
      <c r="C12899" s="20"/>
      <c r="Z12899" s="20"/>
      <c r="AG12899" s="20"/>
      <c r="AQ12899" s="19"/>
      <c r="AR12899" s="19"/>
      <c r="AS12899" s="19"/>
      <c r="AT12899" s="19"/>
      <c r="AU12899" s="19"/>
    </row>
    <row r="12900" spans="3:47">
      <c r="C12900" s="20"/>
      <c r="Z12900" s="20"/>
      <c r="AG12900" s="20"/>
      <c r="AQ12900" s="19"/>
      <c r="AR12900" s="19"/>
      <c r="AS12900" s="19"/>
      <c r="AT12900" s="19"/>
      <c r="AU12900" s="19"/>
    </row>
    <row r="12901" spans="3:47">
      <c r="C12901" s="20"/>
      <c r="Z12901" s="20"/>
      <c r="AG12901" s="20"/>
      <c r="AQ12901" s="19"/>
      <c r="AR12901" s="19"/>
      <c r="AS12901" s="19"/>
      <c r="AT12901" s="19"/>
      <c r="AU12901" s="19"/>
    </row>
    <row r="12902" spans="3:47">
      <c r="C12902" s="20"/>
      <c r="Z12902" s="20"/>
      <c r="AG12902" s="20"/>
      <c r="AQ12902" s="19"/>
      <c r="AR12902" s="19"/>
      <c r="AS12902" s="19"/>
      <c r="AT12902" s="19"/>
      <c r="AU12902" s="19"/>
    </row>
    <row r="12903" spans="3:47">
      <c r="C12903" s="20"/>
      <c r="Z12903" s="20"/>
      <c r="AG12903" s="20"/>
      <c r="AQ12903" s="19"/>
      <c r="AR12903" s="19"/>
      <c r="AS12903" s="19"/>
      <c r="AT12903" s="19"/>
      <c r="AU12903" s="19"/>
    </row>
    <row r="12904" spans="3:47">
      <c r="C12904" s="20"/>
      <c r="Z12904" s="20"/>
      <c r="AG12904" s="20"/>
      <c r="AQ12904" s="19"/>
      <c r="AR12904" s="19"/>
      <c r="AS12904" s="19"/>
      <c r="AT12904" s="19"/>
      <c r="AU12904" s="19"/>
    </row>
    <row r="12905" spans="3:47">
      <c r="C12905" s="20"/>
      <c r="Z12905" s="20"/>
      <c r="AG12905" s="20"/>
      <c r="AQ12905" s="19"/>
      <c r="AR12905" s="19"/>
      <c r="AS12905" s="19"/>
      <c r="AT12905" s="19"/>
      <c r="AU12905" s="19"/>
    </row>
    <row r="12906" spans="3:47">
      <c r="C12906" s="20"/>
      <c r="Z12906" s="20"/>
      <c r="AG12906" s="20"/>
      <c r="AQ12906" s="19"/>
      <c r="AR12906" s="19"/>
      <c r="AS12906" s="19"/>
      <c r="AT12906" s="19"/>
      <c r="AU12906" s="19"/>
    </row>
    <row r="12907" spans="3:47">
      <c r="C12907" s="20"/>
      <c r="Z12907" s="20"/>
      <c r="AG12907" s="20"/>
      <c r="AQ12907" s="19"/>
      <c r="AR12907" s="19"/>
      <c r="AS12907" s="19"/>
      <c r="AT12907" s="19"/>
      <c r="AU12907" s="19"/>
    </row>
    <row r="12908" spans="3:47">
      <c r="C12908" s="20"/>
      <c r="Z12908" s="20"/>
      <c r="AG12908" s="20"/>
      <c r="AQ12908" s="19"/>
      <c r="AR12908" s="19"/>
      <c r="AS12908" s="19"/>
      <c r="AT12908" s="19"/>
      <c r="AU12908" s="19"/>
    </row>
    <row r="12909" spans="3:47">
      <c r="C12909" s="20"/>
      <c r="Z12909" s="20"/>
      <c r="AG12909" s="20"/>
      <c r="AQ12909" s="19"/>
      <c r="AR12909" s="19"/>
      <c r="AS12909" s="19"/>
      <c r="AT12909" s="19"/>
      <c r="AU12909" s="19"/>
    </row>
    <row r="12910" spans="3:47">
      <c r="C12910" s="20"/>
      <c r="Z12910" s="20"/>
      <c r="AG12910" s="20"/>
      <c r="AQ12910" s="19"/>
      <c r="AR12910" s="19"/>
      <c r="AS12910" s="19"/>
      <c r="AT12910" s="19"/>
      <c r="AU12910" s="19"/>
    </row>
    <row r="12911" spans="3:47">
      <c r="C12911" s="20"/>
      <c r="Z12911" s="20"/>
      <c r="AG12911" s="20"/>
      <c r="AQ12911" s="19"/>
      <c r="AR12911" s="19"/>
      <c r="AS12911" s="19"/>
      <c r="AT12911" s="19"/>
      <c r="AU12911" s="19"/>
    </row>
    <row r="12912" spans="3:47">
      <c r="C12912" s="20"/>
      <c r="Z12912" s="20"/>
      <c r="AG12912" s="20"/>
      <c r="AQ12912" s="19"/>
      <c r="AR12912" s="19"/>
      <c r="AS12912" s="19"/>
      <c r="AT12912" s="19"/>
      <c r="AU12912" s="19"/>
    </row>
    <row r="12913" spans="3:47">
      <c r="C12913" s="20"/>
      <c r="Z12913" s="20"/>
      <c r="AG12913" s="20"/>
      <c r="AQ12913" s="19"/>
      <c r="AR12913" s="19"/>
      <c r="AS12913" s="19"/>
      <c r="AT12913" s="19"/>
      <c r="AU12913" s="19"/>
    </row>
    <row r="12914" spans="3:47">
      <c r="C12914" s="20"/>
      <c r="Z12914" s="20"/>
      <c r="AG12914" s="20"/>
      <c r="AQ12914" s="19"/>
      <c r="AR12914" s="19"/>
      <c r="AS12914" s="19"/>
      <c r="AT12914" s="19"/>
      <c r="AU12914" s="19"/>
    </row>
    <row r="12915" spans="3:47">
      <c r="C12915" s="20"/>
      <c r="Z12915" s="20"/>
      <c r="AG12915" s="20"/>
      <c r="AQ12915" s="19"/>
      <c r="AR12915" s="19"/>
      <c r="AS12915" s="19"/>
      <c r="AT12915" s="19"/>
      <c r="AU12915" s="19"/>
    </row>
    <row r="12916" spans="3:47">
      <c r="C12916" s="20"/>
      <c r="Z12916" s="20"/>
      <c r="AG12916" s="20"/>
      <c r="AQ12916" s="19"/>
      <c r="AR12916" s="19"/>
      <c r="AS12916" s="19"/>
      <c r="AT12916" s="19"/>
      <c r="AU12916" s="19"/>
    </row>
    <row r="12917" spans="3:47">
      <c r="C12917" s="20"/>
      <c r="Z12917" s="20"/>
      <c r="AG12917" s="20"/>
      <c r="AQ12917" s="19"/>
      <c r="AR12917" s="19"/>
      <c r="AS12917" s="19"/>
      <c r="AT12917" s="19"/>
      <c r="AU12917" s="19"/>
    </row>
    <row r="12918" spans="3:47">
      <c r="C12918" s="20"/>
      <c r="Z12918" s="20"/>
      <c r="AG12918" s="20"/>
      <c r="AQ12918" s="19"/>
      <c r="AR12918" s="19"/>
      <c r="AS12918" s="19"/>
      <c r="AT12918" s="19"/>
      <c r="AU12918" s="19"/>
    </row>
    <row r="12919" spans="3:47">
      <c r="C12919" s="20"/>
      <c r="Z12919" s="20"/>
      <c r="AG12919" s="20"/>
      <c r="AQ12919" s="19"/>
      <c r="AR12919" s="19"/>
      <c r="AS12919" s="19"/>
      <c r="AT12919" s="19"/>
      <c r="AU12919" s="19"/>
    </row>
    <row r="12920" spans="3:47">
      <c r="C12920" s="20"/>
      <c r="Z12920" s="20"/>
      <c r="AG12920" s="20"/>
      <c r="AQ12920" s="19"/>
      <c r="AR12920" s="19"/>
      <c r="AS12920" s="19"/>
      <c r="AT12920" s="19"/>
      <c r="AU12920" s="19"/>
    </row>
    <row r="12921" spans="3:47">
      <c r="C12921" s="20"/>
      <c r="Z12921" s="20"/>
      <c r="AG12921" s="20"/>
      <c r="AQ12921" s="19"/>
      <c r="AR12921" s="19"/>
      <c r="AS12921" s="19"/>
      <c r="AT12921" s="19"/>
      <c r="AU12921" s="19"/>
    </row>
    <row r="12922" spans="3:47">
      <c r="C12922" s="20"/>
      <c r="Z12922" s="20"/>
      <c r="AG12922" s="20"/>
      <c r="AQ12922" s="19"/>
      <c r="AR12922" s="19"/>
      <c r="AS12922" s="19"/>
      <c r="AT12922" s="19"/>
      <c r="AU12922" s="19"/>
    </row>
    <row r="12923" spans="3:47">
      <c r="C12923" s="20"/>
      <c r="Z12923" s="20"/>
      <c r="AG12923" s="20"/>
      <c r="AQ12923" s="19"/>
      <c r="AR12923" s="19"/>
      <c r="AS12923" s="19"/>
      <c r="AT12923" s="19"/>
      <c r="AU12923" s="19"/>
    </row>
    <row r="12924" spans="3:47">
      <c r="C12924" s="20"/>
      <c r="Z12924" s="20"/>
      <c r="AG12924" s="20"/>
      <c r="AQ12924" s="19"/>
      <c r="AR12924" s="19"/>
      <c r="AS12924" s="19"/>
      <c r="AT12924" s="19"/>
      <c r="AU12924" s="19"/>
    </row>
    <row r="12925" spans="3:47">
      <c r="C12925" s="20"/>
      <c r="Z12925" s="20"/>
      <c r="AG12925" s="20"/>
      <c r="AQ12925" s="19"/>
      <c r="AR12925" s="19"/>
      <c r="AS12925" s="19"/>
      <c r="AT12925" s="19"/>
      <c r="AU12925" s="19"/>
    </row>
    <row r="12926" spans="3:47">
      <c r="C12926" s="20"/>
      <c r="Z12926" s="20"/>
      <c r="AG12926" s="20"/>
      <c r="AQ12926" s="19"/>
      <c r="AR12926" s="19"/>
      <c r="AS12926" s="19"/>
      <c r="AT12926" s="19"/>
      <c r="AU12926" s="19"/>
    </row>
    <row r="12927" spans="3:47">
      <c r="C12927" s="20"/>
      <c r="Z12927" s="20"/>
      <c r="AG12927" s="20"/>
      <c r="AQ12927" s="19"/>
      <c r="AR12927" s="19"/>
      <c r="AS12927" s="19"/>
      <c r="AT12927" s="19"/>
      <c r="AU12927" s="19"/>
    </row>
    <row r="12928" spans="3:47">
      <c r="C12928" s="20"/>
      <c r="Z12928" s="20"/>
      <c r="AG12928" s="20"/>
      <c r="AQ12928" s="19"/>
      <c r="AR12928" s="19"/>
      <c r="AS12928" s="19"/>
      <c r="AT12928" s="19"/>
      <c r="AU12928" s="19"/>
    </row>
    <row r="12929" spans="3:47">
      <c r="C12929" s="20"/>
      <c r="Z12929" s="20"/>
      <c r="AG12929" s="20"/>
      <c r="AQ12929" s="19"/>
      <c r="AR12929" s="19"/>
      <c r="AS12929" s="19"/>
      <c r="AT12929" s="19"/>
      <c r="AU12929" s="19"/>
    </row>
    <row r="12930" spans="3:47">
      <c r="C12930" s="20"/>
      <c r="Z12930" s="20"/>
      <c r="AG12930" s="20"/>
      <c r="AQ12930" s="19"/>
      <c r="AR12930" s="19"/>
      <c r="AS12930" s="19"/>
      <c r="AT12930" s="19"/>
      <c r="AU12930" s="19"/>
    </row>
    <row r="12931" spans="3:47">
      <c r="C12931" s="20"/>
      <c r="Z12931" s="20"/>
      <c r="AG12931" s="20"/>
      <c r="AQ12931" s="19"/>
      <c r="AR12931" s="19"/>
      <c r="AS12931" s="19"/>
      <c r="AT12931" s="19"/>
      <c r="AU12931" s="19"/>
    </row>
    <row r="12932" spans="3:47">
      <c r="C12932" s="20"/>
      <c r="Z12932" s="20"/>
      <c r="AG12932" s="20"/>
      <c r="AQ12932" s="19"/>
      <c r="AR12932" s="19"/>
      <c r="AS12932" s="19"/>
      <c r="AT12932" s="19"/>
      <c r="AU12932" s="19"/>
    </row>
    <row r="12933" spans="3:47">
      <c r="C12933" s="20"/>
      <c r="Z12933" s="20"/>
      <c r="AG12933" s="20"/>
      <c r="AQ12933" s="19"/>
      <c r="AR12933" s="19"/>
      <c r="AS12933" s="19"/>
      <c r="AT12933" s="19"/>
      <c r="AU12933" s="19"/>
    </row>
    <row r="12934" spans="3:47">
      <c r="C12934" s="20"/>
      <c r="Z12934" s="20"/>
      <c r="AG12934" s="20"/>
      <c r="AQ12934" s="19"/>
      <c r="AR12934" s="19"/>
      <c r="AS12934" s="19"/>
      <c r="AT12934" s="19"/>
      <c r="AU12934" s="19"/>
    </row>
    <row r="12935" spans="3:47">
      <c r="C12935" s="20"/>
      <c r="Z12935" s="20"/>
      <c r="AG12935" s="20"/>
      <c r="AQ12935" s="19"/>
      <c r="AR12935" s="19"/>
      <c r="AS12935" s="19"/>
      <c r="AT12935" s="19"/>
      <c r="AU12935" s="19"/>
    </row>
    <row r="12936" spans="3:47">
      <c r="C12936" s="20"/>
      <c r="Z12936" s="20"/>
      <c r="AG12936" s="20"/>
      <c r="AQ12936" s="19"/>
      <c r="AR12936" s="19"/>
      <c r="AS12936" s="19"/>
      <c r="AT12936" s="19"/>
      <c r="AU12936" s="19"/>
    </row>
    <row r="12937" spans="3:47">
      <c r="C12937" s="20"/>
      <c r="Z12937" s="20"/>
      <c r="AG12937" s="20"/>
      <c r="AQ12937" s="19"/>
      <c r="AR12937" s="19"/>
      <c r="AS12937" s="19"/>
      <c r="AT12937" s="19"/>
      <c r="AU12937" s="19"/>
    </row>
    <row r="12938" spans="3:47">
      <c r="C12938" s="20"/>
      <c r="Z12938" s="20"/>
      <c r="AG12938" s="20"/>
      <c r="AQ12938" s="19"/>
      <c r="AR12938" s="19"/>
      <c r="AS12938" s="19"/>
      <c r="AT12938" s="19"/>
      <c r="AU12938" s="19"/>
    </row>
    <row r="12939" spans="3:47">
      <c r="C12939" s="20"/>
      <c r="Z12939" s="20"/>
      <c r="AG12939" s="20"/>
      <c r="AQ12939" s="19"/>
      <c r="AR12939" s="19"/>
      <c r="AS12939" s="19"/>
      <c r="AT12939" s="19"/>
      <c r="AU12939" s="19"/>
    </row>
    <row r="12940" spans="3:47">
      <c r="C12940" s="20"/>
      <c r="Z12940" s="20"/>
      <c r="AG12940" s="20"/>
      <c r="AQ12940" s="19"/>
      <c r="AR12940" s="19"/>
      <c r="AS12940" s="19"/>
      <c r="AT12940" s="19"/>
      <c r="AU12940" s="19"/>
    </row>
    <row r="12941" spans="3:47">
      <c r="C12941" s="20"/>
      <c r="Z12941" s="20"/>
      <c r="AG12941" s="20"/>
      <c r="AQ12941" s="19"/>
      <c r="AR12941" s="19"/>
      <c r="AS12941" s="19"/>
      <c r="AT12941" s="19"/>
      <c r="AU12941" s="19"/>
    </row>
    <row r="12942" spans="3:47">
      <c r="C12942" s="20"/>
      <c r="Z12942" s="20"/>
      <c r="AG12942" s="20"/>
      <c r="AQ12942" s="19"/>
      <c r="AR12942" s="19"/>
      <c r="AS12942" s="19"/>
      <c r="AT12942" s="19"/>
      <c r="AU12942" s="19"/>
    </row>
    <row r="12943" spans="3:47">
      <c r="C12943" s="20"/>
      <c r="Z12943" s="20"/>
      <c r="AG12943" s="20"/>
      <c r="AQ12943" s="19"/>
      <c r="AR12943" s="19"/>
      <c r="AS12943" s="19"/>
      <c r="AT12943" s="19"/>
      <c r="AU12943" s="19"/>
    </row>
    <row r="12944" spans="3:47">
      <c r="C12944" s="20"/>
      <c r="Z12944" s="20"/>
      <c r="AG12944" s="20"/>
      <c r="AQ12944" s="19"/>
      <c r="AR12944" s="19"/>
      <c r="AS12944" s="19"/>
      <c r="AT12944" s="19"/>
      <c r="AU12944" s="19"/>
    </row>
    <row r="12945" spans="3:47">
      <c r="C12945" s="20"/>
      <c r="Z12945" s="20"/>
      <c r="AG12945" s="20"/>
      <c r="AQ12945" s="19"/>
      <c r="AR12945" s="19"/>
      <c r="AS12945" s="19"/>
      <c r="AT12945" s="19"/>
      <c r="AU12945" s="19"/>
    </row>
    <row r="12946" spans="3:47">
      <c r="C12946" s="20"/>
      <c r="Z12946" s="20"/>
      <c r="AG12946" s="20"/>
      <c r="AQ12946" s="19"/>
      <c r="AR12946" s="19"/>
      <c r="AS12946" s="19"/>
      <c r="AT12946" s="19"/>
      <c r="AU12946" s="19"/>
    </row>
    <row r="12947" spans="3:47">
      <c r="C12947" s="20"/>
      <c r="Z12947" s="20"/>
      <c r="AG12947" s="20"/>
      <c r="AQ12947" s="19"/>
      <c r="AR12947" s="19"/>
      <c r="AS12947" s="19"/>
      <c r="AT12947" s="19"/>
      <c r="AU12947" s="19"/>
    </row>
    <row r="12948" spans="3:47">
      <c r="C12948" s="20"/>
      <c r="Z12948" s="20"/>
      <c r="AG12948" s="20"/>
      <c r="AQ12948" s="19"/>
      <c r="AR12948" s="19"/>
      <c r="AS12948" s="19"/>
      <c r="AT12948" s="19"/>
      <c r="AU12948" s="19"/>
    </row>
    <row r="12949" spans="3:47">
      <c r="C12949" s="20"/>
      <c r="Z12949" s="20"/>
      <c r="AG12949" s="20"/>
      <c r="AQ12949" s="19"/>
      <c r="AR12949" s="19"/>
      <c r="AS12949" s="19"/>
      <c r="AT12949" s="19"/>
      <c r="AU12949" s="19"/>
    </row>
    <row r="12950" spans="3:47">
      <c r="C12950" s="20"/>
      <c r="Z12950" s="20"/>
      <c r="AG12950" s="20"/>
      <c r="AQ12950" s="19"/>
      <c r="AR12950" s="19"/>
      <c r="AS12950" s="19"/>
      <c r="AT12950" s="19"/>
      <c r="AU12950" s="19"/>
    </row>
    <row r="12951" spans="3:47">
      <c r="C12951" s="20"/>
      <c r="Z12951" s="20"/>
      <c r="AG12951" s="20"/>
      <c r="AQ12951" s="19"/>
      <c r="AR12951" s="19"/>
      <c r="AS12951" s="19"/>
      <c r="AT12951" s="19"/>
      <c r="AU12951" s="19"/>
    </row>
    <row r="12952" spans="3:47">
      <c r="C12952" s="20"/>
      <c r="Z12952" s="20"/>
      <c r="AG12952" s="20"/>
      <c r="AQ12952" s="19"/>
      <c r="AR12952" s="19"/>
      <c r="AS12952" s="19"/>
      <c r="AT12952" s="19"/>
      <c r="AU12952" s="19"/>
    </row>
    <row r="12953" spans="3:47">
      <c r="C12953" s="20"/>
      <c r="Z12953" s="20"/>
      <c r="AG12953" s="20"/>
      <c r="AQ12953" s="19"/>
      <c r="AR12953" s="19"/>
      <c r="AS12953" s="19"/>
      <c r="AT12953" s="19"/>
      <c r="AU12953" s="19"/>
    </row>
    <row r="12954" spans="3:47">
      <c r="C12954" s="20"/>
      <c r="Z12954" s="20"/>
      <c r="AG12954" s="20"/>
      <c r="AQ12954" s="19"/>
      <c r="AR12954" s="19"/>
      <c r="AS12954" s="19"/>
      <c r="AT12954" s="19"/>
      <c r="AU12954" s="19"/>
    </row>
    <row r="12955" spans="3:47">
      <c r="C12955" s="20"/>
      <c r="Z12955" s="20"/>
      <c r="AG12955" s="20"/>
      <c r="AQ12955" s="19"/>
      <c r="AR12955" s="19"/>
      <c r="AS12955" s="19"/>
      <c r="AT12955" s="19"/>
      <c r="AU12955" s="19"/>
    </row>
    <row r="12956" spans="3:47">
      <c r="C12956" s="20"/>
      <c r="Z12956" s="20"/>
      <c r="AG12956" s="20"/>
      <c r="AQ12956" s="19"/>
      <c r="AR12956" s="19"/>
      <c r="AS12956" s="19"/>
      <c r="AT12956" s="19"/>
      <c r="AU12956" s="19"/>
    </row>
    <row r="12957" spans="3:47">
      <c r="C12957" s="20"/>
      <c r="Z12957" s="20"/>
      <c r="AG12957" s="20"/>
      <c r="AQ12957" s="19"/>
      <c r="AR12957" s="19"/>
      <c r="AS12957" s="19"/>
      <c r="AT12957" s="19"/>
      <c r="AU12957" s="19"/>
    </row>
    <row r="12958" spans="3:47">
      <c r="C12958" s="20"/>
      <c r="Z12958" s="20"/>
      <c r="AG12958" s="20"/>
      <c r="AQ12958" s="19"/>
      <c r="AR12958" s="19"/>
      <c r="AS12958" s="19"/>
      <c r="AT12958" s="19"/>
      <c r="AU12958" s="19"/>
    </row>
    <row r="12959" spans="3:47">
      <c r="C12959" s="20"/>
      <c r="Z12959" s="20"/>
      <c r="AG12959" s="20"/>
      <c r="AQ12959" s="19"/>
      <c r="AR12959" s="19"/>
      <c r="AS12959" s="19"/>
      <c r="AT12959" s="19"/>
      <c r="AU12959" s="19"/>
    </row>
    <row r="12960" spans="3:47">
      <c r="C12960" s="20"/>
      <c r="Z12960" s="20"/>
      <c r="AG12960" s="20"/>
      <c r="AQ12960" s="19"/>
      <c r="AR12960" s="19"/>
      <c r="AS12960" s="19"/>
      <c r="AT12960" s="19"/>
      <c r="AU12960" s="19"/>
    </row>
    <row r="12961" spans="3:47">
      <c r="C12961" s="20"/>
      <c r="Z12961" s="20"/>
      <c r="AG12961" s="20"/>
      <c r="AQ12961" s="19"/>
      <c r="AR12961" s="19"/>
      <c r="AS12961" s="19"/>
      <c r="AT12961" s="19"/>
      <c r="AU12961" s="19"/>
    </row>
    <row r="12962" spans="3:47">
      <c r="C12962" s="20"/>
      <c r="Z12962" s="20"/>
      <c r="AG12962" s="20"/>
      <c r="AQ12962" s="19"/>
      <c r="AR12962" s="19"/>
      <c r="AS12962" s="19"/>
      <c r="AT12962" s="19"/>
      <c r="AU12962" s="19"/>
    </row>
    <row r="12963" spans="3:47">
      <c r="C12963" s="20"/>
      <c r="Z12963" s="20"/>
      <c r="AG12963" s="20"/>
      <c r="AQ12963" s="19"/>
      <c r="AR12963" s="19"/>
      <c r="AS12963" s="19"/>
      <c r="AT12963" s="19"/>
      <c r="AU12963" s="19"/>
    </row>
    <row r="12964" spans="3:47">
      <c r="C12964" s="20"/>
      <c r="Z12964" s="20"/>
      <c r="AG12964" s="20"/>
      <c r="AQ12964" s="19"/>
      <c r="AR12964" s="19"/>
      <c r="AS12964" s="19"/>
      <c r="AT12964" s="19"/>
      <c r="AU12964" s="19"/>
    </row>
    <row r="12965" spans="3:47">
      <c r="C12965" s="20"/>
      <c r="Z12965" s="20"/>
      <c r="AG12965" s="20"/>
      <c r="AQ12965" s="19"/>
      <c r="AR12965" s="19"/>
      <c r="AS12965" s="19"/>
      <c r="AT12965" s="19"/>
      <c r="AU12965" s="19"/>
    </row>
    <row r="12966" spans="3:47">
      <c r="C12966" s="20"/>
      <c r="Z12966" s="20"/>
      <c r="AG12966" s="20"/>
      <c r="AQ12966" s="19"/>
      <c r="AR12966" s="19"/>
      <c r="AS12966" s="19"/>
      <c r="AT12966" s="19"/>
      <c r="AU12966" s="19"/>
    </row>
    <row r="12967" spans="3:47">
      <c r="C12967" s="20"/>
      <c r="Z12967" s="20"/>
      <c r="AG12967" s="20"/>
      <c r="AQ12967" s="19"/>
      <c r="AR12967" s="19"/>
      <c r="AS12967" s="19"/>
      <c r="AT12967" s="19"/>
      <c r="AU12967" s="19"/>
    </row>
    <row r="12968" spans="3:47">
      <c r="C12968" s="20"/>
      <c r="Z12968" s="20"/>
      <c r="AG12968" s="20"/>
      <c r="AQ12968" s="19"/>
      <c r="AR12968" s="19"/>
      <c r="AS12968" s="19"/>
      <c r="AT12968" s="19"/>
      <c r="AU12968" s="19"/>
    </row>
    <row r="12969" spans="3:47">
      <c r="C12969" s="20"/>
      <c r="Z12969" s="20"/>
      <c r="AG12969" s="20"/>
      <c r="AQ12969" s="19"/>
      <c r="AR12969" s="19"/>
      <c r="AS12969" s="19"/>
      <c r="AT12969" s="19"/>
      <c r="AU12969" s="19"/>
    </row>
    <row r="12970" spans="3:47">
      <c r="C12970" s="20"/>
      <c r="Z12970" s="20"/>
      <c r="AG12970" s="20"/>
      <c r="AQ12970" s="19"/>
      <c r="AR12970" s="19"/>
      <c r="AS12970" s="19"/>
      <c r="AT12970" s="19"/>
      <c r="AU12970" s="19"/>
    </row>
    <row r="12971" spans="3:47">
      <c r="C12971" s="20"/>
      <c r="Z12971" s="20"/>
      <c r="AG12971" s="20"/>
      <c r="AQ12971" s="19"/>
      <c r="AR12971" s="19"/>
      <c r="AS12971" s="19"/>
      <c r="AT12971" s="19"/>
      <c r="AU12971" s="19"/>
    </row>
    <row r="12972" spans="3:47">
      <c r="C12972" s="20"/>
      <c r="Z12972" s="20"/>
      <c r="AG12972" s="20"/>
      <c r="AQ12972" s="19"/>
      <c r="AR12972" s="19"/>
      <c r="AS12972" s="19"/>
      <c r="AT12972" s="19"/>
      <c r="AU12972" s="19"/>
    </row>
    <row r="12973" spans="3:47">
      <c r="C12973" s="20"/>
      <c r="Z12973" s="20"/>
      <c r="AG12973" s="20"/>
      <c r="AQ12973" s="19"/>
      <c r="AR12973" s="19"/>
      <c r="AS12973" s="19"/>
      <c r="AT12973" s="19"/>
      <c r="AU12973" s="19"/>
    </row>
    <row r="12974" spans="3:47">
      <c r="C12974" s="20"/>
      <c r="Z12974" s="20"/>
      <c r="AG12974" s="20"/>
      <c r="AQ12974" s="19"/>
      <c r="AR12974" s="19"/>
      <c r="AS12974" s="19"/>
      <c r="AT12974" s="19"/>
      <c r="AU12974" s="19"/>
    </row>
    <row r="12975" spans="3:47">
      <c r="C12975" s="20"/>
      <c r="Z12975" s="20"/>
      <c r="AG12975" s="20"/>
      <c r="AQ12975" s="19"/>
      <c r="AR12975" s="19"/>
      <c r="AS12975" s="19"/>
      <c r="AT12975" s="19"/>
      <c r="AU12975" s="19"/>
    </row>
    <row r="12976" spans="3:47">
      <c r="C12976" s="20"/>
      <c r="Z12976" s="20"/>
      <c r="AG12976" s="20"/>
      <c r="AQ12976" s="19"/>
      <c r="AR12976" s="19"/>
      <c r="AS12976" s="19"/>
      <c r="AT12976" s="19"/>
      <c r="AU12976" s="19"/>
    </row>
    <row r="12977" spans="3:47">
      <c r="C12977" s="20"/>
      <c r="Z12977" s="20"/>
      <c r="AG12977" s="20"/>
      <c r="AQ12977" s="19"/>
      <c r="AR12977" s="19"/>
      <c r="AS12977" s="19"/>
      <c r="AT12977" s="19"/>
      <c r="AU12977" s="19"/>
    </row>
    <row r="12978" spans="3:47">
      <c r="C12978" s="20"/>
      <c r="Z12978" s="20"/>
      <c r="AG12978" s="20"/>
      <c r="AQ12978" s="19"/>
      <c r="AR12978" s="19"/>
      <c r="AS12978" s="19"/>
      <c r="AT12978" s="19"/>
      <c r="AU12978" s="19"/>
    </row>
    <row r="12979" spans="3:47">
      <c r="C12979" s="20"/>
      <c r="Z12979" s="20"/>
      <c r="AG12979" s="20"/>
      <c r="AQ12979" s="19"/>
      <c r="AR12979" s="19"/>
      <c r="AS12979" s="19"/>
      <c r="AT12979" s="19"/>
      <c r="AU12979" s="19"/>
    </row>
    <row r="12980" spans="3:47">
      <c r="C12980" s="20"/>
      <c r="Z12980" s="20"/>
      <c r="AG12980" s="20"/>
      <c r="AQ12980" s="19"/>
      <c r="AR12980" s="19"/>
      <c r="AS12980" s="19"/>
      <c r="AT12980" s="19"/>
      <c r="AU12980" s="19"/>
    </row>
    <row r="12981" spans="3:47">
      <c r="C12981" s="20"/>
      <c r="Z12981" s="20"/>
      <c r="AG12981" s="20"/>
      <c r="AQ12981" s="19"/>
      <c r="AR12981" s="19"/>
      <c r="AS12981" s="19"/>
      <c r="AT12981" s="19"/>
      <c r="AU12981" s="19"/>
    </row>
    <row r="12982" spans="3:47">
      <c r="C12982" s="20"/>
      <c r="Z12982" s="20"/>
      <c r="AG12982" s="20"/>
      <c r="AQ12982" s="19"/>
      <c r="AR12982" s="19"/>
      <c r="AS12982" s="19"/>
      <c r="AT12982" s="19"/>
      <c r="AU12982" s="19"/>
    </row>
    <row r="12983" spans="3:47">
      <c r="C12983" s="20"/>
      <c r="Z12983" s="20"/>
      <c r="AG12983" s="20"/>
      <c r="AQ12983" s="19"/>
      <c r="AR12983" s="19"/>
      <c r="AS12983" s="19"/>
      <c r="AT12983" s="19"/>
      <c r="AU12983" s="19"/>
    </row>
    <row r="12984" spans="3:47">
      <c r="C12984" s="20"/>
      <c r="Z12984" s="20"/>
      <c r="AG12984" s="20"/>
      <c r="AQ12984" s="19"/>
      <c r="AR12984" s="19"/>
      <c r="AS12984" s="19"/>
      <c r="AT12984" s="19"/>
      <c r="AU12984" s="19"/>
    </row>
    <row r="12985" spans="3:47">
      <c r="C12985" s="20"/>
      <c r="Z12985" s="20"/>
      <c r="AG12985" s="20"/>
      <c r="AQ12985" s="19"/>
      <c r="AR12985" s="19"/>
      <c r="AS12985" s="19"/>
      <c r="AT12985" s="19"/>
      <c r="AU12985" s="19"/>
    </row>
    <row r="12986" spans="3:47">
      <c r="C12986" s="20"/>
      <c r="Z12986" s="20"/>
      <c r="AG12986" s="20"/>
      <c r="AQ12986" s="19"/>
      <c r="AR12986" s="19"/>
      <c r="AS12986" s="19"/>
      <c r="AT12986" s="19"/>
      <c r="AU12986" s="19"/>
    </row>
    <row r="12987" spans="3:47">
      <c r="C12987" s="20"/>
      <c r="Z12987" s="20"/>
      <c r="AG12987" s="20"/>
      <c r="AQ12987" s="19"/>
      <c r="AR12987" s="19"/>
      <c r="AS12987" s="19"/>
      <c r="AT12987" s="19"/>
      <c r="AU12987" s="19"/>
    </row>
    <row r="12988" spans="3:47">
      <c r="C12988" s="20"/>
      <c r="Z12988" s="20"/>
      <c r="AG12988" s="20"/>
      <c r="AQ12988" s="19"/>
      <c r="AR12988" s="19"/>
      <c r="AS12988" s="19"/>
      <c r="AT12988" s="19"/>
      <c r="AU12988" s="19"/>
    </row>
    <row r="12989" spans="3:47">
      <c r="C12989" s="20"/>
      <c r="Z12989" s="20"/>
      <c r="AG12989" s="20"/>
      <c r="AQ12989" s="19"/>
      <c r="AR12989" s="19"/>
      <c r="AS12989" s="19"/>
      <c r="AT12989" s="19"/>
      <c r="AU12989" s="19"/>
    </row>
    <row r="12990" spans="3:47">
      <c r="C12990" s="20"/>
      <c r="Z12990" s="20"/>
      <c r="AG12990" s="20"/>
      <c r="AQ12990" s="19"/>
      <c r="AR12990" s="19"/>
      <c r="AS12990" s="19"/>
      <c r="AT12990" s="19"/>
      <c r="AU12990" s="19"/>
    </row>
    <row r="12991" spans="3:47">
      <c r="C12991" s="20"/>
      <c r="Z12991" s="20"/>
      <c r="AG12991" s="20"/>
      <c r="AQ12991" s="19"/>
      <c r="AR12991" s="19"/>
      <c r="AS12991" s="19"/>
      <c r="AT12991" s="19"/>
      <c r="AU12991" s="19"/>
    </row>
    <row r="12992" spans="3:47">
      <c r="C12992" s="20"/>
      <c r="Z12992" s="20"/>
      <c r="AG12992" s="20"/>
      <c r="AQ12992" s="19"/>
      <c r="AR12992" s="19"/>
      <c r="AS12992" s="19"/>
      <c r="AT12992" s="19"/>
      <c r="AU12992" s="19"/>
    </row>
    <row r="12993" spans="3:47">
      <c r="C12993" s="20"/>
      <c r="Z12993" s="20"/>
      <c r="AG12993" s="20"/>
      <c r="AQ12993" s="19"/>
      <c r="AR12993" s="19"/>
      <c r="AS12993" s="19"/>
      <c r="AT12993" s="19"/>
      <c r="AU12993" s="19"/>
    </row>
    <row r="12994" spans="3:47">
      <c r="C12994" s="20"/>
      <c r="Z12994" s="20"/>
      <c r="AG12994" s="20"/>
      <c r="AQ12994" s="19"/>
      <c r="AR12994" s="19"/>
      <c r="AS12994" s="19"/>
      <c r="AT12994" s="19"/>
      <c r="AU12994" s="19"/>
    </row>
    <row r="12995" spans="3:47">
      <c r="C12995" s="20"/>
      <c r="Z12995" s="20"/>
      <c r="AG12995" s="20"/>
      <c r="AQ12995" s="19"/>
      <c r="AR12995" s="19"/>
      <c r="AS12995" s="19"/>
      <c r="AT12995" s="19"/>
      <c r="AU12995" s="19"/>
    </row>
    <row r="12996" spans="3:47">
      <c r="C12996" s="20"/>
      <c r="Z12996" s="20"/>
      <c r="AG12996" s="20"/>
      <c r="AQ12996" s="19"/>
      <c r="AR12996" s="19"/>
      <c r="AS12996" s="19"/>
      <c r="AT12996" s="19"/>
      <c r="AU12996" s="19"/>
    </row>
    <row r="12997" spans="3:47">
      <c r="C12997" s="20"/>
      <c r="Z12997" s="20"/>
      <c r="AG12997" s="20"/>
      <c r="AQ12997" s="19"/>
      <c r="AR12997" s="19"/>
      <c r="AS12997" s="19"/>
      <c r="AT12997" s="19"/>
      <c r="AU12997" s="19"/>
    </row>
    <row r="12998" spans="3:47">
      <c r="C12998" s="20"/>
      <c r="Z12998" s="20"/>
      <c r="AG12998" s="20"/>
      <c r="AQ12998" s="19"/>
      <c r="AR12998" s="19"/>
      <c r="AS12998" s="19"/>
      <c r="AT12998" s="19"/>
      <c r="AU12998" s="19"/>
    </row>
    <row r="12999" spans="3:47">
      <c r="C12999" s="20"/>
      <c r="Z12999" s="20"/>
      <c r="AG12999" s="20"/>
      <c r="AQ12999" s="19"/>
      <c r="AR12999" s="19"/>
      <c r="AS12999" s="19"/>
      <c r="AT12999" s="19"/>
      <c r="AU12999" s="19"/>
    </row>
    <row r="13000" spans="3:47">
      <c r="C13000" s="20"/>
      <c r="Z13000" s="20"/>
      <c r="AG13000" s="20"/>
      <c r="AQ13000" s="19"/>
      <c r="AR13000" s="19"/>
      <c r="AS13000" s="19"/>
      <c r="AT13000" s="19"/>
      <c r="AU13000" s="19"/>
    </row>
    <row r="13001" spans="3:47">
      <c r="C13001" s="20"/>
      <c r="Z13001" s="20"/>
      <c r="AG13001" s="20"/>
      <c r="AQ13001" s="19"/>
      <c r="AR13001" s="19"/>
      <c r="AS13001" s="19"/>
      <c r="AT13001" s="19"/>
      <c r="AU13001" s="19"/>
    </row>
    <row r="13002" spans="3:47">
      <c r="C13002" s="20"/>
      <c r="Z13002" s="20"/>
      <c r="AG13002" s="20"/>
      <c r="AQ13002" s="19"/>
      <c r="AR13002" s="19"/>
      <c r="AS13002" s="19"/>
      <c r="AT13002" s="19"/>
      <c r="AU13002" s="19"/>
    </row>
    <row r="13003" spans="3:47">
      <c r="C13003" s="20"/>
      <c r="Z13003" s="20"/>
      <c r="AG13003" s="20"/>
      <c r="AQ13003" s="19"/>
      <c r="AR13003" s="19"/>
      <c r="AS13003" s="19"/>
      <c r="AT13003" s="19"/>
      <c r="AU13003" s="19"/>
    </row>
    <row r="13004" spans="3:47">
      <c r="C13004" s="20"/>
      <c r="Z13004" s="20"/>
      <c r="AG13004" s="20"/>
      <c r="AQ13004" s="19"/>
      <c r="AR13004" s="19"/>
      <c r="AS13004" s="19"/>
      <c r="AT13004" s="19"/>
      <c r="AU13004" s="19"/>
    </row>
    <row r="13005" spans="3:47">
      <c r="C13005" s="20"/>
      <c r="Z13005" s="20"/>
      <c r="AG13005" s="20"/>
      <c r="AQ13005" s="19"/>
      <c r="AR13005" s="19"/>
      <c r="AS13005" s="19"/>
      <c r="AT13005" s="19"/>
      <c r="AU13005" s="19"/>
    </row>
    <row r="13006" spans="3:47">
      <c r="C13006" s="20"/>
      <c r="Z13006" s="20"/>
      <c r="AG13006" s="20"/>
      <c r="AQ13006" s="19"/>
      <c r="AR13006" s="19"/>
      <c r="AS13006" s="19"/>
      <c r="AT13006" s="19"/>
      <c r="AU13006" s="19"/>
    </row>
    <row r="13007" spans="3:47">
      <c r="C13007" s="20"/>
      <c r="Z13007" s="20"/>
      <c r="AG13007" s="20"/>
      <c r="AQ13007" s="19"/>
      <c r="AR13007" s="19"/>
      <c r="AS13007" s="19"/>
      <c r="AT13007" s="19"/>
      <c r="AU13007" s="19"/>
    </row>
    <row r="13008" spans="3:47">
      <c r="C13008" s="20"/>
      <c r="Z13008" s="20"/>
      <c r="AG13008" s="20"/>
      <c r="AQ13008" s="19"/>
      <c r="AR13008" s="19"/>
      <c r="AS13008" s="19"/>
      <c r="AT13008" s="19"/>
      <c r="AU13008" s="19"/>
    </row>
    <row r="13009" spans="3:47">
      <c r="C13009" s="20"/>
      <c r="Z13009" s="20"/>
      <c r="AG13009" s="20"/>
      <c r="AQ13009" s="19"/>
      <c r="AR13009" s="19"/>
      <c r="AS13009" s="19"/>
      <c r="AT13009" s="19"/>
      <c r="AU13009" s="19"/>
    </row>
    <row r="13010" spans="3:47">
      <c r="C13010" s="20"/>
      <c r="Z13010" s="20"/>
      <c r="AG13010" s="20"/>
      <c r="AQ13010" s="19"/>
      <c r="AR13010" s="19"/>
      <c r="AS13010" s="19"/>
      <c r="AT13010" s="19"/>
      <c r="AU13010" s="19"/>
    </row>
    <row r="13011" spans="3:47">
      <c r="C13011" s="20"/>
      <c r="Z13011" s="20"/>
      <c r="AG13011" s="20"/>
      <c r="AQ13011" s="19"/>
      <c r="AR13011" s="19"/>
      <c r="AS13011" s="19"/>
      <c r="AT13011" s="19"/>
      <c r="AU13011" s="19"/>
    </row>
    <row r="13012" spans="3:47">
      <c r="C13012" s="20"/>
      <c r="Z13012" s="20"/>
      <c r="AG13012" s="20"/>
      <c r="AQ13012" s="19"/>
      <c r="AR13012" s="19"/>
      <c r="AS13012" s="19"/>
      <c r="AT13012" s="19"/>
      <c r="AU13012" s="19"/>
    </row>
    <row r="13013" spans="3:47">
      <c r="C13013" s="20"/>
      <c r="Z13013" s="20"/>
      <c r="AG13013" s="20"/>
      <c r="AQ13013" s="19"/>
      <c r="AR13013" s="19"/>
      <c r="AS13013" s="19"/>
      <c r="AT13013" s="19"/>
      <c r="AU13013" s="19"/>
    </row>
    <row r="13014" spans="3:47">
      <c r="C13014" s="20"/>
      <c r="Z13014" s="20"/>
      <c r="AG13014" s="20"/>
      <c r="AQ13014" s="19"/>
      <c r="AR13014" s="19"/>
      <c r="AS13014" s="19"/>
      <c r="AT13014" s="19"/>
      <c r="AU13014" s="19"/>
    </row>
    <row r="13015" spans="3:47">
      <c r="C13015" s="20"/>
      <c r="Z13015" s="20"/>
      <c r="AG13015" s="20"/>
      <c r="AQ13015" s="19"/>
      <c r="AR13015" s="19"/>
      <c r="AS13015" s="19"/>
      <c r="AT13015" s="19"/>
      <c r="AU13015" s="19"/>
    </row>
    <row r="13016" spans="3:47">
      <c r="C13016" s="20"/>
      <c r="Z13016" s="20"/>
      <c r="AG13016" s="20"/>
      <c r="AQ13016" s="19"/>
      <c r="AR13016" s="19"/>
      <c r="AS13016" s="19"/>
      <c r="AT13016" s="19"/>
      <c r="AU13016" s="19"/>
    </row>
    <row r="13017" spans="3:47">
      <c r="C13017" s="20"/>
      <c r="Z13017" s="20"/>
      <c r="AG13017" s="20"/>
      <c r="AQ13017" s="19"/>
      <c r="AR13017" s="19"/>
      <c r="AS13017" s="19"/>
      <c r="AT13017" s="19"/>
      <c r="AU13017" s="19"/>
    </row>
    <row r="13018" spans="3:47">
      <c r="C13018" s="20"/>
      <c r="Z13018" s="20"/>
      <c r="AG13018" s="20"/>
      <c r="AQ13018" s="19"/>
      <c r="AR13018" s="19"/>
      <c r="AS13018" s="19"/>
      <c r="AT13018" s="19"/>
      <c r="AU13018" s="19"/>
    </row>
    <row r="13019" spans="3:47">
      <c r="C13019" s="20"/>
      <c r="Z13019" s="20"/>
      <c r="AG13019" s="20"/>
      <c r="AQ13019" s="19"/>
      <c r="AR13019" s="19"/>
      <c r="AS13019" s="19"/>
      <c r="AT13019" s="19"/>
      <c r="AU13019" s="19"/>
    </row>
    <row r="13020" spans="3:47">
      <c r="C13020" s="20"/>
      <c r="Z13020" s="20"/>
      <c r="AG13020" s="20"/>
      <c r="AQ13020" s="19"/>
      <c r="AR13020" s="19"/>
      <c r="AS13020" s="19"/>
      <c r="AT13020" s="19"/>
      <c r="AU13020" s="19"/>
    </row>
    <row r="13021" spans="3:47">
      <c r="C13021" s="20"/>
      <c r="Z13021" s="20"/>
      <c r="AG13021" s="20"/>
      <c r="AQ13021" s="19"/>
      <c r="AR13021" s="19"/>
      <c r="AS13021" s="19"/>
      <c r="AT13021" s="19"/>
      <c r="AU13021" s="19"/>
    </row>
    <row r="13022" spans="3:47">
      <c r="C13022" s="20"/>
      <c r="Z13022" s="20"/>
      <c r="AG13022" s="20"/>
      <c r="AQ13022" s="19"/>
      <c r="AR13022" s="19"/>
      <c r="AS13022" s="19"/>
      <c r="AT13022" s="19"/>
      <c r="AU13022" s="19"/>
    </row>
    <row r="13023" spans="3:47">
      <c r="C13023" s="20"/>
      <c r="Z13023" s="20"/>
      <c r="AG13023" s="20"/>
      <c r="AQ13023" s="19"/>
      <c r="AR13023" s="19"/>
      <c r="AS13023" s="19"/>
      <c r="AT13023" s="19"/>
      <c r="AU13023" s="19"/>
    </row>
    <row r="13024" spans="3:47">
      <c r="C13024" s="20"/>
      <c r="Z13024" s="20"/>
      <c r="AG13024" s="20"/>
      <c r="AQ13024" s="19"/>
      <c r="AR13024" s="19"/>
      <c r="AS13024" s="19"/>
      <c r="AT13024" s="19"/>
      <c r="AU13024" s="19"/>
    </row>
    <row r="13025" spans="3:47">
      <c r="C13025" s="20"/>
      <c r="Z13025" s="20"/>
      <c r="AG13025" s="20"/>
      <c r="AQ13025" s="19"/>
      <c r="AR13025" s="19"/>
      <c r="AS13025" s="19"/>
      <c r="AT13025" s="19"/>
      <c r="AU13025" s="19"/>
    </row>
    <row r="13026" spans="3:47">
      <c r="C13026" s="20"/>
      <c r="Z13026" s="20"/>
      <c r="AG13026" s="20"/>
      <c r="AQ13026" s="19"/>
      <c r="AR13026" s="19"/>
      <c r="AS13026" s="19"/>
      <c r="AT13026" s="19"/>
      <c r="AU13026" s="19"/>
    </row>
    <row r="13027" spans="3:47">
      <c r="C13027" s="20"/>
      <c r="Z13027" s="20"/>
      <c r="AG13027" s="20"/>
      <c r="AQ13027" s="19"/>
      <c r="AR13027" s="19"/>
      <c r="AS13027" s="19"/>
      <c r="AT13027" s="19"/>
      <c r="AU13027" s="19"/>
    </row>
    <row r="13028" spans="3:47">
      <c r="C13028" s="20"/>
      <c r="Z13028" s="20"/>
      <c r="AG13028" s="20"/>
      <c r="AQ13028" s="19"/>
      <c r="AR13028" s="19"/>
      <c r="AS13028" s="19"/>
      <c r="AT13028" s="19"/>
      <c r="AU13028" s="19"/>
    </row>
    <row r="13029" spans="3:47">
      <c r="C13029" s="20"/>
      <c r="Z13029" s="20"/>
      <c r="AG13029" s="20"/>
      <c r="AQ13029" s="19"/>
      <c r="AR13029" s="19"/>
      <c r="AS13029" s="19"/>
      <c r="AT13029" s="19"/>
      <c r="AU13029" s="19"/>
    </row>
    <row r="13030" spans="3:47">
      <c r="C13030" s="20"/>
      <c r="Z13030" s="20"/>
      <c r="AG13030" s="20"/>
      <c r="AQ13030" s="19"/>
      <c r="AR13030" s="19"/>
      <c r="AS13030" s="19"/>
      <c r="AT13030" s="19"/>
      <c r="AU13030" s="19"/>
    </row>
    <row r="13031" spans="3:47">
      <c r="C13031" s="20"/>
      <c r="Z13031" s="20"/>
      <c r="AG13031" s="20"/>
      <c r="AQ13031" s="19"/>
      <c r="AR13031" s="19"/>
      <c r="AS13031" s="19"/>
      <c r="AT13031" s="19"/>
      <c r="AU13031" s="19"/>
    </row>
    <row r="13032" spans="3:47">
      <c r="C13032" s="20"/>
      <c r="Z13032" s="20"/>
      <c r="AG13032" s="20"/>
      <c r="AQ13032" s="19"/>
      <c r="AR13032" s="19"/>
      <c r="AS13032" s="19"/>
      <c r="AT13032" s="19"/>
      <c r="AU13032" s="19"/>
    </row>
    <row r="13033" spans="3:47">
      <c r="C13033" s="20"/>
      <c r="Z13033" s="20"/>
      <c r="AG13033" s="20"/>
      <c r="AQ13033" s="19"/>
      <c r="AR13033" s="19"/>
      <c r="AS13033" s="19"/>
      <c r="AT13033" s="19"/>
      <c r="AU13033" s="19"/>
    </row>
    <row r="13034" spans="3:47">
      <c r="C13034" s="20"/>
      <c r="Z13034" s="20"/>
      <c r="AG13034" s="20"/>
      <c r="AQ13034" s="19"/>
      <c r="AR13034" s="19"/>
      <c r="AS13034" s="19"/>
      <c r="AT13034" s="19"/>
      <c r="AU13034" s="19"/>
    </row>
    <row r="13035" spans="3:47">
      <c r="C13035" s="20"/>
      <c r="Z13035" s="20"/>
      <c r="AG13035" s="20"/>
      <c r="AQ13035" s="19"/>
      <c r="AR13035" s="19"/>
      <c r="AS13035" s="19"/>
      <c r="AT13035" s="19"/>
      <c r="AU13035" s="19"/>
    </row>
    <row r="13036" spans="3:47">
      <c r="C13036" s="20"/>
      <c r="Z13036" s="20"/>
      <c r="AG13036" s="20"/>
      <c r="AQ13036" s="19"/>
      <c r="AR13036" s="19"/>
      <c r="AS13036" s="19"/>
      <c r="AT13036" s="19"/>
      <c r="AU13036" s="19"/>
    </row>
    <row r="13037" spans="3:47">
      <c r="C13037" s="20"/>
      <c r="Z13037" s="20"/>
      <c r="AG13037" s="20"/>
      <c r="AQ13037" s="19"/>
      <c r="AR13037" s="19"/>
      <c r="AS13037" s="19"/>
      <c r="AT13037" s="19"/>
      <c r="AU13037" s="19"/>
    </row>
    <row r="13038" spans="3:47">
      <c r="C13038" s="20"/>
      <c r="Z13038" s="20"/>
      <c r="AG13038" s="20"/>
      <c r="AQ13038" s="19"/>
      <c r="AR13038" s="19"/>
      <c r="AS13038" s="19"/>
      <c r="AT13038" s="19"/>
      <c r="AU13038" s="19"/>
    </row>
    <row r="13039" spans="3:47">
      <c r="C13039" s="20"/>
      <c r="Z13039" s="20"/>
      <c r="AG13039" s="20"/>
      <c r="AQ13039" s="19"/>
      <c r="AR13039" s="19"/>
      <c r="AS13039" s="19"/>
      <c r="AT13039" s="19"/>
      <c r="AU13039" s="19"/>
    </row>
    <row r="13040" spans="3:47">
      <c r="C13040" s="20"/>
      <c r="Z13040" s="20"/>
      <c r="AG13040" s="20"/>
      <c r="AQ13040" s="19"/>
      <c r="AR13040" s="19"/>
      <c r="AS13040" s="19"/>
      <c r="AT13040" s="19"/>
      <c r="AU13040" s="19"/>
    </row>
    <row r="13041" spans="3:47">
      <c r="C13041" s="20"/>
      <c r="Z13041" s="20"/>
      <c r="AG13041" s="20"/>
      <c r="AQ13041" s="19"/>
      <c r="AR13041" s="19"/>
      <c r="AS13041" s="19"/>
      <c r="AT13041" s="19"/>
      <c r="AU13041" s="19"/>
    </row>
    <row r="13042" spans="3:47">
      <c r="C13042" s="20"/>
      <c r="Z13042" s="20"/>
      <c r="AG13042" s="20"/>
      <c r="AQ13042" s="19"/>
      <c r="AR13042" s="19"/>
      <c r="AS13042" s="19"/>
      <c r="AT13042" s="19"/>
      <c r="AU13042" s="19"/>
    </row>
    <row r="13043" spans="3:47">
      <c r="C13043" s="20"/>
      <c r="Z13043" s="20"/>
      <c r="AG13043" s="20"/>
      <c r="AQ13043" s="19"/>
      <c r="AR13043" s="19"/>
      <c r="AS13043" s="19"/>
      <c r="AT13043" s="19"/>
      <c r="AU13043" s="19"/>
    </row>
    <row r="13044" spans="3:47">
      <c r="C13044" s="20"/>
      <c r="Z13044" s="20"/>
      <c r="AG13044" s="20"/>
      <c r="AQ13044" s="19"/>
      <c r="AR13044" s="19"/>
      <c r="AS13044" s="19"/>
      <c r="AT13044" s="19"/>
      <c r="AU13044" s="19"/>
    </row>
    <row r="13045" spans="3:47">
      <c r="C13045" s="20"/>
      <c r="Z13045" s="20"/>
      <c r="AG13045" s="20"/>
      <c r="AQ13045" s="19"/>
      <c r="AR13045" s="19"/>
      <c r="AS13045" s="19"/>
      <c r="AT13045" s="19"/>
      <c r="AU13045" s="19"/>
    </row>
    <row r="13046" spans="3:47">
      <c r="C13046" s="20"/>
      <c r="Z13046" s="20"/>
      <c r="AG13046" s="20"/>
      <c r="AQ13046" s="19"/>
      <c r="AR13046" s="19"/>
      <c r="AS13046" s="19"/>
      <c r="AT13046" s="19"/>
      <c r="AU13046" s="19"/>
    </row>
    <row r="13047" spans="3:47">
      <c r="C13047" s="20"/>
      <c r="Z13047" s="20"/>
      <c r="AG13047" s="20"/>
      <c r="AQ13047" s="19"/>
      <c r="AR13047" s="19"/>
      <c r="AS13047" s="19"/>
      <c r="AT13047" s="19"/>
      <c r="AU13047" s="19"/>
    </row>
    <row r="13048" spans="3:47">
      <c r="C13048" s="20"/>
      <c r="Z13048" s="20"/>
      <c r="AG13048" s="20"/>
      <c r="AQ13048" s="19"/>
      <c r="AR13048" s="19"/>
      <c r="AS13048" s="19"/>
      <c r="AT13048" s="19"/>
      <c r="AU13048" s="19"/>
    </row>
    <row r="13049" spans="3:47">
      <c r="C13049" s="20"/>
      <c r="Z13049" s="20"/>
      <c r="AG13049" s="20"/>
      <c r="AQ13049" s="19"/>
      <c r="AR13049" s="19"/>
      <c r="AS13049" s="19"/>
      <c r="AT13049" s="19"/>
      <c r="AU13049" s="19"/>
    </row>
    <row r="13050" spans="3:47">
      <c r="C13050" s="20"/>
      <c r="Z13050" s="20"/>
      <c r="AG13050" s="20"/>
      <c r="AQ13050" s="19"/>
      <c r="AR13050" s="19"/>
      <c r="AS13050" s="19"/>
      <c r="AT13050" s="19"/>
      <c r="AU13050" s="19"/>
    </row>
    <row r="13051" spans="3:47">
      <c r="C13051" s="20"/>
      <c r="Z13051" s="20"/>
      <c r="AG13051" s="20"/>
      <c r="AQ13051" s="19"/>
      <c r="AR13051" s="19"/>
      <c r="AS13051" s="19"/>
      <c r="AT13051" s="19"/>
      <c r="AU13051" s="19"/>
    </row>
    <row r="13052" spans="3:47">
      <c r="C13052" s="20"/>
      <c r="Z13052" s="20"/>
      <c r="AG13052" s="20"/>
      <c r="AQ13052" s="19"/>
      <c r="AR13052" s="19"/>
      <c r="AS13052" s="19"/>
      <c r="AT13052" s="19"/>
      <c r="AU13052" s="19"/>
    </row>
    <row r="13053" spans="3:47">
      <c r="C13053" s="20"/>
      <c r="Z13053" s="20"/>
      <c r="AG13053" s="20"/>
      <c r="AQ13053" s="19"/>
      <c r="AR13053" s="19"/>
      <c r="AS13053" s="19"/>
      <c r="AT13053" s="19"/>
      <c r="AU13053" s="19"/>
    </row>
    <row r="13054" spans="3:47">
      <c r="C13054" s="20"/>
      <c r="Z13054" s="20"/>
      <c r="AG13054" s="20"/>
      <c r="AQ13054" s="19"/>
      <c r="AR13054" s="19"/>
      <c r="AS13054" s="19"/>
      <c r="AT13054" s="19"/>
      <c r="AU13054" s="19"/>
    </row>
    <row r="13055" spans="3:47">
      <c r="C13055" s="20"/>
      <c r="Z13055" s="20"/>
      <c r="AG13055" s="20"/>
      <c r="AQ13055" s="19"/>
      <c r="AR13055" s="19"/>
      <c r="AS13055" s="19"/>
      <c r="AT13055" s="19"/>
      <c r="AU13055" s="19"/>
    </row>
    <row r="13056" spans="3:47">
      <c r="C13056" s="20"/>
      <c r="Z13056" s="20"/>
      <c r="AG13056" s="20"/>
      <c r="AQ13056" s="19"/>
      <c r="AR13056" s="19"/>
      <c r="AS13056" s="19"/>
      <c r="AT13056" s="19"/>
      <c r="AU13056" s="19"/>
    </row>
    <row r="13057" spans="3:47">
      <c r="C13057" s="20"/>
      <c r="Z13057" s="20"/>
      <c r="AG13057" s="20"/>
      <c r="AQ13057" s="19"/>
      <c r="AR13057" s="19"/>
      <c r="AS13057" s="19"/>
      <c r="AT13057" s="19"/>
      <c r="AU13057" s="19"/>
    </row>
    <row r="13058" spans="3:47">
      <c r="C13058" s="20"/>
      <c r="Z13058" s="20"/>
      <c r="AG13058" s="20"/>
      <c r="AQ13058" s="19"/>
      <c r="AR13058" s="19"/>
      <c r="AS13058" s="19"/>
      <c r="AT13058" s="19"/>
      <c r="AU13058" s="19"/>
    </row>
    <row r="13059" spans="3:47">
      <c r="C13059" s="20"/>
      <c r="Z13059" s="20"/>
      <c r="AG13059" s="20"/>
      <c r="AQ13059" s="19"/>
      <c r="AR13059" s="19"/>
      <c r="AS13059" s="19"/>
      <c r="AT13059" s="19"/>
      <c r="AU13059" s="19"/>
    </row>
    <row r="13060" spans="3:47">
      <c r="C13060" s="20"/>
      <c r="Z13060" s="20"/>
      <c r="AG13060" s="20"/>
      <c r="AQ13060" s="19"/>
      <c r="AR13060" s="19"/>
      <c r="AS13060" s="19"/>
      <c r="AT13060" s="19"/>
      <c r="AU13060" s="19"/>
    </row>
    <row r="13061" spans="3:47">
      <c r="C13061" s="20"/>
      <c r="Z13061" s="20"/>
      <c r="AG13061" s="20"/>
      <c r="AQ13061" s="19"/>
      <c r="AR13061" s="19"/>
      <c r="AS13061" s="19"/>
      <c r="AT13061" s="19"/>
      <c r="AU13061" s="19"/>
    </row>
    <row r="13062" spans="3:47">
      <c r="C13062" s="20"/>
      <c r="Z13062" s="20"/>
      <c r="AG13062" s="20"/>
      <c r="AQ13062" s="19"/>
      <c r="AR13062" s="19"/>
      <c r="AS13062" s="19"/>
      <c r="AT13062" s="19"/>
      <c r="AU13062" s="19"/>
    </row>
    <row r="13063" spans="3:47">
      <c r="C13063" s="20"/>
      <c r="Z13063" s="20"/>
      <c r="AG13063" s="20"/>
      <c r="AQ13063" s="19"/>
      <c r="AR13063" s="19"/>
      <c r="AS13063" s="19"/>
      <c r="AT13063" s="19"/>
      <c r="AU13063" s="19"/>
    </row>
    <row r="13064" spans="3:47">
      <c r="C13064" s="20"/>
      <c r="Z13064" s="20"/>
      <c r="AG13064" s="20"/>
      <c r="AQ13064" s="19"/>
      <c r="AR13064" s="19"/>
      <c r="AS13064" s="19"/>
      <c r="AT13064" s="19"/>
      <c r="AU13064" s="19"/>
    </row>
    <row r="13065" spans="3:47">
      <c r="C13065" s="20"/>
      <c r="Z13065" s="20"/>
      <c r="AG13065" s="20"/>
      <c r="AQ13065" s="19"/>
      <c r="AR13065" s="19"/>
      <c r="AS13065" s="19"/>
      <c r="AT13065" s="19"/>
      <c r="AU13065" s="19"/>
    </row>
    <row r="13066" spans="3:47">
      <c r="C13066" s="20"/>
      <c r="Z13066" s="20"/>
      <c r="AG13066" s="20"/>
      <c r="AQ13066" s="19"/>
      <c r="AR13066" s="19"/>
      <c r="AS13066" s="19"/>
      <c r="AT13066" s="19"/>
      <c r="AU13066" s="19"/>
    </row>
    <row r="13067" spans="3:47">
      <c r="C13067" s="20"/>
      <c r="Z13067" s="20"/>
      <c r="AG13067" s="20"/>
      <c r="AQ13067" s="19"/>
      <c r="AR13067" s="19"/>
      <c r="AS13067" s="19"/>
      <c r="AT13067" s="19"/>
      <c r="AU13067" s="19"/>
    </row>
    <row r="13068" spans="3:47">
      <c r="C13068" s="20"/>
      <c r="Z13068" s="20"/>
      <c r="AG13068" s="20"/>
      <c r="AQ13068" s="19"/>
      <c r="AR13068" s="19"/>
      <c r="AS13068" s="19"/>
      <c r="AT13068" s="19"/>
      <c r="AU13068" s="19"/>
    </row>
    <row r="13069" spans="3:47">
      <c r="C13069" s="20"/>
      <c r="Z13069" s="20"/>
      <c r="AG13069" s="20"/>
      <c r="AQ13069" s="19"/>
      <c r="AR13069" s="19"/>
      <c r="AS13069" s="19"/>
      <c r="AT13069" s="19"/>
      <c r="AU13069" s="19"/>
    </row>
    <row r="13070" spans="3:47">
      <c r="C13070" s="20"/>
      <c r="Z13070" s="20"/>
      <c r="AG13070" s="20"/>
      <c r="AQ13070" s="19"/>
      <c r="AR13070" s="19"/>
      <c r="AS13070" s="19"/>
      <c r="AT13070" s="19"/>
      <c r="AU13070" s="19"/>
    </row>
    <row r="13071" spans="3:47">
      <c r="C13071" s="20"/>
      <c r="Z13071" s="20"/>
      <c r="AG13071" s="20"/>
      <c r="AQ13071" s="19"/>
      <c r="AR13071" s="19"/>
      <c r="AS13071" s="19"/>
      <c r="AT13071" s="19"/>
      <c r="AU13071" s="19"/>
    </row>
    <row r="13072" spans="3:47">
      <c r="C13072" s="20"/>
      <c r="Z13072" s="20"/>
      <c r="AG13072" s="20"/>
      <c r="AQ13072" s="19"/>
      <c r="AR13072" s="19"/>
      <c r="AS13072" s="19"/>
      <c r="AT13072" s="19"/>
      <c r="AU13072" s="19"/>
    </row>
    <row r="13073" spans="3:47">
      <c r="C13073" s="20"/>
      <c r="Z13073" s="20"/>
      <c r="AG13073" s="20"/>
      <c r="AQ13073" s="19"/>
      <c r="AR13073" s="19"/>
      <c r="AS13073" s="19"/>
      <c r="AT13073" s="19"/>
      <c r="AU13073" s="19"/>
    </row>
    <row r="13074" spans="3:47">
      <c r="C13074" s="20"/>
      <c r="Z13074" s="20"/>
      <c r="AG13074" s="20"/>
      <c r="AQ13074" s="19"/>
      <c r="AR13074" s="19"/>
      <c r="AS13074" s="19"/>
      <c r="AT13074" s="19"/>
      <c r="AU13074" s="19"/>
    </row>
    <row r="13075" spans="3:47">
      <c r="C13075" s="20"/>
      <c r="Z13075" s="20"/>
      <c r="AG13075" s="20"/>
      <c r="AQ13075" s="19"/>
      <c r="AR13075" s="19"/>
      <c r="AS13075" s="19"/>
      <c r="AT13075" s="19"/>
      <c r="AU13075" s="19"/>
    </row>
    <row r="13076" spans="3:47">
      <c r="C13076" s="20"/>
      <c r="Z13076" s="20"/>
      <c r="AG13076" s="20"/>
      <c r="AQ13076" s="19"/>
      <c r="AR13076" s="19"/>
      <c r="AS13076" s="19"/>
      <c r="AT13076" s="19"/>
      <c r="AU13076" s="19"/>
    </row>
    <row r="13077" spans="3:47">
      <c r="C13077" s="20"/>
      <c r="Z13077" s="20"/>
      <c r="AG13077" s="20"/>
      <c r="AQ13077" s="19"/>
      <c r="AR13077" s="19"/>
      <c r="AS13077" s="19"/>
      <c r="AT13077" s="19"/>
      <c r="AU13077" s="19"/>
    </row>
    <row r="13078" spans="3:47">
      <c r="C13078" s="20"/>
      <c r="Z13078" s="20"/>
      <c r="AG13078" s="20"/>
      <c r="AQ13078" s="19"/>
      <c r="AR13078" s="19"/>
      <c r="AS13078" s="19"/>
      <c r="AT13078" s="19"/>
      <c r="AU13078" s="19"/>
    </row>
    <row r="13079" spans="3:47">
      <c r="C13079" s="20"/>
      <c r="Z13079" s="20"/>
      <c r="AG13079" s="20"/>
      <c r="AQ13079" s="19"/>
      <c r="AR13079" s="19"/>
      <c r="AS13079" s="19"/>
      <c r="AT13079" s="19"/>
      <c r="AU13079" s="19"/>
    </row>
    <row r="13080" spans="3:47">
      <c r="C13080" s="20"/>
      <c r="Z13080" s="20"/>
      <c r="AG13080" s="20"/>
      <c r="AQ13080" s="19"/>
      <c r="AR13080" s="19"/>
      <c r="AS13080" s="19"/>
      <c r="AT13080" s="19"/>
      <c r="AU13080" s="19"/>
    </row>
    <row r="13081" spans="3:47">
      <c r="C13081" s="20"/>
      <c r="Z13081" s="20"/>
      <c r="AG13081" s="20"/>
      <c r="AQ13081" s="19"/>
      <c r="AR13081" s="19"/>
      <c r="AS13081" s="19"/>
      <c r="AT13081" s="19"/>
      <c r="AU13081" s="19"/>
    </row>
    <row r="13082" spans="3:47">
      <c r="C13082" s="20"/>
      <c r="Z13082" s="20"/>
      <c r="AG13082" s="20"/>
      <c r="AQ13082" s="19"/>
      <c r="AR13082" s="19"/>
      <c r="AS13082" s="19"/>
      <c r="AT13082" s="19"/>
      <c r="AU13082" s="19"/>
    </row>
    <row r="13083" spans="3:47">
      <c r="C13083" s="20"/>
      <c r="Z13083" s="20"/>
      <c r="AG13083" s="20"/>
      <c r="AQ13083" s="19"/>
      <c r="AR13083" s="19"/>
      <c r="AS13083" s="19"/>
      <c r="AT13083" s="19"/>
      <c r="AU13083" s="19"/>
    </row>
    <row r="13084" spans="3:47">
      <c r="C13084" s="20"/>
      <c r="Z13084" s="20"/>
      <c r="AG13084" s="20"/>
      <c r="AQ13084" s="19"/>
      <c r="AR13084" s="19"/>
      <c r="AS13084" s="19"/>
      <c r="AT13084" s="19"/>
      <c r="AU13084" s="19"/>
    </row>
    <row r="13085" spans="3:47">
      <c r="C13085" s="20"/>
      <c r="Z13085" s="20"/>
      <c r="AG13085" s="20"/>
      <c r="AQ13085" s="19"/>
      <c r="AR13085" s="19"/>
      <c r="AS13085" s="19"/>
      <c r="AT13085" s="19"/>
      <c r="AU13085" s="19"/>
    </row>
    <row r="13086" spans="3:47">
      <c r="C13086" s="20"/>
      <c r="Z13086" s="20"/>
      <c r="AG13086" s="20"/>
      <c r="AQ13086" s="19"/>
      <c r="AR13086" s="19"/>
      <c r="AS13086" s="19"/>
      <c r="AT13086" s="19"/>
      <c r="AU13086" s="19"/>
    </row>
    <row r="13087" spans="3:47">
      <c r="C13087" s="20"/>
      <c r="Z13087" s="20"/>
      <c r="AG13087" s="20"/>
      <c r="AQ13087" s="19"/>
      <c r="AR13087" s="19"/>
      <c r="AS13087" s="19"/>
      <c r="AT13087" s="19"/>
      <c r="AU13087" s="19"/>
    </row>
    <row r="13088" spans="3:47">
      <c r="C13088" s="20"/>
      <c r="Z13088" s="20"/>
      <c r="AG13088" s="20"/>
      <c r="AQ13088" s="19"/>
      <c r="AR13088" s="19"/>
      <c r="AS13088" s="19"/>
      <c r="AT13088" s="19"/>
      <c r="AU13088" s="19"/>
    </row>
    <row r="13089" spans="3:47">
      <c r="C13089" s="20"/>
      <c r="Z13089" s="20"/>
      <c r="AG13089" s="20"/>
      <c r="AQ13089" s="19"/>
      <c r="AR13089" s="19"/>
      <c r="AS13089" s="19"/>
      <c r="AT13089" s="19"/>
      <c r="AU13089" s="19"/>
    </row>
    <row r="13090" spans="3:47">
      <c r="C13090" s="20"/>
      <c r="Z13090" s="20"/>
      <c r="AG13090" s="20"/>
      <c r="AQ13090" s="19"/>
      <c r="AR13090" s="19"/>
      <c r="AS13090" s="19"/>
      <c r="AT13090" s="19"/>
      <c r="AU13090" s="19"/>
    </row>
    <row r="13091" spans="3:47">
      <c r="C13091" s="20"/>
      <c r="Z13091" s="20"/>
      <c r="AG13091" s="20"/>
      <c r="AQ13091" s="19"/>
      <c r="AR13091" s="19"/>
      <c r="AS13091" s="19"/>
      <c r="AT13091" s="19"/>
      <c r="AU13091" s="19"/>
    </row>
    <row r="13092" spans="3:47">
      <c r="C13092" s="20"/>
      <c r="Z13092" s="20"/>
      <c r="AG13092" s="20"/>
      <c r="AQ13092" s="19"/>
      <c r="AR13092" s="19"/>
      <c r="AS13092" s="19"/>
      <c r="AT13092" s="19"/>
      <c r="AU13092" s="19"/>
    </row>
    <row r="13093" spans="3:47">
      <c r="C13093" s="20"/>
      <c r="Z13093" s="20"/>
      <c r="AG13093" s="20"/>
      <c r="AQ13093" s="19"/>
      <c r="AR13093" s="19"/>
      <c r="AS13093" s="19"/>
      <c r="AT13093" s="19"/>
      <c r="AU13093" s="19"/>
    </row>
    <row r="13094" spans="3:47">
      <c r="C13094" s="20"/>
      <c r="Z13094" s="20"/>
      <c r="AG13094" s="20"/>
      <c r="AQ13094" s="19"/>
      <c r="AR13094" s="19"/>
      <c r="AS13094" s="19"/>
      <c r="AT13094" s="19"/>
      <c r="AU13094" s="19"/>
    </row>
    <row r="13095" spans="3:47">
      <c r="C13095" s="20"/>
      <c r="Z13095" s="20"/>
      <c r="AG13095" s="20"/>
      <c r="AQ13095" s="19"/>
      <c r="AR13095" s="19"/>
      <c r="AS13095" s="19"/>
      <c r="AT13095" s="19"/>
      <c r="AU13095" s="19"/>
    </row>
    <row r="13096" spans="3:47">
      <c r="C13096" s="20"/>
      <c r="Z13096" s="20"/>
      <c r="AG13096" s="20"/>
      <c r="AQ13096" s="19"/>
      <c r="AR13096" s="19"/>
      <c r="AS13096" s="19"/>
      <c r="AT13096" s="19"/>
      <c r="AU13096" s="19"/>
    </row>
    <row r="13097" spans="3:47">
      <c r="C13097" s="20"/>
      <c r="Z13097" s="20"/>
      <c r="AG13097" s="20"/>
      <c r="AQ13097" s="19"/>
      <c r="AR13097" s="19"/>
      <c r="AS13097" s="19"/>
      <c r="AT13097" s="19"/>
      <c r="AU13097" s="19"/>
    </row>
    <row r="13098" spans="3:47">
      <c r="C13098" s="20"/>
      <c r="Z13098" s="20"/>
      <c r="AG13098" s="20"/>
      <c r="AQ13098" s="19"/>
      <c r="AR13098" s="19"/>
      <c r="AS13098" s="19"/>
      <c r="AT13098" s="19"/>
      <c r="AU13098" s="19"/>
    </row>
    <row r="13099" spans="3:47">
      <c r="C13099" s="20"/>
      <c r="Z13099" s="20"/>
      <c r="AG13099" s="20"/>
      <c r="AQ13099" s="19"/>
      <c r="AR13099" s="19"/>
      <c r="AS13099" s="19"/>
      <c r="AT13099" s="19"/>
      <c r="AU13099" s="19"/>
    </row>
    <row r="13100" spans="3:47">
      <c r="C13100" s="20"/>
      <c r="Z13100" s="20"/>
      <c r="AG13100" s="20"/>
      <c r="AQ13100" s="19"/>
      <c r="AR13100" s="19"/>
      <c r="AS13100" s="19"/>
      <c r="AT13100" s="19"/>
      <c r="AU13100" s="19"/>
    </row>
    <row r="13101" spans="3:47">
      <c r="C13101" s="20"/>
      <c r="Z13101" s="20"/>
      <c r="AG13101" s="20"/>
      <c r="AQ13101" s="19"/>
      <c r="AR13101" s="19"/>
      <c r="AS13101" s="19"/>
      <c r="AT13101" s="19"/>
      <c r="AU13101" s="19"/>
    </row>
    <row r="13102" spans="3:47">
      <c r="C13102" s="20"/>
      <c r="Z13102" s="20"/>
      <c r="AG13102" s="20"/>
      <c r="AQ13102" s="19"/>
      <c r="AR13102" s="19"/>
      <c r="AS13102" s="19"/>
      <c r="AT13102" s="19"/>
      <c r="AU13102" s="19"/>
    </row>
    <row r="13103" spans="3:47">
      <c r="C13103" s="20"/>
      <c r="Z13103" s="20"/>
      <c r="AG13103" s="20"/>
      <c r="AQ13103" s="19"/>
      <c r="AR13103" s="19"/>
      <c r="AS13103" s="19"/>
      <c r="AT13103" s="19"/>
      <c r="AU13103" s="19"/>
    </row>
    <row r="13104" spans="3:47">
      <c r="C13104" s="20"/>
      <c r="Z13104" s="20"/>
      <c r="AG13104" s="20"/>
      <c r="AQ13104" s="19"/>
      <c r="AR13104" s="19"/>
      <c r="AS13104" s="19"/>
      <c r="AT13104" s="19"/>
      <c r="AU13104" s="19"/>
    </row>
    <row r="13105" spans="3:47">
      <c r="C13105" s="20"/>
      <c r="Z13105" s="20"/>
      <c r="AG13105" s="20"/>
      <c r="AQ13105" s="19"/>
      <c r="AR13105" s="19"/>
      <c r="AS13105" s="19"/>
      <c r="AT13105" s="19"/>
      <c r="AU13105" s="19"/>
    </row>
    <row r="13106" spans="3:47">
      <c r="C13106" s="20"/>
      <c r="Z13106" s="20"/>
      <c r="AG13106" s="20"/>
      <c r="AQ13106" s="19"/>
      <c r="AR13106" s="19"/>
      <c r="AS13106" s="19"/>
      <c r="AT13106" s="19"/>
      <c r="AU13106" s="19"/>
    </row>
    <row r="13107" spans="3:47">
      <c r="C13107" s="20"/>
      <c r="Z13107" s="20"/>
      <c r="AG13107" s="20"/>
      <c r="AQ13107" s="19"/>
      <c r="AR13107" s="19"/>
      <c r="AS13107" s="19"/>
      <c r="AT13107" s="19"/>
      <c r="AU13107" s="19"/>
    </row>
    <row r="13108" spans="3:47">
      <c r="C13108" s="20"/>
      <c r="Z13108" s="20"/>
      <c r="AG13108" s="20"/>
      <c r="AQ13108" s="19"/>
      <c r="AR13108" s="19"/>
      <c r="AS13108" s="19"/>
      <c r="AT13108" s="19"/>
      <c r="AU13108" s="19"/>
    </row>
    <row r="13109" spans="3:47">
      <c r="C13109" s="20"/>
      <c r="Z13109" s="20"/>
      <c r="AG13109" s="20"/>
      <c r="AQ13109" s="19"/>
      <c r="AR13109" s="19"/>
      <c r="AS13109" s="19"/>
      <c r="AT13109" s="19"/>
      <c r="AU13109" s="19"/>
    </row>
    <row r="13110" spans="3:47">
      <c r="C13110" s="20"/>
      <c r="Z13110" s="20"/>
      <c r="AG13110" s="20"/>
      <c r="AQ13110" s="19"/>
      <c r="AR13110" s="19"/>
      <c r="AS13110" s="19"/>
      <c r="AT13110" s="19"/>
      <c r="AU13110" s="19"/>
    </row>
    <row r="13111" spans="3:47">
      <c r="C13111" s="20"/>
      <c r="Z13111" s="20"/>
      <c r="AG13111" s="20"/>
      <c r="AQ13111" s="19"/>
      <c r="AR13111" s="19"/>
      <c r="AS13111" s="19"/>
      <c r="AT13111" s="19"/>
      <c r="AU13111" s="19"/>
    </row>
    <row r="13112" spans="3:47">
      <c r="C13112" s="20"/>
      <c r="Z13112" s="20"/>
      <c r="AG13112" s="20"/>
      <c r="AQ13112" s="19"/>
      <c r="AR13112" s="19"/>
      <c r="AS13112" s="19"/>
      <c r="AT13112" s="19"/>
      <c r="AU13112" s="19"/>
    </row>
    <row r="13113" spans="3:47">
      <c r="C13113" s="20"/>
      <c r="Z13113" s="20"/>
      <c r="AG13113" s="20"/>
      <c r="AQ13113" s="19"/>
      <c r="AR13113" s="19"/>
      <c r="AS13113" s="19"/>
      <c r="AT13113" s="19"/>
      <c r="AU13113" s="19"/>
    </row>
    <row r="13114" spans="3:47">
      <c r="C13114" s="20"/>
      <c r="Z13114" s="20"/>
      <c r="AG13114" s="20"/>
      <c r="AQ13114" s="19"/>
      <c r="AR13114" s="19"/>
      <c r="AS13114" s="19"/>
      <c r="AT13114" s="19"/>
      <c r="AU13114" s="19"/>
    </row>
    <row r="13115" spans="3:47">
      <c r="C13115" s="20"/>
      <c r="Z13115" s="20"/>
      <c r="AG13115" s="20"/>
      <c r="AQ13115" s="19"/>
      <c r="AR13115" s="19"/>
      <c r="AS13115" s="19"/>
      <c r="AT13115" s="19"/>
      <c r="AU13115" s="19"/>
    </row>
    <row r="13116" spans="3:47">
      <c r="C13116" s="20"/>
      <c r="Z13116" s="20"/>
      <c r="AG13116" s="20"/>
      <c r="AQ13116" s="19"/>
      <c r="AR13116" s="19"/>
      <c r="AS13116" s="19"/>
      <c r="AT13116" s="19"/>
      <c r="AU13116" s="19"/>
    </row>
    <row r="13117" spans="3:47">
      <c r="C13117" s="20"/>
      <c r="Z13117" s="20"/>
      <c r="AG13117" s="20"/>
      <c r="AQ13117" s="19"/>
      <c r="AR13117" s="19"/>
      <c r="AS13117" s="19"/>
      <c r="AT13117" s="19"/>
      <c r="AU13117" s="19"/>
    </row>
    <row r="13118" spans="3:47">
      <c r="C13118" s="20"/>
      <c r="Z13118" s="20"/>
      <c r="AG13118" s="20"/>
      <c r="AQ13118" s="19"/>
      <c r="AR13118" s="19"/>
      <c r="AS13118" s="19"/>
      <c r="AT13118" s="19"/>
      <c r="AU13118" s="19"/>
    </row>
    <row r="13119" spans="3:47">
      <c r="C13119" s="20"/>
      <c r="Z13119" s="20"/>
      <c r="AG13119" s="20"/>
      <c r="AQ13119" s="19"/>
      <c r="AR13119" s="19"/>
      <c r="AS13119" s="19"/>
      <c r="AT13119" s="19"/>
      <c r="AU13119" s="19"/>
    </row>
    <row r="13120" spans="3:47">
      <c r="C13120" s="20"/>
      <c r="Z13120" s="20"/>
      <c r="AG13120" s="20"/>
      <c r="AQ13120" s="19"/>
      <c r="AR13120" s="19"/>
      <c r="AS13120" s="19"/>
      <c r="AT13120" s="19"/>
      <c r="AU13120" s="19"/>
    </row>
    <row r="13121" spans="3:47">
      <c r="C13121" s="20"/>
      <c r="Z13121" s="20"/>
      <c r="AG13121" s="20"/>
      <c r="AQ13121" s="19"/>
      <c r="AR13121" s="19"/>
      <c r="AS13121" s="19"/>
      <c r="AT13121" s="19"/>
      <c r="AU13121" s="19"/>
    </row>
    <row r="13122" spans="3:47">
      <c r="C13122" s="20"/>
      <c r="Z13122" s="20"/>
      <c r="AG13122" s="20"/>
      <c r="AQ13122" s="19"/>
      <c r="AR13122" s="19"/>
      <c r="AS13122" s="19"/>
      <c r="AT13122" s="19"/>
      <c r="AU13122" s="19"/>
    </row>
    <row r="13123" spans="3:47">
      <c r="C13123" s="20"/>
      <c r="Z13123" s="20"/>
      <c r="AG13123" s="20"/>
      <c r="AQ13123" s="19"/>
      <c r="AR13123" s="19"/>
      <c r="AS13123" s="19"/>
      <c r="AT13123" s="19"/>
      <c r="AU13123" s="19"/>
    </row>
    <row r="13124" spans="3:47">
      <c r="C13124" s="20"/>
      <c r="Z13124" s="20"/>
      <c r="AG13124" s="20"/>
      <c r="AQ13124" s="19"/>
      <c r="AR13124" s="19"/>
      <c r="AS13124" s="19"/>
      <c r="AT13124" s="19"/>
      <c r="AU13124" s="19"/>
    </row>
    <row r="13125" spans="3:47">
      <c r="C13125" s="20"/>
      <c r="Z13125" s="20"/>
      <c r="AG13125" s="20"/>
      <c r="AQ13125" s="19"/>
      <c r="AR13125" s="19"/>
      <c r="AS13125" s="19"/>
      <c r="AT13125" s="19"/>
      <c r="AU13125" s="19"/>
    </row>
    <row r="13126" spans="3:47">
      <c r="C13126" s="20"/>
      <c r="Z13126" s="20"/>
      <c r="AG13126" s="20"/>
      <c r="AQ13126" s="19"/>
      <c r="AR13126" s="19"/>
      <c r="AS13126" s="19"/>
      <c r="AT13126" s="19"/>
      <c r="AU13126" s="19"/>
    </row>
    <row r="13127" spans="3:47">
      <c r="C13127" s="20"/>
      <c r="Z13127" s="20"/>
      <c r="AG13127" s="20"/>
      <c r="AQ13127" s="19"/>
      <c r="AR13127" s="19"/>
      <c r="AS13127" s="19"/>
      <c r="AT13127" s="19"/>
      <c r="AU13127" s="19"/>
    </row>
    <row r="13128" spans="3:47">
      <c r="C13128" s="20"/>
      <c r="Z13128" s="20"/>
      <c r="AG13128" s="20"/>
      <c r="AQ13128" s="19"/>
      <c r="AR13128" s="19"/>
      <c r="AS13128" s="19"/>
      <c r="AT13128" s="19"/>
      <c r="AU13128" s="19"/>
    </row>
    <row r="13129" spans="3:47">
      <c r="C13129" s="20"/>
      <c r="Z13129" s="20"/>
      <c r="AG13129" s="20"/>
      <c r="AQ13129" s="19"/>
      <c r="AR13129" s="19"/>
      <c r="AS13129" s="19"/>
      <c r="AT13129" s="19"/>
      <c r="AU13129" s="19"/>
    </row>
    <row r="13130" spans="3:47">
      <c r="C13130" s="20"/>
      <c r="Z13130" s="20"/>
      <c r="AG13130" s="20"/>
      <c r="AQ13130" s="19"/>
      <c r="AR13130" s="19"/>
      <c r="AS13130" s="19"/>
      <c r="AT13130" s="19"/>
      <c r="AU13130" s="19"/>
    </row>
    <row r="13131" spans="3:47">
      <c r="C13131" s="20"/>
      <c r="Z13131" s="20"/>
      <c r="AG13131" s="20"/>
      <c r="AQ13131" s="19"/>
      <c r="AR13131" s="19"/>
      <c r="AS13131" s="19"/>
      <c r="AT13131" s="19"/>
      <c r="AU13131" s="19"/>
    </row>
    <row r="13132" spans="3:47">
      <c r="C13132" s="20"/>
      <c r="Z13132" s="20"/>
      <c r="AG13132" s="20"/>
      <c r="AQ13132" s="19"/>
      <c r="AR13132" s="19"/>
      <c r="AS13132" s="19"/>
      <c r="AT13132" s="19"/>
      <c r="AU13132" s="19"/>
    </row>
    <row r="13133" spans="3:47">
      <c r="C13133" s="20"/>
      <c r="Z13133" s="20"/>
      <c r="AG13133" s="20"/>
      <c r="AQ13133" s="19"/>
      <c r="AR13133" s="19"/>
      <c r="AS13133" s="19"/>
      <c r="AT13133" s="19"/>
      <c r="AU13133" s="19"/>
    </row>
    <row r="13134" spans="3:47">
      <c r="C13134" s="20"/>
      <c r="Z13134" s="20"/>
      <c r="AG13134" s="20"/>
      <c r="AQ13134" s="19"/>
      <c r="AR13134" s="19"/>
      <c r="AS13134" s="19"/>
      <c r="AT13134" s="19"/>
      <c r="AU13134" s="19"/>
    </row>
    <row r="13135" spans="3:47">
      <c r="C13135" s="20"/>
      <c r="Z13135" s="20"/>
      <c r="AG13135" s="20"/>
      <c r="AQ13135" s="19"/>
      <c r="AR13135" s="19"/>
      <c r="AS13135" s="19"/>
      <c r="AT13135" s="19"/>
      <c r="AU13135" s="19"/>
    </row>
    <row r="13136" spans="3:47">
      <c r="C13136" s="20"/>
      <c r="Z13136" s="20"/>
      <c r="AG13136" s="20"/>
      <c r="AQ13136" s="19"/>
      <c r="AR13136" s="19"/>
      <c r="AS13136" s="19"/>
      <c r="AT13136" s="19"/>
      <c r="AU13136" s="19"/>
    </row>
    <row r="13137" spans="3:47">
      <c r="C13137" s="20"/>
      <c r="Z13137" s="20"/>
      <c r="AG13137" s="20"/>
      <c r="AQ13137" s="19"/>
      <c r="AR13137" s="19"/>
      <c r="AS13137" s="19"/>
      <c r="AT13137" s="19"/>
      <c r="AU13137" s="19"/>
    </row>
    <row r="13138" spans="3:47">
      <c r="C13138" s="20"/>
      <c r="Z13138" s="20"/>
      <c r="AG13138" s="20"/>
      <c r="AQ13138" s="19"/>
      <c r="AR13138" s="19"/>
      <c r="AS13138" s="19"/>
      <c r="AT13138" s="19"/>
      <c r="AU13138" s="19"/>
    </row>
    <row r="13139" spans="3:47">
      <c r="C13139" s="20"/>
      <c r="Z13139" s="20"/>
      <c r="AG13139" s="20"/>
      <c r="AQ13139" s="19"/>
      <c r="AR13139" s="19"/>
      <c r="AS13139" s="19"/>
      <c r="AT13139" s="19"/>
      <c r="AU13139" s="19"/>
    </row>
    <row r="13140" spans="3:47">
      <c r="C13140" s="20"/>
      <c r="Z13140" s="20"/>
      <c r="AG13140" s="20"/>
      <c r="AQ13140" s="19"/>
      <c r="AR13140" s="19"/>
      <c r="AS13140" s="19"/>
      <c r="AT13140" s="19"/>
      <c r="AU13140" s="19"/>
    </row>
    <row r="13141" spans="3:47">
      <c r="C13141" s="20"/>
      <c r="Z13141" s="20"/>
      <c r="AG13141" s="20"/>
      <c r="AQ13141" s="19"/>
      <c r="AR13141" s="19"/>
      <c r="AS13141" s="19"/>
      <c r="AT13141" s="19"/>
      <c r="AU13141" s="19"/>
    </row>
    <row r="13142" spans="3:47">
      <c r="C13142" s="20"/>
      <c r="Z13142" s="20"/>
      <c r="AG13142" s="20"/>
      <c r="AQ13142" s="19"/>
      <c r="AR13142" s="19"/>
      <c r="AS13142" s="19"/>
      <c r="AT13142" s="19"/>
      <c r="AU13142" s="19"/>
    </row>
    <row r="13143" spans="3:47">
      <c r="C13143" s="20"/>
      <c r="Z13143" s="20"/>
      <c r="AG13143" s="20"/>
      <c r="AQ13143" s="19"/>
      <c r="AR13143" s="19"/>
      <c r="AS13143" s="19"/>
      <c r="AT13143" s="19"/>
      <c r="AU13143" s="19"/>
    </row>
    <row r="13144" spans="3:47">
      <c r="C13144" s="20"/>
      <c r="Z13144" s="20"/>
      <c r="AG13144" s="20"/>
      <c r="AQ13144" s="19"/>
      <c r="AR13144" s="19"/>
      <c r="AS13144" s="19"/>
      <c r="AT13144" s="19"/>
      <c r="AU13144" s="19"/>
    </row>
    <row r="13145" spans="3:47">
      <c r="C13145" s="20"/>
      <c r="Z13145" s="20"/>
      <c r="AG13145" s="20"/>
      <c r="AQ13145" s="19"/>
      <c r="AR13145" s="19"/>
      <c r="AS13145" s="19"/>
      <c r="AT13145" s="19"/>
      <c r="AU13145" s="19"/>
    </row>
    <row r="13146" spans="3:47">
      <c r="C13146" s="20"/>
      <c r="Z13146" s="20"/>
      <c r="AG13146" s="20"/>
      <c r="AQ13146" s="19"/>
      <c r="AR13146" s="19"/>
      <c r="AS13146" s="19"/>
      <c r="AT13146" s="19"/>
      <c r="AU13146" s="19"/>
    </row>
    <row r="13147" spans="3:47">
      <c r="C13147" s="20"/>
      <c r="Z13147" s="20"/>
      <c r="AG13147" s="20"/>
      <c r="AQ13147" s="19"/>
      <c r="AR13147" s="19"/>
      <c r="AS13147" s="19"/>
      <c r="AT13147" s="19"/>
      <c r="AU13147" s="19"/>
    </row>
    <row r="13148" spans="3:47">
      <c r="C13148" s="20"/>
      <c r="Z13148" s="20"/>
      <c r="AG13148" s="20"/>
      <c r="AQ13148" s="19"/>
      <c r="AR13148" s="19"/>
      <c r="AS13148" s="19"/>
      <c r="AT13148" s="19"/>
      <c r="AU13148" s="19"/>
    </row>
    <row r="13149" spans="3:47">
      <c r="C13149" s="20"/>
      <c r="Z13149" s="20"/>
      <c r="AG13149" s="20"/>
      <c r="AQ13149" s="19"/>
      <c r="AR13149" s="19"/>
      <c r="AS13149" s="19"/>
      <c r="AT13149" s="19"/>
      <c r="AU13149" s="19"/>
    </row>
    <row r="13150" spans="3:47">
      <c r="C13150" s="20"/>
      <c r="Z13150" s="20"/>
      <c r="AG13150" s="20"/>
      <c r="AQ13150" s="19"/>
      <c r="AR13150" s="19"/>
      <c r="AS13150" s="19"/>
      <c r="AT13150" s="19"/>
      <c r="AU13150" s="19"/>
    </row>
    <row r="13151" spans="3:47">
      <c r="C13151" s="20"/>
      <c r="Z13151" s="20"/>
      <c r="AG13151" s="20"/>
      <c r="AQ13151" s="19"/>
      <c r="AR13151" s="19"/>
      <c r="AS13151" s="19"/>
      <c r="AT13151" s="19"/>
      <c r="AU13151" s="19"/>
    </row>
    <row r="13152" spans="3:47">
      <c r="C13152" s="20"/>
      <c r="Z13152" s="20"/>
      <c r="AG13152" s="20"/>
      <c r="AQ13152" s="19"/>
      <c r="AR13152" s="19"/>
      <c r="AS13152" s="19"/>
      <c r="AT13152" s="19"/>
      <c r="AU13152" s="19"/>
    </row>
    <row r="13153" spans="3:47">
      <c r="C13153" s="20"/>
      <c r="Z13153" s="20"/>
      <c r="AG13153" s="20"/>
      <c r="AQ13153" s="19"/>
      <c r="AR13153" s="19"/>
      <c r="AS13153" s="19"/>
      <c r="AT13153" s="19"/>
      <c r="AU13153" s="19"/>
    </row>
    <row r="13154" spans="3:47">
      <c r="C13154" s="20"/>
      <c r="Z13154" s="20"/>
      <c r="AG13154" s="20"/>
      <c r="AQ13154" s="19"/>
      <c r="AR13154" s="19"/>
      <c r="AS13154" s="19"/>
      <c r="AT13154" s="19"/>
      <c r="AU13154" s="19"/>
    </row>
    <row r="13155" spans="3:47">
      <c r="C13155" s="20"/>
      <c r="Z13155" s="20"/>
      <c r="AG13155" s="20"/>
      <c r="AQ13155" s="19"/>
      <c r="AR13155" s="19"/>
      <c r="AS13155" s="19"/>
      <c r="AT13155" s="19"/>
      <c r="AU13155" s="19"/>
    </row>
    <row r="13156" spans="3:47">
      <c r="C13156" s="20"/>
      <c r="Z13156" s="20"/>
      <c r="AG13156" s="20"/>
      <c r="AQ13156" s="19"/>
      <c r="AR13156" s="19"/>
      <c r="AS13156" s="19"/>
      <c r="AT13156" s="19"/>
      <c r="AU13156" s="19"/>
    </row>
    <row r="13157" spans="3:47">
      <c r="C13157" s="20"/>
      <c r="Z13157" s="20"/>
      <c r="AG13157" s="20"/>
      <c r="AQ13157" s="19"/>
      <c r="AR13157" s="19"/>
      <c r="AS13157" s="19"/>
      <c r="AT13157" s="19"/>
      <c r="AU13157" s="19"/>
    </row>
    <row r="13158" spans="3:47">
      <c r="C13158" s="20"/>
      <c r="Z13158" s="20"/>
      <c r="AG13158" s="20"/>
      <c r="AQ13158" s="19"/>
      <c r="AR13158" s="19"/>
      <c r="AS13158" s="19"/>
      <c r="AT13158" s="19"/>
      <c r="AU13158" s="19"/>
    </row>
    <row r="13159" spans="3:47">
      <c r="C13159" s="20"/>
      <c r="Z13159" s="20"/>
      <c r="AG13159" s="20"/>
      <c r="AQ13159" s="19"/>
      <c r="AR13159" s="19"/>
      <c r="AS13159" s="19"/>
      <c r="AT13159" s="19"/>
      <c r="AU13159" s="19"/>
    </row>
    <row r="13160" spans="3:47">
      <c r="C13160" s="20"/>
      <c r="Z13160" s="20"/>
      <c r="AG13160" s="20"/>
      <c r="AQ13160" s="19"/>
      <c r="AR13160" s="19"/>
      <c r="AS13160" s="19"/>
      <c r="AT13160" s="19"/>
      <c r="AU13160" s="19"/>
    </row>
    <row r="13161" spans="3:47">
      <c r="C13161" s="20"/>
      <c r="Z13161" s="20"/>
      <c r="AG13161" s="20"/>
      <c r="AQ13161" s="19"/>
      <c r="AR13161" s="19"/>
      <c r="AS13161" s="19"/>
      <c r="AT13161" s="19"/>
      <c r="AU13161" s="19"/>
    </row>
    <row r="13162" spans="3:47">
      <c r="C13162" s="20"/>
      <c r="Z13162" s="20"/>
      <c r="AG13162" s="20"/>
      <c r="AQ13162" s="19"/>
      <c r="AR13162" s="19"/>
      <c r="AS13162" s="19"/>
      <c r="AT13162" s="19"/>
      <c r="AU13162" s="19"/>
    </row>
    <row r="13163" spans="3:47">
      <c r="C13163" s="20"/>
      <c r="Z13163" s="20"/>
      <c r="AG13163" s="20"/>
      <c r="AQ13163" s="19"/>
      <c r="AR13163" s="19"/>
      <c r="AS13163" s="19"/>
      <c r="AT13163" s="19"/>
      <c r="AU13163" s="19"/>
    </row>
    <row r="13164" spans="3:47">
      <c r="C13164" s="20"/>
      <c r="Z13164" s="20"/>
      <c r="AG13164" s="20"/>
      <c r="AQ13164" s="19"/>
      <c r="AR13164" s="19"/>
      <c r="AS13164" s="19"/>
      <c r="AT13164" s="19"/>
      <c r="AU13164" s="19"/>
    </row>
    <row r="13165" spans="3:47">
      <c r="C13165" s="20"/>
      <c r="Z13165" s="20"/>
      <c r="AG13165" s="20"/>
      <c r="AQ13165" s="19"/>
      <c r="AR13165" s="19"/>
      <c r="AS13165" s="19"/>
      <c r="AT13165" s="19"/>
      <c r="AU13165" s="19"/>
    </row>
    <row r="13166" spans="3:47">
      <c r="C13166" s="20"/>
      <c r="Z13166" s="20"/>
      <c r="AG13166" s="20"/>
      <c r="AQ13166" s="19"/>
      <c r="AR13166" s="19"/>
      <c r="AS13166" s="19"/>
      <c r="AT13166" s="19"/>
      <c r="AU13166" s="19"/>
    </row>
    <row r="13167" spans="3:47">
      <c r="C13167" s="20"/>
      <c r="Z13167" s="20"/>
      <c r="AG13167" s="20"/>
      <c r="AQ13167" s="19"/>
      <c r="AR13167" s="19"/>
      <c r="AS13167" s="19"/>
      <c r="AT13167" s="19"/>
      <c r="AU13167" s="19"/>
    </row>
    <row r="13168" spans="3:47">
      <c r="C13168" s="20"/>
      <c r="Z13168" s="20"/>
      <c r="AG13168" s="20"/>
      <c r="AQ13168" s="19"/>
      <c r="AR13168" s="19"/>
      <c r="AS13168" s="19"/>
      <c r="AT13168" s="19"/>
      <c r="AU13168" s="19"/>
    </row>
    <row r="13169" spans="3:47">
      <c r="C13169" s="20"/>
      <c r="Z13169" s="20"/>
      <c r="AG13169" s="20"/>
      <c r="AQ13169" s="19"/>
      <c r="AR13169" s="19"/>
      <c r="AS13169" s="19"/>
      <c r="AT13169" s="19"/>
      <c r="AU13169" s="19"/>
    </row>
    <row r="13170" spans="3:47">
      <c r="C13170" s="20"/>
      <c r="Z13170" s="20"/>
      <c r="AG13170" s="20"/>
      <c r="AQ13170" s="19"/>
      <c r="AR13170" s="19"/>
      <c r="AS13170" s="19"/>
      <c r="AT13170" s="19"/>
      <c r="AU13170" s="19"/>
    </row>
    <row r="13171" spans="3:47">
      <c r="C13171" s="20"/>
      <c r="Z13171" s="20"/>
      <c r="AG13171" s="20"/>
      <c r="AQ13171" s="19"/>
      <c r="AR13171" s="19"/>
      <c r="AS13171" s="19"/>
      <c r="AT13171" s="19"/>
      <c r="AU13171" s="19"/>
    </row>
    <row r="13172" spans="3:47">
      <c r="C13172" s="20"/>
      <c r="Z13172" s="20"/>
      <c r="AG13172" s="20"/>
      <c r="AQ13172" s="19"/>
      <c r="AR13172" s="19"/>
      <c r="AS13172" s="19"/>
      <c r="AT13172" s="19"/>
      <c r="AU13172" s="19"/>
    </row>
    <row r="13173" spans="3:47">
      <c r="C13173" s="20"/>
      <c r="Z13173" s="20"/>
      <c r="AG13173" s="20"/>
      <c r="AQ13173" s="19"/>
      <c r="AR13173" s="19"/>
      <c r="AS13173" s="19"/>
      <c r="AT13173" s="19"/>
      <c r="AU13173" s="19"/>
    </row>
    <row r="13174" spans="3:47">
      <c r="C13174" s="20"/>
      <c r="Z13174" s="20"/>
      <c r="AG13174" s="20"/>
      <c r="AQ13174" s="19"/>
      <c r="AR13174" s="19"/>
      <c r="AS13174" s="19"/>
      <c r="AT13174" s="19"/>
      <c r="AU13174" s="19"/>
    </row>
    <row r="13175" spans="3:47">
      <c r="C13175" s="20"/>
      <c r="Z13175" s="20"/>
      <c r="AG13175" s="20"/>
      <c r="AQ13175" s="19"/>
      <c r="AR13175" s="19"/>
      <c r="AS13175" s="19"/>
      <c r="AT13175" s="19"/>
      <c r="AU13175" s="19"/>
    </row>
    <row r="13176" spans="3:47">
      <c r="C13176" s="20"/>
      <c r="Z13176" s="20"/>
      <c r="AG13176" s="20"/>
      <c r="AQ13176" s="19"/>
      <c r="AR13176" s="19"/>
      <c r="AS13176" s="19"/>
      <c r="AT13176" s="19"/>
      <c r="AU13176" s="19"/>
    </row>
    <row r="13177" spans="3:47">
      <c r="C13177" s="20"/>
      <c r="Z13177" s="20"/>
      <c r="AG13177" s="20"/>
      <c r="AQ13177" s="19"/>
      <c r="AR13177" s="19"/>
      <c r="AS13177" s="19"/>
      <c r="AT13177" s="19"/>
      <c r="AU13177" s="19"/>
    </row>
    <row r="13178" spans="3:47">
      <c r="C13178" s="20"/>
      <c r="Z13178" s="20"/>
      <c r="AG13178" s="20"/>
      <c r="AQ13178" s="19"/>
      <c r="AR13178" s="19"/>
      <c r="AS13178" s="19"/>
      <c r="AT13178" s="19"/>
      <c r="AU13178" s="19"/>
    </row>
    <row r="13179" spans="3:47">
      <c r="C13179" s="20"/>
      <c r="Z13179" s="20"/>
      <c r="AG13179" s="20"/>
      <c r="AQ13179" s="19"/>
      <c r="AR13179" s="19"/>
      <c r="AS13179" s="19"/>
      <c r="AT13179" s="19"/>
      <c r="AU13179" s="19"/>
    </row>
    <row r="13180" spans="3:47">
      <c r="C13180" s="20"/>
      <c r="Z13180" s="20"/>
      <c r="AG13180" s="20"/>
      <c r="AQ13180" s="19"/>
      <c r="AR13180" s="19"/>
      <c r="AS13180" s="19"/>
      <c r="AT13180" s="19"/>
      <c r="AU13180" s="19"/>
    </row>
    <row r="13181" spans="3:47">
      <c r="C13181" s="20"/>
      <c r="Z13181" s="20"/>
      <c r="AG13181" s="20"/>
      <c r="AQ13181" s="19"/>
      <c r="AR13181" s="19"/>
      <c r="AS13181" s="19"/>
      <c r="AT13181" s="19"/>
      <c r="AU13181" s="19"/>
    </row>
    <row r="13182" spans="3:47">
      <c r="C13182" s="20"/>
      <c r="Z13182" s="20"/>
      <c r="AG13182" s="20"/>
      <c r="AQ13182" s="19"/>
      <c r="AR13182" s="19"/>
      <c r="AS13182" s="19"/>
      <c r="AT13182" s="19"/>
      <c r="AU13182" s="19"/>
    </row>
    <row r="13183" spans="3:47">
      <c r="C13183" s="20"/>
      <c r="Z13183" s="20"/>
      <c r="AG13183" s="20"/>
      <c r="AQ13183" s="19"/>
      <c r="AR13183" s="19"/>
      <c r="AS13183" s="19"/>
      <c r="AT13183" s="19"/>
      <c r="AU13183" s="19"/>
    </row>
    <row r="13184" spans="3:47">
      <c r="C13184" s="20"/>
      <c r="Z13184" s="20"/>
      <c r="AG13184" s="20"/>
      <c r="AQ13184" s="19"/>
      <c r="AR13184" s="19"/>
      <c r="AS13184" s="19"/>
      <c r="AT13184" s="19"/>
      <c r="AU13184" s="19"/>
    </row>
    <row r="13185" spans="3:47">
      <c r="C13185" s="20"/>
      <c r="Z13185" s="20"/>
      <c r="AG13185" s="20"/>
      <c r="AQ13185" s="19"/>
      <c r="AR13185" s="19"/>
      <c r="AS13185" s="19"/>
      <c r="AT13185" s="19"/>
      <c r="AU13185" s="19"/>
    </row>
    <row r="13186" spans="3:47">
      <c r="C13186" s="20"/>
      <c r="Z13186" s="20"/>
      <c r="AG13186" s="20"/>
      <c r="AQ13186" s="19"/>
      <c r="AR13186" s="19"/>
      <c r="AS13186" s="19"/>
      <c r="AT13186" s="19"/>
      <c r="AU13186" s="19"/>
    </row>
    <row r="13187" spans="3:47">
      <c r="C13187" s="20"/>
      <c r="Z13187" s="20"/>
      <c r="AG13187" s="20"/>
      <c r="AQ13187" s="19"/>
      <c r="AR13187" s="19"/>
      <c r="AS13187" s="19"/>
      <c r="AT13187" s="19"/>
      <c r="AU13187" s="19"/>
    </row>
    <row r="13188" spans="3:47">
      <c r="C13188" s="20"/>
      <c r="Z13188" s="20"/>
      <c r="AG13188" s="20"/>
      <c r="AQ13188" s="19"/>
      <c r="AR13188" s="19"/>
      <c r="AS13188" s="19"/>
      <c r="AT13188" s="19"/>
      <c r="AU13188" s="19"/>
    </row>
    <row r="13189" spans="3:47">
      <c r="C13189" s="20"/>
      <c r="Z13189" s="20"/>
      <c r="AG13189" s="20"/>
      <c r="AQ13189" s="19"/>
      <c r="AR13189" s="19"/>
      <c r="AS13189" s="19"/>
      <c r="AT13189" s="19"/>
      <c r="AU13189" s="19"/>
    </row>
    <row r="13190" spans="3:47">
      <c r="C13190" s="20"/>
      <c r="Z13190" s="20"/>
      <c r="AG13190" s="20"/>
      <c r="AQ13190" s="19"/>
      <c r="AR13190" s="19"/>
      <c r="AS13190" s="19"/>
      <c r="AT13190" s="19"/>
      <c r="AU13190" s="19"/>
    </row>
    <row r="13191" spans="3:47">
      <c r="C13191" s="20"/>
      <c r="Z13191" s="20"/>
      <c r="AG13191" s="20"/>
      <c r="AQ13191" s="19"/>
      <c r="AR13191" s="19"/>
      <c r="AS13191" s="19"/>
      <c r="AT13191" s="19"/>
      <c r="AU13191" s="19"/>
    </row>
    <row r="13192" spans="3:47">
      <c r="C13192" s="20"/>
      <c r="Z13192" s="20"/>
      <c r="AG13192" s="20"/>
      <c r="AQ13192" s="19"/>
      <c r="AR13192" s="19"/>
      <c r="AS13192" s="19"/>
      <c r="AT13192" s="19"/>
      <c r="AU13192" s="19"/>
    </row>
    <row r="13193" spans="3:47">
      <c r="C13193" s="20"/>
      <c r="Z13193" s="20"/>
      <c r="AG13193" s="20"/>
      <c r="AQ13193" s="19"/>
      <c r="AR13193" s="19"/>
      <c r="AS13193" s="19"/>
      <c r="AT13193" s="19"/>
      <c r="AU13193" s="19"/>
    </row>
    <row r="13194" spans="3:47">
      <c r="C13194" s="20"/>
      <c r="Z13194" s="20"/>
      <c r="AG13194" s="20"/>
      <c r="AQ13194" s="19"/>
      <c r="AR13194" s="19"/>
      <c r="AS13194" s="19"/>
      <c r="AT13194" s="19"/>
      <c r="AU13194" s="19"/>
    </row>
    <row r="13195" spans="3:47">
      <c r="C13195" s="20"/>
      <c r="Z13195" s="20"/>
      <c r="AG13195" s="20"/>
      <c r="AQ13195" s="19"/>
      <c r="AR13195" s="19"/>
      <c r="AS13195" s="19"/>
      <c r="AT13195" s="19"/>
      <c r="AU13195" s="19"/>
    </row>
    <row r="13196" spans="3:47">
      <c r="C13196" s="20"/>
      <c r="Z13196" s="20"/>
      <c r="AG13196" s="20"/>
      <c r="AQ13196" s="19"/>
      <c r="AR13196" s="19"/>
      <c r="AS13196" s="19"/>
      <c r="AT13196" s="19"/>
      <c r="AU13196" s="19"/>
    </row>
    <row r="13197" spans="3:47">
      <c r="C13197" s="20"/>
      <c r="Z13197" s="20"/>
      <c r="AG13197" s="20"/>
      <c r="AQ13197" s="19"/>
      <c r="AR13197" s="19"/>
      <c r="AS13197" s="19"/>
      <c r="AT13197" s="19"/>
      <c r="AU13197" s="19"/>
    </row>
    <row r="13198" spans="3:47">
      <c r="C13198" s="20"/>
      <c r="Z13198" s="20"/>
      <c r="AG13198" s="20"/>
      <c r="AQ13198" s="19"/>
      <c r="AR13198" s="19"/>
      <c r="AS13198" s="19"/>
      <c r="AT13198" s="19"/>
      <c r="AU13198" s="19"/>
    </row>
    <row r="13199" spans="3:47">
      <c r="C13199" s="20"/>
      <c r="Z13199" s="20"/>
      <c r="AG13199" s="20"/>
      <c r="AQ13199" s="19"/>
      <c r="AR13199" s="19"/>
      <c r="AS13199" s="19"/>
      <c r="AT13199" s="19"/>
      <c r="AU13199" s="19"/>
    </row>
    <row r="13200" spans="3:47">
      <c r="C13200" s="20"/>
      <c r="Z13200" s="20"/>
      <c r="AG13200" s="20"/>
      <c r="AQ13200" s="19"/>
      <c r="AR13200" s="19"/>
      <c r="AS13200" s="19"/>
      <c r="AT13200" s="19"/>
      <c r="AU13200" s="19"/>
    </row>
    <row r="13201" spans="3:47">
      <c r="C13201" s="20"/>
      <c r="Z13201" s="20"/>
      <c r="AG13201" s="20"/>
      <c r="AQ13201" s="19"/>
      <c r="AR13201" s="19"/>
      <c r="AS13201" s="19"/>
      <c r="AT13201" s="19"/>
      <c r="AU13201" s="19"/>
    </row>
    <row r="13202" spans="3:47">
      <c r="C13202" s="20"/>
      <c r="Z13202" s="20"/>
      <c r="AG13202" s="20"/>
      <c r="AQ13202" s="19"/>
      <c r="AR13202" s="19"/>
      <c r="AS13202" s="19"/>
      <c r="AT13202" s="19"/>
      <c r="AU13202" s="19"/>
    </row>
    <row r="13203" spans="3:47">
      <c r="C13203" s="20"/>
      <c r="Z13203" s="20"/>
      <c r="AG13203" s="20"/>
      <c r="AQ13203" s="19"/>
      <c r="AR13203" s="19"/>
      <c r="AS13203" s="19"/>
      <c r="AT13203" s="19"/>
      <c r="AU13203" s="19"/>
    </row>
    <row r="13204" spans="3:47">
      <c r="C13204" s="20"/>
      <c r="Z13204" s="20"/>
      <c r="AG13204" s="20"/>
      <c r="AQ13204" s="19"/>
      <c r="AR13204" s="19"/>
      <c r="AS13204" s="19"/>
      <c r="AT13204" s="19"/>
      <c r="AU13204" s="19"/>
    </row>
    <row r="13205" spans="3:47">
      <c r="C13205" s="20"/>
      <c r="Z13205" s="20"/>
      <c r="AG13205" s="20"/>
      <c r="AQ13205" s="19"/>
      <c r="AR13205" s="19"/>
      <c r="AS13205" s="19"/>
      <c r="AT13205" s="19"/>
      <c r="AU13205" s="19"/>
    </row>
    <row r="13206" spans="3:47">
      <c r="C13206" s="20"/>
      <c r="Z13206" s="20"/>
      <c r="AG13206" s="20"/>
      <c r="AQ13206" s="19"/>
      <c r="AR13206" s="19"/>
      <c r="AS13206" s="19"/>
      <c r="AT13206" s="19"/>
      <c r="AU13206" s="19"/>
    </row>
    <row r="13207" spans="3:47">
      <c r="C13207" s="20"/>
      <c r="Z13207" s="20"/>
      <c r="AG13207" s="20"/>
      <c r="AQ13207" s="19"/>
      <c r="AR13207" s="19"/>
      <c r="AS13207" s="19"/>
      <c r="AT13207" s="19"/>
      <c r="AU13207" s="19"/>
    </row>
    <row r="13208" spans="3:47">
      <c r="C13208" s="20"/>
      <c r="Z13208" s="20"/>
      <c r="AG13208" s="20"/>
      <c r="AQ13208" s="19"/>
      <c r="AR13208" s="19"/>
      <c r="AS13208" s="19"/>
      <c r="AT13208" s="19"/>
      <c r="AU13208" s="19"/>
    </row>
    <row r="13209" spans="3:47">
      <c r="C13209" s="20"/>
      <c r="Z13209" s="20"/>
      <c r="AG13209" s="20"/>
      <c r="AQ13209" s="19"/>
      <c r="AR13209" s="19"/>
      <c r="AS13209" s="19"/>
      <c r="AT13209" s="19"/>
      <c r="AU13209" s="19"/>
    </row>
    <row r="13210" spans="3:47">
      <c r="C13210" s="20"/>
      <c r="Z13210" s="20"/>
      <c r="AG13210" s="20"/>
      <c r="AQ13210" s="19"/>
      <c r="AR13210" s="19"/>
      <c r="AS13210" s="19"/>
      <c r="AT13210" s="19"/>
      <c r="AU13210" s="19"/>
    </row>
    <row r="13211" spans="3:47">
      <c r="C13211" s="20"/>
      <c r="Z13211" s="20"/>
      <c r="AG13211" s="20"/>
      <c r="AQ13211" s="19"/>
      <c r="AR13211" s="19"/>
      <c r="AS13211" s="19"/>
      <c r="AT13211" s="19"/>
      <c r="AU13211" s="19"/>
    </row>
    <row r="13212" spans="3:47">
      <c r="C13212" s="20"/>
      <c r="Z13212" s="20"/>
      <c r="AG13212" s="20"/>
      <c r="AQ13212" s="19"/>
      <c r="AR13212" s="19"/>
      <c r="AS13212" s="19"/>
      <c r="AT13212" s="19"/>
      <c r="AU13212" s="19"/>
    </row>
    <row r="13213" spans="3:47">
      <c r="C13213" s="20"/>
      <c r="Z13213" s="20"/>
      <c r="AG13213" s="20"/>
      <c r="AQ13213" s="19"/>
      <c r="AR13213" s="19"/>
      <c r="AS13213" s="19"/>
      <c r="AT13213" s="19"/>
      <c r="AU13213" s="19"/>
    </row>
    <row r="13214" spans="3:47">
      <c r="C13214" s="20"/>
      <c r="Z13214" s="20"/>
      <c r="AG13214" s="20"/>
      <c r="AQ13214" s="19"/>
      <c r="AR13214" s="19"/>
      <c r="AS13214" s="19"/>
      <c r="AT13214" s="19"/>
      <c r="AU13214" s="19"/>
    </row>
    <row r="13215" spans="3:47">
      <c r="C13215" s="20"/>
      <c r="Z13215" s="20"/>
      <c r="AG13215" s="20"/>
      <c r="AQ13215" s="19"/>
      <c r="AR13215" s="19"/>
      <c r="AS13215" s="19"/>
      <c r="AT13215" s="19"/>
      <c r="AU13215" s="19"/>
    </row>
    <row r="13216" spans="3:47">
      <c r="C13216" s="20"/>
      <c r="Z13216" s="20"/>
      <c r="AG13216" s="20"/>
      <c r="AQ13216" s="19"/>
      <c r="AR13216" s="19"/>
      <c r="AS13216" s="19"/>
      <c r="AT13216" s="19"/>
      <c r="AU13216" s="19"/>
    </row>
    <row r="13217" spans="3:47">
      <c r="C13217" s="20"/>
      <c r="Z13217" s="20"/>
      <c r="AG13217" s="20"/>
      <c r="AQ13217" s="19"/>
      <c r="AR13217" s="19"/>
      <c r="AS13217" s="19"/>
      <c r="AT13217" s="19"/>
      <c r="AU13217" s="19"/>
    </row>
    <row r="13218" spans="3:47">
      <c r="C13218" s="20"/>
      <c r="Z13218" s="20"/>
      <c r="AG13218" s="20"/>
      <c r="AQ13218" s="19"/>
      <c r="AR13218" s="19"/>
      <c r="AS13218" s="19"/>
      <c r="AT13218" s="19"/>
      <c r="AU13218" s="19"/>
    </row>
    <row r="13219" spans="3:47">
      <c r="C13219" s="20"/>
      <c r="Z13219" s="20"/>
      <c r="AG13219" s="20"/>
      <c r="AQ13219" s="19"/>
      <c r="AR13219" s="19"/>
      <c r="AS13219" s="19"/>
      <c r="AT13219" s="19"/>
      <c r="AU13219" s="19"/>
    </row>
    <row r="13220" spans="3:47">
      <c r="C13220" s="20"/>
      <c r="Z13220" s="20"/>
      <c r="AG13220" s="20"/>
      <c r="AQ13220" s="19"/>
      <c r="AR13220" s="19"/>
      <c r="AS13220" s="19"/>
      <c r="AT13220" s="19"/>
      <c r="AU13220" s="19"/>
    </row>
    <row r="13221" spans="3:47">
      <c r="C13221" s="20"/>
      <c r="Z13221" s="20"/>
      <c r="AG13221" s="20"/>
      <c r="AQ13221" s="19"/>
      <c r="AR13221" s="19"/>
      <c r="AS13221" s="19"/>
      <c r="AT13221" s="19"/>
      <c r="AU13221" s="19"/>
    </row>
    <row r="13222" spans="3:47">
      <c r="C13222" s="20"/>
      <c r="Z13222" s="20"/>
      <c r="AG13222" s="20"/>
      <c r="AQ13222" s="19"/>
      <c r="AR13222" s="19"/>
      <c r="AS13222" s="19"/>
      <c r="AT13222" s="19"/>
      <c r="AU13222" s="19"/>
    </row>
    <row r="13223" spans="3:47">
      <c r="C13223" s="20"/>
      <c r="Z13223" s="20"/>
      <c r="AG13223" s="20"/>
      <c r="AQ13223" s="19"/>
      <c r="AR13223" s="19"/>
      <c r="AS13223" s="19"/>
      <c r="AT13223" s="19"/>
      <c r="AU13223" s="19"/>
    </row>
    <row r="13224" spans="3:47">
      <c r="C13224" s="20"/>
      <c r="Z13224" s="20"/>
      <c r="AG13224" s="20"/>
      <c r="AQ13224" s="19"/>
      <c r="AR13224" s="19"/>
      <c r="AS13224" s="19"/>
      <c r="AT13224" s="19"/>
      <c r="AU13224" s="19"/>
    </row>
    <row r="13225" spans="3:47">
      <c r="C13225" s="20"/>
      <c r="Z13225" s="20"/>
      <c r="AG13225" s="20"/>
      <c r="AQ13225" s="19"/>
      <c r="AR13225" s="19"/>
      <c r="AS13225" s="19"/>
      <c r="AT13225" s="19"/>
      <c r="AU13225" s="19"/>
    </row>
    <row r="13226" spans="3:47">
      <c r="C13226" s="20"/>
      <c r="Z13226" s="20"/>
      <c r="AG13226" s="20"/>
      <c r="AQ13226" s="19"/>
      <c r="AR13226" s="19"/>
      <c r="AS13226" s="19"/>
      <c r="AT13226" s="19"/>
      <c r="AU13226" s="19"/>
    </row>
    <row r="13227" spans="3:47">
      <c r="C13227" s="20"/>
      <c r="Z13227" s="20"/>
      <c r="AG13227" s="20"/>
      <c r="AQ13227" s="19"/>
      <c r="AR13227" s="19"/>
      <c r="AS13227" s="19"/>
      <c r="AT13227" s="19"/>
      <c r="AU13227" s="19"/>
    </row>
    <row r="13228" spans="3:47">
      <c r="C13228" s="20"/>
      <c r="Z13228" s="20"/>
      <c r="AG13228" s="20"/>
      <c r="AQ13228" s="19"/>
      <c r="AR13228" s="19"/>
      <c r="AS13228" s="19"/>
      <c r="AT13228" s="19"/>
      <c r="AU13228" s="19"/>
    </row>
    <row r="13229" spans="3:47">
      <c r="C13229" s="20"/>
      <c r="Z13229" s="20"/>
      <c r="AG13229" s="20"/>
      <c r="AQ13229" s="19"/>
      <c r="AR13229" s="19"/>
      <c r="AS13229" s="19"/>
      <c r="AT13229" s="19"/>
      <c r="AU13229" s="19"/>
    </row>
    <row r="13230" spans="3:47">
      <c r="C13230" s="20"/>
      <c r="Z13230" s="20"/>
      <c r="AG13230" s="20"/>
      <c r="AQ13230" s="19"/>
      <c r="AR13230" s="19"/>
      <c r="AS13230" s="19"/>
      <c r="AT13230" s="19"/>
      <c r="AU13230" s="19"/>
    </row>
    <row r="13231" spans="3:47">
      <c r="C13231" s="20"/>
      <c r="Z13231" s="20"/>
      <c r="AG13231" s="20"/>
      <c r="AQ13231" s="19"/>
      <c r="AR13231" s="19"/>
      <c r="AS13231" s="19"/>
      <c r="AT13231" s="19"/>
      <c r="AU13231" s="19"/>
    </row>
    <row r="13232" spans="3:47">
      <c r="C13232" s="20"/>
      <c r="Z13232" s="20"/>
      <c r="AG13232" s="20"/>
      <c r="AQ13232" s="19"/>
      <c r="AR13232" s="19"/>
      <c r="AS13232" s="19"/>
      <c r="AT13232" s="19"/>
      <c r="AU13232" s="19"/>
    </row>
    <row r="13233" spans="3:47">
      <c r="C13233" s="20"/>
      <c r="Z13233" s="20"/>
      <c r="AG13233" s="20"/>
      <c r="AQ13233" s="19"/>
      <c r="AR13233" s="19"/>
      <c r="AS13233" s="19"/>
      <c r="AT13233" s="19"/>
      <c r="AU13233" s="19"/>
    </row>
    <row r="13234" spans="3:47">
      <c r="C13234" s="20"/>
      <c r="Z13234" s="20"/>
      <c r="AG13234" s="20"/>
      <c r="AQ13234" s="19"/>
      <c r="AR13234" s="19"/>
      <c r="AS13234" s="19"/>
      <c r="AT13234" s="19"/>
      <c r="AU13234" s="19"/>
    </row>
    <row r="13235" spans="3:47">
      <c r="C13235" s="20"/>
      <c r="Z13235" s="20"/>
      <c r="AG13235" s="20"/>
      <c r="AQ13235" s="19"/>
      <c r="AR13235" s="19"/>
      <c r="AS13235" s="19"/>
      <c r="AT13235" s="19"/>
      <c r="AU13235" s="19"/>
    </row>
    <row r="13236" spans="3:47">
      <c r="C13236" s="20"/>
      <c r="Z13236" s="20"/>
      <c r="AG13236" s="20"/>
      <c r="AQ13236" s="19"/>
      <c r="AR13236" s="19"/>
      <c r="AS13236" s="19"/>
      <c r="AT13236" s="19"/>
      <c r="AU13236" s="19"/>
    </row>
    <row r="13237" spans="3:47">
      <c r="C13237" s="20"/>
      <c r="Z13237" s="20"/>
      <c r="AG13237" s="20"/>
      <c r="AQ13237" s="19"/>
      <c r="AR13237" s="19"/>
      <c r="AS13237" s="19"/>
      <c r="AT13237" s="19"/>
      <c r="AU13237" s="19"/>
    </row>
    <row r="13238" spans="3:47">
      <c r="C13238" s="20"/>
      <c r="Z13238" s="20"/>
      <c r="AG13238" s="20"/>
      <c r="AQ13238" s="19"/>
      <c r="AR13238" s="19"/>
      <c r="AS13238" s="19"/>
      <c r="AT13238" s="19"/>
      <c r="AU13238" s="19"/>
    </row>
    <row r="13239" spans="3:47">
      <c r="C13239" s="20"/>
      <c r="Z13239" s="20"/>
      <c r="AG13239" s="20"/>
      <c r="AQ13239" s="19"/>
      <c r="AR13239" s="19"/>
      <c r="AS13239" s="19"/>
      <c r="AT13239" s="19"/>
      <c r="AU13239" s="19"/>
    </row>
    <row r="13240" spans="3:47">
      <c r="C13240" s="20"/>
      <c r="Z13240" s="20"/>
      <c r="AG13240" s="20"/>
      <c r="AQ13240" s="19"/>
      <c r="AR13240" s="19"/>
      <c r="AS13240" s="19"/>
      <c r="AT13240" s="19"/>
      <c r="AU13240" s="19"/>
    </row>
    <row r="13241" spans="3:47">
      <c r="C13241" s="20"/>
      <c r="Z13241" s="20"/>
      <c r="AG13241" s="20"/>
      <c r="AQ13241" s="19"/>
      <c r="AR13241" s="19"/>
      <c r="AS13241" s="19"/>
      <c r="AT13241" s="19"/>
      <c r="AU13241" s="19"/>
    </row>
    <row r="13242" spans="3:47">
      <c r="C13242" s="20"/>
      <c r="Z13242" s="20"/>
      <c r="AG13242" s="20"/>
      <c r="AQ13242" s="19"/>
      <c r="AR13242" s="19"/>
      <c r="AS13242" s="19"/>
      <c r="AT13242" s="19"/>
      <c r="AU13242" s="19"/>
    </row>
    <row r="13243" spans="3:47">
      <c r="C13243" s="20"/>
      <c r="Z13243" s="20"/>
      <c r="AG13243" s="20"/>
      <c r="AQ13243" s="19"/>
      <c r="AR13243" s="19"/>
      <c r="AS13243" s="19"/>
      <c r="AT13243" s="19"/>
      <c r="AU13243" s="19"/>
    </row>
    <row r="13244" spans="3:47">
      <c r="C13244" s="20"/>
      <c r="Z13244" s="20"/>
      <c r="AG13244" s="20"/>
      <c r="AQ13244" s="19"/>
      <c r="AR13244" s="19"/>
      <c r="AS13244" s="19"/>
      <c r="AT13244" s="19"/>
      <c r="AU13244" s="19"/>
    </row>
    <row r="13245" spans="3:47">
      <c r="C13245" s="20"/>
      <c r="Z13245" s="20"/>
      <c r="AG13245" s="20"/>
      <c r="AQ13245" s="19"/>
      <c r="AR13245" s="19"/>
      <c r="AS13245" s="19"/>
      <c r="AT13245" s="19"/>
      <c r="AU13245" s="19"/>
    </row>
    <row r="13246" spans="3:47">
      <c r="C13246" s="20"/>
      <c r="Z13246" s="20"/>
      <c r="AG13246" s="20"/>
      <c r="AQ13246" s="19"/>
      <c r="AR13246" s="19"/>
      <c r="AS13246" s="19"/>
      <c r="AT13246" s="19"/>
      <c r="AU13246" s="19"/>
    </row>
    <row r="13247" spans="3:47">
      <c r="C13247" s="20"/>
      <c r="Z13247" s="20"/>
      <c r="AG13247" s="20"/>
      <c r="AQ13247" s="19"/>
      <c r="AR13247" s="19"/>
      <c r="AS13247" s="19"/>
      <c r="AT13247" s="19"/>
      <c r="AU13247" s="19"/>
    </row>
    <row r="13248" spans="3:47">
      <c r="C13248" s="20"/>
      <c r="Z13248" s="20"/>
      <c r="AG13248" s="20"/>
      <c r="AQ13248" s="19"/>
      <c r="AR13248" s="19"/>
      <c r="AS13248" s="19"/>
      <c r="AT13248" s="19"/>
      <c r="AU13248" s="19"/>
    </row>
    <row r="13249" spans="3:47">
      <c r="C13249" s="20"/>
      <c r="Z13249" s="20"/>
      <c r="AG13249" s="20"/>
      <c r="AQ13249" s="19"/>
      <c r="AR13249" s="19"/>
      <c r="AS13249" s="19"/>
      <c r="AT13249" s="19"/>
      <c r="AU13249" s="19"/>
    </row>
    <row r="13250" spans="3:47">
      <c r="C13250" s="20"/>
      <c r="Z13250" s="20"/>
      <c r="AG13250" s="20"/>
      <c r="AQ13250" s="19"/>
      <c r="AR13250" s="19"/>
      <c r="AS13250" s="19"/>
      <c r="AT13250" s="19"/>
      <c r="AU13250" s="19"/>
    </row>
    <row r="13251" spans="3:47">
      <c r="C13251" s="20"/>
      <c r="Z13251" s="20"/>
      <c r="AG13251" s="20"/>
      <c r="AQ13251" s="19"/>
      <c r="AR13251" s="19"/>
      <c r="AS13251" s="19"/>
      <c r="AT13251" s="19"/>
      <c r="AU13251" s="19"/>
    </row>
    <row r="13252" spans="3:47">
      <c r="C13252" s="20"/>
      <c r="Z13252" s="20"/>
      <c r="AG13252" s="20"/>
      <c r="AQ13252" s="19"/>
      <c r="AR13252" s="19"/>
      <c r="AS13252" s="19"/>
      <c r="AT13252" s="19"/>
      <c r="AU13252" s="19"/>
    </row>
    <row r="13253" spans="3:47">
      <c r="C13253" s="20"/>
      <c r="Z13253" s="20"/>
      <c r="AG13253" s="20"/>
      <c r="AQ13253" s="19"/>
      <c r="AR13253" s="19"/>
      <c r="AS13253" s="19"/>
      <c r="AT13253" s="19"/>
      <c r="AU13253" s="19"/>
    </row>
    <row r="13254" spans="3:47">
      <c r="C13254" s="20"/>
      <c r="Z13254" s="20"/>
      <c r="AG13254" s="20"/>
      <c r="AQ13254" s="19"/>
      <c r="AR13254" s="19"/>
      <c r="AS13254" s="19"/>
      <c r="AT13254" s="19"/>
      <c r="AU13254" s="19"/>
    </row>
    <row r="13255" spans="3:47">
      <c r="C13255" s="20"/>
      <c r="Z13255" s="20"/>
      <c r="AG13255" s="20"/>
      <c r="AQ13255" s="19"/>
      <c r="AR13255" s="19"/>
      <c r="AS13255" s="19"/>
      <c r="AT13255" s="19"/>
      <c r="AU13255" s="19"/>
    </row>
    <row r="13256" spans="3:47">
      <c r="C13256" s="20"/>
      <c r="Z13256" s="20"/>
      <c r="AG13256" s="20"/>
      <c r="AQ13256" s="19"/>
      <c r="AR13256" s="19"/>
      <c r="AS13256" s="19"/>
      <c r="AT13256" s="19"/>
      <c r="AU13256" s="19"/>
    </row>
    <row r="13257" spans="3:47">
      <c r="C13257" s="20"/>
      <c r="Z13257" s="20"/>
      <c r="AG13257" s="20"/>
      <c r="AQ13257" s="19"/>
      <c r="AR13257" s="19"/>
      <c r="AS13257" s="19"/>
      <c r="AT13257" s="19"/>
      <c r="AU13257" s="19"/>
    </row>
    <row r="13258" spans="3:47">
      <c r="C13258" s="20"/>
      <c r="Z13258" s="20"/>
      <c r="AG13258" s="20"/>
      <c r="AQ13258" s="19"/>
      <c r="AR13258" s="19"/>
      <c r="AS13258" s="19"/>
      <c r="AT13258" s="19"/>
      <c r="AU13258" s="19"/>
    </row>
    <row r="13259" spans="3:47">
      <c r="C13259" s="20"/>
      <c r="Z13259" s="20"/>
      <c r="AG13259" s="20"/>
      <c r="AQ13259" s="19"/>
      <c r="AR13259" s="19"/>
      <c r="AS13259" s="19"/>
      <c r="AT13259" s="19"/>
      <c r="AU13259" s="19"/>
    </row>
    <row r="13260" spans="3:47">
      <c r="C13260" s="20"/>
      <c r="Z13260" s="20"/>
      <c r="AG13260" s="20"/>
      <c r="AQ13260" s="19"/>
      <c r="AR13260" s="19"/>
      <c r="AS13260" s="19"/>
      <c r="AT13260" s="19"/>
      <c r="AU13260" s="19"/>
    </row>
    <row r="13261" spans="3:47">
      <c r="C13261" s="20"/>
      <c r="Z13261" s="20"/>
      <c r="AG13261" s="20"/>
      <c r="AQ13261" s="19"/>
      <c r="AR13261" s="19"/>
      <c r="AS13261" s="19"/>
      <c r="AT13261" s="19"/>
      <c r="AU13261" s="19"/>
    </row>
    <row r="13262" spans="3:47">
      <c r="C13262" s="20"/>
      <c r="Z13262" s="20"/>
      <c r="AG13262" s="20"/>
      <c r="AQ13262" s="19"/>
      <c r="AR13262" s="19"/>
      <c r="AS13262" s="19"/>
      <c r="AT13262" s="19"/>
      <c r="AU13262" s="19"/>
    </row>
    <row r="13263" spans="3:47">
      <c r="C13263" s="20"/>
      <c r="Z13263" s="20"/>
      <c r="AG13263" s="20"/>
      <c r="AQ13263" s="19"/>
      <c r="AR13263" s="19"/>
      <c r="AS13263" s="19"/>
      <c r="AT13263" s="19"/>
      <c r="AU13263" s="19"/>
    </row>
    <row r="13264" spans="3:47">
      <c r="C13264" s="20"/>
      <c r="Z13264" s="20"/>
      <c r="AG13264" s="20"/>
      <c r="AQ13264" s="19"/>
      <c r="AR13264" s="19"/>
      <c r="AS13264" s="19"/>
      <c r="AT13264" s="19"/>
      <c r="AU13264" s="19"/>
    </row>
    <row r="13265" spans="3:47">
      <c r="C13265" s="20"/>
      <c r="Z13265" s="20"/>
      <c r="AG13265" s="20"/>
      <c r="AQ13265" s="19"/>
      <c r="AR13265" s="19"/>
      <c r="AS13265" s="19"/>
      <c r="AT13265" s="19"/>
      <c r="AU13265" s="19"/>
    </row>
    <row r="13266" spans="3:47">
      <c r="C13266" s="20"/>
      <c r="Z13266" s="20"/>
      <c r="AG13266" s="20"/>
      <c r="AQ13266" s="19"/>
      <c r="AR13266" s="19"/>
      <c r="AS13266" s="19"/>
      <c r="AT13266" s="19"/>
      <c r="AU13266" s="19"/>
    </row>
    <row r="13267" spans="3:47">
      <c r="C13267" s="20"/>
      <c r="Z13267" s="20"/>
      <c r="AG13267" s="20"/>
      <c r="AQ13267" s="19"/>
      <c r="AR13267" s="19"/>
      <c r="AS13267" s="19"/>
      <c r="AT13267" s="19"/>
      <c r="AU13267" s="19"/>
    </row>
    <row r="13268" spans="3:47">
      <c r="C13268" s="20"/>
      <c r="Z13268" s="20"/>
      <c r="AG13268" s="20"/>
      <c r="AQ13268" s="19"/>
      <c r="AR13268" s="19"/>
      <c r="AS13268" s="19"/>
      <c r="AT13268" s="19"/>
      <c r="AU13268" s="19"/>
    </row>
    <row r="13269" spans="3:47">
      <c r="C13269" s="20"/>
      <c r="Z13269" s="20"/>
      <c r="AG13269" s="20"/>
      <c r="AQ13269" s="19"/>
      <c r="AR13269" s="19"/>
      <c r="AS13269" s="19"/>
      <c r="AT13269" s="19"/>
      <c r="AU13269" s="19"/>
    </row>
    <row r="13270" spans="3:47">
      <c r="C13270" s="20"/>
      <c r="Z13270" s="20"/>
      <c r="AG13270" s="20"/>
      <c r="AQ13270" s="19"/>
      <c r="AR13270" s="19"/>
      <c r="AS13270" s="19"/>
      <c r="AT13270" s="19"/>
      <c r="AU13270" s="19"/>
    </row>
    <row r="13271" spans="3:47">
      <c r="C13271" s="20"/>
      <c r="Z13271" s="20"/>
      <c r="AG13271" s="20"/>
      <c r="AQ13271" s="19"/>
      <c r="AR13271" s="19"/>
      <c r="AS13271" s="19"/>
      <c r="AT13271" s="19"/>
      <c r="AU13271" s="19"/>
    </row>
    <row r="13272" spans="3:47">
      <c r="C13272" s="20"/>
      <c r="Z13272" s="20"/>
      <c r="AG13272" s="20"/>
      <c r="AQ13272" s="19"/>
      <c r="AR13272" s="19"/>
      <c r="AS13272" s="19"/>
      <c r="AT13272" s="19"/>
      <c r="AU13272" s="19"/>
    </row>
    <row r="13273" spans="3:47">
      <c r="C13273" s="20"/>
      <c r="Z13273" s="20"/>
      <c r="AG13273" s="20"/>
      <c r="AQ13273" s="19"/>
      <c r="AR13273" s="19"/>
      <c r="AS13273" s="19"/>
      <c r="AT13273" s="19"/>
      <c r="AU13273" s="19"/>
    </row>
    <row r="13274" spans="3:47">
      <c r="C13274" s="20"/>
      <c r="Z13274" s="20"/>
      <c r="AG13274" s="20"/>
      <c r="AQ13274" s="19"/>
      <c r="AR13274" s="19"/>
      <c r="AS13274" s="19"/>
      <c r="AT13274" s="19"/>
      <c r="AU13274" s="19"/>
    </row>
    <row r="13275" spans="3:47">
      <c r="C13275" s="20"/>
      <c r="Z13275" s="20"/>
      <c r="AG13275" s="20"/>
      <c r="AQ13275" s="19"/>
      <c r="AR13275" s="19"/>
      <c r="AS13275" s="19"/>
      <c r="AT13275" s="19"/>
      <c r="AU13275" s="19"/>
    </row>
    <row r="13276" spans="3:47">
      <c r="C13276" s="20"/>
      <c r="Z13276" s="20"/>
      <c r="AG13276" s="20"/>
      <c r="AQ13276" s="19"/>
      <c r="AR13276" s="19"/>
      <c r="AS13276" s="19"/>
      <c r="AT13276" s="19"/>
      <c r="AU13276" s="19"/>
    </row>
    <row r="13277" spans="3:47">
      <c r="C13277" s="20"/>
      <c r="Z13277" s="20"/>
      <c r="AG13277" s="20"/>
      <c r="AQ13277" s="19"/>
      <c r="AR13277" s="19"/>
      <c r="AS13277" s="19"/>
      <c r="AT13277" s="19"/>
      <c r="AU13277" s="19"/>
    </row>
    <row r="13278" spans="3:47">
      <c r="C13278" s="20"/>
      <c r="Z13278" s="20"/>
      <c r="AG13278" s="20"/>
      <c r="AQ13278" s="19"/>
      <c r="AR13278" s="19"/>
      <c r="AS13278" s="19"/>
      <c r="AT13278" s="19"/>
      <c r="AU13278" s="19"/>
    </row>
    <row r="13279" spans="3:47">
      <c r="C13279" s="20"/>
      <c r="Z13279" s="20"/>
      <c r="AG13279" s="20"/>
      <c r="AQ13279" s="19"/>
      <c r="AR13279" s="19"/>
      <c r="AS13279" s="19"/>
      <c r="AT13279" s="19"/>
      <c r="AU13279" s="19"/>
    </row>
    <row r="13280" spans="3:47">
      <c r="C13280" s="20"/>
      <c r="Z13280" s="20"/>
      <c r="AG13280" s="20"/>
      <c r="AQ13280" s="19"/>
      <c r="AR13280" s="19"/>
      <c r="AS13280" s="19"/>
      <c r="AT13280" s="19"/>
      <c r="AU13280" s="19"/>
    </row>
    <row r="13281" spans="3:47">
      <c r="C13281" s="20"/>
      <c r="Z13281" s="20"/>
      <c r="AG13281" s="20"/>
      <c r="AQ13281" s="19"/>
      <c r="AR13281" s="19"/>
      <c r="AS13281" s="19"/>
      <c r="AT13281" s="19"/>
      <c r="AU13281" s="19"/>
    </row>
    <row r="13282" spans="3:47">
      <c r="C13282" s="20"/>
      <c r="Z13282" s="20"/>
      <c r="AG13282" s="20"/>
      <c r="AQ13282" s="19"/>
      <c r="AR13282" s="19"/>
      <c r="AS13282" s="19"/>
      <c r="AT13282" s="19"/>
      <c r="AU13282" s="19"/>
    </row>
    <row r="13283" spans="3:47">
      <c r="C13283" s="20"/>
      <c r="Z13283" s="20"/>
      <c r="AG13283" s="20"/>
      <c r="AQ13283" s="19"/>
      <c r="AR13283" s="19"/>
      <c r="AS13283" s="19"/>
      <c r="AT13283" s="19"/>
      <c r="AU13283" s="19"/>
    </row>
    <row r="13284" spans="3:47">
      <c r="C13284" s="20"/>
      <c r="Z13284" s="20"/>
      <c r="AG13284" s="20"/>
      <c r="AQ13284" s="19"/>
      <c r="AR13284" s="19"/>
      <c r="AS13284" s="19"/>
      <c r="AT13284" s="19"/>
      <c r="AU13284" s="19"/>
    </row>
    <row r="13285" spans="3:47">
      <c r="C13285" s="20"/>
      <c r="Z13285" s="20"/>
      <c r="AG13285" s="20"/>
      <c r="AQ13285" s="19"/>
      <c r="AR13285" s="19"/>
      <c r="AS13285" s="19"/>
      <c r="AT13285" s="19"/>
      <c r="AU13285" s="19"/>
    </row>
    <row r="13286" spans="3:47">
      <c r="C13286" s="20"/>
      <c r="Z13286" s="20"/>
      <c r="AG13286" s="20"/>
      <c r="AQ13286" s="19"/>
      <c r="AR13286" s="19"/>
      <c r="AS13286" s="19"/>
      <c r="AT13286" s="19"/>
      <c r="AU13286" s="19"/>
    </row>
    <row r="13287" spans="3:47">
      <c r="C13287" s="20"/>
      <c r="Z13287" s="20"/>
      <c r="AG13287" s="20"/>
      <c r="AQ13287" s="19"/>
      <c r="AR13287" s="19"/>
      <c r="AS13287" s="19"/>
      <c r="AT13287" s="19"/>
      <c r="AU13287" s="19"/>
    </row>
    <row r="13288" spans="3:47">
      <c r="C13288" s="20"/>
      <c r="Z13288" s="20"/>
      <c r="AG13288" s="20"/>
      <c r="AQ13288" s="19"/>
      <c r="AR13288" s="19"/>
      <c r="AS13288" s="19"/>
      <c r="AT13288" s="19"/>
      <c r="AU13288" s="19"/>
    </row>
    <row r="13289" spans="3:47">
      <c r="C13289" s="20"/>
      <c r="Z13289" s="20"/>
      <c r="AG13289" s="20"/>
      <c r="AQ13289" s="19"/>
      <c r="AR13289" s="19"/>
      <c r="AS13289" s="19"/>
      <c r="AT13289" s="19"/>
      <c r="AU13289" s="19"/>
    </row>
    <row r="13290" spans="3:47">
      <c r="C13290" s="20"/>
      <c r="Z13290" s="20"/>
      <c r="AG13290" s="20"/>
      <c r="AQ13290" s="19"/>
      <c r="AR13290" s="19"/>
      <c r="AS13290" s="19"/>
      <c r="AT13290" s="19"/>
      <c r="AU13290" s="19"/>
    </row>
    <row r="13291" spans="3:47">
      <c r="C13291" s="20"/>
      <c r="Z13291" s="20"/>
      <c r="AG13291" s="20"/>
      <c r="AQ13291" s="19"/>
      <c r="AR13291" s="19"/>
      <c r="AS13291" s="19"/>
      <c r="AT13291" s="19"/>
      <c r="AU13291" s="19"/>
    </row>
    <row r="13292" spans="3:47">
      <c r="C13292" s="20"/>
      <c r="Z13292" s="20"/>
      <c r="AG13292" s="20"/>
      <c r="AQ13292" s="19"/>
      <c r="AR13292" s="19"/>
      <c r="AS13292" s="19"/>
      <c r="AT13292" s="19"/>
      <c r="AU13292" s="19"/>
    </row>
    <row r="13293" spans="3:47">
      <c r="C13293" s="20"/>
      <c r="Z13293" s="20"/>
      <c r="AG13293" s="20"/>
      <c r="AQ13293" s="19"/>
      <c r="AR13293" s="19"/>
      <c r="AS13293" s="19"/>
      <c r="AT13293" s="19"/>
      <c r="AU13293" s="19"/>
    </row>
    <row r="13294" spans="3:47">
      <c r="C13294" s="20"/>
      <c r="Z13294" s="20"/>
      <c r="AG13294" s="20"/>
      <c r="AQ13294" s="19"/>
      <c r="AR13294" s="19"/>
      <c r="AS13294" s="19"/>
      <c r="AT13294" s="19"/>
      <c r="AU13294" s="19"/>
    </row>
    <row r="13295" spans="3:47">
      <c r="C13295" s="20"/>
      <c r="Z13295" s="20"/>
      <c r="AG13295" s="20"/>
      <c r="AQ13295" s="19"/>
      <c r="AR13295" s="19"/>
      <c r="AS13295" s="19"/>
      <c r="AT13295" s="19"/>
      <c r="AU13295" s="19"/>
    </row>
    <row r="13296" spans="3:47">
      <c r="C13296" s="20"/>
      <c r="Z13296" s="20"/>
      <c r="AG13296" s="20"/>
      <c r="AQ13296" s="19"/>
      <c r="AR13296" s="19"/>
      <c r="AS13296" s="19"/>
      <c r="AT13296" s="19"/>
      <c r="AU13296" s="19"/>
    </row>
    <row r="13297" spans="3:47">
      <c r="C13297" s="20"/>
      <c r="Z13297" s="20"/>
      <c r="AG13297" s="20"/>
      <c r="AQ13297" s="19"/>
      <c r="AR13297" s="19"/>
      <c r="AS13297" s="19"/>
      <c r="AT13297" s="19"/>
      <c r="AU13297" s="19"/>
    </row>
    <row r="13298" spans="3:47">
      <c r="C13298" s="20"/>
      <c r="Z13298" s="20"/>
      <c r="AG13298" s="20"/>
      <c r="AQ13298" s="19"/>
      <c r="AR13298" s="19"/>
      <c r="AS13298" s="19"/>
      <c r="AT13298" s="19"/>
      <c r="AU13298" s="19"/>
    </row>
    <row r="13299" spans="3:47">
      <c r="C13299" s="20"/>
      <c r="Z13299" s="20"/>
      <c r="AG13299" s="20"/>
      <c r="AQ13299" s="19"/>
      <c r="AR13299" s="19"/>
      <c r="AS13299" s="19"/>
      <c r="AT13299" s="19"/>
      <c r="AU13299" s="19"/>
    </row>
    <row r="13300" spans="3:47">
      <c r="C13300" s="20"/>
      <c r="Z13300" s="20"/>
      <c r="AG13300" s="20"/>
      <c r="AQ13300" s="19"/>
      <c r="AR13300" s="19"/>
      <c r="AS13300" s="19"/>
      <c r="AT13300" s="19"/>
      <c r="AU13300" s="19"/>
    </row>
    <row r="13301" spans="3:47">
      <c r="C13301" s="20"/>
      <c r="Z13301" s="20"/>
      <c r="AG13301" s="20"/>
      <c r="AQ13301" s="19"/>
      <c r="AR13301" s="19"/>
      <c r="AS13301" s="19"/>
      <c r="AT13301" s="19"/>
      <c r="AU13301" s="19"/>
    </row>
    <row r="13302" spans="3:47">
      <c r="C13302" s="20"/>
      <c r="Z13302" s="20"/>
      <c r="AG13302" s="20"/>
      <c r="AQ13302" s="19"/>
      <c r="AR13302" s="19"/>
      <c r="AS13302" s="19"/>
      <c r="AT13302" s="19"/>
      <c r="AU13302" s="19"/>
    </row>
    <row r="13303" spans="3:47">
      <c r="C13303" s="20"/>
      <c r="Z13303" s="20"/>
      <c r="AG13303" s="20"/>
      <c r="AQ13303" s="19"/>
      <c r="AR13303" s="19"/>
      <c r="AS13303" s="19"/>
      <c r="AT13303" s="19"/>
      <c r="AU13303" s="19"/>
    </row>
    <row r="13304" spans="3:47">
      <c r="C13304" s="20"/>
      <c r="Z13304" s="20"/>
      <c r="AG13304" s="20"/>
      <c r="AQ13304" s="19"/>
      <c r="AR13304" s="19"/>
      <c r="AS13304" s="19"/>
      <c r="AT13304" s="19"/>
      <c r="AU13304" s="19"/>
    </row>
    <row r="13305" spans="3:47">
      <c r="C13305" s="20"/>
      <c r="Z13305" s="20"/>
      <c r="AG13305" s="20"/>
      <c r="AQ13305" s="19"/>
      <c r="AR13305" s="19"/>
      <c r="AS13305" s="19"/>
      <c r="AT13305" s="19"/>
      <c r="AU13305" s="19"/>
    </row>
    <row r="13306" spans="3:47">
      <c r="C13306" s="20"/>
      <c r="Z13306" s="20"/>
      <c r="AG13306" s="20"/>
      <c r="AQ13306" s="19"/>
      <c r="AR13306" s="19"/>
      <c r="AS13306" s="19"/>
      <c r="AT13306" s="19"/>
      <c r="AU13306" s="19"/>
    </row>
    <row r="13307" spans="3:47">
      <c r="C13307" s="20"/>
      <c r="Z13307" s="20"/>
      <c r="AG13307" s="20"/>
      <c r="AQ13307" s="19"/>
      <c r="AR13307" s="19"/>
      <c r="AS13307" s="19"/>
      <c r="AT13307" s="19"/>
      <c r="AU13307" s="19"/>
    </row>
    <row r="13308" spans="3:47">
      <c r="C13308" s="20"/>
      <c r="Z13308" s="20"/>
      <c r="AG13308" s="20"/>
      <c r="AQ13308" s="19"/>
      <c r="AR13308" s="19"/>
      <c r="AS13308" s="19"/>
      <c r="AT13308" s="19"/>
      <c r="AU13308" s="19"/>
    </row>
    <row r="13309" spans="3:47">
      <c r="C13309" s="20"/>
      <c r="Z13309" s="20"/>
      <c r="AG13309" s="20"/>
      <c r="AQ13309" s="19"/>
      <c r="AR13309" s="19"/>
      <c r="AS13309" s="19"/>
      <c r="AT13309" s="19"/>
      <c r="AU13309" s="19"/>
    </row>
    <row r="13310" spans="3:47">
      <c r="C13310" s="20"/>
      <c r="Z13310" s="20"/>
      <c r="AG13310" s="20"/>
      <c r="AQ13310" s="19"/>
      <c r="AR13310" s="19"/>
      <c r="AS13310" s="19"/>
      <c r="AT13310" s="19"/>
      <c r="AU13310" s="19"/>
    </row>
    <row r="13311" spans="3:47">
      <c r="C13311" s="20"/>
      <c r="Z13311" s="20"/>
      <c r="AG13311" s="20"/>
      <c r="AQ13311" s="19"/>
      <c r="AR13311" s="19"/>
      <c r="AS13311" s="19"/>
      <c r="AT13311" s="19"/>
      <c r="AU13311" s="19"/>
    </row>
    <row r="13312" spans="3:47">
      <c r="C13312" s="20"/>
      <c r="Z13312" s="20"/>
      <c r="AG13312" s="20"/>
      <c r="AQ13312" s="19"/>
      <c r="AR13312" s="19"/>
      <c r="AS13312" s="19"/>
      <c r="AT13312" s="19"/>
      <c r="AU13312" s="19"/>
    </row>
    <row r="13313" spans="3:47">
      <c r="C13313" s="20"/>
      <c r="Z13313" s="20"/>
      <c r="AG13313" s="20"/>
      <c r="AQ13313" s="19"/>
      <c r="AR13313" s="19"/>
      <c r="AS13313" s="19"/>
      <c r="AT13313" s="19"/>
      <c r="AU13313" s="19"/>
    </row>
    <row r="13314" spans="3:47">
      <c r="C13314" s="20"/>
      <c r="Z13314" s="20"/>
      <c r="AG13314" s="20"/>
      <c r="AQ13314" s="19"/>
      <c r="AR13314" s="19"/>
      <c r="AS13314" s="19"/>
      <c r="AT13314" s="19"/>
      <c r="AU13314" s="19"/>
    </row>
    <row r="13315" spans="3:47">
      <c r="C13315" s="20"/>
      <c r="Z13315" s="20"/>
      <c r="AG13315" s="20"/>
      <c r="AQ13315" s="19"/>
      <c r="AR13315" s="19"/>
      <c r="AS13315" s="19"/>
      <c r="AT13315" s="19"/>
      <c r="AU13315" s="19"/>
    </row>
    <row r="13316" spans="3:47">
      <c r="C13316" s="20"/>
      <c r="Z13316" s="20"/>
      <c r="AG13316" s="20"/>
      <c r="AQ13316" s="19"/>
      <c r="AR13316" s="19"/>
      <c r="AS13316" s="19"/>
      <c r="AT13316" s="19"/>
      <c r="AU13316" s="19"/>
    </row>
    <row r="13317" spans="3:47">
      <c r="C13317" s="20"/>
      <c r="Z13317" s="20"/>
      <c r="AG13317" s="20"/>
      <c r="AQ13317" s="19"/>
      <c r="AR13317" s="19"/>
      <c r="AS13317" s="19"/>
      <c r="AT13317" s="19"/>
      <c r="AU13317" s="19"/>
    </row>
    <row r="13318" spans="3:47">
      <c r="C13318" s="20"/>
      <c r="Z13318" s="20"/>
      <c r="AG13318" s="20"/>
      <c r="AQ13318" s="19"/>
      <c r="AR13318" s="19"/>
      <c r="AS13318" s="19"/>
      <c r="AT13318" s="19"/>
      <c r="AU13318" s="19"/>
    </row>
    <row r="13319" spans="3:47">
      <c r="C13319" s="20"/>
      <c r="Z13319" s="20"/>
      <c r="AG13319" s="20"/>
      <c r="AQ13319" s="19"/>
      <c r="AR13319" s="19"/>
      <c r="AS13319" s="19"/>
      <c r="AT13319" s="19"/>
      <c r="AU13319" s="19"/>
    </row>
    <row r="13320" spans="3:47">
      <c r="C13320" s="20"/>
      <c r="Z13320" s="20"/>
      <c r="AG13320" s="20"/>
      <c r="AQ13320" s="19"/>
      <c r="AR13320" s="19"/>
      <c r="AS13320" s="19"/>
      <c r="AT13320" s="19"/>
      <c r="AU13320" s="19"/>
    </row>
    <row r="13321" spans="3:47">
      <c r="C13321" s="20"/>
      <c r="Z13321" s="20"/>
      <c r="AG13321" s="20"/>
      <c r="AQ13321" s="19"/>
      <c r="AR13321" s="19"/>
      <c r="AS13321" s="19"/>
      <c r="AT13321" s="19"/>
      <c r="AU13321" s="19"/>
    </row>
    <row r="13322" spans="3:47">
      <c r="C13322" s="20"/>
      <c r="Z13322" s="20"/>
      <c r="AG13322" s="20"/>
      <c r="AQ13322" s="19"/>
      <c r="AR13322" s="19"/>
      <c r="AS13322" s="19"/>
      <c r="AT13322" s="19"/>
      <c r="AU13322" s="19"/>
    </row>
    <row r="13323" spans="3:47">
      <c r="C13323" s="20"/>
      <c r="Z13323" s="20"/>
      <c r="AG13323" s="20"/>
      <c r="AQ13323" s="19"/>
      <c r="AR13323" s="19"/>
      <c r="AS13323" s="19"/>
      <c r="AT13323" s="19"/>
      <c r="AU13323" s="19"/>
    </row>
    <row r="13324" spans="3:47">
      <c r="C13324" s="20"/>
      <c r="Z13324" s="20"/>
      <c r="AG13324" s="20"/>
      <c r="AQ13324" s="19"/>
      <c r="AR13324" s="19"/>
      <c r="AS13324" s="19"/>
      <c r="AT13324" s="19"/>
      <c r="AU13324" s="19"/>
    </row>
    <row r="13325" spans="3:47">
      <c r="C13325" s="20"/>
      <c r="Z13325" s="20"/>
      <c r="AG13325" s="20"/>
      <c r="AQ13325" s="19"/>
      <c r="AR13325" s="19"/>
      <c r="AS13325" s="19"/>
      <c r="AT13325" s="19"/>
      <c r="AU13325" s="19"/>
    </row>
    <row r="13326" spans="3:47">
      <c r="C13326" s="20"/>
      <c r="Z13326" s="20"/>
      <c r="AG13326" s="20"/>
      <c r="AQ13326" s="19"/>
      <c r="AR13326" s="19"/>
      <c r="AS13326" s="19"/>
      <c r="AT13326" s="19"/>
      <c r="AU13326" s="19"/>
    </row>
    <row r="13327" spans="3:47">
      <c r="C13327" s="20"/>
      <c r="Z13327" s="20"/>
      <c r="AG13327" s="20"/>
      <c r="AQ13327" s="19"/>
      <c r="AR13327" s="19"/>
      <c r="AS13327" s="19"/>
      <c r="AT13327" s="19"/>
      <c r="AU13327" s="19"/>
    </row>
    <row r="13328" spans="3:47">
      <c r="C13328" s="20"/>
      <c r="Z13328" s="20"/>
      <c r="AG13328" s="20"/>
      <c r="AQ13328" s="19"/>
      <c r="AR13328" s="19"/>
      <c r="AS13328" s="19"/>
      <c r="AT13328" s="19"/>
      <c r="AU13328" s="19"/>
    </row>
    <row r="13329" spans="3:47">
      <c r="C13329" s="20"/>
      <c r="Z13329" s="20"/>
      <c r="AG13329" s="20"/>
      <c r="AQ13329" s="19"/>
      <c r="AR13329" s="19"/>
      <c r="AS13329" s="19"/>
      <c r="AT13329" s="19"/>
      <c r="AU13329" s="19"/>
    </row>
    <row r="13330" spans="3:47">
      <c r="C13330" s="20"/>
      <c r="Z13330" s="20"/>
      <c r="AG13330" s="20"/>
      <c r="AQ13330" s="19"/>
      <c r="AR13330" s="19"/>
      <c r="AS13330" s="19"/>
      <c r="AT13330" s="19"/>
      <c r="AU13330" s="19"/>
    </row>
    <row r="13331" spans="3:47">
      <c r="C13331" s="20"/>
      <c r="Z13331" s="20"/>
      <c r="AG13331" s="20"/>
      <c r="AQ13331" s="19"/>
      <c r="AR13331" s="19"/>
      <c r="AS13331" s="19"/>
      <c r="AT13331" s="19"/>
      <c r="AU13331" s="19"/>
    </row>
    <row r="13332" spans="3:47">
      <c r="C13332" s="20"/>
      <c r="Z13332" s="20"/>
      <c r="AG13332" s="20"/>
      <c r="AQ13332" s="19"/>
      <c r="AR13332" s="19"/>
      <c r="AS13332" s="19"/>
      <c r="AT13332" s="19"/>
      <c r="AU13332" s="19"/>
    </row>
    <row r="13333" spans="3:47">
      <c r="C13333" s="20"/>
      <c r="Z13333" s="20"/>
      <c r="AG13333" s="20"/>
      <c r="AQ13333" s="19"/>
      <c r="AR13333" s="19"/>
      <c r="AS13333" s="19"/>
      <c r="AT13333" s="19"/>
      <c r="AU13333" s="19"/>
    </row>
    <row r="13334" spans="3:47">
      <c r="C13334" s="20"/>
      <c r="Z13334" s="20"/>
      <c r="AG13334" s="20"/>
      <c r="AQ13334" s="19"/>
      <c r="AR13334" s="19"/>
      <c r="AS13334" s="19"/>
      <c r="AT13334" s="19"/>
      <c r="AU13334" s="19"/>
    </row>
    <row r="13335" spans="3:47">
      <c r="C13335" s="20"/>
      <c r="Z13335" s="20"/>
      <c r="AG13335" s="20"/>
      <c r="AQ13335" s="19"/>
      <c r="AR13335" s="19"/>
      <c r="AS13335" s="19"/>
      <c r="AT13335" s="19"/>
      <c r="AU13335" s="19"/>
    </row>
    <row r="13336" spans="3:47">
      <c r="C13336" s="20"/>
      <c r="Z13336" s="20"/>
      <c r="AG13336" s="20"/>
      <c r="AQ13336" s="19"/>
      <c r="AR13336" s="19"/>
      <c r="AS13336" s="19"/>
      <c r="AT13336" s="19"/>
      <c r="AU13336" s="19"/>
    </row>
    <row r="13337" spans="3:47">
      <c r="C13337" s="20"/>
      <c r="Z13337" s="20"/>
      <c r="AG13337" s="20"/>
      <c r="AQ13337" s="19"/>
      <c r="AR13337" s="19"/>
      <c r="AS13337" s="19"/>
      <c r="AT13337" s="19"/>
      <c r="AU13337" s="19"/>
    </row>
    <row r="13338" spans="3:47">
      <c r="C13338" s="20"/>
      <c r="Z13338" s="20"/>
      <c r="AG13338" s="20"/>
      <c r="AQ13338" s="19"/>
      <c r="AR13338" s="19"/>
      <c r="AS13338" s="19"/>
      <c r="AT13338" s="19"/>
      <c r="AU13338" s="19"/>
    </row>
    <row r="13339" spans="3:47">
      <c r="C13339" s="20"/>
      <c r="Z13339" s="20"/>
      <c r="AG13339" s="20"/>
      <c r="AQ13339" s="19"/>
      <c r="AR13339" s="19"/>
      <c r="AS13339" s="19"/>
      <c r="AT13339" s="19"/>
      <c r="AU13339" s="19"/>
    </row>
    <row r="13340" spans="3:47">
      <c r="C13340" s="20"/>
      <c r="Z13340" s="20"/>
      <c r="AG13340" s="20"/>
      <c r="AQ13340" s="19"/>
      <c r="AR13340" s="19"/>
      <c r="AS13340" s="19"/>
      <c r="AT13340" s="19"/>
      <c r="AU13340" s="19"/>
    </row>
    <row r="13341" spans="3:47">
      <c r="C13341" s="20"/>
      <c r="Z13341" s="20"/>
      <c r="AG13341" s="20"/>
      <c r="AQ13341" s="19"/>
      <c r="AR13341" s="19"/>
      <c r="AS13341" s="19"/>
      <c r="AT13341" s="19"/>
      <c r="AU13341" s="19"/>
    </row>
    <row r="13342" spans="3:47">
      <c r="C13342" s="20"/>
      <c r="Z13342" s="20"/>
      <c r="AG13342" s="20"/>
      <c r="AQ13342" s="19"/>
      <c r="AR13342" s="19"/>
      <c r="AS13342" s="19"/>
      <c r="AT13342" s="19"/>
      <c r="AU13342" s="19"/>
    </row>
    <row r="13343" spans="3:47">
      <c r="C13343" s="20"/>
      <c r="Z13343" s="20"/>
      <c r="AG13343" s="20"/>
      <c r="AQ13343" s="19"/>
      <c r="AR13343" s="19"/>
      <c r="AS13343" s="19"/>
      <c r="AT13343" s="19"/>
      <c r="AU13343" s="19"/>
    </row>
    <row r="13344" spans="3:47">
      <c r="C13344" s="20"/>
      <c r="Z13344" s="20"/>
      <c r="AG13344" s="20"/>
      <c r="AQ13344" s="19"/>
      <c r="AR13344" s="19"/>
      <c r="AS13344" s="19"/>
      <c r="AT13344" s="19"/>
      <c r="AU13344" s="19"/>
    </row>
    <row r="13345" spans="3:47">
      <c r="C13345" s="20"/>
      <c r="Z13345" s="20"/>
      <c r="AG13345" s="20"/>
      <c r="AQ13345" s="19"/>
      <c r="AR13345" s="19"/>
      <c r="AS13345" s="19"/>
      <c r="AT13345" s="19"/>
      <c r="AU13345" s="19"/>
    </row>
    <row r="13346" spans="3:47">
      <c r="C13346" s="20"/>
      <c r="Z13346" s="20"/>
      <c r="AG13346" s="20"/>
      <c r="AQ13346" s="19"/>
      <c r="AR13346" s="19"/>
      <c r="AS13346" s="19"/>
      <c r="AT13346" s="19"/>
      <c r="AU13346" s="19"/>
    </row>
    <row r="13347" spans="3:47">
      <c r="C13347" s="20"/>
      <c r="Z13347" s="20"/>
      <c r="AG13347" s="20"/>
      <c r="AQ13347" s="19"/>
      <c r="AR13347" s="19"/>
      <c r="AS13347" s="19"/>
      <c r="AT13347" s="19"/>
      <c r="AU13347" s="19"/>
    </row>
    <row r="13348" spans="3:47">
      <c r="C13348" s="20"/>
      <c r="Z13348" s="20"/>
      <c r="AG13348" s="20"/>
      <c r="AQ13348" s="19"/>
      <c r="AR13348" s="19"/>
      <c r="AS13348" s="19"/>
      <c r="AT13348" s="19"/>
      <c r="AU13348" s="19"/>
    </row>
    <row r="13349" spans="3:47">
      <c r="C13349" s="20"/>
      <c r="Z13349" s="20"/>
      <c r="AG13349" s="20"/>
      <c r="AQ13349" s="19"/>
      <c r="AR13349" s="19"/>
      <c r="AS13349" s="19"/>
      <c r="AT13349" s="19"/>
      <c r="AU13349" s="19"/>
    </row>
    <row r="13350" spans="3:47">
      <c r="C13350" s="20"/>
      <c r="Z13350" s="20"/>
      <c r="AG13350" s="20"/>
      <c r="AQ13350" s="19"/>
      <c r="AR13350" s="19"/>
      <c r="AS13350" s="19"/>
      <c r="AT13350" s="19"/>
      <c r="AU13350" s="19"/>
    </row>
    <row r="13351" spans="3:47">
      <c r="C13351" s="20"/>
      <c r="Z13351" s="20"/>
      <c r="AG13351" s="20"/>
      <c r="AQ13351" s="19"/>
      <c r="AR13351" s="19"/>
      <c r="AS13351" s="19"/>
      <c r="AT13351" s="19"/>
      <c r="AU13351" s="19"/>
    </row>
    <row r="13352" spans="3:47">
      <c r="C13352" s="20"/>
      <c r="Z13352" s="20"/>
      <c r="AG13352" s="20"/>
      <c r="AQ13352" s="19"/>
      <c r="AR13352" s="19"/>
      <c r="AS13352" s="19"/>
      <c r="AT13352" s="19"/>
      <c r="AU13352" s="19"/>
    </row>
    <row r="13353" spans="3:47">
      <c r="C13353" s="20"/>
      <c r="Z13353" s="20"/>
      <c r="AG13353" s="20"/>
      <c r="AQ13353" s="19"/>
      <c r="AR13353" s="19"/>
      <c r="AS13353" s="19"/>
      <c r="AT13353" s="19"/>
      <c r="AU13353" s="19"/>
    </row>
    <row r="13354" spans="3:47">
      <c r="C13354" s="20"/>
      <c r="Z13354" s="20"/>
      <c r="AG13354" s="20"/>
      <c r="AQ13354" s="19"/>
      <c r="AR13354" s="19"/>
      <c r="AS13354" s="19"/>
      <c r="AT13354" s="19"/>
      <c r="AU13354" s="19"/>
    </row>
    <row r="13355" spans="3:47">
      <c r="C13355" s="20"/>
      <c r="Z13355" s="20"/>
      <c r="AG13355" s="20"/>
      <c r="AQ13355" s="19"/>
      <c r="AR13355" s="19"/>
      <c r="AS13355" s="19"/>
      <c r="AT13355" s="19"/>
      <c r="AU13355" s="19"/>
    </row>
    <row r="13356" spans="3:47">
      <c r="C13356" s="20"/>
      <c r="Z13356" s="20"/>
      <c r="AG13356" s="20"/>
      <c r="AQ13356" s="19"/>
      <c r="AR13356" s="19"/>
      <c r="AS13356" s="19"/>
      <c r="AT13356" s="19"/>
      <c r="AU13356" s="19"/>
    </row>
    <row r="13357" spans="3:47">
      <c r="C13357" s="20"/>
      <c r="Z13357" s="20"/>
      <c r="AG13357" s="20"/>
      <c r="AQ13357" s="19"/>
      <c r="AR13357" s="19"/>
      <c r="AS13357" s="19"/>
      <c r="AT13357" s="19"/>
      <c r="AU13357" s="19"/>
    </row>
    <row r="13358" spans="3:47">
      <c r="C13358" s="20"/>
      <c r="Z13358" s="20"/>
      <c r="AG13358" s="20"/>
      <c r="AQ13358" s="19"/>
      <c r="AR13358" s="19"/>
      <c r="AS13358" s="19"/>
      <c r="AT13358" s="19"/>
      <c r="AU13358" s="19"/>
    </row>
    <row r="13359" spans="3:47">
      <c r="C13359" s="20"/>
      <c r="Z13359" s="20"/>
      <c r="AG13359" s="20"/>
      <c r="AQ13359" s="19"/>
      <c r="AR13359" s="19"/>
      <c r="AS13359" s="19"/>
      <c r="AT13359" s="19"/>
      <c r="AU13359" s="19"/>
    </row>
    <row r="13360" spans="3:47">
      <c r="C13360" s="20"/>
      <c r="Z13360" s="20"/>
      <c r="AG13360" s="20"/>
      <c r="AQ13360" s="19"/>
      <c r="AR13360" s="19"/>
      <c r="AS13360" s="19"/>
      <c r="AT13360" s="19"/>
      <c r="AU13360" s="19"/>
    </row>
    <row r="13361" spans="3:47">
      <c r="C13361" s="20"/>
      <c r="Z13361" s="20"/>
      <c r="AG13361" s="20"/>
      <c r="AQ13361" s="19"/>
      <c r="AR13361" s="19"/>
      <c r="AS13361" s="19"/>
      <c r="AT13361" s="19"/>
      <c r="AU13361" s="19"/>
    </row>
    <row r="13362" spans="3:47">
      <c r="C13362" s="20"/>
      <c r="Z13362" s="20"/>
      <c r="AG13362" s="20"/>
      <c r="AQ13362" s="19"/>
      <c r="AR13362" s="19"/>
      <c r="AS13362" s="19"/>
      <c r="AT13362" s="19"/>
      <c r="AU13362" s="19"/>
    </row>
    <row r="13363" spans="3:47">
      <c r="C13363" s="20"/>
      <c r="Z13363" s="20"/>
      <c r="AG13363" s="20"/>
      <c r="AQ13363" s="19"/>
      <c r="AR13363" s="19"/>
      <c r="AS13363" s="19"/>
      <c r="AT13363" s="19"/>
      <c r="AU13363" s="19"/>
    </row>
    <row r="13364" spans="3:47">
      <c r="C13364" s="20"/>
      <c r="Z13364" s="20"/>
      <c r="AG13364" s="20"/>
      <c r="AQ13364" s="19"/>
      <c r="AR13364" s="19"/>
      <c r="AS13364" s="19"/>
      <c r="AT13364" s="19"/>
      <c r="AU13364" s="19"/>
    </row>
    <row r="13365" spans="3:47">
      <c r="C13365" s="20"/>
      <c r="Z13365" s="20"/>
      <c r="AG13365" s="20"/>
      <c r="AQ13365" s="19"/>
      <c r="AR13365" s="19"/>
      <c r="AS13365" s="19"/>
      <c r="AT13365" s="19"/>
      <c r="AU13365" s="19"/>
    </row>
    <row r="13366" spans="3:47">
      <c r="C13366" s="20"/>
      <c r="Z13366" s="20"/>
      <c r="AG13366" s="20"/>
      <c r="AQ13366" s="19"/>
      <c r="AR13366" s="19"/>
      <c r="AS13366" s="19"/>
      <c r="AT13366" s="19"/>
      <c r="AU13366" s="19"/>
    </row>
    <row r="13367" spans="3:47">
      <c r="C13367" s="20"/>
      <c r="Z13367" s="20"/>
      <c r="AG13367" s="20"/>
      <c r="AQ13367" s="19"/>
      <c r="AR13367" s="19"/>
      <c r="AS13367" s="19"/>
      <c r="AT13367" s="19"/>
      <c r="AU13367" s="19"/>
    </row>
    <row r="13368" spans="3:47">
      <c r="C13368" s="20"/>
      <c r="Z13368" s="20"/>
      <c r="AG13368" s="20"/>
      <c r="AQ13368" s="19"/>
      <c r="AR13368" s="19"/>
      <c r="AS13368" s="19"/>
      <c r="AT13368" s="19"/>
      <c r="AU13368" s="19"/>
    </row>
    <row r="13369" spans="3:47">
      <c r="C13369" s="20"/>
      <c r="Z13369" s="20"/>
      <c r="AG13369" s="20"/>
      <c r="AQ13369" s="19"/>
      <c r="AR13369" s="19"/>
      <c r="AS13369" s="19"/>
      <c r="AT13369" s="19"/>
      <c r="AU13369" s="19"/>
    </row>
    <row r="13370" spans="3:47">
      <c r="C13370" s="20"/>
      <c r="Z13370" s="20"/>
      <c r="AG13370" s="20"/>
      <c r="AQ13370" s="19"/>
      <c r="AR13370" s="19"/>
      <c r="AS13370" s="19"/>
      <c r="AT13370" s="19"/>
      <c r="AU13370" s="19"/>
    </row>
    <row r="13371" spans="3:47">
      <c r="C13371" s="20"/>
      <c r="Z13371" s="20"/>
      <c r="AG13371" s="20"/>
      <c r="AQ13371" s="19"/>
      <c r="AR13371" s="19"/>
      <c r="AS13371" s="19"/>
      <c r="AT13371" s="19"/>
      <c r="AU13371" s="19"/>
    </row>
    <row r="13372" spans="3:47">
      <c r="C13372" s="20"/>
      <c r="Z13372" s="20"/>
      <c r="AG13372" s="20"/>
      <c r="AQ13372" s="19"/>
      <c r="AR13372" s="19"/>
      <c r="AS13372" s="19"/>
      <c r="AT13372" s="19"/>
      <c r="AU13372" s="19"/>
    </row>
    <row r="13373" spans="3:47">
      <c r="C13373" s="20"/>
      <c r="Z13373" s="20"/>
      <c r="AG13373" s="20"/>
      <c r="AQ13373" s="19"/>
      <c r="AR13373" s="19"/>
      <c r="AS13373" s="19"/>
      <c r="AT13373" s="19"/>
      <c r="AU13373" s="19"/>
    </row>
    <row r="13374" spans="3:47">
      <c r="C13374" s="20"/>
      <c r="Z13374" s="20"/>
      <c r="AG13374" s="20"/>
      <c r="AQ13374" s="19"/>
      <c r="AR13374" s="19"/>
      <c r="AS13374" s="19"/>
      <c r="AT13374" s="19"/>
      <c r="AU13374" s="19"/>
    </row>
    <row r="13375" spans="3:47">
      <c r="C13375" s="20"/>
      <c r="Z13375" s="20"/>
      <c r="AG13375" s="20"/>
      <c r="AQ13375" s="19"/>
      <c r="AR13375" s="19"/>
      <c r="AS13375" s="19"/>
      <c r="AT13375" s="19"/>
      <c r="AU13375" s="19"/>
    </row>
    <row r="13376" spans="3:47">
      <c r="C13376" s="20"/>
      <c r="Z13376" s="20"/>
      <c r="AG13376" s="20"/>
      <c r="AQ13376" s="19"/>
      <c r="AR13376" s="19"/>
      <c r="AS13376" s="19"/>
      <c r="AT13376" s="19"/>
      <c r="AU13376" s="19"/>
    </row>
    <row r="13377" spans="3:47">
      <c r="C13377" s="20"/>
      <c r="Z13377" s="20"/>
      <c r="AG13377" s="20"/>
      <c r="AQ13377" s="19"/>
      <c r="AR13377" s="19"/>
      <c r="AS13377" s="19"/>
      <c r="AT13377" s="19"/>
      <c r="AU13377" s="19"/>
    </row>
    <row r="13378" spans="3:47">
      <c r="C13378" s="20"/>
      <c r="Z13378" s="20"/>
      <c r="AG13378" s="20"/>
      <c r="AQ13378" s="19"/>
      <c r="AR13378" s="19"/>
      <c r="AS13378" s="19"/>
      <c r="AT13378" s="19"/>
      <c r="AU13378" s="19"/>
    </row>
    <row r="13379" spans="3:47">
      <c r="C13379" s="20"/>
      <c r="Z13379" s="20"/>
      <c r="AG13379" s="20"/>
      <c r="AQ13379" s="19"/>
      <c r="AR13379" s="19"/>
      <c r="AS13379" s="19"/>
      <c r="AT13379" s="19"/>
      <c r="AU13379" s="19"/>
    </row>
    <row r="13380" spans="3:47">
      <c r="C13380" s="20"/>
      <c r="Z13380" s="20"/>
      <c r="AG13380" s="20"/>
      <c r="AQ13380" s="19"/>
      <c r="AR13380" s="19"/>
      <c r="AS13380" s="19"/>
      <c r="AT13380" s="19"/>
      <c r="AU13380" s="19"/>
    </row>
    <row r="13381" spans="3:47">
      <c r="C13381" s="20"/>
      <c r="Z13381" s="20"/>
      <c r="AG13381" s="20"/>
      <c r="AQ13381" s="19"/>
      <c r="AR13381" s="19"/>
      <c r="AS13381" s="19"/>
      <c r="AT13381" s="19"/>
      <c r="AU13381" s="19"/>
    </row>
    <row r="13382" spans="3:47">
      <c r="C13382" s="20"/>
      <c r="Z13382" s="20"/>
      <c r="AG13382" s="20"/>
      <c r="AQ13382" s="19"/>
      <c r="AR13382" s="19"/>
      <c r="AS13382" s="19"/>
      <c r="AT13382" s="19"/>
      <c r="AU13382" s="19"/>
    </row>
    <row r="13383" spans="3:47">
      <c r="C13383" s="20"/>
      <c r="Z13383" s="20"/>
      <c r="AG13383" s="20"/>
      <c r="AQ13383" s="19"/>
      <c r="AR13383" s="19"/>
      <c r="AS13383" s="19"/>
      <c r="AT13383" s="19"/>
      <c r="AU13383" s="19"/>
    </row>
    <row r="13384" spans="3:47">
      <c r="C13384" s="20"/>
      <c r="Z13384" s="20"/>
      <c r="AG13384" s="20"/>
      <c r="AQ13384" s="19"/>
      <c r="AR13384" s="19"/>
      <c r="AS13384" s="19"/>
      <c r="AT13384" s="19"/>
      <c r="AU13384" s="19"/>
    </row>
    <row r="13385" spans="3:47">
      <c r="C13385" s="20"/>
      <c r="Z13385" s="20"/>
      <c r="AG13385" s="20"/>
      <c r="AQ13385" s="19"/>
      <c r="AR13385" s="19"/>
      <c r="AS13385" s="19"/>
      <c r="AT13385" s="19"/>
      <c r="AU13385" s="19"/>
    </row>
    <row r="13386" spans="3:47">
      <c r="C13386" s="20"/>
      <c r="Z13386" s="20"/>
      <c r="AG13386" s="20"/>
      <c r="AQ13386" s="19"/>
      <c r="AR13386" s="19"/>
      <c r="AS13386" s="19"/>
      <c r="AT13386" s="19"/>
      <c r="AU13386" s="19"/>
    </row>
    <row r="13387" spans="3:47">
      <c r="C13387" s="20"/>
      <c r="Z13387" s="20"/>
      <c r="AG13387" s="20"/>
      <c r="AQ13387" s="19"/>
      <c r="AR13387" s="19"/>
      <c r="AS13387" s="19"/>
      <c r="AT13387" s="19"/>
      <c r="AU13387" s="19"/>
    </row>
    <row r="13388" spans="3:47">
      <c r="C13388" s="20"/>
      <c r="Z13388" s="20"/>
      <c r="AG13388" s="20"/>
      <c r="AQ13388" s="19"/>
      <c r="AR13388" s="19"/>
      <c r="AS13388" s="19"/>
      <c r="AT13388" s="19"/>
      <c r="AU13388" s="19"/>
    </row>
    <row r="13389" spans="3:47">
      <c r="C13389" s="20"/>
      <c r="Z13389" s="20"/>
      <c r="AG13389" s="20"/>
      <c r="AQ13389" s="19"/>
      <c r="AR13389" s="19"/>
      <c r="AS13389" s="19"/>
      <c r="AT13389" s="19"/>
      <c r="AU13389" s="19"/>
    </row>
    <row r="13390" spans="3:47">
      <c r="C13390" s="20"/>
      <c r="Z13390" s="20"/>
      <c r="AG13390" s="20"/>
      <c r="AQ13390" s="19"/>
      <c r="AR13390" s="19"/>
      <c r="AS13390" s="19"/>
      <c r="AT13390" s="19"/>
      <c r="AU13390" s="19"/>
    </row>
    <row r="13391" spans="3:47">
      <c r="C13391" s="20"/>
      <c r="Z13391" s="20"/>
      <c r="AG13391" s="20"/>
      <c r="AQ13391" s="19"/>
      <c r="AR13391" s="19"/>
      <c r="AS13391" s="19"/>
      <c r="AT13391" s="19"/>
      <c r="AU13391" s="19"/>
    </row>
    <row r="13392" spans="3:47">
      <c r="C13392" s="20"/>
      <c r="Z13392" s="20"/>
      <c r="AG13392" s="20"/>
      <c r="AQ13392" s="19"/>
      <c r="AR13392" s="19"/>
      <c r="AS13392" s="19"/>
      <c r="AT13392" s="19"/>
      <c r="AU13392" s="19"/>
    </row>
    <row r="13393" spans="3:47">
      <c r="C13393" s="20"/>
      <c r="Z13393" s="20"/>
      <c r="AG13393" s="20"/>
      <c r="AQ13393" s="19"/>
      <c r="AR13393" s="19"/>
      <c r="AS13393" s="19"/>
      <c r="AT13393" s="19"/>
      <c r="AU13393" s="19"/>
    </row>
    <row r="13394" spans="3:47">
      <c r="C13394" s="20"/>
      <c r="Z13394" s="20"/>
      <c r="AG13394" s="20"/>
      <c r="AQ13394" s="19"/>
      <c r="AR13394" s="19"/>
      <c r="AS13394" s="19"/>
      <c r="AT13394" s="19"/>
      <c r="AU13394" s="19"/>
    </row>
    <row r="13395" spans="3:47">
      <c r="C13395" s="20"/>
      <c r="Z13395" s="20"/>
      <c r="AG13395" s="20"/>
      <c r="AQ13395" s="19"/>
      <c r="AR13395" s="19"/>
      <c r="AS13395" s="19"/>
      <c r="AT13395" s="19"/>
      <c r="AU13395" s="19"/>
    </row>
    <row r="13396" spans="3:47">
      <c r="C13396" s="20"/>
      <c r="Z13396" s="20"/>
      <c r="AG13396" s="20"/>
      <c r="AQ13396" s="19"/>
      <c r="AR13396" s="19"/>
      <c r="AS13396" s="19"/>
      <c r="AT13396" s="19"/>
      <c r="AU13396" s="19"/>
    </row>
    <row r="13397" spans="3:47">
      <c r="C13397" s="20"/>
      <c r="Z13397" s="20"/>
      <c r="AG13397" s="20"/>
      <c r="AQ13397" s="19"/>
      <c r="AR13397" s="19"/>
      <c r="AS13397" s="19"/>
      <c r="AT13397" s="19"/>
      <c r="AU13397" s="19"/>
    </row>
    <row r="13398" spans="3:47">
      <c r="C13398" s="20"/>
      <c r="Z13398" s="20"/>
      <c r="AG13398" s="20"/>
      <c r="AQ13398" s="19"/>
      <c r="AR13398" s="19"/>
      <c r="AS13398" s="19"/>
      <c r="AT13398" s="19"/>
      <c r="AU13398" s="19"/>
    </row>
    <row r="13399" spans="3:47">
      <c r="C13399" s="20"/>
      <c r="Z13399" s="20"/>
      <c r="AG13399" s="20"/>
      <c r="AQ13399" s="19"/>
      <c r="AR13399" s="19"/>
      <c r="AS13399" s="19"/>
      <c r="AT13399" s="19"/>
      <c r="AU13399" s="19"/>
    </row>
    <row r="13400" spans="3:47">
      <c r="C13400" s="20"/>
      <c r="Z13400" s="20"/>
      <c r="AG13400" s="20"/>
      <c r="AQ13400" s="19"/>
      <c r="AR13400" s="19"/>
      <c r="AS13400" s="19"/>
      <c r="AT13400" s="19"/>
      <c r="AU13400" s="19"/>
    </row>
    <row r="13401" spans="3:47">
      <c r="C13401" s="20"/>
      <c r="Z13401" s="20"/>
      <c r="AG13401" s="20"/>
      <c r="AQ13401" s="19"/>
      <c r="AR13401" s="19"/>
      <c r="AS13401" s="19"/>
      <c r="AT13401" s="19"/>
      <c r="AU13401" s="19"/>
    </row>
    <row r="13402" spans="3:47">
      <c r="C13402" s="20"/>
      <c r="Z13402" s="20"/>
      <c r="AG13402" s="20"/>
      <c r="AQ13402" s="19"/>
      <c r="AR13402" s="19"/>
      <c r="AS13402" s="19"/>
      <c r="AT13402" s="19"/>
      <c r="AU13402" s="19"/>
    </row>
    <row r="13403" spans="3:47">
      <c r="C13403" s="20"/>
      <c r="Z13403" s="20"/>
      <c r="AG13403" s="20"/>
      <c r="AQ13403" s="19"/>
      <c r="AR13403" s="19"/>
      <c r="AS13403" s="19"/>
      <c r="AT13403" s="19"/>
      <c r="AU13403" s="19"/>
    </row>
    <row r="13404" spans="3:47">
      <c r="C13404" s="20"/>
      <c r="Z13404" s="20"/>
      <c r="AG13404" s="20"/>
      <c r="AQ13404" s="19"/>
      <c r="AR13404" s="19"/>
      <c r="AS13404" s="19"/>
      <c r="AT13404" s="19"/>
      <c r="AU13404" s="19"/>
    </row>
    <row r="13405" spans="3:47">
      <c r="C13405" s="20"/>
      <c r="Z13405" s="20"/>
      <c r="AG13405" s="20"/>
      <c r="AQ13405" s="19"/>
      <c r="AR13405" s="19"/>
      <c r="AS13405" s="19"/>
      <c r="AT13405" s="19"/>
      <c r="AU13405" s="19"/>
    </row>
    <row r="13406" spans="3:47">
      <c r="C13406" s="20"/>
      <c r="Z13406" s="20"/>
      <c r="AG13406" s="20"/>
      <c r="AQ13406" s="19"/>
      <c r="AR13406" s="19"/>
      <c r="AS13406" s="19"/>
      <c r="AT13406" s="19"/>
      <c r="AU13406" s="19"/>
    </row>
    <row r="13407" spans="3:47">
      <c r="C13407" s="20"/>
      <c r="Z13407" s="20"/>
      <c r="AG13407" s="20"/>
      <c r="AQ13407" s="19"/>
      <c r="AR13407" s="19"/>
      <c r="AS13407" s="19"/>
      <c r="AT13407" s="19"/>
      <c r="AU13407" s="19"/>
    </row>
    <row r="13408" spans="3:47">
      <c r="C13408" s="20"/>
      <c r="Z13408" s="20"/>
      <c r="AG13408" s="20"/>
      <c r="AQ13408" s="19"/>
      <c r="AR13408" s="19"/>
      <c r="AS13408" s="19"/>
      <c r="AT13408" s="19"/>
      <c r="AU13408" s="19"/>
    </row>
    <row r="13409" spans="3:47">
      <c r="C13409" s="20"/>
      <c r="Z13409" s="20"/>
      <c r="AG13409" s="20"/>
      <c r="AQ13409" s="19"/>
      <c r="AR13409" s="19"/>
      <c r="AS13409" s="19"/>
      <c r="AT13409" s="19"/>
      <c r="AU13409" s="19"/>
    </row>
    <row r="13410" spans="3:47">
      <c r="C13410" s="20"/>
      <c r="Z13410" s="20"/>
      <c r="AG13410" s="20"/>
      <c r="AQ13410" s="19"/>
      <c r="AR13410" s="19"/>
      <c r="AS13410" s="19"/>
      <c r="AT13410" s="19"/>
      <c r="AU13410" s="19"/>
    </row>
    <row r="13411" spans="3:47">
      <c r="C13411" s="20"/>
      <c r="Z13411" s="20"/>
      <c r="AG13411" s="20"/>
      <c r="AQ13411" s="19"/>
      <c r="AR13411" s="19"/>
      <c r="AS13411" s="19"/>
      <c r="AT13411" s="19"/>
      <c r="AU13411" s="19"/>
    </row>
    <row r="13412" spans="3:47">
      <c r="C13412" s="20"/>
      <c r="Z13412" s="20"/>
      <c r="AG13412" s="20"/>
      <c r="AQ13412" s="19"/>
      <c r="AR13412" s="19"/>
      <c r="AS13412" s="19"/>
      <c r="AT13412" s="19"/>
      <c r="AU13412" s="19"/>
    </row>
    <row r="13413" spans="3:47">
      <c r="C13413" s="20"/>
      <c r="Z13413" s="20"/>
      <c r="AG13413" s="20"/>
      <c r="AQ13413" s="19"/>
      <c r="AR13413" s="19"/>
      <c r="AS13413" s="19"/>
      <c r="AT13413" s="19"/>
      <c r="AU13413" s="19"/>
    </row>
    <row r="13414" spans="3:47">
      <c r="C13414" s="20"/>
      <c r="Z13414" s="20"/>
      <c r="AG13414" s="20"/>
      <c r="AQ13414" s="19"/>
      <c r="AR13414" s="19"/>
      <c r="AS13414" s="19"/>
      <c r="AT13414" s="19"/>
      <c r="AU13414" s="19"/>
    </row>
    <row r="13415" spans="3:47">
      <c r="C13415" s="20"/>
      <c r="Z13415" s="20"/>
      <c r="AG13415" s="20"/>
      <c r="AQ13415" s="19"/>
      <c r="AR13415" s="19"/>
      <c r="AS13415" s="19"/>
      <c r="AT13415" s="19"/>
      <c r="AU13415" s="19"/>
    </row>
    <row r="13416" spans="3:47">
      <c r="C13416" s="20"/>
      <c r="Z13416" s="20"/>
      <c r="AG13416" s="20"/>
      <c r="AQ13416" s="19"/>
      <c r="AR13416" s="19"/>
      <c r="AS13416" s="19"/>
      <c r="AT13416" s="19"/>
      <c r="AU13416" s="19"/>
    </row>
    <row r="13417" spans="3:47">
      <c r="C13417" s="20"/>
      <c r="Z13417" s="20"/>
      <c r="AG13417" s="20"/>
      <c r="AQ13417" s="19"/>
      <c r="AR13417" s="19"/>
      <c r="AS13417" s="19"/>
      <c r="AT13417" s="19"/>
      <c r="AU13417" s="19"/>
    </row>
    <row r="13418" spans="3:47">
      <c r="C13418" s="20"/>
      <c r="Z13418" s="20"/>
      <c r="AG13418" s="20"/>
      <c r="AQ13418" s="19"/>
      <c r="AR13418" s="19"/>
      <c r="AS13418" s="19"/>
      <c r="AT13418" s="19"/>
      <c r="AU13418" s="19"/>
    </row>
    <row r="13419" spans="3:47">
      <c r="C13419" s="20"/>
      <c r="Z13419" s="20"/>
      <c r="AG13419" s="20"/>
      <c r="AQ13419" s="19"/>
      <c r="AR13419" s="19"/>
      <c r="AS13419" s="19"/>
      <c r="AT13419" s="19"/>
      <c r="AU13419" s="19"/>
    </row>
    <row r="13420" spans="3:47">
      <c r="C13420" s="20"/>
      <c r="Z13420" s="20"/>
      <c r="AG13420" s="20"/>
      <c r="AQ13420" s="19"/>
      <c r="AR13420" s="19"/>
      <c r="AS13420" s="19"/>
      <c r="AT13420" s="19"/>
      <c r="AU13420" s="19"/>
    </row>
    <row r="13421" spans="3:47">
      <c r="C13421" s="20"/>
      <c r="Z13421" s="20"/>
      <c r="AG13421" s="20"/>
      <c r="AQ13421" s="19"/>
      <c r="AR13421" s="19"/>
      <c r="AS13421" s="19"/>
      <c r="AT13421" s="19"/>
      <c r="AU13421" s="19"/>
    </row>
    <row r="13422" spans="3:47">
      <c r="C13422" s="20"/>
      <c r="Z13422" s="20"/>
      <c r="AG13422" s="20"/>
      <c r="AQ13422" s="19"/>
      <c r="AR13422" s="19"/>
      <c r="AS13422" s="19"/>
      <c r="AT13422" s="19"/>
      <c r="AU13422" s="19"/>
    </row>
    <row r="13423" spans="3:47">
      <c r="C13423" s="20"/>
      <c r="Z13423" s="20"/>
      <c r="AG13423" s="20"/>
      <c r="AQ13423" s="19"/>
      <c r="AR13423" s="19"/>
      <c r="AS13423" s="19"/>
      <c r="AT13423" s="19"/>
      <c r="AU13423" s="19"/>
    </row>
    <row r="13424" spans="3:47">
      <c r="C13424" s="20"/>
      <c r="Z13424" s="20"/>
      <c r="AG13424" s="20"/>
      <c r="AQ13424" s="19"/>
      <c r="AR13424" s="19"/>
      <c r="AS13424" s="19"/>
      <c r="AT13424" s="19"/>
      <c r="AU13424" s="19"/>
    </row>
    <row r="13425" spans="3:47">
      <c r="C13425" s="20"/>
      <c r="Z13425" s="20"/>
      <c r="AG13425" s="20"/>
      <c r="AQ13425" s="19"/>
      <c r="AR13425" s="19"/>
      <c r="AS13425" s="19"/>
      <c r="AT13425" s="19"/>
      <c r="AU13425" s="19"/>
    </row>
    <row r="13426" spans="3:47">
      <c r="C13426" s="20"/>
      <c r="Z13426" s="20"/>
      <c r="AG13426" s="20"/>
      <c r="AQ13426" s="19"/>
      <c r="AR13426" s="19"/>
      <c r="AS13426" s="19"/>
      <c r="AT13426" s="19"/>
      <c r="AU13426" s="19"/>
    </row>
    <row r="13427" spans="3:47">
      <c r="C13427" s="20"/>
      <c r="Z13427" s="20"/>
      <c r="AG13427" s="20"/>
      <c r="AQ13427" s="19"/>
      <c r="AR13427" s="19"/>
      <c r="AS13427" s="19"/>
      <c r="AT13427" s="19"/>
      <c r="AU13427" s="19"/>
    </row>
    <row r="13428" spans="3:47">
      <c r="C13428" s="20"/>
      <c r="Z13428" s="20"/>
      <c r="AG13428" s="20"/>
      <c r="AQ13428" s="19"/>
      <c r="AR13428" s="19"/>
      <c r="AS13428" s="19"/>
      <c r="AT13428" s="19"/>
      <c r="AU13428" s="19"/>
    </row>
    <row r="13429" spans="3:47">
      <c r="C13429" s="20"/>
      <c r="Z13429" s="20"/>
      <c r="AG13429" s="20"/>
      <c r="AQ13429" s="19"/>
      <c r="AR13429" s="19"/>
      <c r="AS13429" s="19"/>
      <c r="AT13429" s="19"/>
      <c r="AU13429" s="19"/>
    </row>
    <row r="13430" spans="3:47">
      <c r="C13430" s="20"/>
      <c r="Z13430" s="20"/>
      <c r="AG13430" s="20"/>
      <c r="AQ13430" s="19"/>
      <c r="AR13430" s="19"/>
      <c r="AS13430" s="19"/>
      <c r="AT13430" s="19"/>
      <c r="AU13430" s="19"/>
    </row>
    <row r="13431" spans="3:47">
      <c r="C13431" s="20"/>
      <c r="Z13431" s="20"/>
      <c r="AG13431" s="20"/>
      <c r="AQ13431" s="19"/>
      <c r="AR13431" s="19"/>
      <c r="AS13431" s="19"/>
      <c r="AT13431" s="19"/>
      <c r="AU13431" s="19"/>
    </row>
    <row r="13432" spans="3:47">
      <c r="C13432" s="20"/>
      <c r="Z13432" s="20"/>
      <c r="AG13432" s="20"/>
      <c r="AQ13432" s="19"/>
      <c r="AR13432" s="19"/>
      <c r="AS13432" s="19"/>
      <c r="AT13432" s="19"/>
      <c r="AU13432" s="19"/>
    </row>
    <row r="13433" spans="3:47">
      <c r="C13433" s="20"/>
      <c r="Z13433" s="20"/>
      <c r="AG13433" s="20"/>
      <c r="AQ13433" s="19"/>
      <c r="AR13433" s="19"/>
      <c r="AS13433" s="19"/>
      <c r="AT13433" s="19"/>
      <c r="AU13433" s="19"/>
    </row>
    <row r="13434" spans="3:47">
      <c r="C13434" s="20"/>
      <c r="Z13434" s="20"/>
      <c r="AG13434" s="20"/>
      <c r="AQ13434" s="19"/>
      <c r="AR13434" s="19"/>
      <c r="AS13434" s="19"/>
      <c r="AT13434" s="19"/>
      <c r="AU13434" s="19"/>
    </row>
    <row r="13435" spans="3:47">
      <c r="C13435" s="20"/>
      <c r="Z13435" s="20"/>
      <c r="AG13435" s="20"/>
      <c r="AQ13435" s="19"/>
      <c r="AR13435" s="19"/>
      <c r="AS13435" s="19"/>
      <c r="AT13435" s="19"/>
      <c r="AU13435" s="19"/>
    </row>
    <row r="13436" spans="3:47">
      <c r="C13436" s="20"/>
      <c r="Z13436" s="20"/>
      <c r="AG13436" s="20"/>
      <c r="AQ13436" s="19"/>
      <c r="AR13436" s="19"/>
      <c r="AS13436" s="19"/>
      <c r="AT13436" s="19"/>
      <c r="AU13436" s="19"/>
    </row>
    <row r="13437" spans="3:47">
      <c r="C13437" s="20"/>
      <c r="Z13437" s="20"/>
      <c r="AG13437" s="20"/>
      <c r="AQ13437" s="19"/>
      <c r="AR13437" s="19"/>
      <c r="AS13437" s="19"/>
      <c r="AT13437" s="19"/>
      <c r="AU13437" s="19"/>
    </row>
    <row r="13438" spans="3:47">
      <c r="C13438" s="20"/>
      <c r="Z13438" s="20"/>
      <c r="AG13438" s="20"/>
      <c r="AQ13438" s="19"/>
      <c r="AR13438" s="19"/>
      <c r="AS13438" s="19"/>
      <c r="AT13438" s="19"/>
      <c r="AU13438" s="19"/>
    </row>
    <row r="13439" spans="3:47">
      <c r="C13439" s="20"/>
      <c r="Z13439" s="20"/>
      <c r="AG13439" s="20"/>
      <c r="AQ13439" s="19"/>
      <c r="AR13439" s="19"/>
      <c r="AS13439" s="19"/>
      <c r="AT13439" s="19"/>
      <c r="AU13439" s="19"/>
    </row>
    <row r="13440" spans="3:47">
      <c r="C13440" s="20"/>
      <c r="Z13440" s="20"/>
      <c r="AG13440" s="20"/>
      <c r="AQ13440" s="19"/>
      <c r="AR13440" s="19"/>
      <c r="AS13440" s="19"/>
      <c r="AT13440" s="19"/>
      <c r="AU13440" s="19"/>
    </row>
    <row r="13441" spans="3:47">
      <c r="C13441" s="20"/>
      <c r="Z13441" s="20"/>
      <c r="AG13441" s="20"/>
      <c r="AQ13441" s="19"/>
      <c r="AR13441" s="19"/>
      <c r="AS13441" s="19"/>
      <c r="AT13441" s="19"/>
      <c r="AU13441" s="19"/>
    </row>
    <row r="13442" spans="3:47">
      <c r="C13442" s="20"/>
      <c r="Z13442" s="20"/>
      <c r="AG13442" s="20"/>
      <c r="AQ13442" s="19"/>
      <c r="AR13442" s="19"/>
      <c r="AS13442" s="19"/>
      <c r="AT13442" s="19"/>
      <c r="AU13442" s="19"/>
    </row>
    <row r="13443" spans="3:47">
      <c r="C13443" s="20"/>
      <c r="Z13443" s="20"/>
      <c r="AG13443" s="20"/>
      <c r="AQ13443" s="19"/>
      <c r="AR13443" s="19"/>
      <c r="AS13443" s="19"/>
      <c r="AT13443" s="19"/>
      <c r="AU13443" s="19"/>
    </row>
    <row r="13444" spans="3:47">
      <c r="C13444" s="20"/>
      <c r="Z13444" s="20"/>
      <c r="AG13444" s="20"/>
      <c r="AQ13444" s="19"/>
      <c r="AR13444" s="19"/>
      <c r="AS13444" s="19"/>
      <c r="AT13444" s="19"/>
      <c r="AU13444" s="19"/>
    </row>
    <row r="13445" spans="3:47">
      <c r="C13445" s="20"/>
      <c r="Z13445" s="20"/>
      <c r="AG13445" s="20"/>
      <c r="AQ13445" s="19"/>
      <c r="AR13445" s="19"/>
      <c r="AS13445" s="19"/>
      <c r="AT13445" s="19"/>
      <c r="AU13445" s="19"/>
    </row>
    <row r="13446" spans="3:47">
      <c r="C13446" s="20"/>
      <c r="Z13446" s="20"/>
      <c r="AG13446" s="20"/>
      <c r="AQ13446" s="19"/>
      <c r="AR13446" s="19"/>
      <c r="AS13446" s="19"/>
      <c r="AT13446" s="19"/>
      <c r="AU13446" s="19"/>
    </row>
    <row r="13447" spans="3:47">
      <c r="C13447" s="20"/>
      <c r="Z13447" s="20"/>
      <c r="AG13447" s="20"/>
      <c r="AQ13447" s="19"/>
      <c r="AR13447" s="19"/>
      <c r="AS13447" s="19"/>
      <c r="AT13447" s="19"/>
      <c r="AU13447" s="19"/>
    </row>
    <row r="13448" spans="3:47">
      <c r="C13448" s="20"/>
      <c r="Z13448" s="20"/>
      <c r="AG13448" s="20"/>
      <c r="AQ13448" s="19"/>
      <c r="AR13448" s="19"/>
      <c r="AS13448" s="19"/>
      <c r="AT13448" s="19"/>
      <c r="AU13448" s="19"/>
    </row>
    <row r="13449" spans="3:47">
      <c r="C13449" s="20"/>
      <c r="Z13449" s="20"/>
      <c r="AG13449" s="20"/>
      <c r="AQ13449" s="19"/>
      <c r="AR13449" s="19"/>
      <c r="AS13449" s="19"/>
      <c r="AT13449" s="19"/>
      <c r="AU13449" s="19"/>
    </row>
    <row r="13450" spans="3:47">
      <c r="C13450" s="20"/>
      <c r="Z13450" s="20"/>
      <c r="AG13450" s="20"/>
      <c r="AQ13450" s="19"/>
      <c r="AR13450" s="19"/>
      <c r="AS13450" s="19"/>
      <c r="AT13450" s="19"/>
      <c r="AU13450" s="19"/>
    </row>
    <row r="13451" spans="3:47">
      <c r="C13451" s="20"/>
      <c r="Z13451" s="20"/>
      <c r="AG13451" s="20"/>
      <c r="AQ13451" s="19"/>
      <c r="AR13451" s="19"/>
      <c r="AS13451" s="19"/>
      <c r="AT13451" s="19"/>
      <c r="AU13451" s="19"/>
    </row>
    <row r="13452" spans="3:47">
      <c r="C13452" s="20"/>
      <c r="Z13452" s="20"/>
      <c r="AG13452" s="20"/>
      <c r="AQ13452" s="19"/>
      <c r="AR13452" s="19"/>
      <c r="AS13452" s="19"/>
      <c r="AT13452" s="19"/>
      <c r="AU13452" s="19"/>
    </row>
    <row r="13453" spans="3:47">
      <c r="C13453" s="20"/>
      <c r="Z13453" s="20"/>
      <c r="AG13453" s="20"/>
      <c r="AQ13453" s="19"/>
      <c r="AR13453" s="19"/>
      <c r="AS13453" s="19"/>
      <c r="AT13453" s="19"/>
      <c r="AU13453" s="19"/>
    </row>
    <row r="13454" spans="3:47">
      <c r="C13454" s="20"/>
      <c r="Z13454" s="20"/>
      <c r="AG13454" s="20"/>
      <c r="AQ13454" s="19"/>
      <c r="AR13454" s="19"/>
      <c r="AS13454" s="19"/>
      <c r="AT13454" s="19"/>
      <c r="AU13454" s="19"/>
    </row>
    <row r="13455" spans="3:47">
      <c r="C13455" s="20"/>
      <c r="Z13455" s="20"/>
      <c r="AG13455" s="20"/>
      <c r="AQ13455" s="19"/>
      <c r="AR13455" s="19"/>
      <c r="AS13455" s="19"/>
      <c r="AT13455" s="19"/>
      <c r="AU13455" s="19"/>
    </row>
    <row r="13456" spans="3:47">
      <c r="C13456" s="20"/>
      <c r="Z13456" s="20"/>
      <c r="AG13456" s="20"/>
      <c r="AQ13456" s="19"/>
      <c r="AR13456" s="19"/>
      <c r="AS13456" s="19"/>
      <c r="AT13456" s="19"/>
      <c r="AU13456" s="19"/>
    </row>
    <row r="13457" spans="3:47">
      <c r="C13457" s="20"/>
      <c r="Z13457" s="20"/>
      <c r="AG13457" s="20"/>
      <c r="AQ13457" s="19"/>
      <c r="AR13457" s="19"/>
      <c r="AS13457" s="19"/>
      <c r="AT13457" s="19"/>
      <c r="AU13457" s="19"/>
    </row>
    <row r="13458" spans="3:47">
      <c r="C13458" s="20"/>
      <c r="Z13458" s="20"/>
      <c r="AG13458" s="20"/>
      <c r="AQ13458" s="19"/>
      <c r="AR13458" s="19"/>
      <c r="AS13458" s="19"/>
      <c r="AT13458" s="19"/>
      <c r="AU13458" s="19"/>
    </row>
    <row r="13459" spans="3:47">
      <c r="C13459" s="20"/>
      <c r="Z13459" s="20"/>
      <c r="AG13459" s="20"/>
      <c r="AQ13459" s="19"/>
      <c r="AR13459" s="19"/>
      <c r="AS13459" s="19"/>
      <c r="AT13459" s="19"/>
      <c r="AU13459" s="19"/>
    </row>
    <row r="13460" spans="3:47">
      <c r="C13460" s="20"/>
      <c r="Z13460" s="20"/>
      <c r="AG13460" s="20"/>
      <c r="AQ13460" s="19"/>
      <c r="AR13460" s="19"/>
      <c r="AS13460" s="19"/>
      <c r="AT13460" s="19"/>
      <c r="AU13460" s="19"/>
    </row>
    <row r="13461" spans="3:47">
      <c r="C13461" s="20"/>
      <c r="Z13461" s="20"/>
      <c r="AG13461" s="20"/>
      <c r="AQ13461" s="19"/>
      <c r="AR13461" s="19"/>
      <c r="AS13461" s="19"/>
      <c r="AT13461" s="19"/>
      <c r="AU13461" s="19"/>
    </row>
    <row r="13462" spans="3:47">
      <c r="C13462" s="20"/>
      <c r="Z13462" s="20"/>
      <c r="AG13462" s="20"/>
      <c r="AQ13462" s="19"/>
      <c r="AR13462" s="19"/>
      <c r="AS13462" s="19"/>
      <c r="AT13462" s="19"/>
      <c r="AU13462" s="19"/>
    </row>
    <row r="13463" spans="3:47">
      <c r="C13463" s="20"/>
      <c r="Z13463" s="20"/>
      <c r="AG13463" s="20"/>
      <c r="AQ13463" s="19"/>
      <c r="AR13463" s="19"/>
      <c r="AS13463" s="19"/>
      <c r="AT13463" s="19"/>
      <c r="AU13463" s="19"/>
    </row>
    <row r="13464" spans="3:47">
      <c r="C13464" s="20"/>
      <c r="Z13464" s="20"/>
      <c r="AG13464" s="20"/>
      <c r="AQ13464" s="19"/>
      <c r="AR13464" s="19"/>
      <c r="AS13464" s="19"/>
      <c r="AT13464" s="19"/>
      <c r="AU13464" s="19"/>
    </row>
    <row r="13465" spans="3:47">
      <c r="C13465" s="20"/>
      <c r="Z13465" s="20"/>
      <c r="AG13465" s="20"/>
      <c r="AQ13465" s="19"/>
      <c r="AR13465" s="19"/>
      <c r="AS13465" s="19"/>
      <c r="AT13465" s="19"/>
      <c r="AU13465" s="19"/>
    </row>
    <row r="13466" spans="3:47">
      <c r="C13466" s="20"/>
      <c r="Z13466" s="20"/>
      <c r="AG13466" s="20"/>
      <c r="AQ13466" s="19"/>
      <c r="AR13466" s="19"/>
      <c r="AS13466" s="19"/>
      <c r="AT13466" s="19"/>
      <c r="AU13466" s="19"/>
    </row>
    <row r="13467" spans="3:47">
      <c r="C13467" s="20"/>
      <c r="Z13467" s="20"/>
      <c r="AG13467" s="20"/>
      <c r="AQ13467" s="19"/>
      <c r="AR13467" s="19"/>
      <c r="AS13467" s="19"/>
      <c r="AT13467" s="19"/>
      <c r="AU13467" s="19"/>
    </row>
    <row r="13468" spans="3:47">
      <c r="C13468" s="20"/>
      <c r="Z13468" s="20"/>
      <c r="AG13468" s="20"/>
      <c r="AQ13468" s="19"/>
      <c r="AR13468" s="19"/>
      <c r="AS13468" s="19"/>
      <c r="AT13468" s="19"/>
      <c r="AU13468" s="19"/>
    </row>
    <row r="13469" spans="3:47">
      <c r="C13469" s="20"/>
      <c r="Z13469" s="20"/>
      <c r="AG13469" s="20"/>
      <c r="AQ13469" s="19"/>
      <c r="AR13469" s="19"/>
      <c r="AS13469" s="19"/>
      <c r="AT13469" s="19"/>
      <c r="AU13469" s="19"/>
    </row>
    <row r="13470" spans="3:47">
      <c r="C13470" s="20"/>
      <c r="Z13470" s="20"/>
      <c r="AG13470" s="20"/>
      <c r="AQ13470" s="19"/>
      <c r="AR13470" s="19"/>
      <c r="AS13470" s="19"/>
      <c r="AT13470" s="19"/>
      <c r="AU13470" s="19"/>
    </row>
    <row r="13471" spans="3:47">
      <c r="C13471" s="20"/>
      <c r="Z13471" s="20"/>
      <c r="AG13471" s="20"/>
      <c r="AQ13471" s="19"/>
      <c r="AR13471" s="19"/>
      <c r="AS13471" s="19"/>
      <c r="AT13471" s="19"/>
      <c r="AU13471" s="19"/>
    </row>
    <row r="13472" spans="3:47">
      <c r="C13472" s="20"/>
      <c r="Z13472" s="20"/>
      <c r="AG13472" s="20"/>
      <c r="AQ13472" s="19"/>
      <c r="AR13472" s="19"/>
      <c r="AS13472" s="19"/>
      <c r="AT13472" s="19"/>
      <c r="AU13472" s="19"/>
    </row>
    <row r="13473" spans="3:47">
      <c r="C13473" s="20"/>
      <c r="Z13473" s="20"/>
      <c r="AG13473" s="20"/>
      <c r="AQ13473" s="19"/>
      <c r="AR13473" s="19"/>
      <c r="AS13473" s="19"/>
      <c r="AT13473" s="19"/>
      <c r="AU13473" s="19"/>
    </row>
    <row r="13474" spans="3:47">
      <c r="C13474" s="20"/>
      <c r="Z13474" s="20"/>
      <c r="AG13474" s="20"/>
      <c r="AQ13474" s="19"/>
      <c r="AR13474" s="19"/>
      <c r="AS13474" s="19"/>
      <c r="AT13474" s="19"/>
      <c r="AU13474" s="19"/>
    </row>
    <row r="13475" spans="3:47">
      <c r="C13475" s="20"/>
      <c r="Z13475" s="20"/>
      <c r="AG13475" s="20"/>
      <c r="AQ13475" s="19"/>
      <c r="AR13475" s="19"/>
      <c r="AS13475" s="19"/>
      <c r="AT13475" s="19"/>
      <c r="AU13475" s="19"/>
    </row>
    <row r="13476" spans="3:47">
      <c r="C13476" s="20"/>
      <c r="Z13476" s="20"/>
      <c r="AG13476" s="20"/>
      <c r="AQ13476" s="19"/>
      <c r="AR13476" s="19"/>
      <c r="AS13476" s="19"/>
      <c r="AT13476" s="19"/>
      <c r="AU13476" s="19"/>
    </row>
    <row r="13477" spans="3:47">
      <c r="C13477" s="20"/>
      <c r="Z13477" s="20"/>
      <c r="AG13477" s="20"/>
      <c r="AQ13477" s="19"/>
      <c r="AR13477" s="19"/>
      <c r="AS13477" s="19"/>
      <c r="AT13477" s="19"/>
      <c r="AU13477" s="19"/>
    </row>
    <row r="13478" spans="3:47">
      <c r="C13478" s="20"/>
      <c r="Z13478" s="20"/>
      <c r="AG13478" s="20"/>
      <c r="AQ13478" s="19"/>
      <c r="AR13478" s="19"/>
      <c r="AS13478" s="19"/>
      <c r="AT13478" s="19"/>
      <c r="AU13478" s="19"/>
    </row>
    <row r="13479" spans="3:47">
      <c r="C13479" s="20"/>
      <c r="Z13479" s="20"/>
      <c r="AG13479" s="20"/>
      <c r="AQ13479" s="19"/>
      <c r="AR13479" s="19"/>
      <c r="AS13479" s="19"/>
      <c r="AT13479" s="19"/>
      <c r="AU13479" s="19"/>
    </row>
    <row r="13480" spans="3:47">
      <c r="C13480" s="20"/>
      <c r="Z13480" s="20"/>
      <c r="AG13480" s="20"/>
      <c r="AQ13480" s="19"/>
      <c r="AR13480" s="19"/>
      <c r="AS13480" s="19"/>
      <c r="AT13480" s="19"/>
      <c r="AU13480" s="19"/>
    </row>
    <row r="13481" spans="3:47">
      <c r="C13481" s="20"/>
      <c r="Z13481" s="20"/>
      <c r="AG13481" s="20"/>
      <c r="AQ13481" s="19"/>
      <c r="AR13481" s="19"/>
      <c r="AS13481" s="19"/>
      <c r="AT13481" s="19"/>
      <c r="AU13481" s="19"/>
    </row>
    <row r="13482" spans="3:47">
      <c r="C13482" s="20"/>
      <c r="Z13482" s="20"/>
      <c r="AG13482" s="20"/>
      <c r="AQ13482" s="19"/>
      <c r="AR13482" s="19"/>
      <c r="AS13482" s="19"/>
      <c r="AT13482" s="19"/>
      <c r="AU13482" s="19"/>
    </row>
    <row r="13483" spans="3:47">
      <c r="C13483" s="20"/>
      <c r="Z13483" s="20"/>
      <c r="AG13483" s="20"/>
      <c r="AQ13483" s="19"/>
      <c r="AR13483" s="19"/>
      <c r="AS13483" s="19"/>
      <c r="AT13483" s="19"/>
      <c r="AU13483" s="19"/>
    </row>
    <row r="13484" spans="3:47">
      <c r="C13484" s="20"/>
      <c r="Z13484" s="20"/>
      <c r="AG13484" s="20"/>
      <c r="AQ13484" s="19"/>
      <c r="AR13484" s="19"/>
      <c r="AS13484" s="19"/>
      <c r="AT13484" s="19"/>
      <c r="AU13484" s="19"/>
    </row>
    <row r="13485" spans="3:47">
      <c r="C13485" s="20"/>
      <c r="Z13485" s="20"/>
      <c r="AG13485" s="20"/>
      <c r="AQ13485" s="19"/>
      <c r="AR13485" s="19"/>
      <c r="AS13485" s="19"/>
      <c r="AT13485" s="19"/>
      <c r="AU13485" s="19"/>
    </row>
    <row r="13486" spans="3:47">
      <c r="C13486" s="20"/>
      <c r="Z13486" s="20"/>
      <c r="AG13486" s="20"/>
      <c r="AQ13486" s="19"/>
      <c r="AR13486" s="19"/>
      <c r="AS13486" s="19"/>
      <c r="AT13486" s="19"/>
      <c r="AU13486" s="19"/>
    </row>
    <row r="13487" spans="3:47">
      <c r="C13487" s="20"/>
      <c r="Z13487" s="20"/>
      <c r="AG13487" s="20"/>
      <c r="AQ13487" s="19"/>
      <c r="AR13487" s="19"/>
      <c r="AS13487" s="19"/>
      <c r="AT13487" s="19"/>
      <c r="AU13487" s="19"/>
    </row>
    <row r="13488" spans="3:47">
      <c r="C13488" s="20"/>
      <c r="Z13488" s="20"/>
      <c r="AG13488" s="20"/>
      <c r="AQ13488" s="19"/>
      <c r="AR13488" s="19"/>
      <c r="AS13488" s="19"/>
      <c r="AT13488" s="19"/>
      <c r="AU13488" s="19"/>
    </row>
    <row r="13489" spans="3:47">
      <c r="C13489" s="20"/>
      <c r="Z13489" s="20"/>
      <c r="AG13489" s="20"/>
      <c r="AQ13489" s="19"/>
      <c r="AR13489" s="19"/>
      <c r="AS13489" s="19"/>
      <c r="AT13489" s="19"/>
      <c r="AU13489" s="19"/>
    </row>
    <row r="13490" spans="3:47">
      <c r="C13490" s="20"/>
      <c r="Z13490" s="20"/>
      <c r="AG13490" s="20"/>
      <c r="AQ13490" s="19"/>
      <c r="AR13490" s="19"/>
      <c r="AS13490" s="19"/>
      <c r="AT13490" s="19"/>
      <c r="AU13490" s="19"/>
    </row>
    <row r="13491" spans="3:47">
      <c r="C13491" s="20"/>
      <c r="Z13491" s="20"/>
      <c r="AG13491" s="20"/>
      <c r="AQ13491" s="19"/>
      <c r="AR13491" s="19"/>
      <c r="AS13491" s="19"/>
      <c r="AT13491" s="19"/>
      <c r="AU13491" s="19"/>
    </row>
    <row r="13492" spans="3:47">
      <c r="C13492" s="20"/>
      <c r="Z13492" s="20"/>
      <c r="AG13492" s="20"/>
      <c r="AQ13492" s="19"/>
      <c r="AR13492" s="19"/>
      <c r="AS13492" s="19"/>
      <c r="AT13492" s="19"/>
      <c r="AU13492" s="19"/>
    </row>
    <row r="13493" spans="3:47">
      <c r="C13493" s="20"/>
      <c r="Z13493" s="20"/>
      <c r="AG13493" s="20"/>
      <c r="AQ13493" s="19"/>
      <c r="AR13493" s="19"/>
      <c r="AS13493" s="19"/>
      <c r="AT13493" s="19"/>
      <c r="AU13493" s="19"/>
    </row>
    <row r="13494" spans="3:47">
      <c r="C13494" s="20"/>
      <c r="Z13494" s="20"/>
      <c r="AG13494" s="20"/>
      <c r="AQ13494" s="19"/>
      <c r="AR13494" s="19"/>
      <c r="AS13494" s="19"/>
      <c r="AT13494" s="19"/>
      <c r="AU13494" s="19"/>
    </row>
    <row r="13495" spans="3:47">
      <c r="C13495" s="20"/>
      <c r="Z13495" s="20"/>
      <c r="AG13495" s="20"/>
      <c r="AQ13495" s="19"/>
      <c r="AR13495" s="19"/>
      <c r="AS13495" s="19"/>
      <c r="AT13495" s="19"/>
      <c r="AU13495" s="19"/>
    </row>
    <row r="13496" spans="3:47">
      <c r="C13496" s="20"/>
      <c r="Z13496" s="20"/>
      <c r="AG13496" s="20"/>
      <c r="AQ13496" s="19"/>
      <c r="AR13496" s="19"/>
      <c r="AS13496" s="19"/>
      <c r="AT13496" s="19"/>
      <c r="AU13496" s="19"/>
    </row>
    <row r="13497" spans="3:47">
      <c r="C13497" s="20"/>
      <c r="Z13497" s="20"/>
      <c r="AG13497" s="20"/>
      <c r="AQ13497" s="19"/>
      <c r="AR13497" s="19"/>
      <c r="AS13497" s="19"/>
      <c r="AT13497" s="19"/>
      <c r="AU13497" s="19"/>
    </row>
    <row r="13498" spans="3:47">
      <c r="C13498" s="20"/>
      <c r="Z13498" s="20"/>
      <c r="AG13498" s="20"/>
      <c r="AQ13498" s="19"/>
      <c r="AR13498" s="19"/>
      <c r="AS13498" s="19"/>
      <c r="AT13498" s="19"/>
      <c r="AU13498" s="19"/>
    </row>
    <row r="13499" spans="3:47">
      <c r="C13499" s="20"/>
      <c r="Z13499" s="20"/>
      <c r="AG13499" s="20"/>
      <c r="AQ13499" s="19"/>
      <c r="AR13499" s="19"/>
      <c r="AS13499" s="19"/>
      <c r="AT13499" s="19"/>
      <c r="AU13499" s="19"/>
    </row>
    <row r="13500" spans="3:47">
      <c r="C13500" s="20"/>
      <c r="Z13500" s="20"/>
      <c r="AG13500" s="20"/>
      <c r="AQ13500" s="19"/>
      <c r="AR13500" s="19"/>
      <c r="AS13500" s="19"/>
      <c r="AT13500" s="19"/>
      <c r="AU13500" s="19"/>
    </row>
    <row r="13501" spans="3:47">
      <c r="C13501" s="20"/>
      <c r="Z13501" s="20"/>
      <c r="AG13501" s="20"/>
      <c r="AQ13501" s="19"/>
      <c r="AR13501" s="19"/>
      <c r="AS13501" s="19"/>
      <c r="AT13501" s="19"/>
      <c r="AU13501" s="19"/>
    </row>
    <row r="13502" spans="3:47">
      <c r="C13502" s="20"/>
      <c r="Z13502" s="20"/>
      <c r="AG13502" s="20"/>
      <c r="AQ13502" s="19"/>
      <c r="AR13502" s="19"/>
      <c r="AS13502" s="19"/>
      <c r="AT13502" s="19"/>
      <c r="AU13502" s="19"/>
    </row>
    <row r="13503" spans="3:47">
      <c r="C13503" s="20"/>
      <c r="Z13503" s="20"/>
      <c r="AG13503" s="20"/>
      <c r="AQ13503" s="19"/>
      <c r="AR13503" s="19"/>
      <c r="AS13503" s="19"/>
      <c r="AT13503" s="19"/>
      <c r="AU13503" s="19"/>
    </row>
    <row r="13504" spans="3:47">
      <c r="C13504" s="20"/>
      <c r="Z13504" s="20"/>
      <c r="AG13504" s="20"/>
      <c r="AQ13504" s="19"/>
      <c r="AR13504" s="19"/>
      <c r="AS13504" s="19"/>
      <c r="AT13504" s="19"/>
      <c r="AU13504" s="19"/>
    </row>
    <row r="13505" spans="3:47">
      <c r="C13505" s="20"/>
      <c r="Z13505" s="20"/>
      <c r="AG13505" s="20"/>
      <c r="AQ13505" s="19"/>
      <c r="AR13505" s="19"/>
      <c r="AS13505" s="19"/>
      <c r="AT13505" s="19"/>
      <c r="AU13505" s="19"/>
    </row>
    <row r="13506" spans="3:47">
      <c r="C13506" s="20"/>
      <c r="Z13506" s="20"/>
      <c r="AG13506" s="20"/>
      <c r="AQ13506" s="19"/>
      <c r="AR13506" s="19"/>
      <c r="AS13506" s="19"/>
      <c r="AT13506" s="19"/>
      <c r="AU13506" s="19"/>
    </row>
    <row r="13507" spans="3:47">
      <c r="C13507" s="20"/>
      <c r="Z13507" s="20"/>
      <c r="AG13507" s="20"/>
      <c r="AQ13507" s="19"/>
      <c r="AR13507" s="19"/>
      <c r="AS13507" s="19"/>
      <c r="AT13507" s="19"/>
      <c r="AU13507" s="19"/>
    </row>
    <row r="13508" spans="3:47">
      <c r="C13508" s="20"/>
      <c r="Z13508" s="20"/>
      <c r="AG13508" s="20"/>
      <c r="AQ13508" s="19"/>
      <c r="AR13508" s="19"/>
      <c r="AS13508" s="19"/>
      <c r="AT13508" s="19"/>
      <c r="AU13508" s="19"/>
    </row>
    <row r="13509" spans="3:47">
      <c r="C13509" s="20"/>
      <c r="Z13509" s="20"/>
      <c r="AG13509" s="20"/>
      <c r="AQ13509" s="19"/>
      <c r="AR13509" s="19"/>
      <c r="AS13509" s="19"/>
      <c r="AT13509" s="19"/>
      <c r="AU13509" s="19"/>
    </row>
    <row r="13510" spans="3:47">
      <c r="C13510" s="20"/>
      <c r="Z13510" s="20"/>
      <c r="AG13510" s="20"/>
      <c r="AQ13510" s="19"/>
      <c r="AR13510" s="19"/>
      <c r="AS13510" s="19"/>
      <c r="AT13510" s="19"/>
      <c r="AU13510" s="19"/>
    </row>
    <row r="13511" spans="3:47">
      <c r="C13511" s="20"/>
      <c r="Z13511" s="20"/>
      <c r="AG13511" s="20"/>
      <c r="AQ13511" s="19"/>
      <c r="AR13511" s="19"/>
      <c r="AS13511" s="19"/>
      <c r="AT13511" s="19"/>
      <c r="AU13511" s="19"/>
    </row>
    <row r="13512" spans="3:47">
      <c r="C13512" s="20"/>
      <c r="Z13512" s="20"/>
      <c r="AG13512" s="20"/>
      <c r="AQ13512" s="19"/>
      <c r="AR13512" s="19"/>
      <c r="AS13512" s="19"/>
      <c r="AT13512" s="19"/>
      <c r="AU13512" s="19"/>
    </row>
    <row r="13513" spans="3:47">
      <c r="C13513" s="20"/>
      <c r="Z13513" s="20"/>
      <c r="AG13513" s="20"/>
      <c r="AQ13513" s="19"/>
      <c r="AR13513" s="19"/>
      <c r="AS13513" s="19"/>
      <c r="AT13513" s="19"/>
      <c r="AU13513" s="19"/>
    </row>
    <row r="13514" spans="3:47">
      <c r="C13514" s="20"/>
      <c r="Z13514" s="20"/>
      <c r="AG13514" s="20"/>
      <c r="AQ13514" s="19"/>
      <c r="AR13514" s="19"/>
      <c r="AS13514" s="19"/>
      <c r="AT13514" s="19"/>
      <c r="AU13514" s="19"/>
    </row>
    <row r="13515" spans="3:47">
      <c r="C13515" s="20"/>
      <c r="Z13515" s="20"/>
      <c r="AG13515" s="20"/>
      <c r="AQ13515" s="19"/>
      <c r="AR13515" s="19"/>
      <c r="AS13515" s="19"/>
      <c r="AT13515" s="19"/>
      <c r="AU13515" s="19"/>
    </row>
    <row r="13516" spans="3:47">
      <c r="C13516" s="20"/>
      <c r="Z13516" s="20"/>
      <c r="AG13516" s="20"/>
      <c r="AQ13516" s="19"/>
      <c r="AR13516" s="19"/>
      <c r="AS13516" s="19"/>
      <c r="AT13516" s="19"/>
      <c r="AU13516" s="19"/>
    </row>
    <row r="13517" spans="3:47">
      <c r="C13517" s="20"/>
      <c r="Z13517" s="20"/>
      <c r="AG13517" s="20"/>
      <c r="AQ13517" s="19"/>
      <c r="AR13517" s="19"/>
      <c r="AS13517" s="19"/>
      <c r="AT13517" s="19"/>
      <c r="AU13517" s="19"/>
    </row>
    <row r="13518" spans="3:47">
      <c r="C13518" s="20"/>
      <c r="Z13518" s="20"/>
      <c r="AG13518" s="20"/>
      <c r="AQ13518" s="19"/>
      <c r="AR13518" s="19"/>
      <c r="AS13518" s="19"/>
      <c r="AT13518" s="19"/>
      <c r="AU13518" s="19"/>
    </row>
    <row r="13519" spans="3:47">
      <c r="C13519" s="20"/>
      <c r="Z13519" s="20"/>
      <c r="AG13519" s="20"/>
      <c r="AQ13519" s="19"/>
      <c r="AR13519" s="19"/>
      <c r="AS13519" s="19"/>
      <c r="AT13519" s="19"/>
      <c r="AU13519" s="19"/>
    </row>
    <row r="13520" spans="3:47">
      <c r="C13520" s="20"/>
      <c r="Z13520" s="20"/>
      <c r="AG13520" s="20"/>
      <c r="AQ13520" s="19"/>
      <c r="AR13520" s="19"/>
      <c r="AS13520" s="19"/>
      <c r="AT13520" s="19"/>
      <c r="AU13520" s="19"/>
    </row>
    <row r="13521" spans="3:47">
      <c r="C13521" s="20"/>
      <c r="Z13521" s="20"/>
      <c r="AG13521" s="20"/>
      <c r="AQ13521" s="19"/>
      <c r="AR13521" s="19"/>
      <c r="AS13521" s="19"/>
      <c r="AT13521" s="19"/>
      <c r="AU13521" s="19"/>
    </row>
    <row r="13522" spans="3:47">
      <c r="C13522" s="20"/>
      <c r="Z13522" s="20"/>
      <c r="AG13522" s="20"/>
      <c r="AQ13522" s="19"/>
      <c r="AR13522" s="19"/>
      <c r="AS13522" s="19"/>
      <c r="AT13522" s="19"/>
      <c r="AU13522" s="19"/>
    </row>
    <row r="13523" spans="3:47">
      <c r="C13523" s="20"/>
      <c r="Z13523" s="20"/>
      <c r="AG13523" s="20"/>
      <c r="AQ13523" s="19"/>
      <c r="AR13523" s="19"/>
      <c r="AS13523" s="19"/>
      <c r="AT13523" s="19"/>
      <c r="AU13523" s="19"/>
    </row>
    <row r="13524" spans="3:47">
      <c r="C13524" s="20"/>
      <c r="Z13524" s="20"/>
      <c r="AG13524" s="20"/>
      <c r="AQ13524" s="19"/>
      <c r="AR13524" s="19"/>
      <c r="AS13524" s="19"/>
      <c r="AT13524" s="19"/>
      <c r="AU13524" s="19"/>
    </row>
    <row r="13525" spans="3:47">
      <c r="C13525" s="20"/>
      <c r="Z13525" s="20"/>
      <c r="AG13525" s="20"/>
      <c r="AQ13525" s="19"/>
      <c r="AR13525" s="19"/>
      <c r="AS13525" s="19"/>
      <c r="AT13525" s="19"/>
      <c r="AU13525" s="19"/>
    </row>
    <row r="13526" spans="3:47">
      <c r="C13526" s="20"/>
      <c r="Z13526" s="20"/>
      <c r="AG13526" s="20"/>
      <c r="AQ13526" s="19"/>
      <c r="AR13526" s="19"/>
      <c r="AS13526" s="19"/>
      <c r="AT13526" s="19"/>
      <c r="AU13526" s="19"/>
    </row>
    <row r="13527" spans="3:47">
      <c r="C13527" s="20"/>
      <c r="Z13527" s="20"/>
      <c r="AG13527" s="20"/>
      <c r="AQ13527" s="19"/>
      <c r="AR13527" s="19"/>
      <c r="AS13527" s="19"/>
      <c r="AT13527" s="19"/>
      <c r="AU13527" s="19"/>
    </row>
    <row r="13528" spans="3:47">
      <c r="C13528" s="20"/>
      <c r="Z13528" s="20"/>
      <c r="AG13528" s="20"/>
      <c r="AQ13528" s="19"/>
      <c r="AR13528" s="19"/>
      <c r="AS13528" s="19"/>
      <c r="AT13528" s="19"/>
      <c r="AU13528" s="19"/>
    </row>
    <row r="13529" spans="3:47">
      <c r="C13529" s="20"/>
      <c r="Z13529" s="20"/>
      <c r="AG13529" s="20"/>
      <c r="AQ13529" s="19"/>
      <c r="AR13529" s="19"/>
      <c r="AS13529" s="19"/>
      <c r="AT13529" s="19"/>
      <c r="AU13529" s="19"/>
    </row>
    <row r="13530" spans="3:47">
      <c r="C13530" s="20"/>
      <c r="Z13530" s="20"/>
      <c r="AG13530" s="20"/>
      <c r="AQ13530" s="19"/>
      <c r="AR13530" s="19"/>
      <c r="AS13530" s="19"/>
      <c r="AT13530" s="19"/>
      <c r="AU13530" s="19"/>
    </row>
    <row r="13531" spans="3:47">
      <c r="C13531" s="20"/>
      <c r="Z13531" s="20"/>
      <c r="AG13531" s="20"/>
      <c r="AQ13531" s="19"/>
      <c r="AR13531" s="19"/>
      <c r="AS13531" s="19"/>
      <c r="AT13531" s="19"/>
      <c r="AU13531" s="19"/>
    </row>
    <row r="13532" spans="3:47">
      <c r="C13532" s="20"/>
      <c r="Z13532" s="20"/>
      <c r="AG13532" s="20"/>
      <c r="AQ13532" s="19"/>
      <c r="AR13532" s="19"/>
      <c r="AS13532" s="19"/>
      <c r="AT13532" s="19"/>
      <c r="AU13532" s="19"/>
    </row>
    <row r="13533" spans="3:47">
      <c r="C13533" s="20"/>
      <c r="Z13533" s="20"/>
      <c r="AG13533" s="20"/>
      <c r="AQ13533" s="19"/>
      <c r="AR13533" s="19"/>
      <c r="AS13533" s="19"/>
      <c r="AT13533" s="19"/>
      <c r="AU13533" s="19"/>
    </row>
    <row r="13534" spans="3:47">
      <c r="C13534" s="20"/>
      <c r="Z13534" s="20"/>
      <c r="AG13534" s="20"/>
      <c r="AQ13534" s="19"/>
      <c r="AR13534" s="19"/>
      <c r="AS13534" s="19"/>
      <c r="AT13534" s="19"/>
      <c r="AU13534" s="19"/>
    </row>
    <row r="13535" spans="3:47">
      <c r="C13535" s="20"/>
      <c r="Z13535" s="20"/>
      <c r="AG13535" s="20"/>
      <c r="AQ13535" s="19"/>
      <c r="AR13535" s="19"/>
      <c r="AS13535" s="19"/>
      <c r="AT13535" s="19"/>
      <c r="AU13535" s="19"/>
    </row>
    <row r="13536" spans="3:47">
      <c r="C13536" s="20"/>
      <c r="Z13536" s="20"/>
      <c r="AG13536" s="20"/>
      <c r="AQ13536" s="19"/>
      <c r="AR13536" s="19"/>
      <c r="AS13536" s="19"/>
      <c r="AT13536" s="19"/>
      <c r="AU13536" s="19"/>
    </row>
    <row r="13537" spans="3:47">
      <c r="C13537" s="20"/>
      <c r="Z13537" s="20"/>
      <c r="AG13537" s="20"/>
      <c r="AQ13537" s="19"/>
      <c r="AR13537" s="19"/>
      <c r="AS13537" s="19"/>
      <c r="AT13537" s="19"/>
      <c r="AU13537" s="19"/>
    </row>
    <row r="13538" spans="3:47">
      <c r="C13538" s="20"/>
      <c r="Z13538" s="20"/>
      <c r="AG13538" s="20"/>
      <c r="AQ13538" s="19"/>
      <c r="AR13538" s="19"/>
      <c r="AS13538" s="19"/>
      <c r="AT13538" s="19"/>
      <c r="AU13538" s="19"/>
    </row>
    <row r="13539" spans="3:47">
      <c r="C13539" s="20"/>
      <c r="Z13539" s="20"/>
      <c r="AG13539" s="20"/>
      <c r="AQ13539" s="19"/>
      <c r="AR13539" s="19"/>
      <c r="AS13539" s="19"/>
      <c r="AT13539" s="19"/>
      <c r="AU13539" s="19"/>
    </row>
    <row r="13540" spans="3:47">
      <c r="C13540" s="20"/>
      <c r="Z13540" s="20"/>
      <c r="AG13540" s="20"/>
      <c r="AQ13540" s="19"/>
      <c r="AR13540" s="19"/>
      <c r="AS13540" s="19"/>
      <c r="AT13540" s="19"/>
      <c r="AU13540" s="19"/>
    </row>
    <row r="13541" spans="3:47">
      <c r="C13541" s="20"/>
      <c r="Z13541" s="20"/>
      <c r="AG13541" s="20"/>
      <c r="AQ13541" s="19"/>
      <c r="AR13541" s="19"/>
      <c r="AS13541" s="19"/>
      <c r="AT13541" s="19"/>
      <c r="AU13541" s="19"/>
    </row>
    <row r="13542" spans="3:47">
      <c r="C13542" s="20"/>
      <c r="Z13542" s="20"/>
      <c r="AG13542" s="20"/>
      <c r="AQ13542" s="19"/>
      <c r="AR13542" s="19"/>
      <c r="AS13542" s="19"/>
      <c r="AT13542" s="19"/>
      <c r="AU13542" s="19"/>
    </row>
    <row r="13543" spans="3:47">
      <c r="C13543" s="20"/>
      <c r="Z13543" s="20"/>
      <c r="AG13543" s="20"/>
      <c r="AQ13543" s="19"/>
      <c r="AR13543" s="19"/>
      <c r="AS13543" s="19"/>
      <c r="AT13543" s="19"/>
      <c r="AU13543" s="19"/>
    </row>
    <row r="13544" spans="3:47">
      <c r="C13544" s="20"/>
      <c r="Z13544" s="20"/>
      <c r="AG13544" s="20"/>
      <c r="AQ13544" s="19"/>
      <c r="AR13544" s="19"/>
      <c r="AS13544" s="19"/>
      <c r="AT13544" s="19"/>
      <c r="AU13544" s="19"/>
    </row>
    <row r="13545" spans="3:47">
      <c r="C13545" s="20"/>
      <c r="Z13545" s="20"/>
      <c r="AG13545" s="20"/>
      <c r="AQ13545" s="19"/>
      <c r="AR13545" s="19"/>
      <c r="AS13545" s="19"/>
      <c r="AT13545" s="19"/>
      <c r="AU13545" s="19"/>
    </row>
    <row r="13546" spans="3:47">
      <c r="C13546" s="20"/>
      <c r="Z13546" s="20"/>
      <c r="AG13546" s="20"/>
      <c r="AQ13546" s="19"/>
      <c r="AR13546" s="19"/>
      <c r="AS13546" s="19"/>
      <c r="AT13546" s="19"/>
      <c r="AU13546" s="19"/>
    </row>
    <row r="13547" spans="3:47">
      <c r="C13547" s="20"/>
      <c r="Z13547" s="20"/>
      <c r="AG13547" s="20"/>
      <c r="AQ13547" s="19"/>
      <c r="AR13547" s="19"/>
      <c r="AS13547" s="19"/>
      <c r="AT13547" s="19"/>
      <c r="AU13547" s="19"/>
    </row>
    <row r="13548" spans="3:47">
      <c r="C13548" s="20"/>
      <c r="Z13548" s="20"/>
      <c r="AG13548" s="20"/>
      <c r="AQ13548" s="19"/>
      <c r="AR13548" s="19"/>
      <c r="AS13548" s="19"/>
      <c r="AT13548" s="19"/>
      <c r="AU13548" s="19"/>
    </row>
    <row r="13549" spans="3:47">
      <c r="C13549" s="20"/>
      <c r="Z13549" s="20"/>
      <c r="AG13549" s="20"/>
      <c r="AQ13549" s="19"/>
      <c r="AR13549" s="19"/>
      <c r="AS13549" s="19"/>
      <c r="AT13549" s="19"/>
      <c r="AU13549" s="19"/>
    </row>
    <row r="13550" spans="3:47">
      <c r="C13550" s="20"/>
      <c r="Z13550" s="20"/>
      <c r="AG13550" s="20"/>
      <c r="AQ13550" s="19"/>
      <c r="AR13550" s="19"/>
      <c r="AS13550" s="19"/>
      <c r="AT13550" s="19"/>
      <c r="AU13550" s="19"/>
    </row>
    <row r="13551" spans="3:47">
      <c r="C13551" s="20"/>
      <c r="Z13551" s="20"/>
      <c r="AG13551" s="20"/>
      <c r="AQ13551" s="19"/>
      <c r="AR13551" s="19"/>
      <c r="AS13551" s="19"/>
      <c r="AT13551" s="19"/>
      <c r="AU13551" s="19"/>
    </row>
    <row r="13552" spans="3:47">
      <c r="C13552" s="20"/>
      <c r="Z13552" s="20"/>
      <c r="AG13552" s="20"/>
      <c r="AQ13552" s="19"/>
      <c r="AR13552" s="19"/>
      <c r="AS13552" s="19"/>
      <c r="AT13552" s="19"/>
      <c r="AU13552" s="19"/>
    </row>
    <row r="13553" spans="3:47">
      <c r="C13553" s="20"/>
      <c r="Z13553" s="20"/>
      <c r="AG13553" s="20"/>
      <c r="AQ13553" s="19"/>
      <c r="AR13553" s="19"/>
      <c r="AS13553" s="19"/>
      <c r="AT13553" s="19"/>
      <c r="AU13553" s="19"/>
    </row>
    <row r="13554" spans="3:47">
      <c r="C13554" s="20"/>
      <c r="Z13554" s="20"/>
      <c r="AG13554" s="20"/>
      <c r="AQ13554" s="19"/>
      <c r="AR13554" s="19"/>
      <c r="AS13554" s="19"/>
      <c r="AT13554" s="19"/>
      <c r="AU13554" s="19"/>
    </row>
    <row r="13555" spans="3:47">
      <c r="C13555" s="20"/>
      <c r="Z13555" s="20"/>
      <c r="AG13555" s="20"/>
      <c r="AQ13555" s="19"/>
      <c r="AR13555" s="19"/>
      <c r="AS13555" s="19"/>
      <c r="AT13555" s="19"/>
      <c r="AU13555" s="19"/>
    </row>
    <row r="13556" spans="3:47">
      <c r="C13556" s="20"/>
      <c r="Z13556" s="20"/>
      <c r="AG13556" s="20"/>
      <c r="AQ13556" s="19"/>
      <c r="AR13556" s="19"/>
      <c r="AS13556" s="19"/>
      <c r="AT13556" s="19"/>
      <c r="AU13556" s="19"/>
    </row>
    <row r="13557" spans="3:47">
      <c r="C13557" s="20"/>
      <c r="Z13557" s="20"/>
      <c r="AG13557" s="20"/>
      <c r="AQ13557" s="19"/>
      <c r="AR13557" s="19"/>
      <c r="AS13557" s="19"/>
      <c r="AT13557" s="19"/>
      <c r="AU13557" s="19"/>
    </row>
    <row r="13558" spans="3:47">
      <c r="C13558" s="20"/>
      <c r="Z13558" s="20"/>
      <c r="AG13558" s="20"/>
      <c r="AQ13558" s="19"/>
      <c r="AR13558" s="19"/>
      <c r="AS13558" s="19"/>
      <c r="AT13558" s="19"/>
      <c r="AU13558" s="19"/>
    </row>
    <row r="13559" spans="3:47">
      <c r="C13559" s="20"/>
      <c r="Z13559" s="20"/>
      <c r="AG13559" s="20"/>
      <c r="AQ13559" s="19"/>
      <c r="AR13559" s="19"/>
      <c r="AS13559" s="19"/>
      <c r="AT13559" s="19"/>
      <c r="AU13559" s="19"/>
    </row>
    <row r="13560" spans="3:47">
      <c r="C13560" s="20"/>
      <c r="Z13560" s="20"/>
      <c r="AG13560" s="20"/>
      <c r="AQ13560" s="19"/>
      <c r="AR13560" s="19"/>
      <c r="AS13560" s="19"/>
      <c r="AT13560" s="19"/>
      <c r="AU13560" s="19"/>
    </row>
    <row r="13561" spans="3:47">
      <c r="C13561" s="20"/>
      <c r="Z13561" s="20"/>
      <c r="AG13561" s="20"/>
      <c r="AQ13561" s="19"/>
      <c r="AR13561" s="19"/>
      <c r="AS13561" s="19"/>
      <c r="AT13561" s="19"/>
      <c r="AU13561" s="19"/>
    </row>
    <row r="13562" spans="3:47">
      <c r="C13562" s="20"/>
      <c r="Z13562" s="20"/>
      <c r="AG13562" s="20"/>
      <c r="AQ13562" s="19"/>
      <c r="AR13562" s="19"/>
      <c r="AS13562" s="19"/>
      <c r="AT13562" s="19"/>
      <c r="AU13562" s="19"/>
    </row>
    <row r="13563" spans="3:47">
      <c r="C13563" s="20"/>
      <c r="Z13563" s="20"/>
      <c r="AG13563" s="20"/>
      <c r="AQ13563" s="19"/>
      <c r="AR13563" s="19"/>
      <c r="AS13563" s="19"/>
      <c r="AT13563" s="19"/>
      <c r="AU13563" s="19"/>
    </row>
    <row r="13564" spans="3:47">
      <c r="C13564" s="20"/>
      <c r="Z13564" s="20"/>
      <c r="AG13564" s="20"/>
      <c r="AQ13564" s="19"/>
      <c r="AR13564" s="19"/>
      <c r="AS13564" s="19"/>
      <c r="AT13564" s="19"/>
      <c r="AU13564" s="19"/>
    </row>
    <row r="13565" spans="3:47">
      <c r="C13565" s="20"/>
      <c r="Z13565" s="20"/>
      <c r="AG13565" s="20"/>
      <c r="AQ13565" s="19"/>
      <c r="AR13565" s="19"/>
      <c r="AS13565" s="19"/>
      <c r="AT13565" s="19"/>
      <c r="AU13565" s="19"/>
    </row>
    <row r="13566" spans="3:47">
      <c r="C13566" s="20"/>
      <c r="Z13566" s="20"/>
      <c r="AG13566" s="20"/>
      <c r="AQ13566" s="19"/>
      <c r="AR13566" s="19"/>
      <c r="AS13566" s="19"/>
      <c r="AT13566" s="19"/>
      <c r="AU13566" s="19"/>
    </row>
    <row r="13567" spans="3:47">
      <c r="C13567" s="20"/>
      <c r="Z13567" s="20"/>
      <c r="AG13567" s="20"/>
      <c r="AQ13567" s="19"/>
      <c r="AR13567" s="19"/>
      <c r="AS13567" s="19"/>
      <c r="AT13567" s="19"/>
      <c r="AU13567" s="19"/>
    </row>
    <row r="13568" spans="3:47">
      <c r="C13568" s="20"/>
      <c r="Z13568" s="20"/>
      <c r="AG13568" s="20"/>
      <c r="AQ13568" s="19"/>
      <c r="AR13568" s="19"/>
      <c r="AS13568" s="19"/>
      <c r="AT13568" s="19"/>
      <c r="AU13568" s="19"/>
    </row>
    <row r="13569" spans="3:47">
      <c r="C13569" s="20"/>
      <c r="Z13569" s="20"/>
      <c r="AG13569" s="20"/>
      <c r="AQ13569" s="19"/>
      <c r="AR13569" s="19"/>
      <c r="AS13569" s="19"/>
      <c r="AT13569" s="19"/>
      <c r="AU13569" s="19"/>
    </row>
    <row r="13570" spans="3:47">
      <c r="C13570" s="20"/>
      <c r="Z13570" s="20"/>
      <c r="AG13570" s="20"/>
      <c r="AQ13570" s="19"/>
      <c r="AR13570" s="19"/>
      <c r="AS13570" s="19"/>
      <c r="AT13570" s="19"/>
      <c r="AU13570" s="19"/>
    </row>
    <row r="13571" spans="3:47">
      <c r="C13571" s="20"/>
      <c r="Z13571" s="20"/>
      <c r="AG13571" s="20"/>
      <c r="AQ13571" s="19"/>
      <c r="AR13571" s="19"/>
      <c r="AS13571" s="19"/>
      <c r="AT13571" s="19"/>
      <c r="AU13571" s="19"/>
    </row>
    <row r="13572" spans="3:47">
      <c r="C13572" s="20"/>
      <c r="Z13572" s="20"/>
      <c r="AG13572" s="20"/>
      <c r="AQ13572" s="19"/>
      <c r="AR13572" s="19"/>
      <c r="AS13572" s="19"/>
      <c r="AT13572" s="19"/>
      <c r="AU13572" s="19"/>
    </row>
    <row r="13573" spans="3:47">
      <c r="C13573" s="20"/>
      <c r="Z13573" s="20"/>
      <c r="AG13573" s="20"/>
      <c r="AQ13573" s="19"/>
      <c r="AR13573" s="19"/>
      <c r="AS13573" s="19"/>
      <c r="AT13573" s="19"/>
      <c r="AU13573" s="19"/>
    </row>
    <row r="13574" spans="3:47">
      <c r="C13574" s="20"/>
      <c r="Z13574" s="20"/>
      <c r="AG13574" s="20"/>
      <c r="AQ13574" s="19"/>
      <c r="AR13574" s="19"/>
      <c r="AS13574" s="19"/>
      <c r="AT13574" s="19"/>
      <c r="AU13574" s="19"/>
    </row>
    <row r="13575" spans="3:47">
      <c r="C13575" s="20"/>
      <c r="Z13575" s="20"/>
      <c r="AG13575" s="20"/>
      <c r="AQ13575" s="19"/>
      <c r="AR13575" s="19"/>
      <c r="AS13575" s="19"/>
      <c r="AT13575" s="19"/>
      <c r="AU13575" s="19"/>
    </row>
    <row r="13576" spans="3:47">
      <c r="C13576" s="20"/>
      <c r="Z13576" s="20"/>
      <c r="AG13576" s="20"/>
      <c r="AQ13576" s="19"/>
      <c r="AR13576" s="19"/>
      <c r="AS13576" s="19"/>
      <c r="AT13576" s="19"/>
      <c r="AU13576" s="19"/>
    </row>
    <row r="13577" spans="3:47">
      <c r="C13577" s="20"/>
      <c r="Z13577" s="20"/>
      <c r="AG13577" s="20"/>
      <c r="AQ13577" s="19"/>
      <c r="AR13577" s="19"/>
      <c r="AS13577" s="19"/>
      <c r="AT13577" s="19"/>
      <c r="AU13577" s="19"/>
    </row>
    <row r="13578" spans="3:47">
      <c r="C13578" s="20"/>
      <c r="Z13578" s="20"/>
      <c r="AG13578" s="20"/>
      <c r="AQ13578" s="19"/>
      <c r="AR13578" s="19"/>
      <c r="AS13578" s="19"/>
      <c r="AT13578" s="19"/>
      <c r="AU13578" s="19"/>
    </row>
    <row r="13579" spans="3:47">
      <c r="C13579" s="20"/>
      <c r="Z13579" s="20"/>
      <c r="AG13579" s="20"/>
      <c r="AQ13579" s="19"/>
      <c r="AR13579" s="19"/>
      <c r="AS13579" s="19"/>
      <c r="AT13579" s="19"/>
      <c r="AU13579" s="19"/>
    </row>
    <row r="13580" spans="3:47">
      <c r="C13580" s="20"/>
      <c r="Z13580" s="20"/>
      <c r="AG13580" s="20"/>
      <c r="AQ13580" s="19"/>
      <c r="AR13580" s="19"/>
      <c r="AS13580" s="19"/>
      <c r="AT13580" s="19"/>
      <c r="AU13580" s="19"/>
    </row>
    <row r="13581" spans="3:47">
      <c r="C13581" s="20"/>
      <c r="Z13581" s="20"/>
      <c r="AG13581" s="20"/>
      <c r="AQ13581" s="19"/>
      <c r="AR13581" s="19"/>
      <c r="AS13581" s="19"/>
      <c r="AT13581" s="19"/>
      <c r="AU13581" s="19"/>
    </row>
    <row r="13582" spans="3:47">
      <c r="C13582" s="20"/>
      <c r="Z13582" s="20"/>
      <c r="AG13582" s="20"/>
      <c r="AQ13582" s="19"/>
      <c r="AR13582" s="19"/>
      <c r="AS13582" s="19"/>
      <c r="AT13582" s="19"/>
      <c r="AU13582" s="19"/>
    </row>
    <row r="13583" spans="3:47">
      <c r="C13583" s="20"/>
      <c r="Z13583" s="20"/>
      <c r="AG13583" s="20"/>
      <c r="AQ13583" s="19"/>
      <c r="AR13583" s="19"/>
      <c r="AS13583" s="19"/>
      <c r="AT13583" s="19"/>
      <c r="AU13583" s="19"/>
    </row>
    <row r="13584" spans="3:47">
      <c r="C13584" s="20"/>
      <c r="Z13584" s="20"/>
      <c r="AG13584" s="20"/>
      <c r="AQ13584" s="19"/>
      <c r="AR13584" s="19"/>
      <c r="AS13584" s="19"/>
      <c r="AT13584" s="19"/>
      <c r="AU13584" s="19"/>
    </row>
    <row r="13585" spans="3:47">
      <c r="C13585" s="20"/>
      <c r="Z13585" s="20"/>
      <c r="AG13585" s="20"/>
      <c r="AQ13585" s="19"/>
      <c r="AR13585" s="19"/>
      <c r="AS13585" s="19"/>
      <c r="AT13585" s="19"/>
      <c r="AU13585" s="19"/>
    </row>
    <row r="13586" spans="3:47">
      <c r="C13586" s="20"/>
      <c r="Z13586" s="20"/>
      <c r="AG13586" s="20"/>
      <c r="AQ13586" s="19"/>
      <c r="AR13586" s="19"/>
      <c r="AS13586" s="19"/>
      <c r="AT13586" s="19"/>
      <c r="AU13586" s="19"/>
    </row>
    <row r="13587" spans="3:47">
      <c r="C13587" s="20"/>
      <c r="Z13587" s="20"/>
      <c r="AG13587" s="20"/>
      <c r="AQ13587" s="19"/>
      <c r="AR13587" s="19"/>
      <c r="AS13587" s="19"/>
      <c r="AT13587" s="19"/>
      <c r="AU13587" s="19"/>
    </row>
    <row r="13588" spans="3:47">
      <c r="C13588" s="20"/>
      <c r="Z13588" s="20"/>
      <c r="AG13588" s="20"/>
      <c r="AQ13588" s="19"/>
      <c r="AR13588" s="19"/>
      <c r="AS13588" s="19"/>
      <c r="AT13588" s="19"/>
      <c r="AU13588" s="19"/>
    </row>
    <row r="13589" spans="3:47">
      <c r="C13589" s="20"/>
      <c r="Z13589" s="20"/>
      <c r="AG13589" s="20"/>
      <c r="AQ13589" s="19"/>
      <c r="AR13589" s="19"/>
      <c r="AS13589" s="19"/>
      <c r="AT13589" s="19"/>
      <c r="AU13589" s="19"/>
    </row>
    <row r="13590" spans="3:47">
      <c r="C13590" s="20"/>
      <c r="Z13590" s="20"/>
      <c r="AG13590" s="20"/>
      <c r="AQ13590" s="19"/>
      <c r="AR13590" s="19"/>
      <c r="AS13590" s="19"/>
      <c r="AT13590" s="19"/>
      <c r="AU13590" s="19"/>
    </row>
    <row r="13591" spans="3:47">
      <c r="C13591" s="20"/>
      <c r="Z13591" s="20"/>
      <c r="AG13591" s="20"/>
      <c r="AQ13591" s="19"/>
      <c r="AR13591" s="19"/>
      <c r="AS13591" s="19"/>
      <c r="AT13591" s="19"/>
      <c r="AU13591" s="19"/>
    </row>
    <row r="13592" spans="3:47">
      <c r="C13592" s="20"/>
      <c r="Z13592" s="20"/>
      <c r="AG13592" s="20"/>
      <c r="AQ13592" s="19"/>
      <c r="AR13592" s="19"/>
      <c r="AS13592" s="19"/>
      <c r="AT13592" s="19"/>
      <c r="AU13592" s="19"/>
    </row>
    <row r="13593" spans="3:47">
      <c r="C13593" s="20"/>
      <c r="Z13593" s="20"/>
      <c r="AG13593" s="20"/>
      <c r="AQ13593" s="19"/>
      <c r="AR13593" s="19"/>
      <c r="AS13593" s="19"/>
      <c r="AT13593" s="19"/>
      <c r="AU13593" s="19"/>
    </row>
    <row r="13594" spans="3:47">
      <c r="C13594" s="20"/>
      <c r="Z13594" s="20"/>
      <c r="AG13594" s="20"/>
      <c r="AQ13594" s="19"/>
      <c r="AR13594" s="19"/>
      <c r="AS13594" s="19"/>
      <c r="AT13594" s="19"/>
      <c r="AU13594" s="19"/>
    </row>
    <row r="13595" spans="3:47">
      <c r="C13595" s="20"/>
      <c r="Z13595" s="20"/>
      <c r="AG13595" s="20"/>
      <c r="AQ13595" s="19"/>
      <c r="AR13595" s="19"/>
      <c r="AS13595" s="19"/>
      <c r="AT13595" s="19"/>
      <c r="AU13595" s="19"/>
    </row>
    <row r="13596" spans="3:47">
      <c r="C13596" s="20"/>
      <c r="Z13596" s="20"/>
      <c r="AG13596" s="20"/>
      <c r="AQ13596" s="19"/>
      <c r="AR13596" s="19"/>
      <c r="AS13596" s="19"/>
      <c r="AT13596" s="19"/>
      <c r="AU13596" s="19"/>
    </row>
    <row r="13597" spans="3:47">
      <c r="C13597" s="20"/>
      <c r="Z13597" s="20"/>
      <c r="AG13597" s="20"/>
      <c r="AQ13597" s="19"/>
      <c r="AR13597" s="19"/>
      <c r="AS13597" s="19"/>
      <c r="AT13597" s="19"/>
      <c r="AU13597" s="19"/>
    </row>
    <row r="13598" spans="3:47">
      <c r="C13598" s="20"/>
      <c r="Z13598" s="20"/>
      <c r="AG13598" s="20"/>
      <c r="AQ13598" s="19"/>
      <c r="AR13598" s="19"/>
      <c r="AS13598" s="19"/>
      <c r="AT13598" s="19"/>
      <c r="AU13598" s="19"/>
    </row>
    <row r="13599" spans="3:47">
      <c r="C13599" s="20"/>
      <c r="Z13599" s="20"/>
      <c r="AG13599" s="20"/>
      <c r="AQ13599" s="19"/>
      <c r="AR13599" s="19"/>
      <c r="AS13599" s="19"/>
      <c r="AT13599" s="19"/>
      <c r="AU13599" s="19"/>
    </row>
    <row r="13600" spans="3:47">
      <c r="C13600" s="20"/>
      <c r="Z13600" s="20"/>
      <c r="AG13600" s="20"/>
      <c r="AQ13600" s="19"/>
      <c r="AR13600" s="19"/>
      <c r="AS13600" s="19"/>
      <c r="AT13600" s="19"/>
      <c r="AU13600" s="19"/>
    </row>
    <row r="13601" spans="3:47">
      <c r="C13601" s="20"/>
      <c r="Z13601" s="20"/>
      <c r="AG13601" s="20"/>
      <c r="AQ13601" s="19"/>
      <c r="AR13601" s="19"/>
      <c r="AS13601" s="19"/>
      <c r="AT13601" s="19"/>
      <c r="AU13601" s="19"/>
    </row>
    <row r="13602" spans="3:47">
      <c r="C13602" s="20"/>
      <c r="Z13602" s="20"/>
      <c r="AG13602" s="20"/>
      <c r="AQ13602" s="19"/>
      <c r="AR13602" s="19"/>
      <c r="AS13602" s="19"/>
      <c r="AT13602" s="19"/>
      <c r="AU13602" s="19"/>
    </row>
    <row r="13603" spans="3:47">
      <c r="C13603" s="20"/>
      <c r="Z13603" s="20"/>
      <c r="AG13603" s="20"/>
      <c r="AQ13603" s="19"/>
      <c r="AR13603" s="19"/>
      <c r="AS13603" s="19"/>
      <c r="AT13603" s="19"/>
      <c r="AU13603" s="19"/>
    </row>
    <row r="13604" spans="3:47">
      <c r="C13604" s="20"/>
      <c r="Z13604" s="20"/>
      <c r="AG13604" s="20"/>
      <c r="AQ13604" s="19"/>
      <c r="AR13604" s="19"/>
      <c r="AS13604" s="19"/>
      <c r="AT13604" s="19"/>
      <c r="AU13604" s="19"/>
    </row>
    <row r="13605" spans="3:47">
      <c r="C13605" s="20"/>
      <c r="Z13605" s="20"/>
      <c r="AG13605" s="20"/>
      <c r="AQ13605" s="19"/>
      <c r="AR13605" s="19"/>
      <c r="AS13605" s="19"/>
      <c r="AT13605" s="19"/>
      <c r="AU13605" s="19"/>
    </row>
    <row r="13606" spans="3:47">
      <c r="C13606" s="20"/>
      <c r="Z13606" s="20"/>
      <c r="AG13606" s="20"/>
      <c r="AQ13606" s="19"/>
      <c r="AR13606" s="19"/>
      <c r="AS13606" s="19"/>
      <c r="AT13606" s="19"/>
      <c r="AU13606" s="19"/>
    </row>
    <row r="13607" spans="3:47">
      <c r="C13607" s="20"/>
      <c r="Z13607" s="20"/>
      <c r="AG13607" s="20"/>
      <c r="AQ13607" s="19"/>
      <c r="AR13607" s="19"/>
      <c r="AS13607" s="19"/>
      <c r="AT13607" s="19"/>
      <c r="AU13607" s="19"/>
    </row>
    <row r="13608" spans="3:47">
      <c r="C13608" s="20"/>
      <c r="Z13608" s="20"/>
      <c r="AG13608" s="20"/>
      <c r="AQ13608" s="19"/>
      <c r="AR13608" s="19"/>
      <c r="AS13608" s="19"/>
      <c r="AT13608" s="19"/>
      <c r="AU13608" s="19"/>
    </row>
    <row r="13609" spans="3:47">
      <c r="C13609" s="20"/>
      <c r="Z13609" s="20"/>
      <c r="AG13609" s="20"/>
      <c r="AQ13609" s="19"/>
      <c r="AR13609" s="19"/>
      <c r="AS13609" s="19"/>
      <c r="AT13609" s="19"/>
      <c r="AU13609" s="19"/>
    </row>
    <row r="13610" spans="3:47">
      <c r="C13610" s="20"/>
      <c r="Z13610" s="20"/>
      <c r="AG13610" s="20"/>
      <c r="AQ13610" s="19"/>
      <c r="AR13610" s="19"/>
      <c r="AS13610" s="19"/>
      <c r="AT13610" s="19"/>
      <c r="AU13610" s="19"/>
    </row>
    <row r="13611" spans="3:47">
      <c r="C13611" s="20"/>
      <c r="Z13611" s="20"/>
      <c r="AG13611" s="20"/>
      <c r="AQ13611" s="19"/>
      <c r="AR13611" s="19"/>
      <c r="AS13611" s="19"/>
      <c r="AT13611" s="19"/>
      <c r="AU13611" s="19"/>
    </row>
    <row r="13612" spans="3:47">
      <c r="C13612" s="20"/>
      <c r="Z13612" s="20"/>
      <c r="AG13612" s="20"/>
      <c r="AQ13612" s="19"/>
      <c r="AR13612" s="19"/>
      <c r="AS13612" s="19"/>
      <c r="AT13612" s="19"/>
      <c r="AU13612" s="19"/>
    </row>
    <row r="13613" spans="3:47">
      <c r="C13613" s="20"/>
      <c r="Z13613" s="20"/>
      <c r="AG13613" s="20"/>
      <c r="AQ13613" s="19"/>
      <c r="AR13613" s="19"/>
      <c r="AS13613" s="19"/>
      <c r="AT13613" s="19"/>
      <c r="AU13613" s="19"/>
    </row>
    <row r="13614" spans="3:47">
      <c r="C13614" s="20"/>
      <c r="Z13614" s="20"/>
      <c r="AG13614" s="20"/>
      <c r="AQ13614" s="19"/>
      <c r="AR13614" s="19"/>
      <c r="AS13614" s="19"/>
      <c r="AT13614" s="19"/>
      <c r="AU13614" s="19"/>
    </row>
    <row r="13615" spans="3:47">
      <c r="C13615" s="20"/>
      <c r="Z13615" s="20"/>
      <c r="AG13615" s="20"/>
      <c r="AQ13615" s="19"/>
      <c r="AR13615" s="19"/>
      <c r="AS13615" s="19"/>
      <c r="AT13615" s="19"/>
      <c r="AU13615" s="19"/>
    </row>
    <row r="13616" spans="3:47">
      <c r="C13616" s="20"/>
      <c r="Z13616" s="20"/>
      <c r="AG13616" s="20"/>
      <c r="AQ13616" s="19"/>
      <c r="AR13616" s="19"/>
      <c r="AS13616" s="19"/>
      <c r="AT13616" s="19"/>
      <c r="AU13616" s="19"/>
    </row>
    <row r="13617" spans="3:47">
      <c r="C13617" s="20"/>
      <c r="Z13617" s="20"/>
      <c r="AG13617" s="20"/>
      <c r="AQ13617" s="19"/>
      <c r="AR13617" s="19"/>
      <c r="AS13617" s="19"/>
      <c r="AT13617" s="19"/>
      <c r="AU13617" s="19"/>
    </row>
    <row r="13618" spans="3:47">
      <c r="C13618" s="20"/>
      <c r="Z13618" s="20"/>
      <c r="AG13618" s="20"/>
      <c r="AQ13618" s="19"/>
      <c r="AR13618" s="19"/>
      <c r="AS13618" s="19"/>
      <c r="AT13618" s="19"/>
      <c r="AU13618" s="19"/>
    </row>
    <row r="13619" spans="3:47">
      <c r="C13619" s="20"/>
      <c r="Z13619" s="20"/>
      <c r="AG13619" s="20"/>
      <c r="AQ13619" s="19"/>
      <c r="AR13619" s="19"/>
      <c r="AS13619" s="19"/>
      <c r="AT13619" s="19"/>
      <c r="AU13619" s="19"/>
    </row>
    <row r="13620" spans="3:47">
      <c r="C13620" s="20"/>
      <c r="Z13620" s="20"/>
      <c r="AG13620" s="20"/>
      <c r="AQ13620" s="19"/>
      <c r="AR13620" s="19"/>
      <c r="AS13620" s="19"/>
      <c r="AT13620" s="19"/>
      <c r="AU13620" s="19"/>
    </row>
    <row r="13621" spans="3:47">
      <c r="C13621" s="20"/>
      <c r="Z13621" s="20"/>
      <c r="AG13621" s="20"/>
      <c r="AQ13621" s="19"/>
      <c r="AR13621" s="19"/>
      <c r="AS13621" s="19"/>
      <c r="AT13621" s="19"/>
      <c r="AU13621" s="19"/>
    </row>
    <row r="13622" spans="3:47">
      <c r="C13622" s="20"/>
      <c r="Z13622" s="20"/>
      <c r="AG13622" s="20"/>
      <c r="AQ13622" s="19"/>
      <c r="AR13622" s="19"/>
      <c r="AS13622" s="19"/>
      <c r="AT13622" s="19"/>
      <c r="AU13622" s="19"/>
    </row>
    <row r="13623" spans="3:47">
      <c r="C13623" s="20"/>
      <c r="Z13623" s="20"/>
      <c r="AG13623" s="20"/>
      <c r="AQ13623" s="19"/>
      <c r="AR13623" s="19"/>
      <c r="AS13623" s="19"/>
      <c r="AT13623" s="19"/>
      <c r="AU13623" s="19"/>
    </row>
    <row r="13624" spans="3:47">
      <c r="C13624" s="20"/>
      <c r="Z13624" s="20"/>
      <c r="AG13624" s="20"/>
      <c r="AQ13624" s="19"/>
      <c r="AR13624" s="19"/>
      <c r="AS13624" s="19"/>
      <c r="AT13624" s="19"/>
      <c r="AU13624" s="19"/>
    </row>
    <row r="13625" spans="3:47">
      <c r="C13625" s="20"/>
      <c r="Z13625" s="20"/>
      <c r="AG13625" s="20"/>
      <c r="AQ13625" s="19"/>
      <c r="AR13625" s="19"/>
      <c r="AS13625" s="19"/>
      <c r="AT13625" s="19"/>
      <c r="AU13625" s="19"/>
    </row>
    <row r="13626" spans="3:47">
      <c r="C13626" s="20"/>
      <c r="Z13626" s="20"/>
      <c r="AG13626" s="20"/>
      <c r="AQ13626" s="19"/>
      <c r="AR13626" s="19"/>
      <c r="AS13626" s="19"/>
      <c r="AT13626" s="19"/>
      <c r="AU13626" s="19"/>
    </row>
    <row r="13627" spans="3:47">
      <c r="C13627" s="20"/>
      <c r="Z13627" s="20"/>
      <c r="AG13627" s="20"/>
      <c r="AQ13627" s="19"/>
      <c r="AR13627" s="19"/>
      <c r="AS13627" s="19"/>
      <c r="AT13627" s="19"/>
      <c r="AU13627" s="19"/>
    </row>
    <row r="13628" spans="3:47">
      <c r="C13628" s="20"/>
      <c r="Z13628" s="20"/>
      <c r="AG13628" s="20"/>
      <c r="AQ13628" s="19"/>
      <c r="AR13628" s="19"/>
      <c r="AS13628" s="19"/>
      <c r="AT13628" s="19"/>
      <c r="AU13628" s="19"/>
    </row>
    <row r="13629" spans="3:47">
      <c r="C13629" s="20"/>
      <c r="Z13629" s="20"/>
      <c r="AG13629" s="20"/>
      <c r="AQ13629" s="19"/>
      <c r="AR13629" s="19"/>
      <c r="AS13629" s="19"/>
      <c r="AT13629" s="19"/>
      <c r="AU13629" s="19"/>
    </row>
    <row r="13630" spans="3:47">
      <c r="C13630" s="20"/>
      <c r="Z13630" s="20"/>
      <c r="AG13630" s="20"/>
      <c r="AQ13630" s="19"/>
      <c r="AR13630" s="19"/>
      <c r="AS13630" s="19"/>
      <c r="AT13630" s="19"/>
      <c r="AU13630" s="19"/>
    </row>
    <row r="13631" spans="3:47">
      <c r="C13631" s="20"/>
      <c r="Z13631" s="20"/>
      <c r="AG13631" s="20"/>
      <c r="AQ13631" s="19"/>
      <c r="AR13631" s="19"/>
      <c r="AS13631" s="19"/>
      <c r="AT13631" s="19"/>
      <c r="AU13631" s="19"/>
    </row>
    <row r="13632" spans="3:47">
      <c r="C13632" s="20"/>
      <c r="Z13632" s="20"/>
      <c r="AG13632" s="20"/>
      <c r="AQ13632" s="19"/>
      <c r="AR13632" s="19"/>
      <c r="AS13632" s="19"/>
      <c r="AT13632" s="19"/>
      <c r="AU13632" s="19"/>
    </row>
    <row r="13633" spans="3:47">
      <c r="C13633" s="20"/>
      <c r="Z13633" s="20"/>
      <c r="AG13633" s="20"/>
      <c r="AQ13633" s="19"/>
      <c r="AR13633" s="19"/>
      <c r="AS13633" s="19"/>
      <c r="AT13633" s="19"/>
      <c r="AU13633" s="19"/>
    </row>
    <row r="13634" spans="3:47">
      <c r="C13634" s="20"/>
      <c r="Z13634" s="20"/>
      <c r="AG13634" s="20"/>
      <c r="AQ13634" s="19"/>
      <c r="AR13634" s="19"/>
      <c r="AS13634" s="19"/>
      <c r="AT13634" s="19"/>
      <c r="AU13634" s="19"/>
    </row>
    <row r="13635" spans="3:47">
      <c r="C13635" s="20"/>
      <c r="Z13635" s="20"/>
      <c r="AG13635" s="20"/>
      <c r="AQ13635" s="19"/>
      <c r="AR13635" s="19"/>
      <c r="AS13635" s="19"/>
      <c r="AT13635" s="19"/>
      <c r="AU13635" s="19"/>
    </row>
    <row r="13636" spans="3:47">
      <c r="C13636" s="20"/>
      <c r="Z13636" s="20"/>
      <c r="AG13636" s="20"/>
      <c r="AQ13636" s="19"/>
      <c r="AR13636" s="19"/>
      <c r="AS13636" s="19"/>
      <c r="AT13636" s="19"/>
      <c r="AU13636" s="19"/>
    </row>
    <row r="13637" spans="3:47">
      <c r="C13637" s="20"/>
      <c r="Z13637" s="20"/>
      <c r="AG13637" s="20"/>
      <c r="AQ13637" s="19"/>
      <c r="AR13637" s="19"/>
      <c r="AS13637" s="19"/>
      <c r="AT13637" s="19"/>
      <c r="AU13637" s="19"/>
    </row>
    <row r="13638" spans="3:47">
      <c r="C13638" s="20"/>
      <c r="Z13638" s="20"/>
      <c r="AG13638" s="20"/>
      <c r="AQ13638" s="19"/>
      <c r="AR13638" s="19"/>
      <c r="AS13638" s="19"/>
      <c r="AT13638" s="19"/>
      <c r="AU13638" s="19"/>
    </row>
    <row r="13639" spans="3:47">
      <c r="C13639" s="20"/>
      <c r="Z13639" s="20"/>
      <c r="AG13639" s="20"/>
      <c r="AQ13639" s="19"/>
      <c r="AR13639" s="19"/>
      <c r="AS13639" s="19"/>
      <c r="AT13639" s="19"/>
      <c r="AU13639" s="19"/>
    </row>
    <row r="13640" spans="3:47">
      <c r="C13640" s="20"/>
      <c r="Z13640" s="20"/>
      <c r="AG13640" s="20"/>
      <c r="AQ13640" s="19"/>
      <c r="AR13640" s="19"/>
      <c r="AS13640" s="19"/>
      <c r="AT13640" s="19"/>
      <c r="AU13640" s="19"/>
    </row>
    <row r="13641" spans="3:47">
      <c r="C13641" s="20"/>
      <c r="Z13641" s="20"/>
      <c r="AG13641" s="20"/>
      <c r="AQ13641" s="19"/>
      <c r="AR13641" s="19"/>
      <c r="AS13641" s="19"/>
      <c r="AT13641" s="19"/>
      <c r="AU13641" s="19"/>
    </row>
    <row r="13642" spans="3:47">
      <c r="C13642" s="20"/>
      <c r="Z13642" s="20"/>
      <c r="AG13642" s="20"/>
      <c r="AQ13642" s="19"/>
      <c r="AR13642" s="19"/>
      <c r="AS13642" s="19"/>
      <c r="AT13642" s="19"/>
      <c r="AU13642" s="19"/>
    </row>
    <row r="13643" spans="3:47">
      <c r="C13643" s="20"/>
      <c r="Z13643" s="20"/>
      <c r="AG13643" s="20"/>
      <c r="AQ13643" s="19"/>
      <c r="AR13643" s="19"/>
      <c r="AS13643" s="19"/>
      <c r="AT13643" s="19"/>
      <c r="AU13643" s="19"/>
    </row>
    <row r="13644" spans="3:47">
      <c r="C13644" s="20"/>
      <c r="Z13644" s="20"/>
      <c r="AG13644" s="20"/>
      <c r="AQ13644" s="19"/>
      <c r="AR13644" s="19"/>
      <c r="AS13644" s="19"/>
      <c r="AT13644" s="19"/>
      <c r="AU13644" s="19"/>
    </row>
    <row r="13645" spans="3:47">
      <c r="C13645" s="20"/>
      <c r="Z13645" s="20"/>
      <c r="AG13645" s="20"/>
      <c r="AQ13645" s="19"/>
      <c r="AR13645" s="19"/>
      <c r="AS13645" s="19"/>
      <c r="AT13645" s="19"/>
      <c r="AU13645" s="19"/>
    </row>
    <row r="13646" spans="3:47">
      <c r="C13646" s="20"/>
      <c r="Z13646" s="20"/>
      <c r="AG13646" s="20"/>
      <c r="AQ13646" s="19"/>
      <c r="AR13646" s="19"/>
      <c r="AS13646" s="19"/>
      <c r="AT13646" s="19"/>
      <c r="AU13646" s="19"/>
    </row>
    <row r="13647" spans="3:47">
      <c r="C13647" s="20"/>
      <c r="Z13647" s="20"/>
      <c r="AG13647" s="20"/>
      <c r="AQ13647" s="19"/>
      <c r="AR13647" s="19"/>
      <c r="AS13647" s="19"/>
      <c r="AT13647" s="19"/>
      <c r="AU13647" s="19"/>
    </row>
    <row r="13648" spans="3:47">
      <c r="C13648" s="20"/>
      <c r="Z13648" s="20"/>
      <c r="AG13648" s="20"/>
      <c r="AQ13648" s="19"/>
      <c r="AR13648" s="19"/>
      <c r="AS13648" s="19"/>
      <c r="AT13648" s="19"/>
      <c r="AU13648" s="19"/>
    </row>
    <row r="13649" spans="3:47">
      <c r="C13649" s="20"/>
      <c r="Z13649" s="20"/>
      <c r="AG13649" s="20"/>
      <c r="AQ13649" s="19"/>
      <c r="AR13649" s="19"/>
      <c r="AS13649" s="19"/>
      <c r="AT13649" s="19"/>
      <c r="AU13649" s="19"/>
    </row>
    <row r="13650" spans="3:47">
      <c r="C13650" s="20"/>
      <c r="Z13650" s="20"/>
      <c r="AG13650" s="20"/>
      <c r="AQ13650" s="19"/>
      <c r="AR13650" s="19"/>
      <c r="AS13650" s="19"/>
      <c r="AT13650" s="19"/>
      <c r="AU13650" s="19"/>
    </row>
    <row r="13651" spans="3:47">
      <c r="C13651" s="20"/>
      <c r="Z13651" s="20"/>
      <c r="AG13651" s="20"/>
      <c r="AQ13651" s="19"/>
      <c r="AR13651" s="19"/>
      <c r="AS13651" s="19"/>
      <c r="AT13651" s="19"/>
      <c r="AU13651" s="19"/>
    </row>
    <row r="13652" spans="3:47">
      <c r="C13652" s="20"/>
      <c r="Z13652" s="20"/>
      <c r="AG13652" s="20"/>
      <c r="AQ13652" s="19"/>
      <c r="AR13652" s="19"/>
      <c r="AS13652" s="19"/>
      <c r="AT13652" s="19"/>
      <c r="AU13652" s="19"/>
    </row>
    <row r="13653" spans="3:47">
      <c r="C13653" s="20"/>
      <c r="Z13653" s="20"/>
      <c r="AG13653" s="20"/>
      <c r="AQ13653" s="19"/>
      <c r="AR13653" s="19"/>
      <c r="AS13653" s="19"/>
      <c r="AT13653" s="19"/>
      <c r="AU13653" s="19"/>
    </row>
    <row r="13654" spans="3:47">
      <c r="C13654" s="20"/>
      <c r="Z13654" s="20"/>
      <c r="AG13654" s="20"/>
      <c r="AQ13654" s="19"/>
      <c r="AR13654" s="19"/>
      <c r="AS13654" s="19"/>
      <c r="AT13654" s="19"/>
      <c r="AU13654" s="19"/>
    </row>
    <row r="13655" spans="3:47">
      <c r="C13655" s="20"/>
      <c r="Z13655" s="20"/>
      <c r="AG13655" s="20"/>
      <c r="AQ13655" s="19"/>
      <c r="AR13655" s="19"/>
      <c r="AS13655" s="19"/>
      <c r="AT13655" s="19"/>
      <c r="AU13655" s="19"/>
    </row>
    <row r="13656" spans="3:47">
      <c r="C13656" s="20"/>
      <c r="Z13656" s="20"/>
      <c r="AG13656" s="20"/>
      <c r="AQ13656" s="19"/>
      <c r="AR13656" s="19"/>
      <c r="AS13656" s="19"/>
      <c r="AT13656" s="19"/>
      <c r="AU13656" s="19"/>
    </row>
    <row r="13657" spans="3:47">
      <c r="C13657" s="20"/>
      <c r="Z13657" s="20"/>
      <c r="AG13657" s="20"/>
      <c r="AQ13657" s="19"/>
      <c r="AR13657" s="19"/>
      <c r="AS13657" s="19"/>
      <c r="AT13657" s="19"/>
      <c r="AU13657" s="19"/>
    </row>
    <row r="13658" spans="3:47">
      <c r="C13658" s="20"/>
      <c r="Z13658" s="20"/>
      <c r="AG13658" s="20"/>
      <c r="AQ13658" s="19"/>
      <c r="AR13658" s="19"/>
      <c r="AS13658" s="19"/>
      <c r="AT13658" s="19"/>
      <c r="AU13658" s="19"/>
    </row>
    <row r="13659" spans="3:47">
      <c r="C13659" s="20"/>
      <c r="Z13659" s="20"/>
      <c r="AG13659" s="20"/>
      <c r="AQ13659" s="19"/>
      <c r="AR13659" s="19"/>
      <c r="AS13659" s="19"/>
      <c r="AT13659" s="19"/>
      <c r="AU13659" s="19"/>
    </row>
    <row r="13660" spans="3:47">
      <c r="C13660" s="20"/>
      <c r="Z13660" s="20"/>
      <c r="AG13660" s="20"/>
      <c r="AQ13660" s="19"/>
      <c r="AR13660" s="19"/>
      <c r="AS13660" s="19"/>
      <c r="AT13660" s="19"/>
      <c r="AU13660" s="19"/>
    </row>
    <row r="13661" spans="3:47">
      <c r="C13661" s="20"/>
      <c r="Z13661" s="20"/>
      <c r="AG13661" s="20"/>
      <c r="AQ13661" s="19"/>
      <c r="AR13661" s="19"/>
      <c r="AS13661" s="19"/>
      <c r="AT13661" s="19"/>
      <c r="AU13661" s="19"/>
    </row>
    <row r="13662" spans="3:47">
      <c r="C13662" s="20"/>
      <c r="Z13662" s="20"/>
      <c r="AG13662" s="20"/>
      <c r="AQ13662" s="19"/>
      <c r="AR13662" s="19"/>
      <c r="AS13662" s="19"/>
      <c r="AT13662" s="19"/>
      <c r="AU13662" s="19"/>
    </row>
    <row r="13663" spans="3:47">
      <c r="C13663" s="20"/>
      <c r="Z13663" s="20"/>
      <c r="AG13663" s="20"/>
      <c r="AQ13663" s="19"/>
      <c r="AR13663" s="19"/>
      <c r="AS13663" s="19"/>
      <c r="AT13663" s="19"/>
      <c r="AU13663" s="19"/>
    </row>
    <row r="13664" spans="3:47">
      <c r="C13664" s="20"/>
      <c r="Z13664" s="20"/>
      <c r="AG13664" s="20"/>
      <c r="AQ13664" s="19"/>
      <c r="AR13664" s="19"/>
      <c r="AS13664" s="19"/>
      <c r="AT13664" s="19"/>
      <c r="AU13664" s="19"/>
    </row>
    <row r="13665" spans="3:47">
      <c r="C13665" s="20"/>
      <c r="Z13665" s="20"/>
      <c r="AG13665" s="20"/>
      <c r="AQ13665" s="19"/>
      <c r="AR13665" s="19"/>
      <c r="AS13665" s="19"/>
      <c r="AT13665" s="19"/>
      <c r="AU13665" s="19"/>
    </row>
    <row r="13666" spans="3:47">
      <c r="C13666" s="20"/>
      <c r="Z13666" s="20"/>
      <c r="AG13666" s="20"/>
      <c r="AQ13666" s="19"/>
      <c r="AR13666" s="19"/>
      <c r="AS13666" s="19"/>
      <c r="AT13666" s="19"/>
      <c r="AU13666" s="19"/>
    </row>
    <row r="13667" spans="3:47">
      <c r="C13667" s="20"/>
      <c r="Z13667" s="20"/>
      <c r="AG13667" s="20"/>
      <c r="AQ13667" s="19"/>
      <c r="AR13667" s="19"/>
      <c r="AS13667" s="19"/>
      <c r="AT13667" s="19"/>
      <c r="AU13667" s="19"/>
    </row>
    <row r="13668" spans="3:47">
      <c r="C13668" s="20"/>
      <c r="Z13668" s="20"/>
      <c r="AG13668" s="20"/>
      <c r="AQ13668" s="19"/>
      <c r="AR13668" s="19"/>
      <c r="AS13668" s="19"/>
      <c r="AT13668" s="19"/>
      <c r="AU13668" s="19"/>
    </row>
    <row r="13669" spans="3:47">
      <c r="C13669" s="20"/>
      <c r="Z13669" s="20"/>
      <c r="AG13669" s="20"/>
      <c r="AQ13669" s="19"/>
      <c r="AR13669" s="19"/>
      <c r="AS13669" s="19"/>
      <c r="AT13669" s="19"/>
      <c r="AU13669" s="19"/>
    </row>
    <row r="13670" spans="3:47">
      <c r="C13670" s="20"/>
      <c r="Z13670" s="20"/>
      <c r="AG13670" s="20"/>
      <c r="AQ13670" s="19"/>
      <c r="AR13670" s="19"/>
      <c r="AS13670" s="19"/>
      <c r="AT13670" s="19"/>
      <c r="AU13670" s="19"/>
    </row>
    <row r="13671" spans="3:47">
      <c r="C13671" s="20"/>
      <c r="Z13671" s="20"/>
      <c r="AG13671" s="20"/>
      <c r="AQ13671" s="19"/>
      <c r="AR13671" s="19"/>
      <c r="AS13671" s="19"/>
      <c r="AT13671" s="19"/>
      <c r="AU13671" s="19"/>
    </row>
    <row r="13672" spans="3:47">
      <c r="C13672" s="20"/>
      <c r="Z13672" s="20"/>
      <c r="AG13672" s="20"/>
      <c r="AQ13672" s="19"/>
      <c r="AR13672" s="19"/>
      <c r="AS13672" s="19"/>
      <c r="AT13672" s="19"/>
      <c r="AU13672" s="19"/>
    </row>
    <row r="13673" spans="3:47">
      <c r="C13673" s="20"/>
      <c r="Z13673" s="20"/>
      <c r="AG13673" s="20"/>
      <c r="AQ13673" s="19"/>
      <c r="AR13673" s="19"/>
      <c r="AS13673" s="19"/>
      <c r="AT13673" s="19"/>
      <c r="AU13673" s="19"/>
    </row>
    <row r="13674" spans="3:47">
      <c r="C13674" s="20"/>
      <c r="Z13674" s="20"/>
      <c r="AG13674" s="20"/>
      <c r="AQ13674" s="19"/>
      <c r="AR13674" s="19"/>
      <c r="AS13674" s="19"/>
      <c r="AT13674" s="19"/>
      <c r="AU13674" s="19"/>
    </row>
    <row r="13675" spans="3:47">
      <c r="C13675" s="20"/>
      <c r="Z13675" s="20"/>
      <c r="AG13675" s="20"/>
      <c r="AQ13675" s="19"/>
      <c r="AR13675" s="19"/>
      <c r="AS13675" s="19"/>
      <c r="AT13675" s="19"/>
      <c r="AU13675" s="19"/>
    </row>
    <row r="13676" spans="3:47">
      <c r="C13676" s="20"/>
      <c r="Z13676" s="20"/>
      <c r="AG13676" s="20"/>
      <c r="AQ13676" s="19"/>
      <c r="AR13676" s="19"/>
      <c r="AS13676" s="19"/>
      <c r="AT13676" s="19"/>
      <c r="AU13676" s="19"/>
    </row>
    <row r="13677" spans="3:47">
      <c r="C13677" s="20"/>
      <c r="Z13677" s="20"/>
      <c r="AG13677" s="20"/>
      <c r="AQ13677" s="19"/>
      <c r="AR13677" s="19"/>
      <c r="AS13677" s="19"/>
      <c r="AT13677" s="19"/>
      <c r="AU13677" s="19"/>
    </row>
    <row r="13678" spans="3:47">
      <c r="C13678" s="20"/>
      <c r="Z13678" s="20"/>
      <c r="AG13678" s="20"/>
      <c r="AQ13678" s="19"/>
      <c r="AR13678" s="19"/>
      <c r="AS13678" s="19"/>
      <c r="AT13678" s="19"/>
      <c r="AU13678" s="19"/>
    </row>
    <row r="13679" spans="3:47">
      <c r="C13679" s="20"/>
      <c r="Z13679" s="20"/>
      <c r="AG13679" s="20"/>
      <c r="AQ13679" s="19"/>
      <c r="AR13679" s="19"/>
      <c r="AS13679" s="19"/>
      <c r="AT13679" s="19"/>
      <c r="AU13679" s="19"/>
    </row>
    <row r="13680" spans="3:47">
      <c r="C13680" s="20"/>
      <c r="Z13680" s="20"/>
      <c r="AG13680" s="20"/>
      <c r="AQ13680" s="19"/>
      <c r="AR13680" s="19"/>
      <c r="AS13680" s="19"/>
      <c r="AT13680" s="19"/>
      <c r="AU13680" s="19"/>
    </row>
    <row r="13681" spans="3:47">
      <c r="C13681" s="20"/>
      <c r="Z13681" s="20"/>
      <c r="AG13681" s="20"/>
      <c r="AQ13681" s="19"/>
      <c r="AR13681" s="19"/>
      <c r="AS13681" s="19"/>
      <c r="AT13681" s="19"/>
      <c r="AU13681" s="19"/>
    </row>
    <row r="13682" spans="3:47">
      <c r="C13682" s="20"/>
      <c r="Z13682" s="20"/>
      <c r="AG13682" s="20"/>
      <c r="AQ13682" s="19"/>
      <c r="AR13682" s="19"/>
      <c r="AS13682" s="19"/>
      <c r="AT13682" s="19"/>
      <c r="AU13682" s="19"/>
    </row>
    <row r="13683" spans="3:47">
      <c r="C13683" s="20"/>
      <c r="Z13683" s="20"/>
      <c r="AG13683" s="20"/>
      <c r="AQ13683" s="19"/>
      <c r="AR13683" s="19"/>
      <c r="AS13683" s="19"/>
      <c r="AT13683" s="19"/>
      <c r="AU13683" s="19"/>
    </row>
    <row r="13684" spans="3:47">
      <c r="C13684" s="20"/>
      <c r="Z13684" s="20"/>
      <c r="AG13684" s="20"/>
      <c r="AQ13684" s="19"/>
      <c r="AR13684" s="19"/>
      <c r="AS13684" s="19"/>
      <c r="AT13684" s="19"/>
      <c r="AU13684" s="19"/>
    </row>
    <row r="13685" spans="3:47">
      <c r="C13685" s="20"/>
      <c r="Z13685" s="20"/>
      <c r="AG13685" s="20"/>
      <c r="AQ13685" s="19"/>
      <c r="AR13685" s="19"/>
      <c r="AS13685" s="19"/>
      <c r="AT13685" s="19"/>
      <c r="AU13685" s="19"/>
    </row>
    <row r="13686" spans="3:47">
      <c r="C13686" s="20"/>
      <c r="Z13686" s="20"/>
      <c r="AG13686" s="20"/>
      <c r="AQ13686" s="19"/>
      <c r="AR13686" s="19"/>
      <c r="AS13686" s="19"/>
      <c r="AT13686" s="19"/>
      <c r="AU13686" s="19"/>
    </row>
    <row r="13687" spans="3:47">
      <c r="C13687" s="20"/>
      <c r="Z13687" s="20"/>
      <c r="AG13687" s="20"/>
      <c r="AQ13687" s="19"/>
      <c r="AR13687" s="19"/>
      <c r="AS13687" s="19"/>
      <c r="AT13687" s="19"/>
      <c r="AU13687" s="19"/>
    </row>
    <row r="13688" spans="3:47">
      <c r="C13688" s="20"/>
      <c r="Z13688" s="20"/>
      <c r="AG13688" s="20"/>
      <c r="AQ13688" s="19"/>
      <c r="AR13688" s="19"/>
      <c r="AS13688" s="19"/>
      <c r="AT13688" s="19"/>
      <c r="AU13688" s="19"/>
    </row>
    <row r="13689" spans="3:47">
      <c r="C13689" s="20"/>
      <c r="Z13689" s="20"/>
      <c r="AG13689" s="20"/>
      <c r="AQ13689" s="19"/>
      <c r="AR13689" s="19"/>
      <c r="AS13689" s="19"/>
      <c r="AT13689" s="19"/>
      <c r="AU13689" s="19"/>
    </row>
    <row r="13690" spans="3:47">
      <c r="C13690" s="20"/>
      <c r="Z13690" s="20"/>
      <c r="AG13690" s="20"/>
      <c r="AQ13690" s="19"/>
      <c r="AR13690" s="19"/>
      <c r="AS13690" s="19"/>
      <c r="AT13690" s="19"/>
      <c r="AU13690" s="19"/>
    </row>
    <row r="13691" spans="3:47">
      <c r="C13691" s="20"/>
      <c r="Z13691" s="20"/>
      <c r="AG13691" s="20"/>
      <c r="AQ13691" s="19"/>
      <c r="AR13691" s="19"/>
      <c r="AS13691" s="19"/>
      <c r="AT13691" s="19"/>
      <c r="AU13691" s="19"/>
    </row>
    <row r="13692" spans="3:47">
      <c r="C13692" s="20"/>
      <c r="Z13692" s="20"/>
      <c r="AG13692" s="20"/>
      <c r="AQ13692" s="19"/>
      <c r="AR13692" s="19"/>
      <c r="AS13692" s="19"/>
      <c r="AT13692" s="19"/>
      <c r="AU13692" s="19"/>
    </row>
    <row r="13693" spans="3:47">
      <c r="C13693" s="20"/>
      <c r="Z13693" s="20"/>
      <c r="AG13693" s="20"/>
      <c r="AQ13693" s="19"/>
      <c r="AR13693" s="19"/>
      <c r="AS13693" s="19"/>
      <c r="AT13693" s="19"/>
      <c r="AU13693" s="19"/>
    </row>
    <row r="13694" spans="3:47">
      <c r="C13694" s="20"/>
      <c r="Z13694" s="20"/>
      <c r="AG13694" s="20"/>
      <c r="AQ13694" s="19"/>
      <c r="AR13694" s="19"/>
      <c r="AS13694" s="19"/>
      <c r="AT13694" s="19"/>
      <c r="AU13694" s="19"/>
    </row>
    <row r="13695" spans="3:47">
      <c r="C13695" s="20"/>
      <c r="Z13695" s="20"/>
      <c r="AG13695" s="20"/>
      <c r="AQ13695" s="19"/>
      <c r="AR13695" s="19"/>
      <c r="AS13695" s="19"/>
      <c r="AT13695" s="19"/>
      <c r="AU13695" s="19"/>
    </row>
    <row r="13696" spans="3:47">
      <c r="C13696" s="20"/>
      <c r="Z13696" s="20"/>
      <c r="AG13696" s="20"/>
      <c r="AQ13696" s="19"/>
      <c r="AR13696" s="19"/>
      <c r="AS13696" s="19"/>
      <c r="AT13696" s="19"/>
      <c r="AU13696" s="19"/>
    </row>
    <row r="13697" spans="3:47">
      <c r="C13697" s="20"/>
      <c r="Z13697" s="20"/>
      <c r="AG13697" s="20"/>
      <c r="AQ13697" s="19"/>
      <c r="AR13697" s="19"/>
      <c r="AS13697" s="19"/>
      <c r="AT13697" s="19"/>
      <c r="AU13697" s="19"/>
    </row>
    <row r="13698" spans="3:47">
      <c r="C13698" s="20"/>
      <c r="Z13698" s="20"/>
      <c r="AG13698" s="20"/>
      <c r="AQ13698" s="19"/>
      <c r="AR13698" s="19"/>
      <c r="AS13698" s="19"/>
      <c r="AT13698" s="19"/>
      <c r="AU13698" s="19"/>
    </row>
    <row r="13699" spans="3:47">
      <c r="C13699" s="20"/>
      <c r="Z13699" s="20"/>
      <c r="AG13699" s="20"/>
      <c r="AQ13699" s="19"/>
      <c r="AR13699" s="19"/>
      <c r="AS13699" s="19"/>
      <c r="AT13699" s="19"/>
      <c r="AU13699" s="19"/>
    </row>
    <row r="13700" spans="3:47">
      <c r="C13700" s="20"/>
      <c r="Z13700" s="20"/>
      <c r="AG13700" s="20"/>
      <c r="AQ13700" s="19"/>
      <c r="AR13700" s="19"/>
      <c r="AS13700" s="19"/>
      <c r="AT13700" s="19"/>
      <c r="AU13700" s="19"/>
    </row>
    <row r="13701" spans="3:47">
      <c r="C13701" s="20"/>
      <c r="Z13701" s="20"/>
      <c r="AG13701" s="20"/>
      <c r="AQ13701" s="19"/>
      <c r="AR13701" s="19"/>
      <c r="AS13701" s="19"/>
      <c r="AT13701" s="19"/>
      <c r="AU13701" s="19"/>
    </row>
    <row r="13702" spans="3:47">
      <c r="C13702" s="20"/>
      <c r="Z13702" s="20"/>
      <c r="AG13702" s="20"/>
      <c r="AQ13702" s="19"/>
      <c r="AR13702" s="19"/>
      <c r="AS13702" s="19"/>
      <c r="AT13702" s="19"/>
      <c r="AU13702" s="19"/>
    </row>
    <row r="13703" spans="3:47">
      <c r="C13703" s="20"/>
      <c r="Z13703" s="20"/>
      <c r="AG13703" s="20"/>
      <c r="AQ13703" s="19"/>
      <c r="AR13703" s="19"/>
      <c r="AS13703" s="19"/>
      <c r="AT13703" s="19"/>
      <c r="AU13703" s="19"/>
    </row>
    <row r="13704" spans="3:47">
      <c r="C13704" s="20"/>
      <c r="Z13704" s="20"/>
      <c r="AG13704" s="20"/>
      <c r="AQ13704" s="19"/>
      <c r="AR13704" s="19"/>
      <c r="AS13704" s="19"/>
      <c r="AT13704" s="19"/>
      <c r="AU13704" s="19"/>
    </row>
    <row r="13705" spans="3:47">
      <c r="C13705" s="20"/>
      <c r="Z13705" s="20"/>
      <c r="AG13705" s="20"/>
      <c r="AQ13705" s="19"/>
      <c r="AR13705" s="19"/>
      <c r="AS13705" s="19"/>
      <c r="AT13705" s="19"/>
      <c r="AU13705" s="19"/>
    </row>
    <row r="13706" spans="3:47">
      <c r="C13706" s="20"/>
      <c r="Z13706" s="20"/>
      <c r="AG13706" s="20"/>
      <c r="AQ13706" s="19"/>
      <c r="AR13706" s="19"/>
      <c r="AS13706" s="19"/>
      <c r="AT13706" s="19"/>
      <c r="AU13706" s="19"/>
    </row>
    <row r="13707" spans="3:47">
      <c r="C13707" s="20"/>
      <c r="Z13707" s="20"/>
      <c r="AG13707" s="20"/>
      <c r="AQ13707" s="19"/>
      <c r="AR13707" s="19"/>
      <c r="AS13707" s="19"/>
      <c r="AT13707" s="19"/>
      <c r="AU13707" s="19"/>
    </row>
    <row r="13708" spans="3:47">
      <c r="C13708" s="20"/>
      <c r="Z13708" s="20"/>
      <c r="AG13708" s="20"/>
      <c r="AQ13708" s="19"/>
      <c r="AR13708" s="19"/>
      <c r="AS13708" s="19"/>
      <c r="AT13708" s="19"/>
      <c r="AU13708" s="19"/>
    </row>
    <row r="13709" spans="3:47">
      <c r="C13709" s="20"/>
      <c r="Z13709" s="20"/>
      <c r="AG13709" s="20"/>
      <c r="AQ13709" s="19"/>
      <c r="AR13709" s="19"/>
      <c r="AS13709" s="19"/>
      <c r="AT13709" s="19"/>
      <c r="AU13709" s="19"/>
    </row>
    <row r="13710" spans="3:47">
      <c r="C13710" s="20"/>
      <c r="Z13710" s="20"/>
      <c r="AG13710" s="20"/>
      <c r="AQ13710" s="19"/>
      <c r="AR13710" s="19"/>
      <c r="AS13710" s="19"/>
      <c r="AT13710" s="19"/>
      <c r="AU13710" s="19"/>
    </row>
    <row r="13711" spans="3:47">
      <c r="C13711" s="20"/>
      <c r="Z13711" s="20"/>
      <c r="AG13711" s="20"/>
      <c r="AQ13711" s="19"/>
      <c r="AR13711" s="19"/>
      <c r="AS13711" s="19"/>
      <c r="AT13711" s="19"/>
      <c r="AU13711" s="19"/>
    </row>
    <row r="13712" spans="3:47">
      <c r="C13712" s="20"/>
      <c r="Z13712" s="20"/>
      <c r="AG13712" s="20"/>
      <c r="AQ13712" s="19"/>
      <c r="AR13712" s="19"/>
      <c r="AS13712" s="19"/>
      <c r="AT13712" s="19"/>
      <c r="AU13712" s="19"/>
    </row>
    <row r="13713" spans="3:47">
      <c r="C13713" s="20"/>
      <c r="Z13713" s="20"/>
      <c r="AG13713" s="20"/>
      <c r="AQ13713" s="19"/>
      <c r="AR13713" s="19"/>
      <c r="AS13713" s="19"/>
      <c r="AT13713" s="19"/>
      <c r="AU13713" s="19"/>
    </row>
    <row r="13714" spans="3:47">
      <c r="C13714" s="20"/>
      <c r="Z13714" s="20"/>
      <c r="AG13714" s="20"/>
      <c r="AQ13714" s="19"/>
      <c r="AR13714" s="19"/>
      <c r="AS13714" s="19"/>
      <c r="AT13714" s="19"/>
      <c r="AU13714" s="19"/>
    </row>
    <row r="13715" spans="3:47">
      <c r="C13715" s="20"/>
      <c r="Z13715" s="20"/>
      <c r="AG13715" s="20"/>
      <c r="AQ13715" s="19"/>
      <c r="AR13715" s="19"/>
      <c r="AS13715" s="19"/>
      <c r="AT13715" s="19"/>
      <c r="AU13715" s="19"/>
    </row>
    <row r="13716" spans="3:47">
      <c r="C13716" s="20"/>
      <c r="Z13716" s="20"/>
      <c r="AG13716" s="20"/>
      <c r="AQ13716" s="19"/>
      <c r="AR13716" s="19"/>
      <c r="AS13716" s="19"/>
      <c r="AT13716" s="19"/>
      <c r="AU13716" s="19"/>
    </row>
    <row r="13717" spans="3:47">
      <c r="C13717" s="20"/>
      <c r="Z13717" s="20"/>
      <c r="AG13717" s="20"/>
      <c r="AQ13717" s="19"/>
      <c r="AR13717" s="19"/>
      <c r="AS13717" s="19"/>
      <c r="AT13717" s="19"/>
      <c r="AU13717" s="19"/>
    </row>
    <row r="13718" spans="3:47">
      <c r="C13718" s="20"/>
      <c r="Z13718" s="20"/>
      <c r="AG13718" s="20"/>
      <c r="AQ13718" s="19"/>
      <c r="AR13718" s="19"/>
      <c r="AS13718" s="19"/>
      <c r="AT13718" s="19"/>
      <c r="AU13718" s="19"/>
    </row>
    <row r="13719" spans="3:47">
      <c r="C13719" s="20"/>
      <c r="Z13719" s="20"/>
      <c r="AG13719" s="20"/>
      <c r="AQ13719" s="19"/>
      <c r="AR13719" s="19"/>
      <c r="AS13719" s="19"/>
      <c r="AT13719" s="19"/>
      <c r="AU13719" s="19"/>
    </row>
    <row r="13720" spans="3:47">
      <c r="C13720" s="20"/>
      <c r="Z13720" s="20"/>
      <c r="AG13720" s="20"/>
      <c r="AQ13720" s="19"/>
      <c r="AR13720" s="19"/>
      <c r="AS13720" s="19"/>
      <c r="AT13720" s="19"/>
      <c r="AU13720" s="19"/>
    </row>
    <row r="13721" spans="3:47">
      <c r="C13721" s="20"/>
      <c r="Z13721" s="20"/>
      <c r="AG13721" s="20"/>
      <c r="AQ13721" s="19"/>
      <c r="AR13721" s="19"/>
      <c r="AS13721" s="19"/>
      <c r="AT13721" s="19"/>
      <c r="AU13721" s="19"/>
    </row>
    <row r="13722" spans="3:47">
      <c r="C13722" s="20"/>
      <c r="Z13722" s="20"/>
      <c r="AG13722" s="20"/>
      <c r="AQ13722" s="19"/>
      <c r="AR13722" s="19"/>
      <c r="AS13722" s="19"/>
      <c r="AT13722" s="19"/>
      <c r="AU13722" s="19"/>
    </row>
    <row r="13723" spans="3:47">
      <c r="C13723" s="20"/>
      <c r="Z13723" s="20"/>
      <c r="AG13723" s="20"/>
      <c r="AQ13723" s="19"/>
      <c r="AR13723" s="19"/>
      <c r="AS13723" s="19"/>
      <c r="AT13723" s="19"/>
      <c r="AU13723" s="19"/>
    </row>
    <row r="13724" spans="3:47">
      <c r="C13724" s="20"/>
      <c r="Z13724" s="20"/>
      <c r="AG13724" s="20"/>
      <c r="AQ13724" s="19"/>
      <c r="AR13724" s="19"/>
      <c r="AS13724" s="19"/>
      <c r="AT13724" s="19"/>
      <c r="AU13724" s="19"/>
    </row>
    <row r="13725" spans="3:47">
      <c r="C13725" s="20"/>
      <c r="Z13725" s="20"/>
      <c r="AG13725" s="20"/>
      <c r="AQ13725" s="19"/>
      <c r="AR13725" s="19"/>
      <c r="AS13725" s="19"/>
      <c r="AT13725" s="19"/>
      <c r="AU13725" s="19"/>
    </row>
    <row r="13726" spans="3:47">
      <c r="C13726" s="20"/>
      <c r="Z13726" s="20"/>
      <c r="AG13726" s="20"/>
      <c r="AQ13726" s="19"/>
      <c r="AR13726" s="19"/>
      <c r="AS13726" s="19"/>
      <c r="AT13726" s="19"/>
      <c r="AU13726" s="19"/>
    </row>
    <row r="13727" spans="3:47">
      <c r="C13727" s="20"/>
      <c r="Z13727" s="20"/>
      <c r="AG13727" s="20"/>
      <c r="AQ13727" s="19"/>
      <c r="AR13727" s="19"/>
      <c r="AS13727" s="19"/>
      <c r="AT13727" s="19"/>
      <c r="AU13727" s="19"/>
    </row>
    <row r="13728" spans="3:47">
      <c r="C13728" s="20"/>
      <c r="Z13728" s="20"/>
      <c r="AG13728" s="20"/>
      <c r="AQ13728" s="19"/>
      <c r="AR13728" s="19"/>
      <c r="AS13728" s="19"/>
      <c r="AT13728" s="19"/>
      <c r="AU13728" s="19"/>
    </row>
    <row r="13729" spans="3:47">
      <c r="C13729" s="20"/>
      <c r="Z13729" s="20"/>
      <c r="AG13729" s="20"/>
      <c r="AQ13729" s="19"/>
      <c r="AR13729" s="19"/>
      <c r="AS13729" s="19"/>
      <c r="AT13729" s="19"/>
      <c r="AU13729" s="19"/>
    </row>
    <row r="13730" spans="3:47">
      <c r="C13730" s="20"/>
      <c r="Z13730" s="20"/>
      <c r="AG13730" s="20"/>
      <c r="AQ13730" s="19"/>
      <c r="AR13730" s="19"/>
      <c r="AS13730" s="19"/>
      <c r="AT13730" s="19"/>
      <c r="AU13730" s="19"/>
    </row>
    <row r="13731" spans="3:47">
      <c r="C13731" s="20"/>
      <c r="Z13731" s="20"/>
      <c r="AG13731" s="20"/>
      <c r="AQ13731" s="19"/>
      <c r="AR13731" s="19"/>
      <c r="AS13731" s="19"/>
      <c r="AT13731" s="19"/>
      <c r="AU13731" s="19"/>
    </row>
    <row r="13732" spans="3:47">
      <c r="C13732" s="20"/>
      <c r="Z13732" s="20"/>
      <c r="AG13732" s="20"/>
      <c r="AQ13732" s="19"/>
      <c r="AR13732" s="19"/>
      <c r="AS13732" s="19"/>
      <c r="AT13732" s="19"/>
      <c r="AU13732" s="19"/>
    </row>
    <row r="13733" spans="3:47">
      <c r="C13733" s="20"/>
      <c r="Z13733" s="20"/>
      <c r="AG13733" s="20"/>
      <c r="AQ13733" s="19"/>
      <c r="AR13733" s="19"/>
      <c r="AS13733" s="19"/>
      <c r="AT13733" s="19"/>
      <c r="AU13733" s="19"/>
    </row>
    <row r="13734" spans="3:47">
      <c r="C13734" s="20"/>
      <c r="Z13734" s="20"/>
      <c r="AG13734" s="20"/>
      <c r="AQ13734" s="19"/>
      <c r="AR13734" s="19"/>
      <c r="AS13734" s="19"/>
      <c r="AT13734" s="19"/>
      <c r="AU13734" s="19"/>
    </row>
    <row r="13735" spans="3:47">
      <c r="C13735" s="20"/>
      <c r="Z13735" s="20"/>
      <c r="AG13735" s="20"/>
      <c r="AQ13735" s="19"/>
      <c r="AR13735" s="19"/>
      <c r="AS13735" s="19"/>
      <c r="AT13735" s="19"/>
      <c r="AU13735" s="19"/>
    </row>
    <row r="13736" spans="3:47">
      <c r="C13736" s="20"/>
      <c r="Z13736" s="20"/>
      <c r="AG13736" s="20"/>
      <c r="AQ13736" s="19"/>
      <c r="AR13736" s="19"/>
      <c r="AS13736" s="19"/>
      <c r="AT13736" s="19"/>
      <c r="AU13736" s="19"/>
    </row>
    <row r="13737" spans="3:47">
      <c r="C13737" s="20"/>
      <c r="Z13737" s="20"/>
      <c r="AG13737" s="20"/>
      <c r="AQ13737" s="19"/>
      <c r="AR13737" s="19"/>
      <c r="AS13737" s="19"/>
      <c r="AT13737" s="19"/>
      <c r="AU13737" s="19"/>
    </row>
    <row r="13738" spans="3:47">
      <c r="C13738" s="20"/>
      <c r="Z13738" s="20"/>
      <c r="AG13738" s="20"/>
      <c r="AQ13738" s="19"/>
      <c r="AR13738" s="19"/>
      <c r="AS13738" s="19"/>
      <c r="AT13738" s="19"/>
      <c r="AU13738" s="19"/>
    </row>
    <row r="13739" spans="3:47">
      <c r="C13739" s="20"/>
      <c r="Z13739" s="20"/>
      <c r="AG13739" s="20"/>
      <c r="AQ13739" s="19"/>
      <c r="AR13739" s="19"/>
      <c r="AS13739" s="19"/>
      <c r="AT13739" s="19"/>
      <c r="AU13739" s="19"/>
    </row>
    <row r="13740" spans="3:47">
      <c r="C13740" s="20"/>
      <c r="Z13740" s="20"/>
      <c r="AG13740" s="20"/>
      <c r="AQ13740" s="19"/>
      <c r="AR13740" s="19"/>
      <c r="AS13740" s="19"/>
      <c r="AT13740" s="19"/>
      <c r="AU13740" s="19"/>
    </row>
    <row r="13741" spans="3:47">
      <c r="C13741" s="20"/>
      <c r="Z13741" s="20"/>
      <c r="AG13741" s="20"/>
      <c r="AQ13741" s="19"/>
      <c r="AR13741" s="19"/>
      <c r="AS13741" s="19"/>
      <c r="AT13741" s="19"/>
      <c r="AU13741" s="19"/>
    </row>
    <row r="13742" spans="3:47">
      <c r="C13742" s="20"/>
      <c r="Z13742" s="20"/>
      <c r="AG13742" s="20"/>
      <c r="AQ13742" s="19"/>
      <c r="AR13742" s="19"/>
      <c r="AS13742" s="19"/>
      <c r="AT13742" s="19"/>
      <c r="AU13742" s="19"/>
    </row>
    <row r="13743" spans="3:47">
      <c r="C13743" s="20"/>
      <c r="Z13743" s="20"/>
      <c r="AG13743" s="20"/>
      <c r="AQ13743" s="19"/>
      <c r="AR13743" s="19"/>
      <c r="AS13743" s="19"/>
      <c r="AT13743" s="19"/>
      <c r="AU13743" s="19"/>
    </row>
    <row r="13744" spans="3:47">
      <c r="C13744" s="20"/>
      <c r="Z13744" s="20"/>
      <c r="AG13744" s="20"/>
      <c r="AQ13744" s="19"/>
      <c r="AR13744" s="19"/>
      <c r="AS13744" s="19"/>
      <c r="AT13744" s="19"/>
      <c r="AU13744" s="19"/>
    </row>
    <row r="13745" spans="3:47">
      <c r="C13745" s="20"/>
      <c r="Z13745" s="20"/>
      <c r="AG13745" s="20"/>
      <c r="AQ13745" s="19"/>
      <c r="AR13745" s="19"/>
      <c r="AS13745" s="19"/>
      <c r="AT13745" s="19"/>
      <c r="AU13745" s="19"/>
    </row>
    <row r="13746" spans="3:47">
      <c r="C13746" s="20"/>
      <c r="Z13746" s="20"/>
      <c r="AG13746" s="20"/>
      <c r="AQ13746" s="19"/>
      <c r="AR13746" s="19"/>
      <c r="AS13746" s="19"/>
      <c r="AT13746" s="19"/>
      <c r="AU13746" s="19"/>
    </row>
    <row r="13747" spans="3:47">
      <c r="C13747" s="20"/>
      <c r="Z13747" s="20"/>
      <c r="AG13747" s="20"/>
      <c r="AQ13747" s="19"/>
      <c r="AR13747" s="19"/>
      <c r="AS13747" s="19"/>
      <c r="AT13747" s="19"/>
      <c r="AU13747" s="19"/>
    </row>
    <row r="13748" spans="3:47">
      <c r="C13748" s="20"/>
      <c r="Z13748" s="20"/>
      <c r="AG13748" s="20"/>
      <c r="AQ13748" s="19"/>
      <c r="AR13748" s="19"/>
      <c r="AS13748" s="19"/>
      <c r="AT13748" s="19"/>
      <c r="AU13748" s="19"/>
    </row>
    <row r="13749" spans="3:47">
      <c r="C13749" s="20"/>
      <c r="Z13749" s="20"/>
      <c r="AG13749" s="20"/>
      <c r="AQ13749" s="19"/>
      <c r="AR13749" s="19"/>
      <c r="AS13749" s="19"/>
      <c r="AT13749" s="19"/>
      <c r="AU13749" s="19"/>
    </row>
    <row r="13750" spans="3:47">
      <c r="C13750" s="20"/>
      <c r="Z13750" s="20"/>
      <c r="AG13750" s="20"/>
      <c r="AQ13750" s="19"/>
      <c r="AR13750" s="19"/>
      <c r="AS13750" s="19"/>
      <c r="AT13750" s="19"/>
      <c r="AU13750" s="19"/>
    </row>
    <row r="13751" spans="3:47">
      <c r="C13751" s="20"/>
      <c r="Z13751" s="20"/>
      <c r="AG13751" s="20"/>
      <c r="AQ13751" s="19"/>
      <c r="AR13751" s="19"/>
      <c r="AS13751" s="19"/>
      <c r="AT13751" s="19"/>
      <c r="AU13751" s="19"/>
    </row>
    <row r="13752" spans="3:47">
      <c r="C13752" s="20"/>
      <c r="Z13752" s="20"/>
      <c r="AG13752" s="20"/>
      <c r="AQ13752" s="19"/>
      <c r="AR13752" s="19"/>
      <c r="AS13752" s="19"/>
      <c r="AT13752" s="19"/>
      <c r="AU13752" s="19"/>
    </row>
    <row r="13753" spans="3:47">
      <c r="C13753" s="20"/>
      <c r="Z13753" s="20"/>
      <c r="AG13753" s="20"/>
      <c r="AQ13753" s="19"/>
      <c r="AR13753" s="19"/>
      <c r="AS13753" s="19"/>
      <c r="AT13753" s="19"/>
      <c r="AU13753" s="19"/>
    </row>
    <row r="13754" spans="3:47">
      <c r="C13754" s="20"/>
      <c r="Z13754" s="20"/>
      <c r="AG13754" s="20"/>
      <c r="AQ13754" s="19"/>
      <c r="AR13754" s="19"/>
      <c r="AS13754" s="19"/>
      <c r="AT13754" s="19"/>
      <c r="AU13754" s="19"/>
    </row>
    <row r="13755" spans="3:47">
      <c r="C13755" s="20"/>
      <c r="Z13755" s="20"/>
      <c r="AG13755" s="20"/>
      <c r="AQ13755" s="19"/>
      <c r="AR13755" s="19"/>
      <c r="AS13755" s="19"/>
      <c r="AT13755" s="19"/>
      <c r="AU13755" s="19"/>
    </row>
    <row r="13756" spans="3:47">
      <c r="C13756" s="20"/>
      <c r="Z13756" s="20"/>
      <c r="AG13756" s="20"/>
      <c r="AQ13756" s="19"/>
      <c r="AR13756" s="19"/>
      <c r="AS13756" s="19"/>
      <c r="AT13756" s="19"/>
      <c r="AU13756" s="19"/>
    </row>
    <row r="13757" spans="3:47">
      <c r="C13757" s="20"/>
      <c r="Z13757" s="20"/>
      <c r="AG13757" s="20"/>
      <c r="AQ13757" s="19"/>
      <c r="AR13757" s="19"/>
      <c r="AS13757" s="19"/>
      <c r="AT13757" s="19"/>
      <c r="AU13757" s="19"/>
    </row>
    <row r="13758" spans="3:47">
      <c r="C13758" s="20"/>
      <c r="Z13758" s="20"/>
      <c r="AG13758" s="20"/>
      <c r="AQ13758" s="19"/>
      <c r="AR13758" s="19"/>
      <c r="AS13758" s="19"/>
      <c r="AT13758" s="19"/>
      <c r="AU13758" s="19"/>
    </row>
    <row r="13759" spans="3:47">
      <c r="C13759" s="20"/>
      <c r="Z13759" s="20"/>
      <c r="AG13759" s="20"/>
      <c r="AQ13759" s="19"/>
      <c r="AR13759" s="19"/>
      <c r="AS13759" s="19"/>
      <c r="AT13759" s="19"/>
      <c r="AU13759" s="19"/>
    </row>
    <row r="13760" spans="3:47">
      <c r="C13760" s="20"/>
      <c r="Z13760" s="20"/>
      <c r="AG13760" s="20"/>
      <c r="AQ13760" s="19"/>
      <c r="AR13760" s="19"/>
      <c r="AS13760" s="19"/>
      <c r="AT13760" s="19"/>
      <c r="AU13760" s="19"/>
    </row>
    <row r="13761" spans="3:47">
      <c r="C13761" s="20"/>
      <c r="Z13761" s="20"/>
      <c r="AG13761" s="20"/>
      <c r="AQ13761" s="19"/>
      <c r="AR13761" s="19"/>
      <c r="AS13761" s="19"/>
      <c r="AT13761" s="19"/>
      <c r="AU13761" s="19"/>
    </row>
    <row r="13762" spans="3:47">
      <c r="C13762" s="20"/>
      <c r="Z13762" s="20"/>
      <c r="AG13762" s="20"/>
      <c r="AQ13762" s="19"/>
      <c r="AR13762" s="19"/>
      <c r="AS13762" s="19"/>
      <c r="AT13762" s="19"/>
      <c r="AU13762" s="19"/>
    </row>
    <row r="13763" spans="3:47">
      <c r="C13763" s="20"/>
      <c r="Z13763" s="20"/>
      <c r="AG13763" s="20"/>
      <c r="AQ13763" s="19"/>
      <c r="AR13763" s="19"/>
      <c r="AS13763" s="19"/>
      <c r="AT13763" s="19"/>
      <c r="AU13763" s="19"/>
    </row>
    <row r="13764" spans="3:47">
      <c r="C13764" s="20"/>
      <c r="Z13764" s="20"/>
      <c r="AG13764" s="20"/>
      <c r="AQ13764" s="19"/>
      <c r="AR13764" s="19"/>
      <c r="AS13764" s="19"/>
      <c r="AT13764" s="19"/>
      <c r="AU13764" s="19"/>
    </row>
    <row r="13765" spans="3:47">
      <c r="C13765" s="20"/>
      <c r="Z13765" s="20"/>
      <c r="AG13765" s="20"/>
      <c r="AQ13765" s="19"/>
      <c r="AR13765" s="19"/>
      <c r="AS13765" s="19"/>
      <c r="AT13765" s="19"/>
      <c r="AU13765" s="19"/>
    </row>
    <row r="13766" spans="3:47">
      <c r="C13766" s="20"/>
      <c r="Z13766" s="20"/>
      <c r="AG13766" s="20"/>
      <c r="AQ13766" s="19"/>
      <c r="AR13766" s="19"/>
      <c r="AS13766" s="19"/>
      <c r="AT13766" s="19"/>
      <c r="AU13766" s="19"/>
    </row>
    <row r="13767" spans="3:47">
      <c r="C13767" s="20"/>
      <c r="Z13767" s="20"/>
      <c r="AG13767" s="20"/>
      <c r="AQ13767" s="19"/>
      <c r="AR13767" s="19"/>
      <c r="AS13767" s="19"/>
      <c r="AT13767" s="19"/>
      <c r="AU13767" s="19"/>
    </row>
    <row r="13768" spans="3:47">
      <c r="C13768" s="20"/>
      <c r="Z13768" s="20"/>
      <c r="AG13768" s="20"/>
      <c r="AQ13768" s="19"/>
      <c r="AR13768" s="19"/>
      <c r="AS13768" s="19"/>
      <c r="AT13768" s="19"/>
      <c r="AU13768" s="19"/>
    </row>
    <row r="13769" spans="3:47">
      <c r="C13769" s="20"/>
      <c r="Z13769" s="20"/>
      <c r="AG13769" s="20"/>
      <c r="AQ13769" s="19"/>
      <c r="AR13769" s="19"/>
      <c r="AS13769" s="19"/>
      <c r="AT13769" s="19"/>
      <c r="AU13769" s="19"/>
    </row>
    <row r="13770" spans="3:47">
      <c r="C13770" s="20"/>
      <c r="Z13770" s="20"/>
      <c r="AG13770" s="20"/>
      <c r="AQ13770" s="19"/>
      <c r="AR13770" s="19"/>
      <c r="AS13770" s="19"/>
      <c r="AT13770" s="19"/>
      <c r="AU13770" s="19"/>
    </row>
    <row r="13771" spans="3:47">
      <c r="C13771" s="20"/>
      <c r="Z13771" s="20"/>
      <c r="AG13771" s="20"/>
      <c r="AQ13771" s="19"/>
      <c r="AR13771" s="19"/>
      <c r="AS13771" s="19"/>
      <c r="AT13771" s="19"/>
      <c r="AU13771" s="19"/>
    </row>
    <row r="13772" spans="3:47">
      <c r="C13772" s="20"/>
      <c r="Z13772" s="20"/>
      <c r="AG13772" s="20"/>
      <c r="AQ13772" s="19"/>
      <c r="AR13772" s="19"/>
      <c r="AS13772" s="19"/>
      <c r="AT13772" s="19"/>
      <c r="AU13772" s="19"/>
    </row>
    <row r="13773" spans="3:47">
      <c r="C13773" s="20"/>
      <c r="Z13773" s="20"/>
      <c r="AG13773" s="20"/>
      <c r="AQ13773" s="19"/>
      <c r="AR13773" s="19"/>
      <c r="AS13773" s="19"/>
      <c r="AT13773" s="19"/>
      <c r="AU13773" s="19"/>
    </row>
    <row r="13774" spans="3:47">
      <c r="C13774" s="20"/>
      <c r="Z13774" s="20"/>
      <c r="AG13774" s="20"/>
      <c r="AQ13774" s="19"/>
      <c r="AR13774" s="19"/>
      <c r="AS13774" s="19"/>
      <c r="AT13774" s="19"/>
      <c r="AU13774" s="19"/>
    </row>
    <row r="13775" spans="3:47">
      <c r="C13775" s="20"/>
      <c r="Z13775" s="20"/>
      <c r="AG13775" s="20"/>
      <c r="AQ13775" s="19"/>
      <c r="AR13775" s="19"/>
      <c r="AS13775" s="19"/>
      <c r="AT13775" s="19"/>
      <c r="AU13775" s="19"/>
    </row>
    <row r="13776" spans="3:47">
      <c r="C13776" s="20"/>
      <c r="Z13776" s="20"/>
      <c r="AG13776" s="20"/>
      <c r="AQ13776" s="19"/>
      <c r="AR13776" s="19"/>
      <c r="AS13776" s="19"/>
      <c r="AT13776" s="19"/>
      <c r="AU13776" s="19"/>
    </row>
    <row r="13777" spans="3:47">
      <c r="C13777" s="20"/>
      <c r="Z13777" s="20"/>
      <c r="AG13777" s="20"/>
      <c r="AQ13777" s="19"/>
      <c r="AR13777" s="19"/>
      <c r="AS13777" s="19"/>
      <c r="AT13777" s="19"/>
      <c r="AU13777" s="19"/>
    </row>
    <row r="13778" spans="3:47">
      <c r="C13778" s="20"/>
      <c r="Z13778" s="20"/>
      <c r="AG13778" s="20"/>
      <c r="AQ13778" s="19"/>
      <c r="AR13778" s="19"/>
      <c r="AS13778" s="19"/>
      <c r="AT13778" s="19"/>
      <c r="AU13778" s="19"/>
    </row>
    <row r="13779" spans="3:47">
      <c r="C13779" s="20"/>
      <c r="Z13779" s="20"/>
      <c r="AG13779" s="20"/>
      <c r="AQ13779" s="19"/>
      <c r="AR13779" s="19"/>
      <c r="AS13779" s="19"/>
      <c r="AT13779" s="19"/>
      <c r="AU13779" s="19"/>
    </row>
    <row r="13780" spans="3:47">
      <c r="C13780" s="20"/>
      <c r="Z13780" s="20"/>
      <c r="AG13780" s="20"/>
      <c r="AQ13780" s="19"/>
      <c r="AR13780" s="19"/>
      <c r="AS13780" s="19"/>
      <c r="AT13780" s="19"/>
      <c r="AU13780" s="19"/>
    </row>
    <row r="13781" spans="3:47">
      <c r="C13781" s="20"/>
      <c r="Z13781" s="20"/>
      <c r="AG13781" s="20"/>
      <c r="AQ13781" s="19"/>
      <c r="AR13781" s="19"/>
      <c r="AS13781" s="19"/>
      <c r="AT13781" s="19"/>
      <c r="AU13781" s="19"/>
    </row>
    <row r="13782" spans="3:47">
      <c r="C13782" s="20"/>
      <c r="Z13782" s="20"/>
      <c r="AG13782" s="20"/>
      <c r="AQ13782" s="19"/>
      <c r="AR13782" s="19"/>
      <c r="AS13782" s="19"/>
      <c r="AT13782" s="19"/>
      <c r="AU13782" s="19"/>
    </row>
    <row r="13783" spans="3:47">
      <c r="C13783" s="20"/>
      <c r="Z13783" s="20"/>
      <c r="AG13783" s="20"/>
      <c r="AQ13783" s="19"/>
      <c r="AR13783" s="19"/>
      <c r="AS13783" s="19"/>
      <c r="AT13783" s="19"/>
      <c r="AU13783" s="19"/>
    </row>
    <row r="13784" spans="3:47">
      <c r="C13784" s="20"/>
      <c r="Z13784" s="20"/>
      <c r="AG13784" s="20"/>
      <c r="AQ13784" s="19"/>
      <c r="AR13784" s="19"/>
      <c r="AS13784" s="19"/>
      <c r="AT13784" s="19"/>
      <c r="AU13784" s="19"/>
    </row>
    <row r="13785" spans="3:47">
      <c r="C13785" s="20"/>
      <c r="Z13785" s="20"/>
      <c r="AG13785" s="20"/>
      <c r="AQ13785" s="19"/>
      <c r="AR13785" s="19"/>
      <c r="AS13785" s="19"/>
      <c r="AT13785" s="19"/>
      <c r="AU13785" s="19"/>
    </row>
    <row r="13786" spans="3:47">
      <c r="C13786" s="20"/>
      <c r="Z13786" s="20"/>
      <c r="AG13786" s="20"/>
      <c r="AQ13786" s="19"/>
      <c r="AR13786" s="19"/>
      <c r="AS13786" s="19"/>
      <c r="AT13786" s="19"/>
      <c r="AU13786" s="19"/>
    </row>
    <row r="13787" spans="3:47">
      <c r="C13787" s="20"/>
      <c r="Z13787" s="20"/>
      <c r="AG13787" s="20"/>
      <c r="AQ13787" s="19"/>
      <c r="AR13787" s="19"/>
      <c r="AS13787" s="19"/>
      <c r="AT13787" s="19"/>
      <c r="AU13787" s="19"/>
    </row>
    <row r="13788" spans="3:47">
      <c r="C13788" s="20"/>
      <c r="Z13788" s="20"/>
      <c r="AG13788" s="20"/>
      <c r="AQ13788" s="19"/>
      <c r="AR13788" s="19"/>
      <c r="AS13788" s="19"/>
      <c r="AT13788" s="19"/>
      <c r="AU13788" s="19"/>
    </row>
    <row r="13789" spans="3:47">
      <c r="C13789" s="20"/>
      <c r="Z13789" s="20"/>
      <c r="AG13789" s="20"/>
      <c r="AQ13789" s="19"/>
      <c r="AR13789" s="19"/>
      <c r="AS13789" s="19"/>
      <c r="AT13789" s="19"/>
      <c r="AU13789" s="19"/>
    </row>
    <row r="13790" spans="3:47">
      <c r="C13790" s="20"/>
      <c r="Z13790" s="20"/>
      <c r="AG13790" s="20"/>
      <c r="AQ13790" s="19"/>
      <c r="AR13790" s="19"/>
      <c r="AS13790" s="19"/>
      <c r="AT13790" s="19"/>
      <c r="AU13790" s="19"/>
    </row>
    <row r="13791" spans="3:47">
      <c r="C13791" s="20"/>
      <c r="Z13791" s="20"/>
      <c r="AG13791" s="20"/>
      <c r="AQ13791" s="19"/>
      <c r="AR13791" s="19"/>
      <c r="AS13791" s="19"/>
      <c r="AT13791" s="19"/>
      <c r="AU13791" s="19"/>
    </row>
    <row r="13792" spans="3:47">
      <c r="C13792" s="20"/>
      <c r="Z13792" s="20"/>
      <c r="AG13792" s="20"/>
      <c r="AQ13792" s="19"/>
      <c r="AR13792" s="19"/>
      <c r="AS13792" s="19"/>
      <c r="AT13792" s="19"/>
      <c r="AU13792" s="19"/>
    </row>
    <row r="13793" spans="3:47">
      <c r="C13793" s="20"/>
      <c r="Z13793" s="20"/>
      <c r="AG13793" s="20"/>
      <c r="AQ13793" s="19"/>
      <c r="AR13793" s="19"/>
      <c r="AS13793" s="19"/>
      <c r="AT13793" s="19"/>
      <c r="AU13793" s="19"/>
    </row>
    <row r="13794" spans="3:47">
      <c r="C13794" s="20"/>
      <c r="Z13794" s="20"/>
      <c r="AG13794" s="20"/>
      <c r="AQ13794" s="19"/>
      <c r="AR13794" s="19"/>
      <c r="AS13794" s="19"/>
      <c r="AT13794" s="19"/>
      <c r="AU13794" s="19"/>
    </row>
    <row r="13795" spans="3:47">
      <c r="C13795" s="20"/>
      <c r="Z13795" s="20"/>
      <c r="AG13795" s="20"/>
      <c r="AQ13795" s="19"/>
      <c r="AR13795" s="19"/>
      <c r="AS13795" s="19"/>
      <c r="AT13795" s="19"/>
      <c r="AU13795" s="19"/>
    </row>
    <row r="13796" spans="3:47">
      <c r="C13796" s="20"/>
      <c r="Z13796" s="20"/>
      <c r="AG13796" s="20"/>
      <c r="AQ13796" s="19"/>
      <c r="AR13796" s="19"/>
      <c r="AS13796" s="19"/>
      <c r="AT13796" s="19"/>
      <c r="AU13796" s="19"/>
    </row>
    <row r="13797" spans="3:47">
      <c r="C13797" s="20"/>
      <c r="Z13797" s="20"/>
      <c r="AG13797" s="20"/>
      <c r="AQ13797" s="19"/>
      <c r="AR13797" s="19"/>
      <c r="AS13797" s="19"/>
      <c r="AT13797" s="19"/>
      <c r="AU13797" s="19"/>
    </row>
    <row r="13798" spans="3:47">
      <c r="C13798" s="20"/>
      <c r="Z13798" s="20"/>
      <c r="AG13798" s="20"/>
      <c r="AQ13798" s="19"/>
      <c r="AR13798" s="19"/>
      <c r="AS13798" s="19"/>
      <c r="AT13798" s="19"/>
      <c r="AU13798" s="19"/>
    </row>
    <row r="13799" spans="3:47">
      <c r="C13799" s="20"/>
      <c r="Z13799" s="20"/>
      <c r="AG13799" s="20"/>
      <c r="AQ13799" s="19"/>
      <c r="AR13799" s="19"/>
      <c r="AS13799" s="19"/>
      <c r="AT13799" s="19"/>
      <c r="AU13799" s="19"/>
    </row>
    <row r="13800" spans="3:47">
      <c r="C13800" s="20"/>
      <c r="Z13800" s="20"/>
      <c r="AG13800" s="20"/>
      <c r="AQ13800" s="19"/>
      <c r="AR13800" s="19"/>
      <c r="AS13800" s="19"/>
      <c r="AT13800" s="19"/>
      <c r="AU13800" s="19"/>
    </row>
    <row r="13801" spans="3:47">
      <c r="C13801" s="20"/>
      <c r="Z13801" s="20"/>
      <c r="AG13801" s="20"/>
      <c r="AQ13801" s="19"/>
      <c r="AR13801" s="19"/>
      <c r="AS13801" s="19"/>
      <c r="AT13801" s="19"/>
      <c r="AU13801" s="19"/>
    </row>
    <row r="13802" spans="3:47">
      <c r="C13802" s="20"/>
      <c r="Z13802" s="20"/>
      <c r="AG13802" s="20"/>
      <c r="AQ13802" s="19"/>
      <c r="AR13802" s="19"/>
      <c r="AS13802" s="19"/>
      <c r="AT13802" s="19"/>
      <c r="AU13802" s="19"/>
    </row>
    <row r="13803" spans="3:47">
      <c r="C13803" s="20"/>
      <c r="Z13803" s="20"/>
      <c r="AG13803" s="20"/>
      <c r="AQ13803" s="19"/>
      <c r="AR13803" s="19"/>
      <c r="AS13803" s="19"/>
      <c r="AT13803" s="19"/>
      <c r="AU13803" s="19"/>
    </row>
    <row r="13804" spans="3:47">
      <c r="C13804" s="20"/>
      <c r="Z13804" s="20"/>
      <c r="AG13804" s="20"/>
      <c r="AQ13804" s="19"/>
      <c r="AR13804" s="19"/>
      <c r="AS13804" s="19"/>
      <c r="AT13804" s="19"/>
      <c r="AU13804" s="19"/>
    </row>
    <row r="13805" spans="3:47">
      <c r="C13805" s="20"/>
      <c r="Z13805" s="20"/>
      <c r="AG13805" s="20"/>
      <c r="AQ13805" s="19"/>
      <c r="AR13805" s="19"/>
      <c r="AS13805" s="19"/>
      <c r="AT13805" s="19"/>
      <c r="AU13805" s="19"/>
    </row>
    <row r="13806" spans="3:47">
      <c r="C13806" s="20"/>
      <c r="Z13806" s="20"/>
      <c r="AG13806" s="20"/>
      <c r="AQ13806" s="19"/>
      <c r="AR13806" s="19"/>
      <c r="AS13806" s="19"/>
      <c r="AT13806" s="19"/>
      <c r="AU13806" s="19"/>
    </row>
    <row r="13807" spans="3:47">
      <c r="C13807" s="20"/>
      <c r="Z13807" s="20"/>
      <c r="AG13807" s="20"/>
      <c r="AQ13807" s="19"/>
      <c r="AR13807" s="19"/>
      <c r="AS13807" s="19"/>
      <c r="AT13807" s="19"/>
      <c r="AU13807" s="19"/>
    </row>
    <row r="13808" spans="3:47">
      <c r="C13808" s="20"/>
      <c r="Z13808" s="20"/>
      <c r="AG13808" s="20"/>
      <c r="AQ13808" s="19"/>
      <c r="AR13808" s="19"/>
      <c r="AS13808" s="19"/>
      <c r="AT13808" s="19"/>
      <c r="AU13808" s="19"/>
    </row>
    <row r="13809" spans="3:47">
      <c r="C13809" s="20"/>
      <c r="Z13809" s="20"/>
      <c r="AG13809" s="20"/>
      <c r="AQ13809" s="19"/>
      <c r="AR13809" s="19"/>
      <c r="AS13809" s="19"/>
      <c r="AT13809" s="19"/>
      <c r="AU13809" s="19"/>
    </row>
    <row r="13810" spans="3:47">
      <c r="C13810" s="20"/>
      <c r="Z13810" s="20"/>
      <c r="AG13810" s="20"/>
      <c r="AQ13810" s="19"/>
      <c r="AR13810" s="19"/>
      <c r="AS13810" s="19"/>
      <c r="AT13810" s="19"/>
      <c r="AU13810" s="19"/>
    </row>
    <row r="13811" spans="3:47">
      <c r="C13811" s="20"/>
      <c r="Z13811" s="20"/>
      <c r="AG13811" s="20"/>
      <c r="AQ13811" s="19"/>
      <c r="AR13811" s="19"/>
      <c r="AS13811" s="19"/>
      <c r="AT13811" s="19"/>
      <c r="AU13811" s="19"/>
    </row>
    <row r="13812" spans="3:47">
      <c r="C13812" s="20"/>
      <c r="Z13812" s="20"/>
      <c r="AG13812" s="20"/>
      <c r="AQ13812" s="19"/>
      <c r="AR13812" s="19"/>
      <c r="AS13812" s="19"/>
      <c r="AT13812" s="19"/>
      <c r="AU13812" s="19"/>
    </row>
    <row r="13813" spans="3:47">
      <c r="C13813" s="20"/>
      <c r="Z13813" s="20"/>
      <c r="AG13813" s="20"/>
      <c r="AQ13813" s="19"/>
      <c r="AR13813" s="19"/>
      <c r="AS13813" s="19"/>
      <c r="AT13813" s="19"/>
      <c r="AU13813" s="19"/>
    </row>
    <row r="13814" spans="3:47">
      <c r="C13814" s="20"/>
      <c r="Z13814" s="20"/>
      <c r="AG13814" s="20"/>
      <c r="AQ13814" s="19"/>
      <c r="AR13814" s="19"/>
      <c r="AS13814" s="19"/>
      <c r="AT13814" s="19"/>
      <c r="AU13814" s="19"/>
    </row>
    <row r="13815" spans="3:47">
      <c r="C13815" s="20"/>
      <c r="Z13815" s="20"/>
      <c r="AG13815" s="20"/>
      <c r="AQ13815" s="19"/>
      <c r="AR13815" s="19"/>
      <c r="AS13815" s="19"/>
      <c r="AT13815" s="19"/>
      <c r="AU13815" s="19"/>
    </row>
    <row r="13816" spans="3:47">
      <c r="C13816" s="20"/>
      <c r="Z13816" s="20"/>
      <c r="AG13816" s="20"/>
      <c r="AQ13816" s="19"/>
      <c r="AR13816" s="19"/>
      <c r="AS13816" s="19"/>
      <c r="AT13816" s="19"/>
      <c r="AU13816" s="19"/>
    </row>
    <row r="13817" spans="3:47">
      <c r="C13817" s="20"/>
      <c r="Z13817" s="20"/>
      <c r="AG13817" s="20"/>
      <c r="AQ13817" s="19"/>
      <c r="AR13817" s="19"/>
      <c r="AS13817" s="19"/>
      <c r="AT13817" s="19"/>
      <c r="AU13817" s="19"/>
    </row>
    <row r="13818" spans="3:47">
      <c r="C13818" s="20"/>
      <c r="Z13818" s="20"/>
      <c r="AG13818" s="20"/>
      <c r="AQ13818" s="19"/>
      <c r="AR13818" s="19"/>
      <c r="AS13818" s="19"/>
      <c r="AT13818" s="19"/>
      <c r="AU13818" s="19"/>
    </row>
    <row r="13819" spans="3:47">
      <c r="C13819" s="20"/>
      <c r="Z13819" s="20"/>
      <c r="AG13819" s="20"/>
      <c r="AQ13819" s="19"/>
      <c r="AR13819" s="19"/>
      <c r="AS13819" s="19"/>
      <c r="AT13819" s="19"/>
      <c r="AU13819" s="19"/>
    </row>
    <row r="13820" spans="3:47">
      <c r="C13820" s="20"/>
      <c r="Z13820" s="20"/>
      <c r="AG13820" s="20"/>
      <c r="AQ13820" s="19"/>
      <c r="AR13820" s="19"/>
      <c r="AS13820" s="19"/>
      <c r="AT13820" s="19"/>
      <c r="AU13820" s="19"/>
    </row>
    <row r="13821" spans="3:47">
      <c r="C13821" s="20"/>
      <c r="Z13821" s="20"/>
      <c r="AG13821" s="20"/>
      <c r="AQ13821" s="19"/>
      <c r="AR13821" s="19"/>
      <c r="AS13821" s="19"/>
      <c r="AT13821" s="19"/>
      <c r="AU13821" s="19"/>
    </row>
    <row r="13822" spans="3:47">
      <c r="C13822" s="20"/>
      <c r="Z13822" s="20"/>
      <c r="AG13822" s="20"/>
      <c r="AQ13822" s="19"/>
      <c r="AR13822" s="19"/>
      <c r="AS13822" s="19"/>
      <c r="AT13822" s="19"/>
      <c r="AU13822" s="19"/>
    </row>
    <row r="13823" spans="3:47">
      <c r="C13823" s="20"/>
      <c r="Z13823" s="20"/>
      <c r="AG13823" s="20"/>
      <c r="AQ13823" s="19"/>
      <c r="AR13823" s="19"/>
      <c r="AS13823" s="19"/>
      <c r="AT13823" s="19"/>
      <c r="AU13823" s="19"/>
    </row>
    <row r="13824" spans="3:47">
      <c r="C13824" s="20"/>
      <c r="Z13824" s="20"/>
      <c r="AG13824" s="20"/>
      <c r="AQ13824" s="19"/>
      <c r="AR13824" s="19"/>
      <c r="AS13824" s="19"/>
      <c r="AT13824" s="19"/>
      <c r="AU13824" s="19"/>
    </row>
    <row r="13825" spans="3:47">
      <c r="C13825" s="20"/>
      <c r="Z13825" s="20"/>
      <c r="AG13825" s="20"/>
      <c r="AQ13825" s="19"/>
      <c r="AR13825" s="19"/>
      <c r="AS13825" s="19"/>
      <c r="AT13825" s="19"/>
      <c r="AU13825" s="19"/>
    </row>
    <row r="13826" spans="3:47">
      <c r="C13826" s="20"/>
      <c r="Z13826" s="20"/>
      <c r="AG13826" s="20"/>
      <c r="AQ13826" s="19"/>
      <c r="AR13826" s="19"/>
      <c r="AS13826" s="19"/>
      <c r="AT13826" s="19"/>
      <c r="AU13826" s="19"/>
    </row>
    <row r="13827" spans="3:47">
      <c r="C13827" s="20"/>
      <c r="Z13827" s="20"/>
      <c r="AG13827" s="20"/>
      <c r="AQ13827" s="19"/>
      <c r="AR13827" s="19"/>
      <c r="AS13827" s="19"/>
      <c r="AT13827" s="19"/>
      <c r="AU13827" s="19"/>
    </row>
    <row r="13828" spans="3:47">
      <c r="C13828" s="20"/>
      <c r="Z13828" s="20"/>
      <c r="AG13828" s="20"/>
      <c r="AQ13828" s="19"/>
      <c r="AR13828" s="19"/>
      <c r="AS13828" s="19"/>
      <c r="AT13828" s="19"/>
      <c r="AU13828" s="19"/>
    </row>
    <row r="13829" spans="3:47">
      <c r="C13829" s="20"/>
      <c r="Z13829" s="20"/>
      <c r="AG13829" s="20"/>
      <c r="AQ13829" s="19"/>
      <c r="AR13829" s="19"/>
      <c r="AS13829" s="19"/>
      <c r="AT13829" s="19"/>
      <c r="AU13829" s="19"/>
    </row>
    <row r="13830" spans="3:47">
      <c r="C13830" s="20"/>
      <c r="Z13830" s="20"/>
      <c r="AG13830" s="20"/>
      <c r="AQ13830" s="19"/>
      <c r="AR13830" s="19"/>
      <c r="AS13830" s="19"/>
      <c r="AT13830" s="19"/>
      <c r="AU13830" s="19"/>
    </row>
    <row r="13831" spans="3:47">
      <c r="C13831" s="20"/>
      <c r="Z13831" s="20"/>
      <c r="AG13831" s="20"/>
      <c r="AQ13831" s="19"/>
      <c r="AR13831" s="19"/>
      <c r="AS13831" s="19"/>
      <c r="AT13831" s="19"/>
      <c r="AU13831" s="19"/>
    </row>
    <row r="13832" spans="3:47">
      <c r="C13832" s="20"/>
      <c r="Z13832" s="20"/>
      <c r="AG13832" s="20"/>
      <c r="AQ13832" s="19"/>
      <c r="AR13832" s="19"/>
      <c r="AS13832" s="19"/>
      <c r="AT13832" s="19"/>
      <c r="AU13832" s="19"/>
    </row>
    <row r="13833" spans="3:47">
      <c r="C13833" s="20"/>
      <c r="Z13833" s="20"/>
      <c r="AG13833" s="20"/>
      <c r="AQ13833" s="19"/>
      <c r="AR13833" s="19"/>
      <c r="AS13833" s="19"/>
      <c r="AT13833" s="19"/>
      <c r="AU13833" s="19"/>
    </row>
    <row r="13834" spans="3:47">
      <c r="C13834" s="20"/>
      <c r="Z13834" s="20"/>
      <c r="AG13834" s="20"/>
      <c r="AQ13834" s="19"/>
      <c r="AR13834" s="19"/>
      <c r="AS13834" s="19"/>
      <c r="AT13834" s="19"/>
      <c r="AU13834" s="19"/>
    </row>
    <row r="13835" spans="3:47">
      <c r="C13835" s="20"/>
      <c r="Z13835" s="20"/>
      <c r="AG13835" s="20"/>
      <c r="AQ13835" s="19"/>
      <c r="AR13835" s="19"/>
      <c r="AS13835" s="19"/>
      <c r="AT13835" s="19"/>
      <c r="AU13835" s="19"/>
    </row>
    <row r="13836" spans="3:47">
      <c r="C13836" s="20"/>
      <c r="Z13836" s="20"/>
      <c r="AG13836" s="20"/>
      <c r="AQ13836" s="19"/>
      <c r="AR13836" s="19"/>
      <c r="AS13836" s="19"/>
      <c r="AT13836" s="19"/>
      <c r="AU13836" s="19"/>
    </row>
    <row r="13837" spans="3:47">
      <c r="C13837" s="20"/>
      <c r="Z13837" s="20"/>
      <c r="AG13837" s="20"/>
      <c r="AQ13837" s="19"/>
      <c r="AR13837" s="19"/>
      <c r="AS13837" s="19"/>
      <c r="AT13837" s="19"/>
      <c r="AU13837" s="19"/>
    </row>
    <row r="13838" spans="3:47">
      <c r="C13838" s="20"/>
      <c r="Z13838" s="20"/>
      <c r="AG13838" s="20"/>
      <c r="AQ13838" s="19"/>
      <c r="AR13838" s="19"/>
      <c r="AS13838" s="19"/>
      <c r="AT13838" s="19"/>
      <c r="AU13838" s="19"/>
    </row>
    <row r="13839" spans="3:47">
      <c r="C13839" s="20"/>
      <c r="Z13839" s="20"/>
      <c r="AG13839" s="20"/>
      <c r="AQ13839" s="19"/>
      <c r="AR13839" s="19"/>
      <c r="AS13839" s="19"/>
      <c r="AT13839" s="19"/>
      <c r="AU13839" s="19"/>
    </row>
    <row r="13840" spans="3:47">
      <c r="C13840" s="20"/>
      <c r="Z13840" s="20"/>
      <c r="AG13840" s="20"/>
      <c r="AQ13840" s="19"/>
      <c r="AR13840" s="19"/>
      <c r="AS13840" s="19"/>
      <c r="AT13840" s="19"/>
      <c r="AU13840" s="19"/>
    </row>
    <row r="13841" spans="3:47">
      <c r="C13841" s="20"/>
      <c r="Z13841" s="20"/>
      <c r="AG13841" s="20"/>
      <c r="AQ13841" s="19"/>
      <c r="AR13841" s="19"/>
      <c r="AS13841" s="19"/>
      <c r="AT13841" s="19"/>
      <c r="AU13841" s="19"/>
    </row>
    <row r="13842" spans="3:47">
      <c r="C13842" s="20"/>
      <c r="Z13842" s="20"/>
      <c r="AG13842" s="20"/>
      <c r="AQ13842" s="19"/>
      <c r="AR13842" s="19"/>
      <c r="AS13842" s="19"/>
      <c r="AT13842" s="19"/>
      <c r="AU13842" s="19"/>
    </row>
    <row r="13843" spans="3:47">
      <c r="C13843" s="20"/>
      <c r="Z13843" s="20"/>
      <c r="AG13843" s="20"/>
      <c r="AQ13843" s="19"/>
      <c r="AR13843" s="19"/>
      <c r="AS13843" s="19"/>
      <c r="AT13843" s="19"/>
      <c r="AU13843" s="19"/>
    </row>
    <row r="13844" spans="3:47">
      <c r="C13844" s="20"/>
      <c r="Z13844" s="20"/>
      <c r="AG13844" s="20"/>
      <c r="AQ13844" s="19"/>
      <c r="AR13844" s="19"/>
      <c r="AS13844" s="19"/>
      <c r="AT13844" s="19"/>
      <c r="AU13844" s="19"/>
    </row>
    <row r="13845" spans="3:47">
      <c r="C13845" s="20"/>
      <c r="Z13845" s="20"/>
      <c r="AG13845" s="20"/>
      <c r="AQ13845" s="19"/>
      <c r="AR13845" s="19"/>
      <c r="AS13845" s="19"/>
      <c r="AT13845" s="19"/>
      <c r="AU13845" s="19"/>
    </row>
    <row r="13846" spans="3:47">
      <c r="C13846" s="20"/>
      <c r="Z13846" s="20"/>
      <c r="AG13846" s="20"/>
      <c r="AQ13846" s="19"/>
      <c r="AR13846" s="19"/>
      <c r="AS13846" s="19"/>
      <c r="AT13846" s="19"/>
      <c r="AU13846" s="19"/>
    </row>
    <row r="13847" spans="3:47">
      <c r="C13847" s="20"/>
      <c r="Z13847" s="20"/>
      <c r="AG13847" s="20"/>
      <c r="AQ13847" s="19"/>
      <c r="AR13847" s="19"/>
      <c r="AS13847" s="19"/>
      <c r="AT13847" s="19"/>
      <c r="AU13847" s="19"/>
    </row>
    <row r="13848" spans="3:47">
      <c r="C13848" s="20"/>
      <c r="Z13848" s="20"/>
      <c r="AG13848" s="20"/>
      <c r="AQ13848" s="19"/>
      <c r="AR13848" s="19"/>
      <c r="AS13848" s="19"/>
      <c r="AT13848" s="19"/>
      <c r="AU13848" s="19"/>
    </row>
    <row r="13849" spans="3:47">
      <c r="C13849" s="20"/>
      <c r="Z13849" s="20"/>
      <c r="AG13849" s="20"/>
      <c r="AQ13849" s="19"/>
      <c r="AR13849" s="19"/>
      <c r="AS13849" s="19"/>
      <c r="AT13849" s="19"/>
      <c r="AU13849" s="19"/>
    </row>
    <row r="13850" spans="3:47">
      <c r="C13850" s="20"/>
      <c r="Z13850" s="20"/>
      <c r="AG13850" s="20"/>
      <c r="AQ13850" s="19"/>
      <c r="AR13850" s="19"/>
      <c r="AS13850" s="19"/>
      <c r="AT13850" s="19"/>
      <c r="AU13850" s="19"/>
    </row>
    <row r="13851" spans="3:47">
      <c r="C13851" s="20"/>
      <c r="Z13851" s="20"/>
      <c r="AG13851" s="20"/>
      <c r="AQ13851" s="19"/>
      <c r="AR13851" s="19"/>
      <c r="AS13851" s="19"/>
      <c r="AT13851" s="19"/>
      <c r="AU13851" s="19"/>
    </row>
    <row r="13852" spans="3:47">
      <c r="C13852" s="20"/>
      <c r="Z13852" s="20"/>
      <c r="AG13852" s="20"/>
      <c r="AQ13852" s="19"/>
      <c r="AR13852" s="19"/>
      <c r="AS13852" s="19"/>
      <c r="AT13852" s="19"/>
      <c r="AU13852" s="19"/>
    </row>
    <row r="13853" spans="3:47">
      <c r="C13853" s="20"/>
      <c r="Z13853" s="20"/>
      <c r="AG13853" s="20"/>
      <c r="AQ13853" s="19"/>
      <c r="AR13853" s="19"/>
      <c r="AS13853" s="19"/>
      <c r="AT13853" s="19"/>
      <c r="AU13853" s="19"/>
    </row>
    <row r="13854" spans="3:47">
      <c r="C13854" s="20"/>
      <c r="Z13854" s="20"/>
      <c r="AG13854" s="20"/>
      <c r="AQ13854" s="19"/>
      <c r="AR13854" s="19"/>
      <c r="AS13854" s="19"/>
      <c r="AT13854" s="19"/>
      <c r="AU13854" s="19"/>
    </row>
    <row r="13855" spans="3:47">
      <c r="C13855" s="20"/>
      <c r="Z13855" s="20"/>
      <c r="AG13855" s="20"/>
      <c r="AQ13855" s="19"/>
      <c r="AR13855" s="19"/>
      <c r="AS13855" s="19"/>
      <c r="AT13855" s="19"/>
      <c r="AU13855" s="19"/>
    </row>
    <row r="13856" spans="3:47">
      <c r="C13856" s="20"/>
      <c r="Z13856" s="20"/>
      <c r="AG13856" s="20"/>
      <c r="AQ13856" s="19"/>
      <c r="AR13856" s="19"/>
      <c r="AS13856" s="19"/>
      <c r="AT13856" s="19"/>
      <c r="AU13856" s="19"/>
    </row>
    <row r="13857" spans="3:47">
      <c r="C13857" s="20"/>
      <c r="Z13857" s="20"/>
      <c r="AG13857" s="20"/>
      <c r="AQ13857" s="19"/>
      <c r="AR13857" s="19"/>
      <c r="AS13857" s="19"/>
      <c r="AT13857" s="19"/>
      <c r="AU13857" s="19"/>
    </row>
    <row r="13858" spans="3:47">
      <c r="C13858" s="20"/>
      <c r="Z13858" s="20"/>
      <c r="AG13858" s="20"/>
      <c r="AQ13858" s="19"/>
      <c r="AR13858" s="19"/>
      <c r="AS13858" s="19"/>
      <c r="AT13858" s="19"/>
      <c r="AU13858" s="19"/>
    </row>
    <row r="13859" spans="3:47">
      <c r="C13859" s="20"/>
      <c r="Z13859" s="20"/>
      <c r="AG13859" s="20"/>
      <c r="AQ13859" s="19"/>
      <c r="AR13859" s="19"/>
      <c r="AS13859" s="19"/>
      <c r="AT13859" s="19"/>
      <c r="AU13859" s="19"/>
    </row>
    <row r="13860" spans="3:47">
      <c r="C13860" s="20"/>
      <c r="Z13860" s="20"/>
      <c r="AG13860" s="20"/>
      <c r="AQ13860" s="19"/>
      <c r="AR13860" s="19"/>
      <c r="AS13860" s="19"/>
      <c r="AT13860" s="19"/>
      <c r="AU13860" s="19"/>
    </row>
    <row r="13861" spans="3:47">
      <c r="C13861" s="20"/>
      <c r="Z13861" s="20"/>
      <c r="AG13861" s="20"/>
      <c r="AQ13861" s="19"/>
      <c r="AR13861" s="19"/>
      <c r="AS13861" s="19"/>
      <c r="AT13861" s="19"/>
      <c r="AU13861" s="19"/>
    </row>
    <row r="13862" spans="3:47">
      <c r="C13862" s="20"/>
      <c r="Z13862" s="20"/>
      <c r="AG13862" s="20"/>
      <c r="AQ13862" s="19"/>
      <c r="AR13862" s="19"/>
      <c r="AS13862" s="19"/>
      <c r="AT13862" s="19"/>
      <c r="AU13862" s="19"/>
    </row>
    <row r="13863" spans="3:47">
      <c r="C13863" s="20"/>
      <c r="Z13863" s="20"/>
      <c r="AG13863" s="20"/>
      <c r="AQ13863" s="19"/>
      <c r="AR13863" s="19"/>
      <c r="AS13863" s="19"/>
      <c r="AT13863" s="19"/>
      <c r="AU13863" s="19"/>
    </row>
    <row r="13864" spans="3:47">
      <c r="C13864" s="20"/>
      <c r="Z13864" s="20"/>
      <c r="AG13864" s="20"/>
      <c r="AQ13864" s="19"/>
      <c r="AR13864" s="19"/>
      <c r="AS13864" s="19"/>
      <c r="AT13864" s="19"/>
      <c r="AU13864" s="19"/>
    </row>
    <row r="13865" spans="3:47">
      <c r="C13865" s="20"/>
      <c r="Z13865" s="20"/>
      <c r="AG13865" s="20"/>
      <c r="AQ13865" s="19"/>
      <c r="AR13865" s="19"/>
      <c r="AS13865" s="19"/>
      <c r="AT13865" s="19"/>
      <c r="AU13865" s="19"/>
    </row>
    <row r="13866" spans="3:47">
      <c r="C13866" s="20"/>
      <c r="Z13866" s="20"/>
      <c r="AG13866" s="20"/>
      <c r="AQ13866" s="19"/>
      <c r="AR13866" s="19"/>
      <c r="AS13866" s="19"/>
      <c r="AT13866" s="19"/>
      <c r="AU13866" s="19"/>
    </row>
    <row r="13867" spans="3:47">
      <c r="C13867" s="20"/>
      <c r="Z13867" s="20"/>
      <c r="AG13867" s="20"/>
      <c r="AQ13867" s="19"/>
      <c r="AR13867" s="19"/>
      <c r="AS13867" s="19"/>
      <c r="AT13867" s="19"/>
      <c r="AU13867" s="19"/>
    </row>
    <row r="13868" spans="3:47">
      <c r="C13868" s="20"/>
      <c r="Z13868" s="20"/>
      <c r="AG13868" s="20"/>
      <c r="AQ13868" s="19"/>
      <c r="AR13868" s="19"/>
      <c r="AS13868" s="19"/>
      <c r="AT13868" s="19"/>
      <c r="AU13868" s="19"/>
    </row>
    <row r="13869" spans="3:47">
      <c r="C13869" s="20"/>
      <c r="Z13869" s="20"/>
      <c r="AG13869" s="20"/>
      <c r="AQ13869" s="19"/>
      <c r="AR13869" s="19"/>
      <c r="AS13869" s="19"/>
      <c r="AT13869" s="19"/>
      <c r="AU13869" s="19"/>
    </row>
    <row r="13870" spans="3:47">
      <c r="C13870" s="20"/>
      <c r="Z13870" s="20"/>
      <c r="AG13870" s="20"/>
      <c r="AQ13870" s="19"/>
      <c r="AR13870" s="19"/>
      <c r="AS13870" s="19"/>
      <c r="AT13870" s="19"/>
      <c r="AU13870" s="19"/>
    </row>
    <row r="13871" spans="3:47">
      <c r="C13871" s="20"/>
      <c r="Z13871" s="20"/>
      <c r="AG13871" s="20"/>
      <c r="AQ13871" s="19"/>
      <c r="AR13871" s="19"/>
      <c r="AS13871" s="19"/>
      <c r="AT13871" s="19"/>
      <c r="AU13871" s="19"/>
    </row>
    <row r="13872" spans="3:47">
      <c r="C13872" s="20"/>
      <c r="Z13872" s="20"/>
      <c r="AG13872" s="20"/>
      <c r="AQ13872" s="19"/>
      <c r="AR13872" s="19"/>
      <c r="AS13872" s="19"/>
      <c r="AT13872" s="19"/>
      <c r="AU13872" s="19"/>
    </row>
    <row r="13873" spans="3:47">
      <c r="C13873" s="20"/>
      <c r="Z13873" s="20"/>
      <c r="AG13873" s="20"/>
      <c r="AQ13873" s="19"/>
      <c r="AR13873" s="19"/>
      <c r="AS13873" s="19"/>
      <c r="AT13873" s="19"/>
      <c r="AU13873" s="19"/>
    </row>
    <row r="13874" spans="3:47">
      <c r="C13874" s="20"/>
      <c r="Z13874" s="20"/>
      <c r="AG13874" s="20"/>
      <c r="AQ13874" s="19"/>
      <c r="AR13874" s="19"/>
      <c r="AS13874" s="19"/>
      <c r="AT13874" s="19"/>
      <c r="AU13874" s="19"/>
    </row>
    <row r="13875" spans="3:47">
      <c r="C13875" s="20"/>
      <c r="Z13875" s="20"/>
      <c r="AG13875" s="20"/>
      <c r="AQ13875" s="19"/>
      <c r="AR13875" s="19"/>
      <c r="AS13875" s="19"/>
      <c r="AT13875" s="19"/>
      <c r="AU13875" s="19"/>
    </row>
    <row r="13876" spans="3:47">
      <c r="C13876" s="20"/>
      <c r="Z13876" s="20"/>
      <c r="AG13876" s="20"/>
      <c r="AQ13876" s="19"/>
      <c r="AR13876" s="19"/>
      <c r="AS13876" s="19"/>
      <c r="AT13876" s="19"/>
      <c r="AU13876" s="19"/>
    </row>
    <row r="13877" spans="3:47">
      <c r="C13877" s="20"/>
      <c r="Z13877" s="20"/>
      <c r="AG13877" s="20"/>
      <c r="AQ13877" s="19"/>
      <c r="AR13877" s="19"/>
      <c r="AS13877" s="19"/>
      <c r="AT13877" s="19"/>
      <c r="AU13877" s="19"/>
    </row>
    <row r="13878" spans="3:47">
      <c r="C13878" s="20"/>
      <c r="Z13878" s="20"/>
      <c r="AG13878" s="20"/>
      <c r="AQ13878" s="19"/>
      <c r="AR13878" s="19"/>
      <c r="AS13878" s="19"/>
      <c r="AT13878" s="19"/>
      <c r="AU13878" s="19"/>
    </row>
    <row r="13879" spans="3:47">
      <c r="C13879" s="20"/>
      <c r="Z13879" s="20"/>
      <c r="AG13879" s="20"/>
      <c r="AQ13879" s="19"/>
      <c r="AR13879" s="19"/>
      <c r="AS13879" s="19"/>
      <c r="AT13879" s="19"/>
      <c r="AU13879" s="19"/>
    </row>
    <row r="13880" spans="3:47">
      <c r="C13880" s="20"/>
      <c r="Z13880" s="20"/>
      <c r="AG13880" s="20"/>
      <c r="AQ13880" s="19"/>
      <c r="AR13880" s="19"/>
      <c r="AS13880" s="19"/>
      <c r="AT13880" s="19"/>
      <c r="AU13880" s="19"/>
    </row>
    <row r="13881" spans="3:47">
      <c r="C13881" s="20"/>
      <c r="Z13881" s="20"/>
      <c r="AG13881" s="20"/>
      <c r="AQ13881" s="19"/>
      <c r="AR13881" s="19"/>
      <c r="AS13881" s="19"/>
      <c r="AT13881" s="19"/>
      <c r="AU13881" s="19"/>
    </row>
    <row r="13882" spans="3:47">
      <c r="C13882" s="20"/>
      <c r="Z13882" s="20"/>
      <c r="AG13882" s="20"/>
      <c r="AQ13882" s="19"/>
      <c r="AR13882" s="19"/>
      <c r="AS13882" s="19"/>
      <c r="AT13882" s="19"/>
      <c r="AU13882" s="19"/>
    </row>
    <row r="13883" spans="3:47">
      <c r="C13883" s="20"/>
      <c r="Z13883" s="20"/>
      <c r="AG13883" s="20"/>
      <c r="AQ13883" s="19"/>
      <c r="AR13883" s="19"/>
      <c r="AS13883" s="19"/>
      <c r="AT13883" s="19"/>
      <c r="AU13883" s="19"/>
    </row>
    <row r="13884" spans="3:47">
      <c r="C13884" s="20"/>
      <c r="Z13884" s="20"/>
      <c r="AG13884" s="20"/>
      <c r="AQ13884" s="19"/>
      <c r="AR13884" s="19"/>
      <c r="AS13884" s="19"/>
      <c r="AT13884" s="19"/>
      <c r="AU13884" s="19"/>
    </row>
    <row r="13885" spans="3:47">
      <c r="C13885" s="20"/>
      <c r="Z13885" s="20"/>
      <c r="AG13885" s="20"/>
      <c r="AQ13885" s="19"/>
      <c r="AR13885" s="19"/>
      <c r="AS13885" s="19"/>
      <c r="AT13885" s="19"/>
      <c r="AU13885" s="19"/>
    </row>
    <row r="13886" spans="3:47">
      <c r="C13886" s="20"/>
      <c r="Z13886" s="20"/>
      <c r="AG13886" s="20"/>
      <c r="AQ13886" s="19"/>
      <c r="AR13886" s="19"/>
      <c r="AS13886" s="19"/>
      <c r="AT13886" s="19"/>
      <c r="AU13886" s="19"/>
    </row>
    <row r="13887" spans="3:47">
      <c r="C13887" s="20"/>
      <c r="Z13887" s="20"/>
      <c r="AG13887" s="20"/>
      <c r="AQ13887" s="19"/>
      <c r="AR13887" s="19"/>
      <c r="AS13887" s="19"/>
      <c r="AT13887" s="19"/>
      <c r="AU13887" s="19"/>
    </row>
    <row r="13888" spans="3:47">
      <c r="C13888" s="20"/>
      <c r="Z13888" s="20"/>
      <c r="AG13888" s="20"/>
      <c r="AQ13888" s="19"/>
      <c r="AR13888" s="19"/>
      <c r="AS13888" s="19"/>
      <c r="AT13888" s="19"/>
      <c r="AU13888" s="19"/>
    </row>
    <row r="13889" spans="3:47">
      <c r="C13889" s="20"/>
      <c r="Z13889" s="20"/>
      <c r="AG13889" s="20"/>
      <c r="AQ13889" s="19"/>
      <c r="AR13889" s="19"/>
      <c r="AS13889" s="19"/>
      <c r="AT13889" s="19"/>
      <c r="AU13889" s="19"/>
    </row>
    <row r="13890" spans="3:47">
      <c r="C13890" s="20"/>
      <c r="Z13890" s="20"/>
      <c r="AG13890" s="20"/>
      <c r="AQ13890" s="19"/>
      <c r="AR13890" s="19"/>
      <c r="AS13890" s="19"/>
      <c r="AT13890" s="19"/>
      <c r="AU13890" s="19"/>
    </row>
    <row r="13891" spans="3:47">
      <c r="C13891" s="20"/>
      <c r="Z13891" s="20"/>
      <c r="AG13891" s="20"/>
      <c r="AQ13891" s="19"/>
      <c r="AR13891" s="19"/>
      <c r="AS13891" s="19"/>
      <c r="AT13891" s="19"/>
      <c r="AU13891" s="19"/>
    </row>
    <row r="13892" spans="3:47">
      <c r="C13892" s="20"/>
      <c r="Z13892" s="20"/>
      <c r="AG13892" s="20"/>
      <c r="AQ13892" s="19"/>
      <c r="AR13892" s="19"/>
      <c r="AS13892" s="19"/>
      <c r="AT13892" s="19"/>
      <c r="AU13892" s="19"/>
    </row>
    <row r="13893" spans="3:47">
      <c r="C13893" s="20"/>
      <c r="Z13893" s="20"/>
      <c r="AG13893" s="20"/>
      <c r="AQ13893" s="19"/>
      <c r="AR13893" s="19"/>
      <c r="AS13893" s="19"/>
      <c r="AT13893" s="19"/>
      <c r="AU13893" s="19"/>
    </row>
    <row r="13894" spans="3:47">
      <c r="C13894" s="20"/>
      <c r="Z13894" s="20"/>
      <c r="AG13894" s="20"/>
      <c r="AQ13894" s="19"/>
      <c r="AR13894" s="19"/>
      <c r="AS13894" s="19"/>
      <c r="AT13894" s="19"/>
      <c r="AU13894" s="19"/>
    </row>
    <row r="13895" spans="3:47">
      <c r="C13895" s="20"/>
      <c r="Z13895" s="20"/>
      <c r="AG13895" s="20"/>
      <c r="AQ13895" s="19"/>
      <c r="AR13895" s="19"/>
      <c r="AS13895" s="19"/>
      <c r="AT13895" s="19"/>
      <c r="AU13895" s="19"/>
    </row>
    <row r="13896" spans="3:47">
      <c r="C13896" s="20"/>
      <c r="Z13896" s="20"/>
      <c r="AG13896" s="20"/>
      <c r="AQ13896" s="19"/>
      <c r="AR13896" s="19"/>
      <c r="AS13896" s="19"/>
      <c r="AT13896" s="19"/>
      <c r="AU13896" s="19"/>
    </row>
    <row r="13897" spans="3:47">
      <c r="C13897" s="20"/>
      <c r="Z13897" s="20"/>
      <c r="AG13897" s="20"/>
      <c r="AQ13897" s="19"/>
      <c r="AR13897" s="19"/>
      <c r="AS13897" s="19"/>
      <c r="AT13897" s="19"/>
      <c r="AU13897" s="19"/>
    </row>
    <row r="13898" spans="3:47">
      <c r="C13898" s="20"/>
      <c r="Z13898" s="20"/>
      <c r="AG13898" s="20"/>
      <c r="AQ13898" s="19"/>
      <c r="AR13898" s="19"/>
      <c r="AS13898" s="19"/>
      <c r="AT13898" s="19"/>
      <c r="AU13898" s="19"/>
    </row>
    <row r="13899" spans="3:47">
      <c r="C13899" s="20"/>
      <c r="Z13899" s="20"/>
      <c r="AG13899" s="20"/>
      <c r="AQ13899" s="19"/>
      <c r="AR13899" s="19"/>
      <c r="AS13899" s="19"/>
      <c r="AT13899" s="19"/>
      <c r="AU13899" s="19"/>
    </row>
    <row r="13900" spans="3:47">
      <c r="C13900" s="20"/>
      <c r="Z13900" s="20"/>
      <c r="AG13900" s="20"/>
      <c r="AQ13900" s="19"/>
      <c r="AR13900" s="19"/>
      <c r="AS13900" s="19"/>
      <c r="AT13900" s="19"/>
      <c r="AU13900" s="19"/>
    </row>
    <row r="13901" spans="3:47">
      <c r="C13901" s="20"/>
      <c r="Z13901" s="20"/>
      <c r="AG13901" s="20"/>
      <c r="AQ13901" s="19"/>
      <c r="AR13901" s="19"/>
      <c r="AS13901" s="19"/>
      <c r="AT13901" s="19"/>
      <c r="AU13901" s="19"/>
    </row>
    <row r="13902" spans="3:47">
      <c r="C13902" s="20"/>
      <c r="Z13902" s="20"/>
      <c r="AG13902" s="20"/>
      <c r="AQ13902" s="19"/>
      <c r="AR13902" s="19"/>
      <c r="AS13902" s="19"/>
      <c r="AT13902" s="19"/>
      <c r="AU13902" s="19"/>
    </row>
    <row r="13903" spans="3:47">
      <c r="C13903" s="20"/>
      <c r="Z13903" s="20"/>
      <c r="AG13903" s="20"/>
      <c r="AQ13903" s="19"/>
      <c r="AR13903" s="19"/>
      <c r="AS13903" s="19"/>
      <c r="AT13903" s="19"/>
      <c r="AU13903" s="19"/>
    </row>
    <row r="13904" spans="3:47">
      <c r="C13904" s="20"/>
      <c r="Z13904" s="20"/>
      <c r="AG13904" s="20"/>
      <c r="AQ13904" s="19"/>
      <c r="AR13904" s="19"/>
      <c r="AS13904" s="19"/>
      <c r="AT13904" s="19"/>
      <c r="AU13904" s="19"/>
    </row>
    <row r="13905" spans="3:47">
      <c r="C13905" s="20"/>
      <c r="Z13905" s="20"/>
      <c r="AG13905" s="20"/>
      <c r="AQ13905" s="19"/>
      <c r="AR13905" s="19"/>
      <c r="AS13905" s="19"/>
      <c r="AT13905" s="19"/>
      <c r="AU13905" s="19"/>
    </row>
    <row r="13906" spans="3:47">
      <c r="C13906" s="20"/>
      <c r="Z13906" s="20"/>
      <c r="AG13906" s="20"/>
      <c r="AQ13906" s="19"/>
      <c r="AR13906" s="19"/>
      <c r="AS13906" s="19"/>
      <c r="AT13906" s="19"/>
      <c r="AU13906" s="19"/>
    </row>
    <row r="13907" spans="3:47">
      <c r="C13907" s="20"/>
      <c r="Z13907" s="20"/>
      <c r="AG13907" s="20"/>
      <c r="AQ13907" s="19"/>
      <c r="AR13907" s="19"/>
      <c r="AS13907" s="19"/>
      <c r="AT13907" s="19"/>
      <c r="AU13907" s="19"/>
    </row>
    <row r="13908" spans="3:47">
      <c r="C13908" s="20"/>
      <c r="Z13908" s="20"/>
      <c r="AG13908" s="20"/>
      <c r="AQ13908" s="19"/>
      <c r="AR13908" s="19"/>
      <c r="AS13908" s="19"/>
      <c r="AT13908" s="19"/>
      <c r="AU13908" s="19"/>
    </row>
    <row r="13909" spans="3:47">
      <c r="C13909" s="20"/>
      <c r="Z13909" s="20"/>
      <c r="AG13909" s="20"/>
      <c r="AQ13909" s="19"/>
      <c r="AR13909" s="19"/>
      <c r="AS13909" s="19"/>
      <c r="AT13909" s="19"/>
      <c r="AU13909" s="19"/>
    </row>
    <row r="13910" spans="3:47">
      <c r="C13910" s="20"/>
      <c r="Z13910" s="20"/>
      <c r="AG13910" s="20"/>
      <c r="AQ13910" s="19"/>
      <c r="AR13910" s="19"/>
      <c r="AS13910" s="19"/>
      <c r="AT13910" s="19"/>
      <c r="AU13910" s="19"/>
    </row>
    <row r="13911" spans="3:47">
      <c r="C13911" s="20"/>
      <c r="Z13911" s="20"/>
      <c r="AG13911" s="20"/>
      <c r="AQ13911" s="19"/>
      <c r="AR13911" s="19"/>
      <c r="AS13911" s="19"/>
      <c r="AT13911" s="19"/>
      <c r="AU13911" s="19"/>
    </row>
    <row r="13912" spans="3:47">
      <c r="C13912" s="20"/>
      <c r="Z13912" s="20"/>
      <c r="AG13912" s="20"/>
      <c r="AQ13912" s="19"/>
      <c r="AR13912" s="19"/>
      <c r="AS13912" s="19"/>
      <c r="AT13912" s="19"/>
      <c r="AU13912" s="19"/>
    </row>
    <row r="13913" spans="3:47">
      <c r="C13913" s="20"/>
      <c r="Z13913" s="20"/>
      <c r="AG13913" s="20"/>
      <c r="AQ13913" s="19"/>
      <c r="AR13913" s="19"/>
      <c r="AS13913" s="19"/>
      <c r="AT13913" s="19"/>
      <c r="AU13913" s="19"/>
    </row>
    <row r="13914" spans="3:47">
      <c r="C13914" s="20"/>
      <c r="Z13914" s="20"/>
      <c r="AG13914" s="20"/>
      <c r="AQ13914" s="19"/>
      <c r="AR13914" s="19"/>
      <c r="AS13914" s="19"/>
      <c r="AT13914" s="19"/>
      <c r="AU13914" s="19"/>
    </row>
    <row r="13915" spans="3:47">
      <c r="C13915" s="20"/>
      <c r="Z13915" s="20"/>
      <c r="AG13915" s="20"/>
      <c r="AQ13915" s="19"/>
      <c r="AR13915" s="19"/>
      <c r="AS13915" s="19"/>
      <c r="AT13915" s="19"/>
      <c r="AU13915" s="19"/>
    </row>
    <row r="13916" spans="3:47">
      <c r="C13916" s="20"/>
      <c r="Z13916" s="20"/>
      <c r="AG13916" s="20"/>
      <c r="AQ13916" s="19"/>
      <c r="AR13916" s="19"/>
      <c r="AS13916" s="19"/>
      <c r="AT13916" s="19"/>
      <c r="AU13916" s="19"/>
    </row>
    <row r="13917" spans="3:47">
      <c r="C13917" s="20"/>
      <c r="Z13917" s="20"/>
      <c r="AG13917" s="20"/>
      <c r="AQ13917" s="19"/>
      <c r="AR13917" s="19"/>
      <c r="AS13917" s="19"/>
      <c r="AT13917" s="19"/>
      <c r="AU13917" s="19"/>
    </row>
    <row r="13918" spans="3:47">
      <c r="C13918" s="20"/>
      <c r="Z13918" s="20"/>
      <c r="AG13918" s="20"/>
      <c r="AQ13918" s="19"/>
      <c r="AR13918" s="19"/>
      <c r="AS13918" s="19"/>
      <c r="AT13918" s="19"/>
      <c r="AU13918" s="19"/>
    </row>
    <row r="13919" spans="3:47">
      <c r="C13919" s="20"/>
      <c r="Z13919" s="20"/>
      <c r="AG13919" s="20"/>
      <c r="AQ13919" s="19"/>
      <c r="AR13919" s="19"/>
      <c r="AS13919" s="19"/>
      <c r="AT13919" s="19"/>
      <c r="AU13919" s="19"/>
    </row>
    <row r="13920" spans="3:47">
      <c r="C13920" s="20"/>
      <c r="Z13920" s="20"/>
      <c r="AG13920" s="20"/>
      <c r="AQ13920" s="19"/>
      <c r="AR13920" s="19"/>
      <c r="AS13920" s="19"/>
      <c r="AT13920" s="19"/>
      <c r="AU13920" s="19"/>
    </row>
    <row r="13921" spans="3:47">
      <c r="C13921" s="20"/>
      <c r="Z13921" s="20"/>
      <c r="AG13921" s="20"/>
      <c r="AQ13921" s="19"/>
      <c r="AR13921" s="19"/>
      <c r="AS13921" s="19"/>
      <c r="AT13921" s="19"/>
      <c r="AU13921" s="19"/>
    </row>
    <row r="13922" spans="3:47">
      <c r="C13922" s="20"/>
      <c r="Z13922" s="20"/>
      <c r="AG13922" s="20"/>
      <c r="AQ13922" s="19"/>
      <c r="AR13922" s="19"/>
      <c r="AS13922" s="19"/>
      <c r="AT13922" s="19"/>
      <c r="AU13922" s="19"/>
    </row>
    <row r="13923" spans="3:47">
      <c r="C13923" s="20"/>
      <c r="Z13923" s="20"/>
      <c r="AG13923" s="20"/>
      <c r="AQ13923" s="19"/>
      <c r="AR13923" s="19"/>
      <c r="AS13923" s="19"/>
      <c r="AT13923" s="19"/>
      <c r="AU13923" s="19"/>
    </row>
    <row r="13924" spans="3:47">
      <c r="C13924" s="20"/>
      <c r="Z13924" s="20"/>
      <c r="AG13924" s="20"/>
      <c r="AQ13924" s="19"/>
      <c r="AR13924" s="19"/>
      <c r="AS13924" s="19"/>
      <c r="AT13924" s="19"/>
      <c r="AU13924" s="19"/>
    </row>
    <row r="13925" spans="3:47">
      <c r="C13925" s="20"/>
      <c r="Z13925" s="20"/>
      <c r="AG13925" s="20"/>
      <c r="AQ13925" s="19"/>
      <c r="AR13925" s="19"/>
      <c r="AS13925" s="19"/>
      <c r="AT13925" s="19"/>
      <c r="AU13925" s="19"/>
    </row>
    <row r="13926" spans="3:47">
      <c r="C13926" s="20"/>
      <c r="Z13926" s="20"/>
      <c r="AG13926" s="20"/>
      <c r="AQ13926" s="19"/>
      <c r="AR13926" s="19"/>
      <c r="AS13926" s="19"/>
      <c r="AT13926" s="19"/>
      <c r="AU13926" s="19"/>
    </row>
    <row r="13927" spans="3:47">
      <c r="C13927" s="20"/>
      <c r="Z13927" s="20"/>
      <c r="AG13927" s="20"/>
      <c r="AQ13927" s="19"/>
      <c r="AR13927" s="19"/>
      <c r="AS13927" s="19"/>
      <c r="AT13927" s="19"/>
      <c r="AU13927" s="19"/>
    </row>
    <row r="13928" spans="3:47">
      <c r="C13928" s="20"/>
      <c r="Z13928" s="20"/>
      <c r="AG13928" s="20"/>
      <c r="AQ13928" s="19"/>
      <c r="AR13928" s="19"/>
      <c r="AS13928" s="19"/>
      <c r="AT13928" s="19"/>
      <c r="AU13928" s="19"/>
    </row>
    <row r="13929" spans="3:47">
      <c r="C13929" s="20"/>
      <c r="Z13929" s="20"/>
      <c r="AG13929" s="20"/>
      <c r="AQ13929" s="19"/>
      <c r="AR13929" s="19"/>
      <c r="AS13929" s="19"/>
      <c r="AT13929" s="19"/>
      <c r="AU13929" s="19"/>
    </row>
    <row r="13930" spans="3:47">
      <c r="C13930" s="20"/>
      <c r="Z13930" s="20"/>
      <c r="AG13930" s="20"/>
      <c r="AQ13930" s="19"/>
      <c r="AR13930" s="19"/>
      <c r="AS13930" s="19"/>
      <c r="AT13930" s="19"/>
      <c r="AU13930" s="19"/>
    </row>
    <row r="13931" spans="3:47">
      <c r="C13931" s="20"/>
      <c r="Z13931" s="20"/>
      <c r="AG13931" s="20"/>
      <c r="AQ13931" s="19"/>
      <c r="AR13931" s="19"/>
      <c r="AS13931" s="19"/>
      <c r="AT13931" s="19"/>
      <c r="AU13931" s="19"/>
    </row>
    <row r="13932" spans="3:47">
      <c r="C13932" s="20"/>
      <c r="Z13932" s="20"/>
      <c r="AG13932" s="20"/>
      <c r="AQ13932" s="19"/>
      <c r="AR13932" s="19"/>
      <c r="AS13932" s="19"/>
      <c r="AT13932" s="19"/>
      <c r="AU13932" s="19"/>
    </row>
    <row r="13933" spans="3:47">
      <c r="C13933" s="20"/>
      <c r="Z13933" s="20"/>
      <c r="AG13933" s="20"/>
      <c r="AQ13933" s="19"/>
      <c r="AR13933" s="19"/>
      <c r="AS13933" s="19"/>
      <c r="AT13933" s="19"/>
      <c r="AU13933" s="19"/>
    </row>
    <row r="13934" spans="3:47">
      <c r="C13934" s="20"/>
      <c r="Z13934" s="20"/>
      <c r="AG13934" s="20"/>
      <c r="AQ13934" s="19"/>
      <c r="AR13934" s="19"/>
      <c r="AS13934" s="19"/>
      <c r="AT13934" s="19"/>
      <c r="AU13934" s="19"/>
    </row>
    <row r="13935" spans="3:47">
      <c r="C13935" s="20"/>
      <c r="Z13935" s="20"/>
      <c r="AG13935" s="20"/>
      <c r="AQ13935" s="19"/>
      <c r="AR13935" s="19"/>
      <c r="AS13935" s="19"/>
      <c r="AT13935" s="19"/>
      <c r="AU13935" s="19"/>
    </row>
    <row r="13936" spans="3:47">
      <c r="C13936" s="20"/>
      <c r="Z13936" s="20"/>
      <c r="AG13936" s="20"/>
      <c r="AQ13936" s="19"/>
      <c r="AR13936" s="19"/>
      <c r="AS13936" s="19"/>
      <c r="AT13936" s="19"/>
      <c r="AU13936" s="19"/>
    </row>
    <row r="13937" spans="3:47">
      <c r="C13937" s="20"/>
      <c r="Z13937" s="20"/>
      <c r="AG13937" s="20"/>
      <c r="AQ13937" s="19"/>
      <c r="AR13937" s="19"/>
      <c r="AS13937" s="19"/>
      <c r="AT13937" s="19"/>
      <c r="AU13937" s="19"/>
    </row>
    <row r="13938" spans="3:47">
      <c r="C13938" s="20"/>
      <c r="Z13938" s="20"/>
      <c r="AG13938" s="20"/>
      <c r="AQ13938" s="19"/>
      <c r="AR13938" s="19"/>
      <c r="AS13938" s="19"/>
      <c r="AT13938" s="19"/>
      <c r="AU13938" s="19"/>
    </row>
    <row r="13939" spans="3:47">
      <c r="C13939" s="20"/>
      <c r="Z13939" s="20"/>
      <c r="AG13939" s="20"/>
      <c r="AQ13939" s="19"/>
      <c r="AR13939" s="19"/>
      <c r="AS13939" s="19"/>
      <c r="AT13939" s="19"/>
      <c r="AU13939" s="19"/>
    </row>
    <row r="13940" spans="3:47">
      <c r="C13940" s="20"/>
      <c r="Z13940" s="20"/>
      <c r="AG13940" s="20"/>
      <c r="AQ13940" s="19"/>
      <c r="AR13940" s="19"/>
      <c r="AS13940" s="19"/>
      <c r="AT13940" s="19"/>
      <c r="AU13940" s="19"/>
    </row>
    <row r="13941" spans="3:47">
      <c r="C13941" s="20"/>
      <c r="Z13941" s="20"/>
      <c r="AG13941" s="20"/>
      <c r="AQ13941" s="19"/>
      <c r="AR13941" s="19"/>
      <c r="AS13941" s="19"/>
      <c r="AT13941" s="19"/>
      <c r="AU13941" s="19"/>
    </row>
    <row r="13942" spans="3:47">
      <c r="C13942" s="20"/>
      <c r="Z13942" s="20"/>
      <c r="AG13942" s="20"/>
      <c r="AQ13942" s="19"/>
      <c r="AR13942" s="19"/>
      <c r="AS13942" s="19"/>
      <c r="AT13942" s="19"/>
      <c r="AU13942" s="19"/>
    </row>
    <row r="13943" spans="3:47">
      <c r="C13943" s="20"/>
      <c r="Z13943" s="20"/>
      <c r="AG13943" s="20"/>
      <c r="AQ13943" s="19"/>
      <c r="AR13943" s="19"/>
      <c r="AS13943" s="19"/>
      <c r="AT13943" s="19"/>
      <c r="AU13943" s="19"/>
    </row>
    <row r="13944" spans="3:47">
      <c r="C13944" s="20"/>
      <c r="Z13944" s="20"/>
      <c r="AG13944" s="20"/>
      <c r="AQ13944" s="19"/>
      <c r="AR13944" s="19"/>
      <c r="AS13944" s="19"/>
      <c r="AT13944" s="19"/>
      <c r="AU13944" s="19"/>
    </row>
    <row r="13945" spans="3:47">
      <c r="C13945" s="20"/>
      <c r="Z13945" s="20"/>
      <c r="AG13945" s="20"/>
      <c r="AQ13945" s="19"/>
      <c r="AR13945" s="19"/>
      <c r="AS13945" s="19"/>
      <c r="AT13945" s="19"/>
      <c r="AU13945" s="19"/>
    </row>
    <row r="13946" spans="3:47">
      <c r="C13946" s="20"/>
      <c r="Z13946" s="20"/>
      <c r="AG13946" s="20"/>
      <c r="AQ13946" s="19"/>
      <c r="AR13946" s="19"/>
      <c r="AS13946" s="19"/>
      <c r="AT13946" s="19"/>
      <c r="AU13946" s="19"/>
    </row>
    <row r="13947" spans="3:47">
      <c r="C13947" s="20"/>
      <c r="Z13947" s="20"/>
      <c r="AG13947" s="20"/>
      <c r="AQ13947" s="19"/>
      <c r="AR13947" s="19"/>
      <c r="AS13947" s="19"/>
      <c r="AT13947" s="19"/>
      <c r="AU13947" s="19"/>
    </row>
    <row r="13948" spans="3:47">
      <c r="C13948" s="20"/>
      <c r="Z13948" s="20"/>
      <c r="AG13948" s="20"/>
      <c r="AQ13948" s="19"/>
      <c r="AR13948" s="19"/>
      <c r="AS13948" s="19"/>
      <c r="AT13948" s="19"/>
      <c r="AU13948" s="19"/>
    </row>
    <row r="13949" spans="3:47">
      <c r="C13949" s="20"/>
      <c r="Z13949" s="20"/>
      <c r="AG13949" s="20"/>
      <c r="AQ13949" s="19"/>
      <c r="AR13949" s="19"/>
      <c r="AS13949" s="19"/>
      <c r="AT13949" s="19"/>
      <c r="AU13949" s="19"/>
    </row>
    <row r="13950" spans="3:47">
      <c r="C13950" s="20"/>
      <c r="Z13950" s="20"/>
      <c r="AG13950" s="20"/>
      <c r="AQ13950" s="19"/>
      <c r="AR13950" s="19"/>
      <c r="AS13950" s="19"/>
      <c r="AT13950" s="19"/>
      <c r="AU13950" s="19"/>
    </row>
    <row r="13951" spans="3:47">
      <c r="C13951" s="20"/>
      <c r="Z13951" s="20"/>
      <c r="AG13951" s="20"/>
      <c r="AQ13951" s="19"/>
      <c r="AR13951" s="19"/>
      <c r="AS13951" s="19"/>
      <c r="AT13951" s="19"/>
      <c r="AU13951" s="19"/>
    </row>
    <row r="13952" spans="3:47">
      <c r="C13952" s="20"/>
      <c r="Z13952" s="20"/>
      <c r="AG13952" s="20"/>
      <c r="AQ13952" s="19"/>
      <c r="AR13952" s="19"/>
      <c r="AS13952" s="19"/>
      <c r="AT13952" s="19"/>
      <c r="AU13952" s="19"/>
    </row>
    <row r="13953" spans="3:47">
      <c r="C13953" s="20"/>
      <c r="Z13953" s="20"/>
      <c r="AG13953" s="20"/>
      <c r="AQ13953" s="19"/>
      <c r="AR13953" s="19"/>
      <c r="AS13953" s="19"/>
      <c r="AT13953" s="19"/>
      <c r="AU13953" s="19"/>
    </row>
    <row r="13954" spans="3:47">
      <c r="C13954" s="20"/>
      <c r="Z13954" s="20"/>
      <c r="AG13954" s="20"/>
      <c r="AQ13954" s="19"/>
      <c r="AR13954" s="19"/>
      <c r="AS13954" s="19"/>
      <c r="AT13954" s="19"/>
      <c r="AU13954" s="19"/>
    </row>
    <row r="13955" spans="3:47">
      <c r="C13955" s="20"/>
      <c r="Z13955" s="20"/>
      <c r="AG13955" s="20"/>
      <c r="AQ13955" s="19"/>
      <c r="AR13955" s="19"/>
      <c r="AS13955" s="19"/>
      <c r="AT13955" s="19"/>
      <c r="AU13955" s="19"/>
    </row>
    <row r="13956" spans="3:47">
      <c r="C13956" s="20"/>
      <c r="Z13956" s="20"/>
      <c r="AG13956" s="20"/>
      <c r="AQ13956" s="19"/>
      <c r="AR13956" s="19"/>
      <c r="AS13956" s="19"/>
      <c r="AT13956" s="19"/>
      <c r="AU13956" s="19"/>
    </row>
    <row r="13957" spans="3:47">
      <c r="C13957" s="20"/>
      <c r="Z13957" s="20"/>
      <c r="AG13957" s="20"/>
      <c r="AQ13957" s="19"/>
      <c r="AR13957" s="19"/>
      <c r="AS13957" s="19"/>
      <c r="AT13957" s="19"/>
      <c r="AU13957" s="19"/>
    </row>
    <row r="13958" spans="3:47">
      <c r="C13958" s="20"/>
      <c r="Z13958" s="20"/>
      <c r="AG13958" s="20"/>
      <c r="AQ13958" s="19"/>
      <c r="AR13958" s="19"/>
      <c r="AS13958" s="19"/>
      <c r="AT13958" s="19"/>
      <c r="AU13958" s="19"/>
    </row>
    <row r="13959" spans="3:47">
      <c r="C13959" s="20"/>
      <c r="Z13959" s="20"/>
      <c r="AG13959" s="20"/>
      <c r="AQ13959" s="19"/>
      <c r="AR13959" s="19"/>
      <c r="AS13959" s="19"/>
      <c r="AT13959" s="19"/>
      <c r="AU13959" s="19"/>
    </row>
    <row r="13960" spans="3:47">
      <c r="C13960" s="20"/>
      <c r="Z13960" s="20"/>
      <c r="AG13960" s="20"/>
      <c r="AQ13960" s="19"/>
      <c r="AR13960" s="19"/>
      <c r="AS13960" s="19"/>
      <c r="AT13960" s="19"/>
      <c r="AU13960" s="19"/>
    </row>
    <row r="13961" spans="3:47">
      <c r="C13961" s="20"/>
      <c r="Z13961" s="20"/>
      <c r="AG13961" s="20"/>
      <c r="AQ13961" s="19"/>
      <c r="AR13961" s="19"/>
      <c r="AS13961" s="19"/>
      <c r="AT13961" s="19"/>
      <c r="AU13961" s="19"/>
    </row>
    <row r="13962" spans="3:47">
      <c r="C13962" s="20"/>
      <c r="Z13962" s="20"/>
      <c r="AG13962" s="20"/>
      <c r="AQ13962" s="19"/>
      <c r="AR13962" s="19"/>
      <c r="AS13962" s="19"/>
      <c r="AT13962" s="19"/>
      <c r="AU13962" s="19"/>
    </row>
    <row r="13963" spans="3:47">
      <c r="C13963" s="20"/>
      <c r="Z13963" s="20"/>
      <c r="AG13963" s="20"/>
      <c r="AQ13963" s="19"/>
      <c r="AR13963" s="19"/>
      <c r="AS13963" s="19"/>
      <c r="AT13963" s="19"/>
      <c r="AU13963" s="19"/>
    </row>
    <row r="13964" spans="3:47">
      <c r="C13964" s="20"/>
      <c r="Z13964" s="20"/>
      <c r="AG13964" s="20"/>
      <c r="AQ13964" s="19"/>
      <c r="AR13964" s="19"/>
      <c r="AS13964" s="19"/>
      <c r="AT13964" s="19"/>
      <c r="AU13964" s="19"/>
    </row>
    <row r="13965" spans="3:47">
      <c r="C13965" s="20"/>
      <c r="Z13965" s="20"/>
      <c r="AG13965" s="20"/>
      <c r="AQ13965" s="19"/>
      <c r="AR13965" s="19"/>
      <c r="AS13965" s="19"/>
      <c r="AT13965" s="19"/>
      <c r="AU13965" s="19"/>
    </row>
    <row r="13966" spans="3:47">
      <c r="C13966" s="20"/>
      <c r="Z13966" s="20"/>
      <c r="AG13966" s="20"/>
      <c r="AQ13966" s="19"/>
      <c r="AR13966" s="19"/>
      <c r="AS13966" s="19"/>
      <c r="AT13966" s="19"/>
      <c r="AU13966" s="19"/>
    </row>
    <row r="13967" spans="3:47">
      <c r="C13967" s="20"/>
      <c r="Z13967" s="20"/>
      <c r="AG13967" s="20"/>
      <c r="AQ13967" s="19"/>
      <c r="AR13967" s="19"/>
      <c r="AS13967" s="19"/>
      <c r="AT13967" s="19"/>
      <c r="AU13967" s="19"/>
    </row>
    <row r="13968" spans="3:47">
      <c r="C13968" s="20"/>
      <c r="Z13968" s="20"/>
      <c r="AG13968" s="20"/>
      <c r="AQ13968" s="19"/>
      <c r="AR13968" s="19"/>
      <c r="AS13968" s="19"/>
      <c r="AT13968" s="19"/>
      <c r="AU13968" s="19"/>
    </row>
    <row r="13969" spans="3:47">
      <c r="C13969" s="20"/>
      <c r="Z13969" s="20"/>
      <c r="AG13969" s="20"/>
      <c r="AQ13969" s="19"/>
      <c r="AR13969" s="19"/>
      <c r="AS13969" s="19"/>
      <c r="AT13969" s="19"/>
      <c r="AU13969" s="19"/>
    </row>
    <row r="13970" spans="3:47">
      <c r="C13970" s="20"/>
      <c r="Z13970" s="20"/>
      <c r="AG13970" s="20"/>
      <c r="AQ13970" s="19"/>
      <c r="AR13970" s="19"/>
      <c r="AS13970" s="19"/>
      <c r="AT13970" s="19"/>
      <c r="AU13970" s="19"/>
    </row>
    <row r="13971" spans="3:47">
      <c r="C13971" s="20"/>
      <c r="Z13971" s="20"/>
      <c r="AG13971" s="20"/>
      <c r="AQ13971" s="19"/>
      <c r="AR13971" s="19"/>
      <c r="AS13971" s="19"/>
      <c r="AT13971" s="19"/>
      <c r="AU13971" s="19"/>
    </row>
    <row r="13972" spans="3:47">
      <c r="C13972" s="20"/>
      <c r="Z13972" s="20"/>
      <c r="AG13972" s="20"/>
      <c r="AQ13972" s="19"/>
      <c r="AR13972" s="19"/>
      <c r="AS13972" s="19"/>
      <c r="AT13972" s="19"/>
      <c r="AU13972" s="19"/>
    </row>
    <row r="13973" spans="3:47">
      <c r="C13973" s="20"/>
      <c r="Z13973" s="20"/>
      <c r="AG13973" s="20"/>
      <c r="AQ13973" s="19"/>
      <c r="AR13973" s="19"/>
      <c r="AS13973" s="19"/>
      <c r="AT13973" s="19"/>
      <c r="AU13973" s="19"/>
    </row>
    <row r="13974" spans="3:47">
      <c r="C13974" s="20"/>
      <c r="Z13974" s="20"/>
      <c r="AG13974" s="20"/>
      <c r="AQ13974" s="19"/>
      <c r="AR13974" s="19"/>
      <c r="AS13974" s="19"/>
      <c r="AT13974" s="19"/>
      <c r="AU13974" s="19"/>
    </row>
    <row r="13975" spans="3:47">
      <c r="C13975" s="20"/>
      <c r="Z13975" s="20"/>
      <c r="AG13975" s="20"/>
      <c r="AQ13975" s="19"/>
      <c r="AR13975" s="19"/>
      <c r="AS13975" s="19"/>
      <c r="AT13975" s="19"/>
      <c r="AU13975" s="19"/>
    </row>
    <row r="13976" spans="3:47">
      <c r="C13976" s="20"/>
      <c r="Z13976" s="20"/>
      <c r="AG13976" s="20"/>
      <c r="AQ13976" s="19"/>
      <c r="AR13976" s="19"/>
      <c r="AS13976" s="19"/>
      <c r="AT13976" s="19"/>
      <c r="AU13976" s="19"/>
    </row>
    <row r="13977" spans="3:47">
      <c r="C13977" s="20"/>
      <c r="Z13977" s="20"/>
      <c r="AG13977" s="20"/>
      <c r="AQ13977" s="19"/>
      <c r="AR13977" s="19"/>
      <c r="AS13977" s="19"/>
      <c r="AT13977" s="19"/>
      <c r="AU13977" s="19"/>
    </row>
    <row r="13978" spans="3:47">
      <c r="C13978" s="20"/>
      <c r="Z13978" s="20"/>
      <c r="AG13978" s="20"/>
      <c r="AQ13978" s="19"/>
      <c r="AR13978" s="19"/>
      <c r="AS13978" s="19"/>
      <c r="AT13978" s="19"/>
      <c r="AU13978" s="19"/>
    </row>
    <row r="13979" spans="3:47">
      <c r="C13979" s="20"/>
      <c r="Z13979" s="20"/>
      <c r="AG13979" s="20"/>
      <c r="AQ13979" s="19"/>
      <c r="AR13979" s="19"/>
      <c r="AS13979" s="19"/>
      <c r="AT13979" s="19"/>
      <c r="AU13979" s="19"/>
    </row>
    <row r="13980" spans="3:47">
      <c r="C13980" s="20"/>
      <c r="Z13980" s="20"/>
      <c r="AG13980" s="20"/>
      <c r="AQ13980" s="19"/>
      <c r="AR13980" s="19"/>
      <c r="AS13980" s="19"/>
      <c r="AT13980" s="19"/>
      <c r="AU13980" s="19"/>
    </row>
    <row r="13981" spans="3:47">
      <c r="C13981" s="20"/>
      <c r="Z13981" s="20"/>
      <c r="AG13981" s="20"/>
      <c r="AQ13981" s="19"/>
      <c r="AR13981" s="19"/>
      <c r="AS13981" s="19"/>
      <c r="AT13981" s="19"/>
      <c r="AU13981" s="19"/>
    </row>
    <row r="13982" spans="3:47">
      <c r="C13982" s="20"/>
      <c r="Z13982" s="20"/>
      <c r="AG13982" s="20"/>
      <c r="AQ13982" s="19"/>
      <c r="AR13982" s="19"/>
      <c r="AS13982" s="19"/>
      <c r="AT13982" s="19"/>
      <c r="AU13982" s="19"/>
    </row>
    <row r="13983" spans="3:47">
      <c r="C13983" s="20"/>
      <c r="Z13983" s="20"/>
      <c r="AG13983" s="20"/>
      <c r="AQ13983" s="19"/>
      <c r="AR13983" s="19"/>
      <c r="AS13983" s="19"/>
      <c r="AT13983" s="19"/>
      <c r="AU13983" s="19"/>
    </row>
    <row r="13984" spans="3:47">
      <c r="C13984" s="20"/>
      <c r="Z13984" s="20"/>
      <c r="AG13984" s="20"/>
      <c r="AQ13984" s="19"/>
      <c r="AR13984" s="19"/>
      <c r="AS13984" s="19"/>
      <c r="AT13984" s="19"/>
      <c r="AU13984" s="19"/>
    </row>
    <row r="13985" spans="3:47">
      <c r="C13985" s="20"/>
      <c r="Z13985" s="20"/>
      <c r="AG13985" s="20"/>
      <c r="AQ13985" s="19"/>
      <c r="AR13985" s="19"/>
      <c r="AS13985" s="19"/>
      <c r="AT13985" s="19"/>
      <c r="AU13985" s="19"/>
    </row>
    <row r="13986" spans="3:47">
      <c r="C13986" s="20"/>
      <c r="Z13986" s="20"/>
      <c r="AG13986" s="20"/>
      <c r="AQ13986" s="19"/>
      <c r="AR13986" s="19"/>
      <c r="AS13986" s="19"/>
      <c r="AT13986" s="19"/>
      <c r="AU13986" s="19"/>
    </row>
    <row r="13987" spans="3:47">
      <c r="C13987" s="20"/>
      <c r="Z13987" s="20"/>
      <c r="AG13987" s="20"/>
      <c r="AQ13987" s="19"/>
      <c r="AR13987" s="19"/>
      <c r="AS13987" s="19"/>
      <c r="AT13987" s="19"/>
      <c r="AU13987" s="19"/>
    </row>
    <row r="13988" spans="3:47">
      <c r="C13988" s="20"/>
      <c r="Z13988" s="20"/>
      <c r="AG13988" s="20"/>
      <c r="AQ13988" s="19"/>
      <c r="AR13988" s="19"/>
      <c r="AS13988" s="19"/>
      <c r="AT13988" s="19"/>
      <c r="AU13988" s="19"/>
    </row>
    <row r="13989" spans="3:47">
      <c r="C13989" s="20"/>
      <c r="Z13989" s="20"/>
      <c r="AG13989" s="20"/>
      <c r="AQ13989" s="19"/>
      <c r="AR13989" s="19"/>
      <c r="AS13989" s="19"/>
      <c r="AT13989" s="19"/>
      <c r="AU13989" s="19"/>
    </row>
    <row r="13990" spans="3:47">
      <c r="C13990" s="20"/>
      <c r="Z13990" s="20"/>
      <c r="AG13990" s="20"/>
      <c r="AQ13990" s="19"/>
      <c r="AR13990" s="19"/>
      <c r="AS13990" s="19"/>
      <c r="AT13990" s="19"/>
      <c r="AU13990" s="19"/>
    </row>
    <row r="13991" spans="3:47">
      <c r="C13991" s="20"/>
      <c r="Z13991" s="20"/>
      <c r="AG13991" s="20"/>
      <c r="AQ13991" s="19"/>
      <c r="AR13991" s="19"/>
      <c r="AS13991" s="19"/>
      <c r="AT13991" s="19"/>
      <c r="AU13991" s="19"/>
    </row>
    <row r="13992" spans="3:47">
      <c r="C13992" s="20"/>
      <c r="Z13992" s="20"/>
      <c r="AG13992" s="20"/>
      <c r="AQ13992" s="19"/>
      <c r="AR13992" s="19"/>
      <c r="AS13992" s="19"/>
      <c r="AT13992" s="19"/>
      <c r="AU13992" s="19"/>
    </row>
    <row r="13993" spans="3:47">
      <c r="C13993" s="20"/>
      <c r="Z13993" s="20"/>
      <c r="AG13993" s="20"/>
      <c r="AQ13993" s="19"/>
      <c r="AR13993" s="19"/>
      <c r="AS13993" s="19"/>
      <c r="AT13993" s="19"/>
      <c r="AU13993" s="19"/>
    </row>
    <row r="13994" spans="3:47">
      <c r="C13994" s="20"/>
      <c r="Z13994" s="20"/>
      <c r="AG13994" s="20"/>
      <c r="AQ13994" s="19"/>
      <c r="AR13994" s="19"/>
      <c r="AS13994" s="19"/>
      <c r="AT13994" s="19"/>
      <c r="AU13994" s="19"/>
    </row>
    <row r="13995" spans="3:47">
      <c r="C13995" s="20"/>
      <c r="Z13995" s="20"/>
      <c r="AG13995" s="20"/>
      <c r="AQ13995" s="19"/>
      <c r="AR13995" s="19"/>
      <c r="AS13995" s="19"/>
      <c r="AT13995" s="19"/>
      <c r="AU13995" s="19"/>
    </row>
    <row r="13996" spans="3:47">
      <c r="C13996" s="20"/>
      <c r="Z13996" s="20"/>
      <c r="AG13996" s="20"/>
      <c r="AQ13996" s="19"/>
      <c r="AR13996" s="19"/>
      <c r="AS13996" s="19"/>
      <c r="AT13996" s="19"/>
      <c r="AU13996" s="19"/>
    </row>
    <row r="13997" spans="3:47">
      <c r="C13997" s="20"/>
      <c r="Z13997" s="20"/>
      <c r="AG13997" s="20"/>
      <c r="AQ13997" s="19"/>
      <c r="AR13997" s="19"/>
      <c r="AS13997" s="19"/>
      <c r="AT13997" s="19"/>
      <c r="AU13997" s="19"/>
    </row>
    <row r="13998" spans="3:47">
      <c r="C13998" s="20"/>
      <c r="Z13998" s="20"/>
      <c r="AG13998" s="20"/>
      <c r="AQ13998" s="19"/>
      <c r="AR13998" s="19"/>
      <c r="AS13998" s="19"/>
      <c r="AT13998" s="19"/>
      <c r="AU13998" s="19"/>
    </row>
    <row r="13999" spans="3:47">
      <c r="C13999" s="20"/>
      <c r="Z13999" s="20"/>
      <c r="AG13999" s="20"/>
      <c r="AQ13999" s="19"/>
      <c r="AR13999" s="19"/>
      <c r="AS13999" s="19"/>
      <c r="AT13999" s="19"/>
      <c r="AU13999" s="19"/>
    </row>
    <row r="14000" spans="3:47">
      <c r="C14000" s="20"/>
      <c r="Z14000" s="20"/>
      <c r="AG14000" s="20"/>
      <c r="AQ14000" s="19"/>
      <c r="AR14000" s="19"/>
      <c r="AS14000" s="19"/>
      <c r="AT14000" s="19"/>
      <c r="AU14000" s="19"/>
    </row>
    <row r="14001" spans="3:47">
      <c r="C14001" s="20"/>
      <c r="Z14001" s="20"/>
      <c r="AG14001" s="20"/>
      <c r="AQ14001" s="19"/>
      <c r="AR14001" s="19"/>
      <c r="AS14001" s="19"/>
      <c r="AT14001" s="19"/>
      <c r="AU14001" s="19"/>
    </row>
    <row r="14002" spans="3:47">
      <c r="C14002" s="20"/>
      <c r="Z14002" s="20"/>
      <c r="AG14002" s="20"/>
      <c r="AQ14002" s="19"/>
      <c r="AR14002" s="19"/>
      <c r="AS14002" s="19"/>
      <c r="AT14002" s="19"/>
      <c r="AU14002" s="19"/>
    </row>
    <row r="14003" spans="3:47">
      <c r="C14003" s="20"/>
      <c r="Z14003" s="20"/>
      <c r="AG14003" s="20"/>
      <c r="AQ14003" s="19"/>
      <c r="AR14003" s="19"/>
      <c r="AS14003" s="19"/>
      <c r="AT14003" s="19"/>
      <c r="AU14003" s="19"/>
    </row>
    <row r="14004" spans="3:47">
      <c r="C14004" s="20"/>
      <c r="Z14004" s="20"/>
      <c r="AG14004" s="20"/>
      <c r="AQ14004" s="19"/>
      <c r="AR14004" s="19"/>
      <c r="AS14004" s="19"/>
      <c r="AT14004" s="19"/>
      <c r="AU14004" s="19"/>
    </row>
    <row r="14005" spans="3:47">
      <c r="C14005" s="20"/>
      <c r="Z14005" s="20"/>
      <c r="AG14005" s="20"/>
      <c r="AQ14005" s="19"/>
      <c r="AR14005" s="19"/>
      <c r="AS14005" s="19"/>
      <c r="AT14005" s="19"/>
      <c r="AU14005" s="19"/>
    </row>
    <row r="14006" spans="3:47">
      <c r="C14006" s="20"/>
      <c r="Z14006" s="20"/>
      <c r="AG14006" s="20"/>
      <c r="AQ14006" s="19"/>
      <c r="AR14006" s="19"/>
      <c r="AS14006" s="19"/>
      <c r="AT14006" s="19"/>
      <c r="AU14006" s="19"/>
    </row>
    <row r="14007" spans="3:47">
      <c r="C14007" s="20"/>
      <c r="Z14007" s="20"/>
      <c r="AG14007" s="20"/>
      <c r="AQ14007" s="19"/>
      <c r="AR14007" s="19"/>
      <c r="AS14007" s="19"/>
      <c r="AT14007" s="19"/>
      <c r="AU14007" s="19"/>
    </row>
    <row r="14008" spans="3:47">
      <c r="C14008" s="20"/>
      <c r="Z14008" s="20"/>
      <c r="AG14008" s="20"/>
      <c r="AQ14008" s="19"/>
      <c r="AR14008" s="19"/>
      <c r="AS14008" s="19"/>
      <c r="AT14008" s="19"/>
      <c r="AU14008" s="19"/>
    </row>
    <row r="14009" spans="3:47">
      <c r="C14009" s="20"/>
      <c r="Z14009" s="20"/>
      <c r="AG14009" s="20"/>
      <c r="AQ14009" s="19"/>
      <c r="AR14009" s="19"/>
      <c r="AS14009" s="19"/>
      <c r="AT14009" s="19"/>
      <c r="AU14009" s="19"/>
    </row>
    <row r="14010" spans="3:47">
      <c r="C14010" s="20"/>
      <c r="Z14010" s="20"/>
      <c r="AG14010" s="20"/>
      <c r="AQ14010" s="19"/>
      <c r="AR14010" s="19"/>
      <c r="AS14010" s="19"/>
      <c r="AT14010" s="19"/>
      <c r="AU14010" s="19"/>
    </row>
    <row r="14011" spans="3:47">
      <c r="C14011" s="20"/>
      <c r="Z14011" s="20"/>
      <c r="AG14011" s="20"/>
      <c r="AQ14011" s="19"/>
      <c r="AR14011" s="19"/>
      <c r="AS14011" s="19"/>
      <c r="AT14011" s="19"/>
      <c r="AU14011" s="19"/>
    </row>
    <row r="14012" spans="3:47">
      <c r="C14012" s="20"/>
      <c r="Z14012" s="20"/>
      <c r="AG14012" s="20"/>
      <c r="AQ14012" s="19"/>
      <c r="AR14012" s="19"/>
      <c r="AS14012" s="19"/>
      <c r="AT14012" s="19"/>
      <c r="AU14012" s="19"/>
    </row>
    <row r="14013" spans="3:47">
      <c r="C14013" s="20"/>
      <c r="Z14013" s="20"/>
      <c r="AG14013" s="20"/>
      <c r="AQ14013" s="19"/>
      <c r="AR14013" s="19"/>
      <c r="AS14013" s="19"/>
      <c r="AT14013" s="19"/>
      <c r="AU14013" s="19"/>
    </row>
    <row r="14014" spans="3:47">
      <c r="C14014" s="20"/>
      <c r="Z14014" s="20"/>
      <c r="AG14014" s="20"/>
      <c r="AQ14014" s="19"/>
      <c r="AR14014" s="19"/>
      <c r="AS14014" s="19"/>
      <c r="AT14014" s="19"/>
      <c r="AU14014" s="19"/>
    </row>
    <row r="14015" spans="3:47">
      <c r="C14015" s="20"/>
      <c r="Z14015" s="20"/>
      <c r="AG14015" s="20"/>
      <c r="AQ14015" s="19"/>
      <c r="AR14015" s="19"/>
      <c r="AS14015" s="19"/>
      <c r="AT14015" s="19"/>
      <c r="AU14015" s="19"/>
    </row>
    <row r="14016" spans="3:47">
      <c r="C14016" s="20"/>
      <c r="Z14016" s="20"/>
      <c r="AG14016" s="20"/>
      <c r="AQ14016" s="19"/>
      <c r="AR14016" s="19"/>
      <c r="AS14016" s="19"/>
      <c r="AT14016" s="19"/>
      <c r="AU14016" s="19"/>
    </row>
    <row r="14017" spans="3:47">
      <c r="C14017" s="20"/>
      <c r="Z14017" s="20"/>
      <c r="AG14017" s="20"/>
      <c r="AQ14017" s="19"/>
      <c r="AR14017" s="19"/>
      <c r="AS14017" s="19"/>
      <c r="AT14017" s="19"/>
      <c r="AU14017" s="19"/>
    </row>
    <row r="14018" spans="3:47">
      <c r="C14018" s="20"/>
      <c r="Z14018" s="20"/>
      <c r="AG14018" s="20"/>
      <c r="AQ14018" s="19"/>
      <c r="AR14018" s="19"/>
      <c r="AS14018" s="19"/>
      <c r="AT14018" s="19"/>
      <c r="AU14018" s="19"/>
    </row>
    <row r="14019" spans="3:47">
      <c r="C14019" s="20"/>
      <c r="Z14019" s="20"/>
      <c r="AG14019" s="20"/>
      <c r="AQ14019" s="19"/>
      <c r="AR14019" s="19"/>
      <c r="AS14019" s="19"/>
      <c r="AT14019" s="19"/>
      <c r="AU14019" s="19"/>
    </row>
    <row r="14020" spans="3:47">
      <c r="C14020" s="20"/>
      <c r="Z14020" s="20"/>
      <c r="AG14020" s="20"/>
      <c r="AQ14020" s="19"/>
      <c r="AR14020" s="19"/>
      <c r="AS14020" s="19"/>
      <c r="AT14020" s="19"/>
      <c r="AU14020" s="19"/>
    </row>
    <row r="14021" spans="3:47">
      <c r="C14021" s="20"/>
      <c r="Z14021" s="20"/>
      <c r="AG14021" s="20"/>
      <c r="AQ14021" s="19"/>
      <c r="AR14021" s="19"/>
      <c r="AS14021" s="19"/>
      <c r="AT14021" s="19"/>
      <c r="AU14021" s="19"/>
    </row>
    <row r="14022" spans="3:47">
      <c r="C14022" s="20"/>
      <c r="Z14022" s="20"/>
      <c r="AG14022" s="20"/>
      <c r="AQ14022" s="19"/>
      <c r="AR14022" s="19"/>
      <c r="AS14022" s="19"/>
      <c r="AT14022" s="19"/>
      <c r="AU14022" s="19"/>
    </row>
    <row r="14023" spans="3:47">
      <c r="C14023" s="20"/>
      <c r="Z14023" s="20"/>
      <c r="AG14023" s="20"/>
      <c r="AQ14023" s="19"/>
      <c r="AR14023" s="19"/>
      <c r="AS14023" s="19"/>
      <c r="AT14023" s="19"/>
      <c r="AU14023" s="19"/>
    </row>
    <row r="14024" spans="3:47">
      <c r="C14024" s="20"/>
      <c r="Z14024" s="20"/>
      <c r="AG14024" s="20"/>
      <c r="AQ14024" s="19"/>
      <c r="AR14024" s="19"/>
      <c r="AS14024" s="19"/>
      <c r="AT14024" s="19"/>
      <c r="AU14024" s="19"/>
    </row>
    <row r="14025" spans="3:47">
      <c r="C14025" s="20"/>
      <c r="Z14025" s="20"/>
      <c r="AG14025" s="20"/>
      <c r="AQ14025" s="19"/>
      <c r="AR14025" s="19"/>
      <c r="AS14025" s="19"/>
      <c r="AT14025" s="19"/>
      <c r="AU14025" s="19"/>
    </row>
    <row r="14026" spans="3:47">
      <c r="C14026" s="20"/>
      <c r="Z14026" s="20"/>
      <c r="AG14026" s="20"/>
      <c r="AQ14026" s="19"/>
      <c r="AR14026" s="19"/>
      <c r="AS14026" s="19"/>
      <c r="AT14026" s="19"/>
      <c r="AU14026" s="19"/>
    </row>
    <row r="14027" spans="3:47">
      <c r="C14027" s="20"/>
      <c r="Z14027" s="20"/>
      <c r="AG14027" s="20"/>
      <c r="AQ14027" s="19"/>
      <c r="AR14027" s="19"/>
      <c r="AS14027" s="19"/>
      <c r="AT14027" s="19"/>
      <c r="AU14027" s="19"/>
    </row>
    <row r="14028" spans="3:47">
      <c r="C14028" s="20"/>
      <c r="Z14028" s="20"/>
      <c r="AG14028" s="20"/>
      <c r="AQ14028" s="19"/>
      <c r="AR14028" s="19"/>
      <c r="AS14028" s="19"/>
      <c r="AT14028" s="19"/>
      <c r="AU14028" s="19"/>
    </row>
    <row r="14029" spans="3:47">
      <c r="C14029" s="20"/>
      <c r="Z14029" s="20"/>
      <c r="AG14029" s="20"/>
      <c r="AQ14029" s="19"/>
      <c r="AR14029" s="19"/>
      <c r="AS14029" s="19"/>
      <c r="AT14029" s="19"/>
      <c r="AU14029" s="19"/>
    </row>
    <row r="14030" spans="3:47">
      <c r="C14030" s="20"/>
      <c r="Z14030" s="20"/>
      <c r="AG14030" s="20"/>
      <c r="AQ14030" s="19"/>
      <c r="AR14030" s="19"/>
      <c r="AS14030" s="19"/>
      <c r="AT14030" s="19"/>
      <c r="AU14030" s="19"/>
    </row>
    <row r="14031" spans="3:47">
      <c r="C14031" s="20"/>
      <c r="Z14031" s="20"/>
      <c r="AG14031" s="20"/>
      <c r="AQ14031" s="19"/>
      <c r="AR14031" s="19"/>
      <c r="AS14031" s="19"/>
      <c r="AT14031" s="19"/>
      <c r="AU14031" s="19"/>
    </row>
    <row r="14032" spans="3:47">
      <c r="C14032" s="20"/>
      <c r="Z14032" s="20"/>
      <c r="AG14032" s="20"/>
      <c r="AQ14032" s="19"/>
      <c r="AR14032" s="19"/>
      <c r="AS14032" s="19"/>
      <c r="AT14032" s="19"/>
      <c r="AU14032" s="19"/>
    </row>
    <row r="14033" spans="3:47">
      <c r="C14033" s="20"/>
      <c r="Z14033" s="20"/>
      <c r="AG14033" s="20"/>
      <c r="AQ14033" s="19"/>
      <c r="AR14033" s="19"/>
      <c r="AS14033" s="19"/>
      <c r="AT14033" s="19"/>
      <c r="AU14033" s="19"/>
    </row>
    <row r="14034" spans="3:47">
      <c r="C14034" s="20"/>
      <c r="Z14034" s="20"/>
      <c r="AG14034" s="20"/>
      <c r="AQ14034" s="19"/>
      <c r="AR14034" s="19"/>
      <c r="AS14034" s="19"/>
      <c r="AT14034" s="19"/>
      <c r="AU14034" s="19"/>
    </row>
    <row r="14035" spans="3:47">
      <c r="C14035" s="20"/>
      <c r="Z14035" s="20"/>
      <c r="AG14035" s="20"/>
      <c r="AQ14035" s="19"/>
      <c r="AR14035" s="19"/>
      <c r="AS14035" s="19"/>
      <c r="AT14035" s="19"/>
      <c r="AU14035" s="19"/>
    </row>
    <row r="14036" spans="3:47">
      <c r="C14036" s="20"/>
      <c r="Z14036" s="20"/>
      <c r="AG14036" s="20"/>
      <c r="AQ14036" s="19"/>
      <c r="AR14036" s="19"/>
      <c r="AS14036" s="19"/>
      <c r="AT14036" s="19"/>
      <c r="AU14036" s="19"/>
    </row>
    <row r="14037" spans="3:47">
      <c r="C14037" s="20"/>
      <c r="Z14037" s="20"/>
      <c r="AG14037" s="20"/>
      <c r="AQ14037" s="19"/>
      <c r="AR14037" s="19"/>
      <c r="AS14037" s="19"/>
      <c r="AT14037" s="19"/>
      <c r="AU14037" s="19"/>
    </row>
    <row r="14038" spans="3:47">
      <c r="C14038" s="20"/>
      <c r="Z14038" s="20"/>
      <c r="AG14038" s="20"/>
      <c r="AQ14038" s="19"/>
      <c r="AR14038" s="19"/>
      <c r="AS14038" s="19"/>
      <c r="AT14038" s="19"/>
      <c r="AU14038" s="19"/>
    </row>
    <row r="14039" spans="3:47">
      <c r="C14039" s="20"/>
      <c r="Z14039" s="20"/>
      <c r="AG14039" s="20"/>
      <c r="AQ14039" s="19"/>
      <c r="AR14039" s="19"/>
      <c r="AS14039" s="19"/>
      <c r="AT14039" s="19"/>
      <c r="AU14039" s="19"/>
    </row>
    <row r="14040" spans="3:47">
      <c r="C14040" s="20"/>
      <c r="Z14040" s="20"/>
      <c r="AG14040" s="20"/>
      <c r="AQ14040" s="19"/>
      <c r="AR14040" s="19"/>
      <c r="AS14040" s="19"/>
      <c r="AT14040" s="19"/>
      <c r="AU14040" s="19"/>
    </row>
    <row r="14041" spans="3:47">
      <c r="C14041" s="20"/>
      <c r="Z14041" s="20"/>
      <c r="AG14041" s="20"/>
      <c r="AQ14041" s="19"/>
      <c r="AR14041" s="19"/>
      <c r="AS14041" s="19"/>
      <c r="AT14041" s="19"/>
      <c r="AU14041" s="19"/>
    </row>
    <row r="14042" spans="3:47">
      <c r="C14042" s="20"/>
      <c r="Z14042" s="20"/>
      <c r="AG14042" s="20"/>
      <c r="AQ14042" s="19"/>
      <c r="AR14042" s="19"/>
      <c r="AS14042" s="19"/>
      <c r="AT14042" s="19"/>
      <c r="AU14042" s="19"/>
    </row>
    <row r="14043" spans="3:47">
      <c r="C14043" s="20"/>
      <c r="Z14043" s="20"/>
      <c r="AG14043" s="20"/>
      <c r="AQ14043" s="19"/>
      <c r="AR14043" s="19"/>
      <c r="AS14043" s="19"/>
      <c r="AT14043" s="19"/>
      <c r="AU14043" s="19"/>
    </row>
    <row r="14044" spans="3:47">
      <c r="C14044" s="20"/>
      <c r="Z14044" s="20"/>
      <c r="AG14044" s="20"/>
      <c r="AQ14044" s="19"/>
      <c r="AR14044" s="19"/>
      <c r="AS14044" s="19"/>
      <c r="AT14044" s="19"/>
      <c r="AU14044" s="19"/>
    </row>
    <row r="14045" spans="3:47">
      <c r="C14045" s="20"/>
      <c r="Z14045" s="20"/>
      <c r="AG14045" s="20"/>
      <c r="AQ14045" s="19"/>
      <c r="AR14045" s="19"/>
      <c r="AS14045" s="19"/>
      <c r="AT14045" s="19"/>
      <c r="AU14045" s="19"/>
    </row>
    <row r="14046" spans="3:47">
      <c r="C14046" s="20"/>
      <c r="Z14046" s="20"/>
      <c r="AG14046" s="20"/>
      <c r="AQ14046" s="19"/>
      <c r="AR14046" s="19"/>
      <c r="AS14046" s="19"/>
      <c r="AT14046" s="19"/>
      <c r="AU14046" s="19"/>
    </row>
    <row r="14047" spans="3:47">
      <c r="C14047" s="20"/>
      <c r="Z14047" s="20"/>
      <c r="AG14047" s="20"/>
      <c r="AQ14047" s="19"/>
      <c r="AR14047" s="19"/>
      <c r="AS14047" s="19"/>
      <c r="AT14047" s="19"/>
      <c r="AU14047" s="19"/>
    </row>
    <row r="14048" spans="3:47">
      <c r="C14048" s="20"/>
      <c r="Z14048" s="20"/>
      <c r="AG14048" s="20"/>
      <c r="AQ14048" s="19"/>
      <c r="AR14048" s="19"/>
      <c r="AS14048" s="19"/>
      <c r="AT14048" s="19"/>
      <c r="AU14048" s="19"/>
    </row>
    <row r="14049" spans="3:47">
      <c r="C14049" s="20"/>
      <c r="Z14049" s="20"/>
      <c r="AG14049" s="20"/>
      <c r="AQ14049" s="19"/>
      <c r="AR14049" s="19"/>
      <c r="AS14049" s="19"/>
      <c r="AT14049" s="19"/>
      <c r="AU14049" s="19"/>
    </row>
    <row r="14050" spans="3:47">
      <c r="C14050" s="20"/>
      <c r="Z14050" s="20"/>
      <c r="AG14050" s="20"/>
      <c r="AQ14050" s="19"/>
      <c r="AR14050" s="19"/>
      <c r="AS14050" s="19"/>
      <c r="AT14050" s="19"/>
      <c r="AU14050" s="19"/>
    </row>
    <row r="14051" spans="3:47">
      <c r="C14051" s="20"/>
      <c r="Z14051" s="20"/>
      <c r="AG14051" s="20"/>
      <c r="AQ14051" s="19"/>
      <c r="AR14051" s="19"/>
      <c r="AS14051" s="19"/>
      <c r="AT14051" s="19"/>
      <c r="AU14051" s="19"/>
    </row>
    <row r="14052" spans="3:47">
      <c r="C14052" s="20"/>
      <c r="Z14052" s="20"/>
      <c r="AG14052" s="20"/>
      <c r="AQ14052" s="19"/>
      <c r="AR14052" s="19"/>
      <c r="AS14052" s="19"/>
      <c r="AT14052" s="19"/>
      <c r="AU14052" s="19"/>
    </row>
    <row r="14053" spans="3:47">
      <c r="C14053" s="20"/>
      <c r="Z14053" s="20"/>
      <c r="AG14053" s="20"/>
      <c r="AQ14053" s="19"/>
      <c r="AR14053" s="19"/>
      <c r="AS14053" s="19"/>
      <c r="AT14053" s="19"/>
      <c r="AU14053" s="19"/>
    </row>
    <row r="14054" spans="3:47">
      <c r="C14054" s="20"/>
      <c r="Z14054" s="20"/>
      <c r="AG14054" s="20"/>
      <c r="AQ14054" s="19"/>
      <c r="AR14054" s="19"/>
      <c r="AS14054" s="19"/>
      <c r="AT14054" s="19"/>
      <c r="AU14054" s="19"/>
    </row>
    <row r="14055" spans="3:47">
      <c r="C14055" s="20"/>
      <c r="Z14055" s="20"/>
      <c r="AG14055" s="20"/>
      <c r="AQ14055" s="19"/>
      <c r="AR14055" s="19"/>
      <c r="AS14055" s="19"/>
      <c r="AT14055" s="19"/>
      <c r="AU14055" s="19"/>
    </row>
    <row r="14056" spans="3:47">
      <c r="C14056" s="20"/>
      <c r="Z14056" s="20"/>
      <c r="AG14056" s="20"/>
      <c r="AQ14056" s="19"/>
      <c r="AR14056" s="19"/>
      <c r="AS14056" s="19"/>
      <c r="AT14056" s="19"/>
      <c r="AU14056" s="19"/>
    </row>
    <row r="14057" spans="3:47">
      <c r="C14057" s="20"/>
      <c r="Z14057" s="20"/>
      <c r="AG14057" s="20"/>
      <c r="AQ14057" s="19"/>
      <c r="AR14057" s="19"/>
      <c r="AS14057" s="19"/>
      <c r="AT14057" s="19"/>
      <c r="AU14057" s="19"/>
    </row>
    <row r="14058" spans="3:47">
      <c r="C14058" s="20"/>
      <c r="Z14058" s="20"/>
      <c r="AG14058" s="20"/>
      <c r="AQ14058" s="19"/>
      <c r="AR14058" s="19"/>
      <c r="AS14058" s="19"/>
      <c r="AT14058" s="19"/>
      <c r="AU14058" s="19"/>
    </row>
    <row r="14059" spans="3:47">
      <c r="C14059" s="20"/>
      <c r="Z14059" s="20"/>
      <c r="AG14059" s="20"/>
      <c r="AQ14059" s="19"/>
      <c r="AR14059" s="19"/>
      <c r="AS14059" s="19"/>
      <c r="AT14059" s="19"/>
      <c r="AU14059" s="19"/>
    </row>
    <row r="14060" spans="3:47">
      <c r="C14060" s="20"/>
      <c r="Z14060" s="20"/>
      <c r="AG14060" s="20"/>
      <c r="AQ14060" s="19"/>
      <c r="AR14060" s="19"/>
      <c r="AS14060" s="19"/>
      <c r="AT14060" s="19"/>
      <c r="AU14060" s="19"/>
    </row>
    <row r="14061" spans="3:47">
      <c r="C14061" s="20"/>
      <c r="Z14061" s="20"/>
      <c r="AG14061" s="20"/>
      <c r="AQ14061" s="19"/>
      <c r="AR14061" s="19"/>
      <c r="AS14061" s="19"/>
      <c r="AT14061" s="19"/>
      <c r="AU14061" s="19"/>
    </row>
    <row r="14062" spans="3:47">
      <c r="C14062" s="20"/>
      <c r="Z14062" s="20"/>
      <c r="AG14062" s="20"/>
      <c r="AQ14062" s="19"/>
      <c r="AR14062" s="19"/>
      <c r="AS14062" s="19"/>
      <c r="AT14062" s="19"/>
      <c r="AU14062" s="19"/>
    </row>
    <row r="14063" spans="3:47">
      <c r="C14063" s="20"/>
      <c r="Z14063" s="20"/>
      <c r="AG14063" s="20"/>
      <c r="AQ14063" s="19"/>
      <c r="AR14063" s="19"/>
      <c r="AS14063" s="19"/>
      <c r="AT14063" s="19"/>
      <c r="AU14063" s="19"/>
    </row>
    <row r="14064" spans="3:47">
      <c r="C14064" s="20"/>
      <c r="Z14064" s="20"/>
      <c r="AG14064" s="20"/>
      <c r="AQ14064" s="19"/>
      <c r="AR14064" s="19"/>
      <c r="AS14064" s="19"/>
      <c r="AT14064" s="19"/>
      <c r="AU14064" s="19"/>
    </row>
    <row r="14065" spans="3:47">
      <c r="C14065" s="20"/>
      <c r="Z14065" s="20"/>
      <c r="AG14065" s="20"/>
      <c r="AQ14065" s="19"/>
      <c r="AR14065" s="19"/>
      <c r="AS14065" s="19"/>
      <c r="AT14065" s="19"/>
      <c r="AU14065" s="19"/>
    </row>
    <row r="14066" spans="3:47">
      <c r="C14066" s="20"/>
      <c r="Z14066" s="20"/>
      <c r="AG14066" s="20"/>
      <c r="AQ14066" s="19"/>
      <c r="AR14066" s="19"/>
      <c r="AS14066" s="19"/>
      <c r="AT14066" s="19"/>
      <c r="AU14066" s="19"/>
    </row>
    <row r="14067" spans="3:47">
      <c r="C14067" s="20"/>
      <c r="Z14067" s="20"/>
      <c r="AG14067" s="20"/>
      <c r="AQ14067" s="19"/>
      <c r="AR14067" s="19"/>
      <c r="AS14067" s="19"/>
      <c r="AT14067" s="19"/>
      <c r="AU14067" s="19"/>
    </row>
    <row r="14068" spans="3:47">
      <c r="C14068" s="20"/>
      <c r="Z14068" s="20"/>
      <c r="AG14068" s="20"/>
      <c r="AQ14068" s="19"/>
      <c r="AR14068" s="19"/>
      <c r="AS14068" s="19"/>
      <c r="AT14068" s="19"/>
      <c r="AU14068" s="19"/>
    </row>
    <row r="14069" spans="3:47">
      <c r="C14069" s="20"/>
      <c r="Z14069" s="20"/>
      <c r="AG14069" s="20"/>
      <c r="AQ14069" s="19"/>
      <c r="AR14069" s="19"/>
      <c r="AS14069" s="19"/>
      <c r="AT14069" s="19"/>
      <c r="AU14069" s="19"/>
    </row>
    <row r="14070" spans="3:47">
      <c r="C14070" s="20"/>
      <c r="Z14070" s="20"/>
      <c r="AG14070" s="20"/>
      <c r="AQ14070" s="19"/>
      <c r="AR14070" s="19"/>
      <c r="AS14070" s="19"/>
      <c r="AT14070" s="19"/>
      <c r="AU14070" s="19"/>
    </row>
    <row r="14071" spans="3:47">
      <c r="C14071" s="20"/>
      <c r="Z14071" s="20"/>
      <c r="AG14071" s="20"/>
      <c r="AQ14071" s="19"/>
      <c r="AR14071" s="19"/>
      <c r="AS14071" s="19"/>
      <c r="AT14071" s="19"/>
      <c r="AU14071" s="19"/>
    </row>
    <row r="14072" spans="3:47">
      <c r="C14072" s="20"/>
      <c r="Z14072" s="20"/>
      <c r="AG14072" s="20"/>
      <c r="AQ14072" s="19"/>
      <c r="AR14072" s="19"/>
      <c r="AS14072" s="19"/>
      <c r="AT14072" s="19"/>
      <c r="AU14072" s="19"/>
    </row>
    <row r="14073" spans="3:47">
      <c r="C14073" s="20"/>
      <c r="Z14073" s="20"/>
      <c r="AG14073" s="20"/>
      <c r="AQ14073" s="19"/>
      <c r="AR14073" s="19"/>
      <c r="AS14073" s="19"/>
      <c r="AT14073" s="19"/>
      <c r="AU14073" s="19"/>
    </row>
    <row r="14074" spans="3:47">
      <c r="C14074" s="20"/>
      <c r="Z14074" s="20"/>
      <c r="AG14074" s="20"/>
      <c r="AQ14074" s="19"/>
      <c r="AR14074" s="19"/>
      <c r="AS14074" s="19"/>
      <c r="AT14074" s="19"/>
      <c r="AU14074" s="19"/>
    </row>
    <row r="14075" spans="3:47">
      <c r="C14075" s="20"/>
      <c r="Z14075" s="20"/>
      <c r="AG14075" s="20"/>
      <c r="AQ14075" s="19"/>
      <c r="AR14075" s="19"/>
      <c r="AS14075" s="19"/>
      <c r="AT14075" s="19"/>
      <c r="AU14075" s="19"/>
    </row>
    <row r="14076" spans="3:47">
      <c r="C14076" s="20"/>
      <c r="Z14076" s="20"/>
      <c r="AG14076" s="20"/>
      <c r="AQ14076" s="19"/>
      <c r="AR14076" s="19"/>
      <c r="AS14076" s="19"/>
      <c r="AT14076" s="19"/>
      <c r="AU14076" s="19"/>
    </row>
    <row r="14077" spans="3:47">
      <c r="C14077" s="20"/>
      <c r="Z14077" s="20"/>
      <c r="AG14077" s="20"/>
      <c r="AQ14077" s="19"/>
      <c r="AR14077" s="19"/>
      <c r="AS14077" s="19"/>
      <c r="AT14077" s="19"/>
      <c r="AU14077" s="19"/>
    </row>
    <row r="14078" spans="3:47">
      <c r="C14078" s="20"/>
      <c r="Z14078" s="20"/>
      <c r="AG14078" s="20"/>
      <c r="AQ14078" s="19"/>
      <c r="AR14078" s="19"/>
      <c r="AS14078" s="19"/>
      <c r="AT14078" s="19"/>
      <c r="AU14078" s="19"/>
    </row>
    <row r="14079" spans="3:47">
      <c r="C14079" s="20"/>
      <c r="Z14079" s="20"/>
      <c r="AG14079" s="20"/>
      <c r="AQ14079" s="19"/>
      <c r="AR14079" s="19"/>
      <c r="AS14079" s="19"/>
      <c r="AT14079" s="19"/>
      <c r="AU14079" s="19"/>
    </row>
    <row r="14080" spans="3:47">
      <c r="C14080" s="20"/>
      <c r="Z14080" s="20"/>
      <c r="AG14080" s="20"/>
      <c r="AQ14080" s="19"/>
      <c r="AR14080" s="19"/>
      <c r="AS14080" s="19"/>
      <c r="AT14080" s="19"/>
      <c r="AU14080" s="19"/>
    </row>
    <row r="14081" spans="3:47">
      <c r="C14081" s="20"/>
      <c r="Z14081" s="20"/>
      <c r="AG14081" s="20"/>
      <c r="AQ14081" s="19"/>
      <c r="AR14081" s="19"/>
      <c r="AS14081" s="19"/>
      <c r="AT14081" s="19"/>
      <c r="AU14081" s="19"/>
    </row>
    <row r="14082" spans="3:47">
      <c r="C14082" s="20"/>
      <c r="Z14082" s="20"/>
      <c r="AG14082" s="20"/>
      <c r="AQ14082" s="19"/>
      <c r="AR14082" s="19"/>
      <c r="AS14082" s="19"/>
      <c r="AT14082" s="19"/>
      <c r="AU14082" s="19"/>
    </row>
    <row r="14083" spans="3:47">
      <c r="C14083" s="20"/>
      <c r="Z14083" s="20"/>
      <c r="AG14083" s="20"/>
      <c r="AQ14083" s="19"/>
      <c r="AR14083" s="19"/>
      <c r="AS14083" s="19"/>
      <c r="AT14083" s="19"/>
      <c r="AU14083" s="19"/>
    </row>
    <row r="14084" spans="3:47">
      <c r="C14084" s="20"/>
      <c r="Z14084" s="20"/>
      <c r="AG14084" s="20"/>
      <c r="AQ14084" s="19"/>
      <c r="AR14084" s="19"/>
      <c r="AS14084" s="19"/>
      <c r="AT14084" s="19"/>
      <c r="AU14084" s="19"/>
    </row>
    <row r="14085" spans="3:47">
      <c r="C14085" s="20"/>
      <c r="Z14085" s="20"/>
      <c r="AG14085" s="20"/>
      <c r="AQ14085" s="19"/>
      <c r="AR14085" s="19"/>
      <c r="AS14085" s="19"/>
      <c r="AT14085" s="19"/>
      <c r="AU14085" s="19"/>
    </row>
    <row r="14086" spans="3:47">
      <c r="C14086" s="20"/>
      <c r="Z14086" s="20"/>
      <c r="AG14086" s="20"/>
      <c r="AQ14086" s="19"/>
      <c r="AR14086" s="19"/>
      <c r="AS14086" s="19"/>
      <c r="AT14086" s="19"/>
      <c r="AU14086" s="19"/>
    </row>
    <row r="14087" spans="3:47">
      <c r="C14087" s="20"/>
      <c r="Z14087" s="20"/>
      <c r="AG14087" s="20"/>
      <c r="AQ14087" s="19"/>
      <c r="AR14087" s="19"/>
      <c r="AS14087" s="19"/>
      <c r="AT14087" s="19"/>
      <c r="AU14087" s="19"/>
    </row>
    <row r="14088" spans="3:47">
      <c r="C14088" s="20"/>
      <c r="Z14088" s="20"/>
      <c r="AG14088" s="20"/>
      <c r="AQ14088" s="19"/>
      <c r="AR14088" s="19"/>
      <c r="AS14088" s="19"/>
      <c r="AT14088" s="19"/>
      <c r="AU14088" s="19"/>
    </row>
    <row r="14089" spans="3:47">
      <c r="C14089" s="20"/>
      <c r="Z14089" s="20"/>
      <c r="AG14089" s="20"/>
      <c r="AQ14089" s="19"/>
      <c r="AR14089" s="19"/>
      <c r="AS14089" s="19"/>
      <c r="AT14089" s="19"/>
      <c r="AU14089" s="19"/>
    </row>
    <row r="14090" spans="3:47">
      <c r="C14090" s="20"/>
      <c r="Z14090" s="20"/>
      <c r="AG14090" s="20"/>
      <c r="AQ14090" s="19"/>
      <c r="AR14090" s="19"/>
      <c r="AS14090" s="19"/>
      <c r="AT14090" s="19"/>
      <c r="AU14090" s="19"/>
    </row>
    <row r="14091" spans="3:47">
      <c r="C14091" s="20"/>
      <c r="Z14091" s="20"/>
      <c r="AG14091" s="20"/>
      <c r="AQ14091" s="19"/>
      <c r="AR14091" s="19"/>
      <c r="AS14091" s="19"/>
      <c r="AT14091" s="19"/>
      <c r="AU14091" s="19"/>
    </row>
    <row r="14092" spans="3:47">
      <c r="C14092" s="20"/>
      <c r="Z14092" s="20"/>
      <c r="AG14092" s="20"/>
      <c r="AQ14092" s="19"/>
      <c r="AR14092" s="19"/>
      <c r="AS14092" s="19"/>
      <c r="AT14092" s="19"/>
      <c r="AU14092" s="19"/>
    </row>
    <row r="14093" spans="3:47">
      <c r="C14093" s="20"/>
      <c r="Z14093" s="20"/>
      <c r="AG14093" s="20"/>
      <c r="AQ14093" s="19"/>
      <c r="AR14093" s="19"/>
      <c r="AS14093" s="19"/>
      <c r="AT14093" s="19"/>
      <c r="AU14093" s="19"/>
    </row>
    <row r="14094" spans="3:47">
      <c r="C14094" s="20"/>
      <c r="Z14094" s="20"/>
      <c r="AG14094" s="20"/>
      <c r="AQ14094" s="19"/>
      <c r="AR14094" s="19"/>
      <c r="AS14094" s="19"/>
      <c r="AT14094" s="19"/>
      <c r="AU14094" s="19"/>
    </row>
    <row r="14095" spans="3:47">
      <c r="C14095" s="20"/>
      <c r="Z14095" s="20"/>
      <c r="AG14095" s="20"/>
      <c r="AQ14095" s="19"/>
      <c r="AR14095" s="19"/>
      <c r="AS14095" s="19"/>
      <c r="AT14095" s="19"/>
      <c r="AU14095" s="19"/>
    </row>
    <row r="14096" spans="3:47">
      <c r="C14096" s="20"/>
      <c r="Z14096" s="20"/>
      <c r="AG14096" s="20"/>
      <c r="AQ14096" s="19"/>
      <c r="AR14096" s="19"/>
      <c r="AS14096" s="19"/>
      <c r="AT14096" s="19"/>
      <c r="AU14096" s="19"/>
    </row>
    <row r="14097" spans="3:47">
      <c r="C14097" s="20"/>
      <c r="Z14097" s="20"/>
      <c r="AG14097" s="20"/>
      <c r="AQ14097" s="19"/>
      <c r="AR14097" s="19"/>
      <c r="AS14097" s="19"/>
      <c r="AT14097" s="19"/>
      <c r="AU14097" s="19"/>
    </row>
    <row r="14098" spans="3:47">
      <c r="C14098" s="20"/>
      <c r="Z14098" s="20"/>
      <c r="AG14098" s="20"/>
      <c r="AQ14098" s="19"/>
      <c r="AR14098" s="19"/>
      <c r="AS14098" s="19"/>
      <c r="AT14098" s="19"/>
      <c r="AU14098" s="19"/>
    </row>
    <row r="14099" spans="3:47">
      <c r="C14099" s="20"/>
      <c r="Z14099" s="20"/>
      <c r="AG14099" s="20"/>
      <c r="AQ14099" s="19"/>
      <c r="AR14099" s="19"/>
      <c r="AS14099" s="19"/>
      <c r="AT14099" s="19"/>
      <c r="AU14099" s="19"/>
    </row>
    <row r="14100" spans="3:47">
      <c r="C14100" s="20"/>
      <c r="Z14100" s="20"/>
      <c r="AG14100" s="20"/>
      <c r="AQ14100" s="19"/>
      <c r="AR14100" s="19"/>
      <c r="AS14100" s="19"/>
      <c r="AT14100" s="19"/>
      <c r="AU14100" s="19"/>
    </row>
    <row r="14101" spans="3:47">
      <c r="C14101" s="20"/>
      <c r="Z14101" s="20"/>
      <c r="AG14101" s="20"/>
      <c r="AQ14101" s="19"/>
      <c r="AR14101" s="19"/>
      <c r="AS14101" s="19"/>
      <c r="AT14101" s="19"/>
      <c r="AU14101" s="19"/>
    </row>
    <row r="14102" spans="3:47">
      <c r="C14102" s="20"/>
      <c r="Z14102" s="20"/>
      <c r="AG14102" s="20"/>
      <c r="AQ14102" s="19"/>
      <c r="AR14102" s="19"/>
      <c r="AS14102" s="19"/>
      <c r="AT14102" s="19"/>
      <c r="AU14102" s="19"/>
    </row>
    <row r="14103" spans="3:47">
      <c r="C14103" s="20"/>
      <c r="Z14103" s="20"/>
      <c r="AG14103" s="20"/>
      <c r="AQ14103" s="19"/>
      <c r="AR14103" s="19"/>
      <c r="AS14103" s="19"/>
      <c r="AT14103" s="19"/>
      <c r="AU14103" s="19"/>
    </row>
    <row r="14104" spans="3:47">
      <c r="C14104" s="20"/>
      <c r="Z14104" s="20"/>
      <c r="AG14104" s="20"/>
      <c r="AQ14104" s="19"/>
      <c r="AR14104" s="19"/>
      <c r="AS14104" s="19"/>
      <c r="AT14104" s="19"/>
      <c r="AU14104" s="19"/>
    </row>
    <row r="14105" spans="3:47">
      <c r="C14105" s="20"/>
      <c r="Z14105" s="20"/>
      <c r="AG14105" s="20"/>
      <c r="AQ14105" s="19"/>
      <c r="AR14105" s="19"/>
      <c r="AS14105" s="19"/>
      <c r="AT14105" s="19"/>
      <c r="AU14105" s="19"/>
    </row>
    <row r="14106" spans="3:47">
      <c r="C14106" s="20"/>
      <c r="Z14106" s="20"/>
      <c r="AG14106" s="20"/>
      <c r="AQ14106" s="19"/>
      <c r="AR14106" s="19"/>
      <c r="AS14106" s="19"/>
      <c r="AT14106" s="19"/>
      <c r="AU14106" s="19"/>
    </row>
    <row r="14107" spans="3:47">
      <c r="C14107" s="20"/>
      <c r="Z14107" s="20"/>
      <c r="AG14107" s="20"/>
      <c r="AQ14107" s="19"/>
      <c r="AR14107" s="19"/>
      <c r="AS14107" s="19"/>
      <c r="AT14107" s="19"/>
      <c r="AU14107" s="19"/>
    </row>
    <row r="14108" spans="3:47">
      <c r="C14108" s="20"/>
      <c r="Z14108" s="20"/>
      <c r="AG14108" s="20"/>
      <c r="AQ14108" s="19"/>
      <c r="AR14108" s="19"/>
      <c r="AS14108" s="19"/>
      <c r="AT14108" s="19"/>
      <c r="AU14108" s="19"/>
    </row>
    <row r="14109" spans="3:47">
      <c r="C14109" s="20"/>
      <c r="Z14109" s="20"/>
      <c r="AG14109" s="20"/>
      <c r="AQ14109" s="19"/>
      <c r="AR14109" s="19"/>
      <c r="AS14109" s="19"/>
      <c r="AT14109" s="19"/>
      <c r="AU14109" s="19"/>
    </row>
    <row r="14110" spans="3:47">
      <c r="C14110" s="20"/>
      <c r="Z14110" s="20"/>
      <c r="AG14110" s="20"/>
      <c r="AQ14110" s="19"/>
      <c r="AR14110" s="19"/>
      <c r="AS14110" s="19"/>
      <c r="AT14110" s="19"/>
      <c r="AU14110" s="19"/>
    </row>
    <row r="14111" spans="3:47">
      <c r="C14111" s="20"/>
      <c r="Z14111" s="20"/>
      <c r="AG14111" s="20"/>
      <c r="AQ14111" s="19"/>
      <c r="AR14111" s="19"/>
      <c r="AS14111" s="19"/>
      <c r="AT14111" s="19"/>
      <c r="AU14111" s="19"/>
    </row>
    <row r="14112" spans="3:47">
      <c r="C14112" s="20"/>
      <c r="Z14112" s="20"/>
      <c r="AG14112" s="20"/>
      <c r="AQ14112" s="19"/>
      <c r="AR14112" s="19"/>
      <c r="AS14112" s="19"/>
      <c r="AT14112" s="19"/>
      <c r="AU14112" s="19"/>
    </row>
    <row r="14113" spans="3:47">
      <c r="C14113" s="20"/>
      <c r="Z14113" s="20"/>
      <c r="AG14113" s="20"/>
      <c r="AQ14113" s="19"/>
      <c r="AR14113" s="19"/>
      <c r="AS14113" s="19"/>
      <c r="AT14113" s="19"/>
      <c r="AU14113" s="19"/>
    </row>
    <row r="14114" spans="3:47">
      <c r="C14114" s="20"/>
      <c r="Z14114" s="20"/>
      <c r="AG14114" s="20"/>
      <c r="AQ14114" s="19"/>
      <c r="AR14114" s="19"/>
      <c r="AS14114" s="19"/>
      <c r="AT14114" s="19"/>
      <c r="AU14114" s="19"/>
    </row>
    <row r="14115" spans="3:47">
      <c r="C14115" s="20"/>
      <c r="Z14115" s="20"/>
      <c r="AG14115" s="20"/>
      <c r="AQ14115" s="19"/>
      <c r="AR14115" s="19"/>
      <c r="AS14115" s="19"/>
      <c r="AT14115" s="19"/>
      <c r="AU14115" s="19"/>
    </row>
    <row r="14116" spans="3:47">
      <c r="C14116" s="20"/>
      <c r="Z14116" s="20"/>
      <c r="AG14116" s="20"/>
      <c r="AQ14116" s="19"/>
      <c r="AR14116" s="19"/>
      <c r="AS14116" s="19"/>
      <c r="AT14116" s="19"/>
      <c r="AU14116" s="19"/>
    </row>
    <row r="14117" spans="3:47">
      <c r="C14117" s="20"/>
      <c r="Z14117" s="20"/>
      <c r="AG14117" s="20"/>
      <c r="AQ14117" s="19"/>
      <c r="AR14117" s="19"/>
      <c r="AS14117" s="19"/>
      <c r="AT14117" s="19"/>
      <c r="AU14117" s="19"/>
    </row>
    <row r="14118" spans="3:47">
      <c r="C14118" s="20"/>
      <c r="Z14118" s="20"/>
      <c r="AG14118" s="20"/>
      <c r="AQ14118" s="19"/>
      <c r="AR14118" s="19"/>
      <c r="AS14118" s="19"/>
      <c r="AT14118" s="19"/>
      <c r="AU14118" s="19"/>
    </row>
    <row r="14119" spans="3:47">
      <c r="C14119" s="20"/>
      <c r="Z14119" s="20"/>
      <c r="AG14119" s="20"/>
      <c r="AQ14119" s="19"/>
      <c r="AR14119" s="19"/>
      <c r="AS14119" s="19"/>
      <c r="AT14119" s="19"/>
      <c r="AU14119" s="19"/>
    </row>
    <row r="14120" spans="3:47">
      <c r="C14120" s="20"/>
      <c r="Z14120" s="20"/>
      <c r="AG14120" s="20"/>
      <c r="AQ14120" s="19"/>
      <c r="AR14120" s="19"/>
      <c r="AS14120" s="19"/>
      <c r="AT14120" s="19"/>
      <c r="AU14120" s="19"/>
    </row>
    <row r="14121" spans="3:47">
      <c r="C14121" s="20"/>
      <c r="Z14121" s="20"/>
      <c r="AG14121" s="20"/>
      <c r="AQ14121" s="19"/>
      <c r="AR14121" s="19"/>
      <c r="AS14121" s="19"/>
      <c r="AT14121" s="19"/>
      <c r="AU14121" s="19"/>
    </row>
    <row r="14122" spans="3:47">
      <c r="C14122" s="20"/>
      <c r="Z14122" s="20"/>
      <c r="AG14122" s="20"/>
      <c r="AQ14122" s="19"/>
      <c r="AR14122" s="19"/>
      <c r="AS14122" s="19"/>
      <c r="AT14122" s="19"/>
      <c r="AU14122" s="19"/>
    </row>
    <row r="14123" spans="3:47">
      <c r="C14123" s="20"/>
      <c r="Z14123" s="20"/>
      <c r="AG14123" s="20"/>
      <c r="AQ14123" s="19"/>
      <c r="AR14123" s="19"/>
      <c r="AS14123" s="19"/>
      <c r="AT14123" s="19"/>
      <c r="AU14123" s="19"/>
    </row>
    <row r="14124" spans="3:47">
      <c r="C14124" s="20"/>
      <c r="Z14124" s="20"/>
      <c r="AG14124" s="20"/>
      <c r="AQ14124" s="19"/>
      <c r="AR14124" s="19"/>
      <c r="AS14124" s="19"/>
      <c r="AT14124" s="19"/>
      <c r="AU14124" s="19"/>
    </row>
    <row r="14125" spans="3:47">
      <c r="C14125" s="20"/>
      <c r="Z14125" s="20"/>
      <c r="AG14125" s="20"/>
      <c r="AQ14125" s="19"/>
      <c r="AR14125" s="19"/>
      <c r="AS14125" s="19"/>
      <c r="AT14125" s="19"/>
      <c r="AU14125" s="19"/>
    </row>
    <row r="14126" spans="3:47">
      <c r="C14126" s="20"/>
      <c r="Z14126" s="20"/>
      <c r="AG14126" s="20"/>
      <c r="AQ14126" s="19"/>
      <c r="AR14126" s="19"/>
      <c r="AS14126" s="19"/>
      <c r="AT14126" s="19"/>
      <c r="AU14126" s="19"/>
    </row>
    <row r="14127" spans="3:47">
      <c r="C14127" s="20"/>
      <c r="Z14127" s="20"/>
      <c r="AG14127" s="20"/>
      <c r="AQ14127" s="19"/>
      <c r="AR14127" s="19"/>
      <c r="AS14127" s="19"/>
      <c r="AT14127" s="19"/>
      <c r="AU14127" s="19"/>
    </row>
    <row r="14128" spans="3:47">
      <c r="C14128" s="20"/>
      <c r="Z14128" s="20"/>
      <c r="AG14128" s="20"/>
      <c r="AQ14128" s="19"/>
      <c r="AR14128" s="19"/>
      <c r="AS14128" s="19"/>
      <c r="AT14128" s="19"/>
      <c r="AU14128" s="19"/>
    </row>
    <row r="14129" spans="3:47">
      <c r="C14129" s="20"/>
      <c r="Z14129" s="20"/>
      <c r="AG14129" s="20"/>
      <c r="AQ14129" s="19"/>
      <c r="AR14129" s="19"/>
      <c r="AS14129" s="19"/>
      <c r="AT14129" s="19"/>
      <c r="AU14129" s="19"/>
    </row>
    <row r="14130" spans="3:47">
      <c r="C14130" s="20"/>
      <c r="Z14130" s="20"/>
      <c r="AG14130" s="20"/>
      <c r="AQ14130" s="19"/>
      <c r="AR14130" s="19"/>
      <c r="AS14130" s="19"/>
      <c r="AT14130" s="19"/>
      <c r="AU14130" s="19"/>
    </row>
    <row r="14131" spans="3:47">
      <c r="C14131" s="20"/>
      <c r="Z14131" s="20"/>
      <c r="AG14131" s="20"/>
      <c r="AQ14131" s="19"/>
      <c r="AR14131" s="19"/>
      <c r="AS14131" s="19"/>
      <c r="AT14131" s="19"/>
      <c r="AU14131" s="19"/>
    </row>
    <row r="14132" spans="3:47">
      <c r="C14132" s="20"/>
      <c r="Z14132" s="20"/>
      <c r="AG14132" s="20"/>
      <c r="AQ14132" s="19"/>
      <c r="AR14132" s="19"/>
      <c r="AS14132" s="19"/>
      <c r="AT14132" s="19"/>
      <c r="AU14132" s="19"/>
    </row>
    <row r="14133" spans="3:47">
      <c r="C14133" s="20"/>
      <c r="Z14133" s="20"/>
      <c r="AG14133" s="20"/>
      <c r="AQ14133" s="19"/>
      <c r="AR14133" s="19"/>
      <c r="AS14133" s="19"/>
      <c r="AT14133" s="19"/>
      <c r="AU14133" s="19"/>
    </row>
    <row r="14134" spans="3:47">
      <c r="C14134" s="20"/>
      <c r="Z14134" s="20"/>
      <c r="AG14134" s="20"/>
      <c r="AQ14134" s="19"/>
      <c r="AR14134" s="19"/>
      <c r="AS14134" s="19"/>
      <c r="AT14134" s="19"/>
      <c r="AU14134" s="19"/>
    </row>
    <row r="14135" spans="3:47">
      <c r="C14135" s="20"/>
      <c r="Z14135" s="20"/>
      <c r="AG14135" s="20"/>
      <c r="AQ14135" s="19"/>
      <c r="AR14135" s="19"/>
      <c r="AS14135" s="19"/>
      <c r="AT14135" s="19"/>
      <c r="AU14135" s="19"/>
    </row>
    <row r="14136" spans="3:47">
      <c r="C14136" s="20"/>
      <c r="Z14136" s="20"/>
      <c r="AG14136" s="20"/>
      <c r="AQ14136" s="19"/>
      <c r="AR14136" s="19"/>
      <c r="AS14136" s="19"/>
      <c r="AT14136" s="19"/>
      <c r="AU14136" s="19"/>
    </row>
    <row r="14137" spans="3:47">
      <c r="C14137" s="20"/>
      <c r="Z14137" s="20"/>
      <c r="AG14137" s="20"/>
      <c r="AQ14137" s="19"/>
      <c r="AR14137" s="19"/>
      <c r="AS14137" s="19"/>
      <c r="AT14137" s="19"/>
      <c r="AU14137" s="19"/>
    </row>
    <row r="14138" spans="3:47">
      <c r="C14138" s="20"/>
      <c r="Z14138" s="20"/>
      <c r="AG14138" s="20"/>
      <c r="AQ14138" s="19"/>
      <c r="AR14138" s="19"/>
      <c r="AS14138" s="19"/>
      <c r="AT14138" s="19"/>
      <c r="AU14138" s="19"/>
    </row>
    <row r="14139" spans="3:47">
      <c r="C14139" s="20"/>
      <c r="Z14139" s="20"/>
      <c r="AG14139" s="20"/>
      <c r="AQ14139" s="19"/>
      <c r="AR14139" s="19"/>
      <c r="AS14139" s="19"/>
      <c r="AT14139" s="19"/>
      <c r="AU14139" s="19"/>
    </row>
    <row r="14140" spans="3:47">
      <c r="C14140" s="20"/>
      <c r="Z14140" s="20"/>
      <c r="AG14140" s="20"/>
      <c r="AQ14140" s="19"/>
      <c r="AR14140" s="19"/>
      <c r="AS14140" s="19"/>
      <c r="AT14140" s="19"/>
      <c r="AU14140" s="19"/>
    </row>
    <row r="14141" spans="3:47">
      <c r="C14141" s="20"/>
      <c r="Z14141" s="20"/>
      <c r="AG14141" s="20"/>
      <c r="AQ14141" s="19"/>
      <c r="AR14141" s="19"/>
      <c r="AS14141" s="19"/>
      <c r="AT14141" s="19"/>
      <c r="AU14141" s="19"/>
    </row>
    <row r="14142" spans="3:47">
      <c r="C14142" s="20"/>
      <c r="Z14142" s="20"/>
      <c r="AG14142" s="20"/>
      <c r="AQ14142" s="19"/>
      <c r="AR14142" s="19"/>
      <c r="AS14142" s="19"/>
      <c r="AT14142" s="19"/>
      <c r="AU14142" s="19"/>
    </row>
    <row r="14143" spans="3:47">
      <c r="C14143" s="20"/>
      <c r="Z14143" s="20"/>
      <c r="AG14143" s="20"/>
      <c r="AQ14143" s="19"/>
      <c r="AR14143" s="19"/>
      <c r="AS14143" s="19"/>
      <c r="AT14143" s="19"/>
      <c r="AU14143" s="19"/>
    </row>
    <row r="14144" spans="3:47">
      <c r="C14144" s="20"/>
      <c r="Z14144" s="20"/>
      <c r="AG14144" s="20"/>
      <c r="AQ14144" s="19"/>
      <c r="AR14144" s="19"/>
      <c r="AS14144" s="19"/>
      <c r="AT14144" s="19"/>
      <c r="AU14144" s="19"/>
    </row>
    <row r="14145" spans="3:47">
      <c r="C14145" s="20"/>
      <c r="Z14145" s="20"/>
      <c r="AG14145" s="20"/>
      <c r="AQ14145" s="19"/>
      <c r="AR14145" s="19"/>
      <c r="AS14145" s="19"/>
      <c r="AT14145" s="19"/>
      <c r="AU14145" s="19"/>
    </row>
    <row r="14146" spans="3:47">
      <c r="C14146" s="20"/>
      <c r="Z14146" s="20"/>
      <c r="AG14146" s="20"/>
      <c r="AQ14146" s="19"/>
      <c r="AR14146" s="19"/>
      <c r="AS14146" s="19"/>
      <c r="AT14146" s="19"/>
      <c r="AU14146" s="19"/>
    </row>
    <row r="14147" spans="3:47">
      <c r="C14147" s="20"/>
      <c r="Z14147" s="20"/>
      <c r="AG14147" s="20"/>
      <c r="AQ14147" s="19"/>
      <c r="AR14147" s="19"/>
      <c r="AS14147" s="19"/>
      <c r="AT14147" s="19"/>
      <c r="AU14147" s="19"/>
    </row>
    <row r="14148" spans="3:47">
      <c r="C14148" s="20"/>
      <c r="Z14148" s="20"/>
      <c r="AG14148" s="20"/>
      <c r="AQ14148" s="19"/>
      <c r="AR14148" s="19"/>
      <c r="AS14148" s="19"/>
      <c r="AT14148" s="19"/>
      <c r="AU14148" s="19"/>
    </row>
    <row r="14149" spans="3:47">
      <c r="C14149" s="20"/>
      <c r="Z14149" s="20"/>
      <c r="AG14149" s="20"/>
      <c r="AQ14149" s="19"/>
      <c r="AR14149" s="19"/>
      <c r="AS14149" s="19"/>
      <c r="AT14149" s="19"/>
      <c r="AU14149" s="19"/>
    </row>
    <row r="14150" spans="3:47">
      <c r="C14150" s="20"/>
      <c r="Z14150" s="20"/>
      <c r="AG14150" s="20"/>
      <c r="AQ14150" s="19"/>
      <c r="AR14150" s="19"/>
      <c r="AS14150" s="19"/>
      <c r="AT14150" s="19"/>
      <c r="AU14150" s="19"/>
    </row>
    <row r="14151" spans="3:47">
      <c r="C14151" s="20"/>
      <c r="Z14151" s="20"/>
      <c r="AG14151" s="20"/>
      <c r="AQ14151" s="19"/>
      <c r="AR14151" s="19"/>
      <c r="AS14151" s="19"/>
      <c r="AT14151" s="19"/>
      <c r="AU14151" s="19"/>
    </row>
    <row r="14152" spans="3:47">
      <c r="C14152" s="20"/>
      <c r="Z14152" s="20"/>
      <c r="AG14152" s="20"/>
      <c r="AQ14152" s="19"/>
      <c r="AR14152" s="19"/>
      <c r="AS14152" s="19"/>
      <c r="AT14152" s="19"/>
      <c r="AU14152" s="19"/>
    </row>
    <row r="14153" spans="3:47">
      <c r="C14153" s="20"/>
      <c r="Z14153" s="20"/>
      <c r="AG14153" s="20"/>
      <c r="AQ14153" s="19"/>
      <c r="AR14153" s="19"/>
      <c r="AS14153" s="19"/>
      <c r="AT14153" s="19"/>
      <c r="AU14153" s="19"/>
    </row>
    <row r="14154" spans="3:47">
      <c r="C14154" s="20"/>
      <c r="Z14154" s="20"/>
      <c r="AG14154" s="20"/>
      <c r="AQ14154" s="19"/>
      <c r="AR14154" s="19"/>
      <c r="AS14154" s="19"/>
      <c r="AT14154" s="19"/>
      <c r="AU14154" s="19"/>
    </row>
    <row r="14155" spans="3:47">
      <c r="C14155" s="20"/>
      <c r="Z14155" s="20"/>
      <c r="AG14155" s="20"/>
      <c r="AQ14155" s="19"/>
      <c r="AR14155" s="19"/>
      <c r="AS14155" s="19"/>
      <c r="AT14155" s="19"/>
      <c r="AU14155" s="19"/>
    </row>
    <row r="14156" spans="3:47">
      <c r="C14156" s="20"/>
      <c r="Z14156" s="20"/>
      <c r="AG14156" s="20"/>
      <c r="AQ14156" s="19"/>
      <c r="AR14156" s="19"/>
      <c r="AS14156" s="19"/>
      <c r="AT14156" s="19"/>
      <c r="AU14156" s="19"/>
    </row>
    <row r="14157" spans="3:47">
      <c r="C14157" s="20"/>
      <c r="Z14157" s="20"/>
      <c r="AG14157" s="20"/>
      <c r="AQ14157" s="19"/>
      <c r="AR14157" s="19"/>
      <c r="AS14157" s="19"/>
      <c r="AT14157" s="19"/>
      <c r="AU14157" s="19"/>
    </row>
    <row r="14158" spans="3:47">
      <c r="C14158" s="20"/>
      <c r="Z14158" s="20"/>
      <c r="AG14158" s="20"/>
      <c r="AQ14158" s="19"/>
      <c r="AR14158" s="19"/>
      <c r="AS14158" s="19"/>
      <c r="AT14158" s="19"/>
      <c r="AU14158" s="19"/>
    </row>
    <row r="14159" spans="3:47">
      <c r="C14159" s="20"/>
      <c r="Z14159" s="20"/>
      <c r="AG14159" s="20"/>
      <c r="AQ14159" s="19"/>
      <c r="AR14159" s="19"/>
      <c r="AS14159" s="19"/>
      <c r="AT14159" s="19"/>
      <c r="AU14159" s="19"/>
    </row>
    <row r="14160" spans="3:47">
      <c r="C14160" s="20"/>
      <c r="Z14160" s="20"/>
      <c r="AG14160" s="20"/>
      <c r="AQ14160" s="19"/>
      <c r="AR14160" s="19"/>
      <c r="AS14160" s="19"/>
      <c r="AT14160" s="19"/>
      <c r="AU14160" s="19"/>
    </row>
    <row r="14161" spans="3:47">
      <c r="C14161" s="20"/>
      <c r="Z14161" s="20"/>
      <c r="AG14161" s="20"/>
      <c r="AQ14161" s="19"/>
      <c r="AR14161" s="19"/>
      <c r="AS14161" s="19"/>
      <c r="AT14161" s="19"/>
      <c r="AU14161" s="19"/>
    </row>
    <row r="14162" spans="3:47">
      <c r="C14162" s="20"/>
      <c r="Z14162" s="20"/>
      <c r="AG14162" s="20"/>
      <c r="AQ14162" s="19"/>
      <c r="AR14162" s="19"/>
      <c r="AS14162" s="19"/>
      <c r="AT14162" s="19"/>
      <c r="AU14162" s="19"/>
    </row>
    <row r="14163" spans="3:47">
      <c r="C14163" s="20"/>
      <c r="Z14163" s="20"/>
      <c r="AG14163" s="20"/>
      <c r="AQ14163" s="19"/>
      <c r="AR14163" s="19"/>
      <c r="AS14163" s="19"/>
      <c r="AT14163" s="19"/>
      <c r="AU14163" s="19"/>
    </row>
    <row r="14164" spans="3:47">
      <c r="C14164" s="20"/>
      <c r="Z14164" s="20"/>
      <c r="AG14164" s="20"/>
      <c r="AQ14164" s="19"/>
      <c r="AR14164" s="19"/>
      <c r="AS14164" s="19"/>
      <c r="AT14164" s="19"/>
      <c r="AU14164" s="19"/>
    </row>
    <row r="14165" spans="3:47">
      <c r="C14165" s="20"/>
      <c r="Z14165" s="20"/>
      <c r="AG14165" s="20"/>
      <c r="AQ14165" s="19"/>
      <c r="AR14165" s="19"/>
      <c r="AS14165" s="19"/>
      <c r="AT14165" s="19"/>
      <c r="AU14165" s="19"/>
    </row>
    <row r="14166" spans="3:47">
      <c r="C14166" s="20"/>
      <c r="Z14166" s="20"/>
      <c r="AG14166" s="20"/>
      <c r="AQ14166" s="19"/>
      <c r="AR14166" s="19"/>
      <c r="AS14166" s="19"/>
      <c r="AT14166" s="19"/>
      <c r="AU14166" s="19"/>
    </row>
    <row r="14167" spans="3:47">
      <c r="C14167" s="20"/>
      <c r="Z14167" s="20"/>
      <c r="AG14167" s="20"/>
      <c r="AQ14167" s="19"/>
      <c r="AR14167" s="19"/>
      <c r="AS14167" s="19"/>
      <c r="AT14167" s="19"/>
      <c r="AU14167" s="19"/>
    </row>
    <row r="14168" spans="3:47">
      <c r="C14168" s="20"/>
      <c r="Z14168" s="20"/>
      <c r="AG14168" s="20"/>
      <c r="AQ14168" s="19"/>
      <c r="AR14168" s="19"/>
      <c r="AS14168" s="19"/>
      <c r="AT14168" s="19"/>
      <c r="AU14168" s="19"/>
    </row>
    <row r="14169" spans="3:47">
      <c r="C14169" s="20"/>
      <c r="Z14169" s="20"/>
      <c r="AG14169" s="20"/>
      <c r="AQ14169" s="19"/>
      <c r="AR14169" s="19"/>
      <c r="AS14169" s="19"/>
      <c r="AT14169" s="19"/>
      <c r="AU14169" s="19"/>
    </row>
    <row r="14170" spans="3:47">
      <c r="C14170" s="20"/>
      <c r="Z14170" s="20"/>
      <c r="AG14170" s="20"/>
      <c r="AQ14170" s="19"/>
      <c r="AR14170" s="19"/>
      <c r="AS14170" s="19"/>
      <c r="AT14170" s="19"/>
      <c r="AU14170" s="19"/>
    </row>
    <row r="14171" spans="3:47">
      <c r="C14171" s="20"/>
      <c r="Z14171" s="20"/>
      <c r="AG14171" s="20"/>
      <c r="AQ14171" s="19"/>
      <c r="AR14171" s="19"/>
      <c r="AS14171" s="19"/>
      <c r="AT14171" s="19"/>
      <c r="AU14171" s="19"/>
    </row>
    <row r="14172" spans="3:47">
      <c r="C14172" s="20"/>
      <c r="Z14172" s="20"/>
      <c r="AG14172" s="20"/>
      <c r="AQ14172" s="19"/>
      <c r="AR14172" s="19"/>
      <c r="AS14172" s="19"/>
      <c r="AT14172" s="19"/>
      <c r="AU14172" s="19"/>
    </row>
    <row r="14173" spans="3:47">
      <c r="C14173" s="20"/>
      <c r="Z14173" s="20"/>
      <c r="AG14173" s="20"/>
      <c r="AQ14173" s="19"/>
      <c r="AR14173" s="19"/>
      <c r="AS14173" s="19"/>
      <c r="AT14173" s="19"/>
      <c r="AU14173" s="19"/>
    </row>
    <row r="14174" spans="3:47">
      <c r="C14174" s="20"/>
      <c r="Z14174" s="20"/>
      <c r="AG14174" s="20"/>
      <c r="AQ14174" s="19"/>
      <c r="AR14174" s="19"/>
      <c r="AS14174" s="19"/>
      <c r="AT14174" s="19"/>
      <c r="AU14174" s="19"/>
    </row>
    <row r="14175" spans="3:47">
      <c r="C14175" s="20"/>
      <c r="Z14175" s="20"/>
      <c r="AG14175" s="20"/>
      <c r="AQ14175" s="19"/>
      <c r="AR14175" s="19"/>
      <c r="AS14175" s="19"/>
      <c r="AT14175" s="19"/>
      <c r="AU14175" s="19"/>
    </row>
    <row r="14176" spans="3:47">
      <c r="C14176" s="20"/>
      <c r="Z14176" s="20"/>
      <c r="AG14176" s="20"/>
      <c r="AQ14176" s="19"/>
      <c r="AR14176" s="19"/>
      <c r="AS14176" s="19"/>
      <c r="AT14176" s="19"/>
      <c r="AU14176" s="19"/>
    </row>
    <row r="14177" spans="3:47">
      <c r="C14177" s="20"/>
      <c r="Z14177" s="20"/>
      <c r="AG14177" s="20"/>
      <c r="AQ14177" s="19"/>
      <c r="AR14177" s="19"/>
      <c r="AS14177" s="19"/>
      <c r="AT14177" s="19"/>
      <c r="AU14177" s="19"/>
    </row>
    <row r="14178" spans="3:47">
      <c r="C14178" s="20"/>
      <c r="Z14178" s="20"/>
      <c r="AG14178" s="20"/>
      <c r="AQ14178" s="19"/>
      <c r="AR14178" s="19"/>
      <c r="AS14178" s="19"/>
      <c r="AT14178" s="19"/>
      <c r="AU14178" s="19"/>
    </row>
    <row r="14179" spans="3:47">
      <c r="C14179" s="20"/>
      <c r="Z14179" s="20"/>
      <c r="AG14179" s="20"/>
      <c r="AQ14179" s="19"/>
      <c r="AR14179" s="19"/>
      <c r="AS14179" s="19"/>
      <c r="AT14179" s="19"/>
      <c r="AU14179" s="19"/>
    </row>
    <row r="14180" spans="3:47">
      <c r="C14180" s="20"/>
      <c r="Z14180" s="20"/>
      <c r="AG14180" s="20"/>
      <c r="AQ14180" s="19"/>
      <c r="AR14180" s="19"/>
      <c r="AS14180" s="19"/>
      <c r="AT14180" s="19"/>
      <c r="AU14180" s="19"/>
    </row>
    <row r="14181" spans="3:47">
      <c r="C14181" s="20"/>
      <c r="Z14181" s="20"/>
      <c r="AG14181" s="20"/>
      <c r="AQ14181" s="19"/>
      <c r="AR14181" s="19"/>
      <c r="AS14181" s="19"/>
      <c r="AT14181" s="19"/>
      <c r="AU14181" s="19"/>
    </row>
    <row r="14182" spans="3:47">
      <c r="C14182" s="20"/>
      <c r="Z14182" s="20"/>
      <c r="AG14182" s="20"/>
      <c r="AQ14182" s="19"/>
      <c r="AR14182" s="19"/>
      <c r="AS14182" s="19"/>
      <c r="AT14182" s="19"/>
      <c r="AU14182" s="19"/>
    </row>
    <row r="14183" spans="3:47">
      <c r="C14183" s="20"/>
      <c r="Z14183" s="20"/>
      <c r="AG14183" s="20"/>
      <c r="AQ14183" s="19"/>
      <c r="AR14183" s="19"/>
      <c r="AS14183" s="19"/>
      <c r="AT14183" s="19"/>
      <c r="AU14183" s="19"/>
    </row>
    <row r="14184" spans="3:47">
      <c r="C14184" s="20"/>
      <c r="Z14184" s="20"/>
      <c r="AG14184" s="20"/>
      <c r="AQ14184" s="19"/>
      <c r="AR14184" s="19"/>
      <c r="AS14184" s="19"/>
      <c r="AT14184" s="19"/>
      <c r="AU14184" s="19"/>
    </row>
    <row r="14185" spans="3:47">
      <c r="C14185" s="20"/>
      <c r="Z14185" s="20"/>
      <c r="AG14185" s="20"/>
      <c r="AQ14185" s="19"/>
      <c r="AR14185" s="19"/>
      <c r="AS14185" s="19"/>
      <c r="AT14185" s="19"/>
      <c r="AU14185" s="19"/>
    </row>
    <row r="14186" spans="3:47">
      <c r="C14186" s="20"/>
      <c r="Z14186" s="20"/>
      <c r="AG14186" s="20"/>
      <c r="AQ14186" s="19"/>
      <c r="AR14186" s="19"/>
      <c r="AS14186" s="19"/>
      <c r="AT14186" s="19"/>
      <c r="AU14186" s="19"/>
    </row>
    <row r="14187" spans="3:47">
      <c r="C14187" s="20"/>
      <c r="Z14187" s="20"/>
      <c r="AG14187" s="20"/>
      <c r="AQ14187" s="19"/>
      <c r="AR14187" s="19"/>
      <c r="AS14187" s="19"/>
      <c r="AT14187" s="19"/>
      <c r="AU14187" s="19"/>
    </row>
    <row r="14188" spans="3:47">
      <c r="C14188" s="20"/>
      <c r="Z14188" s="20"/>
      <c r="AG14188" s="20"/>
      <c r="AQ14188" s="19"/>
      <c r="AR14188" s="19"/>
      <c r="AS14188" s="19"/>
      <c r="AT14188" s="19"/>
      <c r="AU14188" s="19"/>
    </row>
    <row r="14189" spans="3:47">
      <c r="C14189" s="20"/>
      <c r="Z14189" s="20"/>
      <c r="AG14189" s="20"/>
      <c r="AQ14189" s="19"/>
      <c r="AR14189" s="19"/>
      <c r="AS14189" s="19"/>
      <c r="AT14189" s="19"/>
      <c r="AU14189" s="19"/>
    </row>
    <row r="14190" spans="3:47">
      <c r="C14190" s="20"/>
      <c r="Z14190" s="20"/>
      <c r="AG14190" s="20"/>
      <c r="AQ14190" s="19"/>
      <c r="AR14190" s="19"/>
      <c r="AS14190" s="19"/>
      <c r="AT14190" s="19"/>
      <c r="AU14190" s="19"/>
    </row>
    <row r="14191" spans="3:47">
      <c r="C14191" s="20"/>
      <c r="Z14191" s="20"/>
      <c r="AG14191" s="20"/>
      <c r="AQ14191" s="19"/>
      <c r="AR14191" s="19"/>
      <c r="AS14191" s="19"/>
      <c r="AT14191" s="19"/>
      <c r="AU14191" s="19"/>
    </row>
    <row r="14192" spans="3:47">
      <c r="C14192" s="20"/>
      <c r="Z14192" s="20"/>
      <c r="AG14192" s="20"/>
      <c r="AQ14192" s="19"/>
      <c r="AR14192" s="19"/>
      <c r="AS14192" s="19"/>
      <c r="AT14192" s="19"/>
      <c r="AU14192" s="19"/>
    </row>
    <row r="14193" spans="3:47">
      <c r="C14193" s="20"/>
      <c r="Z14193" s="20"/>
      <c r="AG14193" s="20"/>
      <c r="AQ14193" s="19"/>
      <c r="AR14193" s="19"/>
      <c r="AS14193" s="19"/>
      <c r="AT14193" s="19"/>
      <c r="AU14193" s="19"/>
    </row>
    <row r="14194" spans="3:47">
      <c r="C14194" s="20"/>
      <c r="Z14194" s="20"/>
      <c r="AG14194" s="20"/>
      <c r="AQ14194" s="19"/>
      <c r="AR14194" s="19"/>
      <c r="AS14194" s="19"/>
      <c r="AT14194" s="19"/>
      <c r="AU14194" s="19"/>
    </row>
    <row r="14195" spans="3:47">
      <c r="C14195" s="20"/>
      <c r="Z14195" s="20"/>
      <c r="AG14195" s="20"/>
      <c r="AQ14195" s="19"/>
      <c r="AR14195" s="19"/>
      <c r="AS14195" s="19"/>
      <c r="AT14195" s="19"/>
      <c r="AU14195" s="19"/>
    </row>
    <row r="14196" spans="3:47">
      <c r="C14196" s="20"/>
      <c r="Z14196" s="20"/>
      <c r="AG14196" s="20"/>
      <c r="AQ14196" s="19"/>
      <c r="AR14196" s="19"/>
      <c r="AS14196" s="19"/>
      <c r="AT14196" s="19"/>
      <c r="AU14196" s="19"/>
    </row>
    <row r="14197" spans="3:47">
      <c r="C14197" s="20"/>
      <c r="Z14197" s="20"/>
      <c r="AG14197" s="20"/>
      <c r="AQ14197" s="19"/>
      <c r="AR14197" s="19"/>
      <c r="AS14197" s="19"/>
      <c r="AT14197" s="19"/>
      <c r="AU14197" s="19"/>
    </row>
    <row r="14198" spans="3:47">
      <c r="C14198" s="20"/>
      <c r="Z14198" s="20"/>
      <c r="AG14198" s="20"/>
      <c r="AQ14198" s="19"/>
      <c r="AR14198" s="19"/>
      <c r="AS14198" s="19"/>
      <c r="AT14198" s="19"/>
      <c r="AU14198" s="19"/>
    </row>
    <row r="14199" spans="3:47">
      <c r="C14199" s="20"/>
      <c r="Z14199" s="20"/>
      <c r="AG14199" s="20"/>
      <c r="AQ14199" s="19"/>
      <c r="AR14199" s="19"/>
      <c r="AS14199" s="19"/>
      <c r="AT14199" s="19"/>
      <c r="AU14199" s="19"/>
    </row>
    <row r="14200" spans="3:47">
      <c r="C14200" s="20"/>
      <c r="Z14200" s="20"/>
      <c r="AG14200" s="20"/>
      <c r="AQ14200" s="19"/>
      <c r="AR14200" s="19"/>
      <c r="AS14200" s="19"/>
      <c r="AT14200" s="19"/>
      <c r="AU14200" s="19"/>
    </row>
    <row r="14201" spans="3:47">
      <c r="C14201" s="20"/>
      <c r="Z14201" s="20"/>
      <c r="AG14201" s="20"/>
      <c r="AQ14201" s="19"/>
      <c r="AR14201" s="19"/>
      <c r="AS14201" s="19"/>
      <c r="AT14201" s="19"/>
      <c r="AU14201" s="19"/>
    </row>
    <row r="14202" spans="3:47">
      <c r="C14202" s="20"/>
      <c r="Z14202" s="20"/>
      <c r="AG14202" s="20"/>
      <c r="AQ14202" s="19"/>
      <c r="AR14202" s="19"/>
      <c r="AS14202" s="19"/>
      <c r="AT14202" s="19"/>
      <c r="AU14202" s="19"/>
    </row>
    <row r="14203" spans="3:47">
      <c r="C14203" s="20"/>
      <c r="Z14203" s="20"/>
      <c r="AG14203" s="20"/>
      <c r="AQ14203" s="19"/>
      <c r="AR14203" s="19"/>
      <c r="AS14203" s="19"/>
      <c r="AT14203" s="19"/>
      <c r="AU14203" s="19"/>
    </row>
    <row r="14204" spans="3:47">
      <c r="C14204" s="20"/>
      <c r="Z14204" s="20"/>
      <c r="AG14204" s="20"/>
      <c r="AQ14204" s="19"/>
      <c r="AR14204" s="19"/>
      <c r="AS14204" s="19"/>
      <c r="AT14204" s="19"/>
      <c r="AU14204" s="19"/>
    </row>
    <row r="14205" spans="3:47">
      <c r="C14205" s="20"/>
      <c r="Z14205" s="20"/>
      <c r="AG14205" s="20"/>
      <c r="AQ14205" s="19"/>
      <c r="AR14205" s="19"/>
      <c r="AS14205" s="19"/>
      <c r="AT14205" s="19"/>
      <c r="AU14205" s="19"/>
    </row>
    <row r="14206" spans="3:47">
      <c r="C14206" s="20"/>
      <c r="Z14206" s="20"/>
      <c r="AG14206" s="20"/>
      <c r="AQ14206" s="19"/>
      <c r="AR14206" s="19"/>
      <c r="AS14206" s="19"/>
      <c r="AT14206" s="19"/>
      <c r="AU14206" s="19"/>
    </row>
    <row r="14207" spans="3:47">
      <c r="C14207" s="20"/>
      <c r="Z14207" s="20"/>
      <c r="AG14207" s="20"/>
      <c r="AQ14207" s="19"/>
      <c r="AR14207" s="19"/>
      <c r="AS14207" s="19"/>
      <c r="AT14207" s="19"/>
      <c r="AU14207" s="19"/>
    </row>
    <row r="14208" spans="3:47">
      <c r="C14208" s="20"/>
      <c r="Z14208" s="20"/>
      <c r="AG14208" s="20"/>
      <c r="AQ14208" s="19"/>
      <c r="AR14208" s="19"/>
      <c r="AS14208" s="19"/>
      <c r="AT14208" s="19"/>
      <c r="AU14208" s="19"/>
    </row>
    <row r="14209" spans="3:47">
      <c r="C14209" s="20"/>
      <c r="Z14209" s="20"/>
      <c r="AG14209" s="20"/>
      <c r="AQ14209" s="19"/>
      <c r="AR14209" s="19"/>
      <c r="AS14209" s="19"/>
      <c r="AT14209" s="19"/>
      <c r="AU14209" s="19"/>
    </row>
    <row r="14210" spans="3:47">
      <c r="C14210" s="20"/>
      <c r="Z14210" s="20"/>
      <c r="AG14210" s="20"/>
      <c r="AQ14210" s="19"/>
      <c r="AR14210" s="19"/>
      <c r="AS14210" s="19"/>
      <c r="AT14210" s="19"/>
      <c r="AU14210" s="19"/>
    </row>
    <row r="14211" spans="3:47">
      <c r="C14211" s="20"/>
      <c r="Z14211" s="20"/>
      <c r="AG14211" s="20"/>
      <c r="AQ14211" s="19"/>
      <c r="AR14211" s="19"/>
      <c r="AS14211" s="19"/>
      <c r="AT14211" s="19"/>
      <c r="AU14211" s="19"/>
    </row>
    <row r="14212" spans="3:47">
      <c r="C14212" s="20"/>
      <c r="Z14212" s="20"/>
      <c r="AG14212" s="20"/>
      <c r="AQ14212" s="19"/>
      <c r="AR14212" s="19"/>
      <c r="AS14212" s="19"/>
      <c r="AT14212" s="19"/>
      <c r="AU14212" s="19"/>
    </row>
    <row r="14213" spans="3:47">
      <c r="C14213" s="20"/>
      <c r="Z14213" s="20"/>
      <c r="AG14213" s="20"/>
      <c r="AQ14213" s="19"/>
      <c r="AR14213" s="19"/>
      <c r="AS14213" s="19"/>
      <c r="AT14213" s="19"/>
      <c r="AU14213" s="19"/>
    </row>
    <row r="14214" spans="3:47">
      <c r="C14214" s="20"/>
      <c r="Z14214" s="20"/>
      <c r="AG14214" s="20"/>
      <c r="AQ14214" s="19"/>
      <c r="AR14214" s="19"/>
      <c r="AS14214" s="19"/>
      <c r="AT14214" s="19"/>
      <c r="AU14214" s="19"/>
    </row>
    <row r="14215" spans="3:47">
      <c r="C14215" s="20"/>
      <c r="Z14215" s="20"/>
      <c r="AG14215" s="20"/>
      <c r="AQ14215" s="19"/>
      <c r="AR14215" s="19"/>
      <c r="AS14215" s="19"/>
      <c r="AT14215" s="19"/>
      <c r="AU14215" s="19"/>
    </row>
    <row r="14216" spans="3:47">
      <c r="C14216" s="20"/>
      <c r="Z14216" s="20"/>
      <c r="AG14216" s="20"/>
      <c r="AQ14216" s="19"/>
      <c r="AR14216" s="19"/>
      <c r="AS14216" s="19"/>
      <c r="AT14216" s="19"/>
      <c r="AU14216" s="19"/>
    </row>
    <row r="14217" spans="3:47">
      <c r="C14217" s="20"/>
      <c r="Z14217" s="20"/>
      <c r="AG14217" s="20"/>
      <c r="AQ14217" s="19"/>
      <c r="AR14217" s="19"/>
      <c r="AS14217" s="19"/>
      <c r="AT14217" s="19"/>
      <c r="AU14217" s="19"/>
    </row>
    <row r="14218" spans="3:47">
      <c r="C14218" s="20"/>
      <c r="Z14218" s="20"/>
      <c r="AG14218" s="20"/>
      <c r="AQ14218" s="19"/>
      <c r="AR14218" s="19"/>
      <c r="AS14218" s="19"/>
      <c r="AT14218" s="19"/>
      <c r="AU14218" s="19"/>
    </row>
    <row r="14219" spans="3:47">
      <c r="C14219" s="20"/>
      <c r="Z14219" s="20"/>
      <c r="AG14219" s="20"/>
      <c r="AQ14219" s="19"/>
      <c r="AR14219" s="19"/>
      <c r="AS14219" s="19"/>
      <c r="AT14219" s="19"/>
      <c r="AU14219" s="19"/>
    </row>
    <row r="14220" spans="3:47">
      <c r="C14220" s="20"/>
      <c r="Z14220" s="20"/>
      <c r="AG14220" s="20"/>
      <c r="AQ14220" s="19"/>
      <c r="AR14220" s="19"/>
      <c r="AS14220" s="19"/>
      <c r="AT14220" s="19"/>
      <c r="AU14220" s="19"/>
    </row>
    <row r="14221" spans="3:47">
      <c r="C14221" s="20"/>
      <c r="Z14221" s="20"/>
      <c r="AG14221" s="20"/>
      <c r="AQ14221" s="19"/>
      <c r="AR14221" s="19"/>
      <c r="AS14221" s="19"/>
      <c r="AT14221" s="19"/>
      <c r="AU14221" s="19"/>
    </row>
    <row r="14222" spans="3:47">
      <c r="C14222" s="20"/>
      <c r="Z14222" s="20"/>
      <c r="AG14222" s="20"/>
      <c r="AQ14222" s="19"/>
      <c r="AR14222" s="19"/>
      <c r="AS14222" s="19"/>
      <c r="AT14222" s="19"/>
      <c r="AU14222" s="19"/>
    </row>
    <row r="14223" spans="3:47">
      <c r="C14223" s="20"/>
      <c r="Z14223" s="20"/>
      <c r="AG14223" s="20"/>
      <c r="AQ14223" s="19"/>
      <c r="AR14223" s="19"/>
      <c r="AS14223" s="19"/>
      <c r="AT14223" s="19"/>
      <c r="AU14223" s="19"/>
    </row>
    <row r="14224" spans="3:47">
      <c r="C14224" s="20"/>
      <c r="Z14224" s="20"/>
      <c r="AG14224" s="20"/>
      <c r="AQ14224" s="19"/>
      <c r="AR14224" s="19"/>
      <c r="AS14224" s="19"/>
      <c r="AT14224" s="19"/>
      <c r="AU14224" s="19"/>
    </row>
    <row r="14225" spans="3:47">
      <c r="C14225" s="20"/>
      <c r="Z14225" s="20"/>
      <c r="AG14225" s="20"/>
      <c r="AQ14225" s="19"/>
      <c r="AR14225" s="19"/>
      <c r="AS14225" s="19"/>
      <c r="AT14225" s="19"/>
      <c r="AU14225" s="19"/>
    </row>
    <row r="14226" spans="3:47">
      <c r="C14226" s="20"/>
      <c r="Z14226" s="20"/>
      <c r="AG14226" s="20"/>
      <c r="AQ14226" s="19"/>
      <c r="AR14226" s="19"/>
      <c r="AS14226" s="19"/>
      <c r="AT14226" s="19"/>
      <c r="AU14226" s="19"/>
    </row>
    <row r="14227" spans="3:47">
      <c r="C14227" s="20"/>
      <c r="Z14227" s="20"/>
      <c r="AG14227" s="20"/>
      <c r="AQ14227" s="19"/>
      <c r="AR14227" s="19"/>
      <c r="AS14227" s="19"/>
      <c r="AT14227" s="19"/>
      <c r="AU14227" s="19"/>
    </row>
    <row r="14228" spans="3:47">
      <c r="C14228" s="20"/>
      <c r="Z14228" s="20"/>
      <c r="AG14228" s="20"/>
      <c r="AQ14228" s="19"/>
      <c r="AR14228" s="19"/>
      <c r="AS14228" s="19"/>
      <c r="AT14228" s="19"/>
      <c r="AU14228" s="19"/>
    </row>
    <row r="14229" spans="3:47">
      <c r="C14229" s="20"/>
      <c r="Z14229" s="20"/>
      <c r="AG14229" s="20"/>
      <c r="AQ14229" s="19"/>
      <c r="AR14229" s="19"/>
      <c r="AS14229" s="19"/>
      <c r="AT14229" s="19"/>
      <c r="AU14229" s="19"/>
    </row>
    <row r="14230" spans="3:47">
      <c r="C14230" s="20"/>
      <c r="Z14230" s="20"/>
      <c r="AG14230" s="20"/>
      <c r="AQ14230" s="19"/>
      <c r="AR14230" s="19"/>
      <c r="AS14230" s="19"/>
      <c r="AT14230" s="19"/>
      <c r="AU14230" s="19"/>
    </row>
    <row r="14231" spans="3:47">
      <c r="C14231" s="20"/>
      <c r="Z14231" s="20"/>
      <c r="AG14231" s="20"/>
      <c r="AQ14231" s="19"/>
      <c r="AR14231" s="19"/>
      <c r="AS14231" s="19"/>
      <c r="AT14231" s="19"/>
      <c r="AU14231" s="19"/>
    </row>
    <row r="14232" spans="3:47">
      <c r="C14232" s="20"/>
      <c r="Z14232" s="20"/>
      <c r="AG14232" s="20"/>
      <c r="AQ14232" s="19"/>
      <c r="AR14232" s="19"/>
      <c r="AS14232" s="19"/>
      <c r="AT14232" s="19"/>
      <c r="AU14232" s="19"/>
    </row>
    <row r="14233" spans="3:47">
      <c r="C14233" s="20"/>
      <c r="Z14233" s="20"/>
      <c r="AG14233" s="20"/>
      <c r="AQ14233" s="19"/>
      <c r="AR14233" s="19"/>
      <c r="AS14233" s="19"/>
      <c r="AT14233" s="19"/>
      <c r="AU14233" s="19"/>
    </row>
    <row r="14234" spans="3:47">
      <c r="C14234" s="20"/>
      <c r="Z14234" s="20"/>
      <c r="AG14234" s="20"/>
      <c r="AQ14234" s="19"/>
      <c r="AR14234" s="19"/>
      <c r="AS14234" s="19"/>
      <c r="AT14234" s="19"/>
      <c r="AU14234" s="19"/>
    </row>
    <row r="14235" spans="3:47">
      <c r="C14235" s="20"/>
      <c r="Z14235" s="20"/>
      <c r="AG14235" s="20"/>
      <c r="AQ14235" s="19"/>
      <c r="AR14235" s="19"/>
      <c r="AS14235" s="19"/>
      <c r="AT14235" s="19"/>
      <c r="AU14235" s="19"/>
    </row>
    <row r="14236" spans="3:47">
      <c r="C14236" s="20"/>
      <c r="Z14236" s="20"/>
      <c r="AG14236" s="20"/>
      <c r="AQ14236" s="19"/>
      <c r="AR14236" s="19"/>
      <c r="AS14236" s="19"/>
      <c r="AT14236" s="19"/>
      <c r="AU14236" s="19"/>
    </row>
    <row r="14237" spans="3:47">
      <c r="C14237" s="20"/>
      <c r="Z14237" s="20"/>
      <c r="AG14237" s="20"/>
      <c r="AQ14237" s="19"/>
      <c r="AR14237" s="19"/>
      <c r="AS14237" s="19"/>
      <c r="AT14237" s="19"/>
      <c r="AU14237" s="19"/>
    </row>
    <row r="14238" spans="3:47">
      <c r="C14238" s="20"/>
      <c r="Z14238" s="20"/>
      <c r="AG14238" s="20"/>
      <c r="AQ14238" s="19"/>
      <c r="AR14238" s="19"/>
      <c r="AS14238" s="19"/>
      <c r="AT14238" s="19"/>
      <c r="AU14238" s="19"/>
    </row>
    <row r="14239" spans="3:47">
      <c r="C14239" s="20"/>
      <c r="Z14239" s="20"/>
      <c r="AG14239" s="20"/>
      <c r="AQ14239" s="19"/>
      <c r="AR14239" s="19"/>
      <c r="AS14239" s="19"/>
      <c r="AT14239" s="19"/>
      <c r="AU14239" s="19"/>
    </row>
    <row r="14240" spans="3:47">
      <c r="C14240" s="20"/>
      <c r="Z14240" s="20"/>
      <c r="AG14240" s="20"/>
      <c r="AQ14240" s="19"/>
      <c r="AR14240" s="19"/>
      <c r="AS14240" s="19"/>
      <c r="AT14240" s="19"/>
      <c r="AU14240" s="19"/>
    </row>
    <row r="14241" spans="3:47">
      <c r="C14241" s="20"/>
      <c r="Z14241" s="20"/>
      <c r="AG14241" s="20"/>
      <c r="AQ14241" s="19"/>
      <c r="AR14241" s="19"/>
      <c r="AS14241" s="19"/>
      <c r="AT14241" s="19"/>
      <c r="AU14241" s="19"/>
    </row>
    <row r="14242" spans="3:47">
      <c r="C14242" s="20"/>
      <c r="Z14242" s="20"/>
      <c r="AG14242" s="20"/>
      <c r="AQ14242" s="19"/>
      <c r="AR14242" s="19"/>
      <c r="AS14242" s="19"/>
      <c r="AT14242" s="19"/>
      <c r="AU14242" s="19"/>
    </row>
    <row r="14243" spans="3:47">
      <c r="C14243" s="20"/>
      <c r="Z14243" s="20"/>
      <c r="AG14243" s="20"/>
      <c r="AQ14243" s="19"/>
      <c r="AR14243" s="19"/>
      <c r="AS14243" s="19"/>
      <c r="AT14243" s="19"/>
      <c r="AU14243" s="19"/>
    </row>
    <row r="14244" spans="3:47">
      <c r="C14244" s="20"/>
      <c r="Z14244" s="20"/>
      <c r="AG14244" s="20"/>
      <c r="AQ14244" s="19"/>
      <c r="AR14244" s="19"/>
      <c r="AS14244" s="19"/>
      <c r="AT14244" s="19"/>
      <c r="AU14244" s="19"/>
    </row>
    <row r="14245" spans="3:47">
      <c r="C14245" s="20"/>
      <c r="Z14245" s="20"/>
      <c r="AG14245" s="20"/>
      <c r="AQ14245" s="19"/>
      <c r="AR14245" s="19"/>
      <c r="AS14245" s="19"/>
      <c r="AT14245" s="19"/>
      <c r="AU14245" s="19"/>
    </row>
    <row r="14246" spans="3:47">
      <c r="C14246" s="20"/>
      <c r="Z14246" s="20"/>
      <c r="AG14246" s="20"/>
      <c r="AQ14246" s="19"/>
      <c r="AR14246" s="19"/>
      <c r="AS14246" s="19"/>
      <c r="AT14246" s="19"/>
      <c r="AU14246" s="19"/>
    </row>
    <row r="14247" spans="3:47">
      <c r="C14247" s="20"/>
      <c r="Z14247" s="20"/>
      <c r="AG14247" s="20"/>
      <c r="AQ14247" s="19"/>
      <c r="AR14247" s="19"/>
      <c r="AS14247" s="19"/>
      <c r="AT14247" s="19"/>
      <c r="AU14247" s="19"/>
    </row>
    <row r="14248" spans="3:47">
      <c r="C14248" s="20"/>
      <c r="Z14248" s="20"/>
      <c r="AG14248" s="20"/>
      <c r="AQ14248" s="19"/>
      <c r="AR14248" s="19"/>
      <c r="AS14248" s="19"/>
      <c r="AT14248" s="19"/>
      <c r="AU14248" s="19"/>
    </row>
    <row r="14249" spans="3:47">
      <c r="C14249" s="20"/>
      <c r="Z14249" s="20"/>
      <c r="AG14249" s="20"/>
      <c r="AQ14249" s="19"/>
      <c r="AR14249" s="19"/>
      <c r="AS14249" s="19"/>
      <c r="AT14249" s="19"/>
      <c r="AU14249" s="19"/>
    </row>
    <row r="14250" spans="3:47">
      <c r="C14250" s="20"/>
      <c r="Z14250" s="20"/>
      <c r="AG14250" s="20"/>
      <c r="AQ14250" s="19"/>
      <c r="AR14250" s="19"/>
      <c r="AS14250" s="19"/>
      <c r="AT14250" s="19"/>
      <c r="AU14250" s="19"/>
    </row>
    <row r="14251" spans="3:47">
      <c r="C14251" s="20"/>
      <c r="Z14251" s="20"/>
      <c r="AG14251" s="20"/>
      <c r="AQ14251" s="19"/>
      <c r="AR14251" s="19"/>
      <c r="AS14251" s="19"/>
      <c r="AT14251" s="19"/>
      <c r="AU14251" s="19"/>
    </row>
    <row r="14252" spans="3:47">
      <c r="C14252" s="20"/>
      <c r="Z14252" s="20"/>
      <c r="AG14252" s="20"/>
      <c r="AQ14252" s="19"/>
      <c r="AR14252" s="19"/>
      <c r="AS14252" s="19"/>
      <c r="AT14252" s="19"/>
      <c r="AU14252" s="19"/>
    </row>
    <row r="14253" spans="3:47">
      <c r="C14253" s="20"/>
      <c r="Z14253" s="20"/>
      <c r="AG14253" s="20"/>
      <c r="AQ14253" s="19"/>
      <c r="AR14253" s="19"/>
      <c r="AS14253" s="19"/>
      <c r="AT14253" s="19"/>
      <c r="AU14253" s="19"/>
    </row>
    <row r="14254" spans="3:47">
      <c r="C14254" s="20"/>
      <c r="Z14254" s="20"/>
      <c r="AG14254" s="20"/>
      <c r="AQ14254" s="19"/>
      <c r="AR14254" s="19"/>
      <c r="AS14254" s="19"/>
      <c r="AT14254" s="19"/>
      <c r="AU14254" s="19"/>
    </row>
    <row r="14255" spans="3:47">
      <c r="C14255" s="20"/>
      <c r="Z14255" s="20"/>
      <c r="AG14255" s="20"/>
      <c r="AQ14255" s="19"/>
      <c r="AR14255" s="19"/>
      <c r="AS14255" s="19"/>
      <c r="AT14255" s="19"/>
      <c r="AU14255" s="19"/>
    </row>
    <row r="14256" spans="3:47">
      <c r="C14256" s="20"/>
      <c r="Z14256" s="20"/>
      <c r="AG14256" s="20"/>
      <c r="AQ14256" s="19"/>
      <c r="AR14256" s="19"/>
      <c r="AS14256" s="19"/>
      <c r="AT14256" s="19"/>
      <c r="AU14256" s="19"/>
    </row>
    <row r="14257" spans="3:47">
      <c r="C14257" s="20"/>
      <c r="Z14257" s="20"/>
      <c r="AG14257" s="20"/>
      <c r="AQ14257" s="19"/>
      <c r="AR14257" s="19"/>
      <c r="AS14257" s="19"/>
      <c r="AT14257" s="19"/>
      <c r="AU14257" s="19"/>
    </row>
    <row r="14258" spans="3:47">
      <c r="C14258" s="20"/>
      <c r="Z14258" s="20"/>
      <c r="AG14258" s="20"/>
      <c r="AQ14258" s="19"/>
      <c r="AR14258" s="19"/>
      <c r="AS14258" s="19"/>
      <c r="AT14258" s="19"/>
      <c r="AU14258" s="19"/>
    </row>
    <row r="14259" spans="3:47">
      <c r="C14259" s="20"/>
      <c r="Z14259" s="20"/>
      <c r="AG14259" s="20"/>
      <c r="AQ14259" s="19"/>
      <c r="AR14259" s="19"/>
      <c r="AS14259" s="19"/>
      <c r="AT14259" s="19"/>
      <c r="AU14259" s="19"/>
    </row>
    <row r="14260" spans="3:47">
      <c r="C14260" s="20"/>
      <c r="Z14260" s="20"/>
      <c r="AG14260" s="20"/>
      <c r="AQ14260" s="19"/>
      <c r="AR14260" s="19"/>
      <c r="AS14260" s="19"/>
      <c r="AT14260" s="19"/>
      <c r="AU14260" s="19"/>
    </row>
    <row r="14261" spans="3:47">
      <c r="C14261" s="20"/>
      <c r="Z14261" s="20"/>
      <c r="AG14261" s="20"/>
      <c r="AQ14261" s="19"/>
      <c r="AR14261" s="19"/>
      <c r="AS14261" s="19"/>
      <c r="AT14261" s="19"/>
      <c r="AU14261" s="19"/>
    </row>
    <row r="14262" spans="3:47">
      <c r="C14262" s="20"/>
      <c r="Z14262" s="20"/>
      <c r="AG14262" s="20"/>
      <c r="AQ14262" s="19"/>
      <c r="AR14262" s="19"/>
      <c r="AS14262" s="19"/>
      <c r="AT14262" s="19"/>
      <c r="AU14262" s="19"/>
    </row>
    <row r="14263" spans="3:47">
      <c r="C14263" s="20"/>
      <c r="Z14263" s="20"/>
      <c r="AG14263" s="20"/>
      <c r="AQ14263" s="19"/>
      <c r="AR14263" s="19"/>
      <c r="AS14263" s="19"/>
      <c r="AT14263" s="19"/>
      <c r="AU14263" s="19"/>
    </row>
    <row r="14264" spans="3:47">
      <c r="C14264" s="20"/>
      <c r="Z14264" s="20"/>
      <c r="AG14264" s="20"/>
      <c r="AQ14264" s="19"/>
      <c r="AR14264" s="19"/>
      <c r="AS14264" s="19"/>
      <c r="AT14264" s="19"/>
      <c r="AU14264" s="19"/>
    </row>
    <row r="14265" spans="3:47">
      <c r="C14265" s="20"/>
      <c r="Z14265" s="20"/>
      <c r="AG14265" s="20"/>
      <c r="AQ14265" s="19"/>
      <c r="AR14265" s="19"/>
      <c r="AS14265" s="19"/>
      <c r="AT14265" s="19"/>
      <c r="AU14265" s="19"/>
    </row>
    <row r="14266" spans="3:47">
      <c r="C14266" s="20"/>
      <c r="Z14266" s="20"/>
      <c r="AG14266" s="20"/>
      <c r="AQ14266" s="19"/>
      <c r="AR14266" s="19"/>
      <c r="AS14266" s="19"/>
      <c r="AT14266" s="19"/>
      <c r="AU14266" s="19"/>
    </row>
    <row r="14267" spans="3:47">
      <c r="C14267" s="20"/>
      <c r="Z14267" s="20"/>
      <c r="AG14267" s="20"/>
      <c r="AQ14267" s="19"/>
      <c r="AR14267" s="19"/>
      <c r="AS14267" s="19"/>
      <c r="AT14267" s="19"/>
      <c r="AU14267" s="19"/>
    </row>
    <row r="14268" spans="3:47">
      <c r="C14268" s="20"/>
      <c r="Z14268" s="20"/>
      <c r="AG14268" s="20"/>
      <c r="AQ14268" s="19"/>
      <c r="AR14268" s="19"/>
      <c r="AS14268" s="19"/>
      <c r="AT14268" s="19"/>
      <c r="AU14268" s="19"/>
    </row>
    <row r="14269" spans="3:47">
      <c r="C14269" s="20"/>
      <c r="Z14269" s="20"/>
      <c r="AG14269" s="20"/>
      <c r="AQ14269" s="19"/>
      <c r="AR14269" s="19"/>
      <c r="AS14269" s="19"/>
      <c r="AT14269" s="19"/>
      <c r="AU14269" s="19"/>
    </row>
    <row r="14270" spans="3:47">
      <c r="C14270" s="20"/>
      <c r="Z14270" s="20"/>
      <c r="AG14270" s="20"/>
      <c r="AQ14270" s="19"/>
      <c r="AR14270" s="19"/>
      <c r="AS14270" s="19"/>
      <c r="AT14270" s="19"/>
      <c r="AU14270" s="19"/>
    </row>
    <row r="14271" spans="3:47">
      <c r="C14271" s="20"/>
      <c r="Z14271" s="20"/>
      <c r="AG14271" s="20"/>
      <c r="AQ14271" s="19"/>
      <c r="AR14271" s="19"/>
      <c r="AS14271" s="19"/>
      <c r="AT14271" s="19"/>
      <c r="AU14271" s="19"/>
    </row>
    <row r="14272" spans="3:47">
      <c r="C14272" s="20"/>
      <c r="Z14272" s="20"/>
      <c r="AG14272" s="20"/>
      <c r="AQ14272" s="19"/>
      <c r="AR14272" s="19"/>
      <c r="AS14272" s="19"/>
      <c r="AT14272" s="19"/>
      <c r="AU14272" s="19"/>
    </row>
    <row r="14273" spans="3:47">
      <c r="C14273" s="20"/>
      <c r="Z14273" s="20"/>
      <c r="AG14273" s="20"/>
      <c r="AQ14273" s="19"/>
      <c r="AR14273" s="19"/>
      <c r="AS14273" s="19"/>
      <c r="AT14273" s="19"/>
      <c r="AU14273" s="19"/>
    </row>
    <row r="14274" spans="3:47">
      <c r="C14274" s="20"/>
      <c r="Z14274" s="20"/>
      <c r="AG14274" s="20"/>
      <c r="AQ14274" s="19"/>
      <c r="AR14274" s="19"/>
      <c r="AS14274" s="19"/>
      <c r="AT14274" s="19"/>
      <c r="AU14274" s="19"/>
    </row>
    <row r="14275" spans="3:47">
      <c r="C14275" s="20"/>
      <c r="Z14275" s="20"/>
      <c r="AG14275" s="20"/>
      <c r="AQ14275" s="19"/>
      <c r="AR14275" s="19"/>
      <c r="AS14275" s="19"/>
      <c r="AT14275" s="19"/>
      <c r="AU14275" s="19"/>
    </row>
    <row r="14276" spans="3:47">
      <c r="C14276" s="20"/>
      <c r="Z14276" s="20"/>
      <c r="AG14276" s="20"/>
      <c r="AQ14276" s="19"/>
      <c r="AR14276" s="19"/>
      <c r="AS14276" s="19"/>
      <c r="AT14276" s="19"/>
      <c r="AU14276" s="19"/>
    </row>
    <row r="14277" spans="3:47">
      <c r="C14277" s="20"/>
      <c r="Z14277" s="20"/>
      <c r="AG14277" s="20"/>
      <c r="AQ14277" s="19"/>
      <c r="AR14277" s="19"/>
      <c r="AS14277" s="19"/>
      <c r="AT14277" s="19"/>
      <c r="AU14277" s="19"/>
    </row>
    <row r="14278" spans="3:47">
      <c r="C14278" s="20"/>
      <c r="Z14278" s="20"/>
      <c r="AG14278" s="20"/>
      <c r="AQ14278" s="19"/>
      <c r="AR14278" s="19"/>
      <c r="AS14278" s="19"/>
      <c r="AT14278" s="19"/>
      <c r="AU14278" s="19"/>
    </row>
    <row r="14279" spans="3:47">
      <c r="C14279" s="20"/>
      <c r="Z14279" s="20"/>
      <c r="AG14279" s="20"/>
      <c r="AQ14279" s="19"/>
      <c r="AR14279" s="19"/>
      <c r="AS14279" s="19"/>
      <c r="AT14279" s="19"/>
      <c r="AU14279" s="19"/>
    </row>
    <row r="14280" spans="3:47">
      <c r="C14280" s="20"/>
      <c r="Z14280" s="20"/>
      <c r="AG14280" s="20"/>
      <c r="AQ14280" s="19"/>
      <c r="AR14280" s="19"/>
      <c r="AS14280" s="19"/>
      <c r="AT14280" s="19"/>
      <c r="AU14280" s="19"/>
    </row>
    <row r="14281" spans="3:47">
      <c r="C14281" s="20"/>
      <c r="Z14281" s="20"/>
      <c r="AG14281" s="20"/>
      <c r="AQ14281" s="19"/>
      <c r="AR14281" s="19"/>
      <c r="AS14281" s="19"/>
      <c r="AT14281" s="19"/>
      <c r="AU14281" s="19"/>
    </row>
    <row r="14282" spans="3:47">
      <c r="C14282" s="20"/>
      <c r="Z14282" s="20"/>
      <c r="AG14282" s="20"/>
      <c r="AQ14282" s="19"/>
      <c r="AR14282" s="19"/>
      <c r="AS14282" s="19"/>
      <c r="AT14282" s="19"/>
      <c r="AU14282" s="19"/>
    </row>
    <row r="14283" spans="3:47">
      <c r="C14283" s="20"/>
      <c r="Z14283" s="20"/>
      <c r="AG14283" s="20"/>
      <c r="AQ14283" s="19"/>
      <c r="AR14283" s="19"/>
      <c r="AS14283" s="19"/>
      <c r="AT14283" s="19"/>
      <c r="AU14283" s="19"/>
    </row>
    <row r="14284" spans="3:47">
      <c r="C14284" s="20"/>
      <c r="Z14284" s="20"/>
      <c r="AG14284" s="20"/>
      <c r="AQ14284" s="19"/>
      <c r="AR14284" s="19"/>
      <c r="AS14284" s="19"/>
      <c r="AT14284" s="19"/>
      <c r="AU14284" s="19"/>
    </row>
    <row r="14285" spans="3:47">
      <c r="C14285" s="20"/>
      <c r="Z14285" s="20"/>
      <c r="AG14285" s="20"/>
      <c r="AQ14285" s="19"/>
      <c r="AR14285" s="19"/>
      <c r="AS14285" s="19"/>
      <c r="AT14285" s="19"/>
      <c r="AU14285" s="19"/>
    </row>
    <row r="14286" spans="3:47">
      <c r="C14286" s="20"/>
      <c r="Z14286" s="20"/>
      <c r="AG14286" s="20"/>
      <c r="AQ14286" s="19"/>
      <c r="AR14286" s="19"/>
      <c r="AS14286" s="19"/>
      <c r="AT14286" s="19"/>
      <c r="AU14286" s="19"/>
    </row>
    <row r="14287" spans="3:47">
      <c r="C14287" s="20"/>
      <c r="Z14287" s="20"/>
      <c r="AG14287" s="20"/>
      <c r="AQ14287" s="19"/>
      <c r="AR14287" s="19"/>
      <c r="AS14287" s="19"/>
      <c r="AT14287" s="19"/>
      <c r="AU14287" s="19"/>
    </row>
    <row r="14288" spans="3:47">
      <c r="C14288" s="20"/>
      <c r="Z14288" s="20"/>
      <c r="AG14288" s="20"/>
      <c r="AQ14288" s="19"/>
      <c r="AR14288" s="19"/>
      <c r="AS14288" s="19"/>
      <c r="AT14288" s="19"/>
      <c r="AU14288" s="19"/>
    </row>
    <row r="14289" spans="3:47">
      <c r="C14289" s="20"/>
      <c r="Z14289" s="20"/>
      <c r="AG14289" s="20"/>
      <c r="AQ14289" s="19"/>
      <c r="AR14289" s="19"/>
      <c r="AS14289" s="19"/>
      <c r="AT14289" s="19"/>
      <c r="AU14289" s="19"/>
    </row>
    <row r="14290" spans="3:47">
      <c r="C14290" s="20"/>
      <c r="Z14290" s="20"/>
      <c r="AG14290" s="20"/>
      <c r="AQ14290" s="19"/>
      <c r="AR14290" s="19"/>
      <c r="AS14290" s="19"/>
      <c r="AT14290" s="19"/>
      <c r="AU14290" s="19"/>
    </row>
    <row r="14291" spans="3:47">
      <c r="C14291" s="20"/>
      <c r="Z14291" s="20"/>
      <c r="AG14291" s="20"/>
      <c r="AQ14291" s="19"/>
      <c r="AR14291" s="19"/>
      <c r="AS14291" s="19"/>
      <c r="AT14291" s="19"/>
      <c r="AU14291" s="19"/>
    </row>
    <row r="14292" spans="3:47">
      <c r="C14292" s="20"/>
      <c r="Z14292" s="20"/>
      <c r="AG14292" s="20"/>
      <c r="AQ14292" s="19"/>
      <c r="AR14292" s="19"/>
      <c r="AS14292" s="19"/>
      <c r="AT14292" s="19"/>
      <c r="AU14292" s="19"/>
    </row>
    <row r="14293" spans="3:47">
      <c r="C14293" s="20"/>
      <c r="Z14293" s="20"/>
      <c r="AG14293" s="20"/>
      <c r="AQ14293" s="19"/>
      <c r="AR14293" s="19"/>
      <c r="AS14293" s="19"/>
      <c r="AT14293" s="19"/>
      <c r="AU14293" s="19"/>
    </row>
    <row r="14294" spans="3:47">
      <c r="C14294" s="20"/>
      <c r="Z14294" s="20"/>
      <c r="AG14294" s="20"/>
      <c r="AQ14294" s="19"/>
      <c r="AR14294" s="19"/>
      <c r="AS14294" s="19"/>
      <c r="AT14294" s="19"/>
      <c r="AU14294" s="19"/>
    </row>
    <row r="14295" spans="3:47">
      <c r="C14295" s="20"/>
      <c r="Z14295" s="20"/>
      <c r="AG14295" s="20"/>
      <c r="AQ14295" s="19"/>
      <c r="AR14295" s="19"/>
      <c r="AS14295" s="19"/>
      <c r="AT14295" s="19"/>
      <c r="AU14295" s="19"/>
    </row>
    <row r="14296" spans="3:47">
      <c r="C14296" s="20"/>
      <c r="Z14296" s="20"/>
      <c r="AG14296" s="20"/>
      <c r="AQ14296" s="19"/>
      <c r="AR14296" s="19"/>
      <c r="AS14296" s="19"/>
      <c r="AT14296" s="19"/>
      <c r="AU14296" s="19"/>
    </row>
    <row r="14297" spans="3:47">
      <c r="C14297" s="20"/>
      <c r="Z14297" s="20"/>
      <c r="AG14297" s="20"/>
      <c r="AQ14297" s="19"/>
      <c r="AR14297" s="19"/>
      <c r="AS14297" s="19"/>
      <c r="AT14297" s="19"/>
      <c r="AU14297" s="19"/>
    </row>
    <row r="14298" spans="3:47">
      <c r="C14298" s="20"/>
      <c r="Z14298" s="20"/>
      <c r="AG14298" s="20"/>
      <c r="AQ14298" s="19"/>
      <c r="AR14298" s="19"/>
      <c r="AS14298" s="19"/>
      <c r="AT14298" s="19"/>
      <c r="AU14298" s="19"/>
    </row>
    <row r="14299" spans="3:47">
      <c r="C14299" s="20"/>
      <c r="Z14299" s="20"/>
      <c r="AG14299" s="20"/>
      <c r="AQ14299" s="19"/>
      <c r="AR14299" s="19"/>
      <c r="AS14299" s="19"/>
      <c r="AT14299" s="19"/>
      <c r="AU14299" s="19"/>
    </row>
    <row r="14300" spans="3:47">
      <c r="C14300" s="20"/>
      <c r="Z14300" s="20"/>
      <c r="AG14300" s="20"/>
      <c r="AQ14300" s="19"/>
      <c r="AR14300" s="19"/>
      <c r="AS14300" s="19"/>
      <c r="AT14300" s="19"/>
      <c r="AU14300" s="19"/>
    </row>
    <row r="14301" spans="3:47">
      <c r="C14301" s="20"/>
      <c r="Z14301" s="20"/>
      <c r="AG14301" s="20"/>
      <c r="AQ14301" s="19"/>
      <c r="AR14301" s="19"/>
      <c r="AS14301" s="19"/>
      <c r="AT14301" s="19"/>
      <c r="AU14301" s="19"/>
    </row>
    <row r="14302" spans="3:47">
      <c r="C14302" s="20"/>
      <c r="Z14302" s="20"/>
      <c r="AG14302" s="20"/>
      <c r="AQ14302" s="19"/>
      <c r="AR14302" s="19"/>
      <c r="AS14302" s="19"/>
      <c r="AT14302" s="19"/>
      <c r="AU14302" s="19"/>
    </row>
    <row r="14303" spans="3:47">
      <c r="C14303" s="20"/>
      <c r="Z14303" s="20"/>
      <c r="AG14303" s="20"/>
      <c r="AQ14303" s="19"/>
      <c r="AR14303" s="19"/>
      <c r="AS14303" s="19"/>
      <c r="AT14303" s="19"/>
      <c r="AU14303" s="19"/>
    </row>
    <row r="14304" spans="3:47">
      <c r="C14304" s="20"/>
      <c r="Z14304" s="20"/>
      <c r="AG14304" s="20"/>
      <c r="AQ14304" s="19"/>
      <c r="AR14304" s="19"/>
      <c r="AS14304" s="19"/>
      <c r="AT14304" s="19"/>
      <c r="AU14304" s="19"/>
    </row>
    <row r="14305" spans="3:47">
      <c r="C14305" s="20"/>
      <c r="Z14305" s="20"/>
      <c r="AG14305" s="20"/>
      <c r="AQ14305" s="19"/>
      <c r="AR14305" s="19"/>
      <c r="AS14305" s="19"/>
      <c r="AT14305" s="19"/>
      <c r="AU14305" s="19"/>
    </row>
    <row r="14306" spans="3:47">
      <c r="C14306" s="20"/>
      <c r="Z14306" s="20"/>
      <c r="AG14306" s="20"/>
      <c r="AQ14306" s="19"/>
      <c r="AR14306" s="19"/>
      <c r="AS14306" s="19"/>
      <c r="AT14306" s="19"/>
      <c r="AU14306" s="19"/>
    </row>
    <row r="14307" spans="3:47">
      <c r="C14307" s="20"/>
      <c r="Z14307" s="20"/>
      <c r="AG14307" s="20"/>
      <c r="AQ14307" s="19"/>
      <c r="AR14307" s="19"/>
      <c r="AS14307" s="19"/>
      <c r="AT14307" s="19"/>
      <c r="AU14307" s="19"/>
    </row>
    <row r="14308" spans="3:47">
      <c r="C14308" s="20"/>
      <c r="Z14308" s="20"/>
      <c r="AG14308" s="20"/>
      <c r="AQ14308" s="19"/>
      <c r="AR14308" s="19"/>
      <c r="AS14308" s="19"/>
      <c r="AT14308" s="19"/>
      <c r="AU14308" s="19"/>
    </row>
    <row r="14309" spans="3:47">
      <c r="C14309" s="20"/>
      <c r="Z14309" s="20"/>
      <c r="AG14309" s="20"/>
      <c r="AQ14309" s="19"/>
      <c r="AR14309" s="19"/>
      <c r="AS14309" s="19"/>
      <c r="AT14309" s="19"/>
      <c r="AU14309" s="19"/>
    </row>
    <row r="14310" spans="3:47">
      <c r="C14310" s="20"/>
      <c r="Z14310" s="20"/>
      <c r="AG14310" s="20"/>
      <c r="AQ14310" s="19"/>
      <c r="AR14310" s="19"/>
      <c r="AS14310" s="19"/>
      <c r="AT14310" s="19"/>
      <c r="AU14310" s="19"/>
    </row>
    <row r="14311" spans="3:47">
      <c r="C14311" s="20"/>
      <c r="Z14311" s="20"/>
      <c r="AG14311" s="20"/>
      <c r="AQ14311" s="19"/>
      <c r="AR14311" s="19"/>
      <c r="AS14311" s="19"/>
      <c r="AT14311" s="19"/>
      <c r="AU14311" s="19"/>
    </row>
    <row r="14312" spans="3:47">
      <c r="C14312" s="20"/>
      <c r="Z14312" s="20"/>
      <c r="AG14312" s="20"/>
      <c r="AQ14312" s="19"/>
      <c r="AR14312" s="19"/>
      <c r="AS14312" s="19"/>
      <c r="AT14312" s="19"/>
      <c r="AU14312" s="19"/>
    </row>
    <row r="14313" spans="3:47">
      <c r="C14313" s="20"/>
      <c r="Z14313" s="20"/>
      <c r="AG14313" s="20"/>
      <c r="AQ14313" s="19"/>
      <c r="AR14313" s="19"/>
      <c r="AS14313" s="19"/>
      <c r="AT14313" s="19"/>
      <c r="AU14313" s="19"/>
    </row>
    <row r="14314" spans="3:47">
      <c r="C14314" s="20"/>
      <c r="Z14314" s="20"/>
      <c r="AG14314" s="20"/>
      <c r="AQ14314" s="19"/>
      <c r="AR14314" s="19"/>
      <c r="AS14314" s="19"/>
      <c r="AT14314" s="19"/>
      <c r="AU14314" s="19"/>
    </row>
    <row r="14315" spans="3:47">
      <c r="C14315" s="20"/>
      <c r="Z14315" s="20"/>
      <c r="AG14315" s="20"/>
      <c r="AQ14315" s="19"/>
      <c r="AR14315" s="19"/>
      <c r="AS14315" s="19"/>
      <c r="AT14315" s="19"/>
      <c r="AU14315" s="19"/>
    </row>
    <row r="14316" spans="3:47">
      <c r="C14316" s="20"/>
      <c r="Z14316" s="20"/>
      <c r="AG14316" s="20"/>
      <c r="AQ14316" s="19"/>
      <c r="AR14316" s="19"/>
      <c r="AS14316" s="19"/>
      <c r="AT14316" s="19"/>
      <c r="AU14316" s="19"/>
    </row>
    <row r="14317" spans="3:47">
      <c r="C14317" s="20"/>
      <c r="Z14317" s="20"/>
      <c r="AG14317" s="20"/>
      <c r="AQ14317" s="19"/>
      <c r="AR14317" s="19"/>
      <c r="AS14317" s="19"/>
      <c r="AT14317" s="19"/>
      <c r="AU14317" s="19"/>
    </row>
    <row r="14318" spans="3:47">
      <c r="C14318" s="20"/>
      <c r="Z14318" s="20"/>
      <c r="AG14318" s="20"/>
      <c r="AQ14318" s="19"/>
      <c r="AR14318" s="19"/>
      <c r="AS14318" s="19"/>
      <c r="AT14318" s="19"/>
      <c r="AU14318" s="19"/>
    </row>
    <row r="14319" spans="3:47">
      <c r="C14319" s="20"/>
      <c r="Z14319" s="20"/>
      <c r="AG14319" s="20"/>
      <c r="AQ14319" s="19"/>
      <c r="AR14319" s="19"/>
      <c r="AS14319" s="19"/>
      <c r="AT14319" s="19"/>
      <c r="AU14319" s="19"/>
    </row>
    <row r="14320" spans="3:47">
      <c r="C14320" s="20"/>
      <c r="Z14320" s="20"/>
      <c r="AG14320" s="20"/>
      <c r="AQ14320" s="19"/>
      <c r="AR14320" s="19"/>
      <c r="AS14320" s="19"/>
      <c r="AT14320" s="19"/>
      <c r="AU14320" s="19"/>
    </row>
    <row r="14321" spans="3:47">
      <c r="C14321" s="20"/>
      <c r="Z14321" s="20"/>
      <c r="AG14321" s="20"/>
      <c r="AQ14321" s="19"/>
      <c r="AR14321" s="19"/>
      <c r="AS14321" s="19"/>
      <c r="AT14321" s="19"/>
      <c r="AU14321" s="19"/>
    </row>
    <row r="14322" spans="3:47">
      <c r="C14322" s="20"/>
      <c r="Z14322" s="20"/>
      <c r="AG14322" s="20"/>
      <c r="AQ14322" s="19"/>
      <c r="AR14322" s="19"/>
      <c r="AS14322" s="19"/>
      <c r="AT14322" s="19"/>
      <c r="AU14322" s="19"/>
    </row>
    <row r="14323" spans="3:47">
      <c r="C14323" s="20"/>
      <c r="Z14323" s="20"/>
      <c r="AG14323" s="20"/>
      <c r="AQ14323" s="19"/>
      <c r="AR14323" s="19"/>
      <c r="AS14323" s="19"/>
      <c r="AT14323" s="19"/>
      <c r="AU14323" s="19"/>
    </row>
    <row r="14324" spans="3:47">
      <c r="C14324" s="20"/>
      <c r="Z14324" s="20"/>
      <c r="AG14324" s="20"/>
      <c r="AQ14324" s="19"/>
      <c r="AR14324" s="19"/>
      <c r="AS14324" s="19"/>
      <c r="AT14324" s="19"/>
      <c r="AU14324" s="19"/>
    </row>
    <row r="14325" spans="3:47">
      <c r="C14325" s="20"/>
      <c r="Z14325" s="20"/>
      <c r="AG14325" s="20"/>
      <c r="AQ14325" s="19"/>
      <c r="AR14325" s="19"/>
      <c r="AS14325" s="19"/>
      <c r="AT14325" s="19"/>
      <c r="AU14325" s="19"/>
    </row>
    <row r="14326" spans="3:47">
      <c r="C14326" s="20"/>
      <c r="Z14326" s="20"/>
      <c r="AG14326" s="20"/>
      <c r="AQ14326" s="19"/>
      <c r="AR14326" s="19"/>
      <c r="AS14326" s="19"/>
      <c r="AT14326" s="19"/>
      <c r="AU14326" s="19"/>
    </row>
    <row r="14327" spans="3:47">
      <c r="C14327" s="20"/>
      <c r="Z14327" s="20"/>
      <c r="AG14327" s="20"/>
      <c r="AQ14327" s="19"/>
      <c r="AR14327" s="19"/>
      <c r="AS14327" s="19"/>
      <c r="AT14327" s="19"/>
      <c r="AU14327" s="19"/>
    </row>
    <row r="14328" spans="3:47">
      <c r="C14328" s="20"/>
      <c r="Z14328" s="20"/>
      <c r="AG14328" s="20"/>
      <c r="AQ14328" s="19"/>
      <c r="AR14328" s="19"/>
      <c r="AS14328" s="19"/>
      <c r="AT14328" s="19"/>
      <c r="AU14328" s="19"/>
    </row>
    <row r="14329" spans="3:47">
      <c r="C14329" s="20"/>
      <c r="Z14329" s="20"/>
      <c r="AG14329" s="20"/>
      <c r="AQ14329" s="19"/>
      <c r="AR14329" s="19"/>
      <c r="AS14329" s="19"/>
      <c r="AT14329" s="19"/>
      <c r="AU14329" s="19"/>
    </row>
    <row r="14330" spans="3:47">
      <c r="C14330" s="20"/>
      <c r="Z14330" s="20"/>
      <c r="AG14330" s="20"/>
      <c r="AQ14330" s="19"/>
      <c r="AR14330" s="19"/>
      <c r="AS14330" s="19"/>
      <c r="AT14330" s="19"/>
      <c r="AU14330" s="19"/>
    </row>
    <row r="14331" spans="3:47">
      <c r="C14331" s="20"/>
      <c r="Z14331" s="20"/>
      <c r="AG14331" s="20"/>
      <c r="AQ14331" s="19"/>
      <c r="AR14331" s="19"/>
      <c r="AS14331" s="19"/>
      <c r="AT14331" s="19"/>
      <c r="AU14331" s="19"/>
    </row>
    <row r="14332" spans="3:47">
      <c r="C14332" s="20"/>
      <c r="Z14332" s="20"/>
      <c r="AG14332" s="20"/>
      <c r="AQ14332" s="19"/>
      <c r="AR14332" s="19"/>
      <c r="AS14332" s="19"/>
      <c r="AT14332" s="19"/>
      <c r="AU14332" s="19"/>
    </row>
    <row r="14333" spans="3:47">
      <c r="C14333" s="20"/>
      <c r="Z14333" s="20"/>
      <c r="AG14333" s="20"/>
      <c r="AQ14333" s="19"/>
      <c r="AR14333" s="19"/>
      <c r="AS14333" s="19"/>
      <c r="AT14333" s="19"/>
      <c r="AU14333" s="19"/>
    </row>
    <row r="14334" spans="3:47">
      <c r="C14334" s="20"/>
      <c r="Z14334" s="20"/>
      <c r="AG14334" s="20"/>
      <c r="AQ14334" s="19"/>
      <c r="AR14334" s="19"/>
      <c r="AS14334" s="19"/>
      <c r="AT14334" s="19"/>
      <c r="AU14334" s="19"/>
    </row>
    <row r="14335" spans="3:47">
      <c r="C14335" s="20"/>
      <c r="Z14335" s="20"/>
      <c r="AG14335" s="20"/>
      <c r="AQ14335" s="19"/>
      <c r="AR14335" s="19"/>
      <c r="AS14335" s="19"/>
      <c r="AT14335" s="19"/>
      <c r="AU14335" s="19"/>
    </row>
    <row r="14336" spans="3:47">
      <c r="C14336" s="20"/>
      <c r="Z14336" s="20"/>
      <c r="AG14336" s="20"/>
      <c r="AQ14336" s="19"/>
      <c r="AR14336" s="19"/>
      <c r="AS14336" s="19"/>
      <c r="AT14336" s="19"/>
      <c r="AU14336" s="19"/>
    </row>
    <row r="14337" spans="3:47">
      <c r="C14337" s="20"/>
      <c r="Z14337" s="20"/>
      <c r="AG14337" s="20"/>
      <c r="AQ14337" s="19"/>
      <c r="AR14337" s="19"/>
      <c r="AS14337" s="19"/>
      <c r="AT14337" s="19"/>
      <c r="AU14337" s="19"/>
    </row>
    <row r="14338" spans="3:47">
      <c r="C14338" s="20"/>
      <c r="Z14338" s="20"/>
      <c r="AG14338" s="20"/>
      <c r="AQ14338" s="19"/>
      <c r="AR14338" s="19"/>
      <c r="AS14338" s="19"/>
      <c r="AT14338" s="19"/>
      <c r="AU14338" s="19"/>
    </row>
    <row r="14339" spans="3:47">
      <c r="C14339" s="20"/>
      <c r="Z14339" s="20"/>
      <c r="AG14339" s="20"/>
      <c r="AQ14339" s="19"/>
      <c r="AR14339" s="19"/>
      <c r="AS14339" s="19"/>
      <c r="AT14339" s="19"/>
      <c r="AU14339" s="19"/>
    </row>
    <row r="14340" spans="3:47">
      <c r="C14340" s="20"/>
      <c r="Z14340" s="20"/>
      <c r="AG14340" s="20"/>
      <c r="AQ14340" s="19"/>
      <c r="AR14340" s="19"/>
      <c r="AS14340" s="19"/>
      <c r="AT14340" s="19"/>
      <c r="AU14340" s="19"/>
    </row>
    <row r="14341" spans="3:47">
      <c r="C14341" s="20"/>
      <c r="Z14341" s="20"/>
      <c r="AG14341" s="20"/>
      <c r="AQ14341" s="19"/>
      <c r="AR14341" s="19"/>
      <c r="AS14341" s="19"/>
      <c r="AT14341" s="19"/>
      <c r="AU14341" s="19"/>
    </row>
    <row r="14342" spans="3:47">
      <c r="C14342" s="20"/>
      <c r="Z14342" s="20"/>
      <c r="AG14342" s="20"/>
      <c r="AQ14342" s="19"/>
      <c r="AR14342" s="19"/>
      <c r="AS14342" s="19"/>
      <c r="AT14342" s="19"/>
      <c r="AU14342" s="19"/>
    </row>
    <row r="14343" spans="3:47">
      <c r="C14343" s="20"/>
      <c r="Z14343" s="20"/>
      <c r="AG14343" s="20"/>
      <c r="AQ14343" s="19"/>
      <c r="AR14343" s="19"/>
      <c r="AS14343" s="19"/>
      <c r="AT14343" s="19"/>
      <c r="AU14343" s="19"/>
    </row>
    <row r="14344" spans="3:47">
      <c r="C14344" s="20"/>
      <c r="Z14344" s="20"/>
      <c r="AG14344" s="20"/>
      <c r="AQ14344" s="19"/>
      <c r="AR14344" s="19"/>
      <c r="AS14344" s="19"/>
      <c r="AT14344" s="19"/>
      <c r="AU14344" s="19"/>
    </row>
    <row r="14345" spans="3:47">
      <c r="C14345" s="20"/>
      <c r="Z14345" s="20"/>
      <c r="AG14345" s="20"/>
      <c r="AQ14345" s="19"/>
      <c r="AR14345" s="19"/>
      <c r="AS14345" s="19"/>
      <c r="AT14345" s="19"/>
      <c r="AU14345" s="19"/>
    </row>
    <row r="14346" spans="3:47">
      <c r="C14346" s="20"/>
      <c r="Z14346" s="20"/>
      <c r="AG14346" s="20"/>
      <c r="AQ14346" s="19"/>
      <c r="AR14346" s="19"/>
      <c r="AS14346" s="19"/>
      <c r="AT14346" s="19"/>
      <c r="AU14346" s="19"/>
    </row>
    <row r="14347" spans="3:47">
      <c r="C14347" s="20"/>
      <c r="Z14347" s="20"/>
      <c r="AG14347" s="20"/>
      <c r="AQ14347" s="19"/>
      <c r="AR14347" s="19"/>
      <c r="AS14347" s="19"/>
      <c r="AT14347" s="19"/>
      <c r="AU14347" s="19"/>
    </row>
    <row r="14348" spans="3:47">
      <c r="C14348" s="20"/>
      <c r="Z14348" s="20"/>
      <c r="AG14348" s="20"/>
      <c r="AQ14348" s="19"/>
      <c r="AR14348" s="19"/>
      <c r="AS14348" s="19"/>
      <c r="AT14348" s="19"/>
      <c r="AU14348" s="19"/>
    </row>
    <row r="14349" spans="3:47">
      <c r="C14349" s="20"/>
      <c r="Z14349" s="20"/>
      <c r="AG14349" s="20"/>
      <c r="AQ14349" s="19"/>
      <c r="AR14349" s="19"/>
      <c r="AS14349" s="19"/>
      <c r="AT14349" s="19"/>
      <c r="AU14349" s="19"/>
    </row>
    <row r="14350" spans="3:47">
      <c r="C14350" s="20"/>
      <c r="Z14350" s="20"/>
      <c r="AG14350" s="20"/>
      <c r="AQ14350" s="19"/>
      <c r="AR14350" s="19"/>
      <c r="AS14350" s="19"/>
      <c r="AT14350" s="19"/>
      <c r="AU14350" s="19"/>
    </row>
    <row r="14351" spans="3:47">
      <c r="C14351" s="20"/>
      <c r="Z14351" s="20"/>
      <c r="AG14351" s="20"/>
      <c r="AQ14351" s="19"/>
      <c r="AR14351" s="19"/>
      <c r="AS14351" s="19"/>
      <c r="AT14351" s="19"/>
      <c r="AU14351" s="19"/>
    </row>
    <row r="14352" spans="3:47">
      <c r="C14352" s="20"/>
      <c r="Z14352" s="20"/>
      <c r="AG14352" s="20"/>
      <c r="AQ14352" s="19"/>
      <c r="AR14352" s="19"/>
      <c r="AS14352" s="19"/>
      <c r="AT14352" s="19"/>
      <c r="AU14352" s="19"/>
    </row>
    <row r="14353" spans="3:47">
      <c r="C14353" s="20"/>
      <c r="Z14353" s="20"/>
      <c r="AG14353" s="20"/>
      <c r="AQ14353" s="19"/>
      <c r="AR14353" s="19"/>
      <c r="AS14353" s="19"/>
      <c r="AT14353" s="19"/>
      <c r="AU14353" s="19"/>
    </row>
    <row r="14354" spans="3:47">
      <c r="C14354" s="20"/>
      <c r="Z14354" s="20"/>
      <c r="AG14354" s="20"/>
      <c r="AQ14354" s="19"/>
      <c r="AR14354" s="19"/>
      <c r="AS14354" s="19"/>
      <c r="AT14354" s="19"/>
      <c r="AU14354" s="19"/>
    </row>
    <row r="14355" spans="3:47">
      <c r="C14355" s="20"/>
      <c r="Z14355" s="20"/>
      <c r="AG14355" s="20"/>
      <c r="AQ14355" s="19"/>
      <c r="AR14355" s="19"/>
      <c r="AS14355" s="19"/>
      <c r="AT14355" s="19"/>
      <c r="AU14355" s="19"/>
    </row>
    <row r="14356" spans="3:47">
      <c r="C14356" s="20"/>
      <c r="Z14356" s="20"/>
      <c r="AG14356" s="20"/>
      <c r="AQ14356" s="19"/>
      <c r="AR14356" s="19"/>
      <c r="AS14356" s="19"/>
      <c r="AT14356" s="19"/>
      <c r="AU14356" s="19"/>
    </row>
    <row r="14357" spans="3:47">
      <c r="C14357" s="20"/>
      <c r="Z14357" s="20"/>
      <c r="AG14357" s="20"/>
      <c r="AQ14357" s="19"/>
      <c r="AR14357" s="19"/>
      <c r="AS14357" s="19"/>
      <c r="AT14357" s="19"/>
      <c r="AU14357" s="19"/>
    </row>
    <row r="14358" spans="3:47">
      <c r="C14358" s="20"/>
      <c r="Z14358" s="20"/>
      <c r="AG14358" s="20"/>
      <c r="AQ14358" s="19"/>
      <c r="AR14358" s="19"/>
      <c r="AS14358" s="19"/>
      <c r="AT14358" s="19"/>
      <c r="AU14358" s="19"/>
    </row>
    <row r="14359" spans="3:47">
      <c r="C14359" s="20"/>
      <c r="Z14359" s="20"/>
      <c r="AG14359" s="20"/>
      <c r="AQ14359" s="19"/>
      <c r="AR14359" s="19"/>
      <c r="AS14359" s="19"/>
      <c r="AT14359" s="19"/>
      <c r="AU14359" s="19"/>
    </row>
    <row r="14360" spans="3:47">
      <c r="C14360" s="20"/>
      <c r="Z14360" s="20"/>
      <c r="AG14360" s="20"/>
      <c r="AQ14360" s="19"/>
      <c r="AR14360" s="19"/>
      <c r="AS14360" s="19"/>
      <c r="AT14360" s="19"/>
      <c r="AU14360" s="19"/>
    </row>
    <row r="14361" spans="3:47">
      <c r="C14361" s="20"/>
      <c r="Z14361" s="20"/>
      <c r="AG14361" s="20"/>
      <c r="AQ14361" s="19"/>
      <c r="AR14361" s="19"/>
      <c r="AS14361" s="19"/>
      <c r="AT14361" s="19"/>
      <c r="AU14361" s="19"/>
    </row>
    <row r="14362" spans="3:47">
      <c r="C14362" s="20"/>
      <c r="Z14362" s="20"/>
      <c r="AG14362" s="20"/>
      <c r="AQ14362" s="19"/>
      <c r="AR14362" s="19"/>
      <c r="AS14362" s="19"/>
      <c r="AT14362" s="19"/>
      <c r="AU14362" s="19"/>
    </row>
    <row r="14363" spans="3:47">
      <c r="C14363" s="20"/>
      <c r="Z14363" s="20"/>
      <c r="AG14363" s="20"/>
      <c r="AQ14363" s="19"/>
      <c r="AR14363" s="19"/>
      <c r="AS14363" s="19"/>
      <c r="AT14363" s="19"/>
      <c r="AU14363" s="19"/>
    </row>
    <row r="14364" spans="3:47">
      <c r="C14364" s="20"/>
      <c r="Z14364" s="20"/>
      <c r="AG14364" s="20"/>
      <c r="AQ14364" s="19"/>
      <c r="AR14364" s="19"/>
      <c r="AS14364" s="19"/>
      <c r="AT14364" s="19"/>
      <c r="AU14364" s="19"/>
    </row>
    <row r="14365" spans="3:47">
      <c r="C14365" s="20"/>
      <c r="Z14365" s="20"/>
      <c r="AG14365" s="20"/>
      <c r="AQ14365" s="19"/>
      <c r="AR14365" s="19"/>
      <c r="AS14365" s="19"/>
      <c r="AT14365" s="19"/>
      <c r="AU14365" s="19"/>
    </row>
    <row r="14366" spans="3:47">
      <c r="C14366" s="20"/>
      <c r="Z14366" s="20"/>
      <c r="AG14366" s="20"/>
      <c r="AQ14366" s="19"/>
      <c r="AR14366" s="19"/>
      <c r="AS14366" s="19"/>
      <c r="AT14366" s="19"/>
      <c r="AU14366" s="19"/>
    </row>
    <row r="14367" spans="3:47">
      <c r="C14367" s="20"/>
      <c r="Z14367" s="20"/>
      <c r="AG14367" s="20"/>
      <c r="AQ14367" s="19"/>
      <c r="AR14367" s="19"/>
      <c r="AS14367" s="19"/>
      <c r="AT14367" s="19"/>
      <c r="AU14367" s="19"/>
    </row>
    <row r="14368" spans="3:47">
      <c r="C14368" s="20"/>
      <c r="Z14368" s="20"/>
      <c r="AG14368" s="20"/>
      <c r="AQ14368" s="19"/>
      <c r="AR14368" s="19"/>
      <c r="AS14368" s="19"/>
      <c r="AT14368" s="19"/>
      <c r="AU14368" s="19"/>
    </row>
    <row r="14369" spans="3:47">
      <c r="C14369" s="20"/>
      <c r="Z14369" s="20"/>
      <c r="AG14369" s="20"/>
      <c r="AQ14369" s="19"/>
      <c r="AR14369" s="19"/>
      <c r="AS14369" s="19"/>
      <c r="AT14369" s="19"/>
      <c r="AU14369" s="19"/>
    </row>
    <row r="14370" spans="3:47">
      <c r="C14370" s="20"/>
      <c r="Z14370" s="20"/>
      <c r="AG14370" s="20"/>
      <c r="AQ14370" s="19"/>
      <c r="AR14370" s="19"/>
      <c r="AS14370" s="19"/>
      <c r="AT14370" s="19"/>
      <c r="AU14370" s="19"/>
    </row>
    <row r="14371" spans="3:47">
      <c r="C14371" s="20"/>
      <c r="Z14371" s="20"/>
      <c r="AG14371" s="20"/>
      <c r="AQ14371" s="19"/>
      <c r="AR14371" s="19"/>
      <c r="AS14371" s="19"/>
      <c r="AT14371" s="19"/>
      <c r="AU14371" s="19"/>
    </row>
    <row r="14372" spans="3:47">
      <c r="C14372" s="20"/>
      <c r="Z14372" s="20"/>
      <c r="AG14372" s="20"/>
      <c r="AQ14372" s="19"/>
      <c r="AR14372" s="19"/>
      <c r="AS14372" s="19"/>
      <c r="AT14372" s="19"/>
      <c r="AU14372" s="19"/>
    </row>
    <row r="14373" spans="3:47">
      <c r="C14373" s="20"/>
      <c r="Z14373" s="20"/>
      <c r="AG14373" s="20"/>
      <c r="AQ14373" s="19"/>
      <c r="AR14373" s="19"/>
      <c r="AS14373" s="19"/>
      <c r="AT14373" s="19"/>
      <c r="AU14373" s="19"/>
    </row>
    <row r="14374" spans="3:47">
      <c r="C14374" s="20"/>
      <c r="Z14374" s="20"/>
      <c r="AG14374" s="20"/>
      <c r="AQ14374" s="19"/>
      <c r="AR14374" s="19"/>
      <c r="AS14374" s="19"/>
      <c r="AT14374" s="19"/>
      <c r="AU14374" s="19"/>
    </row>
    <row r="14375" spans="3:47">
      <c r="C14375" s="20"/>
      <c r="Z14375" s="20"/>
      <c r="AG14375" s="20"/>
      <c r="AQ14375" s="19"/>
      <c r="AR14375" s="19"/>
      <c r="AS14375" s="19"/>
      <c r="AT14375" s="19"/>
      <c r="AU14375" s="19"/>
    </row>
    <row r="14376" spans="3:47">
      <c r="C14376" s="20"/>
      <c r="Z14376" s="20"/>
      <c r="AG14376" s="20"/>
      <c r="AQ14376" s="19"/>
      <c r="AR14376" s="19"/>
      <c r="AS14376" s="19"/>
      <c r="AT14376" s="19"/>
      <c r="AU14376" s="19"/>
    </row>
    <row r="14377" spans="3:47">
      <c r="C14377" s="20"/>
      <c r="Z14377" s="20"/>
      <c r="AG14377" s="20"/>
      <c r="AQ14377" s="19"/>
      <c r="AR14377" s="19"/>
      <c r="AS14377" s="19"/>
      <c r="AT14377" s="19"/>
      <c r="AU14377" s="19"/>
    </row>
    <row r="14378" spans="3:47">
      <c r="C14378" s="20"/>
      <c r="Z14378" s="20"/>
      <c r="AG14378" s="20"/>
      <c r="AQ14378" s="19"/>
      <c r="AR14378" s="19"/>
      <c r="AS14378" s="19"/>
      <c r="AT14378" s="19"/>
      <c r="AU14378" s="19"/>
    </row>
    <row r="14379" spans="3:47">
      <c r="C14379" s="20"/>
      <c r="Z14379" s="20"/>
      <c r="AG14379" s="20"/>
      <c r="AQ14379" s="19"/>
      <c r="AR14379" s="19"/>
      <c r="AS14379" s="19"/>
      <c r="AT14379" s="19"/>
      <c r="AU14379" s="19"/>
    </row>
    <row r="14380" spans="3:47">
      <c r="C14380" s="20"/>
      <c r="Z14380" s="20"/>
      <c r="AG14380" s="20"/>
      <c r="AQ14380" s="19"/>
      <c r="AR14380" s="19"/>
      <c r="AS14380" s="19"/>
      <c r="AT14380" s="19"/>
      <c r="AU14380" s="19"/>
    </row>
    <row r="14381" spans="3:47">
      <c r="C14381" s="20"/>
      <c r="Z14381" s="20"/>
      <c r="AG14381" s="20"/>
      <c r="AQ14381" s="19"/>
      <c r="AR14381" s="19"/>
      <c r="AS14381" s="19"/>
      <c r="AT14381" s="19"/>
      <c r="AU14381" s="19"/>
    </row>
    <row r="14382" spans="3:47">
      <c r="C14382" s="20"/>
      <c r="Z14382" s="20"/>
      <c r="AG14382" s="20"/>
      <c r="AQ14382" s="19"/>
      <c r="AR14382" s="19"/>
      <c r="AS14382" s="19"/>
      <c r="AT14382" s="19"/>
      <c r="AU14382" s="19"/>
    </row>
    <row r="14383" spans="3:47">
      <c r="C14383" s="20"/>
      <c r="Z14383" s="20"/>
      <c r="AG14383" s="20"/>
      <c r="AQ14383" s="19"/>
      <c r="AR14383" s="19"/>
      <c r="AS14383" s="19"/>
      <c r="AT14383" s="19"/>
      <c r="AU14383" s="19"/>
    </row>
    <row r="14384" spans="3:47">
      <c r="C14384" s="20"/>
      <c r="Z14384" s="20"/>
      <c r="AG14384" s="20"/>
      <c r="AQ14384" s="19"/>
      <c r="AR14384" s="19"/>
      <c r="AS14384" s="19"/>
      <c r="AT14384" s="19"/>
      <c r="AU14384" s="19"/>
    </row>
    <row r="14385" spans="3:47">
      <c r="C14385" s="20"/>
      <c r="Z14385" s="20"/>
      <c r="AG14385" s="20"/>
      <c r="AQ14385" s="19"/>
      <c r="AR14385" s="19"/>
      <c r="AS14385" s="19"/>
      <c r="AT14385" s="19"/>
      <c r="AU14385" s="19"/>
    </row>
    <row r="14386" spans="3:47">
      <c r="C14386" s="20"/>
      <c r="Z14386" s="20"/>
      <c r="AG14386" s="20"/>
      <c r="AQ14386" s="19"/>
      <c r="AR14386" s="19"/>
      <c r="AS14386" s="19"/>
      <c r="AT14386" s="19"/>
      <c r="AU14386" s="19"/>
    </row>
    <row r="14387" spans="3:47">
      <c r="C14387" s="20"/>
      <c r="Z14387" s="20"/>
      <c r="AG14387" s="20"/>
      <c r="AQ14387" s="19"/>
      <c r="AR14387" s="19"/>
      <c r="AS14387" s="19"/>
      <c r="AT14387" s="19"/>
      <c r="AU14387" s="19"/>
    </row>
    <row r="14388" spans="3:47">
      <c r="C14388" s="20"/>
      <c r="Z14388" s="20"/>
      <c r="AG14388" s="20"/>
      <c r="AQ14388" s="19"/>
      <c r="AR14388" s="19"/>
      <c r="AS14388" s="19"/>
      <c r="AT14388" s="19"/>
      <c r="AU14388" s="19"/>
    </row>
    <row r="14389" spans="3:47">
      <c r="C14389" s="20"/>
      <c r="Z14389" s="20"/>
      <c r="AG14389" s="20"/>
      <c r="AQ14389" s="19"/>
      <c r="AR14389" s="19"/>
      <c r="AS14389" s="19"/>
      <c r="AT14389" s="19"/>
      <c r="AU14389" s="19"/>
    </row>
    <row r="14390" spans="3:47">
      <c r="C14390" s="20"/>
      <c r="Z14390" s="20"/>
      <c r="AG14390" s="20"/>
      <c r="AQ14390" s="19"/>
      <c r="AR14390" s="19"/>
      <c r="AS14390" s="19"/>
      <c r="AT14390" s="19"/>
      <c r="AU14390" s="19"/>
    </row>
    <row r="14391" spans="3:47">
      <c r="C14391" s="20"/>
      <c r="Z14391" s="20"/>
      <c r="AG14391" s="20"/>
      <c r="AQ14391" s="19"/>
      <c r="AR14391" s="19"/>
      <c r="AS14391" s="19"/>
      <c r="AT14391" s="19"/>
      <c r="AU14391" s="19"/>
    </row>
    <row r="14392" spans="3:47">
      <c r="C14392" s="20"/>
      <c r="Z14392" s="20"/>
      <c r="AG14392" s="20"/>
      <c r="AQ14392" s="19"/>
      <c r="AR14392" s="19"/>
      <c r="AS14392" s="19"/>
      <c r="AT14392" s="19"/>
      <c r="AU14392" s="19"/>
    </row>
    <row r="14393" spans="3:47">
      <c r="C14393" s="20"/>
      <c r="Z14393" s="20"/>
      <c r="AG14393" s="20"/>
      <c r="AQ14393" s="19"/>
      <c r="AR14393" s="19"/>
      <c r="AS14393" s="19"/>
      <c r="AT14393" s="19"/>
      <c r="AU14393" s="19"/>
    </row>
    <row r="14394" spans="3:47">
      <c r="C14394" s="20"/>
      <c r="Z14394" s="20"/>
      <c r="AG14394" s="20"/>
      <c r="AQ14394" s="19"/>
      <c r="AR14394" s="19"/>
      <c r="AS14394" s="19"/>
      <c r="AT14394" s="19"/>
      <c r="AU14394" s="19"/>
    </row>
    <row r="14395" spans="3:47">
      <c r="C14395" s="20"/>
      <c r="Z14395" s="20"/>
      <c r="AG14395" s="20"/>
      <c r="AQ14395" s="19"/>
      <c r="AR14395" s="19"/>
      <c r="AS14395" s="19"/>
      <c r="AT14395" s="19"/>
      <c r="AU14395" s="19"/>
    </row>
    <row r="14396" spans="3:47">
      <c r="C14396" s="20"/>
      <c r="Z14396" s="20"/>
      <c r="AG14396" s="20"/>
      <c r="AQ14396" s="19"/>
      <c r="AR14396" s="19"/>
      <c r="AS14396" s="19"/>
      <c r="AT14396" s="19"/>
      <c r="AU14396" s="19"/>
    </row>
    <row r="14397" spans="3:47">
      <c r="C14397" s="20"/>
      <c r="Z14397" s="20"/>
      <c r="AG14397" s="20"/>
      <c r="AQ14397" s="19"/>
      <c r="AR14397" s="19"/>
      <c r="AS14397" s="19"/>
      <c r="AT14397" s="19"/>
      <c r="AU14397" s="19"/>
    </row>
    <row r="14398" spans="3:47">
      <c r="C14398" s="20"/>
      <c r="Z14398" s="20"/>
      <c r="AG14398" s="20"/>
      <c r="AQ14398" s="19"/>
      <c r="AR14398" s="19"/>
      <c r="AS14398" s="19"/>
      <c r="AT14398" s="19"/>
      <c r="AU14398" s="19"/>
    </row>
    <row r="14399" spans="3:47">
      <c r="C14399" s="20"/>
      <c r="Z14399" s="20"/>
      <c r="AG14399" s="20"/>
      <c r="AQ14399" s="19"/>
      <c r="AR14399" s="19"/>
      <c r="AS14399" s="19"/>
      <c r="AT14399" s="19"/>
      <c r="AU14399" s="19"/>
    </row>
    <row r="14400" spans="3:47">
      <c r="C14400" s="20"/>
      <c r="Z14400" s="20"/>
      <c r="AG14400" s="20"/>
      <c r="AQ14400" s="19"/>
      <c r="AR14400" s="19"/>
      <c r="AS14400" s="19"/>
      <c r="AT14400" s="19"/>
      <c r="AU14400" s="19"/>
    </row>
    <row r="14401" spans="3:47">
      <c r="C14401" s="20"/>
      <c r="Z14401" s="20"/>
      <c r="AG14401" s="20"/>
      <c r="AQ14401" s="19"/>
      <c r="AR14401" s="19"/>
      <c r="AS14401" s="19"/>
      <c r="AT14401" s="19"/>
      <c r="AU14401" s="19"/>
    </row>
    <row r="14402" spans="3:47">
      <c r="C14402" s="20"/>
      <c r="Z14402" s="20"/>
      <c r="AG14402" s="20"/>
      <c r="AQ14402" s="19"/>
      <c r="AR14402" s="19"/>
      <c r="AS14402" s="19"/>
      <c r="AT14402" s="19"/>
      <c r="AU14402" s="19"/>
    </row>
    <row r="14403" spans="3:47">
      <c r="C14403" s="20"/>
      <c r="Z14403" s="20"/>
      <c r="AG14403" s="20"/>
      <c r="AQ14403" s="19"/>
      <c r="AR14403" s="19"/>
      <c r="AS14403" s="19"/>
      <c r="AT14403" s="19"/>
      <c r="AU14403" s="19"/>
    </row>
    <row r="14404" spans="3:47">
      <c r="C14404" s="20"/>
      <c r="Z14404" s="20"/>
      <c r="AG14404" s="20"/>
      <c r="AQ14404" s="19"/>
      <c r="AR14404" s="19"/>
      <c r="AS14404" s="19"/>
      <c r="AT14404" s="19"/>
      <c r="AU14404" s="19"/>
    </row>
    <row r="14405" spans="3:47">
      <c r="C14405" s="20"/>
      <c r="Z14405" s="20"/>
      <c r="AG14405" s="20"/>
      <c r="AQ14405" s="19"/>
      <c r="AR14405" s="19"/>
      <c r="AS14405" s="19"/>
      <c r="AT14405" s="19"/>
      <c r="AU14405" s="19"/>
    </row>
    <row r="14406" spans="3:47">
      <c r="C14406" s="20"/>
      <c r="Z14406" s="20"/>
      <c r="AG14406" s="20"/>
      <c r="AQ14406" s="19"/>
      <c r="AR14406" s="19"/>
      <c r="AS14406" s="19"/>
      <c r="AT14406" s="19"/>
      <c r="AU14406" s="19"/>
    </row>
    <row r="14407" spans="3:47">
      <c r="C14407" s="20"/>
      <c r="Z14407" s="20"/>
      <c r="AG14407" s="20"/>
      <c r="AQ14407" s="19"/>
      <c r="AR14407" s="19"/>
      <c r="AS14407" s="19"/>
      <c r="AT14407" s="19"/>
      <c r="AU14407" s="19"/>
    </row>
    <row r="14408" spans="3:47">
      <c r="C14408" s="20"/>
      <c r="Z14408" s="20"/>
      <c r="AG14408" s="20"/>
      <c r="AQ14408" s="19"/>
      <c r="AR14408" s="19"/>
      <c r="AS14408" s="19"/>
      <c r="AT14408" s="19"/>
      <c r="AU14408" s="19"/>
    </row>
    <row r="14409" spans="3:47">
      <c r="C14409" s="20"/>
      <c r="Z14409" s="20"/>
      <c r="AG14409" s="20"/>
      <c r="AQ14409" s="19"/>
      <c r="AR14409" s="19"/>
      <c r="AS14409" s="19"/>
      <c r="AT14409" s="19"/>
      <c r="AU14409" s="19"/>
    </row>
    <row r="14410" spans="3:47">
      <c r="C14410" s="20"/>
      <c r="Z14410" s="20"/>
      <c r="AG14410" s="20"/>
      <c r="AQ14410" s="19"/>
      <c r="AR14410" s="19"/>
      <c r="AS14410" s="19"/>
      <c r="AT14410" s="19"/>
      <c r="AU14410" s="19"/>
    </row>
    <row r="14411" spans="3:47">
      <c r="C14411" s="20"/>
      <c r="Z14411" s="20"/>
      <c r="AG14411" s="20"/>
      <c r="AQ14411" s="19"/>
      <c r="AR14411" s="19"/>
      <c r="AS14411" s="19"/>
      <c r="AT14411" s="19"/>
      <c r="AU14411" s="19"/>
    </row>
    <row r="14412" spans="3:47">
      <c r="C14412" s="20"/>
      <c r="Z14412" s="20"/>
      <c r="AG14412" s="20"/>
      <c r="AQ14412" s="19"/>
      <c r="AR14412" s="19"/>
      <c r="AS14412" s="19"/>
      <c r="AT14412" s="19"/>
      <c r="AU14412" s="19"/>
    </row>
    <row r="14413" spans="3:47">
      <c r="C14413" s="20"/>
      <c r="Z14413" s="20"/>
      <c r="AG14413" s="20"/>
      <c r="AQ14413" s="19"/>
      <c r="AR14413" s="19"/>
      <c r="AS14413" s="19"/>
      <c r="AT14413" s="19"/>
      <c r="AU14413" s="19"/>
    </row>
    <row r="14414" spans="3:47">
      <c r="C14414" s="20"/>
      <c r="Z14414" s="20"/>
      <c r="AG14414" s="20"/>
      <c r="AQ14414" s="19"/>
      <c r="AR14414" s="19"/>
      <c r="AS14414" s="19"/>
      <c r="AT14414" s="19"/>
      <c r="AU14414" s="19"/>
    </row>
    <row r="14415" spans="3:47">
      <c r="C14415" s="20"/>
      <c r="Z14415" s="20"/>
      <c r="AG14415" s="20"/>
      <c r="AQ14415" s="19"/>
      <c r="AR14415" s="19"/>
      <c r="AS14415" s="19"/>
      <c r="AT14415" s="19"/>
      <c r="AU14415" s="19"/>
    </row>
    <row r="14416" spans="3:47">
      <c r="C14416" s="20"/>
      <c r="Z14416" s="20"/>
      <c r="AG14416" s="20"/>
      <c r="AQ14416" s="19"/>
      <c r="AR14416" s="19"/>
      <c r="AS14416" s="19"/>
      <c r="AT14416" s="19"/>
      <c r="AU14416" s="19"/>
    </row>
    <row r="14417" spans="3:47">
      <c r="C14417" s="20"/>
      <c r="Z14417" s="20"/>
      <c r="AG14417" s="20"/>
      <c r="AQ14417" s="19"/>
      <c r="AR14417" s="19"/>
      <c r="AS14417" s="19"/>
      <c r="AT14417" s="19"/>
      <c r="AU14417" s="19"/>
    </row>
    <row r="14418" spans="3:47">
      <c r="C14418" s="20"/>
      <c r="Z14418" s="20"/>
      <c r="AG14418" s="20"/>
      <c r="AQ14418" s="19"/>
      <c r="AR14418" s="19"/>
      <c r="AS14418" s="19"/>
      <c r="AT14418" s="19"/>
      <c r="AU14418" s="19"/>
    </row>
    <row r="14419" spans="3:47">
      <c r="C14419" s="20"/>
      <c r="Z14419" s="20"/>
      <c r="AG14419" s="20"/>
      <c r="AQ14419" s="19"/>
      <c r="AR14419" s="19"/>
      <c r="AS14419" s="19"/>
      <c r="AT14419" s="19"/>
      <c r="AU14419" s="19"/>
    </row>
    <row r="14420" spans="3:47">
      <c r="C14420" s="20"/>
      <c r="Z14420" s="20"/>
      <c r="AG14420" s="20"/>
      <c r="AQ14420" s="19"/>
      <c r="AR14420" s="19"/>
      <c r="AS14420" s="19"/>
      <c r="AT14420" s="19"/>
      <c r="AU14420" s="19"/>
    </row>
    <row r="14421" spans="3:47">
      <c r="C14421" s="20"/>
      <c r="Z14421" s="20"/>
      <c r="AG14421" s="20"/>
      <c r="AQ14421" s="19"/>
      <c r="AR14421" s="19"/>
      <c r="AS14421" s="19"/>
      <c r="AT14421" s="19"/>
      <c r="AU14421" s="19"/>
    </row>
    <row r="14422" spans="3:47">
      <c r="C14422" s="20"/>
      <c r="Z14422" s="20"/>
      <c r="AG14422" s="20"/>
      <c r="AQ14422" s="19"/>
      <c r="AR14422" s="19"/>
      <c r="AS14422" s="19"/>
      <c r="AT14422" s="19"/>
      <c r="AU14422" s="19"/>
    </row>
    <row r="14423" spans="3:47">
      <c r="C14423" s="20"/>
      <c r="Z14423" s="20"/>
      <c r="AG14423" s="20"/>
      <c r="AQ14423" s="19"/>
      <c r="AR14423" s="19"/>
      <c r="AS14423" s="19"/>
      <c r="AT14423" s="19"/>
      <c r="AU14423" s="19"/>
    </row>
    <row r="14424" spans="3:47">
      <c r="C14424" s="20"/>
      <c r="Z14424" s="20"/>
      <c r="AG14424" s="20"/>
      <c r="AQ14424" s="19"/>
      <c r="AR14424" s="19"/>
      <c r="AS14424" s="19"/>
      <c r="AT14424" s="19"/>
      <c r="AU14424" s="19"/>
    </row>
    <row r="14425" spans="3:47">
      <c r="C14425" s="20"/>
      <c r="Z14425" s="20"/>
      <c r="AG14425" s="20"/>
      <c r="AQ14425" s="19"/>
      <c r="AR14425" s="19"/>
      <c r="AS14425" s="19"/>
      <c r="AT14425" s="19"/>
      <c r="AU14425" s="19"/>
    </row>
    <row r="14426" spans="3:47">
      <c r="C14426" s="20"/>
      <c r="Z14426" s="20"/>
      <c r="AG14426" s="20"/>
      <c r="AQ14426" s="19"/>
      <c r="AR14426" s="19"/>
      <c r="AS14426" s="19"/>
      <c r="AT14426" s="19"/>
      <c r="AU14426" s="19"/>
    </row>
    <row r="14427" spans="3:47">
      <c r="C14427" s="20"/>
      <c r="Z14427" s="20"/>
      <c r="AG14427" s="20"/>
      <c r="AQ14427" s="19"/>
      <c r="AR14427" s="19"/>
      <c r="AS14427" s="19"/>
      <c r="AT14427" s="19"/>
      <c r="AU14427" s="19"/>
    </row>
    <row r="14428" spans="3:47">
      <c r="C14428" s="20"/>
      <c r="Z14428" s="20"/>
      <c r="AG14428" s="20"/>
      <c r="AQ14428" s="19"/>
      <c r="AR14428" s="19"/>
      <c r="AS14428" s="19"/>
      <c r="AT14428" s="19"/>
      <c r="AU14428" s="19"/>
    </row>
    <row r="14429" spans="3:47">
      <c r="C14429" s="20"/>
      <c r="Z14429" s="20"/>
      <c r="AG14429" s="20"/>
      <c r="AQ14429" s="19"/>
      <c r="AR14429" s="19"/>
      <c r="AS14429" s="19"/>
      <c r="AT14429" s="19"/>
      <c r="AU14429" s="19"/>
    </row>
    <row r="14430" spans="3:47">
      <c r="C14430" s="20"/>
      <c r="Z14430" s="20"/>
      <c r="AG14430" s="20"/>
      <c r="AQ14430" s="19"/>
      <c r="AR14430" s="19"/>
      <c r="AS14430" s="19"/>
      <c r="AT14430" s="19"/>
      <c r="AU14430" s="19"/>
    </row>
    <row r="14431" spans="3:47">
      <c r="C14431" s="20"/>
      <c r="Z14431" s="20"/>
      <c r="AG14431" s="20"/>
      <c r="AQ14431" s="19"/>
      <c r="AR14431" s="19"/>
      <c r="AS14431" s="19"/>
      <c r="AT14431" s="19"/>
      <c r="AU14431" s="19"/>
    </row>
    <row r="14432" spans="3:47">
      <c r="C14432" s="20"/>
      <c r="Z14432" s="20"/>
      <c r="AG14432" s="20"/>
      <c r="AQ14432" s="19"/>
      <c r="AR14432" s="19"/>
      <c r="AS14432" s="19"/>
      <c r="AT14432" s="19"/>
      <c r="AU14432" s="19"/>
    </row>
    <row r="14433" spans="3:47">
      <c r="C14433" s="20"/>
      <c r="Z14433" s="20"/>
      <c r="AG14433" s="20"/>
      <c r="AQ14433" s="19"/>
      <c r="AR14433" s="19"/>
      <c r="AS14433" s="19"/>
      <c r="AT14433" s="19"/>
      <c r="AU14433" s="19"/>
    </row>
    <row r="14434" spans="3:47">
      <c r="C14434" s="20"/>
      <c r="Z14434" s="20"/>
      <c r="AG14434" s="20"/>
      <c r="AQ14434" s="19"/>
      <c r="AR14434" s="19"/>
      <c r="AS14434" s="19"/>
      <c r="AT14434" s="19"/>
      <c r="AU14434" s="19"/>
    </row>
    <row r="14435" spans="3:47">
      <c r="C14435" s="20"/>
      <c r="Z14435" s="20"/>
      <c r="AG14435" s="20"/>
      <c r="AQ14435" s="19"/>
      <c r="AR14435" s="19"/>
      <c r="AS14435" s="19"/>
      <c r="AT14435" s="19"/>
      <c r="AU14435" s="19"/>
    </row>
    <row r="14436" spans="3:47">
      <c r="C14436" s="20"/>
      <c r="Z14436" s="20"/>
      <c r="AG14436" s="20"/>
      <c r="AQ14436" s="19"/>
      <c r="AR14436" s="19"/>
      <c r="AS14436" s="19"/>
      <c r="AT14436" s="19"/>
      <c r="AU14436" s="19"/>
    </row>
    <row r="14437" spans="3:47">
      <c r="C14437" s="20"/>
      <c r="Z14437" s="20"/>
      <c r="AG14437" s="20"/>
      <c r="AQ14437" s="19"/>
      <c r="AR14437" s="19"/>
      <c r="AS14437" s="19"/>
      <c r="AT14437" s="19"/>
      <c r="AU14437" s="19"/>
    </row>
    <row r="14438" spans="3:47">
      <c r="C14438" s="20"/>
      <c r="Z14438" s="20"/>
      <c r="AG14438" s="20"/>
      <c r="AQ14438" s="19"/>
      <c r="AR14438" s="19"/>
      <c r="AS14438" s="19"/>
      <c r="AT14438" s="19"/>
      <c r="AU14438" s="19"/>
    </row>
    <row r="14439" spans="3:47">
      <c r="C14439" s="20"/>
      <c r="Z14439" s="20"/>
      <c r="AG14439" s="20"/>
      <c r="AQ14439" s="19"/>
      <c r="AR14439" s="19"/>
      <c r="AS14439" s="19"/>
      <c r="AT14439" s="19"/>
      <c r="AU14439" s="19"/>
    </row>
    <row r="14440" spans="3:47">
      <c r="C14440" s="20"/>
      <c r="Z14440" s="20"/>
      <c r="AG14440" s="20"/>
      <c r="AQ14440" s="19"/>
      <c r="AR14440" s="19"/>
      <c r="AS14440" s="19"/>
      <c r="AT14440" s="19"/>
      <c r="AU14440" s="19"/>
    </row>
    <row r="14441" spans="3:47">
      <c r="C14441" s="20"/>
      <c r="Z14441" s="20"/>
      <c r="AG14441" s="20"/>
      <c r="AQ14441" s="19"/>
      <c r="AR14441" s="19"/>
      <c r="AS14441" s="19"/>
      <c r="AT14441" s="19"/>
      <c r="AU14441" s="19"/>
    </row>
    <row r="14442" spans="3:47">
      <c r="C14442" s="20"/>
      <c r="Z14442" s="20"/>
      <c r="AG14442" s="20"/>
      <c r="AQ14442" s="19"/>
      <c r="AR14442" s="19"/>
      <c r="AS14442" s="19"/>
      <c r="AT14442" s="19"/>
      <c r="AU14442" s="19"/>
    </row>
    <row r="14443" spans="3:47">
      <c r="C14443" s="20"/>
      <c r="Z14443" s="20"/>
      <c r="AG14443" s="20"/>
      <c r="AQ14443" s="19"/>
      <c r="AR14443" s="19"/>
      <c r="AS14443" s="19"/>
      <c r="AT14443" s="19"/>
      <c r="AU14443" s="19"/>
    </row>
    <row r="14444" spans="3:47">
      <c r="C14444" s="20"/>
      <c r="Z14444" s="20"/>
      <c r="AG14444" s="20"/>
      <c r="AQ14444" s="19"/>
      <c r="AR14444" s="19"/>
      <c r="AS14444" s="19"/>
      <c r="AT14444" s="19"/>
      <c r="AU14444" s="19"/>
    </row>
    <row r="14445" spans="3:47">
      <c r="C14445" s="20"/>
      <c r="Z14445" s="20"/>
      <c r="AG14445" s="20"/>
      <c r="AQ14445" s="19"/>
      <c r="AR14445" s="19"/>
      <c r="AS14445" s="19"/>
      <c r="AT14445" s="19"/>
      <c r="AU14445" s="19"/>
    </row>
    <row r="14446" spans="3:47">
      <c r="C14446" s="20"/>
      <c r="Z14446" s="20"/>
      <c r="AG14446" s="20"/>
      <c r="AQ14446" s="19"/>
      <c r="AR14446" s="19"/>
      <c r="AS14446" s="19"/>
      <c r="AT14446" s="19"/>
      <c r="AU14446" s="19"/>
    </row>
    <row r="14447" spans="3:47">
      <c r="C14447" s="20"/>
      <c r="Z14447" s="20"/>
      <c r="AG14447" s="20"/>
      <c r="AQ14447" s="19"/>
      <c r="AR14447" s="19"/>
      <c r="AS14447" s="19"/>
      <c r="AT14447" s="19"/>
      <c r="AU14447" s="19"/>
    </row>
    <row r="14448" spans="3:47">
      <c r="C14448" s="20"/>
      <c r="Z14448" s="20"/>
      <c r="AG14448" s="20"/>
      <c r="AQ14448" s="19"/>
      <c r="AR14448" s="19"/>
      <c r="AS14448" s="19"/>
      <c r="AT14448" s="19"/>
      <c r="AU14448" s="19"/>
    </row>
    <row r="14449" spans="3:47">
      <c r="C14449" s="20"/>
      <c r="Z14449" s="20"/>
      <c r="AG14449" s="20"/>
      <c r="AQ14449" s="19"/>
      <c r="AR14449" s="19"/>
      <c r="AS14449" s="19"/>
      <c r="AT14449" s="19"/>
      <c r="AU14449" s="19"/>
    </row>
    <row r="14450" spans="3:47">
      <c r="C14450" s="20"/>
      <c r="Z14450" s="20"/>
      <c r="AG14450" s="20"/>
      <c r="AQ14450" s="19"/>
      <c r="AR14450" s="19"/>
      <c r="AS14450" s="19"/>
      <c r="AT14450" s="19"/>
      <c r="AU14450" s="19"/>
    </row>
    <row r="14451" spans="3:47">
      <c r="C14451" s="20"/>
      <c r="Z14451" s="20"/>
      <c r="AG14451" s="20"/>
      <c r="AQ14451" s="19"/>
      <c r="AR14451" s="19"/>
      <c r="AS14451" s="19"/>
      <c r="AT14451" s="19"/>
      <c r="AU14451" s="19"/>
    </row>
    <row r="14452" spans="3:47">
      <c r="C14452" s="20"/>
      <c r="Z14452" s="20"/>
      <c r="AG14452" s="20"/>
      <c r="AQ14452" s="19"/>
      <c r="AR14452" s="19"/>
      <c r="AS14452" s="19"/>
      <c r="AT14452" s="19"/>
      <c r="AU14452" s="19"/>
    </row>
    <row r="14453" spans="3:47">
      <c r="C14453" s="20"/>
      <c r="Z14453" s="20"/>
      <c r="AG14453" s="20"/>
      <c r="AQ14453" s="19"/>
      <c r="AR14453" s="19"/>
      <c r="AS14453" s="19"/>
      <c r="AT14453" s="19"/>
      <c r="AU14453" s="19"/>
    </row>
    <row r="14454" spans="3:47">
      <c r="C14454" s="20"/>
      <c r="Z14454" s="20"/>
      <c r="AG14454" s="20"/>
      <c r="AQ14454" s="19"/>
      <c r="AR14454" s="19"/>
      <c r="AS14454" s="19"/>
      <c r="AT14454" s="19"/>
      <c r="AU14454" s="19"/>
    </row>
    <row r="14455" spans="3:47">
      <c r="C14455" s="20"/>
      <c r="Z14455" s="20"/>
      <c r="AG14455" s="20"/>
      <c r="AQ14455" s="19"/>
      <c r="AR14455" s="19"/>
      <c r="AS14455" s="19"/>
      <c r="AT14455" s="19"/>
      <c r="AU14455" s="19"/>
    </row>
    <row r="14456" spans="3:47">
      <c r="C14456" s="20"/>
      <c r="Z14456" s="20"/>
      <c r="AG14456" s="20"/>
      <c r="AQ14456" s="19"/>
      <c r="AR14456" s="19"/>
      <c r="AS14456" s="19"/>
      <c r="AT14456" s="19"/>
      <c r="AU14456" s="19"/>
    </row>
    <row r="14457" spans="3:47">
      <c r="C14457" s="20"/>
      <c r="Z14457" s="20"/>
      <c r="AG14457" s="20"/>
      <c r="AQ14457" s="19"/>
      <c r="AR14457" s="19"/>
      <c r="AS14457" s="19"/>
      <c r="AT14457" s="19"/>
      <c r="AU14457" s="19"/>
    </row>
    <row r="14458" spans="3:47">
      <c r="C14458" s="20"/>
      <c r="Z14458" s="20"/>
      <c r="AG14458" s="20"/>
      <c r="AQ14458" s="19"/>
      <c r="AR14458" s="19"/>
      <c r="AS14458" s="19"/>
      <c r="AT14458" s="19"/>
      <c r="AU14458" s="19"/>
    </row>
    <row r="14459" spans="3:47">
      <c r="C14459" s="20"/>
      <c r="Z14459" s="20"/>
      <c r="AG14459" s="20"/>
      <c r="AQ14459" s="19"/>
      <c r="AR14459" s="19"/>
      <c r="AS14459" s="19"/>
      <c r="AT14459" s="19"/>
      <c r="AU14459" s="19"/>
    </row>
    <row r="14460" spans="3:47">
      <c r="C14460" s="20"/>
      <c r="Z14460" s="20"/>
      <c r="AG14460" s="20"/>
      <c r="AQ14460" s="19"/>
      <c r="AR14460" s="19"/>
      <c r="AS14460" s="19"/>
      <c r="AT14460" s="19"/>
      <c r="AU14460" s="19"/>
    </row>
    <row r="14461" spans="3:47">
      <c r="C14461" s="20"/>
      <c r="Z14461" s="20"/>
      <c r="AG14461" s="20"/>
      <c r="AQ14461" s="19"/>
      <c r="AR14461" s="19"/>
      <c r="AS14461" s="19"/>
      <c r="AT14461" s="19"/>
      <c r="AU14461" s="19"/>
    </row>
    <row r="14462" spans="3:47">
      <c r="C14462" s="20"/>
      <c r="Z14462" s="20"/>
      <c r="AG14462" s="20"/>
      <c r="AQ14462" s="19"/>
      <c r="AR14462" s="19"/>
      <c r="AS14462" s="19"/>
      <c r="AT14462" s="19"/>
      <c r="AU14462" s="19"/>
    </row>
    <row r="14463" spans="3:47">
      <c r="C14463" s="20"/>
      <c r="Z14463" s="20"/>
      <c r="AG14463" s="20"/>
      <c r="AQ14463" s="19"/>
      <c r="AR14463" s="19"/>
      <c r="AS14463" s="19"/>
      <c r="AT14463" s="19"/>
      <c r="AU14463" s="19"/>
    </row>
    <row r="14464" spans="3:47">
      <c r="C14464" s="20"/>
      <c r="Z14464" s="20"/>
      <c r="AG14464" s="20"/>
      <c r="AQ14464" s="19"/>
      <c r="AR14464" s="19"/>
      <c r="AS14464" s="19"/>
      <c r="AT14464" s="19"/>
      <c r="AU14464" s="19"/>
    </row>
    <row r="14465" spans="3:47">
      <c r="C14465" s="20"/>
      <c r="Z14465" s="20"/>
      <c r="AG14465" s="20"/>
      <c r="AQ14465" s="19"/>
      <c r="AR14465" s="19"/>
      <c r="AS14465" s="19"/>
      <c r="AT14465" s="19"/>
      <c r="AU14465" s="19"/>
    </row>
    <row r="14466" spans="3:47">
      <c r="C14466" s="20"/>
      <c r="Z14466" s="20"/>
      <c r="AG14466" s="20"/>
      <c r="AQ14466" s="19"/>
      <c r="AR14466" s="19"/>
      <c r="AS14466" s="19"/>
      <c r="AT14466" s="19"/>
      <c r="AU14466" s="19"/>
    </row>
    <row r="14467" spans="3:47">
      <c r="C14467" s="20"/>
      <c r="Z14467" s="20"/>
      <c r="AG14467" s="20"/>
      <c r="AQ14467" s="19"/>
      <c r="AR14467" s="19"/>
      <c r="AS14467" s="19"/>
      <c r="AT14467" s="19"/>
      <c r="AU14467" s="19"/>
    </row>
    <row r="14468" spans="3:47">
      <c r="C14468" s="20"/>
      <c r="Z14468" s="20"/>
      <c r="AG14468" s="20"/>
      <c r="AQ14468" s="19"/>
      <c r="AR14468" s="19"/>
      <c r="AS14468" s="19"/>
      <c r="AT14468" s="19"/>
      <c r="AU14468" s="19"/>
    </row>
    <row r="14469" spans="3:47">
      <c r="C14469" s="20"/>
      <c r="Z14469" s="20"/>
      <c r="AG14469" s="20"/>
      <c r="AQ14469" s="19"/>
      <c r="AR14469" s="19"/>
      <c r="AS14469" s="19"/>
      <c r="AT14469" s="19"/>
      <c r="AU14469" s="19"/>
    </row>
    <row r="14470" spans="3:47">
      <c r="C14470" s="20"/>
      <c r="Z14470" s="20"/>
      <c r="AG14470" s="20"/>
      <c r="AQ14470" s="19"/>
      <c r="AR14470" s="19"/>
      <c r="AS14470" s="19"/>
      <c r="AT14470" s="19"/>
      <c r="AU14470" s="19"/>
    </row>
    <row r="14471" spans="3:47">
      <c r="C14471" s="20"/>
      <c r="Z14471" s="20"/>
      <c r="AG14471" s="20"/>
      <c r="AQ14471" s="19"/>
      <c r="AR14471" s="19"/>
      <c r="AS14471" s="19"/>
      <c r="AT14471" s="19"/>
      <c r="AU14471" s="19"/>
    </row>
    <row r="14472" spans="3:47">
      <c r="C14472" s="20"/>
      <c r="Z14472" s="20"/>
      <c r="AG14472" s="20"/>
      <c r="AQ14472" s="19"/>
      <c r="AR14472" s="19"/>
      <c r="AS14472" s="19"/>
      <c r="AT14472" s="19"/>
      <c r="AU14472" s="19"/>
    </row>
    <row r="14473" spans="3:47">
      <c r="C14473" s="20"/>
      <c r="Z14473" s="20"/>
      <c r="AG14473" s="20"/>
      <c r="AQ14473" s="19"/>
      <c r="AR14473" s="19"/>
      <c r="AS14473" s="19"/>
      <c r="AT14473" s="19"/>
      <c r="AU14473" s="19"/>
    </row>
    <row r="14474" spans="3:47">
      <c r="C14474" s="20"/>
      <c r="Z14474" s="20"/>
      <c r="AG14474" s="20"/>
      <c r="AQ14474" s="19"/>
      <c r="AR14474" s="19"/>
      <c r="AS14474" s="19"/>
      <c r="AT14474" s="19"/>
      <c r="AU14474" s="19"/>
    </row>
    <row r="14475" spans="3:47">
      <c r="C14475" s="20"/>
      <c r="Z14475" s="20"/>
      <c r="AG14475" s="20"/>
      <c r="AQ14475" s="19"/>
      <c r="AR14475" s="19"/>
      <c r="AS14475" s="19"/>
      <c r="AT14475" s="19"/>
      <c r="AU14475" s="19"/>
    </row>
    <row r="14476" spans="3:47">
      <c r="C14476" s="20"/>
      <c r="Z14476" s="20"/>
      <c r="AG14476" s="20"/>
      <c r="AQ14476" s="19"/>
      <c r="AR14476" s="19"/>
      <c r="AS14476" s="19"/>
      <c r="AT14476" s="19"/>
      <c r="AU14476" s="19"/>
    </row>
    <row r="14477" spans="3:47">
      <c r="C14477" s="20"/>
      <c r="Z14477" s="20"/>
      <c r="AG14477" s="20"/>
      <c r="AQ14477" s="19"/>
      <c r="AR14477" s="19"/>
      <c r="AS14477" s="19"/>
      <c r="AT14477" s="19"/>
      <c r="AU14477" s="19"/>
    </row>
    <row r="14478" spans="3:47">
      <c r="C14478" s="20"/>
      <c r="Z14478" s="20"/>
      <c r="AG14478" s="20"/>
      <c r="AQ14478" s="19"/>
      <c r="AR14478" s="19"/>
      <c r="AS14478" s="19"/>
      <c r="AT14478" s="19"/>
      <c r="AU14478" s="19"/>
    </row>
    <row r="14479" spans="3:47">
      <c r="C14479" s="20"/>
      <c r="Z14479" s="20"/>
      <c r="AG14479" s="20"/>
      <c r="AQ14479" s="19"/>
      <c r="AR14479" s="19"/>
      <c r="AS14479" s="19"/>
      <c r="AT14479" s="19"/>
      <c r="AU14479" s="19"/>
    </row>
    <row r="14480" spans="3:47">
      <c r="C14480" s="20"/>
      <c r="Z14480" s="20"/>
      <c r="AG14480" s="20"/>
      <c r="AQ14480" s="19"/>
      <c r="AR14480" s="19"/>
      <c r="AS14480" s="19"/>
      <c r="AT14480" s="19"/>
      <c r="AU14480" s="19"/>
    </row>
    <row r="14481" spans="3:47">
      <c r="C14481" s="20"/>
      <c r="Z14481" s="20"/>
      <c r="AG14481" s="20"/>
      <c r="AQ14481" s="19"/>
      <c r="AR14481" s="19"/>
      <c r="AS14481" s="19"/>
      <c r="AT14481" s="19"/>
      <c r="AU14481" s="19"/>
    </row>
    <row r="14482" spans="3:47">
      <c r="C14482" s="20"/>
      <c r="Z14482" s="20"/>
      <c r="AG14482" s="20"/>
      <c r="AQ14482" s="19"/>
      <c r="AR14482" s="19"/>
      <c r="AS14482" s="19"/>
      <c r="AT14482" s="19"/>
      <c r="AU14482" s="19"/>
    </row>
    <row r="14483" spans="3:47">
      <c r="C14483" s="20"/>
      <c r="Z14483" s="20"/>
      <c r="AG14483" s="20"/>
      <c r="AQ14483" s="19"/>
      <c r="AR14483" s="19"/>
      <c r="AS14483" s="19"/>
      <c r="AT14483" s="19"/>
      <c r="AU14483" s="19"/>
    </row>
    <row r="14484" spans="3:47">
      <c r="C14484" s="20"/>
      <c r="Z14484" s="20"/>
      <c r="AG14484" s="20"/>
      <c r="AQ14484" s="19"/>
      <c r="AR14484" s="19"/>
      <c r="AS14484" s="19"/>
      <c r="AT14484" s="19"/>
      <c r="AU14484" s="19"/>
    </row>
    <row r="14485" spans="3:47">
      <c r="C14485" s="20"/>
      <c r="Z14485" s="20"/>
      <c r="AG14485" s="20"/>
      <c r="AQ14485" s="19"/>
      <c r="AR14485" s="19"/>
      <c r="AS14485" s="19"/>
      <c r="AT14485" s="19"/>
      <c r="AU14485" s="19"/>
    </row>
    <row r="14486" spans="3:47">
      <c r="C14486" s="20"/>
      <c r="Z14486" s="20"/>
      <c r="AG14486" s="20"/>
      <c r="AQ14486" s="19"/>
      <c r="AR14486" s="19"/>
      <c r="AS14486" s="19"/>
      <c r="AT14486" s="19"/>
      <c r="AU14486" s="19"/>
    </row>
    <row r="14487" spans="3:47">
      <c r="C14487" s="20"/>
      <c r="Z14487" s="20"/>
      <c r="AG14487" s="20"/>
      <c r="AQ14487" s="19"/>
      <c r="AR14487" s="19"/>
      <c r="AS14487" s="19"/>
      <c r="AT14487" s="19"/>
      <c r="AU14487" s="19"/>
    </row>
    <row r="14488" spans="3:47">
      <c r="C14488" s="20"/>
      <c r="Z14488" s="20"/>
      <c r="AG14488" s="20"/>
      <c r="AQ14488" s="19"/>
      <c r="AR14488" s="19"/>
      <c r="AS14488" s="19"/>
      <c r="AT14488" s="19"/>
      <c r="AU14488" s="19"/>
    </row>
    <row r="14489" spans="3:47">
      <c r="C14489" s="20"/>
      <c r="Z14489" s="20"/>
      <c r="AG14489" s="20"/>
      <c r="AQ14489" s="19"/>
      <c r="AR14489" s="19"/>
      <c r="AS14489" s="19"/>
      <c r="AT14489" s="19"/>
      <c r="AU14489" s="19"/>
    </row>
    <row r="14490" spans="3:47">
      <c r="C14490" s="20"/>
      <c r="Z14490" s="20"/>
      <c r="AG14490" s="20"/>
      <c r="AQ14490" s="19"/>
      <c r="AR14490" s="19"/>
      <c r="AS14490" s="19"/>
      <c r="AT14490" s="19"/>
      <c r="AU14490" s="19"/>
    </row>
    <row r="14491" spans="3:47">
      <c r="C14491" s="20"/>
      <c r="Z14491" s="20"/>
      <c r="AG14491" s="20"/>
      <c r="AQ14491" s="19"/>
      <c r="AR14491" s="19"/>
      <c r="AS14491" s="19"/>
      <c r="AT14491" s="19"/>
      <c r="AU14491" s="19"/>
    </row>
    <row r="14492" spans="3:47">
      <c r="C14492" s="20"/>
      <c r="Z14492" s="20"/>
      <c r="AG14492" s="20"/>
      <c r="AQ14492" s="19"/>
      <c r="AR14492" s="19"/>
      <c r="AS14492" s="19"/>
      <c r="AT14492" s="19"/>
      <c r="AU14492" s="19"/>
    </row>
    <row r="14493" spans="3:47">
      <c r="C14493" s="20"/>
      <c r="Z14493" s="20"/>
      <c r="AG14493" s="20"/>
      <c r="AQ14493" s="19"/>
      <c r="AR14493" s="19"/>
      <c r="AS14493" s="19"/>
      <c r="AT14493" s="19"/>
      <c r="AU14493" s="19"/>
    </row>
    <row r="14494" spans="3:47">
      <c r="C14494" s="20"/>
      <c r="Z14494" s="20"/>
      <c r="AG14494" s="20"/>
      <c r="AQ14494" s="19"/>
      <c r="AR14494" s="19"/>
      <c r="AS14494" s="19"/>
      <c r="AT14494" s="19"/>
      <c r="AU14494" s="19"/>
    </row>
    <row r="14495" spans="3:47">
      <c r="C14495" s="20"/>
      <c r="Z14495" s="20"/>
      <c r="AG14495" s="20"/>
      <c r="AQ14495" s="19"/>
      <c r="AR14495" s="19"/>
      <c r="AS14495" s="19"/>
      <c r="AT14495" s="19"/>
      <c r="AU14495" s="19"/>
    </row>
    <row r="14496" spans="3:47">
      <c r="C14496" s="20"/>
      <c r="Z14496" s="20"/>
      <c r="AG14496" s="20"/>
      <c r="AQ14496" s="19"/>
      <c r="AR14496" s="19"/>
      <c r="AS14496" s="19"/>
      <c r="AT14496" s="19"/>
      <c r="AU14496" s="19"/>
    </row>
    <row r="14497" spans="3:47">
      <c r="C14497" s="20"/>
      <c r="Z14497" s="20"/>
      <c r="AG14497" s="20"/>
      <c r="AQ14497" s="19"/>
      <c r="AR14497" s="19"/>
      <c r="AS14497" s="19"/>
      <c r="AT14497" s="19"/>
      <c r="AU14497" s="19"/>
    </row>
    <row r="14498" spans="3:47">
      <c r="C14498" s="20"/>
      <c r="Z14498" s="20"/>
      <c r="AG14498" s="20"/>
      <c r="AQ14498" s="19"/>
      <c r="AR14498" s="19"/>
      <c r="AS14498" s="19"/>
      <c r="AT14498" s="19"/>
      <c r="AU14498" s="19"/>
    </row>
    <row r="14499" spans="3:47">
      <c r="C14499" s="20"/>
      <c r="Z14499" s="20"/>
      <c r="AG14499" s="20"/>
      <c r="AQ14499" s="19"/>
      <c r="AR14499" s="19"/>
      <c r="AS14499" s="19"/>
      <c r="AT14499" s="19"/>
      <c r="AU14499" s="19"/>
    </row>
    <row r="14500" spans="3:47">
      <c r="C14500" s="20"/>
      <c r="Z14500" s="20"/>
      <c r="AG14500" s="20"/>
      <c r="AQ14500" s="19"/>
      <c r="AR14500" s="19"/>
      <c r="AS14500" s="19"/>
      <c r="AT14500" s="19"/>
      <c r="AU14500" s="19"/>
    </row>
    <row r="14501" spans="3:47">
      <c r="C14501" s="20"/>
      <c r="Z14501" s="20"/>
      <c r="AG14501" s="20"/>
      <c r="AQ14501" s="19"/>
      <c r="AR14501" s="19"/>
      <c r="AS14501" s="19"/>
      <c r="AT14501" s="19"/>
      <c r="AU14501" s="19"/>
    </row>
    <row r="14502" spans="3:47">
      <c r="C14502" s="20"/>
      <c r="Z14502" s="20"/>
      <c r="AG14502" s="20"/>
      <c r="AQ14502" s="19"/>
      <c r="AR14502" s="19"/>
      <c r="AS14502" s="19"/>
      <c r="AT14502" s="19"/>
      <c r="AU14502" s="19"/>
    </row>
    <row r="14503" spans="3:47">
      <c r="C14503" s="20"/>
      <c r="Z14503" s="20"/>
      <c r="AG14503" s="20"/>
      <c r="AQ14503" s="19"/>
      <c r="AR14503" s="19"/>
      <c r="AS14503" s="19"/>
      <c r="AT14503" s="19"/>
      <c r="AU14503" s="19"/>
    </row>
    <row r="14504" spans="3:47">
      <c r="C14504" s="20"/>
      <c r="Z14504" s="20"/>
      <c r="AG14504" s="20"/>
      <c r="AQ14504" s="19"/>
      <c r="AR14504" s="19"/>
      <c r="AS14504" s="19"/>
      <c r="AT14504" s="19"/>
      <c r="AU14504" s="19"/>
    </row>
    <row r="14505" spans="3:47">
      <c r="C14505" s="20"/>
      <c r="Z14505" s="20"/>
      <c r="AG14505" s="20"/>
      <c r="AQ14505" s="19"/>
      <c r="AR14505" s="19"/>
      <c r="AS14505" s="19"/>
      <c r="AT14505" s="19"/>
      <c r="AU14505" s="19"/>
    </row>
    <row r="14506" spans="3:47">
      <c r="C14506" s="20"/>
      <c r="Z14506" s="20"/>
      <c r="AG14506" s="20"/>
      <c r="AQ14506" s="19"/>
      <c r="AR14506" s="19"/>
      <c r="AS14506" s="19"/>
      <c r="AT14506" s="19"/>
      <c r="AU14506" s="19"/>
    </row>
    <row r="14507" spans="3:47">
      <c r="C14507" s="20"/>
      <c r="Z14507" s="20"/>
      <c r="AG14507" s="20"/>
      <c r="AQ14507" s="19"/>
      <c r="AR14507" s="19"/>
      <c r="AS14507" s="19"/>
      <c r="AT14507" s="19"/>
      <c r="AU14507" s="19"/>
    </row>
    <row r="14508" spans="3:47">
      <c r="C14508" s="20"/>
      <c r="Z14508" s="20"/>
      <c r="AG14508" s="20"/>
      <c r="AQ14508" s="19"/>
      <c r="AR14508" s="19"/>
      <c r="AS14508" s="19"/>
      <c r="AT14508" s="19"/>
      <c r="AU14508" s="19"/>
    </row>
    <row r="14509" spans="3:47">
      <c r="C14509" s="20"/>
      <c r="Z14509" s="20"/>
      <c r="AG14509" s="20"/>
      <c r="AQ14509" s="19"/>
      <c r="AR14509" s="19"/>
      <c r="AS14509" s="19"/>
      <c r="AT14509" s="19"/>
      <c r="AU14509" s="19"/>
    </row>
    <row r="14510" spans="3:47">
      <c r="C14510" s="20"/>
      <c r="Z14510" s="20"/>
      <c r="AG14510" s="20"/>
      <c r="AQ14510" s="19"/>
      <c r="AR14510" s="19"/>
      <c r="AS14510" s="19"/>
      <c r="AT14510" s="19"/>
      <c r="AU14510" s="19"/>
    </row>
    <row r="14511" spans="3:47">
      <c r="C14511" s="20"/>
      <c r="Z14511" s="20"/>
      <c r="AG14511" s="20"/>
      <c r="AQ14511" s="19"/>
      <c r="AR14511" s="19"/>
      <c r="AS14511" s="19"/>
      <c r="AT14511" s="19"/>
      <c r="AU14511" s="19"/>
    </row>
    <row r="14512" spans="3:47">
      <c r="C14512" s="20"/>
      <c r="Z14512" s="20"/>
      <c r="AG14512" s="20"/>
      <c r="AQ14512" s="19"/>
      <c r="AR14512" s="19"/>
      <c r="AS14512" s="19"/>
      <c r="AT14512" s="19"/>
      <c r="AU14512" s="19"/>
    </row>
    <row r="14513" spans="3:47">
      <c r="C14513" s="20"/>
      <c r="Z14513" s="20"/>
      <c r="AG14513" s="20"/>
      <c r="AQ14513" s="19"/>
      <c r="AR14513" s="19"/>
      <c r="AS14513" s="19"/>
      <c r="AT14513" s="19"/>
      <c r="AU14513" s="19"/>
    </row>
    <row r="14514" spans="3:47">
      <c r="C14514" s="20"/>
      <c r="Z14514" s="20"/>
      <c r="AG14514" s="20"/>
      <c r="AQ14514" s="19"/>
      <c r="AR14514" s="19"/>
      <c r="AS14514" s="19"/>
      <c r="AT14514" s="19"/>
      <c r="AU14514" s="19"/>
    </row>
    <row r="14515" spans="3:47">
      <c r="C14515" s="20"/>
      <c r="Z14515" s="20"/>
      <c r="AG14515" s="20"/>
      <c r="AQ14515" s="19"/>
      <c r="AR14515" s="19"/>
      <c r="AS14515" s="19"/>
      <c r="AT14515" s="19"/>
      <c r="AU14515" s="19"/>
    </row>
    <row r="14516" spans="3:47">
      <c r="C14516" s="20"/>
      <c r="Z14516" s="20"/>
      <c r="AG14516" s="20"/>
      <c r="AQ14516" s="19"/>
      <c r="AR14516" s="19"/>
      <c r="AS14516" s="19"/>
      <c r="AT14516" s="19"/>
      <c r="AU14516" s="19"/>
    </row>
    <row r="14517" spans="3:47">
      <c r="C14517" s="20"/>
      <c r="Z14517" s="20"/>
      <c r="AG14517" s="20"/>
      <c r="AQ14517" s="19"/>
      <c r="AR14517" s="19"/>
      <c r="AS14517" s="19"/>
      <c r="AT14517" s="19"/>
      <c r="AU14517" s="19"/>
    </row>
    <row r="14518" spans="3:47">
      <c r="C14518" s="20"/>
      <c r="Z14518" s="20"/>
      <c r="AG14518" s="20"/>
      <c r="AQ14518" s="19"/>
      <c r="AR14518" s="19"/>
      <c r="AS14518" s="19"/>
      <c r="AT14518" s="19"/>
      <c r="AU14518" s="19"/>
    </row>
    <row r="14519" spans="3:47">
      <c r="C14519" s="20"/>
      <c r="Z14519" s="20"/>
      <c r="AG14519" s="20"/>
      <c r="AQ14519" s="19"/>
      <c r="AR14519" s="19"/>
      <c r="AS14519" s="19"/>
      <c r="AT14519" s="19"/>
      <c r="AU14519" s="19"/>
    </row>
    <row r="14520" spans="3:47">
      <c r="C14520" s="20"/>
      <c r="Z14520" s="20"/>
      <c r="AG14520" s="20"/>
      <c r="AQ14520" s="19"/>
      <c r="AR14520" s="19"/>
      <c r="AS14520" s="19"/>
      <c r="AT14520" s="19"/>
      <c r="AU14520" s="19"/>
    </row>
    <row r="14521" spans="3:47">
      <c r="C14521" s="20"/>
      <c r="Z14521" s="20"/>
      <c r="AG14521" s="20"/>
      <c r="AQ14521" s="19"/>
      <c r="AR14521" s="19"/>
      <c r="AS14521" s="19"/>
      <c r="AT14521" s="19"/>
      <c r="AU14521" s="19"/>
    </row>
    <row r="14522" spans="3:47">
      <c r="C14522" s="20"/>
      <c r="Z14522" s="20"/>
      <c r="AG14522" s="20"/>
      <c r="AQ14522" s="19"/>
      <c r="AR14522" s="19"/>
      <c r="AS14522" s="19"/>
      <c r="AT14522" s="19"/>
      <c r="AU14522" s="19"/>
    </row>
    <row r="14523" spans="3:47">
      <c r="C14523" s="20"/>
      <c r="Z14523" s="20"/>
      <c r="AG14523" s="20"/>
      <c r="AQ14523" s="19"/>
      <c r="AR14523" s="19"/>
      <c r="AS14523" s="19"/>
      <c r="AT14523" s="19"/>
      <c r="AU14523" s="19"/>
    </row>
    <row r="14524" spans="3:47">
      <c r="C14524" s="20"/>
      <c r="Z14524" s="20"/>
      <c r="AG14524" s="20"/>
      <c r="AQ14524" s="19"/>
      <c r="AR14524" s="19"/>
      <c r="AS14524" s="19"/>
      <c r="AT14524" s="19"/>
      <c r="AU14524" s="19"/>
    </row>
    <row r="14525" spans="3:47">
      <c r="C14525" s="20"/>
      <c r="Z14525" s="20"/>
      <c r="AG14525" s="20"/>
      <c r="AQ14525" s="19"/>
      <c r="AR14525" s="19"/>
      <c r="AS14525" s="19"/>
      <c r="AT14525" s="19"/>
      <c r="AU14525" s="19"/>
    </row>
    <row r="14526" spans="3:47">
      <c r="C14526" s="20"/>
      <c r="Z14526" s="20"/>
      <c r="AG14526" s="20"/>
      <c r="AQ14526" s="19"/>
      <c r="AR14526" s="19"/>
      <c r="AS14526" s="19"/>
      <c r="AT14526" s="19"/>
      <c r="AU14526" s="19"/>
    </row>
    <row r="14527" spans="3:47">
      <c r="C14527" s="20"/>
      <c r="Z14527" s="20"/>
      <c r="AG14527" s="20"/>
      <c r="AQ14527" s="19"/>
      <c r="AR14527" s="19"/>
      <c r="AS14527" s="19"/>
      <c r="AT14527" s="19"/>
      <c r="AU14527" s="19"/>
    </row>
    <row r="14528" spans="3:47">
      <c r="C14528" s="20"/>
      <c r="Z14528" s="20"/>
      <c r="AG14528" s="20"/>
      <c r="AQ14528" s="19"/>
      <c r="AR14528" s="19"/>
      <c r="AS14528" s="19"/>
      <c r="AT14528" s="19"/>
      <c r="AU14528" s="19"/>
    </row>
    <row r="14529" spans="3:47">
      <c r="C14529" s="20"/>
      <c r="Z14529" s="20"/>
      <c r="AG14529" s="20"/>
      <c r="AQ14529" s="19"/>
      <c r="AR14529" s="19"/>
      <c r="AS14529" s="19"/>
      <c r="AT14529" s="19"/>
      <c r="AU14529" s="19"/>
    </row>
    <row r="14530" spans="3:47">
      <c r="C14530" s="20"/>
      <c r="Z14530" s="20"/>
      <c r="AG14530" s="20"/>
      <c r="AQ14530" s="19"/>
      <c r="AR14530" s="19"/>
      <c r="AS14530" s="19"/>
      <c r="AT14530" s="19"/>
      <c r="AU14530" s="19"/>
    </row>
    <row r="14531" spans="3:47">
      <c r="C14531" s="20"/>
      <c r="Z14531" s="20"/>
      <c r="AG14531" s="20"/>
      <c r="AQ14531" s="19"/>
      <c r="AR14531" s="19"/>
      <c r="AS14531" s="19"/>
      <c r="AT14531" s="19"/>
      <c r="AU14531" s="19"/>
    </row>
    <row r="14532" spans="3:47">
      <c r="C14532" s="20"/>
      <c r="Z14532" s="20"/>
      <c r="AG14532" s="20"/>
      <c r="AQ14532" s="19"/>
      <c r="AR14532" s="19"/>
      <c r="AS14532" s="19"/>
      <c r="AT14532" s="19"/>
      <c r="AU14532" s="19"/>
    </row>
    <row r="14533" spans="3:47">
      <c r="C14533" s="20"/>
      <c r="Z14533" s="20"/>
      <c r="AG14533" s="20"/>
      <c r="AQ14533" s="19"/>
      <c r="AR14533" s="19"/>
      <c r="AS14533" s="19"/>
      <c r="AT14533" s="19"/>
      <c r="AU14533" s="19"/>
    </row>
    <row r="14534" spans="3:47">
      <c r="C14534" s="20"/>
      <c r="Z14534" s="20"/>
      <c r="AG14534" s="20"/>
      <c r="AQ14534" s="19"/>
      <c r="AR14534" s="19"/>
      <c r="AS14534" s="19"/>
      <c r="AT14534" s="19"/>
      <c r="AU14534" s="19"/>
    </row>
    <row r="14535" spans="3:47">
      <c r="C14535" s="20"/>
      <c r="Z14535" s="20"/>
      <c r="AG14535" s="20"/>
      <c r="AQ14535" s="19"/>
      <c r="AR14535" s="19"/>
      <c r="AS14535" s="19"/>
      <c r="AT14535" s="19"/>
      <c r="AU14535" s="19"/>
    </row>
    <row r="14536" spans="3:47">
      <c r="C14536" s="20"/>
      <c r="Z14536" s="20"/>
      <c r="AG14536" s="20"/>
      <c r="AQ14536" s="19"/>
      <c r="AR14536" s="19"/>
      <c r="AS14536" s="19"/>
      <c r="AT14536" s="19"/>
      <c r="AU14536" s="19"/>
    </row>
    <row r="14537" spans="3:47">
      <c r="C14537" s="20"/>
      <c r="Z14537" s="20"/>
      <c r="AG14537" s="20"/>
      <c r="AQ14537" s="19"/>
      <c r="AR14537" s="19"/>
      <c r="AS14537" s="19"/>
      <c r="AT14537" s="19"/>
      <c r="AU14537" s="19"/>
    </row>
    <row r="14538" spans="3:47">
      <c r="C14538" s="20"/>
      <c r="Z14538" s="20"/>
      <c r="AG14538" s="20"/>
      <c r="AQ14538" s="19"/>
      <c r="AR14538" s="19"/>
      <c r="AS14538" s="19"/>
      <c r="AT14538" s="19"/>
      <c r="AU14538" s="19"/>
    </row>
    <row r="14539" spans="3:47">
      <c r="C14539" s="20"/>
      <c r="Z14539" s="20"/>
      <c r="AG14539" s="20"/>
      <c r="AQ14539" s="19"/>
      <c r="AR14539" s="19"/>
      <c r="AS14539" s="19"/>
      <c r="AT14539" s="19"/>
      <c r="AU14539" s="19"/>
    </row>
    <row r="14540" spans="3:47">
      <c r="C14540" s="20"/>
      <c r="Z14540" s="20"/>
      <c r="AG14540" s="20"/>
      <c r="AQ14540" s="19"/>
      <c r="AR14540" s="19"/>
      <c r="AS14540" s="19"/>
      <c r="AT14540" s="19"/>
      <c r="AU14540" s="19"/>
    </row>
    <row r="14541" spans="3:47">
      <c r="C14541" s="20"/>
      <c r="Z14541" s="20"/>
      <c r="AG14541" s="20"/>
      <c r="AQ14541" s="19"/>
      <c r="AR14541" s="19"/>
      <c r="AS14541" s="19"/>
      <c r="AT14541" s="19"/>
      <c r="AU14541" s="19"/>
    </row>
    <row r="14542" spans="3:47">
      <c r="C14542" s="20"/>
      <c r="Z14542" s="20"/>
      <c r="AG14542" s="20"/>
      <c r="AQ14542" s="19"/>
      <c r="AR14542" s="19"/>
      <c r="AS14542" s="19"/>
      <c r="AT14542" s="19"/>
      <c r="AU14542" s="19"/>
    </row>
    <row r="14543" spans="3:47">
      <c r="C14543" s="20"/>
      <c r="Z14543" s="20"/>
      <c r="AG14543" s="20"/>
      <c r="AQ14543" s="19"/>
      <c r="AR14543" s="19"/>
      <c r="AS14543" s="19"/>
      <c r="AT14543" s="19"/>
      <c r="AU14543" s="19"/>
    </row>
    <row r="14544" spans="3:47">
      <c r="C14544" s="20"/>
      <c r="Z14544" s="20"/>
      <c r="AG14544" s="20"/>
      <c r="AQ14544" s="19"/>
      <c r="AR14544" s="19"/>
      <c r="AS14544" s="19"/>
      <c r="AT14544" s="19"/>
      <c r="AU14544" s="19"/>
    </row>
    <row r="14545" spans="3:47">
      <c r="C14545" s="20"/>
      <c r="Z14545" s="20"/>
      <c r="AG14545" s="20"/>
      <c r="AQ14545" s="19"/>
      <c r="AR14545" s="19"/>
      <c r="AS14545" s="19"/>
      <c r="AT14545" s="19"/>
      <c r="AU14545" s="19"/>
    </row>
    <row r="14546" spans="3:47">
      <c r="C14546" s="20"/>
      <c r="Z14546" s="20"/>
      <c r="AG14546" s="20"/>
      <c r="AQ14546" s="19"/>
      <c r="AR14546" s="19"/>
      <c r="AS14546" s="19"/>
      <c r="AT14546" s="19"/>
      <c r="AU14546" s="19"/>
    </row>
    <row r="14547" spans="3:47">
      <c r="C14547" s="20"/>
      <c r="Z14547" s="20"/>
      <c r="AG14547" s="20"/>
      <c r="AQ14547" s="19"/>
      <c r="AR14547" s="19"/>
      <c r="AS14547" s="19"/>
      <c r="AT14547" s="19"/>
      <c r="AU14547" s="19"/>
    </row>
    <row r="14548" spans="3:47">
      <c r="C14548" s="20"/>
      <c r="Z14548" s="20"/>
      <c r="AG14548" s="20"/>
      <c r="AQ14548" s="19"/>
      <c r="AR14548" s="19"/>
      <c r="AS14548" s="19"/>
      <c r="AT14548" s="19"/>
      <c r="AU14548" s="19"/>
    </row>
    <row r="14549" spans="3:47">
      <c r="C14549" s="20"/>
      <c r="Z14549" s="20"/>
      <c r="AG14549" s="20"/>
      <c r="AQ14549" s="19"/>
      <c r="AR14549" s="19"/>
      <c r="AS14549" s="19"/>
      <c r="AT14549" s="19"/>
      <c r="AU14549" s="19"/>
    </row>
    <row r="14550" spans="3:47">
      <c r="C14550" s="20"/>
      <c r="Z14550" s="20"/>
      <c r="AG14550" s="20"/>
      <c r="AQ14550" s="19"/>
      <c r="AR14550" s="19"/>
      <c r="AS14550" s="19"/>
      <c r="AT14550" s="19"/>
      <c r="AU14550" s="19"/>
    </row>
    <row r="14551" spans="3:47">
      <c r="C14551" s="20"/>
      <c r="Z14551" s="20"/>
      <c r="AG14551" s="20"/>
      <c r="AQ14551" s="19"/>
      <c r="AR14551" s="19"/>
      <c r="AS14551" s="19"/>
      <c r="AT14551" s="19"/>
      <c r="AU14551" s="19"/>
    </row>
    <row r="14552" spans="3:47">
      <c r="C14552" s="20"/>
      <c r="Z14552" s="20"/>
      <c r="AG14552" s="20"/>
      <c r="AQ14552" s="19"/>
      <c r="AR14552" s="19"/>
      <c r="AS14552" s="19"/>
      <c r="AT14552" s="19"/>
      <c r="AU14552" s="19"/>
    </row>
    <row r="14553" spans="3:47">
      <c r="C14553" s="20"/>
      <c r="Z14553" s="20"/>
      <c r="AG14553" s="20"/>
      <c r="AQ14553" s="19"/>
      <c r="AR14553" s="19"/>
      <c r="AS14553" s="19"/>
      <c r="AT14553" s="19"/>
      <c r="AU14553" s="19"/>
    </row>
    <row r="14554" spans="3:47">
      <c r="C14554" s="20"/>
      <c r="Z14554" s="20"/>
      <c r="AG14554" s="20"/>
      <c r="AQ14554" s="19"/>
      <c r="AR14554" s="19"/>
      <c r="AS14554" s="19"/>
      <c r="AT14554" s="19"/>
      <c r="AU14554" s="19"/>
    </row>
    <row r="14555" spans="3:47">
      <c r="C14555" s="20"/>
      <c r="Z14555" s="20"/>
      <c r="AG14555" s="20"/>
      <c r="AQ14555" s="19"/>
      <c r="AR14555" s="19"/>
      <c r="AS14555" s="19"/>
      <c r="AT14555" s="19"/>
      <c r="AU14555" s="19"/>
    </row>
    <row r="14556" spans="3:47">
      <c r="C14556" s="20"/>
      <c r="Z14556" s="20"/>
      <c r="AG14556" s="20"/>
      <c r="AQ14556" s="19"/>
      <c r="AR14556" s="19"/>
      <c r="AS14556" s="19"/>
      <c r="AT14556" s="19"/>
      <c r="AU14556" s="19"/>
    </row>
    <row r="14557" spans="3:47">
      <c r="C14557" s="20"/>
      <c r="Z14557" s="20"/>
      <c r="AG14557" s="20"/>
      <c r="AQ14557" s="19"/>
      <c r="AR14557" s="19"/>
      <c r="AS14557" s="19"/>
      <c r="AT14557" s="19"/>
      <c r="AU14557" s="19"/>
    </row>
    <row r="14558" spans="3:47">
      <c r="C14558" s="20"/>
      <c r="Z14558" s="20"/>
      <c r="AG14558" s="20"/>
      <c r="AQ14558" s="19"/>
      <c r="AR14558" s="19"/>
      <c r="AS14558" s="19"/>
      <c r="AT14558" s="19"/>
      <c r="AU14558" s="19"/>
    </row>
    <row r="14559" spans="3:47">
      <c r="C14559" s="20"/>
      <c r="Z14559" s="20"/>
      <c r="AG14559" s="20"/>
      <c r="AQ14559" s="19"/>
      <c r="AR14559" s="19"/>
      <c r="AS14559" s="19"/>
      <c r="AT14559" s="19"/>
      <c r="AU14559" s="19"/>
    </row>
    <row r="14560" spans="3:47">
      <c r="C14560" s="20"/>
      <c r="Z14560" s="20"/>
      <c r="AG14560" s="20"/>
      <c r="AQ14560" s="19"/>
      <c r="AR14560" s="19"/>
      <c r="AS14560" s="19"/>
      <c r="AT14560" s="19"/>
      <c r="AU14560" s="19"/>
    </row>
    <row r="14561" spans="3:47">
      <c r="C14561" s="20"/>
      <c r="Z14561" s="20"/>
      <c r="AG14561" s="20"/>
      <c r="AQ14561" s="19"/>
      <c r="AR14561" s="19"/>
      <c r="AS14561" s="19"/>
      <c r="AT14561" s="19"/>
      <c r="AU14561" s="19"/>
    </row>
    <row r="14562" spans="3:47">
      <c r="C14562" s="20"/>
      <c r="Z14562" s="20"/>
      <c r="AG14562" s="20"/>
      <c r="AQ14562" s="19"/>
      <c r="AR14562" s="19"/>
      <c r="AS14562" s="19"/>
      <c r="AT14562" s="19"/>
      <c r="AU14562" s="19"/>
    </row>
    <row r="14563" spans="3:47">
      <c r="C14563" s="20"/>
      <c r="Z14563" s="20"/>
      <c r="AG14563" s="20"/>
      <c r="AQ14563" s="19"/>
      <c r="AR14563" s="19"/>
      <c r="AS14563" s="19"/>
      <c r="AT14563" s="19"/>
      <c r="AU14563" s="19"/>
    </row>
    <row r="14564" spans="3:47">
      <c r="C14564" s="20"/>
      <c r="Z14564" s="20"/>
      <c r="AG14564" s="20"/>
      <c r="AQ14564" s="19"/>
      <c r="AR14564" s="19"/>
      <c r="AS14564" s="19"/>
      <c r="AT14564" s="19"/>
      <c r="AU14564" s="19"/>
    </row>
    <row r="14565" spans="3:47">
      <c r="C14565" s="20"/>
      <c r="Z14565" s="20"/>
      <c r="AG14565" s="20"/>
      <c r="AQ14565" s="19"/>
      <c r="AR14565" s="19"/>
      <c r="AS14565" s="19"/>
      <c r="AT14565" s="19"/>
      <c r="AU14565" s="19"/>
    </row>
    <row r="14566" spans="3:47">
      <c r="C14566" s="20"/>
      <c r="Z14566" s="20"/>
      <c r="AG14566" s="20"/>
      <c r="AQ14566" s="19"/>
      <c r="AR14566" s="19"/>
      <c r="AS14566" s="19"/>
      <c r="AT14566" s="19"/>
      <c r="AU14566" s="19"/>
    </row>
    <row r="14567" spans="3:47">
      <c r="C14567" s="20"/>
      <c r="Z14567" s="20"/>
      <c r="AG14567" s="20"/>
      <c r="AQ14567" s="19"/>
      <c r="AR14567" s="19"/>
      <c r="AS14567" s="19"/>
      <c r="AT14567" s="19"/>
      <c r="AU14567" s="19"/>
    </row>
    <row r="14568" spans="3:47">
      <c r="C14568" s="20"/>
      <c r="Z14568" s="20"/>
      <c r="AG14568" s="20"/>
      <c r="AQ14568" s="19"/>
      <c r="AR14568" s="19"/>
      <c r="AS14568" s="19"/>
      <c r="AT14568" s="19"/>
      <c r="AU14568" s="19"/>
    </row>
    <row r="14569" spans="3:47">
      <c r="C14569" s="20"/>
      <c r="Z14569" s="20"/>
      <c r="AG14569" s="20"/>
      <c r="AQ14569" s="19"/>
      <c r="AR14569" s="19"/>
      <c r="AS14569" s="19"/>
      <c r="AT14569" s="19"/>
      <c r="AU14569" s="19"/>
    </row>
    <row r="14570" spans="3:47">
      <c r="C14570" s="20"/>
      <c r="Z14570" s="20"/>
      <c r="AG14570" s="20"/>
      <c r="AQ14570" s="19"/>
      <c r="AR14570" s="19"/>
      <c r="AS14570" s="19"/>
      <c r="AT14570" s="19"/>
      <c r="AU14570" s="19"/>
    </row>
    <row r="14571" spans="3:47">
      <c r="C14571" s="20"/>
      <c r="Z14571" s="20"/>
      <c r="AG14571" s="20"/>
      <c r="AQ14571" s="19"/>
      <c r="AR14571" s="19"/>
      <c r="AS14571" s="19"/>
      <c r="AT14571" s="19"/>
      <c r="AU14571" s="19"/>
    </row>
    <row r="14572" spans="3:47">
      <c r="C14572" s="20"/>
      <c r="Z14572" s="20"/>
      <c r="AG14572" s="20"/>
      <c r="AQ14572" s="19"/>
      <c r="AR14572" s="19"/>
      <c r="AS14572" s="19"/>
      <c r="AT14572" s="19"/>
      <c r="AU14572" s="19"/>
    </row>
    <row r="14573" spans="3:47">
      <c r="C14573" s="20"/>
      <c r="Z14573" s="20"/>
      <c r="AG14573" s="20"/>
      <c r="AQ14573" s="19"/>
      <c r="AR14573" s="19"/>
      <c r="AS14573" s="19"/>
      <c r="AT14573" s="19"/>
      <c r="AU14573" s="19"/>
    </row>
    <row r="14574" spans="3:47">
      <c r="C14574" s="20"/>
      <c r="Z14574" s="20"/>
      <c r="AG14574" s="20"/>
      <c r="AQ14574" s="19"/>
      <c r="AR14574" s="19"/>
      <c r="AS14574" s="19"/>
      <c r="AT14574" s="19"/>
      <c r="AU14574" s="19"/>
    </row>
    <row r="14575" spans="3:47">
      <c r="C14575" s="20"/>
      <c r="Z14575" s="20"/>
      <c r="AG14575" s="20"/>
      <c r="AQ14575" s="19"/>
      <c r="AR14575" s="19"/>
      <c r="AS14575" s="19"/>
      <c r="AT14575" s="19"/>
      <c r="AU14575" s="19"/>
    </row>
    <row r="14576" spans="3:47">
      <c r="C14576" s="20"/>
      <c r="Z14576" s="20"/>
      <c r="AG14576" s="20"/>
      <c r="AQ14576" s="19"/>
      <c r="AR14576" s="19"/>
      <c r="AS14576" s="19"/>
      <c r="AT14576" s="19"/>
      <c r="AU14576" s="19"/>
    </row>
    <row r="14577" spans="3:47">
      <c r="C14577" s="20"/>
      <c r="Z14577" s="20"/>
      <c r="AG14577" s="20"/>
      <c r="AQ14577" s="19"/>
      <c r="AR14577" s="19"/>
      <c r="AS14577" s="19"/>
      <c r="AT14577" s="19"/>
      <c r="AU14577" s="19"/>
    </row>
    <row r="14578" spans="3:47">
      <c r="C14578" s="20"/>
      <c r="Z14578" s="20"/>
      <c r="AG14578" s="20"/>
      <c r="AQ14578" s="19"/>
      <c r="AR14578" s="19"/>
      <c r="AS14578" s="19"/>
      <c r="AT14578" s="19"/>
      <c r="AU14578" s="19"/>
    </row>
    <row r="14579" spans="3:47">
      <c r="C14579" s="20"/>
      <c r="Z14579" s="20"/>
      <c r="AG14579" s="20"/>
      <c r="AQ14579" s="19"/>
      <c r="AR14579" s="19"/>
      <c r="AS14579" s="19"/>
      <c r="AT14579" s="19"/>
      <c r="AU14579" s="19"/>
    </row>
    <row r="14580" spans="3:47">
      <c r="C14580" s="20"/>
      <c r="Z14580" s="20"/>
      <c r="AG14580" s="20"/>
      <c r="AQ14580" s="19"/>
      <c r="AR14580" s="19"/>
      <c r="AS14580" s="19"/>
      <c r="AT14580" s="19"/>
      <c r="AU14580" s="19"/>
    </row>
    <row r="14581" spans="3:47">
      <c r="C14581" s="20"/>
      <c r="Z14581" s="20"/>
      <c r="AG14581" s="20"/>
      <c r="AQ14581" s="19"/>
      <c r="AR14581" s="19"/>
      <c r="AS14581" s="19"/>
      <c r="AT14581" s="19"/>
      <c r="AU14581" s="19"/>
    </row>
    <row r="14582" spans="3:47">
      <c r="C14582" s="20"/>
      <c r="Z14582" s="20"/>
      <c r="AG14582" s="20"/>
      <c r="AQ14582" s="19"/>
      <c r="AR14582" s="19"/>
      <c r="AS14582" s="19"/>
      <c r="AT14582" s="19"/>
      <c r="AU14582" s="19"/>
    </row>
    <row r="14583" spans="3:47">
      <c r="C14583" s="20"/>
      <c r="Z14583" s="20"/>
      <c r="AG14583" s="20"/>
      <c r="AQ14583" s="19"/>
      <c r="AR14583" s="19"/>
      <c r="AS14583" s="19"/>
      <c r="AT14583" s="19"/>
      <c r="AU14583" s="19"/>
    </row>
    <row r="14584" spans="3:47">
      <c r="C14584" s="20"/>
      <c r="Z14584" s="20"/>
      <c r="AG14584" s="20"/>
      <c r="AQ14584" s="19"/>
      <c r="AR14584" s="19"/>
      <c r="AS14584" s="19"/>
      <c r="AT14584" s="19"/>
      <c r="AU14584" s="19"/>
    </row>
    <row r="14585" spans="3:47">
      <c r="C14585" s="20"/>
      <c r="Z14585" s="20"/>
      <c r="AG14585" s="20"/>
      <c r="AQ14585" s="19"/>
      <c r="AR14585" s="19"/>
      <c r="AS14585" s="19"/>
      <c r="AT14585" s="19"/>
      <c r="AU14585" s="19"/>
    </row>
    <row r="14586" spans="3:47">
      <c r="C14586" s="20"/>
      <c r="Z14586" s="20"/>
      <c r="AG14586" s="20"/>
      <c r="AQ14586" s="19"/>
      <c r="AR14586" s="19"/>
      <c r="AS14586" s="19"/>
      <c r="AT14586" s="19"/>
      <c r="AU14586" s="19"/>
    </row>
    <row r="14587" spans="3:47">
      <c r="C14587" s="20"/>
      <c r="Z14587" s="20"/>
      <c r="AG14587" s="20"/>
      <c r="AQ14587" s="19"/>
      <c r="AR14587" s="19"/>
      <c r="AS14587" s="19"/>
      <c r="AT14587" s="19"/>
      <c r="AU14587" s="19"/>
    </row>
    <row r="14588" spans="3:47">
      <c r="C14588" s="20"/>
      <c r="Z14588" s="20"/>
      <c r="AG14588" s="20"/>
      <c r="AQ14588" s="19"/>
      <c r="AR14588" s="19"/>
      <c r="AS14588" s="19"/>
      <c r="AT14588" s="19"/>
      <c r="AU14588" s="19"/>
    </row>
    <row r="14589" spans="3:47">
      <c r="C14589" s="20"/>
      <c r="Z14589" s="20"/>
      <c r="AG14589" s="20"/>
      <c r="AQ14589" s="19"/>
      <c r="AR14589" s="19"/>
      <c r="AS14589" s="19"/>
      <c r="AT14589" s="19"/>
      <c r="AU14589" s="19"/>
    </row>
    <row r="14590" spans="3:47">
      <c r="C14590" s="20"/>
      <c r="Z14590" s="20"/>
      <c r="AG14590" s="20"/>
      <c r="AQ14590" s="19"/>
      <c r="AR14590" s="19"/>
      <c r="AS14590" s="19"/>
      <c r="AT14590" s="19"/>
      <c r="AU14590" s="19"/>
    </row>
    <row r="14591" spans="3:47">
      <c r="C14591" s="20"/>
      <c r="Z14591" s="20"/>
      <c r="AG14591" s="20"/>
      <c r="AQ14591" s="19"/>
      <c r="AR14591" s="19"/>
      <c r="AS14591" s="19"/>
      <c r="AT14591" s="19"/>
      <c r="AU14591" s="19"/>
    </row>
    <row r="14592" spans="3:47">
      <c r="C14592" s="20"/>
      <c r="Z14592" s="20"/>
      <c r="AG14592" s="20"/>
      <c r="AQ14592" s="19"/>
      <c r="AR14592" s="19"/>
      <c r="AS14592" s="19"/>
      <c r="AT14592" s="19"/>
      <c r="AU14592" s="19"/>
    </row>
    <row r="14593" spans="3:47">
      <c r="C14593" s="20"/>
      <c r="Z14593" s="20"/>
      <c r="AG14593" s="20"/>
      <c r="AQ14593" s="19"/>
      <c r="AR14593" s="19"/>
      <c r="AS14593" s="19"/>
      <c r="AT14593" s="19"/>
      <c r="AU14593" s="19"/>
    </row>
    <row r="14594" spans="3:47">
      <c r="C14594" s="20"/>
      <c r="Z14594" s="20"/>
      <c r="AG14594" s="20"/>
      <c r="AQ14594" s="19"/>
      <c r="AR14594" s="19"/>
      <c r="AS14594" s="19"/>
      <c r="AT14594" s="19"/>
      <c r="AU14594" s="19"/>
    </row>
    <row r="14595" spans="3:47">
      <c r="C14595" s="20"/>
      <c r="Z14595" s="20"/>
      <c r="AG14595" s="20"/>
      <c r="AQ14595" s="19"/>
      <c r="AR14595" s="19"/>
      <c r="AS14595" s="19"/>
      <c r="AT14595" s="19"/>
      <c r="AU14595" s="19"/>
    </row>
    <row r="14596" spans="3:47">
      <c r="C14596" s="20"/>
      <c r="Z14596" s="20"/>
      <c r="AG14596" s="20"/>
      <c r="AQ14596" s="19"/>
      <c r="AR14596" s="19"/>
      <c r="AS14596" s="19"/>
      <c r="AT14596" s="19"/>
      <c r="AU14596" s="19"/>
    </row>
    <row r="14597" spans="3:47">
      <c r="C14597" s="20"/>
      <c r="Z14597" s="20"/>
      <c r="AG14597" s="20"/>
      <c r="AQ14597" s="19"/>
      <c r="AR14597" s="19"/>
      <c r="AS14597" s="19"/>
      <c r="AT14597" s="19"/>
      <c r="AU14597" s="19"/>
    </row>
    <row r="14598" spans="3:47">
      <c r="C14598" s="20"/>
      <c r="Z14598" s="20"/>
      <c r="AG14598" s="20"/>
      <c r="AQ14598" s="19"/>
      <c r="AR14598" s="19"/>
      <c r="AS14598" s="19"/>
      <c r="AT14598" s="19"/>
      <c r="AU14598" s="19"/>
    </row>
    <row r="14599" spans="3:47">
      <c r="C14599" s="20"/>
      <c r="Z14599" s="20"/>
      <c r="AG14599" s="20"/>
      <c r="AQ14599" s="19"/>
      <c r="AR14599" s="19"/>
      <c r="AS14599" s="19"/>
      <c r="AT14599" s="19"/>
      <c r="AU14599" s="19"/>
    </row>
    <row r="14600" spans="3:47">
      <c r="C14600" s="20"/>
      <c r="Z14600" s="20"/>
      <c r="AG14600" s="20"/>
      <c r="AQ14600" s="19"/>
      <c r="AR14600" s="19"/>
      <c r="AS14600" s="19"/>
      <c r="AT14600" s="19"/>
      <c r="AU14600" s="19"/>
    </row>
    <row r="14601" spans="3:47">
      <c r="C14601" s="20"/>
      <c r="Z14601" s="20"/>
      <c r="AG14601" s="20"/>
      <c r="AQ14601" s="19"/>
      <c r="AR14601" s="19"/>
      <c r="AS14601" s="19"/>
      <c r="AT14601" s="19"/>
      <c r="AU14601" s="19"/>
    </row>
    <row r="14602" spans="3:47">
      <c r="C14602" s="20"/>
      <c r="Z14602" s="20"/>
      <c r="AG14602" s="20"/>
      <c r="AQ14602" s="19"/>
      <c r="AR14602" s="19"/>
      <c r="AS14602" s="19"/>
      <c r="AT14602" s="19"/>
      <c r="AU14602" s="19"/>
    </row>
    <row r="14603" spans="3:47">
      <c r="C14603" s="20"/>
      <c r="Z14603" s="20"/>
      <c r="AG14603" s="20"/>
      <c r="AQ14603" s="19"/>
      <c r="AR14603" s="19"/>
      <c r="AS14603" s="19"/>
      <c r="AT14603" s="19"/>
      <c r="AU14603" s="19"/>
    </row>
    <row r="14604" spans="3:47">
      <c r="C14604" s="20"/>
      <c r="Z14604" s="20"/>
      <c r="AG14604" s="20"/>
      <c r="AQ14604" s="19"/>
      <c r="AR14604" s="19"/>
      <c r="AS14604" s="19"/>
      <c r="AT14604" s="19"/>
      <c r="AU14604" s="19"/>
    </row>
    <row r="14605" spans="3:47">
      <c r="C14605" s="20"/>
      <c r="Z14605" s="20"/>
      <c r="AG14605" s="20"/>
      <c r="AQ14605" s="19"/>
      <c r="AR14605" s="19"/>
      <c r="AS14605" s="19"/>
      <c r="AT14605" s="19"/>
      <c r="AU14605" s="19"/>
    </row>
    <row r="14606" spans="3:47">
      <c r="C14606" s="20"/>
      <c r="Z14606" s="20"/>
      <c r="AG14606" s="20"/>
      <c r="AQ14606" s="19"/>
      <c r="AR14606" s="19"/>
      <c r="AS14606" s="19"/>
      <c r="AT14606" s="19"/>
      <c r="AU14606" s="19"/>
    </row>
    <row r="14607" spans="3:47">
      <c r="C14607" s="20"/>
      <c r="Z14607" s="20"/>
      <c r="AG14607" s="20"/>
      <c r="AQ14607" s="19"/>
      <c r="AR14607" s="19"/>
      <c r="AS14607" s="19"/>
      <c r="AT14607" s="19"/>
      <c r="AU14607" s="19"/>
    </row>
    <row r="14608" spans="3:47">
      <c r="C14608" s="20"/>
      <c r="Z14608" s="20"/>
      <c r="AG14608" s="20"/>
      <c r="AQ14608" s="19"/>
      <c r="AR14608" s="19"/>
      <c r="AS14608" s="19"/>
      <c r="AT14608" s="19"/>
      <c r="AU14608" s="19"/>
    </row>
    <row r="14609" spans="3:47">
      <c r="C14609" s="20"/>
      <c r="Z14609" s="20"/>
      <c r="AG14609" s="20"/>
      <c r="AQ14609" s="19"/>
      <c r="AR14609" s="19"/>
      <c r="AS14609" s="19"/>
      <c r="AT14609" s="19"/>
      <c r="AU14609" s="19"/>
    </row>
    <row r="14610" spans="3:47">
      <c r="C14610" s="20"/>
      <c r="Z14610" s="20"/>
      <c r="AG14610" s="20"/>
      <c r="AQ14610" s="19"/>
      <c r="AR14610" s="19"/>
      <c r="AS14610" s="19"/>
      <c r="AT14610" s="19"/>
      <c r="AU14610" s="19"/>
    </row>
    <row r="14611" spans="3:47">
      <c r="C14611" s="20"/>
      <c r="Z14611" s="20"/>
      <c r="AG14611" s="20"/>
      <c r="AQ14611" s="19"/>
      <c r="AR14611" s="19"/>
      <c r="AS14611" s="19"/>
      <c r="AT14611" s="19"/>
      <c r="AU14611" s="19"/>
    </row>
    <row r="14612" spans="3:47">
      <c r="C14612" s="20"/>
      <c r="Z14612" s="20"/>
      <c r="AG14612" s="20"/>
      <c r="AQ14612" s="19"/>
      <c r="AR14612" s="19"/>
      <c r="AS14612" s="19"/>
      <c r="AT14612" s="19"/>
      <c r="AU14612" s="19"/>
    </row>
    <row r="14613" spans="3:47">
      <c r="C14613" s="20"/>
      <c r="Z14613" s="20"/>
      <c r="AG14613" s="20"/>
      <c r="AQ14613" s="19"/>
      <c r="AR14613" s="19"/>
      <c r="AS14613" s="19"/>
      <c r="AT14613" s="19"/>
      <c r="AU14613" s="19"/>
    </row>
    <row r="14614" spans="3:47">
      <c r="C14614" s="20"/>
      <c r="Z14614" s="20"/>
      <c r="AG14614" s="20"/>
      <c r="AQ14614" s="19"/>
      <c r="AR14614" s="19"/>
      <c r="AS14614" s="19"/>
      <c r="AT14614" s="19"/>
      <c r="AU14614" s="19"/>
    </row>
    <row r="14615" spans="3:47">
      <c r="C14615" s="20"/>
      <c r="Z14615" s="20"/>
      <c r="AG14615" s="20"/>
      <c r="AQ14615" s="19"/>
      <c r="AR14615" s="19"/>
      <c r="AS14615" s="19"/>
      <c r="AT14615" s="19"/>
      <c r="AU14615" s="19"/>
    </row>
    <row r="14616" spans="3:47">
      <c r="C14616" s="20"/>
      <c r="Z14616" s="20"/>
      <c r="AG14616" s="20"/>
      <c r="AQ14616" s="19"/>
      <c r="AR14616" s="19"/>
      <c r="AS14616" s="19"/>
      <c r="AT14616" s="19"/>
      <c r="AU14616" s="19"/>
    </row>
    <row r="14617" spans="3:47">
      <c r="C14617" s="20"/>
      <c r="Z14617" s="20"/>
      <c r="AG14617" s="20"/>
      <c r="AQ14617" s="19"/>
      <c r="AR14617" s="19"/>
      <c r="AS14617" s="19"/>
      <c r="AT14617" s="19"/>
      <c r="AU14617" s="19"/>
    </row>
    <row r="14618" spans="3:47">
      <c r="C14618" s="20"/>
      <c r="Z14618" s="20"/>
      <c r="AG14618" s="20"/>
      <c r="AQ14618" s="19"/>
      <c r="AR14618" s="19"/>
      <c r="AS14618" s="19"/>
      <c r="AT14618" s="19"/>
      <c r="AU14618" s="19"/>
    </row>
    <row r="14619" spans="3:47">
      <c r="C14619" s="20"/>
      <c r="Z14619" s="20"/>
      <c r="AG14619" s="20"/>
      <c r="AQ14619" s="19"/>
      <c r="AR14619" s="19"/>
      <c r="AS14619" s="19"/>
      <c r="AT14619" s="19"/>
      <c r="AU14619" s="19"/>
    </row>
    <row r="14620" spans="3:47">
      <c r="C14620" s="20"/>
      <c r="Z14620" s="20"/>
      <c r="AG14620" s="20"/>
      <c r="AQ14620" s="19"/>
      <c r="AR14620" s="19"/>
      <c r="AS14620" s="19"/>
      <c r="AT14620" s="19"/>
      <c r="AU14620" s="19"/>
    </row>
    <row r="14621" spans="3:47">
      <c r="C14621" s="20"/>
      <c r="Z14621" s="20"/>
      <c r="AG14621" s="20"/>
      <c r="AQ14621" s="19"/>
      <c r="AR14621" s="19"/>
      <c r="AS14621" s="19"/>
      <c r="AT14621" s="19"/>
      <c r="AU14621" s="19"/>
    </row>
    <row r="14622" spans="3:47">
      <c r="C14622" s="20"/>
      <c r="Z14622" s="20"/>
      <c r="AG14622" s="20"/>
      <c r="AQ14622" s="19"/>
      <c r="AR14622" s="19"/>
      <c r="AS14622" s="19"/>
      <c r="AT14622" s="19"/>
      <c r="AU14622" s="19"/>
    </row>
    <row r="14623" spans="3:47">
      <c r="C14623" s="20"/>
      <c r="Z14623" s="20"/>
      <c r="AG14623" s="20"/>
      <c r="AQ14623" s="19"/>
      <c r="AR14623" s="19"/>
      <c r="AS14623" s="19"/>
      <c r="AT14623" s="19"/>
      <c r="AU14623" s="19"/>
    </row>
    <row r="14624" spans="3:47">
      <c r="C14624" s="20"/>
      <c r="Z14624" s="20"/>
      <c r="AG14624" s="20"/>
      <c r="AQ14624" s="19"/>
      <c r="AR14624" s="19"/>
      <c r="AS14624" s="19"/>
      <c r="AT14624" s="19"/>
      <c r="AU14624" s="19"/>
    </row>
    <row r="14625" spans="3:47">
      <c r="C14625" s="20"/>
      <c r="Z14625" s="20"/>
      <c r="AG14625" s="20"/>
      <c r="AQ14625" s="19"/>
      <c r="AR14625" s="19"/>
      <c r="AS14625" s="19"/>
      <c r="AT14625" s="19"/>
      <c r="AU14625" s="19"/>
    </row>
    <row r="14626" spans="3:47">
      <c r="C14626" s="20"/>
      <c r="Z14626" s="20"/>
      <c r="AG14626" s="20"/>
      <c r="AQ14626" s="19"/>
      <c r="AR14626" s="19"/>
      <c r="AS14626" s="19"/>
      <c r="AT14626" s="19"/>
      <c r="AU14626" s="19"/>
    </row>
    <row r="14627" spans="3:47">
      <c r="C14627" s="20"/>
      <c r="Z14627" s="20"/>
      <c r="AG14627" s="20"/>
      <c r="AQ14627" s="19"/>
      <c r="AR14627" s="19"/>
      <c r="AS14627" s="19"/>
      <c r="AT14627" s="19"/>
      <c r="AU14627" s="19"/>
    </row>
    <row r="14628" spans="3:47">
      <c r="C14628" s="20"/>
      <c r="Z14628" s="20"/>
      <c r="AG14628" s="20"/>
      <c r="AQ14628" s="19"/>
      <c r="AR14628" s="19"/>
      <c r="AS14628" s="19"/>
      <c r="AT14628" s="19"/>
      <c r="AU14628" s="19"/>
    </row>
    <row r="14629" spans="3:47">
      <c r="C14629" s="20"/>
      <c r="Z14629" s="20"/>
      <c r="AG14629" s="20"/>
      <c r="AQ14629" s="19"/>
      <c r="AR14629" s="19"/>
      <c r="AS14629" s="19"/>
      <c r="AT14629" s="19"/>
      <c r="AU14629" s="19"/>
    </row>
    <row r="14630" spans="3:47">
      <c r="C14630" s="20"/>
      <c r="Z14630" s="20"/>
      <c r="AG14630" s="20"/>
      <c r="AQ14630" s="19"/>
      <c r="AR14630" s="19"/>
      <c r="AS14630" s="19"/>
      <c r="AT14630" s="19"/>
      <c r="AU14630" s="19"/>
    </row>
    <row r="14631" spans="3:47">
      <c r="C14631" s="20"/>
      <c r="Z14631" s="20"/>
      <c r="AG14631" s="20"/>
      <c r="AQ14631" s="19"/>
      <c r="AR14631" s="19"/>
      <c r="AS14631" s="19"/>
      <c r="AT14631" s="19"/>
      <c r="AU14631" s="19"/>
    </row>
    <row r="14632" spans="3:47">
      <c r="C14632" s="20"/>
      <c r="Z14632" s="20"/>
      <c r="AG14632" s="20"/>
      <c r="AQ14632" s="19"/>
      <c r="AR14632" s="19"/>
      <c r="AS14632" s="19"/>
      <c r="AT14632" s="19"/>
      <c r="AU14632" s="19"/>
    </row>
    <row r="14633" spans="3:47">
      <c r="C14633" s="20"/>
      <c r="Z14633" s="20"/>
      <c r="AG14633" s="20"/>
      <c r="AQ14633" s="19"/>
      <c r="AR14633" s="19"/>
      <c r="AS14633" s="19"/>
      <c r="AT14633" s="19"/>
      <c r="AU14633" s="19"/>
    </row>
    <row r="14634" spans="3:47">
      <c r="C14634" s="20"/>
      <c r="Z14634" s="20"/>
      <c r="AG14634" s="20"/>
      <c r="AQ14634" s="19"/>
      <c r="AR14634" s="19"/>
      <c r="AS14634" s="19"/>
      <c r="AT14634" s="19"/>
      <c r="AU14634" s="19"/>
    </row>
    <row r="14635" spans="3:47">
      <c r="C14635" s="20"/>
      <c r="Z14635" s="20"/>
      <c r="AG14635" s="20"/>
      <c r="AQ14635" s="19"/>
      <c r="AR14635" s="19"/>
      <c r="AS14635" s="19"/>
      <c r="AT14635" s="19"/>
      <c r="AU14635" s="19"/>
    </row>
    <row r="14636" spans="3:47">
      <c r="C14636" s="20"/>
      <c r="Z14636" s="20"/>
      <c r="AG14636" s="20"/>
      <c r="AQ14636" s="19"/>
      <c r="AR14636" s="19"/>
      <c r="AS14636" s="19"/>
      <c r="AT14636" s="19"/>
      <c r="AU14636" s="19"/>
    </row>
    <row r="14637" spans="3:47">
      <c r="C14637" s="20"/>
      <c r="Z14637" s="20"/>
      <c r="AG14637" s="20"/>
      <c r="AQ14637" s="19"/>
      <c r="AR14637" s="19"/>
      <c r="AS14637" s="19"/>
      <c r="AT14637" s="19"/>
      <c r="AU14637" s="19"/>
    </row>
    <row r="14638" spans="3:47">
      <c r="C14638" s="20"/>
      <c r="Z14638" s="20"/>
      <c r="AG14638" s="20"/>
      <c r="AQ14638" s="19"/>
      <c r="AR14638" s="19"/>
      <c r="AS14638" s="19"/>
      <c r="AT14638" s="19"/>
      <c r="AU14638" s="19"/>
    </row>
    <row r="14639" spans="3:47">
      <c r="C14639" s="20"/>
      <c r="Z14639" s="20"/>
      <c r="AG14639" s="20"/>
      <c r="AQ14639" s="19"/>
      <c r="AR14639" s="19"/>
      <c r="AS14639" s="19"/>
      <c r="AT14639" s="19"/>
      <c r="AU14639" s="19"/>
    </row>
    <row r="14640" spans="3:47">
      <c r="C14640" s="20"/>
      <c r="Z14640" s="20"/>
      <c r="AG14640" s="20"/>
      <c r="AQ14640" s="19"/>
      <c r="AR14640" s="19"/>
      <c r="AS14640" s="19"/>
      <c r="AT14640" s="19"/>
      <c r="AU14640" s="19"/>
    </row>
    <row r="14641" spans="3:47">
      <c r="C14641" s="20"/>
      <c r="Z14641" s="20"/>
      <c r="AG14641" s="20"/>
      <c r="AQ14641" s="19"/>
      <c r="AR14641" s="19"/>
      <c r="AS14641" s="19"/>
      <c r="AT14641" s="19"/>
      <c r="AU14641" s="19"/>
    </row>
    <row r="14642" spans="3:47">
      <c r="C14642" s="20"/>
      <c r="Z14642" s="20"/>
      <c r="AG14642" s="20"/>
      <c r="AQ14642" s="19"/>
      <c r="AR14642" s="19"/>
      <c r="AS14642" s="19"/>
      <c r="AT14642" s="19"/>
      <c r="AU14642" s="19"/>
    </row>
    <row r="14643" spans="3:47">
      <c r="C14643" s="20"/>
      <c r="Z14643" s="20"/>
      <c r="AG14643" s="20"/>
      <c r="AQ14643" s="19"/>
      <c r="AR14643" s="19"/>
      <c r="AS14643" s="19"/>
      <c r="AT14643" s="19"/>
      <c r="AU14643" s="19"/>
    </row>
    <row r="14644" spans="3:47">
      <c r="C14644" s="20"/>
      <c r="Z14644" s="20"/>
      <c r="AG14644" s="20"/>
      <c r="AQ14644" s="19"/>
      <c r="AR14644" s="19"/>
      <c r="AS14644" s="19"/>
      <c r="AT14644" s="19"/>
      <c r="AU14644" s="19"/>
    </row>
    <row r="14645" spans="3:47">
      <c r="C14645" s="20"/>
      <c r="Z14645" s="20"/>
      <c r="AG14645" s="20"/>
      <c r="AQ14645" s="19"/>
      <c r="AR14645" s="19"/>
      <c r="AS14645" s="19"/>
      <c r="AT14645" s="19"/>
      <c r="AU14645" s="19"/>
    </row>
    <row r="14646" spans="3:47">
      <c r="C14646" s="20"/>
      <c r="Z14646" s="20"/>
      <c r="AG14646" s="20"/>
      <c r="AQ14646" s="19"/>
      <c r="AR14646" s="19"/>
      <c r="AS14646" s="19"/>
      <c r="AT14646" s="19"/>
      <c r="AU14646" s="19"/>
    </row>
    <row r="14647" spans="3:47">
      <c r="C14647" s="20"/>
      <c r="Z14647" s="20"/>
      <c r="AG14647" s="20"/>
      <c r="AQ14647" s="19"/>
      <c r="AR14647" s="19"/>
      <c r="AS14647" s="19"/>
      <c r="AT14647" s="19"/>
      <c r="AU14647" s="19"/>
    </row>
    <row r="14648" spans="3:47">
      <c r="C14648" s="20"/>
      <c r="Z14648" s="20"/>
      <c r="AG14648" s="20"/>
      <c r="AQ14648" s="19"/>
      <c r="AR14648" s="19"/>
      <c r="AS14648" s="19"/>
      <c r="AT14648" s="19"/>
      <c r="AU14648" s="19"/>
    </row>
    <row r="14649" spans="3:47">
      <c r="C14649" s="20"/>
      <c r="Z14649" s="20"/>
      <c r="AG14649" s="20"/>
      <c r="AQ14649" s="19"/>
      <c r="AR14649" s="19"/>
      <c r="AS14649" s="19"/>
      <c r="AT14649" s="19"/>
      <c r="AU14649" s="19"/>
    </row>
    <row r="14650" spans="3:47">
      <c r="C14650" s="20"/>
      <c r="Z14650" s="20"/>
      <c r="AG14650" s="20"/>
      <c r="AQ14650" s="19"/>
      <c r="AR14650" s="19"/>
      <c r="AS14650" s="19"/>
      <c r="AT14650" s="19"/>
      <c r="AU14650" s="19"/>
    </row>
    <row r="14651" spans="3:47">
      <c r="C14651" s="20"/>
      <c r="Z14651" s="20"/>
      <c r="AG14651" s="20"/>
      <c r="AQ14651" s="19"/>
      <c r="AR14651" s="19"/>
      <c r="AS14651" s="19"/>
      <c r="AT14651" s="19"/>
      <c r="AU14651" s="19"/>
    </row>
    <row r="14652" spans="3:47">
      <c r="C14652" s="20"/>
      <c r="Z14652" s="20"/>
      <c r="AG14652" s="20"/>
      <c r="AQ14652" s="19"/>
      <c r="AR14652" s="19"/>
      <c r="AS14652" s="19"/>
      <c r="AT14652" s="19"/>
      <c r="AU14652" s="19"/>
    </row>
    <row r="14653" spans="3:47">
      <c r="C14653" s="20"/>
      <c r="Z14653" s="20"/>
      <c r="AG14653" s="20"/>
      <c r="AQ14653" s="19"/>
      <c r="AR14653" s="19"/>
      <c r="AS14653" s="19"/>
      <c r="AT14653" s="19"/>
      <c r="AU14653" s="19"/>
    </row>
    <row r="14654" spans="3:47">
      <c r="C14654" s="20"/>
      <c r="Z14654" s="20"/>
      <c r="AG14654" s="20"/>
      <c r="AQ14654" s="19"/>
      <c r="AR14654" s="19"/>
      <c r="AS14654" s="19"/>
      <c r="AT14654" s="19"/>
      <c r="AU14654" s="19"/>
    </row>
    <row r="14655" spans="3:47">
      <c r="C14655" s="20"/>
      <c r="Z14655" s="20"/>
      <c r="AG14655" s="20"/>
      <c r="AQ14655" s="19"/>
      <c r="AR14655" s="19"/>
      <c r="AS14655" s="19"/>
      <c r="AT14655" s="19"/>
      <c r="AU14655" s="19"/>
    </row>
    <row r="14656" spans="3:47">
      <c r="C14656" s="20"/>
      <c r="Z14656" s="20"/>
      <c r="AG14656" s="20"/>
      <c r="AQ14656" s="19"/>
      <c r="AR14656" s="19"/>
      <c r="AS14656" s="19"/>
      <c r="AT14656" s="19"/>
      <c r="AU14656" s="19"/>
    </row>
    <row r="14657" spans="3:47">
      <c r="C14657" s="20"/>
      <c r="Z14657" s="20"/>
      <c r="AG14657" s="20"/>
      <c r="AQ14657" s="19"/>
      <c r="AR14657" s="19"/>
      <c r="AS14657" s="19"/>
      <c r="AT14657" s="19"/>
      <c r="AU14657" s="19"/>
    </row>
    <row r="14658" spans="3:47">
      <c r="C14658" s="20"/>
      <c r="Z14658" s="20"/>
      <c r="AG14658" s="20"/>
      <c r="AQ14658" s="19"/>
      <c r="AR14658" s="19"/>
      <c r="AS14658" s="19"/>
      <c r="AT14658" s="19"/>
      <c r="AU14658" s="19"/>
    </row>
    <row r="14659" spans="3:47">
      <c r="C14659" s="20"/>
      <c r="Z14659" s="20"/>
      <c r="AG14659" s="20"/>
      <c r="AQ14659" s="19"/>
      <c r="AR14659" s="19"/>
      <c r="AS14659" s="19"/>
      <c r="AT14659" s="19"/>
      <c r="AU14659" s="19"/>
    </row>
    <row r="14660" spans="3:47">
      <c r="C14660" s="20"/>
      <c r="Z14660" s="20"/>
      <c r="AG14660" s="20"/>
      <c r="AQ14660" s="19"/>
      <c r="AR14660" s="19"/>
      <c r="AS14660" s="19"/>
      <c r="AT14660" s="19"/>
      <c r="AU14660" s="19"/>
    </row>
    <row r="14661" spans="3:47">
      <c r="C14661" s="20"/>
      <c r="Z14661" s="20"/>
      <c r="AG14661" s="20"/>
      <c r="AQ14661" s="19"/>
      <c r="AR14661" s="19"/>
      <c r="AS14661" s="19"/>
      <c r="AT14661" s="19"/>
      <c r="AU14661" s="19"/>
    </row>
    <row r="14662" spans="3:47">
      <c r="C14662" s="20"/>
      <c r="Z14662" s="20"/>
      <c r="AG14662" s="20"/>
      <c r="AQ14662" s="19"/>
      <c r="AR14662" s="19"/>
      <c r="AS14662" s="19"/>
      <c r="AT14662" s="19"/>
      <c r="AU14662" s="19"/>
    </row>
    <row r="14663" spans="3:47">
      <c r="C14663" s="20"/>
      <c r="Z14663" s="20"/>
      <c r="AG14663" s="20"/>
      <c r="AQ14663" s="19"/>
      <c r="AR14663" s="19"/>
      <c r="AS14663" s="19"/>
      <c r="AT14663" s="19"/>
      <c r="AU14663" s="19"/>
    </row>
    <row r="14664" spans="3:47">
      <c r="C14664" s="20"/>
      <c r="Z14664" s="20"/>
      <c r="AG14664" s="20"/>
      <c r="AQ14664" s="19"/>
      <c r="AR14664" s="19"/>
      <c r="AS14664" s="19"/>
      <c r="AT14664" s="19"/>
      <c r="AU14664" s="19"/>
    </row>
    <row r="14665" spans="3:47">
      <c r="C14665" s="20"/>
      <c r="Z14665" s="20"/>
      <c r="AG14665" s="20"/>
      <c r="AQ14665" s="19"/>
      <c r="AR14665" s="19"/>
      <c r="AS14665" s="19"/>
      <c r="AT14665" s="19"/>
      <c r="AU14665" s="19"/>
    </row>
    <row r="14666" spans="3:47">
      <c r="C14666" s="20"/>
      <c r="Z14666" s="20"/>
      <c r="AG14666" s="20"/>
      <c r="AQ14666" s="19"/>
      <c r="AR14666" s="19"/>
      <c r="AS14666" s="19"/>
      <c r="AT14666" s="19"/>
      <c r="AU14666" s="19"/>
    </row>
    <row r="14667" spans="3:47">
      <c r="C14667" s="20"/>
      <c r="Z14667" s="20"/>
      <c r="AG14667" s="20"/>
      <c r="AQ14667" s="19"/>
      <c r="AR14667" s="19"/>
      <c r="AS14667" s="19"/>
      <c r="AT14667" s="19"/>
      <c r="AU14667" s="19"/>
    </row>
    <row r="14668" spans="3:47">
      <c r="C14668" s="20"/>
      <c r="Z14668" s="20"/>
      <c r="AG14668" s="20"/>
      <c r="AQ14668" s="19"/>
      <c r="AR14668" s="19"/>
      <c r="AS14668" s="19"/>
      <c r="AT14668" s="19"/>
      <c r="AU14668" s="19"/>
    </row>
    <row r="14669" spans="3:47">
      <c r="C14669" s="20"/>
      <c r="Z14669" s="20"/>
      <c r="AG14669" s="20"/>
      <c r="AQ14669" s="19"/>
      <c r="AR14669" s="19"/>
      <c r="AS14669" s="19"/>
      <c r="AT14669" s="19"/>
      <c r="AU14669" s="19"/>
    </row>
    <row r="14670" spans="3:47">
      <c r="C14670" s="20"/>
      <c r="Z14670" s="20"/>
      <c r="AG14670" s="20"/>
      <c r="AQ14670" s="19"/>
      <c r="AR14670" s="19"/>
      <c r="AS14670" s="19"/>
      <c r="AT14670" s="19"/>
      <c r="AU14670" s="19"/>
    </row>
    <row r="14671" spans="3:47">
      <c r="C14671" s="20"/>
      <c r="Z14671" s="20"/>
      <c r="AG14671" s="20"/>
      <c r="AQ14671" s="19"/>
      <c r="AR14671" s="19"/>
      <c r="AS14671" s="19"/>
      <c r="AT14671" s="19"/>
      <c r="AU14671" s="19"/>
    </row>
    <row r="14672" spans="3:47">
      <c r="C14672" s="20"/>
      <c r="Z14672" s="20"/>
      <c r="AG14672" s="20"/>
      <c r="AQ14672" s="19"/>
      <c r="AR14672" s="19"/>
      <c r="AS14672" s="19"/>
      <c r="AT14672" s="19"/>
      <c r="AU14672" s="19"/>
    </row>
    <row r="14673" spans="3:47">
      <c r="C14673" s="20"/>
      <c r="Z14673" s="20"/>
      <c r="AG14673" s="20"/>
      <c r="AQ14673" s="19"/>
      <c r="AR14673" s="19"/>
      <c r="AS14673" s="19"/>
      <c r="AT14673" s="19"/>
      <c r="AU14673" s="19"/>
    </row>
    <row r="14674" spans="3:47">
      <c r="C14674" s="20"/>
      <c r="Z14674" s="20"/>
      <c r="AG14674" s="20"/>
      <c r="AQ14674" s="19"/>
      <c r="AR14674" s="19"/>
      <c r="AS14674" s="19"/>
      <c r="AT14674" s="19"/>
      <c r="AU14674" s="19"/>
    </row>
    <row r="14675" spans="3:47">
      <c r="C14675" s="20"/>
      <c r="Z14675" s="20"/>
      <c r="AG14675" s="20"/>
      <c r="AQ14675" s="19"/>
      <c r="AR14675" s="19"/>
      <c r="AS14675" s="19"/>
      <c r="AT14675" s="19"/>
      <c r="AU14675" s="19"/>
    </row>
    <row r="14676" spans="3:47">
      <c r="C14676" s="20"/>
      <c r="Z14676" s="20"/>
      <c r="AG14676" s="20"/>
      <c r="AQ14676" s="19"/>
      <c r="AR14676" s="19"/>
      <c r="AS14676" s="19"/>
      <c r="AT14676" s="19"/>
      <c r="AU14676" s="19"/>
    </row>
    <row r="14677" spans="3:47">
      <c r="C14677" s="20"/>
      <c r="Z14677" s="20"/>
      <c r="AG14677" s="20"/>
      <c r="AQ14677" s="19"/>
      <c r="AR14677" s="19"/>
      <c r="AS14677" s="19"/>
      <c r="AT14677" s="19"/>
      <c r="AU14677" s="19"/>
    </row>
    <row r="14678" spans="3:47">
      <c r="C14678" s="20"/>
      <c r="Z14678" s="20"/>
      <c r="AG14678" s="20"/>
      <c r="AQ14678" s="19"/>
      <c r="AR14678" s="19"/>
      <c r="AS14678" s="19"/>
      <c r="AT14678" s="19"/>
      <c r="AU14678" s="19"/>
    </row>
    <row r="14679" spans="3:47">
      <c r="C14679" s="20"/>
      <c r="Z14679" s="20"/>
      <c r="AG14679" s="20"/>
      <c r="AQ14679" s="19"/>
      <c r="AR14679" s="19"/>
      <c r="AS14679" s="19"/>
      <c r="AT14679" s="19"/>
      <c r="AU14679" s="19"/>
    </row>
    <row r="14680" spans="3:47">
      <c r="C14680" s="20"/>
      <c r="Z14680" s="20"/>
      <c r="AG14680" s="20"/>
      <c r="AQ14680" s="19"/>
      <c r="AR14680" s="19"/>
      <c r="AS14680" s="19"/>
      <c r="AT14680" s="19"/>
      <c r="AU14680" s="19"/>
    </row>
    <row r="14681" spans="3:47">
      <c r="C14681" s="20"/>
      <c r="Z14681" s="20"/>
      <c r="AG14681" s="20"/>
      <c r="AQ14681" s="19"/>
      <c r="AR14681" s="19"/>
      <c r="AS14681" s="19"/>
      <c r="AT14681" s="19"/>
      <c r="AU14681" s="19"/>
    </row>
    <row r="14682" spans="3:47">
      <c r="C14682" s="20"/>
      <c r="Z14682" s="20"/>
      <c r="AG14682" s="20"/>
      <c r="AQ14682" s="19"/>
      <c r="AR14682" s="19"/>
      <c r="AS14682" s="19"/>
      <c r="AT14682" s="19"/>
      <c r="AU14682" s="19"/>
    </row>
    <row r="14683" spans="3:47">
      <c r="C14683" s="20"/>
      <c r="Z14683" s="20"/>
      <c r="AG14683" s="20"/>
      <c r="AQ14683" s="19"/>
      <c r="AR14683" s="19"/>
      <c r="AS14683" s="19"/>
      <c r="AT14683" s="19"/>
      <c r="AU14683" s="19"/>
    </row>
    <row r="14684" spans="3:47">
      <c r="C14684" s="20"/>
      <c r="Z14684" s="20"/>
      <c r="AG14684" s="20"/>
      <c r="AQ14684" s="19"/>
      <c r="AR14684" s="19"/>
      <c r="AS14684" s="19"/>
      <c r="AT14684" s="19"/>
      <c r="AU14684" s="19"/>
    </row>
    <row r="14685" spans="3:47">
      <c r="C14685" s="20"/>
      <c r="Z14685" s="20"/>
      <c r="AG14685" s="20"/>
      <c r="AQ14685" s="19"/>
      <c r="AR14685" s="19"/>
      <c r="AS14685" s="19"/>
      <c r="AT14685" s="19"/>
      <c r="AU14685" s="19"/>
    </row>
    <row r="14686" spans="3:47">
      <c r="C14686" s="20"/>
      <c r="Z14686" s="20"/>
      <c r="AG14686" s="20"/>
      <c r="AQ14686" s="19"/>
      <c r="AR14686" s="19"/>
      <c r="AS14686" s="19"/>
      <c r="AT14686" s="19"/>
      <c r="AU14686" s="19"/>
    </row>
    <row r="14687" spans="3:47">
      <c r="C14687" s="20"/>
      <c r="Z14687" s="20"/>
      <c r="AG14687" s="20"/>
      <c r="AQ14687" s="19"/>
      <c r="AR14687" s="19"/>
      <c r="AS14687" s="19"/>
      <c r="AT14687" s="19"/>
      <c r="AU14687" s="19"/>
    </row>
    <row r="14688" spans="3:47">
      <c r="C14688" s="20"/>
      <c r="Z14688" s="20"/>
      <c r="AG14688" s="20"/>
      <c r="AQ14688" s="19"/>
      <c r="AR14688" s="19"/>
      <c r="AS14688" s="19"/>
      <c r="AT14688" s="19"/>
      <c r="AU14688" s="19"/>
    </row>
    <row r="14689" spans="3:47">
      <c r="C14689" s="20"/>
      <c r="Z14689" s="20"/>
      <c r="AG14689" s="20"/>
      <c r="AQ14689" s="19"/>
      <c r="AR14689" s="19"/>
      <c r="AS14689" s="19"/>
      <c r="AT14689" s="19"/>
      <c r="AU14689" s="19"/>
    </row>
    <row r="14690" spans="3:47">
      <c r="C14690" s="20"/>
      <c r="Z14690" s="20"/>
      <c r="AG14690" s="20"/>
      <c r="AQ14690" s="19"/>
      <c r="AR14690" s="19"/>
      <c r="AS14690" s="19"/>
      <c r="AT14690" s="19"/>
      <c r="AU14690" s="19"/>
    </row>
    <row r="14691" spans="3:47">
      <c r="C14691" s="20"/>
      <c r="Z14691" s="20"/>
      <c r="AG14691" s="20"/>
      <c r="AQ14691" s="19"/>
      <c r="AR14691" s="19"/>
      <c r="AS14691" s="19"/>
      <c r="AT14691" s="19"/>
      <c r="AU14691" s="19"/>
    </row>
    <row r="14692" spans="3:47">
      <c r="C14692" s="20"/>
      <c r="Z14692" s="20"/>
      <c r="AG14692" s="20"/>
      <c r="AQ14692" s="19"/>
      <c r="AR14692" s="19"/>
      <c r="AS14692" s="19"/>
      <c r="AT14692" s="19"/>
      <c r="AU14692" s="19"/>
    </row>
    <row r="14693" spans="3:47">
      <c r="C14693" s="20"/>
      <c r="Z14693" s="20"/>
      <c r="AG14693" s="20"/>
      <c r="AQ14693" s="19"/>
      <c r="AR14693" s="19"/>
      <c r="AS14693" s="19"/>
      <c r="AT14693" s="19"/>
      <c r="AU14693" s="19"/>
    </row>
    <row r="14694" spans="3:47">
      <c r="C14694" s="20"/>
      <c r="Z14694" s="20"/>
      <c r="AG14694" s="20"/>
      <c r="AQ14694" s="19"/>
      <c r="AR14694" s="19"/>
      <c r="AS14694" s="19"/>
      <c r="AT14694" s="19"/>
      <c r="AU14694" s="19"/>
    </row>
    <row r="14695" spans="3:47">
      <c r="C14695" s="20"/>
      <c r="Z14695" s="20"/>
      <c r="AG14695" s="20"/>
      <c r="AQ14695" s="19"/>
      <c r="AR14695" s="19"/>
      <c r="AS14695" s="19"/>
      <c r="AT14695" s="19"/>
      <c r="AU14695" s="19"/>
    </row>
    <row r="14696" spans="3:47">
      <c r="C14696" s="20"/>
      <c r="Z14696" s="20"/>
      <c r="AG14696" s="20"/>
      <c r="AQ14696" s="19"/>
      <c r="AR14696" s="19"/>
      <c r="AS14696" s="19"/>
      <c r="AT14696" s="19"/>
      <c r="AU14696" s="19"/>
    </row>
    <row r="14697" spans="3:47">
      <c r="C14697" s="20"/>
      <c r="Z14697" s="20"/>
      <c r="AG14697" s="20"/>
      <c r="AQ14697" s="19"/>
      <c r="AR14697" s="19"/>
      <c r="AS14697" s="19"/>
      <c r="AT14697" s="19"/>
      <c r="AU14697" s="19"/>
    </row>
    <row r="14698" spans="3:47">
      <c r="C14698" s="20"/>
      <c r="Z14698" s="20"/>
      <c r="AG14698" s="20"/>
      <c r="AQ14698" s="19"/>
      <c r="AR14698" s="19"/>
      <c r="AS14698" s="19"/>
      <c r="AT14698" s="19"/>
      <c r="AU14698" s="19"/>
    </row>
    <row r="14699" spans="3:47">
      <c r="C14699" s="20"/>
      <c r="Z14699" s="20"/>
      <c r="AG14699" s="20"/>
      <c r="AQ14699" s="19"/>
      <c r="AR14699" s="19"/>
      <c r="AS14699" s="19"/>
      <c r="AT14699" s="19"/>
      <c r="AU14699" s="19"/>
    </row>
    <row r="14700" spans="3:47">
      <c r="C14700" s="20"/>
      <c r="Z14700" s="20"/>
      <c r="AG14700" s="20"/>
      <c r="AQ14700" s="19"/>
      <c r="AR14700" s="19"/>
      <c r="AS14700" s="19"/>
      <c r="AT14700" s="19"/>
      <c r="AU14700" s="19"/>
    </row>
    <row r="14701" spans="3:47">
      <c r="C14701" s="20"/>
      <c r="Z14701" s="20"/>
      <c r="AG14701" s="20"/>
      <c r="AQ14701" s="19"/>
      <c r="AR14701" s="19"/>
      <c r="AS14701" s="19"/>
      <c r="AT14701" s="19"/>
      <c r="AU14701" s="19"/>
    </row>
    <row r="14702" spans="3:47">
      <c r="C14702" s="20"/>
      <c r="Z14702" s="20"/>
      <c r="AG14702" s="20"/>
      <c r="AQ14702" s="19"/>
      <c r="AR14702" s="19"/>
      <c r="AS14702" s="19"/>
      <c r="AT14702" s="19"/>
      <c r="AU14702" s="19"/>
    </row>
    <row r="14703" spans="3:47">
      <c r="C14703" s="20"/>
      <c r="Z14703" s="20"/>
      <c r="AG14703" s="20"/>
      <c r="AQ14703" s="19"/>
      <c r="AR14703" s="19"/>
      <c r="AS14703" s="19"/>
      <c r="AT14703" s="19"/>
      <c r="AU14703" s="19"/>
    </row>
    <row r="14704" spans="3:47">
      <c r="C14704" s="20"/>
      <c r="Z14704" s="20"/>
      <c r="AG14704" s="20"/>
      <c r="AQ14704" s="19"/>
      <c r="AR14704" s="19"/>
      <c r="AS14704" s="19"/>
      <c r="AT14704" s="19"/>
      <c r="AU14704" s="19"/>
    </row>
    <row r="14705" spans="3:47">
      <c r="C14705" s="20"/>
      <c r="Z14705" s="20"/>
      <c r="AG14705" s="20"/>
      <c r="AQ14705" s="19"/>
      <c r="AR14705" s="19"/>
      <c r="AS14705" s="19"/>
      <c r="AT14705" s="19"/>
      <c r="AU14705" s="19"/>
    </row>
    <row r="14706" spans="3:47">
      <c r="C14706" s="20"/>
      <c r="Z14706" s="20"/>
      <c r="AG14706" s="20"/>
      <c r="AQ14706" s="19"/>
      <c r="AR14706" s="19"/>
      <c r="AS14706" s="19"/>
      <c r="AT14706" s="19"/>
      <c r="AU14706" s="19"/>
    </row>
    <row r="14707" spans="3:47">
      <c r="C14707" s="20"/>
      <c r="Z14707" s="20"/>
      <c r="AG14707" s="20"/>
      <c r="AQ14707" s="19"/>
      <c r="AR14707" s="19"/>
      <c r="AS14707" s="19"/>
      <c r="AT14707" s="19"/>
      <c r="AU14707" s="19"/>
    </row>
    <row r="14708" spans="3:47">
      <c r="C14708" s="20"/>
      <c r="Z14708" s="20"/>
      <c r="AG14708" s="20"/>
      <c r="AQ14708" s="19"/>
      <c r="AR14708" s="19"/>
      <c r="AS14708" s="19"/>
      <c r="AT14708" s="19"/>
      <c r="AU14708" s="19"/>
    </row>
    <row r="14709" spans="3:47">
      <c r="C14709" s="20"/>
      <c r="Z14709" s="20"/>
      <c r="AG14709" s="20"/>
      <c r="AQ14709" s="19"/>
      <c r="AR14709" s="19"/>
      <c r="AS14709" s="19"/>
      <c r="AT14709" s="19"/>
      <c r="AU14709" s="19"/>
    </row>
    <row r="14710" spans="3:47">
      <c r="C14710" s="20"/>
      <c r="Z14710" s="20"/>
      <c r="AG14710" s="20"/>
      <c r="AQ14710" s="19"/>
      <c r="AR14710" s="19"/>
      <c r="AS14710" s="19"/>
      <c r="AT14710" s="19"/>
      <c r="AU14710" s="19"/>
    </row>
    <row r="14711" spans="3:47">
      <c r="C14711" s="20"/>
      <c r="Z14711" s="20"/>
      <c r="AG14711" s="20"/>
      <c r="AQ14711" s="19"/>
      <c r="AR14711" s="19"/>
      <c r="AS14711" s="19"/>
      <c r="AT14711" s="19"/>
      <c r="AU14711" s="19"/>
    </row>
    <row r="14712" spans="3:47">
      <c r="C14712" s="20"/>
      <c r="Z14712" s="20"/>
      <c r="AG14712" s="20"/>
      <c r="AQ14712" s="19"/>
      <c r="AR14712" s="19"/>
      <c r="AS14712" s="19"/>
      <c r="AT14712" s="19"/>
      <c r="AU14712" s="19"/>
    </row>
    <row r="14713" spans="3:47">
      <c r="C14713" s="20"/>
      <c r="Z14713" s="20"/>
      <c r="AG14713" s="20"/>
      <c r="AQ14713" s="19"/>
      <c r="AR14713" s="19"/>
      <c r="AS14713" s="19"/>
      <c r="AT14713" s="19"/>
      <c r="AU14713" s="19"/>
    </row>
    <row r="14714" spans="3:47">
      <c r="C14714" s="20"/>
      <c r="Z14714" s="20"/>
      <c r="AG14714" s="20"/>
      <c r="AQ14714" s="19"/>
      <c r="AR14714" s="19"/>
      <c r="AS14714" s="19"/>
      <c r="AT14714" s="19"/>
      <c r="AU14714" s="19"/>
    </row>
    <row r="14715" spans="3:47">
      <c r="C14715" s="20"/>
      <c r="Z14715" s="20"/>
      <c r="AG14715" s="20"/>
      <c r="AQ14715" s="19"/>
      <c r="AR14715" s="19"/>
      <c r="AS14715" s="19"/>
      <c r="AT14715" s="19"/>
      <c r="AU14715" s="19"/>
    </row>
    <row r="14716" spans="3:47">
      <c r="C14716" s="20"/>
      <c r="Z14716" s="20"/>
      <c r="AG14716" s="20"/>
      <c r="AQ14716" s="19"/>
      <c r="AR14716" s="19"/>
      <c r="AS14716" s="19"/>
      <c r="AT14716" s="19"/>
      <c r="AU14716" s="19"/>
    </row>
    <row r="14717" spans="3:47">
      <c r="C14717" s="20"/>
      <c r="Z14717" s="20"/>
      <c r="AG14717" s="20"/>
      <c r="AQ14717" s="19"/>
      <c r="AR14717" s="19"/>
      <c r="AS14717" s="19"/>
      <c r="AT14717" s="19"/>
      <c r="AU14717" s="19"/>
    </row>
    <row r="14718" spans="3:47">
      <c r="C14718" s="20"/>
      <c r="Z14718" s="20"/>
      <c r="AG14718" s="20"/>
      <c r="AQ14718" s="19"/>
      <c r="AR14718" s="19"/>
      <c r="AS14718" s="19"/>
      <c r="AT14718" s="19"/>
      <c r="AU14718" s="19"/>
    </row>
    <row r="14719" spans="3:47">
      <c r="C14719" s="20"/>
      <c r="Z14719" s="20"/>
      <c r="AG14719" s="20"/>
      <c r="AQ14719" s="19"/>
      <c r="AR14719" s="19"/>
      <c r="AS14719" s="19"/>
      <c r="AT14719" s="19"/>
      <c r="AU14719" s="19"/>
    </row>
    <row r="14720" spans="3:47">
      <c r="C14720" s="20"/>
      <c r="Z14720" s="20"/>
      <c r="AG14720" s="20"/>
      <c r="AQ14720" s="19"/>
      <c r="AR14720" s="19"/>
      <c r="AS14720" s="19"/>
      <c r="AT14720" s="19"/>
      <c r="AU14720" s="19"/>
    </row>
    <row r="14721" spans="3:47">
      <c r="C14721" s="20"/>
      <c r="Z14721" s="20"/>
      <c r="AG14721" s="20"/>
      <c r="AQ14721" s="19"/>
      <c r="AR14721" s="19"/>
      <c r="AS14721" s="19"/>
      <c r="AT14721" s="19"/>
      <c r="AU14721" s="19"/>
    </row>
    <row r="14722" spans="3:47">
      <c r="C14722" s="20"/>
      <c r="Z14722" s="20"/>
      <c r="AG14722" s="20"/>
      <c r="AQ14722" s="19"/>
      <c r="AR14722" s="19"/>
      <c r="AS14722" s="19"/>
      <c r="AT14722" s="19"/>
      <c r="AU14722" s="19"/>
    </row>
    <row r="14723" spans="3:47">
      <c r="C14723" s="20"/>
      <c r="Z14723" s="20"/>
      <c r="AG14723" s="20"/>
      <c r="AQ14723" s="19"/>
      <c r="AR14723" s="19"/>
      <c r="AS14723" s="19"/>
      <c r="AT14723" s="19"/>
      <c r="AU14723" s="19"/>
    </row>
    <row r="14724" spans="3:47">
      <c r="C14724" s="20"/>
      <c r="Z14724" s="20"/>
      <c r="AG14724" s="20"/>
      <c r="AQ14724" s="19"/>
      <c r="AR14724" s="19"/>
      <c r="AS14724" s="19"/>
      <c r="AT14724" s="19"/>
      <c r="AU14724" s="19"/>
    </row>
    <row r="14725" spans="3:47">
      <c r="C14725" s="20"/>
      <c r="Z14725" s="20"/>
      <c r="AG14725" s="20"/>
      <c r="AQ14725" s="19"/>
      <c r="AR14725" s="19"/>
      <c r="AS14725" s="19"/>
      <c r="AT14725" s="19"/>
      <c r="AU14725" s="19"/>
    </row>
    <row r="14726" spans="3:47">
      <c r="C14726" s="20"/>
      <c r="Z14726" s="20"/>
      <c r="AG14726" s="20"/>
      <c r="AQ14726" s="19"/>
      <c r="AR14726" s="19"/>
      <c r="AS14726" s="19"/>
      <c r="AT14726" s="19"/>
      <c r="AU14726" s="19"/>
    </row>
    <row r="14727" spans="3:47">
      <c r="C14727" s="20"/>
      <c r="Z14727" s="20"/>
      <c r="AG14727" s="20"/>
      <c r="AQ14727" s="19"/>
      <c r="AR14727" s="19"/>
      <c r="AS14727" s="19"/>
      <c r="AT14727" s="19"/>
      <c r="AU14727" s="19"/>
    </row>
    <row r="14728" spans="3:47">
      <c r="C14728" s="20"/>
      <c r="Z14728" s="20"/>
      <c r="AG14728" s="20"/>
      <c r="AQ14728" s="19"/>
      <c r="AR14728" s="19"/>
      <c r="AS14728" s="19"/>
      <c r="AT14728" s="19"/>
      <c r="AU14728" s="19"/>
    </row>
    <row r="14729" spans="3:47">
      <c r="C14729" s="20"/>
      <c r="Z14729" s="20"/>
      <c r="AG14729" s="20"/>
      <c r="AQ14729" s="19"/>
      <c r="AR14729" s="19"/>
      <c r="AS14729" s="19"/>
      <c r="AT14729" s="19"/>
      <c r="AU14729" s="19"/>
    </row>
    <row r="14730" spans="3:47">
      <c r="C14730" s="20"/>
      <c r="Z14730" s="20"/>
      <c r="AG14730" s="20"/>
      <c r="AQ14730" s="19"/>
      <c r="AR14730" s="19"/>
      <c r="AS14730" s="19"/>
      <c r="AT14730" s="19"/>
      <c r="AU14730" s="19"/>
    </row>
    <row r="14731" spans="3:47">
      <c r="C14731" s="20"/>
      <c r="Z14731" s="20"/>
      <c r="AG14731" s="20"/>
      <c r="AQ14731" s="19"/>
      <c r="AR14731" s="19"/>
      <c r="AS14731" s="19"/>
      <c r="AT14731" s="19"/>
      <c r="AU14731" s="19"/>
    </row>
    <row r="14732" spans="3:47">
      <c r="C14732" s="20"/>
      <c r="Z14732" s="20"/>
      <c r="AG14732" s="20"/>
      <c r="AQ14732" s="19"/>
      <c r="AR14732" s="19"/>
      <c r="AS14732" s="19"/>
      <c r="AT14732" s="19"/>
      <c r="AU14732" s="19"/>
    </row>
    <row r="14733" spans="3:47">
      <c r="C14733" s="20"/>
      <c r="Z14733" s="20"/>
      <c r="AG14733" s="20"/>
      <c r="AQ14733" s="19"/>
      <c r="AR14733" s="19"/>
      <c r="AS14733" s="19"/>
      <c r="AT14733" s="19"/>
      <c r="AU14733" s="19"/>
    </row>
    <row r="14734" spans="3:47">
      <c r="C14734" s="20"/>
      <c r="Z14734" s="20"/>
      <c r="AG14734" s="20"/>
      <c r="AQ14734" s="19"/>
      <c r="AR14734" s="19"/>
      <c r="AS14734" s="19"/>
      <c r="AT14734" s="19"/>
      <c r="AU14734" s="19"/>
    </row>
    <row r="14735" spans="3:47">
      <c r="C14735" s="20"/>
      <c r="Z14735" s="20"/>
      <c r="AG14735" s="20"/>
      <c r="AQ14735" s="19"/>
      <c r="AR14735" s="19"/>
      <c r="AS14735" s="19"/>
      <c r="AT14735" s="19"/>
      <c r="AU14735" s="19"/>
    </row>
    <row r="14736" spans="3:47">
      <c r="C14736" s="20"/>
      <c r="Z14736" s="20"/>
      <c r="AG14736" s="20"/>
      <c r="AQ14736" s="19"/>
      <c r="AR14736" s="19"/>
      <c r="AS14736" s="19"/>
      <c r="AT14736" s="19"/>
      <c r="AU14736" s="19"/>
    </row>
    <row r="14737" spans="3:47">
      <c r="C14737" s="20"/>
      <c r="Z14737" s="20"/>
      <c r="AG14737" s="20"/>
      <c r="AQ14737" s="19"/>
      <c r="AR14737" s="19"/>
      <c r="AS14737" s="19"/>
      <c r="AT14737" s="19"/>
      <c r="AU14737" s="19"/>
    </row>
    <row r="14738" spans="3:47">
      <c r="C14738" s="20"/>
      <c r="Z14738" s="20"/>
      <c r="AG14738" s="20"/>
      <c r="AQ14738" s="19"/>
      <c r="AR14738" s="19"/>
      <c r="AS14738" s="19"/>
      <c r="AT14738" s="19"/>
      <c r="AU14738" s="19"/>
    </row>
    <row r="14739" spans="3:47">
      <c r="C14739" s="20"/>
      <c r="Z14739" s="20"/>
      <c r="AG14739" s="20"/>
      <c r="AQ14739" s="19"/>
      <c r="AR14739" s="19"/>
      <c r="AS14739" s="19"/>
      <c r="AT14739" s="19"/>
      <c r="AU14739" s="19"/>
    </row>
    <row r="14740" spans="3:47">
      <c r="C14740" s="20"/>
      <c r="Z14740" s="20"/>
      <c r="AG14740" s="20"/>
      <c r="AQ14740" s="19"/>
      <c r="AR14740" s="19"/>
      <c r="AS14740" s="19"/>
      <c r="AT14740" s="19"/>
      <c r="AU14740" s="19"/>
    </row>
    <row r="14741" spans="3:47">
      <c r="C14741" s="20"/>
      <c r="Z14741" s="20"/>
      <c r="AG14741" s="20"/>
      <c r="AQ14741" s="19"/>
      <c r="AR14741" s="19"/>
      <c r="AS14741" s="19"/>
      <c r="AT14741" s="19"/>
      <c r="AU14741" s="19"/>
    </row>
    <row r="14742" spans="3:47">
      <c r="C14742" s="20"/>
      <c r="Z14742" s="20"/>
      <c r="AG14742" s="20"/>
      <c r="AQ14742" s="19"/>
      <c r="AR14742" s="19"/>
      <c r="AS14742" s="19"/>
      <c r="AT14742" s="19"/>
      <c r="AU14742" s="19"/>
    </row>
    <row r="14743" spans="3:47">
      <c r="C14743" s="20"/>
      <c r="Z14743" s="20"/>
      <c r="AG14743" s="20"/>
      <c r="AQ14743" s="19"/>
      <c r="AR14743" s="19"/>
      <c r="AS14743" s="19"/>
      <c r="AT14743" s="19"/>
      <c r="AU14743" s="19"/>
    </row>
    <row r="14744" spans="3:47">
      <c r="C14744" s="20"/>
      <c r="Z14744" s="20"/>
      <c r="AG14744" s="20"/>
      <c r="AQ14744" s="19"/>
      <c r="AR14744" s="19"/>
      <c r="AS14744" s="19"/>
      <c r="AT14744" s="19"/>
      <c r="AU14744" s="19"/>
    </row>
    <row r="14745" spans="3:47">
      <c r="C14745" s="20"/>
      <c r="Z14745" s="20"/>
      <c r="AG14745" s="20"/>
      <c r="AQ14745" s="19"/>
      <c r="AR14745" s="19"/>
      <c r="AS14745" s="19"/>
      <c r="AT14745" s="19"/>
      <c r="AU14745" s="19"/>
    </row>
    <row r="14746" spans="3:47">
      <c r="C14746" s="20"/>
      <c r="Z14746" s="20"/>
      <c r="AG14746" s="20"/>
      <c r="AQ14746" s="19"/>
      <c r="AR14746" s="19"/>
      <c r="AS14746" s="19"/>
      <c r="AT14746" s="19"/>
      <c r="AU14746" s="19"/>
    </row>
    <row r="14747" spans="3:47">
      <c r="C14747" s="20"/>
      <c r="Z14747" s="20"/>
      <c r="AG14747" s="20"/>
      <c r="AQ14747" s="19"/>
      <c r="AR14747" s="19"/>
      <c r="AS14747" s="19"/>
      <c r="AT14747" s="19"/>
      <c r="AU14747" s="19"/>
    </row>
    <row r="14748" spans="3:47">
      <c r="C14748" s="20"/>
      <c r="Z14748" s="20"/>
      <c r="AG14748" s="20"/>
      <c r="AQ14748" s="19"/>
      <c r="AR14748" s="19"/>
      <c r="AS14748" s="19"/>
      <c r="AT14748" s="19"/>
      <c r="AU14748" s="19"/>
    </row>
    <row r="14749" spans="3:47">
      <c r="C14749" s="20"/>
      <c r="Z14749" s="20"/>
      <c r="AG14749" s="20"/>
      <c r="AQ14749" s="19"/>
      <c r="AR14749" s="19"/>
      <c r="AS14749" s="19"/>
      <c r="AT14749" s="19"/>
      <c r="AU14749" s="19"/>
    </row>
    <row r="14750" spans="3:47">
      <c r="C14750" s="20"/>
      <c r="Z14750" s="20"/>
      <c r="AG14750" s="20"/>
      <c r="AQ14750" s="19"/>
      <c r="AR14750" s="19"/>
      <c r="AS14750" s="19"/>
      <c r="AT14750" s="19"/>
      <c r="AU14750" s="19"/>
    </row>
    <row r="14751" spans="3:47">
      <c r="C14751" s="20"/>
      <c r="Z14751" s="20"/>
      <c r="AG14751" s="20"/>
      <c r="AQ14751" s="19"/>
      <c r="AR14751" s="19"/>
      <c r="AS14751" s="19"/>
      <c r="AT14751" s="19"/>
      <c r="AU14751" s="19"/>
    </row>
    <row r="14752" spans="3:47">
      <c r="C14752" s="20"/>
      <c r="Z14752" s="20"/>
      <c r="AG14752" s="20"/>
      <c r="AQ14752" s="19"/>
      <c r="AR14752" s="19"/>
      <c r="AS14752" s="19"/>
      <c r="AT14752" s="19"/>
      <c r="AU14752" s="19"/>
    </row>
    <row r="14753" spans="3:47">
      <c r="C14753" s="20"/>
      <c r="Z14753" s="20"/>
      <c r="AG14753" s="20"/>
      <c r="AQ14753" s="19"/>
      <c r="AR14753" s="19"/>
      <c r="AS14753" s="19"/>
      <c r="AT14753" s="19"/>
      <c r="AU14753" s="19"/>
    </row>
    <row r="14754" spans="3:47">
      <c r="C14754" s="20"/>
      <c r="Z14754" s="20"/>
      <c r="AG14754" s="20"/>
      <c r="AQ14754" s="19"/>
      <c r="AR14754" s="19"/>
      <c r="AS14754" s="19"/>
      <c r="AT14754" s="19"/>
      <c r="AU14754" s="19"/>
    </row>
    <row r="14755" spans="3:47">
      <c r="C14755" s="20"/>
      <c r="Z14755" s="20"/>
      <c r="AG14755" s="20"/>
      <c r="AQ14755" s="19"/>
      <c r="AR14755" s="19"/>
      <c r="AS14755" s="19"/>
      <c r="AT14755" s="19"/>
      <c r="AU14755" s="19"/>
    </row>
    <row r="14756" spans="3:47">
      <c r="C14756" s="20"/>
      <c r="Z14756" s="20"/>
      <c r="AG14756" s="20"/>
      <c r="AQ14756" s="19"/>
      <c r="AR14756" s="19"/>
      <c r="AS14756" s="19"/>
      <c r="AT14756" s="19"/>
      <c r="AU14756" s="19"/>
    </row>
    <row r="14757" spans="3:47">
      <c r="C14757" s="20"/>
      <c r="Z14757" s="20"/>
      <c r="AG14757" s="20"/>
      <c r="AQ14757" s="19"/>
      <c r="AR14757" s="19"/>
      <c r="AS14757" s="19"/>
      <c r="AT14757" s="19"/>
      <c r="AU14757" s="19"/>
    </row>
    <row r="14758" spans="3:47">
      <c r="C14758" s="20"/>
      <c r="Z14758" s="20"/>
      <c r="AG14758" s="20"/>
      <c r="AQ14758" s="19"/>
      <c r="AR14758" s="19"/>
      <c r="AS14758" s="19"/>
      <c r="AT14758" s="19"/>
      <c r="AU14758" s="19"/>
    </row>
    <row r="14759" spans="3:47">
      <c r="C14759" s="20"/>
      <c r="Z14759" s="20"/>
      <c r="AG14759" s="20"/>
      <c r="AQ14759" s="19"/>
      <c r="AR14759" s="19"/>
      <c r="AS14759" s="19"/>
      <c r="AT14759" s="19"/>
      <c r="AU14759" s="19"/>
    </row>
    <row r="14760" spans="3:47">
      <c r="C14760" s="20"/>
      <c r="Z14760" s="20"/>
      <c r="AG14760" s="20"/>
      <c r="AQ14760" s="19"/>
      <c r="AR14760" s="19"/>
      <c r="AS14760" s="19"/>
      <c r="AT14760" s="19"/>
      <c r="AU14760" s="19"/>
    </row>
    <row r="14761" spans="3:47">
      <c r="C14761" s="20"/>
      <c r="Z14761" s="20"/>
      <c r="AG14761" s="20"/>
      <c r="AQ14761" s="19"/>
      <c r="AR14761" s="19"/>
      <c r="AS14761" s="19"/>
      <c r="AT14761" s="19"/>
      <c r="AU14761" s="19"/>
    </row>
    <row r="14762" spans="3:47">
      <c r="C14762" s="20"/>
      <c r="Z14762" s="20"/>
      <c r="AG14762" s="20"/>
      <c r="AQ14762" s="19"/>
      <c r="AR14762" s="19"/>
      <c r="AS14762" s="19"/>
      <c r="AT14762" s="19"/>
      <c r="AU14762" s="19"/>
    </row>
    <row r="14763" spans="3:47">
      <c r="C14763" s="20"/>
      <c r="Z14763" s="20"/>
      <c r="AG14763" s="20"/>
      <c r="AQ14763" s="19"/>
      <c r="AR14763" s="19"/>
      <c r="AS14763" s="19"/>
      <c r="AT14763" s="19"/>
      <c r="AU14763" s="19"/>
    </row>
    <row r="14764" spans="3:47">
      <c r="C14764" s="20"/>
      <c r="Z14764" s="20"/>
      <c r="AG14764" s="20"/>
      <c r="AQ14764" s="19"/>
      <c r="AR14764" s="19"/>
      <c r="AS14764" s="19"/>
      <c r="AT14764" s="19"/>
      <c r="AU14764" s="19"/>
    </row>
    <row r="14765" spans="3:47">
      <c r="C14765" s="20"/>
      <c r="Z14765" s="20"/>
      <c r="AG14765" s="20"/>
      <c r="AQ14765" s="19"/>
      <c r="AR14765" s="19"/>
      <c r="AS14765" s="19"/>
      <c r="AT14765" s="19"/>
      <c r="AU14765" s="19"/>
    </row>
    <row r="14766" spans="3:47">
      <c r="C14766" s="20"/>
      <c r="Z14766" s="20"/>
      <c r="AG14766" s="20"/>
      <c r="AQ14766" s="19"/>
      <c r="AR14766" s="19"/>
      <c r="AS14766" s="19"/>
      <c r="AT14766" s="19"/>
      <c r="AU14766" s="19"/>
    </row>
    <row r="14767" spans="3:47">
      <c r="C14767" s="20"/>
      <c r="Z14767" s="20"/>
      <c r="AG14767" s="20"/>
      <c r="AQ14767" s="19"/>
      <c r="AR14767" s="19"/>
      <c r="AS14767" s="19"/>
      <c r="AT14767" s="19"/>
      <c r="AU14767" s="19"/>
    </row>
    <row r="14768" spans="3:47">
      <c r="C14768" s="20"/>
      <c r="Z14768" s="20"/>
      <c r="AG14768" s="20"/>
      <c r="AQ14768" s="19"/>
      <c r="AR14768" s="19"/>
      <c r="AS14768" s="19"/>
      <c r="AT14768" s="19"/>
      <c r="AU14768" s="19"/>
    </row>
    <row r="14769" spans="3:47">
      <c r="C14769" s="20"/>
      <c r="Z14769" s="20"/>
      <c r="AG14769" s="20"/>
      <c r="AQ14769" s="19"/>
      <c r="AR14769" s="19"/>
      <c r="AS14769" s="19"/>
      <c r="AT14769" s="19"/>
      <c r="AU14769" s="19"/>
    </row>
    <row r="14770" spans="3:47">
      <c r="C14770" s="20"/>
      <c r="Z14770" s="20"/>
      <c r="AG14770" s="20"/>
      <c r="AQ14770" s="19"/>
      <c r="AR14770" s="19"/>
      <c r="AS14770" s="19"/>
      <c r="AT14770" s="19"/>
      <c r="AU14770" s="19"/>
    </row>
    <row r="14771" spans="3:47">
      <c r="C14771" s="20"/>
      <c r="Z14771" s="20"/>
      <c r="AG14771" s="20"/>
      <c r="AQ14771" s="19"/>
      <c r="AR14771" s="19"/>
      <c r="AS14771" s="19"/>
      <c r="AT14771" s="19"/>
      <c r="AU14771" s="19"/>
    </row>
    <row r="14772" spans="3:47">
      <c r="C14772" s="20"/>
      <c r="Z14772" s="20"/>
      <c r="AG14772" s="20"/>
      <c r="AQ14772" s="19"/>
      <c r="AR14772" s="19"/>
      <c r="AS14772" s="19"/>
      <c r="AT14772" s="19"/>
      <c r="AU14772" s="19"/>
    </row>
    <row r="14773" spans="3:47">
      <c r="C14773" s="20"/>
      <c r="Z14773" s="20"/>
      <c r="AG14773" s="20"/>
      <c r="AQ14773" s="19"/>
      <c r="AR14773" s="19"/>
      <c r="AS14773" s="19"/>
      <c r="AT14773" s="19"/>
      <c r="AU14773" s="19"/>
    </row>
    <row r="14774" spans="3:47">
      <c r="C14774" s="20"/>
      <c r="Z14774" s="20"/>
      <c r="AG14774" s="20"/>
      <c r="AQ14774" s="19"/>
      <c r="AR14774" s="19"/>
      <c r="AS14774" s="19"/>
      <c r="AT14774" s="19"/>
      <c r="AU14774" s="19"/>
    </row>
    <row r="14775" spans="3:47">
      <c r="C14775" s="20"/>
      <c r="Z14775" s="20"/>
      <c r="AG14775" s="20"/>
      <c r="AQ14775" s="19"/>
      <c r="AR14775" s="19"/>
      <c r="AS14775" s="19"/>
      <c r="AT14775" s="19"/>
      <c r="AU14775" s="19"/>
    </row>
    <row r="14776" spans="3:47">
      <c r="C14776" s="20"/>
      <c r="Z14776" s="20"/>
      <c r="AG14776" s="20"/>
      <c r="AQ14776" s="19"/>
      <c r="AR14776" s="19"/>
      <c r="AS14776" s="19"/>
      <c r="AT14776" s="19"/>
      <c r="AU14776" s="19"/>
    </row>
    <row r="14777" spans="3:47">
      <c r="C14777" s="20"/>
      <c r="Z14777" s="20"/>
      <c r="AG14777" s="20"/>
      <c r="AQ14777" s="19"/>
      <c r="AR14777" s="19"/>
      <c r="AS14777" s="19"/>
      <c r="AT14777" s="19"/>
      <c r="AU14777" s="19"/>
    </row>
    <row r="14778" spans="3:47">
      <c r="C14778" s="20"/>
      <c r="Z14778" s="20"/>
      <c r="AG14778" s="20"/>
      <c r="AQ14778" s="19"/>
      <c r="AR14778" s="19"/>
      <c r="AS14778" s="19"/>
      <c r="AT14778" s="19"/>
      <c r="AU14778" s="19"/>
    </row>
    <row r="14779" spans="3:47">
      <c r="C14779" s="20"/>
      <c r="Z14779" s="20"/>
      <c r="AG14779" s="20"/>
      <c r="AQ14779" s="19"/>
      <c r="AR14779" s="19"/>
      <c r="AS14779" s="19"/>
      <c r="AT14779" s="19"/>
      <c r="AU14779" s="19"/>
    </row>
    <row r="14780" spans="3:47">
      <c r="C14780" s="20"/>
      <c r="Z14780" s="20"/>
      <c r="AG14780" s="20"/>
      <c r="AQ14780" s="19"/>
      <c r="AR14780" s="19"/>
      <c r="AS14780" s="19"/>
      <c r="AT14780" s="19"/>
      <c r="AU14780" s="19"/>
    </row>
    <row r="14781" spans="3:47">
      <c r="C14781" s="20"/>
      <c r="Z14781" s="20"/>
      <c r="AG14781" s="20"/>
      <c r="AQ14781" s="19"/>
      <c r="AR14781" s="19"/>
      <c r="AS14781" s="19"/>
      <c r="AT14781" s="19"/>
      <c r="AU14781" s="19"/>
    </row>
    <row r="14782" spans="3:47">
      <c r="C14782" s="20"/>
      <c r="Z14782" s="20"/>
      <c r="AG14782" s="20"/>
      <c r="AQ14782" s="19"/>
      <c r="AR14782" s="19"/>
      <c r="AS14782" s="19"/>
      <c r="AT14782" s="19"/>
      <c r="AU14782" s="19"/>
    </row>
    <row r="14783" spans="3:47">
      <c r="C14783" s="20"/>
      <c r="Z14783" s="20"/>
      <c r="AG14783" s="20"/>
      <c r="AQ14783" s="19"/>
      <c r="AR14783" s="19"/>
      <c r="AS14783" s="19"/>
      <c r="AT14783" s="19"/>
      <c r="AU14783" s="19"/>
    </row>
    <row r="14784" spans="3:47">
      <c r="C14784" s="20"/>
      <c r="Z14784" s="20"/>
      <c r="AG14784" s="20"/>
      <c r="AQ14784" s="19"/>
      <c r="AR14784" s="19"/>
      <c r="AS14784" s="19"/>
      <c r="AT14784" s="19"/>
      <c r="AU14784" s="19"/>
    </row>
    <row r="14785" spans="3:47">
      <c r="C14785" s="20"/>
      <c r="Z14785" s="20"/>
      <c r="AG14785" s="20"/>
      <c r="AQ14785" s="19"/>
      <c r="AR14785" s="19"/>
      <c r="AS14785" s="19"/>
      <c r="AT14785" s="19"/>
      <c r="AU14785" s="19"/>
    </row>
    <row r="14786" spans="3:47">
      <c r="C14786" s="20"/>
      <c r="Z14786" s="20"/>
      <c r="AG14786" s="20"/>
      <c r="AQ14786" s="19"/>
      <c r="AR14786" s="19"/>
      <c r="AS14786" s="19"/>
      <c r="AT14786" s="19"/>
      <c r="AU14786" s="19"/>
    </row>
    <row r="14787" spans="3:47">
      <c r="C14787" s="20"/>
      <c r="Z14787" s="20"/>
      <c r="AG14787" s="20"/>
      <c r="AQ14787" s="19"/>
      <c r="AR14787" s="19"/>
      <c r="AS14787" s="19"/>
      <c r="AT14787" s="19"/>
      <c r="AU14787" s="19"/>
    </row>
    <row r="14788" spans="3:47">
      <c r="C14788" s="20"/>
      <c r="Z14788" s="20"/>
      <c r="AG14788" s="20"/>
      <c r="AQ14788" s="19"/>
      <c r="AR14788" s="19"/>
      <c r="AS14788" s="19"/>
      <c r="AT14788" s="19"/>
      <c r="AU14788" s="19"/>
    </row>
    <row r="14789" spans="3:47">
      <c r="C14789" s="20"/>
      <c r="Z14789" s="20"/>
      <c r="AG14789" s="20"/>
      <c r="AQ14789" s="19"/>
      <c r="AR14789" s="19"/>
      <c r="AS14789" s="19"/>
      <c r="AT14789" s="19"/>
      <c r="AU14789" s="19"/>
    </row>
    <row r="14790" spans="3:47">
      <c r="C14790" s="20"/>
      <c r="Z14790" s="20"/>
      <c r="AG14790" s="20"/>
      <c r="AQ14790" s="19"/>
      <c r="AR14790" s="19"/>
      <c r="AS14790" s="19"/>
      <c r="AT14790" s="19"/>
      <c r="AU14790" s="19"/>
    </row>
    <row r="14791" spans="3:47">
      <c r="C14791" s="20"/>
      <c r="Z14791" s="20"/>
      <c r="AG14791" s="20"/>
      <c r="AQ14791" s="19"/>
      <c r="AR14791" s="19"/>
      <c r="AS14791" s="19"/>
      <c r="AT14791" s="19"/>
      <c r="AU14791" s="19"/>
    </row>
    <row r="14792" spans="3:47">
      <c r="C14792" s="20"/>
      <c r="Z14792" s="20"/>
      <c r="AG14792" s="20"/>
      <c r="AQ14792" s="19"/>
      <c r="AR14792" s="19"/>
      <c r="AS14792" s="19"/>
      <c r="AT14792" s="19"/>
      <c r="AU14792" s="19"/>
    </row>
    <row r="14793" spans="3:47">
      <c r="C14793" s="20"/>
      <c r="Z14793" s="20"/>
      <c r="AG14793" s="20"/>
      <c r="AQ14793" s="19"/>
      <c r="AR14793" s="19"/>
      <c r="AS14793" s="19"/>
      <c r="AT14793" s="19"/>
      <c r="AU14793" s="19"/>
    </row>
    <row r="14794" spans="3:47">
      <c r="C14794" s="20"/>
      <c r="Z14794" s="20"/>
      <c r="AG14794" s="20"/>
      <c r="AQ14794" s="19"/>
      <c r="AR14794" s="19"/>
      <c r="AS14794" s="19"/>
      <c r="AT14794" s="19"/>
      <c r="AU14794" s="19"/>
    </row>
    <row r="14795" spans="3:47">
      <c r="C14795" s="20"/>
      <c r="Z14795" s="20"/>
      <c r="AG14795" s="20"/>
      <c r="AQ14795" s="19"/>
      <c r="AR14795" s="19"/>
      <c r="AS14795" s="19"/>
      <c r="AT14795" s="19"/>
      <c r="AU14795" s="19"/>
    </row>
    <row r="14796" spans="3:47">
      <c r="C14796" s="20"/>
      <c r="Z14796" s="20"/>
      <c r="AG14796" s="20"/>
      <c r="AQ14796" s="19"/>
      <c r="AR14796" s="19"/>
      <c r="AS14796" s="19"/>
      <c r="AT14796" s="19"/>
      <c r="AU14796" s="19"/>
    </row>
    <row r="14797" spans="3:47">
      <c r="C14797" s="20"/>
      <c r="Z14797" s="20"/>
      <c r="AG14797" s="20"/>
      <c r="AQ14797" s="19"/>
      <c r="AR14797" s="19"/>
      <c r="AS14797" s="19"/>
      <c r="AT14797" s="19"/>
      <c r="AU14797" s="19"/>
    </row>
    <row r="14798" spans="3:47">
      <c r="C14798" s="20"/>
      <c r="Z14798" s="20"/>
      <c r="AG14798" s="20"/>
      <c r="AQ14798" s="19"/>
      <c r="AR14798" s="19"/>
      <c r="AS14798" s="19"/>
      <c r="AT14798" s="19"/>
      <c r="AU14798" s="19"/>
    </row>
    <row r="14799" spans="3:47">
      <c r="C14799" s="20"/>
      <c r="Z14799" s="20"/>
      <c r="AG14799" s="20"/>
      <c r="AQ14799" s="19"/>
      <c r="AR14799" s="19"/>
      <c r="AS14799" s="19"/>
      <c r="AT14799" s="19"/>
      <c r="AU14799" s="19"/>
    </row>
    <row r="14800" spans="3:47">
      <c r="C14800" s="20"/>
      <c r="Z14800" s="20"/>
      <c r="AG14800" s="20"/>
      <c r="AQ14800" s="19"/>
      <c r="AR14800" s="19"/>
      <c r="AS14800" s="19"/>
      <c r="AT14800" s="19"/>
      <c r="AU14800" s="19"/>
    </row>
    <row r="14801" spans="3:47">
      <c r="C14801" s="20"/>
      <c r="Z14801" s="20"/>
      <c r="AG14801" s="20"/>
      <c r="AQ14801" s="19"/>
      <c r="AR14801" s="19"/>
      <c r="AS14801" s="19"/>
      <c r="AT14801" s="19"/>
      <c r="AU14801" s="19"/>
    </row>
    <row r="14802" spans="3:47">
      <c r="C14802" s="20"/>
      <c r="Z14802" s="20"/>
      <c r="AG14802" s="20"/>
      <c r="AQ14802" s="19"/>
      <c r="AR14802" s="19"/>
      <c r="AS14802" s="19"/>
      <c r="AT14802" s="19"/>
      <c r="AU14802" s="19"/>
    </row>
    <row r="14803" spans="3:47">
      <c r="C14803" s="20"/>
      <c r="Z14803" s="20"/>
      <c r="AG14803" s="20"/>
      <c r="AQ14803" s="19"/>
      <c r="AR14803" s="19"/>
      <c r="AS14803" s="19"/>
      <c r="AT14803" s="19"/>
      <c r="AU14803" s="19"/>
    </row>
    <row r="14804" spans="3:47">
      <c r="C14804" s="20"/>
      <c r="Z14804" s="20"/>
      <c r="AG14804" s="20"/>
      <c r="AQ14804" s="19"/>
      <c r="AR14804" s="19"/>
      <c r="AS14804" s="19"/>
      <c r="AT14804" s="19"/>
      <c r="AU14804" s="19"/>
    </row>
    <row r="14805" spans="3:47">
      <c r="C14805" s="20"/>
      <c r="Z14805" s="20"/>
      <c r="AG14805" s="20"/>
      <c r="AQ14805" s="19"/>
      <c r="AR14805" s="19"/>
      <c r="AS14805" s="19"/>
      <c r="AT14805" s="19"/>
      <c r="AU14805" s="19"/>
    </row>
    <row r="14806" spans="3:47">
      <c r="C14806" s="20"/>
      <c r="Z14806" s="20"/>
      <c r="AG14806" s="20"/>
      <c r="AQ14806" s="19"/>
      <c r="AR14806" s="19"/>
      <c r="AS14806" s="19"/>
      <c r="AT14806" s="19"/>
      <c r="AU14806" s="19"/>
    </row>
    <row r="14807" spans="3:47">
      <c r="C14807" s="20"/>
      <c r="Z14807" s="20"/>
      <c r="AG14807" s="20"/>
      <c r="AQ14807" s="19"/>
      <c r="AR14807" s="19"/>
      <c r="AS14807" s="19"/>
      <c r="AT14807" s="19"/>
      <c r="AU14807" s="19"/>
    </row>
    <row r="14808" spans="3:47">
      <c r="C14808" s="20"/>
      <c r="Z14808" s="20"/>
      <c r="AG14808" s="20"/>
      <c r="AQ14808" s="19"/>
      <c r="AR14808" s="19"/>
      <c r="AS14808" s="19"/>
      <c r="AT14808" s="19"/>
      <c r="AU14808" s="19"/>
    </row>
    <row r="14809" spans="3:47">
      <c r="C14809" s="20"/>
      <c r="Z14809" s="20"/>
      <c r="AG14809" s="20"/>
      <c r="AQ14809" s="19"/>
      <c r="AR14809" s="19"/>
      <c r="AS14809" s="19"/>
      <c r="AT14809" s="19"/>
      <c r="AU14809" s="19"/>
    </row>
    <row r="14810" spans="3:47">
      <c r="C14810" s="20"/>
      <c r="Z14810" s="20"/>
      <c r="AG14810" s="20"/>
      <c r="AQ14810" s="19"/>
      <c r="AR14810" s="19"/>
      <c r="AS14810" s="19"/>
      <c r="AT14810" s="19"/>
      <c r="AU14810" s="19"/>
    </row>
    <row r="14811" spans="3:47">
      <c r="C14811" s="20"/>
      <c r="Z14811" s="20"/>
      <c r="AG14811" s="20"/>
      <c r="AQ14811" s="19"/>
      <c r="AR14811" s="19"/>
      <c r="AS14811" s="19"/>
      <c r="AT14811" s="19"/>
      <c r="AU14811" s="19"/>
    </row>
    <row r="14812" spans="3:47">
      <c r="C14812" s="20"/>
      <c r="Z14812" s="20"/>
      <c r="AG14812" s="20"/>
      <c r="AQ14812" s="19"/>
      <c r="AR14812" s="19"/>
      <c r="AS14812" s="19"/>
      <c r="AT14812" s="19"/>
      <c r="AU14812" s="19"/>
    </row>
    <row r="14813" spans="3:47">
      <c r="C14813" s="20"/>
      <c r="Z14813" s="20"/>
      <c r="AG14813" s="20"/>
      <c r="AQ14813" s="19"/>
      <c r="AR14813" s="19"/>
      <c r="AS14813" s="19"/>
      <c r="AT14813" s="19"/>
      <c r="AU14813" s="19"/>
    </row>
    <row r="14814" spans="3:47">
      <c r="C14814" s="20"/>
      <c r="Z14814" s="20"/>
      <c r="AG14814" s="20"/>
      <c r="AQ14814" s="19"/>
      <c r="AR14814" s="19"/>
      <c r="AS14814" s="19"/>
      <c r="AT14814" s="19"/>
      <c r="AU14814" s="19"/>
    </row>
    <row r="14815" spans="3:47">
      <c r="C14815" s="20"/>
      <c r="Z14815" s="20"/>
      <c r="AG14815" s="20"/>
      <c r="AQ14815" s="19"/>
      <c r="AR14815" s="19"/>
      <c r="AS14815" s="19"/>
      <c r="AT14815" s="19"/>
      <c r="AU14815" s="19"/>
    </row>
    <row r="14816" spans="3:47">
      <c r="C14816" s="20"/>
      <c r="Z14816" s="20"/>
      <c r="AG14816" s="20"/>
      <c r="AQ14816" s="19"/>
      <c r="AR14816" s="19"/>
      <c r="AS14816" s="19"/>
      <c r="AT14816" s="19"/>
      <c r="AU14816" s="19"/>
    </row>
    <row r="14817" spans="3:47">
      <c r="C14817" s="20"/>
      <c r="Z14817" s="20"/>
      <c r="AG14817" s="20"/>
      <c r="AQ14817" s="19"/>
      <c r="AR14817" s="19"/>
      <c r="AS14817" s="19"/>
      <c r="AT14817" s="19"/>
      <c r="AU14817" s="19"/>
    </row>
    <row r="14818" spans="3:47">
      <c r="C14818" s="20"/>
      <c r="Z14818" s="20"/>
      <c r="AG14818" s="20"/>
      <c r="AQ14818" s="19"/>
      <c r="AR14818" s="19"/>
      <c r="AS14818" s="19"/>
      <c r="AT14818" s="19"/>
      <c r="AU14818" s="19"/>
    </row>
    <row r="14819" spans="3:47">
      <c r="C14819" s="20"/>
      <c r="Z14819" s="20"/>
      <c r="AG14819" s="20"/>
      <c r="AQ14819" s="19"/>
      <c r="AR14819" s="19"/>
      <c r="AS14819" s="19"/>
      <c r="AT14819" s="19"/>
      <c r="AU14819" s="19"/>
    </row>
    <row r="14820" spans="3:47">
      <c r="C14820" s="20"/>
      <c r="Z14820" s="20"/>
      <c r="AG14820" s="20"/>
      <c r="AQ14820" s="19"/>
      <c r="AR14820" s="19"/>
      <c r="AS14820" s="19"/>
      <c r="AT14820" s="19"/>
      <c r="AU14820" s="19"/>
    </row>
    <row r="14821" spans="3:47">
      <c r="C14821" s="20"/>
      <c r="Z14821" s="20"/>
      <c r="AG14821" s="20"/>
      <c r="AQ14821" s="19"/>
      <c r="AR14821" s="19"/>
      <c r="AS14821" s="19"/>
      <c r="AT14821" s="19"/>
      <c r="AU14821" s="19"/>
    </row>
    <row r="14822" spans="3:47">
      <c r="C14822" s="20"/>
      <c r="Z14822" s="20"/>
      <c r="AG14822" s="20"/>
      <c r="AQ14822" s="19"/>
      <c r="AR14822" s="19"/>
      <c r="AS14822" s="19"/>
      <c r="AT14822" s="19"/>
      <c r="AU14822" s="19"/>
    </row>
    <row r="14823" spans="3:47">
      <c r="C14823" s="20"/>
      <c r="Z14823" s="20"/>
      <c r="AG14823" s="20"/>
      <c r="AQ14823" s="19"/>
      <c r="AR14823" s="19"/>
      <c r="AS14823" s="19"/>
      <c r="AT14823" s="19"/>
      <c r="AU14823" s="19"/>
    </row>
    <row r="14824" spans="3:47">
      <c r="C14824" s="20"/>
      <c r="Z14824" s="20"/>
      <c r="AG14824" s="20"/>
      <c r="AQ14824" s="19"/>
      <c r="AR14824" s="19"/>
      <c r="AS14824" s="19"/>
      <c r="AT14824" s="19"/>
      <c r="AU14824" s="19"/>
    </row>
    <row r="14825" spans="3:47">
      <c r="C14825" s="20"/>
      <c r="Z14825" s="20"/>
      <c r="AG14825" s="20"/>
      <c r="AQ14825" s="19"/>
      <c r="AR14825" s="19"/>
      <c r="AS14825" s="19"/>
      <c r="AT14825" s="19"/>
      <c r="AU14825" s="19"/>
    </row>
    <row r="14826" spans="3:47">
      <c r="C14826" s="20"/>
      <c r="Z14826" s="20"/>
      <c r="AG14826" s="20"/>
      <c r="AQ14826" s="19"/>
      <c r="AR14826" s="19"/>
      <c r="AS14826" s="19"/>
      <c r="AT14826" s="19"/>
      <c r="AU14826" s="19"/>
    </row>
    <row r="14827" spans="3:47">
      <c r="C14827" s="20"/>
      <c r="Z14827" s="20"/>
      <c r="AG14827" s="20"/>
      <c r="AQ14827" s="19"/>
      <c r="AR14827" s="19"/>
      <c r="AS14827" s="19"/>
      <c r="AT14827" s="19"/>
      <c r="AU14827" s="19"/>
    </row>
    <row r="14828" spans="3:47">
      <c r="C14828" s="20"/>
      <c r="Z14828" s="20"/>
      <c r="AG14828" s="20"/>
      <c r="AQ14828" s="19"/>
      <c r="AR14828" s="19"/>
      <c r="AS14828" s="19"/>
      <c r="AT14828" s="19"/>
      <c r="AU14828" s="19"/>
    </row>
    <row r="14829" spans="3:47">
      <c r="C14829" s="20"/>
      <c r="Z14829" s="20"/>
      <c r="AG14829" s="20"/>
      <c r="AQ14829" s="19"/>
      <c r="AR14829" s="19"/>
      <c r="AS14829" s="19"/>
      <c r="AT14829" s="19"/>
      <c r="AU14829" s="19"/>
    </row>
    <row r="14830" spans="3:47">
      <c r="C14830" s="20"/>
      <c r="Z14830" s="20"/>
      <c r="AG14830" s="20"/>
      <c r="AQ14830" s="19"/>
      <c r="AR14830" s="19"/>
      <c r="AS14830" s="19"/>
      <c r="AT14830" s="19"/>
      <c r="AU14830" s="19"/>
    </row>
    <row r="14831" spans="3:47">
      <c r="C14831" s="20"/>
      <c r="Z14831" s="20"/>
      <c r="AG14831" s="20"/>
      <c r="AQ14831" s="19"/>
      <c r="AR14831" s="19"/>
      <c r="AS14831" s="19"/>
      <c r="AT14831" s="19"/>
      <c r="AU14831" s="19"/>
    </row>
    <row r="14832" spans="3:47">
      <c r="C14832" s="20"/>
      <c r="Z14832" s="20"/>
      <c r="AG14832" s="20"/>
      <c r="AQ14832" s="19"/>
      <c r="AR14832" s="19"/>
      <c r="AS14832" s="19"/>
      <c r="AT14832" s="19"/>
      <c r="AU14832" s="19"/>
    </row>
    <row r="14833" spans="3:47">
      <c r="C14833" s="20"/>
      <c r="Z14833" s="20"/>
      <c r="AG14833" s="20"/>
      <c r="AQ14833" s="19"/>
      <c r="AR14833" s="19"/>
      <c r="AS14833" s="19"/>
      <c r="AT14833" s="19"/>
      <c r="AU14833" s="19"/>
    </row>
    <row r="14834" spans="3:47">
      <c r="C14834" s="20"/>
      <c r="Z14834" s="20"/>
      <c r="AG14834" s="20"/>
      <c r="AQ14834" s="19"/>
      <c r="AR14834" s="19"/>
      <c r="AS14834" s="19"/>
      <c r="AT14834" s="19"/>
      <c r="AU14834" s="19"/>
    </row>
    <row r="14835" spans="3:47">
      <c r="C14835" s="20"/>
      <c r="Z14835" s="20"/>
      <c r="AG14835" s="20"/>
      <c r="AQ14835" s="19"/>
      <c r="AR14835" s="19"/>
      <c r="AS14835" s="19"/>
      <c r="AT14835" s="19"/>
      <c r="AU14835" s="19"/>
    </row>
    <row r="14836" spans="3:47">
      <c r="C14836" s="20"/>
      <c r="Z14836" s="20"/>
      <c r="AG14836" s="20"/>
      <c r="AQ14836" s="19"/>
      <c r="AR14836" s="19"/>
      <c r="AS14836" s="19"/>
      <c r="AT14836" s="19"/>
      <c r="AU14836" s="19"/>
    </row>
    <row r="14837" spans="3:47">
      <c r="C14837" s="20"/>
      <c r="Z14837" s="20"/>
      <c r="AG14837" s="20"/>
      <c r="AQ14837" s="19"/>
      <c r="AR14837" s="19"/>
      <c r="AS14837" s="19"/>
      <c r="AT14837" s="19"/>
      <c r="AU14837" s="19"/>
    </row>
    <row r="14838" spans="3:47">
      <c r="C14838" s="20"/>
      <c r="Z14838" s="20"/>
      <c r="AG14838" s="20"/>
      <c r="AQ14838" s="19"/>
      <c r="AR14838" s="19"/>
      <c r="AS14838" s="19"/>
      <c r="AT14838" s="19"/>
      <c r="AU14838" s="19"/>
    </row>
    <row r="14839" spans="3:47">
      <c r="C14839" s="20"/>
      <c r="Z14839" s="20"/>
      <c r="AG14839" s="20"/>
      <c r="AQ14839" s="19"/>
      <c r="AR14839" s="19"/>
      <c r="AS14839" s="19"/>
      <c r="AT14839" s="19"/>
      <c r="AU14839" s="19"/>
    </row>
    <row r="14840" spans="3:47">
      <c r="C14840" s="20"/>
      <c r="Z14840" s="20"/>
      <c r="AG14840" s="20"/>
      <c r="AQ14840" s="19"/>
      <c r="AR14840" s="19"/>
      <c r="AS14840" s="19"/>
      <c r="AT14840" s="19"/>
      <c r="AU14840" s="19"/>
    </row>
    <row r="14841" spans="3:47">
      <c r="C14841" s="20"/>
      <c r="Z14841" s="20"/>
      <c r="AG14841" s="20"/>
      <c r="AQ14841" s="19"/>
      <c r="AR14841" s="19"/>
      <c r="AS14841" s="19"/>
      <c r="AT14841" s="19"/>
      <c r="AU14841" s="19"/>
    </row>
    <row r="14842" spans="3:47">
      <c r="C14842" s="20"/>
      <c r="Z14842" s="20"/>
      <c r="AG14842" s="20"/>
      <c r="AQ14842" s="19"/>
      <c r="AR14842" s="19"/>
      <c r="AS14842" s="19"/>
      <c r="AT14842" s="19"/>
      <c r="AU14842" s="19"/>
    </row>
    <row r="14843" spans="3:47">
      <c r="C14843" s="20"/>
      <c r="Z14843" s="20"/>
      <c r="AG14843" s="20"/>
      <c r="AQ14843" s="19"/>
      <c r="AR14843" s="19"/>
      <c r="AS14843" s="19"/>
      <c r="AT14843" s="19"/>
      <c r="AU14843" s="19"/>
    </row>
    <row r="14844" spans="3:47">
      <c r="C14844" s="20"/>
      <c r="Z14844" s="20"/>
      <c r="AG14844" s="20"/>
      <c r="AQ14844" s="19"/>
      <c r="AR14844" s="19"/>
      <c r="AS14844" s="19"/>
      <c r="AT14844" s="19"/>
      <c r="AU14844" s="19"/>
    </row>
    <row r="14845" spans="3:47">
      <c r="C14845" s="20"/>
      <c r="Z14845" s="20"/>
      <c r="AG14845" s="20"/>
      <c r="AQ14845" s="19"/>
      <c r="AR14845" s="19"/>
      <c r="AS14845" s="19"/>
      <c r="AT14845" s="19"/>
      <c r="AU14845" s="19"/>
    </row>
    <row r="14846" spans="3:47">
      <c r="C14846" s="20"/>
      <c r="Z14846" s="20"/>
      <c r="AG14846" s="20"/>
      <c r="AQ14846" s="19"/>
      <c r="AR14846" s="19"/>
      <c r="AS14846" s="19"/>
      <c r="AT14846" s="19"/>
      <c r="AU14846" s="19"/>
    </row>
    <row r="14847" spans="3:47">
      <c r="C14847" s="20"/>
      <c r="Z14847" s="20"/>
      <c r="AG14847" s="20"/>
      <c r="AQ14847" s="19"/>
      <c r="AR14847" s="19"/>
      <c r="AS14847" s="19"/>
      <c r="AT14847" s="19"/>
      <c r="AU14847" s="19"/>
    </row>
    <row r="14848" spans="3:47">
      <c r="C14848" s="20"/>
      <c r="Z14848" s="20"/>
      <c r="AG14848" s="20"/>
      <c r="AQ14848" s="19"/>
      <c r="AR14848" s="19"/>
      <c r="AS14848" s="19"/>
      <c r="AT14848" s="19"/>
      <c r="AU14848" s="19"/>
    </row>
    <row r="14849" spans="3:47">
      <c r="C14849" s="20"/>
      <c r="Z14849" s="20"/>
      <c r="AG14849" s="20"/>
      <c r="AQ14849" s="19"/>
      <c r="AR14849" s="19"/>
      <c r="AS14849" s="19"/>
      <c r="AT14849" s="19"/>
      <c r="AU14849" s="19"/>
    </row>
    <row r="14850" spans="3:47">
      <c r="C14850" s="20"/>
      <c r="Z14850" s="20"/>
      <c r="AG14850" s="20"/>
      <c r="AQ14850" s="19"/>
      <c r="AR14850" s="19"/>
      <c r="AS14850" s="19"/>
      <c r="AT14850" s="19"/>
      <c r="AU14850" s="19"/>
    </row>
    <row r="14851" spans="3:47">
      <c r="C14851" s="20"/>
      <c r="Z14851" s="20"/>
      <c r="AG14851" s="20"/>
      <c r="AQ14851" s="19"/>
      <c r="AR14851" s="19"/>
      <c r="AS14851" s="19"/>
      <c r="AT14851" s="19"/>
      <c r="AU14851" s="19"/>
    </row>
    <row r="14852" spans="3:47">
      <c r="C14852" s="20"/>
      <c r="Z14852" s="20"/>
      <c r="AG14852" s="20"/>
      <c r="AQ14852" s="19"/>
      <c r="AR14852" s="19"/>
      <c r="AS14852" s="19"/>
      <c r="AT14852" s="19"/>
      <c r="AU14852" s="19"/>
    </row>
    <row r="14853" spans="3:47">
      <c r="C14853" s="20"/>
      <c r="Z14853" s="20"/>
      <c r="AG14853" s="20"/>
      <c r="AQ14853" s="19"/>
      <c r="AR14853" s="19"/>
      <c r="AS14853" s="19"/>
      <c r="AT14853" s="19"/>
      <c r="AU14853" s="19"/>
    </row>
    <row r="14854" spans="3:47">
      <c r="C14854" s="20"/>
      <c r="Z14854" s="20"/>
      <c r="AG14854" s="20"/>
      <c r="AQ14854" s="19"/>
      <c r="AR14854" s="19"/>
      <c r="AS14854" s="19"/>
      <c r="AT14854" s="19"/>
      <c r="AU14854" s="19"/>
    </row>
    <row r="14855" spans="3:47">
      <c r="C14855" s="20"/>
      <c r="Z14855" s="20"/>
      <c r="AG14855" s="20"/>
      <c r="AQ14855" s="19"/>
      <c r="AR14855" s="19"/>
      <c r="AS14855" s="19"/>
      <c r="AT14855" s="19"/>
      <c r="AU14855" s="19"/>
    </row>
    <row r="14856" spans="3:47">
      <c r="C14856" s="20"/>
      <c r="Z14856" s="20"/>
      <c r="AG14856" s="20"/>
      <c r="AQ14856" s="19"/>
      <c r="AR14856" s="19"/>
      <c r="AS14856" s="19"/>
      <c r="AT14856" s="19"/>
      <c r="AU14856" s="19"/>
    </row>
    <row r="14857" spans="3:47">
      <c r="C14857" s="20"/>
      <c r="Z14857" s="20"/>
      <c r="AG14857" s="20"/>
      <c r="AQ14857" s="19"/>
      <c r="AR14857" s="19"/>
      <c r="AS14857" s="19"/>
      <c r="AT14857" s="19"/>
      <c r="AU14857" s="19"/>
    </row>
    <row r="14858" spans="3:47">
      <c r="C14858" s="20"/>
      <c r="Z14858" s="20"/>
      <c r="AG14858" s="20"/>
      <c r="AQ14858" s="19"/>
      <c r="AR14858" s="19"/>
      <c r="AS14858" s="19"/>
      <c r="AT14858" s="19"/>
      <c r="AU14858" s="19"/>
    </row>
    <row r="14859" spans="3:47">
      <c r="C14859" s="20"/>
      <c r="Z14859" s="20"/>
      <c r="AG14859" s="20"/>
      <c r="AQ14859" s="19"/>
      <c r="AR14859" s="19"/>
      <c r="AS14859" s="19"/>
      <c r="AT14859" s="19"/>
      <c r="AU14859" s="19"/>
    </row>
    <row r="14860" spans="3:47">
      <c r="C14860" s="20"/>
      <c r="Z14860" s="20"/>
      <c r="AG14860" s="20"/>
      <c r="AQ14860" s="19"/>
      <c r="AR14860" s="19"/>
      <c r="AS14860" s="19"/>
      <c r="AT14860" s="19"/>
      <c r="AU14860" s="19"/>
    </row>
    <row r="14861" spans="3:47">
      <c r="C14861" s="20"/>
      <c r="Z14861" s="20"/>
      <c r="AG14861" s="20"/>
      <c r="AQ14861" s="19"/>
      <c r="AR14861" s="19"/>
      <c r="AS14861" s="19"/>
      <c r="AT14861" s="19"/>
      <c r="AU14861" s="19"/>
    </row>
    <row r="14862" spans="3:47">
      <c r="C14862" s="20"/>
      <c r="Z14862" s="20"/>
      <c r="AG14862" s="20"/>
      <c r="AQ14862" s="19"/>
      <c r="AR14862" s="19"/>
      <c r="AS14862" s="19"/>
      <c r="AT14862" s="19"/>
      <c r="AU14862" s="19"/>
    </row>
    <row r="14863" spans="3:47">
      <c r="C14863" s="20"/>
      <c r="Z14863" s="20"/>
      <c r="AG14863" s="20"/>
      <c r="AQ14863" s="19"/>
      <c r="AR14863" s="19"/>
      <c r="AS14863" s="19"/>
      <c r="AT14863" s="19"/>
      <c r="AU14863" s="19"/>
    </row>
    <row r="14864" spans="3:47">
      <c r="C14864" s="20"/>
      <c r="Z14864" s="20"/>
      <c r="AG14864" s="20"/>
      <c r="AQ14864" s="19"/>
      <c r="AR14864" s="19"/>
      <c r="AS14864" s="19"/>
      <c r="AT14864" s="19"/>
      <c r="AU14864" s="19"/>
    </row>
    <row r="14865" spans="3:47">
      <c r="C14865" s="20"/>
      <c r="Z14865" s="20"/>
      <c r="AG14865" s="20"/>
      <c r="AQ14865" s="19"/>
      <c r="AR14865" s="19"/>
      <c r="AS14865" s="19"/>
      <c r="AT14865" s="19"/>
      <c r="AU14865" s="19"/>
    </row>
    <row r="14866" spans="3:47">
      <c r="C14866" s="20"/>
      <c r="Z14866" s="20"/>
      <c r="AG14866" s="20"/>
      <c r="AQ14866" s="19"/>
      <c r="AR14866" s="19"/>
      <c r="AS14866" s="19"/>
      <c r="AT14866" s="19"/>
      <c r="AU14866" s="19"/>
    </row>
    <row r="14867" spans="3:47">
      <c r="C14867" s="20"/>
      <c r="Z14867" s="20"/>
      <c r="AG14867" s="20"/>
      <c r="AQ14867" s="19"/>
      <c r="AR14867" s="19"/>
      <c r="AS14867" s="19"/>
      <c r="AT14867" s="19"/>
      <c r="AU14867" s="19"/>
    </row>
    <row r="14868" spans="3:47">
      <c r="C14868" s="20"/>
      <c r="Z14868" s="20"/>
      <c r="AG14868" s="20"/>
      <c r="AQ14868" s="19"/>
      <c r="AR14868" s="19"/>
      <c r="AS14868" s="19"/>
      <c r="AT14868" s="19"/>
      <c r="AU14868" s="19"/>
    </row>
    <row r="14869" spans="3:47">
      <c r="C14869" s="20"/>
      <c r="Z14869" s="20"/>
      <c r="AG14869" s="20"/>
      <c r="AQ14869" s="19"/>
      <c r="AR14869" s="19"/>
      <c r="AS14869" s="19"/>
      <c r="AT14869" s="19"/>
      <c r="AU14869" s="19"/>
    </row>
    <row r="14870" spans="3:47">
      <c r="C14870" s="20"/>
      <c r="Z14870" s="20"/>
      <c r="AG14870" s="20"/>
      <c r="AQ14870" s="19"/>
      <c r="AR14870" s="19"/>
      <c r="AS14870" s="19"/>
      <c r="AT14870" s="19"/>
      <c r="AU14870" s="19"/>
    </row>
    <row r="14871" spans="3:47">
      <c r="C14871" s="20"/>
      <c r="Z14871" s="20"/>
      <c r="AG14871" s="20"/>
      <c r="AQ14871" s="19"/>
      <c r="AR14871" s="19"/>
      <c r="AS14871" s="19"/>
      <c r="AT14871" s="19"/>
      <c r="AU14871" s="19"/>
    </row>
    <row r="14872" spans="3:47">
      <c r="C14872" s="20"/>
      <c r="Z14872" s="20"/>
      <c r="AG14872" s="20"/>
      <c r="AQ14872" s="19"/>
      <c r="AR14872" s="19"/>
      <c r="AS14872" s="19"/>
      <c r="AT14872" s="19"/>
      <c r="AU14872" s="19"/>
    </row>
    <row r="14873" spans="3:47">
      <c r="C14873" s="20"/>
      <c r="Z14873" s="20"/>
      <c r="AG14873" s="20"/>
      <c r="AQ14873" s="19"/>
      <c r="AR14873" s="19"/>
      <c r="AS14873" s="19"/>
      <c r="AT14873" s="19"/>
      <c r="AU14873" s="19"/>
    </row>
    <row r="14874" spans="3:47">
      <c r="C14874" s="20"/>
      <c r="Z14874" s="20"/>
      <c r="AG14874" s="20"/>
      <c r="AQ14874" s="19"/>
      <c r="AR14874" s="19"/>
      <c r="AS14874" s="19"/>
      <c r="AT14874" s="19"/>
      <c r="AU14874" s="19"/>
    </row>
    <row r="14875" spans="3:47">
      <c r="C14875" s="20"/>
      <c r="Z14875" s="20"/>
      <c r="AG14875" s="20"/>
      <c r="AQ14875" s="19"/>
      <c r="AR14875" s="19"/>
      <c r="AS14875" s="19"/>
      <c r="AT14875" s="19"/>
      <c r="AU14875" s="19"/>
    </row>
    <row r="14876" spans="3:47">
      <c r="C14876" s="20"/>
      <c r="Z14876" s="20"/>
      <c r="AG14876" s="20"/>
      <c r="AQ14876" s="19"/>
      <c r="AR14876" s="19"/>
      <c r="AS14876" s="19"/>
      <c r="AT14876" s="19"/>
      <c r="AU14876" s="19"/>
    </row>
    <row r="14877" spans="3:47">
      <c r="C14877" s="20"/>
      <c r="Z14877" s="20"/>
      <c r="AG14877" s="20"/>
      <c r="AQ14877" s="19"/>
      <c r="AR14877" s="19"/>
      <c r="AS14877" s="19"/>
      <c r="AT14877" s="19"/>
      <c r="AU14877" s="19"/>
    </row>
    <row r="14878" spans="3:47">
      <c r="C14878" s="20"/>
      <c r="Z14878" s="20"/>
      <c r="AG14878" s="20"/>
      <c r="AQ14878" s="19"/>
      <c r="AR14878" s="19"/>
      <c r="AS14878" s="19"/>
      <c r="AT14878" s="19"/>
      <c r="AU14878" s="19"/>
    </row>
    <row r="14879" spans="3:47">
      <c r="C14879" s="20"/>
      <c r="Z14879" s="20"/>
      <c r="AG14879" s="20"/>
      <c r="AQ14879" s="19"/>
      <c r="AR14879" s="19"/>
      <c r="AS14879" s="19"/>
      <c r="AT14879" s="19"/>
      <c r="AU14879" s="19"/>
    </row>
    <row r="14880" spans="3:47">
      <c r="C14880" s="20"/>
      <c r="Z14880" s="20"/>
      <c r="AG14880" s="20"/>
      <c r="AQ14880" s="19"/>
      <c r="AR14880" s="19"/>
      <c r="AS14880" s="19"/>
      <c r="AT14880" s="19"/>
      <c r="AU14880" s="19"/>
    </row>
    <row r="14881" spans="3:47">
      <c r="C14881" s="20"/>
      <c r="Z14881" s="20"/>
      <c r="AG14881" s="20"/>
      <c r="AQ14881" s="19"/>
      <c r="AR14881" s="19"/>
      <c r="AS14881" s="19"/>
      <c r="AT14881" s="19"/>
      <c r="AU14881" s="19"/>
    </row>
    <row r="14882" spans="3:47">
      <c r="C14882" s="20"/>
      <c r="Z14882" s="20"/>
      <c r="AG14882" s="20"/>
      <c r="AQ14882" s="19"/>
      <c r="AR14882" s="19"/>
      <c r="AS14882" s="19"/>
      <c r="AT14882" s="19"/>
      <c r="AU14882" s="19"/>
    </row>
    <row r="14883" spans="3:47">
      <c r="C14883" s="20"/>
      <c r="Z14883" s="20"/>
      <c r="AG14883" s="20"/>
      <c r="AQ14883" s="19"/>
      <c r="AR14883" s="19"/>
      <c r="AS14883" s="19"/>
      <c r="AT14883" s="19"/>
      <c r="AU14883" s="19"/>
    </row>
    <row r="14884" spans="3:47">
      <c r="C14884" s="20"/>
      <c r="Z14884" s="20"/>
      <c r="AG14884" s="20"/>
      <c r="AQ14884" s="19"/>
      <c r="AR14884" s="19"/>
      <c r="AS14884" s="19"/>
      <c r="AT14884" s="19"/>
      <c r="AU14884" s="19"/>
    </row>
    <row r="14885" spans="3:47">
      <c r="C14885" s="20"/>
      <c r="Z14885" s="20"/>
      <c r="AG14885" s="20"/>
      <c r="AQ14885" s="19"/>
      <c r="AR14885" s="19"/>
      <c r="AS14885" s="19"/>
      <c r="AT14885" s="19"/>
      <c r="AU14885" s="19"/>
    </row>
    <row r="14886" spans="3:47">
      <c r="C14886" s="20"/>
      <c r="Z14886" s="20"/>
      <c r="AG14886" s="20"/>
      <c r="AQ14886" s="19"/>
      <c r="AR14886" s="19"/>
      <c r="AS14886" s="19"/>
      <c r="AT14886" s="19"/>
      <c r="AU14886" s="19"/>
    </row>
    <row r="14887" spans="3:47">
      <c r="C14887" s="20"/>
      <c r="Z14887" s="20"/>
      <c r="AG14887" s="20"/>
      <c r="AQ14887" s="19"/>
      <c r="AR14887" s="19"/>
      <c r="AS14887" s="19"/>
      <c r="AT14887" s="19"/>
      <c r="AU14887" s="19"/>
    </row>
    <row r="14888" spans="3:47">
      <c r="C14888" s="20"/>
      <c r="Z14888" s="20"/>
      <c r="AG14888" s="20"/>
      <c r="AQ14888" s="19"/>
      <c r="AR14888" s="19"/>
      <c r="AS14888" s="19"/>
      <c r="AT14888" s="19"/>
      <c r="AU14888" s="19"/>
    </row>
    <row r="14889" spans="3:47">
      <c r="C14889" s="20"/>
      <c r="Z14889" s="20"/>
      <c r="AG14889" s="20"/>
      <c r="AQ14889" s="19"/>
      <c r="AR14889" s="19"/>
      <c r="AS14889" s="19"/>
      <c r="AT14889" s="19"/>
      <c r="AU14889" s="19"/>
    </row>
    <row r="14890" spans="3:47">
      <c r="C14890" s="20"/>
      <c r="Z14890" s="20"/>
      <c r="AG14890" s="20"/>
      <c r="AQ14890" s="19"/>
      <c r="AR14890" s="19"/>
      <c r="AS14890" s="19"/>
      <c r="AT14890" s="19"/>
      <c r="AU14890" s="19"/>
    </row>
    <row r="14891" spans="3:47">
      <c r="C14891" s="20"/>
      <c r="Z14891" s="20"/>
      <c r="AG14891" s="20"/>
      <c r="AQ14891" s="19"/>
      <c r="AR14891" s="19"/>
      <c r="AS14891" s="19"/>
      <c r="AT14891" s="19"/>
      <c r="AU14891" s="19"/>
    </row>
    <row r="14892" spans="3:47">
      <c r="C14892" s="20"/>
      <c r="Z14892" s="20"/>
      <c r="AG14892" s="20"/>
      <c r="AQ14892" s="19"/>
      <c r="AR14892" s="19"/>
      <c r="AS14892" s="19"/>
      <c r="AT14892" s="19"/>
      <c r="AU14892" s="19"/>
    </row>
    <row r="14893" spans="3:47">
      <c r="C14893" s="20"/>
      <c r="Z14893" s="20"/>
      <c r="AG14893" s="20"/>
      <c r="AQ14893" s="19"/>
      <c r="AR14893" s="19"/>
      <c r="AS14893" s="19"/>
      <c r="AT14893" s="19"/>
      <c r="AU14893" s="19"/>
    </row>
    <row r="14894" spans="3:47">
      <c r="C14894" s="20"/>
      <c r="Z14894" s="20"/>
      <c r="AG14894" s="20"/>
      <c r="AQ14894" s="19"/>
      <c r="AR14894" s="19"/>
      <c r="AS14894" s="19"/>
      <c r="AT14894" s="19"/>
      <c r="AU14894" s="19"/>
    </row>
    <row r="14895" spans="3:47">
      <c r="C14895" s="20"/>
      <c r="Z14895" s="20"/>
      <c r="AG14895" s="20"/>
      <c r="AQ14895" s="19"/>
      <c r="AR14895" s="19"/>
      <c r="AS14895" s="19"/>
      <c r="AT14895" s="19"/>
      <c r="AU14895" s="19"/>
    </row>
    <row r="14896" spans="3:47">
      <c r="C14896" s="20"/>
      <c r="Z14896" s="20"/>
      <c r="AG14896" s="20"/>
      <c r="AQ14896" s="19"/>
      <c r="AR14896" s="19"/>
      <c r="AS14896" s="19"/>
      <c r="AT14896" s="19"/>
      <c r="AU14896" s="19"/>
    </row>
    <row r="14897" spans="3:47">
      <c r="C14897" s="20"/>
      <c r="Z14897" s="20"/>
      <c r="AG14897" s="20"/>
      <c r="AQ14897" s="19"/>
      <c r="AR14897" s="19"/>
      <c r="AS14897" s="19"/>
      <c r="AT14897" s="19"/>
      <c r="AU14897" s="19"/>
    </row>
    <row r="14898" spans="3:47">
      <c r="C14898" s="20"/>
      <c r="Z14898" s="20"/>
      <c r="AG14898" s="20"/>
      <c r="AQ14898" s="19"/>
      <c r="AR14898" s="19"/>
      <c r="AS14898" s="19"/>
      <c r="AT14898" s="19"/>
      <c r="AU14898" s="19"/>
    </row>
    <row r="14899" spans="3:47">
      <c r="C14899" s="20"/>
      <c r="Z14899" s="20"/>
      <c r="AG14899" s="20"/>
      <c r="AQ14899" s="19"/>
      <c r="AR14899" s="19"/>
      <c r="AS14899" s="19"/>
      <c r="AT14899" s="19"/>
      <c r="AU14899" s="19"/>
    </row>
    <row r="14900" spans="3:47">
      <c r="C14900" s="20"/>
      <c r="Z14900" s="20"/>
      <c r="AG14900" s="20"/>
      <c r="AQ14900" s="19"/>
      <c r="AR14900" s="19"/>
      <c r="AS14900" s="19"/>
      <c r="AT14900" s="19"/>
      <c r="AU14900" s="19"/>
    </row>
    <row r="14901" spans="3:47">
      <c r="C14901" s="20"/>
      <c r="Z14901" s="20"/>
      <c r="AG14901" s="20"/>
      <c r="AQ14901" s="19"/>
      <c r="AR14901" s="19"/>
      <c r="AS14901" s="19"/>
      <c r="AT14901" s="19"/>
      <c r="AU14901" s="19"/>
    </row>
    <row r="14902" spans="3:47">
      <c r="C14902" s="20"/>
      <c r="Z14902" s="20"/>
      <c r="AG14902" s="20"/>
      <c r="AQ14902" s="19"/>
      <c r="AR14902" s="19"/>
      <c r="AS14902" s="19"/>
      <c r="AT14902" s="19"/>
      <c r="AU14902" s="19"/>
    </row>
    <row r="14903" spans="3:47">
      <c r="C14903" s="20"/>
      <c r="Z14903" s="20"/>
      <c r="AG14903" s="20"/>
      <c r="AQ14903" s="19"/>
      <c r="AR14903" s="19"/>
      <c r="AS14903" s="19"/>
      <c r="AT14903" s="19"/>
      <c r="AU14903" s="19"/>
    </row>
    <row r="14904" spans="3:47">
      <c r="C14904" s="20"/>
      <c r="Z14904" s="20"/>
      <c r="AG14904" s="20"/>
      <c r="AQ14904" s="19"/>
      <c r="AR14904" s="19"/>
      <c r="AS14904" s="19"/>
      <c r="AT14904" s="19"/>
      <c r="AU14904" s="19"/>
    </row>
    <row r="14905" spans="3:47">
      <c r="C14905" s="20"/>
      <c r="Z14905" s="20"/>
      <c r="AG14905" s="20"/>
      <c r="AQ14905" s="19"/>
      <c r="AR14905" s="19"/>
      <c r="AS14905" s="19"/>
      <c r="AT14905" s="19"/>
      <c r="AU14905" s="19"/>
    </row>
    <row r="14906" spans="3:47">
      <c r="C14906" s="20"/>
      <c r="Z14906" s="20"/>
      <c r="AG14906" s="20"/>
      <c r="AQ14906" s="19"/>
      <c r="AR14906" s="19"/>
      <c r="AS14906" s="19"/>
      <c r="AT14906" s="19"/>
      <c r="AU14906" s="19"/>
    </row>
    <row r="14907" spans="3:47">
      <c r="C14907" s="20"/>
      <c r="Z14907" s="20"/>
      <c r="AG14907" s="20"/>
      <c r="AQ14907" s="19"/>
      <c r="AR14907" s="19"/>
      <c r="AS14907" s="19"/>
      <c r="AT14907" s="19"/>
      <c r="AU14907" s="19"/>
    </row>
    <row r="14908" spans="3:47">
      <c r="C14908" s="20"/>
      <c r="Z14908" s="20"/>
      <c r="AG14908" s="20"/>
      <c r="AQ14908" s="19"/>
      <c r="AR14908" s="19"/>
      <c r="AS14908" s="19"/>
      <c r="AT14908" s="19"/>
      <c r="AU14908" s="19"/>
    </row>
    <row r="14909" spans="3:47">
      <c r="C14909" s="20"/>
      <c r="Z14909" s="20"/>
      <c r="AG14909" s="20"/>
      <c r="AQ14909" s="19"/>
      <c r="AR14909" s="19"/>
      <c r="AS14909" s="19"/>
      <c r="AT14909" s="19"/>
      <c r="AU14909" s="19"/>
    </row>
    <row r="14910" spans="3:47">
      <c r="C14910" s="20"/>
      <c r="Z14910" s="20"/>
      <c r="AG14910" s="20"/>
      <c r="AQ14910" s="19"/>
      <c r="AR14910" s="19"/>
      <c r="AS14910" s="19"/>
      <c r="AT14910" s="19"/>
      <c r="AU14910" s="19"/>
    </row>
    <row r="14911" spans="3:47">
      <c r="C14911" s="20"/>
      <c r="Z14911" s="20"/>
      <c r="AG14911" s="20"/>
      <c r="AQ14911" s="19"/>
      <c r="AR14911" s="19"/>
      <c r="AS14911" s="19"/>
      <c r="AT14911" s="19"/>
      <c r="AU14911" s="19"/>
    </row>
    <row r="14912" spans="3:47">
      <c r="C14912" s="20"/>
      <c r="Z14912" s="20"/>
      <c r="AG14912" s="20"/>
      <c r="AQ14912" s="19"/>
      <c r="AR14912" s="19"/>
      <c r="AS14912" s="19"/>
      <c r="AT14912" s="19"/>
      <c r="AU14912" s="19"/>
    </row>
    <row r="14913" spans="3:47">
      <c r="C14913" s="20"/>
      <c r="Z14913" s="20"/>
      <c r="AG14913" s="20"/>
      <c r="AQ14913" s="19"/>
      <c r="AR14913" s="19"/>
      <c r="AS14913" s="19"/>
      <c r="AT14913" s="19"/>
      <c r="AU14913" s="19"/>
    </row>
    <row r="14914" spans="3:47">
      <c r="C14914" s="20"/>
      <c r="Z14914" s="20"/>
      <c r="AG14914" s="20"/>
      <c r="AQ14914" s="19"/>
      <c r="AR14914" s="19"/>
      <c r="AS14914" s="19"/>
      <c r="AT14914" s="19"/>
      <c r="AU14914" s="19"/>
    </row>
    <row r="14915" spans="3:47">
      <c r="C14915" s="20"/>
      <c r="Z14915" s="20"/>
      <c r="AG14915" s="20"/>
      <c r="AQ14915" s="19"/>
      <c r="AR14915" s="19"/>
      <c r="AS14915" s="19"/>
      <c r="AT14915" s="19"/>
      <c r="AU14915" s="19"/>
    </row>
    <row r="14916" spans="3:47">
      <c r="C14916" s="20"/>
      <c r="Z14916" s="20"/>
      <c r="AG14916" s="20"/>
      <c r="AQ14916" s="19"/>
      <c r="AR14916" s="19"/>
      <c r="AS14916" s="19"/>
      <c r="AT14916" s="19"/>
      <c r="AU14916" s="19"/>
    </row>
    <row r="14917" spans="3:47">
      <c r="C14917" s="20"/>
      <c r="Z14917" s="20"/>
      <c r="AG14917" s="20"/>
      <c r="AQ14917" s="19"/>
      <c r="AR14917" s="19"/>
      <c r="AS14917" s="19"/>
      <c r="AT14917" s="19"/>
      <c r="AU14917" s="19"/>
    </row>
    <row r="14918" spans="3:47">
      <c r="C14918" s="20"/>
      <c r="Z14918" s="20"/>
      <c r="AG14918" s="20"/>
      <c r="AQ14918" s="19"/>
      <c r="AR14918" s="19"/>
      <c r="AS14918" s="19"/>
      <c r="AT14918" s="19"/>
      <c r="AU14918" s="19"/>
    </row>
    <row r="14919" spans="3:47">
      <c r="C14919" s="20"/>
      <c r="Z14919" s="20"/>
      <c r="AG14919" s="20"/>
      <c r="AQ14919" s="19"/>
      <c r="AR14919" s="19"/>
      <c r="AS14919" s="19"/>
      <c r="AT14919" s="19"/>
      <c r="AU14919" s="19"/>
    </row>
    <row r="14920" spans="3:47">
      <c r="C14920" s="20"/>
      <c r="Z14920" s="20"/>
      <c r="AG14920" s="20"/>
      <c r="AQ14920" s="19"/>
      <c r="AR14920" s="19"/>
      <c r="AS14920" s="19"/>
      <c r="AT14920" s="19"/>
      <c r="AU14920" s="19"/>
    </row>
    <row r="14921" spans="3:47">
      <c r="C14921" s="20"/>
      <c r="Z14921" s="20"/>
      <c r="AG14921" s="20"/>
      <c r="AQ14921" s="19"/>
      <c r="AR14921" s="19"/>
      <c r="AS14921" s="19"/>
      <c r="AT14921" s="19"/>
      <c r="AU14921" s="19"/>
    </row>
    <row r="14922" spans="3:47">
      <c r="C14922" s="20"/>
      <c r="Z14922" s="20"/>
      <c r="AG14922" s="20"/>
      <c r="AQ14922" s="19"/>
      <c r="AR14922" s="19"/>
      <c r="AS14922" s="19"/>
      <c r="AT14922" s="19"/>
      <c r="AU14922" s="19"/>
    </row>
    <row r="14923" spans="3:47">
      <c r="C14923" s="20"/>
      <c r="Z14923" s="20"/>
      <c r="AG14923" s="20"/>
      <c r="AQ14923" s="19"/>
      <c r="AR14923" s="19"/>
      <c r="AS14923" s="19"/>
      <c r="AT14923" s="19"/>
      <c r="AU14923" s="19"/>
    </row>
    <row r="14924" spans="3:47">
      <c r="C14924" s="20"/>
      <c r="Z14924" s="20"/>
      <c r="AG14924" s="20"/>
      <c r="AQ14924" s="19"/>
      <c r="AR14924" s="19"/>
      <c r="AS14924" s="19"/>
      <c r="AT14924" s="19"/>
      <c r="AU14924" s="19"/>
    </row>
    <row r="14925" spans="3:47">
      <c r="C14925" s="20"/>
      <c r="Z14925" s="20"/>
      <c r="AG14925" s="20"/>
      <c r="AQ14925" s="19"/>
      <c r="AR14925" s="19"/>
      <c r="AS14925" s="19"/>
      <c r="AT14925" s="19"/>
      <c r="AU14925" s="19"/>
    </row>
    <row r="14926" spans="3:47">
      <c r="C14926" s="20"/>
      <c r="Z14926" s="20"/>
      <c r="AG14926" s="20"/>
      <c r="AQ14926" s="19"/>
      <c r="AR14926" s="19"/>
      <c r="AS14926" s="19"/>
      <c r="AT14926" s="19"/>
      <c r="AU14926" s="19"/>
    </row>
    <row r="14927" spans="3:47">
      <c r="C14927" s="20"/>
      <c r="Z14927" s="20"/>
      <c r="AG14927" s="20"/>
      <c r="AQ14927" s="19"/>
      <c r="AR14927" s="19"/>
      <c r="AS14927" s="19"/>
      <c r="AT14927" s="19"/>
      <c r="AU14927" s="19"/>
    </row>
    <row r="14928" spans="3:47">
      <c r="C14928" s="20"/>
      <c r="Z14928" s="20"/>
      <c r="AG14928" s="20"/>
      <c r="AQ14928" s="19"/>
      <c r="AR14928" s="19"/>
      <c r="AS14928" s="19"/>
      <c r="AT14928" s="19"/>
      <c r="AU14928" s="19"/>
    </row>
    <row r="14929" spans="3:47">
      <c r="C14929" s="20"/>
      <c r="Z14929" s="20"/>
      <c r="AG14929" s="20"/>
      <c r="AQ14929" s="19"/>
      <c r="AR14929" s="19"/>
      <c r="AS14929" s="19"/>
      <c r="AT14929" s="19"/>
      <c r="AU14929" s="19"/>
    </row>
    <row r="14930" spans="3:47">
      <c r="C14930" s="20"/>
      <c r="Z14930" s="20"/>
      <c r="AG14930" s="20"/>
      <c r="AQ14930" s="19"/>
      <c r="AR14930" s="19"/>
      <c r="AS14930" s="19"/>
      <c r="AT14930" s="19"/>
      <c r="AU14930" s="19"/>
    </row>
    <row r="14931" spans="3:47">
      <c r="C14931" s="20"/>
      <c r="Z14931" s="20"/>
      <c r="AG14931" s="20"/>
      <c r="AQ14931" s="19"/>
      <c r="AR14931" s="19"/>
      <c r="AS14931" s="19"/>
      <c r="AT14931" s="19"/>
      <c r="AU14931" s="19"/>
    </row>
    <row r="14932" spans="3:47">
      <c r="C14932" s="20"/>
      <c r="Z14932" s="20"/>
      <c r="AG14932" s="20"/>
      <c r="AQ14932" s="19"/>
      <c r="AR14932" s="19"/>
      <c r="AS14932" s="19"/>
      <c r="AT14932" s="19"/>
      <c r="AU14932" s="19"/>
    </row>
    <row r="14933" spans="3:47">
      <c r="C14933" s="20"/>
      <c r="Z14933" s="20"/>
      <c r="AG14933" s="20"/>
      <c r="AQ14933" s="19"/>
      <c r="AR14933" s="19"/>
      <c r="AS14933" s="19"/>
      <c r="AT14933" s="19"/>
      <c r="AU14933" s="19"/>
    </row>
    <row r="14934" spans="3:47">
      <c r="C14934" s="20"/>
      <c r="Z14934" s="20"/>
      <c r="AG14934" s="20"/>
      <c r="AQ14934" s="19"/>
      <c r="AR14934" s="19"/>
      <c r="AS14934" s="19"/>
      <c r="AT14934" s="19"/>
      <c r="AU14934" s="19"/>
    </row>
    <row r="14935" spans="3:47">
      <c r="C14935" s="20"/>
      <c r="Z14935" s="20"/>
      <c r="AG14935" s="20"/>
      <c r="AQ14935" s="19"/>
      <c r="AR14935" s="19"/>
      <c r="AS14935" s="19"/>
      <c r="AT14935" s="19"/>
      <c r="AU14935" s="19"/>
    </row>
    <row r="14936" spans="3:47">
      <c r="C14936" s="20"/>
      <c r="Z14936" s="20"/>
      <c r="AG14936" s="20"/>
      <c r="AQ14936" s="19"/>
      <c r="AR14936" s="19"/>
      <c r="AS14936" s="19"/>
      <c r="AT14936" s="19"/>
      <c r="AU14936" s="19"/>
    </row>
    <row r="14937" spans="3:47">
      <c r="C14937" s="20"/>
      <c r="Z14937" s="20"/>
      <c r="AG14937" s="20"/>
      <c r="AQ14937" s="19"/>
      <c r="AR14937" s="19"/>
      <c r="AS14937" s="19"/>
      <c r="AT14937" s="19"/>
      <c r="AU14937" s="19"/>
    </row>
    <row r="14938" spans="3:47">
      <c r="C14938" s="20"/>
      <c r="Z14938" s="20"/>
      <c r="AG14938" s="20"/>
      <c r="AQ14938" s="19"/>
      <c r="AR14938" s="19"/>
      <c r="AS14938" s="19"/>
      <c r="AT14938" s="19"/>
      <c r="AU14938" s="19"/>
    </row>
    <row r="14939" spans="3:47">
      <c r="C14939" s="20"/>
      <c r="Z14939" s="20"/>
      <c r="AG14939" s="20"/>
      <c r="AQ14939" s="19"/>
      <c r="AR14939" s="19"/>
      <c r="AS14939" s="19"/>
      <c r="AT14939" s="19"/>
      <c r="AU14939" s="19"/>
    </row>
    <row r="14940" spans="3:47">
      <c r="C14940" s="20"/>
      <c r="Z14940" s="20"/>
      <c r="AG14940" s="20"/>
      <c r="AQ14940" s="19"/>
      <c r="AR14940" s="19"/>
      <c r="AS14940" s="19"/>
      <c r="AT14940" s="19"/>
      <c r="AU14940" s="19"/>
    </row>
    <row r="14941" spans="3:47">
      <c r="C14941" s="20"/>
      <c r="Z14941" s="20"/>
      <c r="AG14941" s="20"/>
      <c r="AQ14941" s="19"/>
      <c r="AR14941" s="19"/>
      <c r="AS14941" s="19"/>
      <c r="AT14941" s="19"/>
      <c r="AU14941" s="19"/>
    </row>
    <row r="14942" spans="3:47">
      <c r="C14942" s="20"/>
      <c r="Z14942" s="20"/>
      <c r="AG14942" s="20"/>
      <c r="AQ14942" s="19"/>
      <c r="AR14942" s="19"/>
      <c r="AS14942" s="19"/>
      <c r="AT14942" s="19"/>
      <c r="AU14942" s="19"/>
    </row>
    <row r="14943" spans="3:47">
      <c r="C14943" s="20"/>
      <c r="Z14943" s="20"/>
      <c r="AG14943" s="20"/>
      <c r="AQ14943" s="19"/>
      <c r="AR14943" s="19"/>
      <c r="AS14943" s="19"/>
      <c r="AT14943" s="19"/>
      <c r="AU14943" s="19"/>
    </row>
    <row r="14944" spans="3:47">
      <c r="C14944" s="20"/>
      <c r="Z14944" s="20"/>
      <c r="AG14944" s="20"/>
      <c r="AQ14944" s="19"/>
      <c r="AR14944" s="19"/>
      <c r="AS14944" s="19"/>
      <c r="AT14944" s="19"/>
      <c r="AU14944" s="19"/>
    </row>
    <row r="14945" spans="3:47">
      <c r="C14945" s="20"/>
      <c r="Z14945" s="20"/>
      <c r="AG14945" s="20"/>
      <c r="AQ14945" s="19"/>
      <c r="AR14945" s="19"/>
      <c r="AS14945" s="19"/>
      <c r="AT14945" s="19"/>
      <c r="AU14945" s="19"/>
    </row>
    <row r="14946" spans="3:47">
      <c r="C14946" s="20"/>
      <c r="Z14946" s="20"/>
      <c r="AG14946" s="20"/>
      <c r="AQ14946" s="19"/>
      <c r="AR14946" s="19"/>
      <c r="AS14946" s="19"/>
      <c r="AT14946" s="19"/>
      <c r="AU14946" s="19"/>
    </row>
    <row r="14947" spans="3:47">
      <c r="C14947" s="20"/>
      <c r="Z14947" s="20"/>
      <c r="AG14947" s="20"/>
      <c r="AQ14947" s="19"/>
      <c r="AR14947" s="19"/>
      <c r="AS14947" s="19"/>
      <c r="AT14947" s="19"/>
      <c r="AU14947" s="19"/>
    </row>
    <row r="14948" spans="3:47">
      <c r="C14948" s="20"/>
      <c r="Z14948" s="20"/>
      <c r="AG14948" s="20"/>
      <c r="AQ14948" s="19"/>
      <c r="AR14948" s="19"/>
      <c r="AS14948" s="19"/>
      <c r="AT14948" s="19"/>
      <c r="AU14948" s="19"/>
    </row>
    <row r="14949" spans="3:47">
      <c r="C14949" s="20"/>
      <c r="Z14949" s="20"/>
      <c r="AG14949" s="20"/>
      <c r="AQ14949" s="19"/>
      <c r="AR14949" s="19"/>
      <c r="AS14949" s="19"/>
      <c r="AT14949" s="19"/>
      <c r="AU14949" s="19"/>
    </row>
    <row r="14950" spans="3:47">
      <c r="C14950" s="20"/>
      <c r="Z14950" s="20"/>
      <c r="AG14950" s="20"/>
      <c r="AQ14950" s="19"/>
      <c r="AR14950" s="19"/>
      <c r="AS14950" s="19"/>
      <c r="AT14950" s="19"/>
      <c r="AU14950" s="19"/>
    </row>
    <row r="14951" spans="3:47">
      <c r="C14951" s="20"/>
      <c r="Z14951" s="20"/>
      <c r="AG14951" s="20"/>
      <c r="AQ14951" s="19"/>
      <c r="AR14951" s="19"/>
      <c r="AS14951" s="19"/>
      <c r="AT14951" s="19"/>
      <c r="AU14951" s="19"/>
    </row>
    <row r="14952" spans="3:47">
      <c r="C14952" s="20"/>
      <c r="Z14952" s="20"/>
      <c r="AG14952" s="20"/>
      <c r="AQ14952" s="19"/>
      <c r="AR14952" s="19"/>
      <c r="AS14952" s="19"/>
      <c r="AT14952" s="19"/>
      <c r="AU14952" s="19"/>
    </row>
    <row r="14953" spans="3:47">
      <c r="C14953" s="20"/>
      <c r="Z14953" s="20"/>
      <c r="AG14953" s="20"/>
      <c r="AQ14953" s="19"/>
      <c r="AR14953" s="19"/>
      <c r="AS14953" s="19"/>
      <c r="AT14953" s="19"/>
      <c r="AU14953" s="19"/>
    </row>
    <row r="14954" spans="3:47">
      <c r="C14954" s="20"/>
      <c r="Z14954" s="20"/>
      <c r="AG14954" s="20"/>
      <c r="AQ14954" s="19"/>
      <c r="AR14954" s="19"/>
      <c r="AS14954" s="19"/>
      <c r="AT14954" s="19"/>
      <c r="AU14954" s="19"/>
    </row>
    <row r="14955" spans="3:47">
      <c r="C14955" s="20"/>
      <c r="Z14955" s="20"/>
      <c r="AG14955" s="20"/>
      <c r="AQ14955" s="19"/>
      <c r="AR14955" s="19"/>
      <c r="AS14955" s="19"/>
      <c r="AT14955" s="19"/>
      <c r="AU14955" s="19"/>
    </row>
    <row r="14956" spans="3:47">
      <c r="C14956" s="20"/>
      <c r="Z14956" s="20"/>
      <c r="AG14956" s="20"/>
      <c r="AQ14956" s="19"/>
      <c r="AR14956" s="19"/>
      <c r="AS14956" s="19"/>
      <c r="AT14956" s="19"/>
      <c r="AU14956" s="19"/>
    </row>
    <row r="14957" spans="3:47">
      <c r="C14957" s="20"/>
      <c r="Z14957" s="20"/>
      <c r="AG14957" s="20"/>
      <c r="AQ14957" s="19"/>
      <c r="AR14957" s="19"/>
      <c r="AS14957" s="19"/>
      <c r="AT14957" s="19"/>
      <c r="AU14957" s="19"/>
    </row>
    <row r="14958" spans="3:47">
      <c r="C14958" s="20"/>
      <c r="Z14958" s="20"/>
      <c r="AG14958" s="20"/>
      <c r="AQ14958" s="19"/>
      <c r="AR14958" s="19"/>
      <c r="AS14958" s="19"/>
      <c r="AT14958" s="19"/>
      <c r="AU14958" s="19"/>
    </row>
    <row r="14959" spans="3:47">
      <c r="C14959" s="20"/>
      <c r="Z14959" s="20"/>
      <c r="AG14959" s="20"/>
      <c r="AQ14959" s="19"/>
      <c r="AR14959" s="19"/>
      <c r="AS14959" s="19"/>
      <c r="AT14959" s="19"/>
      <c r="AU14959" s="19"/>
    </row>
    <row r="14960" spans="3:47">
      <c r="C14960" s="20"/>
      <c r="Z14960" s="20"/>
      <c r="AG14960" s="20"/>
      <c r="AQ14960" s="19"/>
      <c r="AR14960" s="19"/>
      <c r="AS14960" s="19"/>
      <c r="AT14960" s="19"/>
      <c r="AU14960" s="19"/>
    </row>
    <row r="14961" spans="3:47">
      <c r="C14961" s="20"/>
      <c r="Z14961" s="20"/>
      <c r="AG14961" s="20"/>
      <c r="AQ14961" s="19"/>
      <c r="AR14961" s="19"/>
      <c r="AS14961" s="19"/>
      <c r="AT14961" s="19"/>
      <c r="AU14961" s="19"/>
    </row>
    <row r="14962" spans="3:47">
      <c r="C14962" s="20"/>
      <c r="Z14962" s="20"/>
      <c r="AG14962" s="20"/>
      <c r="AQ14962" s="19"/>
      <c r="AR14962" s="19"/>
      <c r="AS14962" s="19"/>
      <c r="AT14962" s="19"/>
      <c r="AU14962" s="19"/>
    </row>
    <row r="14963" spans="3:47">
      <c r="C14963" s="20"/>
      <c r="Z14963" s="20"/>
      <c r="AG14963" s="20"/>
      <c r="AQ14963" s="19"/>
      <c r="AR14963" s="19"/>
      <c r="AS14963" s="19"/>
      <c r="AT14963" s="19"/>
      <c r="AU14963" s="19"/>
    </row>
    <row r="14964" spans="3:47">
      <c r="C14964" s="20"/>
      <c r="Z14964" s="20"/>
      <c r="AG14964" s="20"/>
      <c r="AQ14964" s="19"/>
      <c r="AR14964" s="19"/>
      <c r="AS14964" s="19"/>
      <c r="AT14964" s="19"/>
      <c r="AU14964" s="19"/>
    </row>
    <row r="14965" spans="3:47">
      <c r="C14965" s="20"/>
      <c r="Z14965" s="20"/>
      <c r="AG14965" s="20"/>
      <c r="AQ14965" s="19"/>
      <c r="AR14965" s="19"/>
      <c r="AS14965" s="19"/>
      <c r="AT14965" s="19"/>
      <c r="AU14965" s="19"/>
    </row>
    <row r="14966" spans="3:47">
      <c r="C14966" s="20"/>
      <c r="Z14966" s="20"/>
      <c r="AG14966" s="20"/>
      <c r="AQ14966" s="19"/>
      <c r="AR14966" s="19"/>
      <c r="AS14966" s="19"/>
      <c r="AT14966" s="19"/>
      <c r="AU14966" s="19"/>
    </row>
    <row r="14967" spans="3:47">
      <c r="C14967" s="20"/>
      <c r="Z14967" s="20"/>
      <c r="AG14967" s="20"/>
      <c r="AQ14967" s="19"/>
      <c r="AR14967" s="19"/>
      <c r="AS14967" s="19"/>
      <c r="AT14967" s="19"/>
      <c r="AU14967" s="19"/>
    </row>
    <row r="14968" spans="3:47">
      <c r="C14968" s="20"/>
      <c r="Z14968" s="20"/>
      <c r="AG14968" s="20"/>
      <c r="AQ14968" s="19"/>
      <c r="AR14968" s="19"/>
      <c r="AS14968" s="19"/>
      <c r="AT14968" s="19"/>
      <c r="AU14968" s="19"/>
    </row>
    <row r="14969" spans="3:47">
      <c r="C14969" s="20"/>
      <c r="Z14969" s="20"/>
      <c r="AG14969" s="20"/>
      <c r="AQ14969" s="19"/>
      <c r="AR14969" s="19"/>
      <c r="AS14969" s="19"/>
      <c r="AT14969" s="19"/>
      <c r="AU14969" s="19"/>
    </row>
    <row r="14970" spans="3:47">
      <c r="C14970" s="20"/>
      <c r="Z14970" s="20"/>
      <c r="AG14970" s="20"/>
      <c r="AQ14970" s="19"/>
      <c r="AR14970" s="19"/>
      <c r="AS14970" s="19"/>
      <c r="AT14970" s="19"/>
      <c r="AU14970" s="19"/>
    </row>
    <row r="14971" spans="3:47">
      <c r="C14971" s="20"/>
      <c r="Z14971" s="20"/>
      <c r="AG14971" s="20"/>
      <c r="AQ14971" s="19"/>
      <c r="AR14971" s="19"/>
      <c r="AS14971" s="19"/>
      <c r="AT14971" s="19"/>
      <c r="AU14971" s="19"/>
    </row>
    <row r="14972" spans="3:47">
      <c r="C14972" s="20"/>
      <c r="Z14972" s="20"/>
      <c r="AG14972" s="20"/>
      <c r="AQ14972" s="19"/>
      <c r="AR14972" s="19"/>
      <c r="AS14972" s="19"/>
      <c r="AT14972" s="19"/>
      <c r="AU14972" s="19"/>
    </row>
    <row r="14973" spans="3:47">
      <c r="C14973" s="20"/>
      <c r="Z14973" s="20"/>
      <c r="AG14973" s="20"/>
      <c r="AQ14973" s="19"/>
      <c r="AR14973" s="19"/>
      <c r="AS14973" s="19"/>
      <c r="AT14973" s="19"/>
      <c r="AU14973" s="19"/>
    </row>
    <row r="14974" spans="3:47">
      <c r="C14974" s="20"/>
      <c r="Z14974" s="20"/>
      <c r="AG14974" s="20"/>
      <c r="AQ14974" s="19"/>
      <c r="AR14974" s="19"/>
      <c r="AS14974" s="19"/>
      <c r="AT14974" s="19"/>
      <c r="AU14974" s="19"/>
    </row>
    <row r="14975" spans="3:47">
      <c r="C14975" s="20"/>
      <c r="Z14975" s="20"/>
      <c r="AG14975" s="20"/>
      <c r="AQ14975" s="19"/>
      <c r="AR14975" s="19"/>
      <c r="AS14975" s="19"/>
      <c r="AT14975" s="19"/>
      <c r="AU14975" s="19"/>
    </row>
    <row r="14976" spans="3:47">
      <c r="C14976" s="20"/>
      <c r="Z14976" s="20"/>
      <c r="AG14976" s="20"/>
      <c r="AQ14976" s="19"/>
      <c r="AR14976" s="19"/>
      <c r="AS14976" s="19"/>
      <c r="AT14976" s="19"/>
      <c r="AU14976" s="19"/>
    </row>
    <row r="14977" spans="3:47">
      <c r="C14977" s="20"/>
      <c r="Z14977" s="20"/>
      <c r="AG14977" s="20"/>
      <c r="AQ14977" s="19"/>
      <c r="AR14977" s="19"/>
      <c r="AS14977" s="19"/>
      <c r="AT14977" s="19"/>
      <c r="AU14977" s="19"/>
    </row>
    <row r="14978" spans="3:47">
      <c r="C14978" s="20"/>
      <c r="Z14978" s="20"/>
      <c r="AG14978" s="20"/>
      <c r="AQ14978" s="19"/>
      <c r="AR14978" s="19"/>
      <c r="AS14978" s="19"/>
      <c r="AT14978" s="19"/>
      <c r="AU14978" s="19"/>
    </row>
    <row r="14979" spans="3:47">
      <c r="C14979" s="20"/>
      <c r="Z14979" s="20"/>
      <c r="AG14979" s="20"/>
      <c r="AQ14979" s="19"/>
      <c r="AR14979" s="19"/>
      <c r="AS14979" s="19"/>
      <c r="AT14979" s="19"/>
      <c r="AU14979" s="19"/>
    </row>
    <row r="14980" spans="3:47">
      <c r="C14980" s="20"/>
      <c r="Z14980" s="20"/>
      <c r="AG14980" s="20"/>
      <c r="AQ14980" s="19"/>
      <c r="AR14980" s="19"/>
      <c r="AS14980" s="19"/>
      <c r="AT14980" s="19"/>
      <c r="AU14980" s="19"/>
    </row>
    <row r="14981" spans="3:47">
      <c r="C14981" s="20"/>
      <c r="Z14981" s="20"/>
      <c r="AG14981" s="20"/>
      <c r="AQ14981" s="19"/>
      <c r="AR14981" s="19"/>
      <c r="AS14981" s="19"/>
      <c r="AT14981" s="19"/>
      <c r="AU14981" s="19"/>
    </row>
    <row r="14982" spans="3:47">
      <c r="C14982" s="20"/>
      <c r="Z14982" s="20"/>
      <c r="AG14982" s="20"/>
      <c r="AQ14982" s="19"/>
      <c r="AR14982" s="19"/>
      <c r="AS14982" s="19"/>
      <c r="AT14982" s="19"/>
      <c r="AU14982" s="19"/>
    </row>
    <row r="14983" spans="3:47">
      <c r="C14983" s="20"/>
      <c r="Z14983" s="20"/>
      <c r="AG14983" s="20"/>
      <c r="AQ14983" s="19"/>
      <c r="AR14983" s="19"/>
      <c r="AS14983" s="19"/>
      <c r="AT14983" s="19"/>
      <c r="AU14983" s="19"/>
    </row>
    <row r="14984" spans="3:47">
      <c r="C14984" s="20"/>
      <c r="Z14984" s="20"/>
      <c r="AG14984" s="20"/>
      <c r="AQ14984" s="19"/>
      <c r="AR14984" s="19"/>
      <c r="AS14984" s="19"/>
      <c r="AT14984" s="19"/>
      <c r="AU14984" s="19"/>
    </row>
    <row r="14985" spans="3:47">
      <c r="C14985" s="20"/>
      <c r="Z14985" s="20"/>
      <c r="AG14985" s="20"/>
      <c r="AQ14985" s="19"/>
      <c r="AR14985" s="19"/>
      <c r="AS14985" s="19"/>
      <c r="AT14985" s="19"/>
      <c r="AU14985" s="19"/>
    </row>
    <row r="14986" spans="3:47">
      <c r="C14986" s="20"/>
      <c r="Z14986" s="20"/>
      <c r="AG14986" s="20"/>
      <c r="AQ14986" s="19"/>
      <c r="AR14986" s="19"/>
      <c r="AS14986" s="19"/>
      <c r="AT14986" s="19"/>
      <c r="AU14986" s="19"/>
    </row>
    <row r="14987" spans="3:47">
      <c r="C14987" s="20"/>
      <c r="Z14987" s="20"/>
      <c r="AG14987" s="20"/>
      <c r="AQ14987" s="19"/>
      <c r="AR14987" s="19"/>
      <c r="AS14987" s="19"/>
      <c r="AT14987" s="19"/>
      <c r="AU14987" s="19"/>
    </row>
    <row r="14988" spans="3:47">
      <c r="C14988" s="20"/>
      <c r="Z14988" s="20"/>
      <c r="AG14988" s="20"/>
      <c r="AQ14988" s="19"/>
      <c r="AR14988" s="19"/>
      <c r="AS14988" s="19"/>
      <c r="AT14988" s="19"/>
      <c r="AU14988" s="19"/>
    </row>
    <row r="14989" spans="3:47">
      <c r="C14989" s="20"/>
      <c r="Z14989" s="20"/>
      <c r="AG14989" s="20"/>
      <c r="AQ14989" s="19"/>
      <c r="AR14989" s="19"/>
      <c r="AS14989" s="19"/>
      <c r="AT14989" s="19"/>
      <c r="AU14989" s="19"/>
    </row>
    <row r="14990" spans="3:47">
      <c r="C14990" s="20"/>
      <c r="Z14990" s="20"/>
      <c r="AG14990" s="20"/>
      <c r="AQ14990" s="19"/>
      <c r="AR14990" s="19"/>
      <c r="AS14990" s="19"/>
      <c r="AT14990" s="19"/>
      <c r="AU14990" s="19"/>
    </row>
    <row r="14991" spans="3:47">
      <c r="C14991" s="20"/>
      <c r="Z14991" s="20"/>
      <c r="AG14991" s="20"/>
      <c r="AQ14991" s="19"/>
      <c r="AR14991" s="19"/>
      <c r="AS14991" s="19"/>
      <c r="AT14991" s="19"/>
      <c r="AU14991" s="19"/>
    </row>
    <row r="14992" spans="3:47">
      <c r="C14992" s="20"/>
      <c r="Z14992" s="20"/>
      <c r="AG14992" s="20"/>
      <c r="AQ14992" s="19"/>
      <c r="AR14992" s="19"/>
      <c r="AS14992" s="19"/>
      <c r="AT14992" s="19"/>
      <c r="AU14992" s="19"/>
    </row>
    <row r="14993" spans="3:47">
      <c r="C14993" s="20"/>
      <c r="Z14993" s="20"/>
      <c r="AG14993" s="20"/>
      <c r="AQ14993" s="19"/>
      <c r="AR14993" s="19"/>
      <c r="AS14993" s="19"/>
      <c r="AT14993" s="19"/>
      <c r="AU14993" s="19"/>
    </row>
    <row r="14994" spans="3:47">
      <c r="C14994" s="20"/>
      <c r="Z14994" s="20"/>
      <c r="AG14994" s="20"/>
      <c r="AQ14994" s="19"/>
      <c r="AR14994" s="19"/>
      <c r="AS14994" s="19"/>
      <c r="AT14994" s="19"/>
      <c r="AU14994" s="19"/>
    </row>
    <row r="14995" spans="3:47">
      <c r="C14995" s="20"/>
      <c r="Z14995" s="20"/>
      <c r="AG14995" s="20"/>
      <c r="AQ14995" s="19"/>
      <c r="AR14995" s="19"/>
      <c r="AS14995" s="19"/>
      <c r="AT14995" s="19"/>
      <c r="AU14995" s="19"/>
    </row>
    <row r="14996" spans="3:47">
      <c r="C14996" s="20"/>
      <c r="Z14996" s="20"/>
      <c r="AG14996" s="20"/>
      <c r="AQ14996" s="19"/>
      <c r="AR14996" s="19"/>
      <c r="AS14996" s="19"/>
      <c r="AT14996" s="19"/>
      <c r="AU14996" s="19"/>
    </row>
    <row r="14997" spans="3:47">
      <c r="C14997" s="20"/>
      <c r="Z14997" s="20"/>
      <c r="AG14997" s="20"/>
      <c r="AQ14997" s="19"/>
      <c r="AR14997" s="19"/>
      <c r="AS14997" s="19"/>
      <c r="AT14997" s="19"/>
      <c r="AU14997" s="19"/>
    </row>
    <row r="14998" spans="3:47">
      <c r="C14998" s="20"/>
      <c r="Z14998" s="20"/>
      <c r="AG14998" s="20"/>
      <c r="AQ14998" s="19"/>
      <c r="AR14998" s="19"/>
      <c r="AS14998" s="19"/>
      <c r="AT14998" s="19"/>
      <c r="AU14998" s="19"/>
    </row>
    <row r="14999" spans="3:47">
      <c r="C14999" s="20"/>
      <c r="Z14999" s="20"/>
      <c r="AG14999" s="20"/>
      <c r="AQ14999" s="19"/>
      <c r="AR14999" s="19"/>
      <c r="AS14999" s="19"/>
      <c r="AT14999" s="19"/>
      <c r="AU14999" s="19"/>
    </row>
    <row r="15000" spans="3:47">
      <c r="C15000" s="20"/>
      <c r="Z15000" s="20"/>
      <c r="AG15000" s="20"/>
      <c r="AQ15000" s="19"/>
      <c r="AR15000" s="19"/>
      <c r="AS15000" s="19"/>
      <c r="AT15000" s="19"/>
      <c r="AU15000" s="19"/>
    </row>
    <row r="15001" spans="3:47">
      <c r="C15001" s="20"/>
      <c r="Z15001" s="20"/>
      <c r="AG15001" s="20"/>
      <c r="AQ15001" s="19"/>
      <c r="AR15001" s="19"/>
      <c r="AS15001" s="19"/>
      <c r="AT15001" s="19"/>
      <c r="AU15001" s="19"/>
    </row>
    <row r="15002" spans="3:47">
      <c r="C15002" s="20"/>
      <c r="Z15002" s="20"/>
      <c r="AG15002" s="20"/>
      <c r="AQ15002" s="19"/>
      <c r="AR15002" s="19"/>
      <c r="AS15002" s="19"/>
      <c r="AT15002" s="19"/>
      <c r="AU15002" s="19"/>
    </row>
    <row r="15003" spans="3:47">
      <c r="C15003" s="20"/>
      <c r="Z15003" s="20"/>
      <c r="AG15003" s="20"/>
      <c r="AQ15003" s="19"/>
      <c r="AR15003" s="19"/>
      <c r="AS15003" s="19"/>
      <c r="AT15003" s="19"/>
      <c r="AU15003" s="19"/>
    </row>
    <row r="15004" spans="3:47">
      <c r="C15004" s="20"/>
      <c r="Z15004" s="20"/>
      <c r="AG15004" s="20"/>
      <c r="AQ15004" s="19"/>
      <c r="AR15004" s="19"/>
      <c r="AS15004" s="19"/>
      <c r="AT15004" s="19"/>
      <c r="AU15004" s="19"/>
    </row>
    <row r="15005" spans="3:47">
      <c r="C15005" s="20"/>
      <c r="Z15005" s="20"/>
      <c r="AG15005" s="20"/>
      <c r="AQ15005" s="19"/>
      <c r="AR15005" s="19"/>
      <c r="AS15005" s="19"/>
      <c r="AT15005" s="19"/>
      <c r="AU15005" s="19"/>
    </row>
    <row r="15006" spans="3:47">
      <c r="C15006" s="20"/>
      <c r="Z15006" s="20"/>
      <c r="AG15006" s="20"/>
      <c r="AQ15006" s="19"/>
      <c r="AR15006" s="19"/>
      <c r="AS15006" s="19"/>
      <c r="AT15006" s="19"/>
      <c r="AU15006" s="19"/>
    </row>
    <row r="15007" spans="3:47">
      <c r="C15007" s="20"/>
      <c r="Z15007" s="20"/>
      <c r="AG15007" s="20"/>
      <c r="AQ15007" s="19"/>
      <c r="AR15007" s="19"/>
      <c r="AS15007" s="19"/>
      <c r="AT15007" s="19"/>
      <c r="AU15007" s="19"/>
    </row>
    <row r="15008" spans="3:47">
      <c r="C15008" s="20"/>
      <c r="Z15008" s="20"/>
      <c r="AG15008" s="20"/>
      <c r="AQ15008" s="19"/>
      <c r="AR15008" s="19"/>
      <c r="AS15008" s="19"/>
      <c r="AT15008" s="19"/>
      <c r="AU15008" s="19"/>
    </row>
    <row r="15009" spans="3:47">
      <c r="C15009" s="20"/>
      <c r="Z15009" s="20"/>
      <c r="AG15009" s="20"/>
      <c r="AQ15009" s="19"/>
      <c r="AR15009" s="19"/>
      <c r="AS15009" s="19"/>
      <c r="AT15009" s="19"/>
      <c r="AU15009" s="19"/>
    </row>
    <row r="15010" spans="3:47">
      <c r="C15010" s="20"/>
      <c r="Z15010" s="20"/>
      <c r="AG15010" s="20"/>
      <c r="AQ15010" s="19"/>
      <c r="AR15010" s="19"/>
      <c r="AS15010" s="19"/>
      <c r="AT15010" s="19"/>
      <c r="AU15010" s="19"/>
    </row>
    <row r="15011" spans="3:47">
      <c r="C15011" s="20"/>
      <c r="Z15011" s="20"/>
      <c r="AG15011" s="20"/>
      <c r="AQ15011" s="19"/>
      <c r="AR15011" s="19"/>
      <c r="AS15011" s="19"/>
      <c r="AT15011" s="19"/>
      <c r="AU15011" s="19"/>
    </row>
    <row r="15012" spans="3:47">
      <c r="C15012" s="20"/>
      <c r="Z15012" s="20"/>
      <c r="AG15012" s="20"/>
      <c r="AQ15012" s="19"/>
      <c r="AR15012" s="19"/>
      <c r="AS15012" s="19"/>
      <c r="AT15012" s="19"/>
      <c r="AU15012" s="19"/>
    </row>
    <row r="15013" spans="3:47">
      <c r="C15013" s="20"/>
      <c r="Z15013" s="20"/>
      <c r="AG15013" s="20"/>
      <c r="AQ15013" s="19"/>
      <c r="AR15013" s="19"/>
      <c r="AS15013" s="19"/>
      <c r="AT15013" s="19"/>
      <c r="AU15013" s="19"/>
    </row>
    <row r="15014" spans="3:47">
      <c r="C15014" s="20"/>
      <c r="Z15014" s="20"/>
      <c r="AG15014" s="20"/>
      <c r="AQ15014" s="19"/>
      <c r="AR15014" s="19"/>
      <c r="AS15014" s="19"/>
      <c r="AT15014" s="19"/>
      <c r="AU15014" s="19"/>
    </row>
    <row r="15015" spans="3:47">
      <c r="C15015" s="20"/>
      <c r="Z15015" s="20"/>
      <c r="AG15015" s="20"/>
      <c r="AQ15015" s="19"/>
      <c r="AR15015" s="19"/>
      <c r="AS15015" s="19"/>
      <c r="AT15015" s="19"/>
      <c r="AU15015" s="19"/>
    </row>
    <row r="15016" spans="3:47">
      <c r="C15016" s="20"/>
      <c r="Z15016" s="20"/>
      <c r="AG15016" s="20"/>
      <c r="AQ15016" s="19"/>
      <c r="AR15016" s="19"/>
      <c r="AS15016" s="19"/>
      <c r="AT15016" s="19"/>
      <c r="AU15016" s="19"/>
    </row>
    <row r="15017" spans="3:47">
      <c r="C15017" s="20"/>
      <c r="Z15017" s="20"/>
      <c r="AG15017" s="20"/>
      <c r="AQ15017" s="19"/>
      <c r="AR15017" s="19"/>
      <c r="AS15017" s="19"/>
      <c r="AT15017" s="19"/>
      <c r="AU15017" s="19"/>
    </row>
    <row r="15018" spans="3:47">
      <c r="C15018" s="20"/>
      <c r="Z15018" s="20"/>
      <c r="AG15018" s="20"/>
      <c r="AQ15018" s="19"/>
      <c r="AR15018" s="19"/>
      <c r="AS15018" s="19"/>
      <c r="AT15018" s="19"/>
      <c r="AU15018" s="19"/>
    </row>
    <row r="15019" spans="3:47">
      <c r="C15019" s="20"/>
      <c r="Z15019" s="20"/>
      <c r="AG15019" s="20"/>
      <c r="AQ15019" s="19"/>
      <c r="AR15019" s="19"/>
      <c r="AS15019" s="19"/>
      <c r="AT15019" s="19"/>
      <c r="AU15019" s="19"/>
    </row>
    <row r="15020" spans="3:47">
      <c r="C15020" s="20"/>
      <c r="Z15020" s="20"/>
      <c r="AG15020" s="20"/>
      <c r="AQ15020" s="19"/>
      <c r="AR15020" s="19"/>
      <c r="AS15020" s="19"/>
      <c r="AT15020" s="19"/>
      <c r="AU15020" s="19"/>
    </row>
    <row r="15021" spans="3:47">
      <c r="C15021" s="20"/>
      <c r="Z15021" s="20"/>
      <c r="AG15021" s="20"/>
      <c r="AQ15021" s="19"/>
      <c r="AR15021" s="19"/>
      <c r="AS15021" s="19"/>
      <c r="AT15021" s="19"/>
      <c r="AU15021" s="19"/>
    </row>
    <row r="15022" spans="3:47">
      <c r="C15022" s="20"/>
      <c r="Z15022" s="20"/>
      <c r="AG15022" s="20"/>
      <c r="AQ15022" s="19"/>
      <c r="AR15022" s="19"/>
      <c r="AS15022" s="19"/>
      <c r="AT15022" s="19"/>
      <c r="AU15022" s="19"/>
    </row>
    <row r="15023" spans="3:47">
      <c r="C15023" s="20"/>
      <c r="Z15023" s="20"/>
      <c r="AG15023" s="20"/>
      <c r="AQ15023" s="19"/>
      <c r="AR15023" s="19"/>
      <c r="AS15023" s="19"/>
      <c r="AT15023" s="19"/>
      <c r="AU15023" s="19"/>
    </row>
    <row r="15024" spans="3:47">
      <c r="C15024" s="20"/>
      <c r="Z15024" s="20"/>
      <c r="AG15024" s="20"/>
      <c r="AQ15024" s="19"/>
      <c r="AR15024" s="19"/>
      <c r="AS15024" s="19"/>
      <c r="AT15024" s="19"/>
      <c r="AU15024" s="19"/>
    </row>
    <row r="15025" spans="3:47">
      <c r="C15025" s="20"/>
      <c r="Z15025" s="20"/>
      <c r="AG15025" s="20"/>
      <c r="AQ15025" s="19"/>
      <c r="AR15025" s="19"/>
      <c r="AS15025" s="19"/>
      <c r="AT15025" s="19"/>
      <c r="AU15025" s="19"/>
    </row>
    <row r="15026" spans="3:47">
      <c r="C15026" s="20"/>
      <c r="Z15026" s="20"/>
      <c r="AG15026" s="20"/>
      <c r="AQ15026" s="19"/>
      <c r="AR15026" s="19"/>
      <c r="AS15026" s="19"/>
      <c r="AT15026" s="19"/>
      <c r="AU15026" s="19"/>
    </row>
    <row r="15027" spans="3:47">
      <c r="C15027" s="20"/>
      <c r="Z15027" s="20"/>
      <c r="AG15027" s="20"/>
      <c r="AQ15027" s="19"/>
      <c r="AR15027" s="19"/>
      <c r="AS15027" s="19"/>
      <c r="AT15027" s="19"/>
      <c r="AU15027" s="19"/>
    </row>
    <row r="15028" spans="3:47">
      <c r="C15028" s="20"/>
      <c r="Z15028" s="20"/>
      <c r="AG15028" s="20"/>
      <c r="AQ15028" s="19"/>
      <c r="AR15028" s="19"/>
      <c r="AS15028" s="19"/>
      <c r="AT15028" s="19"/>
      <c r="AU15028" s="19"/>
    </row>
    <row r="15029" spans="3:47">
      <c r="C15029" s="20"/>
      <c r="Z15029" s="20"/>
      <c r="AG15029" s="20"/>
      <c r="AQ15029" s="19"/>
      <c r="AR15029" s="19"/>
      <c r="AS15029" s="19"/>
      <c r="AT15029" s="19"/>
      <c r="AU15029" s="19"/>
    </row>
    <row r="15030" spans="3:47">
      <c r="C15030" s="20"/>
      <c r="Z15030" s="20"/>
      <c r="AG15030" s="20"/>
      <c r="AQ15030" s="19"/>
      <c r="AR15030" s="19"/>
      <c r="AS15030" s="19"/>
      <c r="AT15030" s="19"/>
      <c r="AU15030" s="19"/>
    </row>
    <row r="15031" spans="3:47">
      <c r="C15031" s="20"/>
      <c r="Z15031" s="20"/>
      <c r="AG15031" s="20"/>
      <c r="AQ15031" s="19"/>
      <c r="AR15031" s="19"/>
      <c r="AS15031" s="19"/>
      <c r="AT15031" s="19"/>
      <c r="AU15031" s="19"/>
    </row>
    <row r="15032" spans="3:47">
      <c r="C15032" s="20"/>
      <c r="Z15032" s="20"/>
      <c r="AG15032" s="20"/>
      <c r="AQ15032" s="19"/>
      <c r="AR15032" s="19"/>
      <c r="AS15032" s="19"/>
      <c r="AT15032" s="19"/>
      <c r="AU15032" s="19"/>
    </row>
    <row r="15033" spans="3:47">
      <c r="C15033" s="20"/>
      <c r="Z15033" s="20"/>
      <c r="AG15033" s="20"/>
      <c r="AQ15033" s="19"/>
      <c r="AR15033" s="19"/>
      <c r="AS15033" s="19"/>
      <c r="AT15033" s="19"/>
      <c r="AU15033" s="19"/>
    </row>
    <row r="15034" spans="3:47">
      <c r="C15034" s="20"/>
      <c r="Z15034" s="20"/>
      <c r="AG15034" s="20"/>
      <c r="AQ15034" s="19"/>
      <c r="AR15034" s="19"/>
      <c r="AS15034" s="19"/>
      <c r="AT15034" s="19"/>
      <c r="AU15034" s="19"/>
    </row>
    <row r="15035" spans="3:47">
      <c r="C15035" s="20"/>
      <c r="Z15035" s="20"/>
      <c r="AG15035" s="20"/>
      <c r="AQ15035" s="19"/>
      <c r="AR15035" s="19"/>
      <c r="AS15035" s="19"/>
      <c r="AT15035" s="19"/>
      <c r="AU15035" s="19"/>
    </row>
    <row r="15036" spans="3:47">
      <c r="C15036" s="20"/>
      <c r="Z15036" s="20"/>
      <c r="AG15036" s="20"/>
      <c r="AQ15036" s="19"/>
      <c r="AR15036" s="19"/>
      <c r="AS15036" s="19"/>
      <c r="AT15036" s="19"/>
      <c r="AU15036" s="19"/>
    </row>
    <row r="15037" spans="3:47">
      <c r="C15037" s="20"/>
      <c r="Z15037" s="20"/>
      <c r="AG15037" s="20"/>
      <c r="AQ15037" s="19"/>
      <c r="AR15037" s="19"/>
      <c r="AS15037" s="19"/>
      <c r="AT15037" s="19"/>
      <c r="AU15037" s="19"/>
    </row>
    <row r="15038" spans="3:47">
      <c r="C15038" s="20"/>
      <c r="Z15038" s="20"/>
      <c r="AG15038" s="20"/>
      <c r="AQ15038" s="19"/>
      <c r="AR15038" s="19"/>
      <c r="AS15038" s="19"/>
      <c r="AT15038" s="19"/>
      <c r="AU15038" s="19"/>
    </row>
    <row r="15039" spans="3:47">
      <c r="C15039" s="20"/>
      <c r="Z15039" s="20"/>
      <c r="AG15039" s="20"/>
      <c r="AQ15039" s="19"/>
      <c r="AR15039" s="19"/>
      <c r="AS15039" s="19"/>
      <c r="AT15039" s="19"/>
      <c r="AU15039" s="19"/>
    </row>
    <row r="15040" spans="3:47">
      <c r="C15040" s="20"/>
      <c r="Z15040" s="20"/>
      <c r="AG15040" s="20"/>
      <c r="AQ15040" s="19"/>
      <c r="AR15040" s="19"/>
      <c r="AS15040" s="19"/>
      <c r="AT15040" s="19"/>
      <c r="AU15040" s="19"/>
    </row>
    <row r="15041" spans="3:47">
      <c r="C15041" s="20"/>
      <c r="Z15041" s="20"/>
      <c r="AG15041" s="20"/>
      <c r="AQ15041" s="19"/>
      <c r="AR15041" s="19"/>
      <c r="AS15041" s="19"/>
      <c r="AT15041" s="19"/>
      <c r="AU15041" s="19"/>
    </row>
    <row r="15042" spans="3:47">
      <c r="C15042" s="20"/>
      <c r="Z15042" s="20"/>
      <c r="AG15042" s="20"/>
      <c r="AQ15042" s="19"/>
      <c r="AR15042" s="19"/>
      <c r="AS15042" s="19"/>
      <c r="AT15042" s="19"/>
      <c r="AU15042" s="19"/>
    </row>
    <row r="15043" spans="3:47">
      <c r="C15043" s="20"/>
      <c r="Z15043" s="20"/>
      <c r="AG15043" s="20"/>
      <c r="AQ15043" s="19"/>
      <c r="AR15043" s="19"/>
      <c r="AS15043" s="19"/>
      <c r="AT15043" s="19"/>
      <c r="AU15043" s="19"/>
    </row>
    <row r="15044" spans="3:47">
      <c r="C15044" s="20"/>
      <c r="Z15044" s="20"/>
      <c r="AG15044" s="20"/>
      <c r="AQ15044" s="19"/>
      <c r="AR15044" s="19"/>
      <c r="AS15044" s="19"/>
      <c r="AT15044" s="19"/>
      <c r="AU15044" s="19"/>
    </row>
    <row r="15045" spans="3:47">
      <c r="C15045" s="20"/>
      <c r="Z15045" s="20"/>
      <c r="AG15045" s="20"/>
      <c r="AQ15045" s="19"/>
      <c r="AR15045" s="19"/>
      <c r="AS15045" s="19"/>
      <c r="AT15045" s="19"/>
      <c r="AU15045" s="19"/>
    </row>
    <row r="15046" spans="3:47">
      <c r="C15046" s="20"/>
      <c r="Z15046" s="20"/>
      <c r="AG15046" s="20"/>
      <c r="AQ15046" s="19"/>
      <c r="AR15046" s="19"/>
      <c r="AS15046" s="19"/>
      <c r="AT15046" s="19"/>
      <c r="AU15046" s="19"/>
    </row>
    <row r="15047" spans="3:47">
      <c r="C15047" s="20"/>
      <c r="Z15047" s="20"/>
      <c r="AG15047" s="20"/>
      <c r="AQ15047" s="19"/>
      <c r="AR15047" s="19"/>
      <c r="AS15047" s="19"/>
      <c r="AT15047" s="19"/>
      <c r="AU15047" s="19"/>
    </row>
    <row r="15048" spans="3:47">
      <c r="C15048" s="20"/>
      <c r="Z15048" s="20"/>
      <c r="AG15048" s="20"/>
      <c r="AQ15048" s="19"/>
      <c r="AR15048" s="19"/>
      <c r="AS15048" s="19"/>
      <c r="AT15048" s="19"/>
      <c r="AU15048" s="19"/>
    </row>
    <row r="15049" spans="3:47">
      <c r="C15049" s="20"/>
      <c r="Z15049" s="20"/>
      <c r="AG15049" s="20"/>
      <c r="AQ15049" s="19"/>
      <c r="AR15049" s="19"/>
      <c r="AS15049" s="19"/>
      <c r="AT15049" s="19"/>
      <c r="AU15049" s="19"/>
    </row>
    <row r="15050" spans="3:47">
      <c r="C15050" s="20"/>
      <c r="Z15050" s="20"/>
      <c r="AG15050" s="20"/>
      <c r="AQ15050" s="19"/>
      <c r="AR15050" s="19"/>
      <c r="AS15050" s="19"/>
      <c r="AT15050" s="19"/>
      <c r="AU15050" s="19"/>
    </row>
    <row r="15051" spans="3:47">
      <c r="C15051" s="20"/>
      <c r="Z15051" s="20"/>
      <c r="AG15051" s="20"/>
      <c r="AQ15051" s="19"/>
      <c r="AR15051" s="19"/>
      <c r="AS15051" s="19"/>
      <c r="AT15051" s="19"/>
      <c r="AU15051" s="19"/>
    </row>
    <row r="15052" spans="3:47">
      <c r="C15052" s="20"/>
      <c r="Z15052" s="20"/>
      <c r="AG15052" s="20"/>
      <c r="AQ15052" s="19"/>
      <c r="AR15052" s="19"/>
      <c r="AS15052" s="19"/>
      <c r="AT15052" s="19"/>
      <c r="AU15052" s="19"/>
    </row>
    <row r="15053" spans="3:47">
      <c r="C15053" s="20"/>
      <c r="Z15053" s="20"/>
      <c r="AG15053" s="20"/>
      <c r="AQ15053" s="19"/>
      <c r="AR15053" s="19"/>
      <c r="AS15053" s="19"/>
      <c r="AT15053" s="19"/>
      <c r="AU15053" s="19"/>
    </row>
    <row r="15054" spans="3:47">
      <c r="C15054" s="20"/>
      <c r="Z15054" s="20"/>
      <c r="AG15054" s="20"/>
      <c r="AQ15054" s="19"/>
      <c r="AR15054" s="19"/>
      <c r="AS15054" s="19"/>
      <c r="AT15054" s="19"/>
      <c r="AU15054" s="19"/>
    </row>
    <row r="15055" spans="3:47">
      <c r="C15055" s="20"/>
      <c r="Z15055" s="20"/>
      <c r="AG15055" s="20"/>
      <c r="AQ15055" s="19"/>
      <c r="AR15055" s="19"/>
      <c r="AS15055" s="19"/>
      <c r="AT15055" s="19"/>
      <c r="AU15055" s="19"/>
    </row>
    <row r="15056" spans="3:47">
      <c r="C15056" s="20"/>
      <c r="Z15056" s="20"/>
      <c r="AG15056" s="20"/>
      <c r="AQ15056" s="19"/>
      <c r="AR15056" s="19"/>
      <c r="AS15056" s="19"/>
      <c r="AT15056" s="19"/>
      <c r="AU15056" s="19"/>
    </row>
    <row r="15057" spans="3:47">
      <c r="C15057" s="20"/>
      <c r="Z15057" s="20"/>
      <c r="AG15057" s="20"/>
      <c r="AQ15057" s="19"/>
      <c r="AR15057" s="19"/>
      <c r="AS15057" s="19"/>
      <c r="AT15057" s="19"/>
      <c r="AU15057" s="19"/>
    </row>
    <row r="15058" spans="3:47">
      <c r="C15058" s="20"/>
      <c r="Z15058" s="20"/>
      <c r="AG15058" s="20"/>
      <c r="AQ15058" s="19"/>
      <c r="AR15058" s="19"/>
      <c r="AS15058" s="19"/>
      <c r="AT15058" s="19"/>
      <c r="AU15058" s="19"/>
    </row>
    <row r="15059" spans="3:47">
      <c r="C15059" s="20"/>
      <c r="Z15059" s="20"/>
      <c r="AG15059" s="20"/>
      <c r="AQ15059" s="19"/>
      <c r="AR15059" s="19"/>
      <c r="AS15059" s="19"/>
      <c r="AT15059" s="19"/>
      <c r="AU15059" s="19"/>
    </row>
    <row r="15060" spans="3:47">
      <c r="C15060" s="20"/>
      <c r="Z15060" s="20"/>
      <c r="AG15060" s="20"/>
      <c r="AQ15060" s="19"/>
      <c r="AR15060" s="19"/>
      <c r="AS15060" s="19"/>
      <c r="AT15060" s="19"/>
      <c r="AU15060" s="19"/>
    </row>
    <row r="15061" spans="3:47">
      <c r="C15061" s="20"/>
      <c r="Z15061" s="20"/>
      <c r="AG15061" s="20"/>
      <c r="AQ15061" s="19"/>
      <c r="AR15061" s="19"/>
      <c r="AS15061" s="19"/>
      <c r="AT15061" s="19"/>
      <c r="AU15061" s="19"/>
    </row>
    <row r="15062" spans="3:47">
      <c r="C15062" s="20"/>
      <c r="Z15062" s="20"/>
      <c r="AG15062" s="20"/>
      <c r="AQ15062" s="19"/>
      <c r="AR15062" s="19"/>
      <c r="AS15062" s="19"/>
      <c r="AT15062" s="19"/>
      <c r="AU15062" s="19"/>
    </row>
    <row r="15063" spans="3:47">
      <c r="C15063" s="20"/>
      <c r="Z15063" s="20"/>
      <c r="AG15063" s="20"/>
      <c r="AQ15063" s="19"/>
      <c r="AR15063" s="19"/>
      <c r="AS15063" s="19"/>
      <c r="AT15063" s="19"/>
      <c r="AU15063" s="19"/>
    </row>
    <row r="15064" spans="3:47">
      <c r="C15064" s="20"/>
      <c r="Z15064" s="20"/>
      <c r="AG15064" s="20"/>
      <c r="AQ15064" s="19"/>
      <c r="AR15064" s="19"/>
      <c r="AS15064" s="19"/>
      <c r="AT15064" s="19"/>
      <c r="AU15064" s="19"/>
    </row>
    <row r="15065" spans="3:47">
      <c r="C15065" s="20"/>
      <c r="Z15065" s="20"/>
      <c r="AG15065" s="20"/>
      <c r="AQ15065" s="19"/>
      <c r="AR15065" s="19"/>
      <c r="AS15065" s="19"/>
      <c r="AT15065" s="19"/>
      <c r="AU15065" s="19"/>
    </row>
    <row r="15066" spans="3:47">
      <c r="C15066" s="20"/>
      <c r="Z15066" s="20"/>
      <c r="AG15066" s="20"/>
      <c r="AQ15066" s="19"/>
      <c r="AR15066" s="19"/>
      <c r="AS15066" s="19"/>
      <c r="AT15066" s="19"/>
      <c r="AU15066" s="19"/>
    </row>
    <row r="15067" spans="3:47">
      <c r="C15067" s="20"/>
      <c r="Z15067" s="20"/>
      <c r="AG15067" s="20"/>
      <c r="AQ15067" s="19"/>
      <c r="AR15067" s="19"/>
      <c r="AS15067" s="19"/>
      <c r="AT15067" s="19"/>
      <c r="AU15067" s="19"/>
    </row>
    <row r="15068" spans="3:47">
      <c r="C15068" s="20"/>
      <c r="Z15068" s="20"/>
      <c r="AG15068" s="20"/>
      <c r="AQ15068" s="19"/>
      <c r="AR15068" s="19"/>
      <c r="AS15068" s="19"/>
      <c r="AT15068" s="19"/>
      <c r="AU15068" s="19"/>
    </row>
    <row r="15069" spans="3:47">
      <c r="C15069" s="20"/>
      <c r="Z15069" s="20"/>
      <c r="AG15069" s="20"/>
      <c r="AQ15069" s="19"/>
      <c r="AR15069" s="19"/>
      <c r="AS15069" s="19"/>
      <c r="AT15069" s="19"/>
      <c r="AU15069" s="19"/>
    </row>
    <row r="15070" spans="3:47">
      <c r="C15070" s="20"/>
      <c r="Z15070" s="20"/>
      <c r="AG15070" s="20"/>
      <c r="AQ15070" s="19"/>
      <c r="AR15070" s="19"/>
      <c r="AS15070" s="19"/>
      <c r="AT15070" s="19"/>
      <c r="AU15070" s="19"/>
    </row>
    <row r="15071" spans="3:47">
      <c r="C15071" s="20"/>
      <c r="Z15071" s="20"/>
      <c r="AG15071" s="20"/>
      <c r="AQ15071" s="19"/>
      <c r="AR15071" s="19"/>
      <c r="AS15071" s="19"/>
      <c r="AT15071" s="19"/>
      <c r="AU15071" s="19"/>
    </row>
    <row r="15072" spans="3:47">
      <c r="C15072" s="20"/>
      <c r="Z15072" s="20"/>
      <c r="AG15072" s="20"/>
      <c r="AQ15072" s="19"/>
      <c r="AR15072" s="19"/>
      <c r="AS15072" s="19"/>
      <c r="AT15072" s="19"/>
      <c r="AU15072" s="19"/>
    </row>
    <row r="15073" spans="3:47">
      <c r="C15073" s="20"/>
      <c r="Z15073" s="20"/>
      <c r="AG15073" s="20"/>
      <c r="AQ15073" s="19"/>
      <c r="AR15073" s="19"/>
      <c r="AS15073" s="19"/>
      <c r="AT15073" s="19"/>
      <c r="AU15073" s="19"/>
    </row>
    <row r="15074" spans="3:47">
      <c r="C15074" s="20"/>
      <c r="Z15074" s="20"/>
      <c r="AG15074" s="20"/>
      <c r="AQ15074" s="19"/>
      <c r="AR15074" s="19"/>
      <c r="AS15074" s="19"/>
      <c r="AT15074" s="19"/>
      <c r="AU15074" s="19"/>
    </row>
    <row r="15075" spans="3:47">
      <c r="C15075" s="20"/>
      <c r="Z15075" s="20"/>
      <c r="AG15075" s="20"/>
      <c r="AQ15075" s="19"/>
      <c r="AR15075" s="19"/>
      <c r="AS15075" s="19"/>
      <c r="AT15075" s="19"/>
      <c r="AU15075" s="19"/>
    </row>
    <row r="15076" spans="3:47">
      <c r="C15076" s="20"/>
      <c r="Z15076" s="20"/>
      <c r="AG15076" s="20"/>
      <c r="AQ15076" s="19"/>
      <c r="AR15076" s="19"/>
      <c r="AS15076" s="19"/>
      <c r="AT15076" s="19"/>
      <c r="AU15076" s="19"/>
    </row>
    <row r="15077" spans="3:47">
      <c r="C15077" s="20"/>
      <c r="Z15077" s="20"/>
      <c r="AG15077" s="20"/>
      <c r="AQ15077" s="19"/>
      <c r="AR15077" s="19"/>
      <c r="AS15077" s="19"/>
      <c r="AT15077" s="19"/>
      <c r="AU15077" s="19"/>
    </row>
    <row r="15078" spans="3:47">
      <c r="C15078" s="20"/>
      <c r="Z15078" s="20"/>
      <c r="AG15078" s="20"/>
      <c r="AQ15078" s="19"/>
      <c r="AR15078" s="19"/>
      <c r="AS15078" s="19"/>
      <c r="AT15078" s="19"/>
      <c r="AU15078" s="19"/>
    </row>
    <row r="15079" spans="3:47">
      <c r="C15079" s="20"/>
      <c r="Z15079" s="20"/>
      <c r="AG15079" s="20"/>
      <c r="AQ15079" s="19"/>
      <c r="AR15079" s="19"/>
      <c r="AS15079" s="19"/>
      <c r="AT15079" s="19"/>
      <c r="AU15079" s="19"/>
    </row>
    <row r="15080" spans="3:47">
      <c r="C15080" s="20"/>
      <c r="Z15080" s="20"/>
      <c r="AG15080" s="20"/>
      <c r="AQ15080" s="19"/>
      <c r="AR15080" s="19"/>
      <c r="AS15080" s="19"/>
      <c r="AT15080" s="19"/>
      <c r="AU15080" s="19"/>
    </row>
    <row r="15081" spans="3:47">
      <c r="C15081" s="20"/>
      <c r="Z15081" s="20"/>
      <c r="AG15081" s="20"/>
      <c r="AQ15081" s="19"/>
      <c r="AR15081" s="19"/>
      <c r="AS15081" s="19"/>
      <c r="AT15081" s="19"/>
      <c r="AU15081" s="19"/>
    </row>
    <row r="15082" spans="3:47">
      <c r="C15082" s="20"/>
      <c r="Z15082" s="20"/>
      <c r="AG15082" s="20"/>
      <c r="AQ15082" s="19"/>
      <c r="AR15082" s="19"/>
      <c r="AS15082" s="19"/>
      <c r="AT15082" s="19"/>
      <c r="AU15082" s="19"/>
    </row>
    <row r="15083" spans="3:47">
      <c r="C15083" s="20"/>
      <c r="Z15083" s="20"/>
      <c r="AG15083" s="20"/>
      <c r="AQ15083" s="19"/>
      <c r="AR15083" s="19"/>
      <c r="AS15083" s="19"/>
      <c r="AT15083" s="19"/>
      <c r="AU15083" s="19"/>
    </row>
    <row r="15084" spans="3:47">
      <c r="C15084" s="20"/>
      <c r="Z15084" s="20"/>
      <c r="AG15084" s="20"/>
      <c r="AQ15084" s="19"/>
      <c r="AR15084" s="19"/>
      <c r="AS15084" s="19"/>
      <c r="AT15084" s="19"/>
      <c r="AU15084" s="19"/>
    </row>
    <row r="15085" spans="3:47">
      <c r="C15085" s="20"/>
      <c r="Z15085" s="20"/>
      <c r="AG15085" s="20"/>
      <c r="AQ15085" s="19"/>
      <c r="AR15085" s="19"/>
      <c r="AS15085" s="19"/>
      <c r="AT15085" s="19"/>
      <c r="AU15085" s="19"/>
    </row>
    <row r="15086" spans="3:47">
      <c r="C15086" s="20"/>
      <c r="Z15086" s="20"/>
      <c r="AG15086" s="20"/>
      <c r="AQ15086" s="19"/>
      <c r="AR15086" s="19"/>
      <c r="AS15086" s="19"/>
      <c r="AT15086" s="19"/>
      <c r="AU15086" s="19"/>
    </row>
    <row r="15087" spans="3:47">
      <c r="C15087" s="20"/>
      <c r="Z15087" s="20"/>
      <c r="AG15087" s="20"/>
      <c r="AQ15087" s="19"/>
      <c r="AR15087" s="19"/>
      <c r="AS15087" s="19"/>
      <c r="AT15087" s="19"/>
      <c r="AU15087" s="19"/>
    </row>
    <row r="15088" spans="3:47">
      <c r="C15088" s="20"/>
      <c r="Z15088" s="20"/>
      <c r="AG15088" s="20"/>
      <c r="AQ15088" s="19"/>
      <c r="AR15088" s="19"/>
      <c r="AS15088" s="19"/>
      <c r="AT15088" s="19"/>
      <c r="AU15088" s="19"/>
    </row>
    <row r="15089" spans="3:47">
      <c r="C15089" s="20"/>
      <c r="Z15089" s="20"/>
      <c r="AG15089" s="20"/>
      <c r="AQ15089" s="19"/>
      <c r="AR15089" s="19"/>
      <c r="AS15089" s="19"/>
      <c r="AT15089" s="19"/>
      <c r="AU15089" s="19"/>
    </row>
    <row r="15090" spans="3:47">
      <c r="C15090" s="20"/>
      <c r="Z15090" s="20"/>
      <c r="AG15090" s="20"/>
      <c r="AQ15090" s="19"/>
      <c r="AR15090" s="19"/>
      <c r="AS15090" s="19"/>
      <c r="AT15090" s="19"/>
      <c r="AU15090" s="19"/>
    </row>
    <row r="15091" spans="3:47">
      <c r="C15091" s="20"/>
      <c r="Z15091" s="20"/>
      <c r="AG15091" s="20"/>
      <c r="AQ15091" s="19"/>
      <c r="AR15091" s="19"/>
      <c r="AS15091" s="19"/>
      <c r="AT15091" s="19"/>
      <c r="AU15091" s="19"/>
    </row>
    <row r="15092" spans="3:47">
      <c r="C15092" s="20"/>
      <c r="Z15092" s="20"/>
      <c r="AG15092" s="20"/>
      <c r="AQ15092" s="19"/>
      <c r="AR15092" s="19"/>
      <c r="AS15092" s="19"/>
      <c r="AT15092" s="19"/>
      <c r="AU15092" s="19"/>
    </row>
    <row r="15093" spans="3:47">
      <c r="C15093" s="20"/>
      <c r="Z15093" s="20"/>
      <c r="AG15093" s="20"/>
      <c r="AQ15093" s="19"/>
      <c r="AR15093" s="19"/>
      <c r="AS15093" s="19"/>
      <c r="AT15093" s="19"/>
      <c r="AU15093" s="19"/>
    </row>
    <row r="15094" spans="3:47">
      <c r="C15094" s="20"/>
      <c r="Z15094" s="20"/>
      <c r="AG15094" s="20"/>
      <c r="AQ15094" s="19"/>
      <c r="AR15094" s="19"/>
      <c r="AS15094" s="19"/>
      <c r="AT15094" s="19"/>
      <c r="AU15094" s="19"/>
    </row>
    <row r="15095" spans="3:47">
      <c r="C15095" s="20"/>
      <c r="Z15095" s="20"/>
      <c r="AG15095" s="20"/>
      <c r="AQ15095" s="19"/>
      <c r="AR15095" s="19"/>
      <c r="AS15095" s="19"/>
      <c r="AT15095" s="19"/>
      <c r="AU15095" s="19"/>
    </row>
    <row r="15096" spans="3:47">
      <c r="C15096" s="20"/>
      <c r="Z15096" s="20"/>
      <c r="AG15096" s="20"/>
      <c r="AQ15096" s="19"/>
      <c r="AR15096" s="19"/>
      <c r="AS15096" s="19"/>
      <c r="AT15096" s="19"/>
      <c r="AU15096" s="19"/>
    </row>
    <row r="15097" spans="3:47">
      <c r="C15097" s="20"/>
      <c r="Z15097" s="20"/>
      <c r="AG15097" s="20"/>
      <c r="AQ15097" s="19"/>
      <c r="AR15097" s="19"/>
      <c r="AS15097" s="19"/>
      <c r="AT15097" s="19"/>
      <c r="AU15097" s="19"/>
    </row>
    <row r="15098" spans="3:47">
      <c r="C15098" s="20"/>
      <c r="Z15098" s="20"/>
      <c r="AG15098" s="20"/>
      <c r="AQ15098" s="19"/>
      <c r="AR15098" s="19"/>
      <c r="AS15098" s="19"/>
      <c r="AT15098" s="19"/>
      <c r="AU15098" s="19"/>
    </row>
    <row r="15099" spans="3:47">
      <c r="C15099" s="20"/>
      <c r="Z15099" s="20"/>
      <c r="AG15099" s="20"/>
      <c r="AQ15099" s="19"/>
      <c r="AR15099" s="19"/>
      <c r="AS15099" s="19"/>
      <c r="AT15099" s="19"/>
      <c r="AU15099" s="19"/>
    </row>
    <row r="15100" spans="3:47">
      <c r="C15100" s="20"/>
      <c r="Z15100" s="20"/>
      <c r="AG15100" s="20"/>
      <c r="AQ15100" s="19"/>
      <c r="AR15100" s="19"/>
      <c r="AS15100" s="19"/>
      <c r="AT15100" s="19"/>
      <c r="AU15100" s="19"/>
    </row>
    <row r="15101" spans="3:47">
      <c r="C15101" s="20"/>
      <c r="Z15101" s="20"/>
      <c r="AG15101" s="20"/>
      <c r="AQ15101" s="19"/>
      <c r="AR15101" s="19"/>
      <c r="AS15101" s="19"/>
      <c r="AT15101" s="19"/>
      <c r="AU15101" s="19"/>
    </row>
    <row r="15102" spans="3:47">
      <c r="C15102" s="20"/>
      <c r="Z15102" s="20"/>
      <c r="AG15102" s="20"/>
      <c r="AQ15102" s="19"/>
      <c r="AR15102" s="19"/>
      <c r="AS15102" s="19"/>
      <c r="AT15102" s="19"/>
      <c r="AU15102" s="19"/>
    </row>
    <row r="15103" spans="3:47">
      <c r="C15103" s="20"/>
      <c r="Z15103" s="20"/>
      <c r="AG15103" s="20"/>
      <c r="AQ15103" s="19"/>
      <c r="AR15103" s="19"/>
      <c r="AS15103" s="19"/>
      <c r="AT15103" s="19"/>
      <c r="AU15103" s="19"/>
    </row>
    <row r="15104" spans="3:47">
      <c r="C15104" s="20"/>
      <c r="Z15104" s="20"/>
      <c r="AG15104" s="20"/>
      <c r="AQ15104" s="19"/>
      <c r="AR15104" s="19"/>
      <c r="AS15104" s="19"/>
      <c r="AT15104" s="19"/>
      <c r="AU15104" s="19"/>
    </row>
    <row r="15105" spans="3:47">
      <c r="C15105" s="20"/>
      <c r="Z15105" s="20"/>
      <c r="AG15105" s="20"/>
      <c r="AQ15105" s="19"/>
      <c r="AR15105" s="19"/>
      <c r="AS15105" s="19"/>
      <c r="AT15105" s="19"/>
      <c r="AU15105" s="19"/>
    </row>
    <row r="15106" spans="3:47">
      <c r="C15106" s="20"/>
      <c r="Z15106" s="20"/>
      <c r="AG15106" s="20"/>
      <c r="AQ15106" s="19"/>
      <c r="AR15106" s="19"/>
      <c r="AS15106" s="19"/>
      <c r="AT15106" s="19"/>
      <c r="AU15106" s="19"/>
    </row>
    <row r="15107" spans="3:47">
      <c r="C15107" s="20"/>
      <c r="Z15107" s="20"/>
      <c r="AG15107" s="20"/>
      <c r="AQ15107" s="19"/>
      <c r="AR15107" s="19"/>
      <c r="AS15107" s="19"/>
      <c r="AT15107" s="19"/>
      <c r="AU15107" s="19"/>
    </row>
    <row r="15108" spans="3:47">
      <c r="C15108" s="20"/>
      <c r="Z15108" s="20"/>
      <c r="AG15108" s="20"/>
      <c r="AQ15108" s="19"/>
      <c r="AR15108" s="19"/>
      <c r="AS15108" s="19"/>
      <c r="AT15108" s="19"/>
      <c r="AU15108" s="19"/>
    </row>
    <row r="15109" spans="3:47">
      <c r="C15109" s="20"/>
      <c r="Z15109" s="20"/>
      <c r="AG15109" s="20"/>
      <c r="AQ15109" s="19"/>
      <c r="AR15109" s="19"/>
      <c r="AS15109" s="19"/>
      <c r="AT15109" s="19"/>
      <c r="AU15109" s="19"/>
    </row>
    <row r="15110" spans="3:47">
      <c r="C15110" s="20"/>
      <c r="Z15110" s="20"/>
      <c r="AG15110" s="20"/>
      <c r="AQ15110" s="19"/>
      <c r="AR15110" s="19"/>
      <c r="AS15110" s="19"/>
      <c r="AT15110" s="19"/>
      <c r="AU15110" s="19"/>
    </row>
    <row r="15111" spans="3:47">
      <c r="C15111" s="20"/>
      <c r="Z15111" s="20"/>
      <c r="AG15111" s="20"/>
      <c r="AQ15111" s="19"/>
      <c r="AR15111" s="19"/>
      <c r="AS15111" s="19"/>
      <c r="AT15111" s="19"/>
      <c r="AU15111" s="19"/>
    </row>
    <row r="15112" spans="3:47">
      <c r="C15112" s="20"/>
      <c r="Z15112" s="20"/>
      <c r="AG15112" s="20"/>
      <c r="AQ15112" s="19"/>
      <c r="AR15112" s="19"/>
      <c r="AS15112" s="19"/>
      <c r="AT15112" s="19"/>
      <c r="AU15112" s="19"/>
    </row>
    <row r="15113" spans="3:47">
      <c r="C15113" s="20"/>
      <c r="Z15113" s="20"/>
      <c r="AG15113" s="20"/>
      <c r="AQ15113" s="19"/>
      <c r="AR15113" s="19"/>
      <c r="AS15113" s="19"/>
      <c r="AT15113" s="19"/>
      <c r="AU15113" s="19"/>
    </row>
    <row r="15114" spans="3:47">
      <c r="C15114" s="20"/>
      <c r="Z15114" s="20"/>
      <c r="AG15114" s="20"/>
      <c r="AQ15114" s="19"/>
      <c r="AR15114" s="19"/>
      <c r="AS15114" s="19"/>
      <c r="AT15114" s="19"/>
      <c r="AU15114" s="19"/>
    </row>
    <row r="15115" spans="3:47">
      <c r="C15115" s="20"/>
      <c r="Z15115" s="20"/>
      <c r="AG15115" s="20"/>
      <c r="AQ15115" s="19"/>
      <c r="AR15115" s="19"/>
      <c r="AS15115" s="19"/>
      <c r="AT15115" s="19"/>
      <c r="AU15115" s="19"/>
    </row>
    <row r="15116" spans="3:47">
      <c r="C15116" s="20"/>
      <c r="Z15116" s="20"/>
      <c r="AG15116" s="20"/>
      <c r="AQ15116" s="19"/>
      <c r="AR15116" s="19"/>
      <c r="AS15116" s="19"/>
      <c r="AT15116" s="19"/>
      <c r="AU15116" s="19"/>
    </row>
    <row r="15117" spans="3:47">
      <c r="C15117" s="20"/>
      <c r="Z15117" s="20"/>
      <c r="AG15117" s="20"/>
      <c r="AQ15117" s="19"/>
      <c r="AR15117" s="19"/>
      <c r="AS15117" s="19"/>
      <c r="AT15117" s="19"/>
      <c r="AU15117" s="19"/>
    </row>
    <row r="15118" spans="3:47">
      <c r="C15118" s="20"/>
      <c r="Z15118" s="20"/>
      <c r="AG15118" s="20"/>
      <c r="AQ15118" s="19"/>
      <c r="AR15118" s="19"/>
      <c r="AS15118" s="19"/>
      <c r="AT15118" s="19"/>
      <c r="AU15118" s="19"/>
    </row>
    <row r="15119" spans="3:47">
      <c r="C15119" s="20"/>
      <c r="Z15119" s="20"/>
      <c r="AG15119" s="20"/>
      <c r="AQ15119" s="19"/>
      <c r="AR15119" s="19"/>
      <c r="AS15119" s="19"/>
      <c r="AT15119" s="19"/>
      <c r="AU15119" s="19"/>
    </row>
    <row r="15120" spans="3:47">
      <c r="C15120" s="20"/>
      <c r="Z15120" s="20"/>
      <c r="AG15120" s="20"/>
      <c r="AQ15120" s="19"/>
      <c r="AR15120" s="19"/>
      <c r="AS15120" s="19"/>
      <c r="AT15120" s="19"/>
      <c r="AU15120" s="19"/>
    </row>
    <row r="15121" spans="3:47">
      <c r="C15121" s="20"/>
      <c r="Z15121" s="20"/>
      <c r="AG15121" s="20"/>
      <c r="AQ15121" s="19"/>
      <c r="AR15121" s="19"/>
      <c r="AS15121" s="19"/>
      <c r="AT15121" s="19"/>
      <c r="AU15121" s="19"/>
    </row>
    <row r="15122" spans="3:47">
      <c r="C15122" s="20"/>
      <c r="Z15122" s="20"/>
      <c r="AG15122" s="20"/>
      <c r="AQ15122" s="19"/>
      <c r="AR15122" s="19"/>
      <c r="AS15122" s="19"/>
      <c r="AT15122" s="19"/>
      <c r="AU15122" s="19"/>
    </row>
    <row r="15123" spans="3:47">
      <c r="C15123" s="20"/>
      <c r="Z15123" s="20"/>
      <c r="AG15123" s="20"/>
      <c r="AQ15123" s="19"/>
      <c r="AR15123" s="19"/>
      <c r="AS15123" s="19"/>
      <c r="AT15123" s="19"/>
      <c r="AU15123" s="19"/>
    </row>
    <row r="15124" spans="3:47">
      <c r="C15124" s="20"/>
      <c r="Z15124" s="20"/>
      <c r="AG15124" s="20"/>
      <c r="AQ15124" s="19"/>
      <c r="AR15124" s="19"/>
      <c r="AS15124" s="19"/>
      <c r="AT15124" s="19"/>
      <c r="AU15124" s="19"/>
    </row>
    <row r="15125" spans="3:47">
      <c r="C15125" s="20"/>
      <c r="Z15125" s="20"/>
      <c r="AG15125" s="20"/>
      <c r="AQ15125" s="19"/>
      <c r="AR15125" s="19"/>
      <c r="AS15125" s="19"/>
      <c r="AT15125" s="19"/>
      <c r="AU15125" s="19"/>
    </row>
    <row r="15126" spans="3:47">
      <c r="C15126" s="20"/>
      <c r="Z15126" s="20"/>
      <c r="AG15126" s="20"/>
      <c r="AQ15126" s="19"/>
      <c r="AR15126" s="19"/>
      <c r="AS15126" s="19"/>
      <c r="AT15126" s="19"/>
      <c r="AU15126" s="19"/>
    </row>
    <row r="15127" spans="3:47">
      <c r="C15127" s="20"/>
      <c r="Z15127" s="20"/>
      <c r="AG15127" s="20"/>
      <c r="AQ15127" s="19"/>
      <c r="AR15127" s="19"/>
      <c r="AS15127" s="19"/>
      <c r="AT15127" s="19"/>
      <c r="AU15127" s="19"/>
    </row>
    <row r="15128" spans="3:47">
      <c r="C15128" s="20"/>
      <c r="Z15128" s="20"/>
      <c r="AG15128" s="20"/>
      <c r="AQ15128" s="19"/>
      <c r="AR15128" s="19"/>
      <c r="AS15128" s="19"/>
      <c r="AT15128" s="19"/>
      <c r="AU15128" s="19"/>
    </row>
    <row r="15129" spans="3:47">
      <c r="C15129" s="20"/>
      <c r="Z15129" s="20"/>
      <c r="AG15129" s="20"/>
      <c r="AQ15129" s="19"/>
      <c r="AR15129" s="19"/>
      <c r="AS15129" s="19"/>
      <c r="AT15129" s="19"/>
      <c r="AU15129" s="19"/>
    </row>
    <row r="15130" spans="3:47">
      <c r="C15130" s="20"/>
      <c r="Z15130" s="20"/>
      <c r="AG15130" s="20"/>
      <c r="AQ15130" s="19"/>
      <c r="AR15130" s="19"/>
      <c r="AS15130" s="19"/>
      <c r="AT15130" s="19"/>
      <c r="AU15130" s="19"/>
    </row>
    <row r="15131" spans="3:47">
      <c r="C15131" s="20"/>
      <c r="Z15131" s="20"/>
      <c r="AG15131" s="20"/>
      <c r="AQ15131" s="19"/>
      <c r="AR15131" s="19"/>
      <c r="AS15131" s="19"/>
      <c r="AT15131" s="19"/>
      <c r="AU15131" s="19"/>
    </row>
    <row r="15132" spans="3:47">
      <c r="C15132" s="20"/>
      <c r="Z15132" s="20"/>
      <c r="AG15132" s="20"/>
      <c r="AQ15132" s="19"/>
      <c r="AR15132" s="19"/>
      <c r="AS15132" s="19"/>
      <c r="AT15132" s="19"/>
      <c r="AU15132" s="19"/>
    </row>
    <row r="15133" spans="3:47">
      <c r="C15133" s="20"/>
      <c r="Z15133" s="20"/>
      <c r="AG15133" s="20"/>
      <c r="AQ15133" s="19"/>
      <c r="AR15133" s="19"/>
      <c r="AS15133" s="19"/>
      <c r="AT15133" s="19"/>
      <c r="AU15133" s="19"/>
    </row>
    <row r="15134" spans="3:47">
      <c r="C15134" s="20"/>
      <c r="Z15134" s="20"/>
      <c r="AG15134" s="20"/>
      <c r="AQ15134" s="19"/>
      <c r="AR15134" s="19"/>
      <c r="AS15134" s="19"/>
      <c r="AT15134" s="19"/>
      <c r="AU15134" s="19"/>
    </row>
    <row r="15135" spans="3:47">
      <c r="C15135" s="20"/>
      <c r="Z15135" s="20"/>
      <c r="AG15135" s="20"/>
      <c r="AQ15135" s="19"/>
      <c r="AR15135" s="19"/>
      <c r="AS15135" s="19"/>
      <c r="AT15135" s="19"/>
      <c r="AU15135" s="19"/>
    </row>
    <row r="15136" spans="3:47">
      <c r="C15136" s="20"/>
      <c r="Z15136" s="20"/>
      <c r="AG15136" s="20"/>
      <c r="AQ15136" s="19"/>
      <c r="AR15136" s="19"/>
      <c r="AS15136" s="19"/>
      <c r="AT15136" s="19"/>
      <c r="AU15136" s="19"/>
    </row>
    <row r="15137" spans="3:47">
      <c r="C15137" s="20"/>
      <c r="Z15137" s="20"/>
      <c r="AG15137" s="20"/>
      <c r="AQ15137" s="19"/>
      <c r="AR15137" s="19"/>
      <c r="AS15137" s="19"/>
      <c r="AT15137" s="19"/>
      <c r="AU15137" s="19"/>
    </row>
    <row r="15138" spans="3:47">
      <c r="C15138" s="20"/>
      <c r="Z15138" s="20"/>
      <c r="AG15138" s="20"/>
      <c r="AQ15138" s="19"/>
      <c r="AR15138" s="19"/>
      <c r="AS15138" s="19"/>
      <c r="AT15138" s="19"/>
      <c r="AU15138" s="19"/>
    </row>
    <row r="15139" spans="3:47">
      <c r="C15139" s="20"/>
      <c r="Z15139" s="20"/>
      <c r="AG15139" s="20"/>
      <c r="AQ15139" s="19"/>
      <c r="AR15139" s="19"/>
      <c r="AS15139" s="19"/>
      <c r="AT15139" s="19"/>
      <c r="AU15139" s="19"/>
    </row>
    <row r="15140" spans="3:47">
      <c r="C15140" s="20"/>
      <c r="Z15140" s="20"/>
      <c r="AG15140" s="20"/>
      <c r="AQ15140" s="19"/>
      <c r="AR15140" s="19"/>
      <c r="AS15140" s="19"/>
      <c r="AT15140" s="19"/>
      <c r="AU15140" s="19"/>
    </row>
    <row r="15141" spans="3:47">
      <c r="C15141" s="20"/>
      <c r="Z15141" s="20"/>
      <c r="AG15141" s="20"/>
      <c r="AQ15141" s="19"/>
      <c r="AR15141" s="19"/>
      <c r="AS15141" s="19"/>
      <c r="AT15141" s="19"/>
      <c r="AU15141" s="19"/>
    </row>
    <row r="15142" spans="3:47">
      <c r="C15142" s="20"/>
      <c r="Z15142" s="20"/>
      <c r="AG15142" s="20"/>
      <c r="AQ15142" s="19"/>
      <c r="AR15142" s="19"/>
      <c r="AS15142" s="19"/>
      <c r="AT15142" s="19"/>
      <c r="AU15142" s="19"/>
    </row>
    <row r="15143" spans="3:47">
      <c r="C15143" s="20"/>
      <c r="Z15143" s="20"/>
      <c r="AG15143" s="20"/>
      <c r="AQ15143" s="19"/>
      <c r="AR15143" s="19"/>
      <c r="AS15143" s="19"/>
      <c r="AT15143" s="19"/>
      <c r="AU15143" s="19"/>
    </row>
    <row r="15144" spans="3:47">
      <c r="C15144" s="20"/>
      <c r="Z15144" s="20"/>
      <c r="AG15144" s="20"/>
      <c r="AQ15144" s="19"/>
      <c r="AR15144" s="19"/>
      <c r="AS15144" s="19"/>
      <c r="AT15144" s="19"/>
      <c r="AU15144" s="19"/>
    </row>
    <row r="15145" spans="3:47">
      <c r="C15145" s="20"/>
      <c r="Z15145" s="20"/>
      <c r="AG15145" s="20"/>
      <c r="AQ15145" s="19"/>
      <c r="AR15145" s="19"/>
      <c r="AS15145" s="19"/>
      <c r="AT15145" s="19"/>
      <c r="AU15145" s="19"/>
    </row>
    <row r="15146" spans="3:47">
      <c r="C15146" s="20"/>
      <c r="Z15146" s="20"/>
      <c r="AG15146" s="20"/>
      <c r="AQ15146" s="19"/>
      <c r="AR15146" s="19"/>
      <c r="AS15146" s="19"/>
      <c r="AT15146" s="19"/>
      <c r="AU15146" s="19"/>
    </row>
    <row r="15147" spans="3:47">
      <c r="C15147" s="20"/>
      <c r="Z15147" s="20"/>
      <c r="AG15147" s="20"/>
      <c r="AQ15147" s="19"/>
      <c r="AR15147" s="19"/>
      <c r="AS15147" s="19"/>
      <c r="AT15147" s="19"/>
      <c r="AU15147" s="19"/>
    </row>
    <row r="15148" spans="3:47">
      <c r="C15148" s="20"/>
      <c r="Z15148" s="20"/>
      <c r="AG15148" s="20"/>
      <c r="AQ15148" s="19"/>
      <c r="AR15148" s="19"/>
      <c r="AS15148" s="19"/>
      <c r="AT15148" s="19"/>
      <c r="AU15148" s="19"/>
    </row>
    <row r="15149" spans="3:47">
      <c r="C15149" s="20"/>
      <c r="Z15149" s="20"/>
      <c r="AG15149" s="20"/>
      <c r="AQ15149" s="19"/>
      <c r="AR15149" s="19"/>
      <c r="AS15149" s="19"/>
      <c r="AT15149" s="19"/>
      <c r="AU15149" s="19"/>
    </row>
    <row r="15150" spans="3:47">
      <c r="C15150" s="20"/>
      <c r="Z15150" s="20"/>
      <c r="AG15150" s="20"/>
      <c r="AQ15150" s="19"/>
      <c r="AR15150" s="19"/>
      <c r="AS15150" s="19"/>
      <c r="AT15150" s="19"/>
      <c r="AU15150" s="19"/>
    </row>
    <row r="15151" spans="3:47">
      <c r="C15151" s="20"/>
      <c r="Z15151" s="20"/>
      <c r="AG15151" s="20"/>
      <c r="AQ15151" s="19"/>
      <c r="AR15151" s="19"/>
      <c r="AS15151" s="19"/>
      <c r="AT15151" s="19"/>
      <c r="AU15151" s="19"/>
    </row>
    <row r="15152" spans="3:47">
      <c r="C15152" s="20"/>
      <c r="Z15152" s="20"/>
      <c r="AG15152" s="20"/>
      <c r="AQ15152" s="19"/>
      <c r="AR15152" s="19"/>
      <c r="AS15152" s="19"/>
      <c r="AT15152" s="19"/>
      <c r="AU15152" s="19"/>
    </row>
    <row r="15153" spans="3:47">
      <c r="C15153" s="20"/>
      <c r="Z15153" s="20"/>
      <c r="AG15153" s="20"/>
      <c r="AQ15153" s="19"/>
      <c r="AR15153" s="19"/>
      <c r="AS15153" s="19"/>
      <c r="AT15153" s="19"/>
      <c r="AU15153" s="19"/>
    </row>
    <row r="15154" spans="3:47">
      <c r="C15154" s="20"/>
      <c r="Z15154" s="20"/>
      <c r="AG15154" s="20"/>
      <c r="AQ15154" s="19"/>
      <c r="AR15154" s="19"/>
      <c r="AS15154" s="19"/>
      <c r="AT15154" s="19"/>
      <c r="AU15154" s="19"/>
    </row>
    <row r="15155" spans="3:47">
      <c r="C15155" s="20"/>
      <c r="Z15155" s="20"/>
      <c r="AG15155" s="20"/>
      <c r="AQ15155" s="19"/>
      <c r="AR15155" s="19"/>
      <c r="AS15155" s="19"/>
      <c r="AT15155" s="19"/>
      <c r="AU15155" s="19"/>
    </row>
    <row r="15156" spans="3:47">
      <c r="C15156" s="20"/>
      <c r="Z15156" s="20"/>
      <c r="AG15156" s="20"/>
      <c r="AQ15156" s="19"/>
      <c r="AR15156" s="19"/>
      <c r="AS15156" s="19"/>
      <c r="AT15156" s="19"/>
      <c r="AU15156" s="19"/>
    </row>
    <row r="15157" spans="3:47">
      <c r="C15157" s="20"/>
      <c r="Z15157" s="20"/>
      <c r="AG15157" s="20"/>
      <c r="AQ15157" s="19"/>
      <c r="AR15157" s="19"/>
      <c r="AS15157" s="19"/>
      <c r="AT15157" s="19"/>
      <c r="AU15157" s="19"/>
    </row>
    <row r="15158" spans="3:47">
      <c r="C15158" s="20"/>
      <c r="Z15158" s="20"/>
      <c r="AG15158" s="20"/>
      <c r="AQ15158" s="19"/>
      <c r="AR15158" s="19"/>
      <c r="AS15158" s="19"/>
      <c r="AT15158" s="19"/>
      <c r="AU15158" s="19"/>
    </row>
    <row r="15159" spans="3:47">
      <c r="C15159" s="20"/>
      <c r="Z15159" s="20"/>
      <c r="AG15159" s="20"/>
      <c r="AQ15159" s="19"/>
      <c r="AR15159" s="19"/>
      <c r="AS15159" s="19"/>
      <c r="AT15159" s="19"/>
      <c r="AU15159" s="19"/>
    </row>
    <row r="15160" spans="3:47">
      <c r="C15160" s="20"/>
      <c r="Z15160" s="20"/>
      <c r="AG15160" s="20"/>
      <c r="AQ15160" s="19"/>
      <c r="AR15160" s="19"/>
      <c r="AS15160" s="19"/>
      <c r="AT15160" s="19"/>
      <c r="AU15160" s="19"/>
    </row>
    <row r="15161" spans="3:47">
      <c r="C15161" s="20"/>
      <c r="Z15161" s="20"/>
      <c r="AG15161" s="20"/>
      <c r="AQ15161" s="19"/>
      <c r="AR15161" s="19"/>
      <c r="AS15161" s="19"/>
      <c r="AT15161" s="19"/>
      <c r="AU15161" s="19"/>
    </row>
    <row r="15162" spans="3:47">
      <c r="C15162" s="20"/>
      <c r="Z15162" s="20"/>
      <c r="AG15162" s="20"/>
      <c r="AQ15162" s="19"/>
      <c r="AR15162" s="19"/>
      <c r="AS15162" s="19"/>
      <c r="AT15162" s="19"/>
      <c r="AU15162" s="19"/>
    </row>
    <row r="15163" spans="3:47">
      <c r="C15163" s="20"/>
      <c r="Z15163" s="20"/>
      <c r="AG15163" s="20"/>
      <c r="AQ15163" s="19"/>
      <c r="AR15163" s="19"/>
      <c r="AS15163" s="19"/>
      <c r="AT15163" s="19"/>
      <c r="AU15163" s="19"/>
    </row>
    <row r="15164" spans="3:47">
      <c r="C15164" s="20"/>
      <c r="Z15164" s="20"/>
      <c r="AG15164" s="20"/>
      <c r="AQ15164" s="19"/>
      <c r="AR15164" s="19"/>
      <c r="AS15164" s="19"/>
      <c r="AT15164" s="19"/>
      <c r="AU15164" s="19"/>
    </row>
    <row r="15165" spans="3:47">
      <c r="C15165" s="20"/>
      <c r="Z15165" s="20"/>
      <c r="AG15165" s="20"/>
      <c r="AQ15165" s="19"/>
      <c r="AR15165" s="19"/>
      <c r="AS15165" s="19"/>
      <c r="AT15165" s="19"/>
      <c r="AU15165" s="19"/>
    </row>
    <row r="15166" spans="3:47">
      <c r="C15166" s="20"/>
      <c r="Z15166" s="20"/>
      <c r="AG15166" s="20"/>
      <c r="AQ15166" s="19"/>
      <c r="AR15166" s="19"/>
      <c r="AS15166" s="19"/>
      <c r="AT15166" s="19"/>
      <c r="AU15166" s="19"/>
    </row>
    <row r="15167" spans="3:47">
      <c r="C15167" s="20"/>
      <c r="Z15167" s="20"/>
      <c r="AG15167" s="20"/>
      <c r="AQ15167" s="19"/>
      <c r="AR15167" s="19"/>
      <c r="AS15167" s="19"/>
      <c r="AT15167" s="19"/>
      <c r="AU15167" s="19"/>
    </row>
    <row r="15168" spans="3:47">
      <c r="C15168" s="20"/>
      <c r="Z15168" s="20"/>
      <c r="AG15168" s="20"/>
      <c r="AQ15168" s="19"/>
      <c r="AR15168" s="19"/>
      <c r="AS15168" s="19"/>
      <c r="AT15168" s="19"/>
      <c r="AU15168" s="19"/>
    </row>
    <row r="15169" spans="3:47">
      <c r="C15169" s="20"/>
      <c r="Z15169" s="20"/>
      <c r="AG15169" s="20"/>
      <c r="AQ15169" s="19"/>
      <c r="AR15169" s="19"/>
      <c r="AS15169" s="19"/>
      <c r="AT15169" s="19"/>
      <c r="AU15169" s="19"/>
    </row>
    <row r="15170" spans="3:47">
      <c r="C15170" s="20"/>
      <c r="Z15170" s="20"/>
      <c r="AG15170" s="20"/>
      <c r="AQ15170" s="19"/>
      <c r="AR15170" s="19"/>
      <c r="AS15170" s="19"/>
      <c r="AT15170" s="19"/>
      <c r="AU15170" s="19"/>
    </row>
    <row r="15171" spans="3:47">
      <c r="C15171" s="20"/>
      <c r="Z15171" s="20"/>
      <c r="AG15171" s="20"/>
      <c r="AQ15171" s="19"/>
      <c r="AR15171" s="19"/>
      <c r="AS15171" s="19"/>
      <c r="AT15171" s="19"/>
      <c r="AU15171" s="19"/>
    </row>
    <row r="15172" spans="3:47">
      <c r="C15172" s="20"/>
      <c r="Z15172" s="20"/>
      <c r="AG15172" s="20"/>
      <c r="AQ15172" s="19"/>
      <c r="AR15172" s="19"/>
      <c r="AS15172" s="19"/>
      <c r="AT15172" s="19"/>
      <c r="AU15172" s="19"/>
    </row>
    <row r="15173" spans="3:47">
      <c r="C15173" s="20"/>
      <c r="Z15173" s="20"/>
      <c r="AG15173" s="20"/>
      <c r="AQ15173" s="19"/>
      <c r="AR15173" s="19"/>
      <c r="AS15173" s="19"/>
      <c r="AT15173" s="19"/>
      <c r="AU15173" s="19"/>
    </row>
    <row r="15174" spans="3:47">
      <c r="C15174" s="20"/>
      <c r="Z15174" s="20"/>
      <c r="AG15174" s="20"/>
      <c r="AQ15174" s="19"/>
      <c r="AR15174" s="19"/>
      <c r="AS15174" s="19"/>
      <c r="AT15174" s="19"/>
      <c r="AU15174" s="19"/>
    </row>
    <row r="15175" spans="3:47">
      <c r="C15175" s="20"/>
      <c r="Z15175" s="20"/>
      <c r="AG15175" s="20"/>
      <c r="AQ15175" s="19"/>
      <c r="AR15175" s="19"/>
      <c r="AS15175" s="19"/>
      <c r="AT15175" s="19"/>
      <c r="AU15175" s="19"/>
    </row>
    <row r="15176" spans="3:47">
      <c r="C15176" s="20"/>
      <c r="Z15176" s="20"/>
      <c r="AG15176" s="20"/>
      <c r="AQ15176" s="19"/>
      <c r="AR15176" s="19"/>
      <c r="AS15176" s="19"/>
      <c r="AT15176" s="19"/>
      <c r="AU15176" s="19"/>
    </row>
    <row r="15177" spans="3:47">
      <c r="C15177" s="20"/>
      <c r="Z15177" s="20"/>
      <c r="AG15177" s="20"/>
      <c r="AQ15177" s="19"/>
      <c r="AR15177" s="19"/>
      <c r="AS15177" s="19"/>
      <c r="AT15177" s="19"/>
      <c r="AU15177" s="19"/>
    </row>
    <row r="15178" spans="3:47">
      <c r="C15178" s="20"/>
      <c r="Z15178" s="20"/>
      <c r="AG15178" s="20"/>
      <c r="AQ15178" s="19"/>
      <c r="AR15178" s="19"/>
      <c r="AS15178" s="19"/>
      <c r="AT15178" s="19"/>
      <c r="AU15178" s="19"/>
    </row>
    <row r="15179" spans="3:47">
      <c r="C15179" s="20"/>
      <c r="Z15179" s="20"/>
      <c r="AG15179" s="20"/>
      <c r="AQ15179" s="19"/>
      <c r="AR15179" s="19"/>
      <c r="AS15179" s="19"/>
      <c r="AT15179" s="19"/>
      <c r="AU15179" s="19"/>
    </row>
    <row r="15180" spans="3:47">
      <c r="C15180" s="20"/>
      <c r="Z15180" s="20"/>
      <c r="AG15180" s="20"/>
      <c r="AQ15180" s="19"/>
      <c r="AR15180" s="19"/>
      <c r="AS15180" s="19"/>
      <c r="AT15180" s="19"/>
      <c r="AU15180" s="19"/>
    </row>
    <row r="15181" spans="3:47">
      <c r="C15181" s="20"/>
      <c r="Z15181" s="20"/>
      <c r="AG15181" s="20"/>
      <c r="AQ15181" s="19"/>
      <c r="AR15181" s="19"/>
      <c r="AS15181" s="19"/>
      <c r="AT15181" s="19"/>
      <c r="AU15181" s="19"/>
    </row>
    <row r="15182" spans="3:47">
      <c r="C15182" s="20"/>
      <c r="Z15182" s="20"/>
      <c r="AG15182" s="20"/>
      <c r="AQ15182" s="19"/>
      <c r="AR15182" s="19"/>
      <c r="AS15182" s="19"/>
      <c r="AT15182" s="19"/>
      <c r="AU15182" s="19"/>
    </row>
    <row r="15183" spans="3:47">
      <c r="C15183" s="20"/>
      <c r="Z15183" s="20"/>
      <c r="AG15183" s="20"/>
      <c r="AQ15183" s="19"/>
      <c r="AR15183" s="19"/>
      <c r="AS15183" s="19"/>
      <c r="AT15183" s="19"/>
      <c r="AU15183" s="19"/>
    </row>
    <row r="15184" spans="3:47">
      <c r="C15184" s="20"/>
      <c r="Z15184" s="20"/>
      <c r="AG15184" s="20"/>
      <c r="AQ15184" s="19"/>
      <c r="AR15184" s="19"/>
      <c r="AS15184" s="19"/>
      <c r="AT15184" s="19"/>
      <c r="AU15184" s="19"/>
    </row>
    <row r="15185" spans="3:47">
      <c r="C15185" s="20"/>
      <c r="Z15185" s="20"/>
      <c r="AG15185" s="20"/>
      <c r="AQ15185" s="19"/>
      <c r="AR15185" s="19"/>
      <c r="AS15185" s="19"/>
      <c r="AT15185" s="19"/>
      <c r="AU15185" s="19"/>
    </row>
    <row r="15186" spans="3:47">
      <c r="C15186" s="20"/>
      <c r="Z15186" s="20"/>
      <c r="AG15186" s="20"/>
      <c r="AQ15186" s="19"/>
      <c r="AR15186" s="19"/>
      <c r="AS15186" s="19"/>
      <c r="AT15186" s="19"/>
      <c r="AU15186" s="19"/>
    </row>
    <row r="15187" spans="3:47">
      <c r="C15187" s="20"/>
      <c r="Z15187" s="20"/>
      <c r="AG15187" s="20"/>
      <c r="AQ15187" s="19"/>
      <c r="AR15187" s="19"/>
      <c r="AS15187" s="19"/>
      <c r="AT15187" s="19"/>
      <c r="AU15187" s="19"/>
    </row>
    <row r="15188" spans="3:47">
      <c r="C15188" s="20"/>
      <c r="Z15188" s="20"/>
      <c r="AG15188" s="20"/>
      <c r="AQ15188" s="19"/>
      <c r="AR15188" s="19"/>
      <c r="AS15188" s="19"/>
      <c r="AT15188" s="19"/>
      <c r="AU15188" s="19"/>
    </row>
    <row r="15189" spans="3:47">
      <c r="C15189" s="20"/>
      <c r="Z15189" s="20"/>
      <c r="AG15189" s="20"/>
      <c r="AQ15189" s="19"/>
      <c r="AR15189" s="19"/>
      <c r="AS15189" s="19"/>
      <c r="AT15189" s="19"/>
      <c r="AU15189" s="19"/>
    </row>
    <row r="15190" spans="3:47">
      <c r="C15190" s="20"/>
      <c r="Z15190" s="20"/>
      <c r="AG15190" s="20"/>
      <c r="AQ15190" s="19"/>
      <c r="AR15190" s="19"/>
      <c r="AS15190" s="19"/>
      <c r="AT15190" s="19"/>
      <c r="AU15190" s="19"/>
    </row>
    <row r="15191" spans="3:47">
      <c r="C15191" s="20"/>
      <c r="Z15191" s="20"/>
      <c r="AG15191" s="20"/>
      <c r="AQ15191" s="19"/>
      <c r="AR15191" s="19"/>
      <c r="AS15191" s="19"/>
      <c r="AT15191" s="19"/>
      <c r="AU15191" s="19"/>
    </row>
    <row r="15192" spans="3:47">
      <c r="C15192" s="20"/>
      <c r="Z15192" s="20"/>
      <c r="AG15192" s="20"/>
      <c r="AQ15192" s="19"/>
      <c r="AR15192" s="19"/>
      <c r="AS15192" s="19"/>
      <c r="AT15192" s="19"/>
      <c r="AU15192" s="19"/>
    </row>
    <row r="15193" spans="3:47">
      <c r="C15193" s="20"/>
      <c r="Z15193" s="20"/>
      <c r="AG15193" s="20"/>
      <c r="AQ15193" s="19"/>
      <c r="AR15193" s="19"/>
      <c r="AS15193" s="19"/>
      <c r="AT15193" s="19"/>
      <c r="AU15193" s="19"/>
    </row>
    <row r="15194" spans="3:47">
      <c r="C15194" s="20"/>
      <c r="Z15194" s="20"/>
      <c r="AG15194" s="20"/>
      <c r="AQ15194" s="19"/>
      <c r="AR15194" s="19"/>
      <c r="AS15194" s="19"/>
      <c r="AT15194" s="19"/>
      <c r="AU15194" s="19"/>
    </row>
    <row r="15195" spans="3:47">
      <c r="C15195" s="20"/>
      <c r="Z15195" s="20"/>
      <c r="AG15195" s="20"/>
      <c r="AQ15195" s="19"/>
      <c r="AR15195" s="19"/>
      <c r="AS15195" s="19"/>
      <c r="AT15195" s="19"/>
      <c r="AU15195" s="19"/>
    </row>
    <row r="15196" spans="3:47">
      <c r="C15196" s="20"/>
      <c r="Z15196" s="20"/>
      <c r="AG15196" s="20"/>
      <c r="AQ15196" s="19"/>
      <c r="AR15196" s="19"/>
      <c r="AS15196" s="19"/>
      <c r="AT15196" s="19"/>
      <c r="AU15196" s="19"/>
    </row>
    <row r="15197" spans="3:47">
      <c r="C15197" s="20"/>
      <c r="Z15197" s="20"/>
      <c r="AG15197" s="20"/>
      <c r="AQ15197" s="19"/>
      <c r="AR15197" s="19"/>
      <c r="AS15197" s="19"/>
      <c r="AT15197" s="19"/>
      <c r="AU15197" s="19"/>
    </row>
    <row r="15198" spans="3:47">
      <c r="C15198" s="20"/>
      <c r="Z15198" s="20"/>
      <c r="AG15198" s="20"/>
      <c r="AQ15198" s="19"/>
      <c r="AR15198" s="19"/>
      <c r="AS15198" s="19"/>
      <c r="AT15198" s="19"/>
      <c r="AU15198" s="19"/>
    </row>
    <row r="15199" spans="3:47">
      <c r="C15199" s="20"/>
      <c r="Z15199" s="20"/>
      <c r="AG15199" s="20"/>
      <c r="AQ15199" s="19"/>
      <c r="AR15199" s="19"/>
      <c r="AS15199" s="19"/>
      <c r="AT15199" s="19"/>
      <c r="AU15199" s="19"/>
    </row>
    <row r="15200" spans="3:47">
      <c r="C15200" s="20"/>
      <c r="Z15200" s="20"/>
      <c r="AG15200" s="20"/>
      <c r="AQ15200" s="19"/>
      <c r="AR15200" s="19"/>
      <c r="AS15200" s="19"/>
      <c r="AT15200" s="19"/>
      <c r="AU15200" s="19"/>
    </row>
    <row r="15201" spans="3:47">
      <c r="C15201" s="20"/>
      <c r="Z15201" s="20"/>
      <c r="AG15201" s="20"/>
      <c r="AQ15201" s="19"/>
      <c r="AR15201" s="19"/>
      <c r="AS15201" s="19"/>
      <c r="AT15201" s="19"/>
      <c r="AU15201" s="19"/>
    </row>
    <row r="15202" spans="3:47">
      <c r="C15202" s="20"/>
      <c r="Z15202" s="20"/>
      <c r="AG15202" s="20"/>
      <c r="AQ15202" s="19"/>
      <c r="AR15202" s="19"/>
      <c r="AS15202" s="19"/>
      <c r="AT15202" s="19"/>
      <c r="AU15202" s="19"/>
    </row>
    <row r="15203" spans="3:47">
      <c r="C15203" s="20"/>
      <c r="Z15203" s="20"/>
      <c r="AG15203" s="20"/>
      <c r="AQ15203" s="19"/>
      <c r="AR15203" s="19"/>
      <c r="AS15203" s="19"/>
      <c r="AT15203" s="19"/>
      <c r="AU15203" s="19"/>
    </row>
    <row r="15204" spans="3:47">
      <c r="C15204" s="20"/>
      <c r="Z15204" s="20"/>
      <c r="AG15204" s="20"/>
      <c r="AQ15204" s="19"/>
      <c r="AR15204" s="19"/>
      <c r="AS15204" s="19"/>
      <c r="AT15204" s="19"/>
      <c r="AU15204" s="19"/>
    </row>
    <row r="15205" spans="3:47">
      <c r="C15205" s="20"/>
      <c r="Z15205" s="20"/>
      <c r="AG15205" s="20"/>
      <c r="AQ15205" s="19"/>
      <c r="AR15205" s="19"/>
      <c r="AS15205" s="19"/>
      <c r="AT15205" s="19"/>
      <c r="AU15205" s="19"/>
    </row>
    <row r="15206" spans="3:47">
      <c r="C15206" s="20"/>
      <c r="Z15206" s="20"/>
      <c r="AG15206" s="20"/>
      <c r="AQ15206" s="19"/>
      <c r="AR15206" s="19"/>
      <c r="AS15206" s="19"/>
      <c r="AT15206" s="19"/>
      <c r="AU15206" s="19"/>
    </row>
    <row r="15207" spans="3:47">
      <c r="C15207" s="20"/>
      <c r="Z15207" s="20"/>
      <c r="AG15207" s="20"/>
      <c r="AQ15207" s="19"/>
      <c r="AR15207" s="19"/>
      <c r="AS15207" s="19"/>
      <c r="AT15207" s="19"/>
      <c r="AU15207" s="19"/>
    </row>
    <row r="15208" spans="3:47">
      <c r="C15208" s="20"/>
      <c r="Z15208" s="20"/>
      <c r="AG15208" s="20"/>
      <c r="AQ15208" s="19"/>
      <c r="AR15208" s="19"/>
      <c r="AS15208" s="19"/>
      <c r="AT15208" s="19"/>
      <c r="AU15208" s="19"/>
    </row>
    <row r="15209" spans="3:47">
      <c r="C15209" s="20"/>
      <c r="Z15209" s="20"/>
      <c r="AG15209" s="20"/>
      <c r="AQ15209" s="19"/>
      <c r="AR15209" s="19"/>
      <c r="AS15209" s="19"/>
      <c r="AT15209" s="19"/>
      <c r="AU15209" s="19"/>
    </row>
    <row r="15210" spans="3:47">
      <c r="C15210" s="20"/>
      <c r="Z15210" s="20"/>
      <c r="AG15210" s="20"/>
      <c r="AQ15210" s="19"/>
      <c r="AR15210" s="19"/>
      <c r="AS15210" s="19"/>
      <c r="AT15210" s="19"/>
      <c r="AU15210" s="19"/>
    </row>
    <row r="15211" spans="3:47">
      <c r="C15211" s="20"/>
      <c r="Z15211" s="20"/>
      <c r="AG15211" s="20"/>
      <c r="AQ15211" s="19"/>
      <c r="AR15211" s="19"/>
      <c r="AS15211" s="19"/>
      <c r="AT15211" s="19"/>
      <c r="AU15211" s="19"/>
    </row>
    <row r="15212" spans="3:47">
      <c r="C15212" s="20"/>
      <c r="Z15212" s="20"/>
      <c r="AG15212" s="20"/>
      <c r="AQ15212" s="19"/>
      <c r="AR15212" s="19"/>
      <c r="AS15212" s="19"/>
      <c r="AT15212" s="19"/>
      <c r="AU15212" s="19"/>
    </row>
    <row r="15213" spans="3:47">
      <c r="C15213" s="20"/>
      <c r="Z15213" s="20"/>
      <c r="AG15213" s="20"/>
      <c r="AQ15213" s="19"/>
      <c r="AR15213" s="19"/>
      <c r="AS15213" s="19"/>
      <c r="AT15213" s="19"/>
      <c r="AU15213" s="19"/>
    </row>
    <row r="15214" spans="3:47">
      <c r="C15214" s="20"/>
      <c r="Z15214" s="20"/>
      <c r="AG15214" s="20"/>
      <c r="AQ15214" s="19"/>
      <c r="AR15214" s="19"/>
      <c r="AS15214" s="19"/>
      <c r="AT15214" s="19"/>
      <c r="AU15214" s="19"/>
    </row>
    <row r="15215" spans="3:47">
      <c r="C15215" s="20"/>
      <c r="Z15215" s="20"/>
      <c r="AG15215" s="20"/>
      <c r="AQ15215" s="19"/>
      <c r="AR15215" s="19"/>
      <c r="AS15215" s="19"/>
      <c r="AT15215" s="19"/>
      <c r="AU15215" s="19"/>
    </row>
    <row r="15216" spans="3:47">
      <c r="C15216" s="20"/>
      <c r="Z15216" s="20"/>
      <c r="AG15216" s="20"/>
      <c r="AQ15216" s="19"/>
      <c r="AR15216" s="19"/>
      <c r="AS15216" s="19"/>
      <c r="AT15216" s="19"/>
      <c r="AU15216" s="19"/>
    </row>
    <row r="15217" spans="3:47">
      <c r="C15217" s="20"/>
      <c r="Z15217" s="20"/>
      <c r="AG15217" s="20"/>
      <c r="AQ15217" s="19"/>
      <c r="AR15217" s="19"/>
      <c r="AS15217" s="19"/>
      <c r="AT15217" s="19"/>
      <c r="AU15217" s="19"/>
    </row>
    <row r="15218" spans="3:47">
      <c r="C15218" s="20"/>
      <c r="Z15218" s="20"/>
      <c r="AG15218" s="20"/>
      <c r="AQ15218" s="19"/>
      <c r="AR15218" s="19"/>
      <c r="AS15218" s="19"/>
      <c r="AT15218" s="19"/>
      <c r="AU15218" s="19"/>
    </row>
    <row r="15219" spans="3:47">
      <c r="C15219" s="20"/>
      <c r="Z15219" s="20"/>
      <c r="AG15219" s="20"/>
      <c r="AQ15219" s="19"/>
      <c r="AR15219" s="19"/>
      <c r="AS15219" s="19"/>
      <c r="AT15219" s="19"/>
      <c r="AU15219" s="19"/>
    </row>
    <row r="15220" spans="3:47">
      <c r="C15220" s="20"/>
      <c r="Z15220" s="20"/>
      <c r="AG15220" s="20"/>
      <c r="AQ15220" s="19"/>
      <c r="AR15220" s="19"/>
      <c r="AS15220" s="19"/>
      <c r="AT15220" s="19"/>
      <c r="AU15220" s="19"/>
    </row>
    <row r="15221" spans="3:47">
      <c r="C15221" s="20"/>
      <c r="Z15221" s="20"/>
      <c r="AG15221" s="20"/>
      <c r="AQ15221" s="19"/>
      <c r="AR15221" s="19"/>
      <c r="AS15221" s="19"/>
      <c r="AT15221" s="19"/>
      <c r="AU15221" s="19"/>
    </row>
    <row r="15222" spans="3:47">
      <c r="C15222" s="20"/>
      <c r="Z15222" s="20"/>
      <c r="AG15222" s="20"/>
      <c r="AQ15222" s="19"/>
      <c r="AR15222" s="19"/>
      <c r="AS15222" s="19"/>
      <c r="AT15222" s="19"/>
      <c r="AU15222" s="19"/>
    </row>
    <row r="15223" spans="3:47">
      <c r="C15223" s="20"/>
      <c r="Z15223" s="20"/>
      <c r="AG15223" s="20"/>
      <c r="AQ15223" s="19"/>
      <c r="AR15223" s="19"/>
      <c r="AS15223" s="19"/>
      <c r="AT15223" s="19"/>
      <c r="AU15223" s="19"/>
    </row>
    <row r="15224" spans="3:47">
      <c r="C15224" s="20"/>
      <c r="Z15224" s="20"/>
      <c r="AG15224" s="20"/>
      <c r="AQ15224" s="19"/>
      <c r="AR15224" s="19"/>
      <c r="AS15224" s="19"/>
      <c r="AT15224" s="19"/>
      <c r="AU15224" s="19"/>
    </row>
    <row r="15225" spans="3:47">
      <c r="C15225" s="20"/>
      <c r="Z15225" s="20"/>
      <c r="AG15225" s="20"/>
      <c r="AQ15225" s="19"/>
      <c r="AR15225" s="19"/>
      <c r="AS15225" s="19"/>
      <c r="AT15225" s="19"/>
      <c r="AU15225" s="19"/>
    </row>
    <row r="15226" spans="3:47">
      <c r="C15226" s="20"/>
      <c r="Z15226" s="20"/>
      <c r="AG15226" s="20"/>
      <c r="AQ15226" s="19"/>
      <c r="AR15226" s="19"/>
      <c r="AS15226" s="19"/>
      <c r="AT15226" s="19"/>
      <c r="AU15226" s="19"/>
    </row>
    <row r="15227" spans="3:47">
      <c r="C15227" s="20"/>
      <c r="Z15227" s="20"/>
      <c r="AG15227" s="20"/>
      <c r="AQ15227" s="19"/>
      <c r="AR15227" s="19"/>
      <c r="AS15227" s="19"/>
      <c r="AT15227" s="19"/>
      <c r="AU15227" s="19"/>
    </row>
    <row r="15228" spans="3:47">
      <c r="C15228" s="20"/>
      <c r="Z15228" s="20"/>
      <c r="AG15228" s="20"/>
      <c r="AQ15228" s="19"/>
      <c r="AR15228" s="19"/>
      <c r="AS15228" s="19"/>
      <c r="AT15228" s="19"/>
      <c r="AU15228" s="19"/>
    </row>
    <row r="15229" spans="3:47">
      <c r="C15229" s="20"/>
      <c r="Z15229" s="20"/>
      <c r="AG15229" s="20"/>
      <c r="AQ15229" s="19"/>
      <c r="AR15229" s="19"/>
      <c r="AS15229" s="19"/>
      <c r="AT15229" s="19"/>
      <c r="AU15229" s="19"/>
    </row>
    <row r="15230" spans="3:47">
      <c r="C15230" s="20"/>
      <c r="Z15230" s="20"/>
      <c r="AG15230" s="20"/>
      <c r="AQ15230" s="19"/>
      <c r="AR15230" s="19"/>
      <c r="AS15230" s="19"/>
      <c r="AT15230" s="19"/>
      <c r="AU15230" s="19"/>
    </row>
    <row r="15231" spans="3:47">
      <c r="C15231" s="20"/>
      <c r="Z15231" s="20"/>
      <c r="AG15231" s="20"/>
      <c r="AQ15231" s="19"/>
      <c r="AR15231" s="19"/>
      <c r="AS15231" s="19"/>
      <c r="AT15231" s="19"/>
      <c r="AU15231" s="19"/>
    </row>
    <row r="15232" spans="3:47">
      <c r="C15232" s="20"/>
      <c r="Z15232" s="20"/>
      <c r="AG15232" s="20"/>
      <c r="AQ15232" s="19"/>
      <c r="AR15232" s="19"/>
      <c r="AS15232" s="19"/>
      <c r="AT15232" s="19"/>
      <c r="AU15232" s="19"/>
    </row>
    <row r="15233" spans="3:47">
      <c r="C15233" s="20"/>
      <c r="Z15233" s="20"/>
      <c r="AG15233" s="20"/>
      <c r="AQ15233" s="19"/>
      <c r="AR15233" s="19"/>
      <c r="AS15233" s="19"/>
      <c r="AT15233" s="19"/>
      <c r="AU15233" s="19"/>
    </row>
    <row r="15234" spans="3:47">
      <c r="C15234" s="20"/>
      <c r="Z15234" s="20"/>
      <c r="AG15234" s="20"/>
      <c r="AQ15234" s="19"/>
      <c r="AR15234" s="19"/>
      <c r="AS15234" s="19"/>
      <c r="AT15234" s="19"/>
      <c r="AU15234" s="19"/>
    </row>
    <row r="15235" spans="3:47">
      <c r="C15235" s="20"/>
      <c r="Z15235" s="20"/>
      <c r="AG15235" s="20"/>
      <c r="AQ15235" s="19"/>
      <c r="AR15235" s="19"/>
      <c r="AS15235" s="19"/>
      <c r="AT15235" s="19"/>
      <c r="AU15235" s="19"/>
    </row>
    <row r="15236" spans="3:47">
      <c r="C15236" s="20"/>
      <c r="Z15236" s="20"/>
      <c r="AG15236" s="20"/>
      <c r="AQ15236" s="19"/>
      <c r="AR15236" s="19"/>
      <c r="AS15236" s="19"/>
      <c r="AT15236" s="19"/>
      <c r="AU15236" s="19"/>
    </row>
    <row r="15237" spans="3:47">
      <c r="C15237" s="20"/>
      <c r="Z15237" s="20"/>
      <c r="AG15237" s="20"/>
      <c r="AQ15237" s="19"/>
      <c r="AR15237" s="19"/>
      <c r="AS15237" s="19"/>
      <c r="AT15237" s="19"/>
      <c r="AU15237" s="19"/>
    </row>
    <row r="15238" spans="3:47">
      <c r="C15238" s="20"/>
      <c r="Z15238" s="20"/>
      <c r="AG15238" s="20"/>
      <c r="AQ15238" s="19"/>
      <c r="AR15238" s="19"/>
      <c r="AS15238" s="19"/>
      <c r="AT15238" s="19"/>
      <c r="AU15238" s="19"/>
    </row>
    <row r="15239" spans="3:47">
      <c r="C15239" s="20"/>
      <c r="Z15239" s="20"/>
      <c r="AG15239" s="20"/>
      <c r="AQ15239" s="19"/>
      <c r="AR15239" s="19"/>
      <c r="AS15239" s="19"/>
      <c r="AT15239" s="19"/>
      <c r="AU15239" s="19"/>
    </row>
    <row r="15240" spans="3:47">
      <c r="C15240" s="20"/>
      <c r="Z15240" s="20"/>
      <c r="AG15240" s="20"/>
      <c r="AQ15240" s="19"/>
      <c r="AR15240" s="19"/>
      <c r="AS15240" s="19"/>
      <c r="AT15240" s="19"/>
      <c r="AU15240" s="19"/>
    </row>
    <row r="15241" spans="3:47">
      <c r="C15241" s="20"/>
      <c r="Z15241" s="20"/>
      <c r="AG15241" s="20"/>
      <c r="AQ15241" s="19"/>
      <c r="AR15241" s="19"/>
      <c r="AS15241" s="19"/>
      <c r="AT15241" s="19"/>
      <c r="AU15241" s="19"/>
    </row>
    <row r="15242" spans="3:47">
      <c r="C15242" s="20"/>
      <c r="Z15242" s="20"/>
      <c r="AG15242" s="20"/>
      <c r="AQ15242" s="19"/>
      <c r="AR15242" s="19"/>
      <c r="AS15242" s="19"/>
      <c r="AT15242" s="19"/>
      <c r="AU15242" s="19"/>
    </row>
    <row r="15243" spans="3:47">
      <c r="C15243" s="20"/>
      <c r="Z15243" s="20"/>
      <c r="AG15243" s="20"/>
      <c r="AQ15243" s="19"/>
      <c r="AR15243" s="19"/>
      <c r="AS15243" s="19"/>
      <c r="AT15243" s="19"/>
      <c r="AU15243" s="19"/>
    </row>
    <row r="15244" spans="3:47">
      <c r="C15244" s="20"/>
      <c r="Z15244" s="20"/>
      <c r="AG15244" s="20"/>
      <c r="AQ15244" s="19"/>
      <c r="AR15244" s="19"/>
      <c r="AS15244" s="19"/>
      <c r="AT15244" s="19"/>
      <c r="AU15244" s="19"/>
    </row>
    <row r="15245" spans="3:47">
      <c r="C15245" s="20"/>
      <c r="Z15245" s="20"/>
      <c r="AG15245" s="20"/>
      <c r="AQ15245" s="19"/>
      <c r="AR15245" s="19"/>
      <c r="AS15245" s="19"/>
      <c r="AT15245" s="19"/>
      <c r="AU15245" s="19"/>
    </row>
    <row r="15246" spans="3:47">
      <c r="C15246" s="20"/>
      <c r="Z15246" s="20"/>
      <c r="AG15246" s="20"/>
      <c r="AQ15246" s="19"/>
      <c r="AR15246" s="19"/>
      <c r="AS15246" s="19"/>
      <c r="AT15246" s="19"/>
      <c r="AU15246" s="19"/>
    </row>
    <row r="15247" spans="3:47">
      <c r="C15247" s="20"/>
      <c r="Z15247" s="20"/>
      <c r="AG15247" s="20"/>
      <c r="AQ15247" s="19"/>
      <c r="AR15247" s="19"/>
      <c r="AS15247" s="19"/>
      <c r="AT15247" s="19"/>
      <c r="AU15247" s="19"/>
    </row>
    <row r="15248" spans="3:47">
      <c r="C15248" s="20"/>
      <c r="Z15248" s="20"/>
      <c r="AG15248" s="20"/>
      <c r="AQ15248" s="19"/>
      <c r="AR15248" s="19"/>
      <c r="AS15248" s="19"/>
      <c r="AT15248" s="19"/>
      <c r="AU15248" s="19"/>
    </row>
    <row r="15249" spans="3:47">
      <c r="C15249" s="20"/>
      <c r="Z15249" s="20"/>
      <c r="AG15249" s="20"/>
      <c r="AQ15249" s="19"/>
      <c r="AR15249" s="19"/>
      <c r="AS15249" s="19"/>
      <c r="AT15249" s="19"/>
      <c r="AU15249" s="19"/>
    </row>
    <row r="15250" spans="3:47">
      <c r="C15250" s="20"/>
      <c r="Z15250" s="20"/>
      <c r="AG15250" s="20"/>
      <c r="AQ15250" s="19"/>
      <c r="AR15250" s="19"/>
      <c r="AS15250" s="19"/>
      <c r="AT15250" s="19"/>
      <c r="AU15250" s="19"/>
    </row>
    <row r="15251" spans="3:47">
      <c r="C15251" s="20"/>
      <c r="Z15251" s="20"/>
      <c r="AG15251" s="20"/>
      <c r="AQ15251" s="19"/>
      <c r="AR15251" s="19"/>
      <c r="AS15251" s="19"/>
      <c r="AT15251" s="19"/>
      <c r="AU15251" s="19"/>
    </row>
    <row r="15252" spans="3:47">
      <c r="C15252" s="20"/>
      <c r="Z15252" s="20"/>
      <c r="AG15252" s="20"/>
      <c r="AQ15252" s="19"/>
      <c r="AR15252" s="19"/>
      <c r="AS15252" s="19"/>
      <c r="AT15252" s="19"/>
      <c r="AU15252" s="19"/>
    </row>
    <row r="15253" spans="3:47">
      <c r="C15253" s="20"/>
      <c r="Z15253" s="20"/>
      <c r="AG15253" s="20"/>
      <c r="AQ15253" s="19"/>
      <c r="AR15253" s="19"/>
      <c r="AS15253" s="19"/>
      <c r="AT15253" s="19"/>
      <c r="AU15253" s="19"/>
    </row>
    <row r="15254" spans="3:47">
      <c r="C15254" s="20"/>
      <c r="Z15254" s="20"/>
      <c r="AG15254" s="20"/>
      <c r="AQ15254" s="19"/>
      <c r="AR15254" s="19"/>
      <c r="AS15254" s="19"/>
      <c r="AT15254" s="19"/>
      <c r="AU15254" s="19"/>
    </row>
    <row r="15255" spans="3:47">
      <c r="C15255" s="20"/>
      <c r="Z15255" s="20"/>
      <c r="AG15255" s="20"/>
      <c r="AQ15255" s="19"/>
      <c r="AR15255" s="19"/>
      <c r="AS15255" s="19"/>
      <c r="AT15255" s="19"/>
      <c r="AU15255" s="19"/>
    </row>
    <row r="15256" spans="3:47">
      <c r="C15256" s="20"/>
      <c r="Z15256" s="20"/>
      <c r="AG15256" s="20"/>
      <c r="AQ15256" s="19"/>
      <c r="AR15256" s="19"/>
      <c r="AS15256" s="19"/>
      <c r="AT15256" s="19"/>
      <c r="AU15256" s="19"/>
    </row>
    <row r="15257" spans="3:47">
      <c r="C15257" s="20"/>
      <c r="Z15257" s="20"/>
      <c r="AG15257" s="20"/>
      <c r="AQ15257" s="19"/>
      <c r="AR15257" s="19"/>
      <c r="AS15257" s="19"/>
      <c r="AT15257" s="19"/>
      <c r="AU15257" s="19"/>
    </row>
    <row r="15258" spans="3:47">
      <c r="C15258" s="20"/>
      <c r="Z15258" s="20"/>
      <c r="AG15258" s="20"/>
      <c r="AQ15258" s="19"/>
      <c r="AR15258" s="19"/>
      <c r="AS15258" s="19"/>
      <c r="AT15258" s="19"/>
      <c r="AU15258" s="19"/>
    </row>
    <row r="15259" spans="3:47">
      <c r="C15259" s="20"/>
      <c r="Z15259" s="20"/>
      <c r="AG15259" s="20"/>
      <c r="AQ15259" s="19"/>
      <c r="AR15259" s="19"/>
      <c r="AS15259" s="19"/>
      <c r="AT15259" s="19"/>
      <c r="AU15259" s="19"/>
    </row>
    <row r="15260" spans="3:47">
      <c r="C15260" s="20"/>
      <c r="Z15260" s="20"/>
      <c r="AG15260" s="20"/>
      <c r="AQ15260" s="19"/>
      <c r="AR15260" s="19"/>
      <c r="AS15260" s="19"/>
      <c r="AT15260" s="19"/>
      <c r="AU15260" s="19"/>
    </row>
    <row r="15261" spans="3:47">
      <c r="C15261" s="20"/>
      <c r="Z15261" s="20"/>
      <c r="AG15261" s="20"/>
      <c r="AQ15261" s="19"/>
      <c r="AR15261" s="19"/>
      <c r="AS15261" s="19"/>
      <c r="AT15261" s="19"/>
      <c r="AU15261" s="19"/>
    </row>
    <row r="15262" spans="3:47">
      <c r="C15262" s="20"/>
      <c r="Z15262" s="20"/>
      <c r="AG15262" s="20"/>
      <c r="AQ15262" s="19"/>
      <c r="AR15262" s="19"/>
      <c r="AS15262" s="19"/>
      <c r="AT15262" s="19"/>
      <c r="AU15262" s="19"/>
    </row>
    <row r="15263" spans="3:47">
      <c r="C15263" s="20"/>
      <c r="Z15263" s="20"/>
      <c r="AG15263" s="20"/>
      <c r="AQ15263" s="19"/>
      <c r="AR15263" s="19"/>
      <c r="AS15263" s="19"/>
      <c r="AT15263" s="19"/>
      <c r="AU15263" s="19"/>
    </row>
    <row r="15264" spans="3:47">
      <c r="C15264" s="20"/>
      <c r="Z15264" s="20"/>
      <c r="AG15264" s="20"/>
      <c r="AQ15264" s="19"/>
      <c r="AR15264" s="19"/>
      <c r="AS15264" s="19"/>
      <c r="AT15264" s="19"/>
      <c r="AU15264" s="19"/>
    </row>
    <row r="15265" spans="3:47">
      <c r="C15265" s="20"/>
      <c r="Z15265" s="20"/>
      <c r="AG15265" s="20"/>
      <c r="AQ15265" s="19"/>
      <c r="AR15265" s="19"/>
      <c r="AS15265" s="19"/>
      <c r="AT15265" s="19"/>
      <c r="AU15265" s="19"/>
    </row>
    <row r="15266" spans="3:47">
      <c r="C15266" s="20"/>
      <c r="Z15266" s="20"/>
      <c r="AG15266" s="20"/>
      <c r="AQ15266" s="19"/>
      <c r="AR15266" s="19"/>
      <c r="AS15266" s="19"/>
      <c r="AT15266" s="19"/>
      <c r="AU15266" s="19"/>
    </row>
    <row r="15267" spans="3:47">
      <c r="C15267" s="20"/>
      <c r="Z15267" s="20"/>
      <c r="AG15267" s="20"/>
      <c r="AQ15267" s="19"/>
      <c r="AR15267" s="19"/>
      <c r="AS15267" s="19"/>
      <c r="AT15267" s="19"/>
      <c r="AU15267" s="19"/>
    </row>
    <row r="15268" spans="3:47">
      <c r="C15268" s="20"/>
      <c r="Z15268" s="20"/>
      <c r="AG15268" s="20"/>
      <c r="AQ15268" s="19"/>
      <c r="AR15268" s="19"/>
      <c r="AS15268" s="19"/>
      <c r="AT15268" s="19"/>
      <c r="AU15268" s="19"/>
    </row>
    <row r="15269" spans="3:47">
      <c r="C15269" s="20"/>
      <c r="Z15269" s="20"/>
      <c r="AG15269" s="20"/>
      <c r="AQ15269" s="19"/>
      <c r="AR15269" s="19"/>
      <c r="AS15269" s="19"/>
      <c r="AT15269" s="19"/>
      <c r="AU15269" s="19"/>
    </row>
    <row r="15270" spans="3:47">
      <c r="C15270" s="20"/>
      <c r="Z15270" s="20"/>
      <c r="AG15270" s="20"/>
      <c r="AQ15270" s="19"/>
      <c r="AR15270" s="19"/>
      <c r="AS15270" s="19"/>
      <c r="AT15270" s="19"/>
      <c r="AU15270" s="19"/>
    </row>
    <row r="15271" spans="3:47">
      <c r="C15271" s="20"/>
      <c r="Z15271" s="20"/>
      <c r="AG15271" s="20"/>
      <c r="AQ15271" s="19"/>
      <c r="AR15271" s="19"/>
      <c r="AS15271" s="19"/>
      <c r="AT15271" s="19"/>
      <c r="AU15271" s="19"/>
    </row>
    <row r="15272" spans="3:47">
      <c r="C15272" s="20"/>
      <c r="Z15272" s="20"/>
      <c r="AG15272" s="20"/>
      <c r="AQ15272" s="19"/>
      <c r="AR15272" s="19"/>
      <c r="AS15272" s="19"/>
      <c r="AT15272" s="19"/>
      <c r="AU15272" s="19"/>
    </row>
    <row r="15273" spans="3:47">
      <c r="C15273" s="20"/>
      <c r="Z15273" s="20"/>
      <c r="AG15273" s="20"/>
      <c r="AQ15273" s="19"/>
      <c r="AR15273" s="19"/>
      <c r="AS15273" s="19"/>
      <c r="AT15273" s="19"/>
      <c r="AU15273" s="19"/>
    </row>
    <row r="15274" spans="3:47">
      <c r="C15274" s="20"/>
      <c r="Z15274" s="20"/>
      <c r="AG15274" s="20"/>
      <c r="AQ15274" s="19"/>
      <c r="AR15274" s="19"/>
      <c r="AS15274" s="19"/>
      <c r="AT15274" s="19"/>
      <c r="AU15274" s="19"/>
    </row>
    <row r="15275" spans="3:47">
      <c r="C15275" s="20"/>
      <c r="Z15275" s="20"/>
      <c r="AG15275" s="20"/>
      <c r="AQ15275" s="19"/>
      <c r="AR15275" s="19"/>
      <c r="AS15275" s="19"/>
      <c r="AT15275" s="19"/>
      <c r="AU15275" s="19"/>
    </row>
    <row r="15276" spans="3:47">
      <c r="C15276" s="20"/>
      <c r="Z15276" s="20"/>
      <c r="AG15276" s="20"/>
      <c r="AQ15276" s="19"/>
      <c r="AR15276" s="19"/>
      <c r="AS15276" s="19"/>
      <c r="AT15276" s="19"/>
      <c r="AU15276" s="19"/>
    </row>
    <row r="15277" spans="3:47">
      <c r="C15277" s="20"/>
      <c r="Z15277" s="20"/>
      <c r="AG15277" s="20"/>
      <c r="AQ15277" s="19"/>
      <c r="AR15277" s="19"/>
      <c r="AS15277" s="19"/>
      <c r="AT15277" s="19"/>
      <c r="AU15277" s="19"/>
    </row>
    <row r="15278" spans="3:47">
      <c r="C15278" s="20"/>
      <c r="Z15278" s="20"/>
      <c r="AG15278" s="20"/>
      <c r="AQ15278" s="19"/>
      <c r="AR15278" s="19"/>
      <c r="AS15278" s="19"/>
      <c r="AT15278" s="19"/>
      <c r="AU15278" s="19"/>
    </row>
    <row r="15279" spans="3:47">
      <c r="C15279" s="20"/>
      <c r="Z15279" s="20"/>
      <c r="AG15279" s="20"/>
      <c r="AQ15279" s="19"/>
      <c r="AR15279" s="19"/>
      <c r="AS15279" s="19"/>
      <c r="AT15279" s="19"/>
      <c r="AU15279" s="19"/>
    </row>
    <row r="15280" spans="3:47">
      <c r="C15280" s="20"/>
      <c r="Z15280" s="20"/>
      <c r="AG15280" s="20"/>
      <c r="AQ15280" s="19"/>
      <c r="AR15280" s="19"/>
      <c r="AS15280" s="19"/>
      <c r="AT15280" s="19"/>
      <c r="AU15280" s="19"/>
    </row>
    <row r="15281" spans="3:47">
      <c r="C15281" s="20"/>
      <c r="Z15281" s="20"/>
      <c r="AG15281" s="20"/>
      <c r="AQ15281" s="19"/>
      <c r="AR15281" s="19"/>
      <c r="AS15281" s="19"/>
      <c r="AT15281" s="19"/>
      <c r="AU15281" s="19"/>
    </row>
    <row r="15282" spans="3:47">
      <c r="C15282" s="20"/>
      <c r="Z15282" s="20"/>
      <c r="AG15282" s="20"/>
      <c r="AQ15282" s="19"/>
      <c r="AR15282" s="19"/>
      <c r="AS15282" s="19"/>
      <c r="AT15282" s="19"/>
      <c r="AU15282" s="19"/>
    </row>
    <row r="15283" spans="3:47">
      <c r="C15283" s="20"/>
      <c r="Z15283" s="20"/>
      <c r="AG15283" s="20"/>
      <c r="AQ15283" s="19"/>
      <c r="AR15283" s="19"/>
      <c r="AS15283" s="19"/>
      <c r="AT15283" s="19"/>
      <c r="AU15283" s="19"/>
    </row>
    <row r="15284" spans="3:47">
      <c r="C15284" s="20"/>
      <c r="Z15284" s="20"/>
      <c r="AG15284" s="20"/>
      <c r="AQ15284" s="19"/>
      <c r="AR15284" s="19"/>
      <c r="AS15284" s="19"/>
      <c r="AT15284" s="19"/>
      <c r="AU15284" s="19"/>
    </row>
    <row r="15285" spans="3:47">
      <c r="C15285" s="20"/>
      <c r="Z15285" s="20"/>
      <c r="AG15285" s="20"/>
      <c r="AQ15285" s="19"/>
      <c r="AR15285" s="19"/>
      <c r="AS15285" s="19"/>
      <c r="AT15285" s="19"/>
      <c r="AU15285" s="19"/>
    </row>
    <row r="15286" spans="3:47">
      <c r="C15286" s="20"/>
      <c r="Z15286" s="20"/>
      <c r="AG15286" s="20"/>
      <c r="AQ15286" s="19"/>
      <c r="AR15286" s="19"/>
      <c r="AS15286" s="19"/>
      <c r="AT15286" s="19"/>
      <c r="AU15286" s="19"/>
    </row>
    <row r="15287" spans="3:47">
      <c r="C15287" s="20"/>
      <c r="Z15287" s="20"/>
      <c r="AG15287" s="20"/>
      <c r="AQ15287" s="19"/>
      <c r="AR15287" s="19"/>
      <c r="AS15287" s="19"/>
      <c r="AT15287" s="19"/>
      <c r="AU15287" s="19"/>
    </row>
    <row r="15288" spans="3:47">
      <c r="C15288" s="20"/>
      <c r="Z15288" s="20"/>
      <c r="AG15288" s="20"/>
      <c r="AQ15288" s="19"/>
      <c r="AR15288" s="19"/>
      <c r="AS15288" s="19"/>
      <c r="AT15288" s="19"/>
      <c r="AU15288" s="19"/>
    </row>
    <row r="15289" spans="3:47">
      <c r="C15289" s="20"/>
      <c r="Z15289" s="20"/>
      <c r="AG15289" s="20"/>
      <c r="AQ15289" s="19"/>
      <c r="AR15289" s="19"/>
      <c r="AS15289" s="19"/>
      <c r="AT15289" s="19"/>
      <c r="AU15289" s="19"/>
    </row>
    <row r="15290" spans="3:47">
      <c r="C15290" s="20"/>
      <c r="Z15290" s="20"/>
      <c r="AG15290" s="20"/>
      <c r="AQ15290" s="19"/>
      <c r="AR15290" s="19"/>
      <c r="AS15290" s="19"/>
      <c r="AT15290" s="19"/>
      <c r="AU15290" s="19"/>
    </row>
    <row r="15291" spans="3:47">
      <c r="C15291" s="20"/>
      <c r="Z15291" s="20"/>
      <c r="AG15291" s="20"/>
      <c r="AQ15291" s="19"/>
      <c r="AR15291" s="19"/>
      <c r="AS15291" s="19"/>
      <c r="AT15291" s="19"/>
      <c r="AU15291" s="19"/>
    </row>
    <row r="15292" spans="3:47">
      <c r="C15292" s="20"/>
      <c r="Z15292" s="20"/>
      <c r="AG15292" s="20"/>
      <c r="AQ15292" s="19"/>
      <c r="AR15292" s="19"/>
      <c r="AS15292" s="19"/>
      <c r="AT15292" s="19"/>
      <c r="AU15292" s="19"/>
    </row>
    <row r="15293" spans="3:47">
      <c r="C15293" s="20"/>
      <c r="Z15293" s="20"/>
      <c r="AG15293" s="20"/>
      <c r="AQ15293" s="19"/>
      <c r="AR15293" s="19"/>
      <c r="AS15293" s="19"/>
      <c r="AT15293" s="19"/>
      <c r="AU15293" s="19"/>
    </row>
    <row r="15294" spans="3:47">
      <c r="C15294" s="20"/>
      <c r="Z15294" s="20"/>
      <c r="AG15294" s="20"/>
      <c r="AQ15294" s="19"/>
      <c r="AR15294" s="19"/>
      <c r="AS15294" s="19"/>
      <c r="AT15294" s="19"/>
      <c r="AU15294" s="19"/>
    </row>
    <row r="15295" spans="3:47">
      <c r="C15295" s="20"/>
      <c r="Z15295" s="20"/>
      <c r="AG15295" s="20"/>
      <c r="AQ15295" s="19"/>
      <c r="AR15295" s="19"/>
      <c r="AS15295" s="19"/>
      <c r="AT15295" s="19"/>
      <c r="AU15295" s="19"/>
    </row>
    <row r="15296" spans="3:47">
      <c r="C15296" s="20"/>
      <c r="Z15296" s="20"/>
      <c r="AG15296" s="20"/>
      <c r="AQ15296" s="19"/>
      <c r="AR15296" s="19"/>
      <c r="AS15296" s="19"/>
      <c r="AT15296" s="19"/>
      <c r="AU15296" s="19"/>
    </row>
    <row r="15297" spans="3:47">
      <c r="C15297" s="20"/>
      <c r="Z15297" s="20"/>
      <c r="AG15297" s="20"/>
      <c r="AQ15297" s="19"/>
      <c r="AR15297" s="19"/>
      <c r="AS15297" s="19"/>
      <c r="AT15297" s="19"/>
      <c r="AU15297" s="19"/>
    </row>
    <row r="15298" spans="3:47">
      <c r="C15298" s="20"/>
      <c r="Z15298" s="20"/>
      <c r="AG15298" s="20"/>
      <c r="AQ15298" s="19"/>
      <c r="AR15298" s="19"/>
      <c r="AS15298" s="19"/>
      <c r="AT15298" s="19"/>
      <c r="AU15298" s="19"/>
    </row>
    <row r="15299" spans="3:47">
      <c r="C15299" s="20"/>
      <c r="Z15299" s="20"/>
      <c r="AG15299" s="20"/>
      <c r="AQ15299" s="19"/>
      <c r="AR15299" s="19"/>
      <c r="AS15299" s="19"/>
      <c r="AT15299" s="19"/>
      <c r="AU15299" s="19"/>
    </row>
    <row r="15300" spans="3:47">
      <c r="C15300" s="20"/>
      <c r="Z15300" s="20"/>
      <c r="AG15300" s="20"/>
      <c r="AQ15300" s="19"/>
      <c r="AR15300" s="19"/>
      <c r="AS15300" s="19"/>
      <c r="AT15300" s="19"/>
      <c r="AU15300" s="19"/>
    </row>
    <row r="15301" spans="3:47">
      <c r="C15301" s="20"/>
      <c r="Z15301" s="20"/>
      <c r="AG15301" s="20"/>
      <c r="AQ15301" s="19"/>
      <c r="AR15301" s="19"/>
      <c r="AS15301" s="19"/>
      <c r="AT15301" s="19"/>
      <c r="AU15301" s="19"/>
    </row>
    <row r="15302" spans="3:47">
      <c r="C15302" s="20"/>
      <c r="Z15302" s="20"/>
      <c r="AG15302" s="20"/>
      <c r="AQ15302" s="19"/>
      <c r="AR15302" s="19"/>
      <c r="AS15302" s="19"/>
      <c r="AT15302" s="19"/>
      <c r="AU15302" s="19"/>
    </row>
    <row r="15303" spans="3:47">
      <c r="C15303" s="20"/>
      <c r="Z15303" s="20"/>
      <c r="AG15303" s="20"/>
      <c r="AQ15303" s="19"/>
      <c r="AR15303" s="19"/>
      <c r="AS15303" s="19"/>
      <c r="AT15303" s="19"/>
      <c r="AU15303" s="19"/>
    </row>
    <row r="15304" spans="3:47">
      <c r="C15304" s="20"/>
      <c r="Z15304" s="20"/>
      <c r="AG15304" s="20"/>
      <c r="AQ15304" s="19"/>
      <c r="AR15304" s="19"/>
      <c r="AS15304" s="19"/>
      <c r="AT15304" s="19"/>
      <c r="AU15304" s="19"/>
    </row>
    <row r="15305" spans="3:47">
      <c r="C15305" s="20"/>
      <c r="Z15305" s="20"/>
      <c r="AG15305" s="20"/>
      <c r="AQ15305" s="19"/>
      <c r="AR15305" s="19"/>
      <c r="AS15305" s="19"/>
      <c r="AT15305" s="19"/>
      <c r="AU15305" s="19"/>
    </row>
    <row r="15306" spans="3:47">
      <c r="C15306" s="20"/>
      <c r="Z15306" s="20"/>
      <c r="AG15306" s="20"/>
      <c r="AQ15306" s="19"/>
      <c r="AR15306" s="19"/>
      <c r="AS15306" s="19"/>
      <c r="AT15306" s="19"/>
      <c r="AU15306" s="19"/>
    </row>
    <row r="15307" spans="3:47">
      <c r="C15307" s="20"/>
      <c r="Z15307" s="20"/>
      <c r="AG15307" s="20"/>
      <c r="AQ15307" s="19"/>
      <c r="AR15307" s="19"/>
      <c r="AS15307" s="19"/>
      <c r="AT15307" s="19"/>
      <c r="AU15307" s="19"/>
    </row>
    <row r="15308" spans="3:47">
      <c r="C15308" s="20"/>
      <c r="Z15308" s="20"/>
      <c r="AG15308" s="20"/>
      <c r="AQ15308" s="19"/>
      <c r="AR15308" s="19"/>
      <c r="AS15308" s="19"/>
      <c r="AT15308" s="19"/>
      <c r="AU15308" s="19"/>
    </row>
    <row r="15309" spans="3:47">
      <c r="C15309" s="20"/>
      <c r="Z15309" s="20"/>
      <c r="AG15309" s="20"/>
      <c r="AQ15309" s="19"/>
      <c r="AR15309" s="19"/>
      <c r="AS15309" s="19"/>
      <c r="AT15309" s="19"/>
      <c r="AU15309" s="19"/>
    </row>
    <row r="15310" spans="3:47">
      <c r="C15310" s="20"/>
      <c r="Z15310" s="20"/>
      <c r="AG15310" s="20"/>
      <c r="AQ15310" s="19"/>
      <c r="AR15310" s="19"/>
      <c r="AS15310" s="19"/>
      <c r="AT15310" s="19"/>
      <c r="AU15310" s="19"/>
    </row>
    <row r="15311" spans="3:47">
      <c r="C15311" s="20"/>
      <c r="Z15311" s="20"/>
      <c r="AG15311" s="20"/>
      <c r="AQ15311" s="19"/>
      <c r="AR15311" s="19"/>
      <c r="AS15311" s="19"/>
      <c r="AT15311" s="19"/>
      <c r="AU15311" s="19"/>
    </row>
    <row r="15312" spans="3:47">
      <c r="C15312" s="20"/>
      <c r="Z15312" s="20"/>
      <c r="AG15312" s="20"/>
      <c r="AQ15312" s="19"/>
      <c r="AR15312" s="19"/>
      <c r="AS15312" s="19"/>
      <c r="AT15312" s="19"/>
      <c r="AU15312" s="19"/>
    </row>
    <row r="15313" spans="3:47">
      <c r="C15313" s="20"/>
      <c r="Z15313" s="20"/>
      <c r="AG15313" s="20"/>
      <c r="AQ15313" s="19"/>
      <c r="AR15313" s="19"/>
      <c r="AS15313" s="19"/>
      <c r="AT15313" s="19"/>
      <c r="AU15313" s="19"/>
    </row>
    <row r="15314" spans="3:47">
      <c r="C15314" s="20"/>
      <c r="Z15314" s="20"/>
      <c r="AG15314" s="20"/>
      <c r="AQ15314" s="19"/>
      <c r="AR15314" s="19"/>
      <c r="AS15314" s="19"/>
      <c r="AT15314" s="19"/>
      <c r="AU15314" s="19"/>
    </row>
    <row r="15315" spans="3:47">
      <c r="C15315" s="20"/>
      <c r="Z15315" s="20"/>
      <c r="AG15315" s="20"/>
      <c r="AQ15315" s="19"/>
      <c r="AR15315" s="19"/>
      <c r="AS15315" s="19"/>
      <c r="AT15315" s="19"/>
      <c r="AU15315" s="19"/>
    </row>
    <row r="15316" spans="3:47">
      <c r="C15316" s="20"/>
      <c r="Z15316" s="20"/>
      <c r="AG15316" s="20"/>
      <c r="AQ15316" s="19"/>
      <c r="AR15316" s="19"/>
      <c r="AS15316" s="19"/>
      <c r="AT15316" s="19"/>
      <c r="AU15316" s="19"/>
    </row>
    <row r="15317" spans="3:47">
      <c r="C15317" s="20"/>
      <c r="Z15317" s="20"/>
      <c r="AG15317" s="20"/>
      <c r="AQ15317" s="19"/>
      <c r="AR15317" s="19"/>
      <c r="AS15317" s="19"/>
      <c r="AT15317" s="19"/>
      <c r="AU15317" s="19"/>
    </row>
    <row r="15318" spans="3:47">
      <c r="C15318" s="20"/>
      <c r="Z15318" s="20"/>
      <c r="AG15318" s="20"/>
      <c r="AQ15318" s="19"/>
      <c r="AR15318" s="19"/>
      <c r="AS15318" s="19"/>
      <c r="AT15318" s="19"/>
      <c r="AU15318" s="19"/>
    </row>
    <row r="15319" spans="3:47">
      <c r="C15319" s="20"/>
      <c r="Z15319" s="20"/>
      <c r="AG15319" s="20"/>
      <c r="AQ15319" s="19"/>
      <c r="AR15319" s="19"/>
      <c r="AS15319" s="19"/>
      <c r="AT15319" s="19"/>
      <c r="AU15319" s="19"/>
    </row>
    <row r="15320" spans="3:47">
      <c r="C15320" s="20"/>
      <c r="Z15320" s="20"/>
      <c r="AG15320" s="20"/>
      <c r="AQ15320" s="19"/>
      <c r="AR15320" s="19"/>
      <c r="AS15320" s="19"/>
      <c r="AT15320" s="19"/>
      <c r="AU15320" s="19"/>
    </row>
    <row r="15321" spans="3:47">
      <c r="C15321" s="20"/>
      <c r="Z15321" s="20"/>
      <c r="AG15321" s="20"/>
      <c r="AQ15321" s="19"/>
      <c r="AR15321" s="19"/>
      <c r="AS15321" s="19"/>
      <c r="AT15321" s="19"/>
      <c r="AU15321" s="19"/>
    </row>
    <row r="15322" spans="3:47">
      <c r="C15322" s="20"/>
      <c r="Z15322" s="20"/>
      <c r="AG15322" s="20"/>
      <c r="AQ15322" s="19"/>
      <c r="AR15322" s="19"/>
      <c r="AS15322" s="19"/>
      <c r="AT15322" s="19"/>
      <c r="AU15322" s="19"/>
    </row>
    <row r="15323" spans="3:47">
      <c r="C15323" s="20"/>
      <c r="Z15323" s="20"/>
      <c r="AG15323" s="20"/>
      <c r="AQ15323" s="19"/>
      <c r="AR15323" s="19"/>
      <c r="AS15323" s="19"/>
      <c r="AT15323" s="19"/>
      <c r="AU15323" s="19"/>
    </row>
    <row r="15324" spans="3:47">
      <c r="C15324" s="20"/>
      <c r="Z15324" s="20"/>
      <c r="AG15324" s="20"/>
      <c r="AQ15324" s="19"/>
      <c r="AR15324" s="19"/>
      <c r="AS15324" s="19"/>
      <c r="AT15324" s="19"/>
      <c r="AU15324" s="19"/>
    </row>
    <row r="15325" spans="3:47">
      <c r="C15325" s="20"/>
      <c r="Z15325" s="20"/>
      <c r="AG15325" s="20"/>
      <c r="AQ15325" s="19"/>
      <c r="AR15325" s="19"/>
      <c r="AS15325" s="19"/>
      <c r="AT15325" s="19"/>
      <c r="AU15325" s="19"/>
    </row>
    <row r="15326" spans="3:47">
      <c r="C15326" s="20"/>
      <c r="Z15326" s="20"/>
      <c r="AG15326" s="20"/>
      <c r="AQ15326" s="19"/>
      <c r="AR15326" s="19"/>
      <c r="AS15326" s="19"/>
      <c r="AT15326" s="19"/>
      <c r="AU15326" s="19"/>
    </row>
    <row r="15327" spans="3:47">
      <c r="C15327" s="20"/>
      <c r="Z15327" s="20"/>
      <c r="AG15327" s="20"/>
      <c r="AQ15327" s="19"/>
      <c r="AR15327" s="19"/>
      <c r="AS15327" s="19"/>
      <c r="AT15327" s="19"/>
      <c r="AU15327" s="19"/>
    </row>
    <row r="15328" spans="3:47">
      <c r="C15328" s="20"/>
      <c r="Z15328" s="20"/>
      <c r="AG15328" s="20"/>
      <c r="AQ15328" s="19"/>
      <c r="AR15328" s="19"/>
      <c r="AS15328" s="19"/>
      <c r="AT15328" s="19"/>
      <c r="AU15328" s="19"/>
    </row>
    <row r="15329" spans="3:47">
      <c r="C15329" s="20"/>
      <c r="Z15329" s="20"/>
      <c r="AG15329" s="20"/>
      <c r="AQ15329" s="19"/>
      <c r="AR15329" s="19"/>
      <c r="AS15329" s="19"/>
      <c r="AT15329" s="19"/>
      <c r="AU15329" s="19"/>
    </row>
    <row r="15330" spans="3:47">
      <c r="C15330" s="20"/>
      <c r="Z15330" s="20"/>
      <c r="AG15330" s="20"/>
      <c r="AQ15330" s="19"/>
      <c r="AR15330" s="19"/>
      <c r="AS15330" s="19"/>
      <c r="AT15330" s="19"/>
      <c r="AU15330" s="19"/>
    </row>
    <row r="15331" spans="3:47">
      <c r="C15331" s="20"/>
      <c r="Z15331" s="20"/>
      <c r="AG15331" s="20"/>
      <c r="AQ15331" s="19"/>
      <c r="AR15331" s="19"/>
      <c r="AS15331" s="19"/>
      <c r="AT15331" s="19"/>
      <c r="AU15331" s="19"/>
    </row>
    <row r="15332" spans="3:47">
      <c r="C15332" s="20"/>
      <c r="Z15332" s="20"/>
      <c r="AG15332" s="20"/>
      <c r="AQ15332" s="19"/>
      <c r="AR15332" s="19"/>
      <c r="AS15332" s="19"/>
      <c r="AT15332" s="19"/>
      <c r="AU15332" s="19"/>
    </row>
    <row r="15333" spans="3:47">
      <c r="C15333" s="20"/>
      <c r="Z15333" s="20"/>
      <c r="AG15333" s="20"/>
      <c r="AQ15333" s="19"/>
      <c r="AR15333" s="19"/>
      <c r="AS15333" s="19"/>
      <c r="AT15333" s="19"/>
      <c r="AU15333" s="19"/>
    </row>
    <row r="15334" spans="3:47">
      <c r="C15334" s="20"/>
      <c r="Z15334" s="20"/>
      <c r="AG15334" s="20"/>
      <c r="AQ15334" s="19"/>
      <c r="AR15334" s="19"/>
      <c r="AS15334" s="19"/>
      <c r="AT15334" s="19"/>
      <c r="AU15334" s="19"/>
    </row>
    <row r="15335" spans="3:47">
      <c r="C15335" s="20"/>
      <c r="Z15335" s="20"/>
      <c r="AG15335" s="20"/>
      <c r="AQ15335" s="19"/>
      <c r="AR15335" s="19"/>
      <c r="AS15335" s="19"/>
      <c r="AT15335" s="19"/>
      <c r="AU15335" s="19"/>
    </row>
    <row r="15336" spans="3:47">
      <c r="C15336" s="20"/>
      <c r="Z15336" s="20"/>
      <c r="AG15336" s="20"/>
      <c r="AQ15336" s="19"/>
      <c r="AR15336" s="19"/>
      <c r="AS15336" s="19"/>
      <c r="AT15336" s="19"/>
      <c r="AU15336" s="19"/>
    </row>
    <row r="15337" spans="3:47">
      <c r="C15337" s="20"/>
      <c r="Z15337" s="20"/>
      <c r="AG15337" s="20"/>
      <c r="AQ15337" s="19"/>
      <c r="AR15337" s="19"/>
      <c r="AS15337" s="19"/>
      <c r="AT15337" s="19"/>
      <c r="AU15337" s="19"/>
    </row>
    <row r="15338" spans="3:47">
      <c r="C15338" s="20"/>
      <c r="Z15338" s="20"/>
      <c r="AG15338" s="20"/>
      <c r="AQ15338" s="19"/>
      <c r="AR15338" s="19"/>
      <c r="AS15338" s="19"/>
      <c r="AT15338" s="19"/>
      <c r="AU15338" s="19"/>
    </row>
    <row r="15339" spans="3:47">
      <c r="C15339" s="20"/>
      <c r="Z15339" s="20"/>
      <c r="AG15339" s="20"/>
      <c r="AQ15339" s="19"/>
      <c r="AR15339" s="19"/>
      <c r="AS15339" s="19"/>
      <c r="AT15339" s="19"/>
      <c r="AU15339" s="19"/>
    </row>
    <row r="15340" spans="3:47">
      <c r="C15340" s="20"/>
      <c r="Z15340" s="20"/>
      <c r="AG15340" s="20"/>
      <c r="AQ15340" s="19"/>
      <c r="AR15340" s="19"/>
      <c r="AS15340" s="19"/>
      <c r="AT15340" s="19"/>
      <c r="AU15340" s="19"/>
    </row>
    <row r="15341" spans="3:47">
      <c r="C15341" s="20"/>
      <c r="Z15341" s="20"/>
      <c r="AG15341" s="20"/>
      <c r="AQ15341" s="19"/>
      <c r="AR15341" s="19"/>
      <c r="AS15341" s="19"/>
      <c r="AT15341" s="19"/>
      <c r="AU15341" s="19"/>
    </row>
    <row r="15342" spans="3:47">
      <c r="C15342" s="20"/>
      <c r="Z15342" s="20"/>
      <c r="AG15342" s="20"/>
      <c r="AQ15342" s="19"/>
      <c r="AR15342" s="19"/>
      <c r="AS15342" s="19"/>
      <c r="AT15342" s="19"/>
      <c r="AU15342" s="19"/>
    </row>
    <row r="15343" spans="3:47">
      <c r="C15343" s="20"/>
      <c r="Z15343" s="20"/>
      <c r="AG15343" s="20"/>
      <c r="AQ15343" s="19"/>
      <c r="AR15343" s="19"/>
      <c r="AS15343" s="19"/>
      <c r="AT15343" s="19"/>
      <c r="AU15343" s="19"/>
    </row>
    <row r="15344" spans="3:47">
      <c r="C15344" s="20"/>
      <c r="Z15344" s="20"/>
      <c r="AG15344" s="20"/>
      <c r="AQ15344" s="19"/>
      <c r="AR15344" s="19"/>
      <c r="AS15344" s="19"/>
      <c r="AT15344" s="19"/>
      <c r="AU15344" s="19"/>
    </row>
    <row r="15345" spans="3:47">
      <c r="C15345" s="20"/>
      <c r="Z15345" s="20"/>
      <c r="AG15345" s="20"/>
      <c r="AQ15345" s="19"/>
      <c r="AR15345" s="19"/>
      <c r="AS15345" s="19"/>
      <c r="AT15345" s="19"/>
      <c r="AU15345" s="19"/>
    </row>
    <row r="15346" spans="3:47">
      <c r="C15346" s="20"/>
      <c r="Z15346" s="20"/>
      <c r="AG15346" s="20"/>
      <c r="AQ15346" s="19"/>
      <c r="AR15346" s="19"/>
      <c r="AS15346" s="19"/>
      <c r="AT15346" s="19"/>
      <c r="AU15346" s="19"/>
    </row>
    <row r="15347" spans="3:47">
      <c r="C15347" s="20"/>
      <c r="Z15347" s="20"/>
      <c r="AG15347" s="20"/>
      <c r="AQ15347" s="19"/>
      <c r="AR15347" s="19"/>
      <c r="AS15347" s="19"/>
      <c r="AT15347" s="19"/>
      <c r="AU15347" s="19"/>
    </row>
    <row r="15348" spans="3:47">
      <c r="C15348" s="20"/>
      <c r="Z15348" s="20"/>
      <c r="AG15348" s="20"/>
      <c r="AQ15348" s="19"/>
      <c r="AR15348" s="19"/>
      <c r="AS15348" s="19"/>
      <c r="AT15348" s="19"/>
      <c r="AU15348" s="19"/>
    </row>
    <row r="15349" spans="3:47">
      <c r="C15349" s="20"/>
      <c r="Z15349" s="20"/>
      <c r="AG15349" s="20"/>
      <c r="AQ15349" s="19"/>
      <c r="AR15349" s="19"/>
      <c r="AS15349" s="19"/>
      <c r="AT15349" s="19"/>
      <c r="AU15349" s="19"/>
    </row>
    <row r="15350" spans="3:47">
      <c r="C15350" s="20"/>
      <c r="Z15350" s="20"/>
      <c r="AG15350" s="20"/>
      <c r="AQ15350" s="19"/>
      <c r="AR15350" s="19"/>
      <c r="AS15350" s="19"/>
      <c r="AT15350" s="19"/>
      <c r="AU15350" s="19"/>
    </row>
    <row r="15351" spans="3:47">
      <c r="C15351" s="20"/>
      <c r="Z15351" s="20"/>
      <c r="AG15351" s="20"/>
      <c r="AQ15351" s="19"/>
      <c r="AR15351" s="19"/>
      <c r="AS15351" s="19"/>
      <c r="AT15351" s="19"/>
      <c r="AU15351" s="19"/>
    </row>
    <row r="15352" spans="3:47">
      <c r="C15352" s="20"/>
      <c r="Z15352" s="20"/>
      <c r="AG15352" s="20"/>
      <c r="AQ15352" s="19"/>
      <c r="AR15352" s="19"/>
      <c r="AS15352" s="19"/>
      <c r="AT15352" s="19"/>
      <c r="AU15352" s="19"/>
    </row>
    <row r="15353" spans="3:47">
      <c r="C15353" s="20"/>
      <c r="Z15353" s="20"/>
      <c r="AG15353" s="20"/>
      <c r="AQ15353" s="19"/>
      <c r="AR15353" s="19"/>
      <c r="AS15353" s="19"/>
      <c r="AT15353" s="19"/>
      <c r="AU15353" s="19"/>
    </row>
    <row r="15354" spans="3:47">
      <c r="C15354" s="20"/>
      <c r="Z15354" s="20"/>
      <c r="AG15354" s="20"/>
      <c r="AQ15354" s="19"/>
      <c r="AR15354" s="19"/>
      <c r="AS15354" s="19"/>
      <c r="AT15354" s="19"/>
      <c r="AU15354" s="19"/>
    </row>
    <row r="15355" spans="3:47">
      <c r="C15355" s="20"/>
      <c r="Z15355" s="20"/>
      <c r="AG15355" s="20"/>
      <c r="AQ15355" s="19"/>
      <c r="AR15355" s="19"/>
      <c r="AS15355" s="19"/>
      <c r="AT15355" s="19"/>
      <c r="AU15355" s="19"/>
    </row>
    <row r="15356" spans="3:47">
      <c r="C15356" s="20"/>
      <c r="Z15356" s="20"/>
      <c r="AG15356" s="20"/>
      <c r="AQ15356" s="19"/>
      <c r="AR15356" s="19"/>
      <c r="AS15356" s="19"/>
      <c r="AT15356" s="19"/>
      <c r="AU15356" s="19"/>
    </row>
    <row r="15357" spans="3:47">
      <c r="C15357" s="20"/>
      <c r="Z15357" s="20"/>
      <c r="AG15357" s="20"/>
      <c r="AQ15357" s="19"/>
      <c r="AR15357" s="19"/>
      <c r="AS15357" s="19"/>
      <c r="AT15357" s="19"/>
      <c r="AU15357" s="19"/>
    </row>
    <row r="15358" spans="3:47">
      <c r="C15358" s="20"/>
      <c r="Z15358" s="20"/>
      <c r="AG15358" s="20"/>
      <c r="AQ15358" s="19"/>
      <c r="AR15358" s="19"/>
      <c r="AS15358" s="19"/>
      <c r="AT15358" s="19"/>
      <c r="AU15358" s="19"/>
    </row>
    <row r="15359" spans="3:47">
      <c r="C15359" s="20"/>
      <c r="Z15359" s="20"/>
      <c r="AG15359" s="20"/>
      <c r="AQ15359" s="19"/>
      <c r="AR15359" s="19"/>
      <c r="AS15359" s="19"/>
      <c r="AT15359" s="19"/>
      <c r="AU15359" s="19"/>
    </row>
    <row r="15360" spans="3:47">
      <c r="C15360" s="20"/>
      <c r="Z15360" s="20"/>
      <c r="AG15360" s="20"/>
      <c r="AQ15360" s="19"/>
      <c r="AR15360" s="19"/>
      <c r="AS15360" s="19"/>
      <c r="AT15360" s="19"/>
      <c r="AU15360" s="19"/>
    </row>
    <row r="15361" spans="3:47">
      <c r="C15361" s="20"/>
      <c r="Z15361" s="20"/>
      <c r="AG15361" s="20"/>
      <c r="AQ15361" s="19"/>
      <c r="AR15361" s="19"/>
      <c r="AS15361" s="19"/>
      <c r="AT15361" s="19"/>
      <c r="AU15361" s="19"/>
    </row>
    <row r="15362" spans="3:47">
      <c r="C15362" s="20"/>
      <c r="Z15362" s="20"/>
      <c r="AG15362" s="20"/>
      <c r="AQ15362" s="19"/>
      <c r="AR15362" s="19"/>
      <c r="AS15362" s="19"/>
      <c r="AT15362" s="19"/>
      <c r="AU15362" s="19"/>
    </row>
    <row r="15363" spans="3:47">
      <c r="C15363" s="20"/>
      <c r="Z15363" s="20"/>
      <c r="AG15363" s="20"/>
      <c r="AQ15363" s="19"/>
      <c r="AR15363" s="19"/>
      <c r="AS15363" s="19"/>
      <c r="AT15363" s="19"/>
      <c r="AU15363" s="19"/>
    </row>
    <row r="15364" spans="3:47">
      <c r="C15364" s="20"/>
      <c r="Z15364" s="20"/>
      <c r="AG15364" s="20"/>
      <c r="AQ15364" s="19"/>
      <c r="AR15364" s="19"/>
      <c r="AS15364" s="19"/>
      <c r="AT15364" s="19"/>
      <c r="AU15364" s="19"/>
    </row>
    <row r="15365" spans="3:47">
      <c r="C15365" s="20"/>
      <c r="Z15365" s="20"/>
      <c r="AG15365" s="20"/>
      <c r="AQ15365" s="19"/>
      <c r="AR15365" s="19"/>
      <c r="AS15365" s="19"/>
      <c r="AT15365" s="19"/>
      <c r="AU15365" s="19"/>
    </row>
    <row r="15366" spans="3:47">
      <c r="C15366" s="20"/>
      <c r="Z15366" s="20"/>
      <c r="AG15366" s="20"/>
      <c r="AQ15366" s="19"/>
      <c r="AR15366" s="19"/>
      <c r="AS15366" s="19"/>
      <c r="AT15366" s="19"/>
      <c r="AU15366" s="19"/>
    </row>
    <row r="15367" spans="3:47">
      <c r="C15367" s="20"/>
      <c r="Z15367" s="20"/>
      <c r="AG15367" s="20"/>
      <c r="AQ15367" s="19"/>
      <c r="AR15367" s="19"/>
      <c r="AS15367" s="19"/>
      <c r="AT15367" s="19"/>
      <c r="AU15367" s="19"/>
    </row>
    <row r="15368" spans="3:47">
      <c r="C15368" s="20"/>
      <c r="Z15368" s="20"/>
      <c r="AG15368" s="20"/>
      <c r="AQ15368" s="19"/>
      <c r="AR15368" s="19"/>
      <c r="AS15368" s="19"/>
      <c r="AT15368" s="19"/>
      <c r="AU15368" s="19"/>
    </row>
    <row r="15369" spans="3:47">
      <c r="C15369" s="20"/>
      <c r="Z15369" s="20"/>
      <c r="AG15369" s="20"/>
      <c r="AQ15369" s="19"/>
      <c r="AR15369" s="19"/>
      <c r="AS15369" s="19"/>
      <c r="AT15369" s="19"/>
      <c r="AU15369" s="19"/>
    </row>
    <row r="15370" spans="3:47">
      <c r="C15370" s="20"/>
      <c r="Z15370" s="20"/>
      <c r="AG15370" s="20"/>
      <c r="AQ15370" s="19"/>
      <c r="AR15370" s="19"/>
      <c r="AS15370" s="19"/>
      <c r="AT15370" s="19"/>
      <c r="AU15370" s="19"/>
    </row>
    <row r="15371" spans="3:47">
      <c r="C15371" s="20"/>
      <c r="Z15371" s="20"/>
      <c r="AG15371" s="20"/>
      <c r="AQ15371" s="19"/>
      <c r="AR15371" s="19"/>
      <c r="AS15371" s="19"/>
      <c r="AT15371" s="19"/>
      <c r="AU15371" s="19"/>
    </row>
    <row r="15372" spans="3:47">
      <c r="C15372" s="20"/>
      <c r="Z15372" s="20"/>
      <c r="AG15372" s="20"/>
      <c r="AQ15372" s="19"/>
      <c r="AR15372" s="19"/>
      <c r="AS15372" s="19"/>
      <c r="AT15372" s="19"/>
      <c r="AU15372" s="19"/>
    </row>
    <row r="15373" spans="3:47">
      <c r="C15373" s="20"/>
      <c r="Z15373" s="20"/>
      <c r="AG15373" s="20"/>
      <c r="AQ15373" s="19"/>
      <c r="AR15373" s="19"/>
      <c r="AS15373" s="19"/>
      <c r="AT15373" s="19"/>
      <c r="AU15373" s="19"/>
    </row>
    <row r="15374" spans="3:47">
      <c r="C15374" s="20"/>
      <c r="Z15374" s="20"/>
      <c r="AG15374" s="20"/>
      <c r="AQ15374" s="19"/>
      <c r="AR15374" s="19"/>
      <c r="AS15374" s="19"/>
      <c r="AT15374" s="19"/>
      <c r="AU15374" s="19"/>
    </row>
    <row r="15375" spans="3:47">
      <c r="C15375" s="20"/>
      <c r="Z15375" s="20"/>
      <c r="AG15375" s="20"/>
      <c r="AQ15375" s="19"/>
      <c r="AR15375" s="19"/>
      <c r="AS15375" s="19"/>
      <c r="AT15375" s="19"/>
      <c r="AU15375" s="19"/>
    </row>
    <row r="15376" spans="3:47">
      <c r="C15376" s="20"/>
      <c r="Z15376" s="20"/>
      <c r="AG15376" s="20"/>
      <c r="AQ15376" s="19"/>
      <c r="AR15376" s="19"/>
      <c r="AS15376" s="19"/>
      <c r="AT15376" s="19"/>
      <c r="AU15376" s="19"/>
    </row>
    <row r="15377" spans="3:47">
      <c r="C15377" s="20"/>
      <c r="Z15377" s="20"/>
      <c r="AG15377" s="20"/>
      <c r="AQ15377" s="19"/>
      <c r="AR15377" s="19"/>
      <c r="AS15377" s="19"/>
      <c r="AT15377" s="19"/>
      <c r="AU15377" s="19"/>
    </row>
    <row r="15378" spans="3:47">
      <c r="C15378" s="20"/>
      <c r="Z15378" s="20"/>
      <c r="AG15378" s="20"/>
      <c r="AQ15378" s="19"/>
      <c r="AR15378" s="19"/>
      <c r="AS15378" s="19"/>
      <c r="AT15378" s="19"/>
      <c r="AU15378" s="19"/>
    </row>
    <row r="15379" spans="3:47">
      <c r="C15379" s="20"/>
      <c r="Z15379" s="20"/>
      <c r="AG15379" s="20"/>
      <c r="AQ15379" s="19"/>
      <c r="AR15379" s="19"/>
      <c r="AS15379" s="19"/>
      <c r="AT15379" s="19"/>
      <c r="AU15379" s="19"/>
    </row>
    <row r="15380" spans="3:47">
      <c r="C15380" s="20"/>
      <c r="Z15380" s="20"/>
      <c r="AG15380" s="20"/>
      <c r="AQ15380" s="19"/>
      <c r="AR15380" s="19"/>
      <c r="AS15380" s="19"/>
      <c r="AT15380" s="19"/>
      <c r="AU15380" s="19"/>
    </row>
    <row r="15381" spans="3:47">
      <c r="C15381" s="20"/>
      <c r="Z15381" s="20"/>
      <c r="AG15381" s="20"/>
      <c r="AQ15381" s="19"/>
      <c r="AR15381" s="19"/>
      <c r="AS15381" s="19"/>
      <c r="AT15381" s="19"/>
      <c r="AU15381" s="19"/>
    </row>
    <row r="15382" spans="3:47">
      <c r="C15382" s="20"/>
      <c r="Z15382" s="20"/>
      <c r="AG15382" s="20"/>
      <c r="AQ15382" s="19"/>
      <c r="AR15382" s="19"/>
      <c r="AS15382" s="19"/>
      <c r="AT15382" s="19"/>
      <c r="AU15382" s="19"/>
    </row>
    <row r="15383" spans="3:47">
      <c r="C15383" s="20"/>
      <c r="Z15383" s="20"/>
      <c r="AG15383" s="20"/>
      <c r="AQ15383" s="19"/>
      <c r="AR15383" s="19"/>
      <c r="AS15383" s="19"/>
      <c r="AT15383" s="19"/>
      <c r="AU15383" s="19"/>
    </row>
    <row r="15384" spans="3:47">
      <c r="C15384" s="20"/>
      <c r="Z15384" s="20"/>
      <c r="AG15384" s="20"/>
      <c r="AQ15384" s="19"/>
      <c r="AR15384" s="19"/>
      <c r="AS15384" s="19"/>
      <c r="AT15384" s="19"/>
      <c r="AU15384" s="19"/>
    </row>
    <row r="15385" spans="3:47">
      <c r="C15385" s="20"/>
      <c r="Z15385" s="20"/>
      <c r="AG15385" s="20"/>
      <c r="AQ15385" s="19"/>
      <c r="AR15385" s="19"/>
      <c r="AS15385" s="19"/>
      <c r="AT15385" s="19"/>
      <c r="AU15385" s="19"/>
    </row>
    <row r="15386" spans="3:47">
      <c r="C15386" s="20"/>
      <c r="Z15386" s="20"/>
      <c r="AG15386" s="20"/>
      <c r="AQ15386" s="19"/>
      <c r="AR15386" s="19"/>
      <c r="AS15386" s="19"/>
      <c r="AT15386" s="19"/>
      <c r="AU15386" s="19"/>
    </row>
    <row r="15387" spans="3:47">
      <c r="C15387" s="20"/>
      <c r="Z15387" s="20"/>
      <c r="AG15387" s="20"/>
      <c r="AQ15387" s="19"/>
      <c r="AR15387" s="19"/>
      <c r="AS15387" s="19"/>
      <c r="AT15387" s="19"/>
      <c r="AU15387" s="19"/>
    </row>
    <row r="15388" spans="3:47">
      <c r="C15388" s="20"/>
      <c r="Z15388" s="20"/>
      <c r="AG15388" s="20"/>
      <c r="AQ15388" s="19"/>
      <c r="AR15388" s="19"/>
      <c r="AS15388" s="19"/>
      <c r="AT15388" s="19"/>
      <c r="AU15388" s="19"/>
    </row>
    <row r="15389" spans="3:47">
      <c r="C15389" s="20"/>
      <c r="Z15389" s="20"/>
      <c r="AG15389" s="20"/>
      <c r="AQ15389" s="19"/>
      <c r="AR15389" s="19"/>
      <c r="AS15389" s="19"/>
      <c r="AT15389" s="19"/>
      <c r="AU15389" s="19"/>
    </row>
    <row r="15390" spans="3:47">
      <c r="C15390" s="20"/>
      <c r="Z15390" s="20"/>
      <c r="AG15390" s="20"/>
      <c r="AQ15390" s="19"/>
      <c r="AR15390" s="19"/>
      <c r="AS15390" s="19"/>
      <c r="AT15390" s="19"/>
      <c r="AU15390" s="19"/>
    </row>
    <row r="15391" spans="3:47">
      <c r="C15391" s="20"/>
      <c r="Z15391" s="20"/>
      <c r="AG15391" s="20"/>
      <c r="AQ15391" s="19"/>
      <c r="AR15391" s="19"/>
      <c r="AS15391" s="19"/>
      <c r="AT15391" s="19"/>
      <c r="AU15391" s="19"/>
    </row>
    <row r="15392" spans="3:47">
      <c r="C15392" s="20"/>
      <c r="Z15392" s="20"/>
      <c r="AG15392" s="20"/>
      <c r="AQ15392" s="19"/>
      <c r="AR15392" s="19"/>
      <c r="AS15392" s="19"/>
      <c r="AT15392" s="19"/>
      <c r="AU15392" s="19"/>
    </row>
    <row r="15393" spans="3:47">
      <c r="C15393" s="20"/>
      <c r="Z15393" s="20"/>
      <c r="AG15393" s="20"/>
      <c r="AQ15393" s="19"/>
      <c r="AR15393" s="19"/>
      <c r="AS15393" s="19"/>
      <c r="AT15393" s="19"/>
      <c r="AU15393" s="19"/>
    </row>
    <row r="15394" spans="3:47">
      <c r="C15394" s="20"/>
      <c r="Z15394" s="20"/>
      <c r="AG15394" s="20"/>
      <c r="AQ15394" s="19"/>
      <c r="AR15394" s="19"/>
      <c r="AS15394" s="19"/>
      <c r="AT15394" s="19"/>
      <c r="AU15394" s="19"/>
    </row>
    <row r="15395" spans="3:47">
      <c r="C15395" s="20"/>
      <c r="Z15395" s="20"/>
      <c r="AG15395" s="20"/>
      <c r="AQ15395" s="19"/>
      <c r="AR15395" s="19"/>
      <c r="AS15395" s="19"/>
      <c r="AT15395" s="19"/>
      <c r="AU15395" s="19"/>
    </row>
    <row r="15396" spans="3:47">
      <c r="C15396" s="20"/>
      <c r="Z15396" s="20"/>
      <c r="AG15396" s="20"/>
      <c r="AQ15396" s="19"/>
      <c r="AR15396" s="19"/>
      <c r="AS15396" s="19"/>
      <c r="AT15396" s="19"/>
      <c r="AU15396" s="19"/>
    </row>
    <row r="15397" spans="3:47">
      <c r="C15397" s="20"/>
      <c r="Z15397" s="20"/>
      <c r="AG15397" s="20"/>
      <c r="AQ15397" s="19"/>
      <c r="AR15397" s="19"/>
      <c r="AS15397" s="19"/>
      <c r="AT15397" s="19"/>
      <c r="AU15397" s="19"/>
    </row>
    <row r="15398" spans="3:47">
      <c r="C15398" s="20"/>
      <c r="Z15398" s="20"/>
      <c r="AG15398" s="20"/>
      <c r="AQ15398" s="19"/>
      <c r="AR15398" s="19"/>
      <c r="AS15398" s="19"/>
      <c r="AT15398" s="19"/>
      <c r="AU15398" s="19"/>
    </row>
    <row r="15399" spans="3:47">
      <c r="C15399" s="20"/>
      <c r="Z15399" s="20"/>
      <c r="AG15399" s="20"/>
      <c r="AQ15399" s="19"/>
      <c r="AR15399" s="19"/>
      <c r="AS15399" s="19"/>
      <c r="AT15399" s="19"/>
      <c r="AU15399" s="19"/>
    </row>
    <row r="15400" spans="3:47">
      <c r="C15400" s="20"/>
      <c r="Z15400" s="20"/>
      <c r="AG15400" s="20"/>
      <c r="AQ15400" s="19"/>
      <c r="AR15400" s="19"/>
      <c r="AS15400" s="19"/>
      <c r="AT15400" s="19"/>
      <c r="AU15400" s="19"/>
    </row>
    <row r="15401" spans="3:47">
      <c r="C15401" s="20"/>
      <c r="Z15401" s="20"/>
      <c r="AG15401" s="20"/>
      <c r="AQ15401" s="19"/>
      <c r="AR15401" s="19"/>
      <c r="AS15401" s="19"/>
      <c r="AT15401" s="19"/>
      <c r="AU15401" s="19"/>
    </row>
    <row r="15402" spans="3:47">
      <c r="C15402" s="20"/>
      <c r="Z15402" s="20"/>
      <c r="AG15402" s="20"/>
      <c r="AQ15402" s="19"/>
      <c r="AR15402" s="19"/>
      <c r="AS15402" s="19"/>
      <c r="AT15402" s="19"/>
      <c r="AU15402" s="19"/>
    </row>
    <row r="15403" spans="3:47">
      <c r="C15403" s="20"/>
      <c r="Z15403" s="20"/>
      <c r="AG15403" s="20"/>
      <c r="AQ15403" s="19"/>
      <c r="AR15403" s="19"/>
      <c r="AS15403" s="19"/>
      <c r="AT15403" s="19"/>
      <c r="AU15403" s="19"/>
    </row>
    <row r="15404" spans="3:47">
      <c r="C15404" s="20"/>
      <c r="Z15404" s="20"/>
      <c r="AG15404" s="20"/>
      <c r="AQ15404" s="19"/>
      <c r="AR15404" s="19"/>
      <c r="AS15404" s="19"/>
      <c r="AT15404" s="19"/>
      <c r="AU15404" s="19"/>
    </row>
    <row r="15405" spans="3:47">
      <c r="C15405" s="20"/>
      <c r="Z15405" s="20"/>
      <c r="AG15405" s="20"/>
      <c r="AQ15405" s="19"/>
      <c r="AR15405" s="19"/>
      <c r="AS15405" s="19"/>
      <c r="AT15405" s="19"/>
      <c r="AU15405" s="19"/>
    </row>
    <row r="15406" spans="3:47">
      <c r="C15406" s="20"/>
      <c r="Z15406" s="20"/>
      <c r="AG15406" s="20"/>
      <c r="AQ15406" s="19"/>
      <c r="AR15406" s="19"/>
      <c r="AS15406" s="19"/>
      <c r="AT15406" s="19"/>
      <c r="AU15406" s="19"/>
    </row>
    <row r="15407" spans="3:47">
      <c r="C15407" s="20"/>
      <c r="Z15407" s="20"/>
      <c r="AG15407" s="20"/>
      <c r="AQ15407" s="19"/>
      <c r="AR15407" s="19"/>
      <c r="AS15407" s="19"/>
      <c r="AT15407" s="19"/>
      <c r="AU15407" s="19"/>
    </row>
    <row r="15408" spans="3:47">
      <c r="C15408" s="20"/>
      <c r="Z15408" s="20"/>
      <c r="AG15408" s="20"/>
      <c r="AQ15408" s="19"/>
      <c r="AR15408" s="19"/>
      <c r="AS15408" s="19"/>
      <c r="AT15408" s="19"/>
      <c r="AU15408" s="19"/>
    </row>
    <row r="15409" spans="3:47">
      <c r="C15409" s="20"/>
      <c r="Z15409" s="20"/>
      <c r="AG15409" s="20"/>
      <c r="AQ15409" s="19"/>
      <c r="AR15409" s="19"/>
      <c r="AS15409" s="19"/>
      <c r="AT15409" s="19"/>
      <c r="AU15409" s="19"/>
    </row>
    <row r="15410" spans="3:47">
      <c r="C15410" s="20"/>
      <c r="Z15410" s="20"/>
      <c r="AG15410" s="20"/>
      <c r="AQ15410" s="19"/>
      <c r="AR15410" s="19"/>
      <c r="AS15410" s="19"/>
      <c r="AT15410" s="19"/>
      <c r="AU15410" s="19"/>
    </row>
    <row r="15411" spans="3:47">
      <c r="C15411" s="20"/>
      <c r="Z15411" s="20"/>
      <c r="AG15411" s="20"/>
      <c r="AQ15411" s="19"/>
      <c r="AR15411" s="19"/>
      <c r="AS15411" s="19"/>
      <c r="AT15411" s="19"/>
      <c r="AU15411" s="19"/>
    </row>
    <row r="15412" spans="3:47">
      <c r="C15412" s="20"/>
      <c r="Z15412" s="20"/>
      <c r="AG15412" s="20"/>
      <c r="AQ15412" s="19"/>
      <c r="AR15412" s="19"/>
      <c r="AS15412" s="19"/>
      <c r="AT15412" s="19"/>
      <c r="AU15412" s="19"/>
    </row>
    <row r="15413" spans="3:47">
      <c r="C15413" s="20"/>
      <c r="Z15413" s="20"/>
      <c r="AG15413" s="20"/>
      <c r="AQ15413" s="19"/>
      <c r="AR15413" s="19"/>
      <c r="AS15413" s="19"/>
      <c r="AT15413" s="19"/>
      <c r="AU15413" s="19"/>
    </row>
    <row r="15414" spans="3:47">
      <c r="C15414" s="20"/>
      <c r="Z15414" s="20"/>
      <c r="AG15414" s="20"/>
      <c r="AQ15414" s="19"/>
      <c r="AR15414" s="19"/>
      <c r="AS15414" s="19"/>
      <c r="AT15414" s="19"/>
      <c r="AU15414" s="19"/>
    </row>
    <row r="15415" spans="3:47">
      <c r="C15415" s="20"/>
      <c r="Z15415" s="20"/>
      <c r="AG15415" s="20"/>
      <c r="AQ15415" s="19"/>
      <c r="AR15415" s="19"/>
      <c r="AS15415" s="19"/>
      <c r="AT15415" s="19"/>
      <c r="AU15415" s="19"/>
    </row>
    <row r="15416" spans="3:47">
      <c r="C15416" s="20"/>
      <c r="Z15416" s="20"/>
      <c r="AG15416" s="20"/>
      <c r="AQ15416" s="19"/>
      <c r="AR15416" s="19"/>
      <c r="AS15416" s="19"/>
      <c r="AT15416" s="19"/>
      <c r="AU15416" s="19"/>
    </row>
    <row r="15417" spans="3:47">
      <c r="C15417" s="20"/>
      <c r="Z15417" s="20"/>
      <c r="AG15417" s="20"/>
      <c r="AQ15417" s="19"/>
      <c r="AR15417" s="19"/>
      <c r="AS15417" s="19"/>
      <c r="AT15417" s="19"/>
      <c r="AU15417" s="19"/>
    </row>
    <row r="15418" spans="3:47">
      <c r="C15418" s="20"/>
      <c r="Z15418" s="20"/>
      <c r="AG15418" s="20"/>
      <c r="AQ15418" s="19"/>
      <c r="AR15418" s="19"/>
      <c r="AS15418" s="19"/>
      <c r="AT15418" s="19"/>
      <c r="AU15418" s="19"/>
    </row>
    <row r="15419" spans="3:47">
      <c r="C15419" s="20"/>
      <c r="Z15419" s="20"/>
      <c r="AG15419" s="20"/>
      <c r="AQ15419" s="19"/>
      <c r="AR15419" s="19"/>
      <c r="AS15419" s="19"/>
      <c r="AT15419" s="19"/>
      <c r="AU15419" s="19"/>
    </row>
    <row r="15420" spans="3:47">
      <c r="C15420" s="20"/>
      <c r="Z15420" s="20"/>
      <c r="AG15420" s="20"/>
      <c r="AQ15420" s="19"/>
      <c r="AR15420" s="19"/>
      <c r="AS15420" s="19"/>
      <c r="AT15420" s="19"/>
      <c r="AU15420" s="19"/>
    </row>
    <row r="15421" spans="3:47">
      <c r="C15421" s="20"/>
      <c r="Z15421" s="20"/>
      <c r="AG15421" s="20"/>
      <c r="AQ15421" s="19"/>
      <c r="AR15421" s="19"/>
      <c r="AS15421" s="19"/>
      <c r="AT15421" s="19"/>
      <c r="AU15421" s="19"/>
    </row>
    <row r="15422" spans="3:47">
      <c r="C15422" s="20"/>
      <c r="Z15422" s="20"/>
      <c r="AG15422" s="20"/>
      <c r="AQ15422" s="19"/>
      <c r="AR15422" s="19"/>
      <c r="AS15422" s="19"/>
      <c r="AT15422" s="19"/>
      <c r="AU15422" s="19"/>
    </row>
    <row r="15423" spans="3:47">
      <c r="C15423" s="20"/>
      <c r="Z15423" s="20"/>
      <c r="AG15423" s="20"/>
      <c r="AQ15423" s="19"/>
      <c r="AR15423" s="19"/>
      <c r="AS15423" s="19"/>
      <c r="AT15423" s="19"/>
      <c r="AU15423" s="19"/>
    </row>
    <row r="15424" spans="3:47">
      <c r="C15424" s="20"/>
      <c r="Z15424" s="20"/>
      <c r="AG15424" s="20"/>
      <c r="AQ15424" s="19"/>
      <c r="AR15424" s="19"/>
      <c r="AS15424" s="19"/>
      <c r="AT15424" s="19"/>
      <c r="AU15424" s="19"/>
    </row>
    <row r="15425" spans="3:47">
      <c r="C15425" s="20"/>
      <c r="Z15425" s="20"/>
      <c r="AG15425" s="20"/>
      <c r="AQ15425" s="19"/>
      <c r="AR15425" s="19"/>
      <c r="AS15425" s="19"/>
      <c r="AT15425" s="19"/>
      <c r="AU15425" s="19"/>
    </row>
    <row r="15426" spans="3:47">
      <c r="C15426" s="20"/>
      <c r="Z15426" s="20"/>
      <c r="AG15426" s="20"/>
      <c r="AQ15426" s="19"/>
      <c r="AR15426" s="19"/>
      <c r="AS15426" s="19"/>
      <c r="AT15426" s="19"/>
      <c r="AU15426" s="19"/>
    </row>
    <row r="15427" spans="3:47">
      <c r="C15427" s="20"/>
      <c r="Z15427" s="20"/>
      <c r="AG15427" s="20"/>
      <c r="AQ15427" s="19"/>
      <c r="AR15427" s="19"/>
      <c r="AS15427" s="19"/>
      <c r="AT15427" s="19"/>
      <c r="AU15427" s="19"/>
    </row>
    <row r="15428" spans="3:47">
      <c r="C15428" s="20"/>
      <c r="Z15428" s="20"/>
      <c r="AG15428" s="20"/>
      <c r="AQ15428" s="19"/>
      <c r="AR15428" s="19"/>
      <c r="AS15428" s="19"/>
      <c r="AT15428" s="19"/>
      <c r="AU15428" s="19"/>
    </row>
    <row r="15429" spans="3:47">
      <c r="C15429" s="20"/>
      <c r="Z15429" s="20"/>
      <c r="AG15429" s="20"/>
      <c r="AQ15429" s="19"/>
      <c r="AR15429" s="19"/>
      <c r="AS15429" s="19"/>
      <c r="AT15429" s="19"/>
      <c r="AU15429" s="19"/>
    </row>
    <row r="15430" spans="3:47">
      <c r="C15430" s="20"/>
      <c r="Z15430" s="20"/>
      <c r="AG15430" s="20"/>
      <c r="AQ15430" s="19"/>
      <c r="AR15430" s="19"/>
      <c r="AS15430" s="19"/>
      <c r="AT15430" s="19"/>
      <c r="AU15430" s="19"/>
    </row>
    <row r="15431" spans="3:47">
      <c r="C15431" s="20"/>
      <c r="Z15431" s="20"/>
      <c r="AG15431" s="20"/>
      <c r="AQ15431" s="19"/>
      <c r="AR15431" s="19"/>
      <c r="AS15431" s="19"/>
      <c r="AT15431" s="19"/>
      <c r="AU15431" s="19"/>
    </row>
    <row r="15432" spans="3:47">
      <c r="C15432" s="20"/>
      <c r="Z15432" s="20"/>
      <c r="AG15432" s="20"/>
      <c r="AQ15432" s="19"/>
      <c r="AR15432" s="19"/>
      <c r="AS15432" s="19"/>
      <c r="AT15432" s="19"/>
      <c r="AU15432" s="19"/>
    </row>
    <row r="15433" spans="3:47">
      <c r="C15433" s="20"/>
      <c r="Z15433" s="20"/>
      <c r="AG15433" s="20"/>
      <c r="AQ15433" s="19"/>
      <c r="AR15433" s="19"/>
      <c r="AS15433" s="19"/>
      <c r="AT15433" s="19"/>
      <c r="AU15433" s="19"/>
    </row>
    <row r="15434" spans="3:47">
      <c r="C15434" s="20"/>
      <c r="Z15434" s="20"/>
      <c r="AG15434" s="20"/>
      <c r="AQ15434" s="19"/>
      <c r="AR15434" s="19"/>
      <c r="AS15434" s="19"/>
      <c r="AT15434" s="19"/>
      <c r="AU15434" s="19"/>
    </row>
    <row r="15435" spans="3:47">
      <c r="C15435" s="20"/>
      <c r="Z15435" s="20"/>
      <c r="AG15435" s="20"/>
      <c r="AQ15435" s="19"/>
      <c r="AR15435" s="19"/>
      <c r="AS15435" s="19"/>
      <c r="AT15435" s="19"/>
      <c r="AU15435" s="19"/>
    </row>
    <row r="15436" spans="3:47">
      <c r="C15436" s="20"/>
      <c r="Z15436" s="20"/>
      <c r="AG15436" s="20"/>
      <c r="AQ15436" s="19"/>
      <c r="AR15436" s="19"/>
      <c r="AS15436" s="19"/>
      <c r="AT15436" s="19"/>
      <c r="AU15436" s="19"/>
    </row>
    <row r="15437" spans="3:47">
      <c r="C15437" s="20"/>
      <c r="Z15437" s="20"/>
      <c r="AG15437" s="20"/>
      <c r="AQ15437" s="19"/>
      <c r="AR15437" s="19"/>
      <c r="AS15437" s="19"/>
      <c r="AT15437" s="19"/>
      <c r="AU15437" s="19"/>
    </row>
    <row r="15438" spans="3:47">
      <c r="C15438" s="20"/>
      <c r="Z15438" s="20"/>
      <c r="AG15438" s="20"/>
      <c r="AQ15438" s="19"/>
      <c r="AR15438" s="19"/>
      <c r="AS15438" s="19"/>
      <c r="AT15438" s="19"/>
      <c r="AU15438" s="19"/>
    </row>
    <row r="15439" spans="3:47">
      <c r="C15439" s="20"/>
      <c r="Z15439" s="20"/>
      <c r="AG15439" s="20"/>
      <c r="AQ15439" s="19"/>
      <c r="AR15439" s="19"/>
      <c r="AS15439" s="19"/>
      <c r="AT15439" s="19"/>
      <c r="AU15439" s="19"/>
    </row>
    <row r="15440" spans="3:47">
      <c r="C15440" s="20"/>
      <c r="Z15440" s="20"/>
      <c r="AG15440" s="20"/>
      <c r="AQ15440" s="19"/>
      <c r="AR15440" s="19"/>
      <c r="AS15440" s="19"/>
      <c r="AT15440" s="19"/>
      <c r="AU15440" s="19"/>
    </row>
    <row r="15441" spans="3:47">
      <c r="C15441" s="20"/>
      <c r="Z15441" s="20"/>
      <c r="AG15441" s="20"/>
      <c r="AQ15441" s="19"/>
      <c r="AR15441" s="19"/>
      <c r="AS15441" s="19"/>
      <c r="AT15441" s="19"/>
      <c r="AU15441" s="19"/>
    </row>
    <row r="15442" spans="3:47">
      <c r="C15442" s="20"/>
      <c r="Z15442" s="20"/>
      <c r="AG15442" s="20"/>
      <c r="AQ15442" s="19"/>
      <c r="AR15442" s="19"/>
      <c r="AS15442" s="19"/>
      <c r="AT15442" s="19"/>
      <c r="AU15442" s="19"/>
    </row>
    <row r="15443" spans="3:47">
      <c r="C15443" s="20"/>
      <c r="Z15443" s="20"/>
      <c r="AG15443" s="20"/>
      <c r="AQ15443" s="19"/>
      <c r="AR15443" s="19"/>
      <c r="AS15443" s="19"/>
      <c r="AT15443" s="19"/>
      <c r="AU15443" s="19"/>
    </row>
    <row r="15444" spans="3:47">
      <c r="C15444" s="20"/>
      <c r="Z15444" s="20"/>
      <c r="AG15444" s="20"/>
      <c r="AQ15444" s="19"/>
      <c r="AR15444" s="19"/>
      <c r="AS15444" s="19"/>
      <c r="AT15444" s="19"/>
      <c r="AU15444" s="19"/>
    </row>
    <row r="15445" spans="3:47">
      <c r="C15445" s="20"/>
      <c r="Z15445" s="20"/>
      <c r="AG15445" s="20"/>
      <c r="AQ15445" s="19"/>
      <c r="AR15445" s="19"/>
      <c r="AS15445" s="19"/>
      <c r="AT15445" s="19"/>
      <c r="AU15445" s="19"/>
    </row>
    <row r="15446" spans="3:47">
      <c r="C15446" s="20"/>
      <c r="Z15446" s="20"/>
      <c r="AG15446" s="20"/>
      <c r="AQ15446" s="19"/>
      <c r="AR15446" s="19"/>
      <c r="AS15446" s="19"/>
      <c r="AT15446" s="19"/>
      <c r="AU15446" s="19"/>
    </row>
    <row r="15447" spans="3:47">
      <c r="C15447" s="20"/>
      <c r="Z15447" s="20"/>
      <c r="AG15447" s="20"/>
      <c r="AQ15447" s="19"/>
      <c r="AR15447" s="19"/>
      <c r="AS15447" s="19"/>
      <c r="AT15447" s="19"/>
      <c r="AU15447" s="19"/>
    </row>
    <row r="15448" spans="3:47">
      <c r="C15448" s="20"/>
      <c r="Z15448" s="20"/>
      <c r="AG15448" s="20"/>
      <c r="AQ15448" s="19"/>
      <c r="AR15448" s="19"/>
      <c r="AS15448" s="19"/>
      <c r="AT15448" s="19"/>
      <c r="AU15448" s="19"/>
    </row>
    <row r="15449" spans="3:47">
      <c r="C15449" s="20"/>
      <c r="Z15449" s="20"/>
      <c r="AG15449" s="20"/>
      <c r="AQ15449" s="19"/>
      <c r="AR15449" s="19"/>
      <c r="AS15449" s="19"/>
      <c r="AT15449" s="19"/>
      <c r="AU15449" s="19"/>
    </row>
    <row r="15450" spans="3:47">
      <c r="C15450" s="20"/>
      <c r="Z15450" s="20"/>
      <c r="AG15450" s="20"/>
      <c r="AQ15450" s="19"/>
      <c r="AR15450" s="19"/>
      <c r="AS15450" s="19"/>
      <c r="AT15450" s="19"/>
      <c r="AU15450" s="19"/>
    </row>
    <row r="15451" spans="3:47">
      <c r="C15451" s="20"/>
      <c r="Z15451" s="20"/>
      <c r="AG15451" s="20"/>
      <c r="AQ15451" s="19"/>
      <c r="AR15451" s="19"/>
      <c r="AS15451" s="19"/>
      <c r="AT15451" s="19"/>
      <c r="AU15451" s="19"/>
    </row>
    <row r="15452" spans="3:47">
      <c r="C15452" s="20"/>
      <c r="Z15452" s="20"/>
      <c r="AG15452" s="20"/>
      <c r="AQ15452" s="19"/>
      <c r="AR15452" s="19"/>
      <c r="AS15452" s="19"/>
      <c r="AT15452" s="19"/>
      <c r="AU15452" s="19"/>
    </row>
    <row r="15453" spans="3:47">
      <c r="C15453" s="20"/>
      <c r="Z15453" s="20"/>
      <c r="AG15453" s="20"/>
      <c r="AQ15453" s="19"/>
      <c r="AR15453" s="19"/>
      <c r="AS15453" s="19"/>
      <c r="AT15453" s="19"/>
      <c r="AU15453" s="19"/>
    </row>
    <row r="15454" spans="3:47">
      <c r="C15454" s="20"/>
      <c r="Z15454" s="20"/>
      <c r="AG15454" s="20"/>
      <c r="AQ15454" s="19"/>
      <c r="AR15454" s="19"/>
      <c r="AS15454" s="19"/>
      <c r="AT15454" s="19"/>
      <c r="AU15454" s="19"/>
    </row>
    <row r="15455" spans="3:47">
      <c r="C15455" s="20"/>
      <c r="Z15455" s="20"/>
      <c r="AG15455" s="20"/>
      <c r="AQ15455" s="19"/>
      <c r="AR15455" s="19"/>
      <c r="AS15455" s="19"/>
      <c r="AT15455" s="19"/>
      <c r="AU15455" s="19"/>
    </row>
    <row r="15456" spans="3:47">
      <c r="C15456" s="20"/>
      <c r="Z15456" s="20"/>
      <c r="AG15456" s="20"/>
      <c r="AQ15456" s="19"/>
      <c r="AR15456" s="19"/>
      <c r="AS15456" s="19"/>
      <c r="AT15456" s="19"/>
      <c r="AU15456" s="19"/>
    </row>
    <row r="15457" spans="3:47">
      <c r="C15457" s="20"/>
      <c r="Z15457" s="20"/>
      <c r="AG15457" s="20"/>
      <c r="AQ15457" s="19"/>
      <c r="AR15457" s="19"/>
      <c r="AS15457" s="19"/>
      <c r="AT15457" s="19"/>
      <c r="AU15457" s="19"/>
    </row>
    <row r="15458" spans="3:47">
      <c r="C15458" s="20"/>
      <c r="Z15458" s="20"/>
      <c r="AG15458" s="20"/>
      <c r="AQ15458" s="19"/>
      <c r="AR15458" s="19"/>
      <c r="AS15458" s="19"/>
      <c r="AT15458" s="19"/>
      <c r="AU15458" s="19"/>
    </row>
    <row r="15459" spans="3:47">
      <c r="C15459" s="20"/>
      <c r="Z15459" s="20"/>
      <c r="AG15459" s="20"/>
      <c r="AQ15459" s="19"/>
      <c r="AR15459" s="19"/>
      <c r="AS15459" s="19"/>
      <c r="AT15459" s="19"/>
      <c r="AU15459" s="19"/>
    </row>
    <row r="15460" spans="3:47">
      <c r="C15460" s="20"/>
      <c r="Z15460" s="20"/>
      <c r="AG15460" s="20"/>
      <c r="AQ15460" s="19"/>
      <c r="AR15460" s="19"/>
      <c r="AS15460" s="19"/>
      <c r="AT15460" s="19"/>
      <c r="AU15460" s="19"/>
    </row>
    <row r="15461" spans="3:47">
      <c r="C15461" s="20"/>
      <c r="Z15461" s="20"/>
      <c r="AG15461" s="20"/>
      <c r="AQ15461" s="19"/>
      <c r="AR15461" s="19"/>
      <c r="AS15461" s="19"/>
      <c r="AT15461" s="19"/>
      <c r="AU15461" s="19"/>
    </row>
    <row r="15462" spans="3:47">
      <c r="C15462" s="20"/>
      <c r="Z15462" s="20"/>
      <c r="AG15462" s="20"/>
      <c r="AQ15462" s="19"/>
      <c r="AR15462" s="19"/>
      <c r="AS15462" s="19"/>
      <c r="AT15462" s="19"/>
      <c r="AU15462" s="19"/>
    </row>
    <row r="15463" spans="3:47">
      <c r="C15463" s="20"/>
      <c r="Z15463" s="20"/>
      <c r="AG15463" s="20"/>
      <c r="AQ15463" s="19"/>
      <c r="AR15463" s="19"/>
      <c r="AS15463" s="19"/>
      <c r="AT15463" s="19"/>
      <c r="AU15463" s="19"/>
    </row>
    <row r="15464" spans="3:47">
      <c r="C15464" s="20"/>
      <c r="Z15464" s="20"/>
      <c r="AG15464" s="20"/>
      <c r="AQ15464" s="19"/>
      <c r="AR15464" s="19"/>
      <c r="AS15464" s="19"/>
      <c r="AT15464" s="19"/>
      <c r="AU15464" s="19"/>
    </row>
    <row r="15465" spans="3:47">
      <c r="C15465" s="20"/>
      <c r="Z15465" s="20"/>
      <c r="AG15465" s="20"/>
      <c r="AQ15465" s="19"/>
      <c r="AR15465" s="19"/>
      <c r="AS15465" s="19"/>
      <c r="AT15465" s="19"/>
      <c r="AU15465" s="19"/>
    </row>
    <row r="15466" spans="3:47">
      <c r="C15466" s="20"/>
      <c r="Z15466" s="20"/>
      <c r="AG15466" s="20"/>
      <c r="AQ15466" s="19"/>
      <c r="AR15466" s="19"/>
      <c r="AS15466" s="19"/>
      <c r="AT15466" s="19"/>
      <c r="AU15466" s="19"/>
    </row>
    <row r="15467" spans="3:47">
      <c r="C15467" s="20"/>
      <c r="Z15467" s="20"/>
      <c r="AG15467" s="20"/>
      <c r="AQ15467" s="19"/>
      <c r="AR15467" s="19"/>
      <c r="AS15467" s="19"/>
      <c r="AT15467" s="19"/>
      <c r="AU15467" s="19"/>
    </row>
    <row r="15468" spans="3:47">
      <c r="C15468" s="20"/>
      <c r="Z15468" s="20"/>
      <c r="AG15468" s="20"/>
      <c r="AQ15468" s="19"/>
      <c r="AR15468" s="19"/>
      <c r="AS15468" s="19"/>
      <c r="AT15468" s="19"/>
      <c r="AU15468" s="19"/>
    </row>
    <row r="15469" spans="3:47">
      <c r="C15469" s="20"/>
      <c r="Z15469" s="20"/>
      <c r="AG15469" s="20"/>
      <c r="AQ15469" s="19"/>
      <c r="AR15469" s="19"/>
      <c r="AS15469" s="19"/>
      <c r="AT15469" s="19"/>
      <c r="AU15469" s="19"/>
    </row>
    <row r="15470" spans="3:47">
      <c r="C15470" s="20"/>
      <c r="Z15470" s="20"/>
      <c r="AG15470" s="20"/>
      <c r="AQ15470" s="19"/>
      <c r="AR15470" s="19"/>
      <c r="AS15470" s="19"/>
      <c r="AT15470" s="19"/>
      <c r="AU15470" s="19"/>
    </row>
    <row r="15471" spans="3:47">
      <c r="C15471" s="20"/>
      <c r="Z15471" s="20"/>
      <c r="AG15471" s="20"/>
      <c r="AQ15471" s="19"/>
      <c r="AR15471" s="19"/>
      <c r="AS15471" s="19"/>
      <c r="AT15471" s="19"/>
      <c r="AU15471" s="19"/>
    </row>
    <row r="15472" spans="3:47">
      <c r="C15472" s="20"/>
      <c r="Z15472" s="20"/>
      <c r="AG15472" s="20"/>
      <c r="AQ15472" s="19"/>
      <c r="AR15472" s="19"/>
      <c r="AS15472" s="19"/>
      <c r="AT15472" s="19"/>
      <c r="AU15472" s="19"/>
    </row>
    <row r="15473" spans="3:47">
      <c r="C15473" s="20"/>
      <c r="Z15473" s="20"/>
      <c r="AG15473" s="20"/>
      <c r="AQ15473" s="19"/>
      <c r="AR15473" s="19"/>
      <c r="AS15473" s="19"/>
      <c r="AT15473" s="19"/>
      <c r="AU15473" s="19"/>
    </row>
    <row r="15474" spans="3:47">
      <c r="C15474" s="20"/>
      <c r="Z15474" s="20"/>
      <c r="AG15474" s="20"/>
      <c r="AQ15474" s="19"/>
      <c r="AR15474" s="19"/>
      <c r="AS15474" s="19"/>
      <c r="AT15474" s="19"/>
      <c r="AU15474" s="19"/>
    </row>
    <row r="15475" spans="3:47">
      <c r="C15475" s="20"/>
      <c r="Z15475" s="20"/>
      <c r="AG15475" s="20"/>
      <c r="AQ15475" s="19"/>
      <c r="AR15475" s="19"/>
      <c r="AS15475" s="19"/>
      <c r="AT15475" s="19"/>
      <c r="AU15475" s="19"/>
    </row>
    <row r="15476" spans="3:47">
      <c r="C15476" s="20"/>
      <c r="Z15476" s="20"/>
      <c r="AG15476" s="20"/>
      <c r="AQ15476" s="19"/>
      <c r="AR15476" s="19"/>
      <c r="AS15476" s="19"/>
      <c r="AT15476" s="19"/>
      <c r="AU15476" s="19"/>
    </row>
    <row r="15477" spans="3:47">
      <c r="C15477" s="20"/>
      <c r="Z15477" s="20"/>
      <c r="AG15477" s="20"/>
      <c r="AQ15477" s="19"/>
      <c r="AR15477" s="19"/>
      <c r="AS15477" s="19"/>
      <c r="AT15477" s="19"/>
      <c r="AU15477" s="19"/>
    </row>
    <row r="15478" spans="3:47">
      <c r="C15478" s="20"/>
      <c r="Z15478" s="20"/>
      <c r="AG15478" s="20"/>
      <c r="AQ15478" s="19"/>
      <c r="AR15478" s="19"/>
      <c r="AS15478" s="19"/>
      <c r="AT15478" s="19"/>
      <c r="AU15478" s="19"/>
    </row>
    <row r="15479" spans="3:47">
      <c r="C15479" s="20"/>
      <c r="Z15479" s="20"/>
      <c r="AG15479" s="20"/>
      <c r="AQ15479" s="19"/>
      <c r="AR15479" s="19"/>
      <c r="AS15479" s="19"/>
      <c r="AT15479" s="19"/>
      <c r="AU15479" s="19"/>
    </row>
    <row r="15480" spans="3:47">
      <c r="C15480" s="20"/>
      <c r="Z15480" s="20"/>
      <c r="AG15480" s="20"/>
      <c r="AQ15480" s="19"/>
      <c r="AR15480" s="19"/>
      <c r="AS15480" s="19"/>
      <c r="AT15480" s="19"/>
      <c r="AU15480" s="19"/>
    </row>
    <row r="15481" spans="3:47">
      <c r="C15481" s="20"/>
      <c r="Z15481" s="20"/>
      <c r="AG15481" s="20"/>
      <c r="AQ15481" s="19"/>
      <c r="AR15481" s="19"/>
      <c r="AS15481" s="19"/>
      <c r="AT15481" s="19"/>
      <c r="AU15481" s="19"/>
    </row>
    <row r="15482" spans="3:47">
      <c r="C15482" s="20"/>
      <c r="Z15482" s="20"/>
      <c r="AG15482" s="20"/>
      <c r="AQ15482" s="19"/>
      <c r="AR15482" s="19"/>
      <c r="AS15482" s="19"/>
      <c r="AT15482" s="19"/>
      <c r="AU15482" s="19"/>
    </row>
    <row r="15483" spans="3:47">
      <c r="C15483" s="20"/>
      <c r="Z15483" s="20"/>
      <c r="AG15483" s="20"/>
      <c r="AQ15483" s="19"/>
      <c r="AR15483" s="19"/>
      <c r="AS15483" s="19"/>
      <c r="AT15483" s="19"/>
      <c r="AU15483" s="19"/>
    </row>
    <row r="15484" spans="3:47">
      <c r="C15484" s="20"/>
      <c r="Z15484" s="20"/>
      <c r="AG15484" s="20"/>
      <c r="AQ15484" s="19"/>
      <c r="AR15484" s="19"/>
      <c r="AS15484" s="19"/>
      <c r="AT15484" s="19"/>
      <c r="AU15484" s="19"/>
    </row>
    <row r="15485" spans="3:47">
      <c r="C15485" s="20"/>
      <c r="Z15485" s="20"/>
      <c r="AG15485" s="20"/>
      <c r="AQ15485" s="19"/>
      <c r="AR15485" s="19"/>
      <c r="AS15485" s="19"/>
      <c r="AT15485" s="19"/>
      <c r="AU15485" s="19"/>
    </row>
    <row r="15486" spans="3:47">
      <c r="C15486" s="20"/>
      <c r="Z15486" s="20"/>
      <c r="AG15486" s="20"/>
      <c r="AQ15486" s="19"/>
      <c r="AR15486" s="19"/>
      <c r="AS15486" s="19"/>
      <c r="AT15486" s="19"/>
      <c r="AU15486" s="19"/>
    </row>
    <row r="15487" spans="3:47">
      <c r="C15487" s="20"/>
      <c r="Z15487" s="20"/>
      <c r="AG15487" s="20"/>
      <c r="AQ15487" s="19"/>
      <c r="AR15487" s="19"/>
      <c r="AS15487" s="19"/>
      <c r="AT15487" s="19"/>
      <c r="AU15487" s="19"/>
    </row>
    <row r="15488" spans="3:47">
      <c r="C15488" s="20"/>
      <c r="Z15488" s="20"/>
      <c r="AG15488" s="20"/>
      <c r="AQ15488" s="19"/>
      <c r="AR15488" s="19"/>
      <c r="AS15488" s="19"/>
      <c r="AT15488" s="19"/>
      <c r="AU15488" s="19"/>
    </row>
    <row r="15489" spans="3:47">
      <c r="C15489" s="20"/>
      <c r="Z15489" s="20"/>
      <c r="AG15489" s="20"/>
      <c r="AQ15489" s="19"/>
      <c r="AR15489" s="19"/>
      <c r="AS15489" s="19"/>
      <c r="AT15489" s="19"/>
      <c r="AU15489" s="19"/>
    </row>
    <row r="15490" spans="3:47">
      <c r="C15490" s="20"/>
      <c r="Z15490" s="20"/>
      <c r="AG15490" s="20"/>
      <c r="AQ15490" s="19"/>
      <c r="AR15490" s="19"/>
      <c r="AS15490" s="19"/>
      <c r="AT15490" s="19"/>
      <c r="AU15490" s="19"/>
    </row>
    <row r="15491" spans="3:47">
      <c r="C15491" s="20"/>
      <c r="Z15491" s="20"/>
      <c r="AG15491" s="20"/>
      <c r="AQ15491" s="19"/>
      <c r="AR15491" s="19"/>
      <c r="AS15491" s="19"/>
      <c r="AT15491" s="19"/>
      <c r="AU15491" s="19"/>
    </row>
    <row r="15492" spans="3:47">
      <c r="C15492" s="20"/>
      <c r="Z15492" s="20"/>
      <c r="AG15492" s="20"/>
      <c r="AQ15492" s="19"/>
      <c r="AR15492" s="19"/>
      <c r="AS15492" s="19"/>
      <c r="AT15492" s="19"/>
      <c r="AU15492" s="19"/>
    </row>
    <row r="15493" spans="3:47">
      <c r="C15493" s="20"/>
      <c r="Z15493" s="20"/>
      <c r="AG15493" s="20"/>
      <c r="AQ15493" s="19"/>
      <c r="AR15493" s="19"/>
      <c r="AS15493" s="19"/>
      <c r="AT15493" s="19"/>
      <c r="AU15493" s="19"/>
    </row>
    <row r="15494" spans="3:47">
      <c r="C15494" s="20"/>
      <c r="Z15494" s="20"/>
      <c r="AG15494" s="20"/>
      <c r="AQ15494" s="19"/>
      <c r="AR15494" s="19"/>
      <c r="AS15494" s="19"/>
      <c r="AT15494" s="19"/>
      <c r="AU15494" s="19"/>
    </row>
    <row r="15495" spans="3:47">
      <c r="C15495" s="20"/>
      <c r="Z15495" s="20"/>
      <c r="AG15495" s="20"/>
      <c r="AQ15495" s="19"/>
      <c r="AR15495" s="19"/>
      <c r="AS15495" s="19"/>
      <c r="AT15495" s="19"/>
      <c r="AU15495" s="19"/>
    </row>
    <row r="15496" spans="3:47">
      <c r="C15496" s="20"/>
      <c r="Z15496" s="20"/>
      <c r="AG15496" s="20"/>
      <c r="AQ15496" s="19"/>
      <c r="AR15496" s="19"/>
      <c r="AS15496" s="19"/>
      <c r="AT15496" s="19"/>
      <c r="AU15496" s="19"/>
    </row>
    <row r="15497" spans="3:47">
      <c r="C15497" s="20"/>
      <c r="Z15497" s="20"/>
      <c r="AG15497" s="20"/>
      <c r="AQ15497" s="19"/>
      <c r="AR15497" s="19"/>
      <c r="AS15497" s="19"/>
      <c r="AT15497" s="19"/>
      <c r="AU15497" s="19"/>
    </row>
    <row r="15498" spans="3:47">
      <c r="C15498" s="20"/>
      <c r="Z15498" s="20"/>
      <c r="AG15498" s="20"/>
      <c r="AQ15498" s="19"/>
      <c r="AR15498" s="19"/>
      <c r="AS15498" s="19"/>
      <c r="AT15498" s="19"/>
      <c r="AU15498" s="19"/>
    </row>
    <row r="15499" spans="3:47">
      <c r="C15499" s="20"/>
      <c r="Z15499" s="20"/>
      <c r="AG15499" s="20"/>
      <c r="AQ15499" s="19"/>
      <c r="AR15499" s="19"/>
      <c r="AS15499" s="19"/>
      <c r="AT15499" s="19"/>
      <c r="AU15499" s="19"/>
    </row>
    <row r="15500" spans="3:47">
      <c r="C15500" s="20"/>
      <c r="Z15500" s="20"/>
      <c r="AG15500" s="20"/>
      <c r="AQ15500" s="19"/>
      <c r="AR15500" s="19"/>
      <c r="AS15500" s="19"/>
      <c r="AT15500" s="19"/>
      <c r="AU15500" s="19"/>
    </row>
    <row r="15501" spans="3:47">
      <c r="C15501" s="20"/>
      <c r="Z15501" s="20"/>
      <c r="AG15501" s="20"/>
      <c r="AQ15501" s="19"/>
      <c r="AR15501" s="19"/>
      <c r="AS15501" s="19"/>
      <c r="AT15501" s="19"/>
      <c r="AU15501" s="19"/>
    </row>
    <row r="15502" spans="3:47">
      <c r="C15502" s="20"/>
      <c r="Z15502" s="20"/>
      <c r="AG15502" s="20"/>
      <c r="AQ15502" s="19"/>
      <c r="AR15502" s="19"/>
      <c r="AS15502" s="19"/>
      <c r="AT15502" s="19"/>
      <c r="AU15502" s="19"/>
    </row>
    <row r="15503" spans="3:47">
      <c r="C15503" s="20"/>
      <c r="Z15503" s="20"/>
      <c r="AG15503" s="20"/>
      <c r="AQ15503" s="19"/>
      <c r="AR15503" s="19"/>
      <c r="AS15503" s="19"/>
      <c r="AT15503" s="19"/>
      <c r="AU15503" s="19"/>
    </row>
    <row r="15504" spans="3:47">
      <c r="C15504" s="20"/>
      <c r="Z15504" s="20"/>
      <c r="AG15504" s="20"/>
      <c r="AQ15504" s="19"/>
      <c r="AR15504" s="19"/>
      <c r="AS15504" s="19"/>
      <c r="AT15504" s="19"/>
      <c r="AU15504" s="19"/>
    </row>
    <row r="15505" spans="3:47">
      <c r="C15505" s="20"/>
      <c r="Z15505" s="20"/>
      <c r="AG15505" s="20"/>
      <c r="AQ15505" s="19"/>
      <c r="AR15505" s="19"/>
      <c r="AS15505" s="19"/>
      <c r="AT15505" s="19"/>
      <c r="AU15505" s="19"/>
    </row>
    <row r="15506" spans="3:47">
      <c r="C15506" s="20"/>
      <c r="Z15506" s="20"/>
      <c r="AG15506" s="20"/>
      <c r="AQ15506" s="19"/>
      <c r="AR15506" s="19"/>
      <c r="AS15506" s="19"/>
      <c r="AT15506" s="19"/>
      <c r="AU15506" s="19"/>
    </row>
    <row r="15507" spans="3:47">
      <c r="C15507" s="20"/>
      <c r="Z15507" s="20"/>
      <c r="AG15507" s="20"/>
      <c r="AQ15507" s="19"/>
      <c r="AR15507" s="19"/>
      <c r="AS15507" s="19"/>
      <c r="AT15507" s="19"/>
      <c r="AU15507" s="19"/>
    </row>
    <row r="15508" spans="3:47">
      <c r="C15508" s="20"/>
      <c r="Z15508" s="20"/>
      <c r="AG15508" s="20"/>
      <c r="AQ15508" s="19"/>
      <c r="AR15508" s="19"/>
      <c r="AS15508" s="19"/>
      <c r="AT15508" s="19"/>
      <c r="AU15508" s="19"/>
    </row>
    <row r="15509" spans="3:47">
      <c r="C15509" s="20"/>
      <c r="Z15509" s="20"/>
      <c r="AG15509" s="20"/>
      <c r="AQ15509" s="19"/>
      <c r="AR15509" s="19"/>
      <c r="AS15509" s="19"/>
      <c r="AT15509" s="19"/>
      <c r="AU15509" s="19"/>
    </row>
    <row r="15510" spans="3:47">
      <c r="C15510" s="20"/>
      <c r="Z15510" s="20"/>
      <c r="AG15510" s="20"/>
      <c r="AQ15510" s="19"/>
      <c r="AR15510" s="19"/>
      <c r="AS15510" s="19"/>
      <c r="AT15510" s="19"/>
      <c r="AU15510" s="19"/>
    </row>
    <row r="15511" spans="3:47">
      <c r="C15511" s="20"/>
      <c r="Z15511" s="20"/>
      <c r="AG15511" s="20"/>
      <c r="AQ15511" s="19"/>
      <c r="AR15511" s="19"/>
      <c r="AS15511" s="19"/>
      <c r="AT15511" s="19"/>
      <c r="AU15511" s="19"/>
    </row>
    <row r="15512" spans="3:47">
      <c r="C15512" s="20"/>
      <c r="Z15512" s="20"/>
      <c r="AG15512" s="20"/>
      <c r="AQ15512" s="19"/>
      <c r="AR15512" s="19"/>
      <c r="AS15512" s="19"/>
      <c r="AT15512" s="19"/>
      <c r="AU15512" s="19"/>
    </row>
    <row r="15513" spans="3:47">
      <c r="C15513" s="20"/>
      <c r="Z15513" s="20"/>
      <c r="AG15513" s="20"/>
      <c r="AQ15513" s="19"/>
      <c r="AR15513" s="19"/>
      <c r="AS15513" s="19"/>
      <c r="AT15513" s="19"/>
      <c r="AU15513" s="19"/>
    </row>
    <row r="15514" spans="3:47">
      <c r="C15514" s="20"/>
      <c r="Z15514" s="20"/>
      <c r="AG15514" s="20"/>
      <c r="AQ15514" s="19"/>
      <c r="AR15514" s="19"/>
      <c r="AS15514" s="19"/>
      <c r="AT15514" s="19"/>
      <c r="AU15514" s="19"/>
    </row>
    <row r="15515" spans="3:47">
      <c r="C15515" s="20"/>
      <c r="Z15515" s="20"/>
      <c r="AG15515" s="20"/>
      <c r="AQ15515" s="19"/>
      <c r="AR15515" s="19"/>
      <c r="AS15515" s="19"/>
      <c r="AT15515" s="19"/>
      <c r="AU15515" s="19"/>
    </row>
    <row r="15516" spans="3:47">
      <c r="C15516" s="20"/>
      <c r="Z15516" s="20"/>
      <c r="AG15516" s="20"/>
      <c r="AQ15516" s="19"/>
      <c r="AR15516" s="19"/>
      <c r="AS15516" s="19"/>
      <c r="AT15516" s="19"/>
      <c r="AU15516" s="19"/>
    </row>
    <row r="15517" spans="3:47">
      <c r="C15517" s="20"/>
      <c r="Z15517" s="20"/>
      <c r="AG15517" s="20"/>
      <c r="AQ15517" s="19"/>
      <c r="AR15517" s="19"/>
      <c r="AS15517" s="19"/>
      <c r="AT15517" s="19"/>
      <c r="AU15517" s="19"/>
    </row>
    <row r="15518" spans="3:47">
      <c r="C15518" s="20"/>
      <c r="Z15518" s="20"/>
      <c r="AG15518" s="20"/>
      <c r="AQ15518" s="19"/>
      <c r="AR15518" s="19"/>
      <c r="AS15518" s="19"/>
      <c r="AT15518" s="19"/>
      <c r="AU15518" s="19"/>
    </row>
    <row r="15519" spans="3:47">
      <c r="C15519" s="20"/>
      <c r="Z15519" s="20"/>
      <c r="AG15519" s="20"/>
      <c r="AQ15519" s="19"/>
      <c r="AR15519" s="19"/>
      <c r="AS15519" s="19"/>
      <c r="AT15519" s="19"/>
      <c r="AU15519" s="19"/>
    </row>
    <row r="15520" spans="3:47">
      <c r="C15520" s="20"/>
      <c r="Z15520" s="20"/>
      <c r="AG15520" s="20"/>
      <c r="AQ15520" s="19"/>
      <c r="AR15520" s="19"/>
      <c r="AS15520" s="19"/>
      <c r="AT15520" s="19"/>
      <c r="AU15520" s="19"/>
    </row>
    <row r="15521" spans="3:47">
      <c r="C15521" s="20"/>
      <c r="Z15521" s="20"/>
      <c r="AG15521" s="20"/>
      <c r="AQ15521" s="19"/>
      <c r="AR15521" s="19"/>
      <c r="AS15521" s="19"/>
      <c r="AT15521" s="19"/>
      <c r="AU15521" s="19"/>
    </row>
    <row r="15522" spans="3:47">
      <c r="C15522" s="20"/>
      <c r="Z15522" s="20"/>
      <c r="AG15522" s="20"/>
      <c r="AQ15522" s="19"/>
      <c r="AR15522" s="19"/>
      <c r="AS15522" s="19"/>
      <c r="AT15522" s="19"/>
      <c r="AU15522" s="19"/>
    </row>
    <row r="15523" spans="3:47">
      <c r="C15523" s="20"/>
      <c r="Z15523" s="20"/>
      <c r="AG15523" s="20"/>
      <c r="AQ15523" s="19"/>
      <c r="AR15523" s="19"/>
      <c r="AS15523" s="19"/>
      <c r="AT15523" s="19"/>
      <c r="AU15523" s="19"/>
    </row>
    <row r="15524" spans="3:47">
      <c r="C15524" s="20"/>
      <c r="Z15524" s="20"/>
      <c r="AG15524" s="20"/>
      <c r="AQ15524" s="19"/>
      <c r="AR15524" s="19"/>
      <c r="AS15524" s="19"/>
      <c r="AT15524" s="19"/>
      <c r="AU15524" s="19"/>
    </row>
    <row r="15525" spans="3:47">
      <c r="C15525" s="20"/>
      <c r="Z15525" s="20"/>
      <c r="AG15525" s="20"/>
      <c r="AQ15525" s="19"/>
      <c r="AR15525" s="19"/>
      <c r="AS15525" s="19"/>
      <c r="AT15525" s="19"/>
      <c r="AU15525" s="19"/>
    </row>
    <row r="15526" spans="3:47">
      <c r="C15526" s="20"/>
      <c r="Z15526" s="20"/>
      <c r="AG15526" s="20"/>
      <c r="AQ15526" s="19"/>
      <c r="AR15526" s="19"/>
      <c r="AS15526" s="19"/>
      <c r="AT15526" s="19"/>
      <c r="AU15526" s="19"/>
    </row>
    <row r="15527" spans="3:47">
      <c r="C15527" s="20"/>
      <c r="Z15527" s="20"/>
      <c r="AG15527" s="20"/>
      <c r="AQ15527" s="19"/>
      <c r="AR15527" s="19"/>
      <c r="AS15527" s="19"/>
      <c r="AT15527" s="19"/>
      <c r="AU15527" s="19"/>
    </row>
    <row r="15528" spans="3:47">
      <c r="C15528" s="20"/>
      <c r="Z15528" s="20"/>
      <c r="AG15528" s="20"/>
      <c r="AQ15528" s="19"/>
      <c r="AR15528" s="19"/>
      <c r="AS15528" s="19"/>
      <c r="AT15528" s="19"/>
      <c r="AU15528" s="19"/>
    </row>
    <row r="15529" spans="3:47">
      <c r="C15529" s="20"/>
      <c r="Z15529" s="20"/>
      <c r="AG15529" s="20"/>
      <c r="AQ15529" s="19"/>
      <c r="AR15529" s="19"/>
      <c r="AS15529" s="19"/>
      <c r="AT15529" s="19"/>
      <c r="AU15529" s="19"/>
    </row>
    <row r="15530" spans="3:47">
      <c r="C15530" s="20"/>
      <c r="Z15530" s="20"/>
      <c r="AG15530" s="20"/>
      <c r="AQ15530" s="19"/>
      <c r="AR15530" s="19"/>
      <c r="AS15530" s="19"/>
      <c r="AT15530" s="19"/>
      <c r="AU15530" s="19"/>
    </row>
    <row r="15531" spans="3:47">
      <c r="C15531" s="20"/>
      <c r="Z15531" s="20"/>
      <c r="AG15531" s="20"/>
      <c r="AQ15531" s="19"/>
      <c r="AR15531" s="19"/>
      <c r="AS15531" s="19"/>
      <c r="AT15531" s="19"/>
      <c r="AU15531" s="19"/>
    </row>
    <row r="15532" spans="3:47">
      <c r="C15532" s="20"/>
      <c r="Z15532" s="20"/>
      <c r="AG15532" s="20"/>
      <c r="AQ15532" s="19"/>
      <c r="AR15532" s="19"/>
      <c r="AS15532" s="19"/>
      <c r="AT15532" s="19"/>
      <c r="AU15532" s="19"/>
    </row>
    <row r="15533" spans="3:47">
      <c r="C15533" s="20"/>
      <c r="Z15533" s="20"/>
      <c r="AG15533" s="20"/>
      <c r="AQ15533" s="19"/>
      <c r="AR15533" s="19"/>
      <c r="AS15533" s="19"/>
      <c r="AT15533" s="19"/>
      <c r="AU15533" s="19"/>
    </row>
    <row r="15534" spans="3:47">
      <c r="C15534" s="20"/>
      <c r="Z15534" s="20"/>
      <c r="AG15534" s="20"/>
      <c r="AQ15534" s="19"/>
      <c r="AR15534" s="19"/>
      <c r="AS15534" s="19"/>
      <c r="AT15534" s="19"/>
      <c r="AU15534" s="19"/>
    </row>
    <row r="15535" spans="3:47">
      <c r="C15535" s="20"/>
      <c r="Z15535" s="20"/>
      <c r="AG15535" s="20"/>
      <c r="AQ15535" s="19"/>
      <c r="AR15535" s="19"/>
      <c r="AS15535" s="19"/>
      <c r="AT15535" s="19"/>
      <c r="AU15535" s="19"/>
    </row>
    <row r="15536" spans="3:47">
      <c r="C15536" s="20"/>
      <c r="Z15536" s="20"/>
      <c r="AG15536" s="20"/>
      <c r="AQ15536" s="19"/>
      <c r="AR15536" s="19"/>
      <c r="AS15536" s="19"/>
      <c r="AT15536" s="19"/>
      <c r="AU15536" s="19"/>
    </row>
    <row r="15537" spans="3:47">
      <c r="C15537" s="20"/>
      <c r="Z15537" s="20"/>
      <c r="AG15537" s="20"/>
      <c r="AQ15537" s="19"/>
      <c r="AR15537" s="19"/>
      <c r="AS15537" s="19"/>
      <c r="AT15537" s="19"/>
      <c r="AU15537" s="19"/>
    </row>
    <row r="15538" spans="3:47">
      <c r="C15538" s="20"/>
      <c r="Z15538" s="20"/>
      <c r="AG15538" s="20"/>
      <c r="AQ15538" s="19"/>
      <c r="AR15538" s="19"/>
      <c r="AS15538" s="19"/>
      <c r="AT15538" s="19"/>
      <c r="AU15538" s="19"/>
    </row>
    <row r="15539" spans="3:47">
      <c r="C15539" s="20"/>
      <c r="Z15539" s="20"/>
      <c r="AG15539" s="20"/>
      <c r="AQ15539" s="19"/>
      <c r="AR15539" s="19"/>
      <c r="AS15539" s="19"/>
      <c r="AT15539" s="19"/>
      <c r="AU15539" s="19"/>
    </row>
    <row r="15540" spans="3:47">
      <c r="C15540" s="20"/>
      <c r="Z15540" s="20"/>
      <c r="AG15540" s="20"/>
      <c r="AQ15540" s="19"/>
      <c r="AR15540" s="19"/>
      <c r="AS15540" s="19"/>
      <c r="AT15540" s="19"/>
      <c r="AU15540" s="19"/>
    </row>
    <row r="15541" spans="3:47">
      <c r="C15541" s="20"/>
      <c r="Z15541" s="20"/>
      <c r="AG15541" s="20"/>
      <c r="AQ15541" s="19"/>
      <c r="AR15541" s="19"/>
      <c r="AS15541" s="19"/>
      <c r="AT15541" s="19"/>
      <c r="AU15541" s="19"/>
    </row>
    <row r="15542" spans="3:47">
      <c r="C15542" s="20"/>
      <c r="Z15542" s="20"/>
      <c r="AG15542" s="20"/>
      <c r="AQ15542" s="19"/>
      <c r="AR15542" s="19"/>
      <c r="AS15542" s="19"/>
      <c r="AT15542" s="19"/>
      <c r="AU15542" s="19"/>
    </row>
    <row r="15543" spans="3:47">
      <c r="C15543" s="20"/>
      <c r="Z15543" s="20"/>
      <c r="AG15543" s="20"/>
      <c r="AQ15543" s="19"/>
      <c r="AR15543" s="19"/>
      <c r="AS15543" s="19"/>
      <c r="AT15543" s="19"/>
      <c r="AU15543" s="19"/>
    </row>
    <row r="15544" spans="3:47">
      <c r="C15544" s="20"/>
      <c r="Z15544" s="20"/>
      <c r="AG15544" s="20"/>
      <c r="AQ15544" s="19"/>
      <c r="AR15544" s="19"/>
      <c r="AS15544" s="19"/>
      <c r="AT15544" s="19"/>
      <c r="AU15544" s="19"/>
    </row>
    <row r="15545" spans="3:47">
      <c r="C15545" s="20"/>
      <c r="Z15545" s="20"/>
      <c r="AG15545" s="20"/>
      <c r="AQ15545" s="19"/>
      <c r="AR15545" s="19"/>
      <c r="AS15545" s="19"/>
      <c r="AT15545" s="19"/>
      <c r="AU15545" s="19"/>
    </row>
    <row r="15546" spans="3:47">
      <c r="C15546" s="20"/>
      <c r="Z15546" s="20"/>
      <c r="AG15546" s="20"/>
      <c r="AQ15546" s="19"/>
      <c r="AR15546" s="19"/>
      <c r="AS15546" s="19"/>
      <c r="AT15546" s="19"/>
      <c r="AU15546" s="19"/>
    </row>
    <row r="15547" spans="3:47">
      <c r="C15547" s="20"/>
      <c r="Z15547" s="20"/>
      <c r="AG15547" s="20"/>
      <c r="AQ15547" s="19"/>
      <c r="AR15547" s="19"/>
      <c r="AS15547" s="19"/>
      <c r="AT15547" s="19"/>
      <c r="AU15547" s="19"/>
    </row>
    <row r="15548" spans="3:47">
      <c r="C15548" s="20"/>
      <c r="Z15548" s="20"/>
      <c r="AG15548" s="20"/>
      <c r="AQ15548" s="19"/>
      <c r="AR15548" s="19"/>
      <c r="AS15548" s="19"/>
      <c r="AT15548" s="19"/>
      <c r="AU15548" s="19"/>
    </row>
    <row r="15549" spans="3:47">
      <c r="C15549" s="20"/>
      <c r="Z15549" s="20"/>
      <c r="AG15549" s="20"/>
      <c r="AQ15549" s="19"/>
      <c r="AR15549" s="19"/>
      <c r="AS15549" s="19"/>
      <c r="AT15549" s="19"/>
      <c r="AU15549" s="19"/>
    </row>
    <row r="15550" spans="3:47">
      <c r="C15550" s="20"/>
      <c r="Z15550" s="20"/>
      <c r="AG15550" s="20"/>
      <c r="AQ15550" s="19"/>
      <c r="AR15550" s="19"/>
      <c r="AS15550" s="19"/>
      <c r="AT15550" s="19"/>
      <c r="AU15550" s="19"/>
    </row>
    <row r="15551" spans="3:47">
      <c r="C15551" s="20"/>
      <c r="Z15551" s="20"/>
      <c r="AG15551" s="20"/>
      <c r="AQ15551" s="19"/>
      <c r="AR15551" s="19"/>
      <c r="AS15551" s="19"/>
      <c r="AT15551" s="19"/>
      <c r="AU15551" s="19"/>
    </row>
    <row r="15552" spans="3:47">
      <c r="C15552" s="20"/>
      <c r="Z15552" s="20"/>
      <c r="AG15552" s="20"/>
      <c r="AQ15552" s="19"/>
      <c r="AR15552" s="19"/>
      <c r="AS15552" s="19"/>
      <c r="AT15552" s="19"/>
      <c r="AU15552" s="19"/>
    </row>
    <row r="15553" spans="3:47">
      <c r="C15553" s="20"/>
      <c r="Z15553" s="20"/>
      <c r="AG15553" s="20"/>
      <c r="AQ15553" s="19"/>
      <c r="AR15553" s="19"/>
      <c r="AS15553" s="19"/>
      <c r="AT15553" s="19"/>
      <c r="AU15553" s="19"/>
    </row>
    <row r="15554" spans="3:47">
      <c r="C15554" s="20"/>
      <c r="Z15554" s="20"/>
      <c r="AG15554" s="20"/>
      <c r="AQ15554" s="19"/>
      <c r="AR15554" s="19"/>
      <c r="AS15554" s="19"/>
      <c r="AT15554" s="19"/>
      <c r="AU15554" s="19"/>
    </row>
    <row r="15555" spans="3:47">
      <c r="C15555" s="20"/>
      <c r="Z15555" s="20"/>
      <c r="AG15555" s="20"/>
      <c r="AQ15555" s="19"/>
      <c r="AR15555" s="19"/>
      <c r="AS15555" s="19"/>
      <c r="AT15555" s="19"/>
      <c r="AU15555" s="19"/>
    </row>
    <row r="15556" spans="3:47">
      <c r="C15556" s="20"/>
      <c r="Z15556" s="20"/>
      <c r="AG15556" s="20"/>
      <c r="AQ15556" s="19"/>
      <c r="AR15556" s="19"/>
      <c r="AS15556" s="19"/>
      <c r="AT15556" s="19"/>
      <c r="AU15556" s="19"/>
    </row>
    <row r="15557" spans="3:47">
      <c r="C15557" s="20"/>
      <c r="Z15557" s="20"/>
      <c r="AG15557" s="20"/>
      <c r="AQ15557" s="19"/>
      <c r="AR15557" s="19"/>
      <c r="AS15557" s="19"/>
      <c r="AT15557" s="19"/>
      <c r="AU15557" s="19"/>
    </row>
    <row r="15558" spans="3:47">
      <c r="C15558" s="20"/>
      <c r="Z15558" s="20"/>
      <c r="AG15558" s="20"/>
      <c r="AQ15558" s="19"/>
      <c r="AR15558" s="19"/>
      <c r="AS15558" s="19"/>
      <c r="AT15558" s="19"/>
      <c r="AU15558" s="19"/>
    </row>
    <row r="15559" spans="3:47">
      <c r="C15559" s="20"/>
      <c r="Z15559" s="20"/>
      <c r="AG15559" s="20"/>
      <c r="AQ15559" s="19"/>
      <c r="AR15559" s="19"/>
      <c r="AS15559" s="19"/>
      <c r="AT15559" s="19"/>
      <c r="AU15559" s="19"/>
    </row>
    <row r="15560" spans="3:47">
      <c r="C15560" s="20"/>
      <c r="Z15560" s="20"/>
      <c r="AG15560" s="20"/>
      <c r="AQ15560" s="19"/>
      <c r="AR15560" s="19"/>
      <c r="AS15560" s="19"/>
      <c r="AT15560" s="19"/>
      <c r="AU15560" s="19"/>
    </row>
    <row r="15561" spans="3:47">
      <c r="C15561" s="20"/>
      <c r="Z15561" s="20"/>
      <c r="AG15561" s="20"/>
      <c r="AQ15561" s="19"/>
      <c r="AR15561" s="19"/>
      <c r="AS15561" s="19"/>
      <c r="AT15561" s="19"/>
      <c r="AU15561" s="19"/>
    </row>
    <row r="15562" spans="3:47">
      <c r="C15562" s="20"/>
      <c r="Z15562" s="20"/>
      <c r="AG15562" s="20"/>
      <c r="AQ15562" s="19"/>
      <c r="AR15562" s="19"/>
      <c r="AS15562" s="19"/>
      <c r="AT15562" s="19"/>
      <c r="AU15562" s="19"/>
    </row>
    <row r="15563" spans="3:47">
      <c r="C15563" s="20"/>
      <c r="Z15563" s="20"/>
      <c r="AG15563" s="20"/>
      <c r="AQ15563" s="19"/>
      <c r="AR15563" s="19"/>
      <c r="AS15563" s="19"/>
      <c r="AT15563" s="19"/>
      <c r="AU15563" s="19"/>
    </row>
    <row r="15564" spans="3:47">
      <c r="C15564" s="20"/>
      <c r="Z15564" s="20"/>
      <c r="AG15564" s="20"/>
      <c r="AQ15564" s="19"/>
      <c r="AR15564" s="19"/>
      <c r="AS15564" s="19"/>
      <c r="AT15564" s="19"/>
      <c r="AU15564" s="19"/>
    </row>
    <row r="15565" spans="3:47">
      <c r="C15565" s="20"/>
      <c r="Z15565" s="20"/>
      <c r="AG15565" s="20"/>
      <c r="AQ15565" s="19"/>
      <c r="AR15565" s="19"/>
      <c r="AS15565" s="19"/>
      <c r="AT15565" s="19"/>
      <c r="AU15565" s="19"/>
    </row>
    <row r="15566" spans="3:47">
      <c r="C15566" s="20"/>
      <c r="Z15566" s="20"/>
      <c r="AG15566" s="20"/>
      <c r="AQ15566" s="19"/>
      <c r="AR15566" s="19"/>
      <c r="AS15566" s="19"/>
      <c r="AT15566" s="19"/>
      <c r="AU15566" s="19"/>
    </row>
    <row r="15567" spans="3:47">
      <c r="C15567" s="20"/>
      <c r="Z15567" s="20"/>
      <c r="AG15567" s="20"/>
      <c r="AQ15567" s="19"/>
      <c r="AR15567" s="19"/>
      <c r="AS15567" s="19"/>
      <c r="AT15567" s="19"/>
      <c r="AU15567" s="19"/>
    </row>
    <row r="15568" spans="3:47">
      <c r="C15568" s="20"/>
      <c r="Z15568" s="20"/>
      <c r="AG15568" s="20"/>
      <c r="AQ15568" s="19"/>
      <c r="AR15568" s="19"/>
      <c r="AS15568" s="19"/>
      <c r="AT15568" s="19"/>
      <c r="AU15568" s="19"/>
    </row>
    <row r="15569" spans="3:47">
      <c r="C15569" s="20"/>
      <c r="Z15569" s="20"/>
      <c r="AG15569" s="20"/>
      <c r="AQ15569" s="19"/>
      <c r="AR15569" s="19"/>
      <c r="AS15569" s="19"/>
      <c r="AT15569" s="19"/>
      <c r="AU15569" s="19"/>
    </row>
    <row r="15570" spans="3:47">
      <c r="C15570" s="20"/>
      <c r="Z15570" s="20"/>
      <c r="AG15570" s="20"/>
      <c r="AQ15570" s="19"/>
      <c r="AR15570" s="19"/>
      <c r="AS15570" s="19"/>
      <c r="AT15570" s="19"/>
      <c r="AU15570" s="19"/>
    </row>
    <row r="15571" spans="3:47">
      <c r="C15571" s="20"/>
      <c r="Z15571" s="20"/>
      <c r="AG15571" s="20"/>
      <c r="AQ15571" s="19"/>
      <c r="AR15571" s="19"/>
      <c r="AS15571" s="19"/>
      <c r="AT15571" s="19"/>
      <c r="AU15571" s="19"/>
    </row>
    <row r="15572" spans="3:47">
      <c r="C15572" s="20"/>
      <c r="Z15572" s="20"/>
      <c r="AG15572" s="20"/>
      <c r="AQ15572" s="19"/>
      <c r="AR15572" s="19"/>
      <c r="AS15572" s="19"/>
      <c r="AT15572" s="19"/>
      <c r="AU15572" s="19"/>
    </row>
    <row r="15573" spans="3:47">
      <c r="C15573" s="20"/>
      <c r="Z15573" s="20"/>
      <c r="AG15573" s="20"/>
      <c r="AQ15573" s="19"/>
      <c r="AR15573" s="19"/>
      <c r="AS15573" s="19"/>
      <c r="AT15573" s="19"/>
      <c r="AU15573" s="19"/>
    </row>
    <row r="15574" spans="3:47">
      <c r="C15574" s="20"/>
      <c r="Z15574" s="20"/>
      <c r="AG15574" s="20"/>
      <c r="AQ15574" s="19"/>
      <c r="AR15574" s="19"/>
      <c r="AS15574" s="19"/>
      <c r="AT15574" s="19"/>
      <c r="AU15574" s="19"/>
    </row>
    <row r="15575" spans="3:47">
      <c r="C15575" s="20"/>
      <c r="Z15575" s="20"/>
      <c r="AG15575" s="20"/>
      <c r="AQ15575" s="19"/>
      <c r="AR15575" s="19"/>
      <c r="AS15575" s="19"/>
      <c r="AT15575" s="19"/>
      <c r="AU15575" s="19"/>
    </row>
    <row r="15576" spans="3:47">
      <c r="C15576" s="20"/>
      <c r="Z15576" s="20"/>
      <c r="AG15576" s="20"/>
      <c r="AQ15576" s="19"/>
      <c r="AR15576" s="19"/>
      <c r="AS15576" s="19"/>
      <c r="AT15576" s="19"/>
      <c r="AU15576" s="19"/>
    </row>
    <row r="15577" spans="3:47">
      <c r="C15577" s="20"/>
      <c r="Z15577" s="20"/>
      <c r="AG15577" s="20"/>
      <c r="AQ15577" s="19"/>
      <c r="AR15577" s="19"/>
      <c r="AS15577" s="19"/>
      <c r="AT15577" s="19"/>
      <c r="AU15577" s="19"/>
    </row>
    <row r="15578" spans="3:47">
      <c r="C15578" s="20"/>
      <c r="Z15578" s="20"/>
      <c r="AG15578" s="20"/>
      <c r="AQ15578" s="19"/>
      <c r="AR15578" s="19"/>
      <c r="AS15578" s="19"/>
      <c r="AT15578" s="19"/>
      <c r="AU15578" s="19"/>
    </row>
    <row r="15579" spans="3:47">
      <c r="C15579" s="20"/>
      <c r="Z15579" s="20"/>
      <c r="AG15579" s="20"/>
      <c r="AQ15579" s="19"/>
      <c r="AR15579" s="19"/>
      <c r="AS15579" s="19"/>
      <c r="AT15579" s="19"/>
      <c r="AU15579" s="19"/>
    </row>
    <row r="15580" spans="3:47">
      <c r="C15580" s="20"/>
      <c r="Z15580" s="20"/>
      <c r="AG15580" s="20"/>
      <c r="AQ15580" s="19"/>
      <c r="AR15580" s="19"/>
      <c r="AS15580" s="19"/>
      <c r="AT15580" s="19"/>
      <c r="AU15580" s="19"/>
    </row>
    <row r="15581" spans="3:47">
      <c r="C15581" s="20"/>
      <c r="Z15581" s="20"/>
      <c r="AG15581" s="20"/>
      <c r="AQ15581" s="19"/>
      <c r="AR15581" s="19"/>
      <c r="AS15581" s="19"/>
      <c r="AT15581" s="19"/>
      <c r="AU15581" s="19"/>
    </row>
    <row r="15582" spans="3:47">
      <c r="C15582" s="20"/>
      <c r="Z15582" s="20"/>
      <c r="AG15582" s="20"/>
      <c r="AQ15582" s="19"/>
      <c r="AR15582" s="19"/>
      <c r="AS15582" s="19"/>
      <c r="AT15582" s="19"/>
      <c r="AU15582" s="19"/>
    </row>
    <row r="15583" spans="3:47">
      <c r="C15583" s="20"/>
      <c r="Z15583" s="20"/>
      <c r="AG15583" s="20"/>
      <c r="AQ15583" s="19"/>
      <c r="AR15583" s="19"/>
      <c r="AS15583" s="19"/>
      <c r="AT15583" s="19"/>
      <c r="AU15583" s="19"/>
    </row>
    <row r="15584" spans="3:47">
      <c r="C15584" s="20"/>
      <c r="Z15584" s="20"/>
      <c r="AG15584" s="20"/>
      <c r="AQ15584" s="19"/>
      <c r="AR15584" s="19"/>
      <c r="AS15584" s="19"/>
      <c r="AT15584" s="19"/>
      <c r="AU15584" s="19"/>
    </row>
    <row r="15585" spans="3:47">
      <c r="C15585" s="20"/>
      <c r="Z15585" s="20"/>
      <c r="AG15585" s="20"/>
      <c r="AQ15585" s="19"/>
      <c r="AR15585" s="19"/>
      <c r="AS15585" s="19"/>
      <c r="AT15585" s="19"/>
      <c r="AU15585" s="19"/>
    </row>
    <row r="15586" spans="3:47">
      <c r="C15586" s="20"/>
      <c r="Z15586" s="20"/>
      <c r="AG15586" s="20"/>
      <c r="AQ15586" s="19"/>
      <c r="AR15586" s="19"/>
      <c r="AS15586" s="19"/>
      <c r="AT15586" s="19"/>
      <c r="AU15586" s="19"/>
    </row>
    <row r="15587" spans="3:47">
      <c r="C15587" s="20"/>
      <c r="Z15587" s="20"/>
      <c r="AG15587" s="20"/>
      <c r="AQ15587" s="19"/>
      <c r="AR15587" s="19"/>
      <c r="AS15587" s="19"/>
      <c r="AT15587" s="19"/>
      <c r="AU15587" s="19"/>
    </row>
    <row r="15588" spans="3:47">
      <c r="C15588" s="20"/>
      <c r="Z15588" s="20"/>
      <c r="AG15588" s="20"/>
      <c r="AQ15588" s="19"/>
      <c r="AR15588" s="19"/>
      <c r="AS15588" s="19"/>
      <c r="AT15588" s="19"/>
      <c r="AU15588" s="19"/>
    </row>
    <row r="15589" spans="3:47">
      <c r="C15589" s="20"/>
      <c r="Z15589" s="20"/>
      <c r="AG15589" s="20"/>
      <c r="AQ15589" s="19"/>
      <c r="AR15589" s="19"/>
      <c r="AS15589" s="19"/>
      <c r="AT15589" s="19"/>
      <c r="AU15589" s="19"/>
    </row>
    <row r="15590" spans="3:47">
      <c r="C15590" s="20"/>
      <c r="Z15590" s="20"/>
      <c r="AG15590" s="20"/>
      <c r="AQ15590" s="19"/>
      <c r="AR15590" s="19"/>
      <c r="AS15590" s="19"/>
      <c r="AT15590" s="19"/>
      <c r="AU15590" s="19"/>
    </row>
    <row r="15591" spans="3:47">
      <c r="C15591" s="20"/>
      <c r="Z15591" s="20"/>
      <c r="AG15591" s="20"/>
      <c r="AQ15591" s="19"/>
      <c r="AR15591" s="19"/>
      <c r="AS15591" s="19"/>
      <c r="AT15591" s="19"/>
      <c r="AU15591" s="19"/>
    </row>
    <row r="15592" spans="3:47">
      <c r="C15592" s="20"/>
      <c r="Z15592" s="20"/>
      <c r="AG15592" s="20"/>
      <c r="AQ15592" s="19"/>
      <c r="AR15592" s="19"/>
      <c r="AS15592" s="19"/>
      <c r="AT15592" s="19"/>
      <c r="AU15592" s="19"/>
    </row>
    <row r="15593" spans="3:47">
      <c r="C15593" s="20"/>
      <c r="Z15593" s="20"/>
      <c r="AG15593" s="20"/>
      <c r="AQ15593" s="19"/>
      <c r="AR15593" s="19"/>
      <c r="AS15593" s="19"/>
      <c r="AT15593" s="19"/>
      <c r="AU15593" s="19"/>
    </row>
    <row r="15594" spans="3:47">
      <c r="C15594" s="20"/>
      <c r="Z15594" s="20"/>
      <c r="AG15594" s="20"/>
      <c r="AQ15594" s="19"/>
      <c r="AR15594" s="19"/>
      <c r="AS15594" s="19"/>
      <c r="AT15594" s="19"/>
      <c r="AU15594" s="19"/>
    </row>
    <row r="15595" spans="3:47">
      <c r="C15595" s="20"/>
      <c r="Z15595" s="20"/>
      <c r="AG15595" s="20"/>
      <c r="AQ15595" s="19"/>
      <c r="AR15595" s="19"/>
      <c r="AS15595" s="19"/>
      <c r="AT15595" s="19"/>
      <c r="AU15595" s="19"/>
    </row>
    <row r="15596" spans="3:47">
      <c r="C15596" s="20"/>
      <c r="Z15596" s="20"/>
      <c r="AG15596" s="20"/>
      <c r="AQ15596" s="19"/>
      <c r="AR15596" s="19"/>
      <c r="AS15596" s="19"/>
      <c r="AT15596" s="19"/>
      <c r="AU15596" s="19"/>
    </row>
    <row r="15597" spans="3:47">
      <c r="C15597" s="20"/>
      <c r="Z15597" s="20"/>
      <c r="AG15597" s="20"/>
      <c r="AQ15597" s="19"/>
      <c r="AR15597" s="19"/>
      <c r="AS15597" s="19"/>
      <c r="AT15597" s="19"/>
      <c r="AU15597" s="19"/>
    </row>
    <row r="15598" spans="3:47">
      <c r="C15598" s="20"/>
      <c r="Z15598" s="20"/>
      <c r="AG15598" s="20"/>
      <c r="AQ15598" s="19"/>
      <c r="AR15598" s="19"/>
      <c r="AS15598" s="19"/>
      <c r="AT15598" s="19"/>
      <c r="AU15598" s="19"/>
    </row>
    <row r="15599" spans="3:47">
      <c r="C15599" s="20"/>
      <c r="Z15599" s="20"/>
      <c r="AG15599" s="20"/>
      <c r="AQ15599" s="19"/>
      <c r="AR15599" s="19"/>
      <c r="AS15599" s="19"/>
      <c r="AT15599" s="19"/>
      <c r="AU15599" s="19"/>
    </row>
    <row r="15600" spans="3:47">
      <c r="C15600" s="20"/>
      <c r="Z15600" s="20"/>
      <c r="AG15600" s="20"/>
      <c r="AQ15600" s="19"/>
      <c r="AR15600" s="19"/>
      <c r="AS15600" s="19"/>
      <c r="AT15600" s="19"/>
      <c r="AU15600" s="19"/>
    </row>
    <row r="15601" spans="3:47">
      <c r="C15601" s="20"/>
      <c r="Z15601" s="20"/>
      <c r="AG15601" s="20"/>
      <c r="AQ15601" s="19"/>
      <c r="AR15601" s="19"/>
      <c r="AS15601" s="19"/>
      <c r="AT15601" s="19"/>
      <c r="AU15601" s="19"/>
    </row>
    <row r="15602" spans="3:47">
      <c r="C15602" s="20"/>
      <c r="Z15602" s="20"/>
      <c r="AG15602" s="20"/>
      <c r="AQ15602" s="19"/>
      <c r="AR15602" s="19"/>
      <c r="AS15602" s="19"/>
      <c r="AT15602" s="19"/>
      <c r="AU15602" s="19"/>
    </row>
    <row r="15603" spans="3:47">
      <c r="C15603" s="20"/>
      <c r="Z15603" s="20"/>
      <c r="AG15603" s="20"/>
      <c r="AQ15603" s="19"/>
      <c r="AR15603" s="19"/>
      <c r="AS15603" s="19"/>
      <c r="AT15603" s="19"/>
      <c r="AU15603" s="19"/>
    </row>
    <row r="15604" spans="3:47">
      <c r="C15604" s="20"/>
      <c r="Z15604" s="20"/>
      <c r="AG15604" s="20"/>
      <c r="AQ15604" s="19"/>
      <c r="AR15604" s="19"/>
      <c r="AS15604" s="19"/>
      <c r="AT15604" s="19"/>
      <c r="AU15604" s="19"/>
    </row>
    <row r="15605" spans="3:47">
      <c r="C15605" s="20"/>
      <c r="Z15605" s="20"/>
      <c r="AG15605" s="20"/>
      <c r="AQ15605" s="19"/>
      <c r="AR15605" s="19"/>
      <c r="AS15605" s="19"/>
      <c r="AT15605" s="19"/>
      <c r="AU15605" s="19"/>
    </row>
    <row r="15606" spans="3:47">
      <c r="C15606" s="20"/>
      <c r="Z15606" s="20"/>
      <c r="AG15606" s="20"/>
      <c r="AQ15606" s="19"/>
      <c r="AR15606" s="19"/>
      <c r="AS15606" s="19"/>
      <c r="AT15606" s="19"/>
      <c r="AU15606" s="19"/>
    </row>
    <row r="15607" spans="3:47">
      <c r="C15607" s="20"/>
      <c r="Z15607" s="20"/>
      <c r="AG15607" s="20"/>
      <c r="AQ15607" s="19"/>
      <c r="AR15607" s="19"/>
      <c r="AS15607" s="19"/>
      <c r="AT15607" s="19"/>
      <c r="AU15607" s="19"/>
    </row>
    <row r="15608" spans="3:47">
      <c r="C15608" s="20"/>
      <c r="Z15608" s="20"/>
      <c r="AG15608" s="20"/>
      <c r="AQ15608" s="19"/>
      <c r="AR15608" s="19"/>
      <c r="AS15608" s="19"/>
      <c r="AT15608" s="19"/>
      <c r="AU15608" s="19"/>
    </row>
    <row r="15609" spans="3:47">
      <c r="C15609" s="20"/>
      <c r="Z15609" s="20"/>
      <c r="AG15609" s="20"/>
      <c r="AQ15609" s="19"/>
      <c r="AR15609" s="19"/>
      <c r="AS15609" s="19"/>
      <c r="AT15609" s="19"/>
      <c r="AU15609" s="19"/>
    </row>
    <row r="15610" spans="3:47">
      <c r="C15610" s="20"/>
      <c r="Z15610" s="20"/>
      <c r="AG15610" s="20"/>
      <c r="AQ15610" s="19"/>
      <c r="AR15610" s="19"/>
      <c r="AS15610" s="19"/>
      <c r="AT15610" s="19"/>
      <c r="AU15610" s="19"/>
    </row>
    <row r="15611" spans="3:47">
      <c r="C15611" s="20"/>
      <c r="Z15611" s="20"/>
      <c r="AG15611" s="20"/>
      <c r="AQ15611" s="19"/>
      <c r="AR15611" s="19"/>
      <c r="AS15611" s="19"/>
      <c r="AT15611" s="19"/>
      <c r="AU15611" s="19"/>
    </row>
    <row r="15612" spans="3:47">
      <c r="C15612" s="20"/>
      <c r="Z15612" s="20"/>
      <c r="AG15612" s="20"/>
      <c r="AQ15612" s="19"/>
      <c r="AR15612" s="19"/>
      <c r="AS15612" s="19"/>
      <c r="AT15612" s="19"/>
      <c r="AU15612" s="19"/>
    </row>
    <row r="15613" spans="3:47">
      <c r="C15613" s="20"/>
      <c r="Z15613" s="20"/>
      <c r="AG15613" s="20"/>
      <c r="AQ15613" s="19"/>
      <c r="AR15613" s="19"/>
      <c r="AS15613" s="19"/>
      <c r="AT15613" s="19"/>
      <c r="AU15613" s="19"/>
    </row>
    <row r="15614" spans="3:47">
      <c r="C15614" s="20"/>
      <c r="Z15614" s="20"/>
      <c r="AG15614" s="20"/>
      <c r="AQ15614" s="19"/>
      <c r="AR15614" s="19"/>
      <c r="AS15614" s="19"/>
      <c r="AT15614" s="19"/>
      <c r="AU15614" s="19"/>
    </row>
    <row r="15615" spans="3:47">
      <c r="C15615" s="20"/>
      <c r="Z15615" s="20"/>
      <c r="AG15615" s="20"/>
      <c r="AQ15615" s="19"/>
      <c r="AR15615" s="19"/>
      <c r="AS15615" s="19"/>
      <c r="AT15615" s="19"/>
      <c r="AU15615" s="19"/>
    </row>
    <row r="15616" spans="3:47">
      <c r="C15616" s="20"/>
      <c r="Z15616" s="20"/>
      <c r="AG15616" s="20"/>
      <c r="AQ15616" s="19"/>
      <c r="AR15616" s="19"/>
      <c r="AS15616" s="19"/>
      <c r="AT15616" s="19"/>
      <c r="AU15616" s="19"/>
    </row>
    <row r="15617" spans="3:47">
      <c r="C15617" s="20"/>
      <c r="Z15617" s="20"/>
      <c r="AG15617" s="20"/>
      <c r="AQ15617" s="19"/>
      <c r="AR15617" s="19"/>
      <c r="AS15617" s="19"/>
      <c r="AT15617" s="19"/>
      <c r="AU15617" s="19"/>
    </row>
    <row r="15618" spans="3:47">
      <c r="C15618" s="20"/>
      <c r="Z15618" s="20"/>
      <c r="AG15618" s="20"/>
      <c r="AQ15618" s="19"/>
      <c r="AR15618" s="19"/>
      <c r="AS15618" s="19"/>
      <c r="AT15618" s="19"/>
      <c r="AU15618" s="19"/>
    </row>
    <row r="15619" spans="3:47">
      <c r="C15619" s="20"/>
      <c r="Z15619" s="20"/>
      <c r="AG15619" s="20"/>
      <c r="AQ15619" s="19"/>
      <c r="AR15619" s="19"/>
      <c r="AS15619" s="19"/>
      <c r="AT15619" s="19"/>
      <c r="AU15619" s="19"/>
    </row>
    <row r="15620" spans="3:47">
      <c r="C15620" s="20"/>
      <c r="Z15620" s="20"/>
      <c r="AG15620" s="20"/>
      <c r="AQ15620" s="19"/>
      <c r="AR15620" s="19"/>
      <c r="AS15620" s="19"/>
      <c r="AT15620" s="19"/>
      <c r="AU15620" s="19"/>
    </row>
    <row r="15621" spans="3:47">
      <c r="C15621" s="20"/>
      <c r="Z15621" s="20"/>
      <c r="AG15621" s="20"/>
      <c r="AQ15621" s="19"/>
      <c r="AR15621" s="19"/>
      <c r="AS15621" s="19"/>
      <c r="AT15621" s="19"/>
      <c r="AU15621" s="19"/>
    </row>
    <row r="15622" spans="3:47">
      <c r="C15622" s="20"/>
      <c r="Z15622" s="20"/>
      <c r="AG15622" s="20"/>
      <c r="AQ15622" s="19"/>
      <c r="AR15622" s="19"/>
      <c r="AS15622" s="19"/>
      <c r="AT15622" s="19"/>
      <c r="AU15622" s="19"/>
    </row>
    <row r="15623" spans="3:47">
      <c r="C15623" s="20"/>
      <c r="Z15623" s="20"/>
      <c r="AG15623" s="20"/>
      <c r="AQ15623" s="19"/>
      <c r="AR15623" s="19"/>
      <c r="AS15623" s="19"/>
      <c r="AT15623" s="19"/>
      <c r="AU15623" s="19"/>
    </row>
    <row r="15624" spans="3:47">
      <c r="C15624" s="20"/>
      <c r="Z15624" s="20"/>
      <c r="AG15624" s="20"/>
      <c r="AQ15624" s="19"/>
      <c r="AR15624" s="19"/>
      <c r="AS15624" s="19"/>
      <c r="AT15624" s="19"/>
      <c r="AU15624" s="19"/>
    </row>
    <row r="15625" spans="3:47">
      <c r="C15625" s="20"/>
      <c r="Z15625" s="20"/>
      <c r="AG15625" s="20"/>
      <c r="AQ15625" s="19"/>
      <c r="AR15625" s="19"/>
      <c r="AS15625" s="19"/>
      <c r="AT15625" s="19"/>
      <c r="AU15625" s="19"/>
    </row>
    <row r="15626" spans="3:47">
      <c r="C15626" s="20"/>
      <c r="Z15626" s="20"/>
      <c r="AG15626" s="20"/>
      <c r="AQ15626" s="19"/>
      <c r="AR15626" s="19"/>
      <c r="AS15626" s="19"/>
      <c r="AT15626" s="19"/>
      <c r="AU15626" s="19"/>
    </row>
    <row r="15627" spans="3:47">
      <c r="C15627" s="20"/>
      <c r="Z15627" s="20"/>
      <c r="AG15627" s="20"/>
      <c r="AQ15627" s="19"/>
      <c r="AR15627" s="19"/>
      <c r="AS15627" s="19"/>
      <c r="AT15627" s="19"/>
      <c r="AU15627" s="19"/>
    </row>
    <row r="15628" spans="3:47">
      <c r="C15628" s="20"/>
      <c r="Z15628" s="20"/>
      <c r="AG15628" s="20"/>
      <c r="AQ15628" s="19"/>
      <c r="AR15628" s="19"/>
      <c r="AS15628" s="19"/>
      <c r="AT15628" s="19"/>
      <c r="AU15628" s="19"/>
    </row>
    <row r="15629" spans="3:47">
      <c r="C15629" s="20"/>
      <c r="Z15629" s="20"/>
      <c r="AG15629" s="20"/>
      <c r="AQ15629" s="19"/>
      <c r="AR15629" s="19"/>
      <c r="AS15629" s="19"/>
      <c r="AT15629" s="19"/>
      <c r="AU15629" s="19"/>
    </row>
    <row r="15630" spans="3:47">
      <c r="C15630" s="20"/>
      <c r="Z15630" s="20"/>
      <c r="AG15630" s="20"/>
      <c r="AQ15630" s="19"/>
      <c r="AR15630" s="19"/>
      <c r="AS15630" s="19"/>
      <c r="AT15630" s="19"/>
      <c r="AU15630" s="19"/>
    </row>
    <row r="15631" spans="3:47">
      <c r="C15631" s="20"/>
      <c r="Z15631" s="20"/>
      <c r="AG15631" s="20"/>
      <c r="AQ15631" s="19"/>
      <c r="AR15631" s="19"/>
      <c r="AS15631" s="19"/>
      <c r="AT15631" s="19"/>
      <c r="AU15631" s="19"/>
    </row>
    <row r="15632" spans="3:47">
      <c r="C15632" s="20"/>
      <c r="Z15632" s="20"/>
      <c r="AG15632" s="20"/>
      <c r="AQ15632" s="19"/>
      <c r="AR15632" s="19"/>
      <c r="AS15632" s="19"/>
      <c r="AT15632" s="19"/>
      <c r="AU15632" s="19"/>
    </row>
    <row r="15633" spans="3:47">
      <c r="C15633" s="20"/>
      <c r="Z15633" s="20"/>
      <c r="AG15633" s="20"/>
      <c r="AQ15633" s="19"/>
      <c r="AR15633" s="19"/>
      <c r="AS15633" s="19"/>
      <c r="AT15633" s="19"/>
      <c r="AU15633" s="19"/>
    </row>
    <row r="15634" spans="3:47">
      <c r="C15634" s="20"/>
      <c r="Z15634" s="20"/>
      <c r="AG15634" s="20"/>
      <c r="AQ15634" s="19"/>
      <c r="AR15634" s="19"/>
      <c r="AS15634" s="19"/>
      <c r="AT15634" s="19"/>
      <c r="AU15634" s="19"/>
    </row>
    <row r="15635" spans="3:47">
      <c r="C15635" s="20"/>
      <c r="Z15635" s="20"/>
      <c r="AG15635" s="20"/>
      <c r="AQ15635" s="19"/>
      <c r="AR15635" s="19"/>
      <c r="AS15635" s="19"/>
      <c r="AT15635" s="19"/>
      <c r="AU15635" s="19"/>
    </row>
    <row r="15636" spans="3:47">
      <c r="C15636" s="20"/>
      <c r="Z15636" s="20"/>
      <c r="AG15636" s="20"/>
      <c r="AQ15636" s="19"/>
      <c r="AR15636" s="19"/>
      <c r="AS15636" s="19"/>
      <c r="AT15636" s="19"/>
      <c r="AU15636" s="19"/>
    </row>
    <row r="15637" spans="3:47">
      <c r="C15637" s="20"/>
      <c r="Z15637" s="20"/>
      <c r="AG15637" s="20"/>
      <c r="AQ15637" s="19"/>
      <c r="AR15637" s="19"/>
      <c r="AS15637" s="19"/>
      <c r="AT15637" s="19"/>
      <c r="AU15637" s="19"/>
    </row>
    <row r="15638" spans="3:47">
      <c r="C15638" s="20"/>
      <c r="Z15638" s="20"/>
      <c r="AG15638" s="20"/>
      <c r="AQ15638" s="19"/>
      <c r="AR15638" s="19"/>
      <c r="AS15638" s="19"/>
      <c r="AT15638" s="19"/>
      <c r="AU15638" s="19"/>
    </row>
    <row r="15639" spans="3:47">
      <c r="C15639" s="20"/>
      <c r="Z15639" s="20"/>
      <c r="AG15639" s="20"/>
      <c r="AQ15639" s="19"/>
      <c r="AR15639" s="19"/>
      <c r="AS15639" s="19"/>
      <c r="AT15639" s="19"/>
      <c r="AU15639" s="19"/>
    </row>
    <row r="15640" spans="3:47">
      <c r="C15640" s="20"/>
      <c r="Z15640" s="20"/>
      <c r="AG15640" s="20"/>
      <c r="AQ15640" s="19"/>
      <c r="AR15640" s="19"/>
      <c r="AS15640" s="19"/>
      <c r="AT15640" s="19"/>
      <c r="AU15640" s="19"/>
    </row>
    <row r="15641" spans="3:47">
      <c r="C15641" s="20"/>
      <c r="Z15641" s="20"/>
      <c r="AG15641" s="20"/>
      <c r="AQ15641" s="19"/>
      <c r="AR15641" s="19"/>
      <c r="AS15641" s="19"/>
      <c r="AT15641" s="19"/>
      <c r="AU15641" s="19"/>
    </row>
    <row r="15642" spans="3:47">
      <c r="C15642" s="20"/>
      <c r="Z15642" s="20"/>
      <c r="AG15642" s="20"/>
      <c r="AQ15642" s="19"/>
      <c r="AR15642" s="19"/>
      <c r="AS15642" s="19"/>
      <c r="AT15642" s="19"/>
      <c r="AU15642" s="19"/>
    </row>
    <row r="15643" spans="3:47">
      <c r="C15643" s="20"/>
      <c r="Z15643" s="20"/>
      <c r="AG15643" s="20"/>
      <c r="AQ15643" s="19"/>
      <c r="AR15643" s="19"/>
      <c r="AS15643" s="19"/>
      <c r="AT15643" s="19"/>
      <c r="AU15643" s="19"/>
    </row>
    <row r="15644" spans="3:47">
      <c r="C15644" s="20"/>
      <c r="Z15644" s="20"/>
      <c r="AG15644" s="20"/>
      <c r="AQ15644" s="19"/>
      <c r="AR15644" s="19"/>
      <c r="AS15644" s="19"/>
      <c r="AT15644" s="19"/>
      <c r="AU15644" s="19"/>
    </row>
    <row r="15645" spans="3:47">
      <c r="C15645" s="20"/>
      <c r="Z15645" s="20"/>
      <c r="AG15645" s="20"/>
      <c r="AQ15645" s="19"/>
      <c r="AR15645" s="19"/>
      <c r="AS15645" s="19"/>
      <c r="AT15645" s="19"/>
      <c r="AU15645" s="19"/>
    </row>
    <row r="15646" spans="3:47">
      <c r="C15646" s="20"/>
      <c r="Z15646" s="20"/>
      <c r="AG15646" s="20"/>
      <c r="AQ15646" s="19"/>
      <c r="AR15646" s="19"/>
      <c r="AS15646" s="19"/>
      <c r="AT15646" s="19"/>
      <c r="AU15646" s="19"/>
    </row>
    <row r="15647" spans="3:47">
      <c r="C15647" s="20"/>
      <c r="Z15647" s="20"/>
      <c r="AG15647" s="20"/>
      <c r="AQ15647" s="19"/>
      <c r="AR15647" s="19"/>
      <c r="AS15647" s="19"/>
      <c r="AT15647" s="19"/>
      <c r="AU15647" s="19"/>
    </row>
    <row r="15648" spans="3:47">
      <c r="C15648" s="20"/>
      <c r="Z15648" s="20"/>
      <c r="AG15648" s="20"/>
      <c r="AQ15648" s="19"/>
      <c r="AR15648" s="19"/>
      <c r="AS15648" s="19"/>
      <c r="AT15648" s="19"/>
      <c r="AU15648" s="19"/>
    </row>
    <row r="15649" spans="3:47">
      <c r="C15649" s="20"/>
      <c r="Z15649" s="20"/>
      <c r="AG15649" s="20"/>
      <c r="AQ15649" s="19"/>
      <c r="AR15649" s="19"/>
      <c r="AS15649" s="19"/>
      <c r="AT15649" s="19"/>
      <c r="AU15649" s="19"/>
    </row>
    <row r="15650" spans="3:47">
      <c r="C15650" s="20"/>
      <c r="Z15650" s="20"/>
      <c r="AG15650" s="20"/>
      <c r="AQ15650" s="19"/>
      <c r="AR15650" s="19"/>
      <c r="AS15650" s="19"/>
      <c r="AT15650" s="19"/>
      <c r="AU15650" s="19"/>
    </row>
    <row r="15651" spans="3:47">
      <c r="C15651" s="20"/>
      <c r="Z15651" s="20"/>
      <c r="AG15651" s="20"/>
      <c r="AQ15651" s="19"/>
      <c r="AR15651" s="19"/>
      <c r="AS15651" s="19"/>
      <c r="AT15651" s="19"/>
      <c r="AU15651" s="19"/>
    </row>
    <row r="15652" spans="3:47">
      <c r="C15652" s="20"/>
      <c r="Z15652" s="20"/>
      <c r="AG15652" s="20"/>
      <c r="AQ15652" s="19"/>
      <c r="AR15652" s="19"/>
      <c r="AS15652" s="19"/>
      <c r="AT15652" s="19"/>
      <c r="AU15652" s="19"/>
    </row>
    <row r="15653" spans="3:47">
      <c r="C15653" s="20"/>
      <c r="Z15653" s="20"/>
      <c r="AG15653" s="20"/>
      <c r="AQ15653" s="19"/>
      <c r="AR15653" s="19"/>
      <c r="AS15653" s="19"/>
      <c r="AT15653" s="19"/>
      <c r="AU15653" s="19"/>
    </row>
    <row r="15654" spans="3:47">
      <c r="C15654" s="20"/>
      <c r="Z15654" s="20"/>
      <c r="AG15654" s="20"/>
      <c r="AQ15654" s="19"/>
      <c r="AR15654" s="19"/>
      <c r="AS15654" s="19"/>
      <c r="AT15654" s="19"/>
      <c r="AU15654" s="19"/>
    </row>
    <row r="15655" spans="3:47">
      <c r="C15655" s="20"/>
      <c r="Z15655" s="20"/>
      <c r="AG15655" s="20"/>
      <c r="AQ15655" s="19"/>
      <c r="AR15655" s="19"/>
      <c r="AS15655" s="19"/>
      <c r="AT15655" s="19"/>
      <c r="AU15655" s="19"/>
    </row>
    <row r="15656" spans="3:47">
      <c r="C15656" s="20"/>
      <c r="Z15656" s="20"/>
      <c r="AG15656" s="20"/>
      <c r="AQ15656" s="19"/>
      <c r="AR15656" s="19"/>
      <c r="AS15656" s="19"/>
      <c r="AT15656" s="19"/>
      <c r="AU15656" s="19"/>
    </row>
    <row r="15657" spans="3:47">
      <c r="C15657" s="20"/>
      <c r="Z15657" s="20"/>
      <c r="AG15657" s="20"/>
      <c r="AQ15657" s="19"/>
      <c r="AR15657" s="19"/>
      <c r="AS15657" s="19"/>
      <c r="AT15657" s="19"/>
      <c r="AU15657" s="19"/>
    </row>
    <row r="15658" spans="3:47">
      <c r="C15658" s="20"/>
      <c r="Z15658" s="20"/>
      <c r="AG15658" s="20"/>
      <c r="AQ15658" s="19"/>
      <c r="AR15658" s="19"/>
      <c r="AS15658" s="19"/>
      <c r="AT15658" s="19"/>
      <c r="AU15658" s="19"/>
    </row>
    <row r="15659" spans="3:47">
      <c r="C15659" s="20"/>
      <c r="Z15659" s="20"/>
      <c r="AG15659" s="20"/>
      <c r="AQ15659" s="19"/>
      <c r="AR15659" s="19"/>
      <c r="AS15659" s="19"/>
      <c r="AT15659" s="19"/>
      <c r="AU15659" s="19"/>
    </row>
    <row r="15660" spans="3:47">
      <c r="C15660" s="20"/>
      <c r="Z15660" s="20"/>
      <c r="AG15660" s="20"/>
      <c r="AQ15660" s="19"/>
      <c r="AR15660" s="19"/>
      <c r="AS15660" s="19"/>
      <c r="AT15660" s="19"/>
      <c r="AU15660" s="19"/>
    </row>
    <row r="15661" spans="3:47">
      <c r="C15661" s="20"/>
      <c r="Z15661" s="20"/>
      <c r="AG15661" s="20"/>
      <c r="AQ15661" s="19"/>
      <c r="AR15661" s="19"/>
      <c r="AS15661" s="19"/>
      <c r="AT15661" s="19"/>
      <c r="AU15661" s="19"/>
    </row>
    <row r="15662" spans="3:47">
      <c r="C15662" s="20"/>
      <c r="Z15662" s="20"/>
      <c r="AG15662" s="20"/>
      <c r="AQ15662" s="19"/>
      <c r="AR15662" s="19"/>
      <c r="AS15662" s="19"/>
      <c r="AT15662" s="19"/>
      <c r="AU15662" s="19"/>
    </row>
    <row r="15663" spans="3:47">
      <c r="C15663" s="20"/>
      <c r="Z15663" s="20"/>
      <c r="AG15663" s="20"/>
      <c r="AQ15663" s="19"/>
      <c r="AR15663" s="19"/>
      <c r="AS15663" s="19"/>
      <c r="AT15663" s="19"/>
      <c r="AU15663" s="19"/>
    </row>
    <row r="15664" spans="3:47">
      <c r="C15664" s="20"/>
      <c r="Z15664" s="20"/>
      <c r="AG15664" s="20"/>
      <c r="AQ15664" s="19"/>
      <c r="AR15664" s="19"/>
      <c r="AS15664" s="19"/>
      <c r="AT15664" s="19"/>
      <c r="AU15664" s="19"/>
    </row>
    <row r="15665" spans="3:47">
      <c r="C15665" s="20"/>
      <c r="Z15665" s="20"/>
      <c r="AG15665" s="20"/>
      <c r="AQ15665" s="19"/>
      <c r="AR15665" s="19"/>
      <c r="AS15665" s="19"/>
      <c r="AT15665" s="19"/>
      <c r="AU15665" s="19"/>
    </row>
    <row r="15666" spans="3:47">
      <c r="C15666" s="20"/>
      <c r="Z15666" s="20"/>
      <c r="AG15666" s="20"/>
      <c r="AQ15666" s="19"/>
      <c r="AR15666" s="19"/>
      <c r="AS15666" s="19"/>
      <c r="AT15666" s="19"/>
      <c r="AU15666" s="19"/>
    </row>
    <row r="15667" spans="3:47">
      <c r="C15667" s="20"/>
      <c r="Z15667" s="20"/>
      <c r="AG15667" s="20"/>
      <c r="AQ15667" s="19"/>
      <c r="AR15667" s="19"/>
      <c r="AS15667" s="19"/>
      <c r="AT15667" s="19"/>
      <c r="AU15667" s="19"/>
    </row>
    <row r="15668" spans="3:47">
      <c r="C15668" s="20"/>
      <c r="Z15668" s="20"/>
      <c r="AG15668" s="20"/>
      <c r="AQ15668" s="19"/>
      <c r="AR15668" s="19"/>
      <c r="AS15668" s="19"/>
      <c r="AT15668" s="19"/>
      <c r="AU15668" s="19"/>
    </row>
    <row r="15669" spans="3:47">
      <c r="C15669" s="20"/>
      <c r="Z15669" s="20"/>
      <c r="AG15669" s="20"/>
      <c r="AQ15669" s="19"/>
      <c r="AR15669" s="19"/>
      <c r="AS15669" s="19"/>
      <c r="AT15669" s="19"/>
      <c r="AU15669" s="19"/>
    </row>
    <row r="15670" spans="3:47">
      <c r="C15670" s="20"/>
      <c r="Z15670" s="20"/>
      <c r="AG15670" s="20"/>
      <c r="AQ15670" s="19"/>
      <c r="AR15670" s="19"/>
      <c r="AS15670" s="19"/>
      <c r="AT15670" s="19"/>
      <c r="AU15670" s="19"/>
    </row>
    <row r="15671" spans="3:47">
      <c r="C15671" s="20"/>
      <c r="Z15671" s="20"/>
      <c r="AG15671" s="20"/>
      <c r="AQ15671" s="19"/>
      <c r="AR15671" s="19"/>
      <c r="AS15671" s="19"/>
      <c r="AT15671" s="19"/>
      <c r="AU15671" s="19"/>
    </row>
    <row r="15672" spans="3:47">
      <c r="C15672" s="20"/>
      <c r="Z15672" s="20"/>
      <c r="AG15672" s="20"/>
      <c r="AQ15672" s="19"/>
      <c r="AR15672" s="19"/>
      <c r="AS15672" s="19"/>
      <c r="AT15672" s="19"/>
      <c r="AU15672" s="19"/>
    </row>
    <row r="15673" spans="3:47">
      <c r="C15673" s="20"/>
      <c r="Z15673" s="20"/>
      <c r="AG15673" s="20"/>
      <c r="AQ15673" s="19"/>
      <c r="AR15673" s="19"/>
      <c r="AS15673" s="19"/>
      <c r="AT15673" s="19"/>
      <c r="AU15673" s="19"/>
    </row>
    <row r="15674" spans="3:47">
      <c r="C15674" s="20"/>
      <c r="Z15674" s="20"/>
      <c r="AG15674" s="20"/>
      <c r="AQ15674" s="19"/>
      <c r="AR15674" s="19"/>
      <c r="AS15674" s="19"/>
      <c r="AT15674" s="19"/>
      <c r="AU15674" s="19"/>
    </row>
    <row r="15675" spans="3:47">
      <c r="C15675" s="20"/>
      <c r="Z15675" s="20"/>
      <c r="AG15675" s="20"/>
      <c r="AQ15675" s="19"/>
      <c r="AR15675" s="19"/>
      <c r="AS15675" s="19"/>
      <c r="AT15675" s="19"/>
      <c r="AU15675" s="19"/>
    </row>
    <row r="15676" spans="3:47">
      <c r="C15676" s="20"/>
      <c r="Z15676" s="20"/>
      <c r="AG15676" s="20"/>
      <c r="AQ15676" s="19"/>
      <c r="AR15676" s="19"/>
      <c r="AS15676" s="19"/>
      <c r="AT15676" s="19"/>
      <c r="AU15676" s="19"/>
    </row>
    <row r="15677" spans="3:47">
      <c r="C15677" s="20"/>
      <c r="Z15677" s="20"/>
      <c r="AG15677" s="20"/>
      <c r="AQ15677" s="19"/>
      <c r="AR15677" s="19"/>
      <c r="AS15677" s="19"/>
      <c r="AT15677" s="19"/>
      <c r="AU15677" s="19"/>
    </row>
    <row r="15678" spans="3:47">
      <c r="C15678" s="20"/>
      <c r="Z15678" s="20"/>
      <c r="AG15678" s="20"/>
      <c r="AQ15678" s="19"/>
      <c r="AR15678" s="19"/>
      <c r="AS15678" s="19"/>
      <c r="AT15678" s="19"/>
      <c r="AU15678" s="19"/>
    </row>
    <row r="15679" spans="3:47">
      <c r="C15679" s="20"/>
      <c r="Z15679" s="20"/>
      <c r="AG15679" s="20"/>
      <c r="AQ15679" s="19"/>
      <c r="AR15679" s="19"/>
      <c r="AS15679" s="19"/>
      <c r="AT15679" s="19"/>
      <c r="AU15679" s="19"/>
    </row>
    <row r="15680" spans="3:47">
      <c r="C15680" s="20"/>
      <c r="Z15680" s="20"/>
      <c r="AG15680" s="20"/>
      <c r="AQ15680" s="19"/>
      <c r="AR15680" s="19"/>
      <c r="AS15680" s="19"/>
      <c r="AT15680" s="19"/>
      <c r="AU15680" s="19"/>
    </row>
    <row r="15681" spans="3:47">
      <c r="C15681" s="20"/>
      <c r="Z15681" s="20"/>
      <c r="AG15681" s="20"/>
      <c r="AQ15681" s="19"/>
      <c r="AR15681" s="19"/>
      <c r="AS15681" s="19"/>
      <c r="AT15681" s="19"/>
      <c r="AU15681" s="19"/>
    </row>
    <row r="15682" spans="3:47">
      <c r="C15682" s="20"/>
      <c r="Z15682" s="20"/>
      <c r="AG15682" s="20"/>
      <c r="AQ15682" s="19"/>
      <c r="AR15682" s="19"/>
      <c r="AS15682" s="19"/>
      <c r="AT15682" s="19"/>
      <c r="AU15682" s="19"/>
    </row>
    <row r="15683" spans="3:47">
      <c r="C15683" s="20"/>
      <c r="Z15683" s="20"/>
      <c r="AG15683" s="20"/>
      <c r="AQ15683" s="19"/>
      <c r="AR15683" s="19"/>
      <c r="AS15683" s="19"/>
      <c r="AT15683" s="19"/>
      <c r="AU15683" s="19"/>
    </row>
    <row r="15684" spans="3:47">
      <c r="C15684" s="20"/>
      <c r="Z15684" s="20"/>
      <c r="AG15684" s="20"/>
      <c r="AQ15684" s="19"/>
      <c r="AR15684" s="19"/>
      <c r="AS15684" s="19"/>
      <c r="AT15684" s="19"/>
      <c r="AU15684" s="19"/>
    </row>
    <row r="15685" spans="3:47">
      <c r="C15685" s="20"/>
      <c r="Z15685" s="20"/>
      <c r="AG15685" s="20"/>
      <c r="AQ15685" s="19"/>
      <c r="AR15685" s="19"/>
      <c r="AS15685" s="19"/>
      <c r="AT15685" s="19"/>
      <c r="AU15685" s="19"/>
    </row>
    <row r="15686" spans="3:47">
      <c r="C15686" s="20"/>
      <c r="Z15686" s="20"/>
      <c r="AG15686" s="20"/>
      <c r="AQ15686" s="19"/>
      <c r="AR15686" s="19"/>
      <c r="AS15686" s="19"/>
      <c r="AT15686" s="19"/>
      <c r="AU15686" s="19"/>
    </row>
    <row r="15687" spans="3:47">
      <c r="C15687" s="20"/>
      <c r="Z15687" s="20"/>
      <c r="AG15687" s="20"/>
      <c r="AQ15687" s="19"/>
      <c r="AR15687" s="19"/>
      <c r="AS15687" s="19"/>
      <c r="AT15687" s="19"/>
      <c r="AU15687" s="19"/>
    </row>
    <row r="15688" spans="3:47">
      <c r="C15688" s="20"/>
      <c r="Z15688" s="20"/>
      <c r="AG15688" s="20"/>
      <c r="AQ15688" s="19"/>
      <c r="AR15688" s="19"/>
      <c r="AS15688" s="19"/>
      <c r="AT15688" s="19"/>
      <c r="AU15688" s="19"/>
    </row>
    <row r="15689" spans="3:47">
      <c r="C15689" s="20"/>
      <c r="Z15689" s="20"/>
      <c r="AG15689" s="20"/>
      <c r="AQ15689" s="19"/>
      <c r="AR15689" s="19"/>
      <c r="AS15689" s="19"/>
      <c r="AT15689" s="19"/>
      <c r="AU15689" s="19"/>
    </row>
    <row r="15690" spans="3:47">
      <c r="C15690" s="20"/>
      <c r="Z15690" s="20"/>
      <c r="AG15690" s="20"/>
      <c r="AQ15690" s="19"/>
      <c r="AR15690" s="19"/>
      <c r="AS15690" s="19"/>
      <c r="AT15690" s="19"/>
      <c r="AU15690" s="19"/>
    </row>
    <row r="15691" spans="3:47">
      <c r="C15691" s="20"/>
      <c r="Z15691" s="20"/>
      <c r="AG15691" s="20"/>
      <c r="AQ15691" s="19"/>
      <c r="AR15691" s="19"/>
      <c r="AS15691" s="19"/>
      <c r="AT15691" s="19"/>
      <c r="AU15691" s="19"/>
    </row>
    <row r="15692" spans="3:47">
      <c r="C15692" s="20"/>
      <c r="Z15692" s="20"/>
      <c r="AG15692" s="20"/>
      <c r="AQ15692" s="19"/>
      <c r="AR15692" s="19"/>
      <c r="AS15692" s="19"/>
      <c r="AT15692" s="19"/>
      <c r="AU15692" s="19"/>
    </row>
    <row r="15693" spans="3:47">
      <c r="C15693" s="20"/>
      <c r="Z15693" s="20"/>
      <c r="AG15693" s="20"/>
      <c r="AQ15693" s="19"/>
      <c r="AR15693" s="19"/>
      <c r="AS15693" s="19"/>
      <c r="AT15693" s="19"/>
      <c r="AU15693" s="19"/>
    </row>
    <row r="15694" spans="3:47">
      <c r="C15694" s="20"/>
      <c r="Z15694" s="20"/>
      <c r="AG15694" s="20"/>
      <c r="AQ15694" s="19"/>
      <c r="AR15694" s="19"/>
      <c r="AS15694" s="19"/>
      <c r="AT15694" s="19"/>
      <c r="AU15694" s="19"/>
    </row>
    <row r="15695" spans="3:47">
      <c r="C15695" s="20"/>
      <c r="Z15695" s="20"/>
      <c r="AG15695" s="20"/>
      <c r="AQ15695" s="19"/>
      <c r="AR15695" s="19"/>
      <c r="AS15695" s="19"/>
      <c r="AT15695" s="19"/>
      <c r="AU15695" s="19"/>
    </row>
    <row r="15696" spans="3:47">
      <c r="C15696" s="20"/>
      <c r="Z15696" s="20"/>
      <c r="AG15696" s="20"/>
      <c r="AQ15696" s="19"/>
      <c r="AR15696" s="19"/>
      <c r="AS15696" s="19"/>
      <c r="AT15696" s="19"/>
      <c r="AU15696" s="19"/>
    </row>
    <row r="15697" spans="3:47">
      <c r="C15697" s="20"/>
      <c r="Z15697" s="20"/>
      <c r="AG15697" s="20"/>
      <c r="AQ15697" s="19"/>
      <c r="AR15697" s="19"/>
      <c r="AS15697" s="19"/>
      <c r="AT15697" s="19"/>
      <c r="AU15697" s="19"/>
    </row>
    <row r="15698" spans="3:47">
      <c r="C15698" s="20"/>
      <c r="Z15698" s="20"/>
      <c r="AG15698" s="20"/>
      <c r="AQ15698" s="19"/>
      <c r="AR15698" s="19"/>
      <c r="AS15698" s="19"/>
      <c r="AT15698" s="19"/>
      <c r="AU15698" s="19"/>
    </row>
    <row r="15699" spans="3:47">
      <c r="C15699" s="20"/>
      <c r="Z15699" s="20"/>
      <c r="AG15699" s="20"/>
      <c r="AQ15699" s="19"/>
      <c r="AR15699" s="19"/>
      <c r="AS15699" s="19"/>
      <c r="AT15699" s="19"/>
      <c r="AU15699" s="19"/>
    </row>
    <row r="15700" spans="3:47">
      <c r="C15700" s="20"/>
      <c r="Z15700" s="20"/>
      <c r="AG15700" s="20"/>
      <c r="AQ15700" s="19"/>
      <c r="AR15700" s="19"/>
      <c r="AS15700" s="19"/>
      <c r="AT15700" s="19"/>
      <c r="AU15700" s="19"/>
    </row>
    <row r="15701" spans="3:47">
      <c r="C15701" s="20"/>
      <c r="Z15701" s="20"/>
      <c r="AG15701" s="20"/>
      <c r="AQ15701" s="19"/>
      <c r="AR15701" s="19"/>
      <c r="AS15701" s="19"/>
      <c r="AT15701" s="19"/>
      <c r="AU15701" s="19"/>
    </row>
    <row r="15702" spans="3:47">
      <c r="C15702" s="20"/>
      <c r="Z15702" s="20"/>
      <c r="AG15702" s="20"/>
      <c r="AQ15702" s="19"/>
      <c r="AR15702" s="19"/>
      <c r="AS15702" s="19"/>
      <c r="AT15702" s="19"/>
      <c r="AU15702" s="19"/>
    </row>
    <row r="15703" spans="3:47">
      <c r="C15703" s="20"/>
      <c r="Z15703" s="20"/>
      <c r="AG15703" s="20"/>
      <c r="AQ15703" s="19"/>
      <c r="AR15703" s="19"/>
      <c r="AS15703" s="19"/>
      <c r="AT15703" s="19"/>
      <c r="AU15703" s="19"/>
    </row>
    <row r="15704" spans="3:47">
      <c r="C15704" s="20"/>
      <c r="Z15704" s="20"/>
      <c r="AG15704" s="20"/>
      <c r="AQ15704" s="19"/>
      <c r="AR15704" s="19"/>
      <c r="AS15704" s="19"/>
      <c r="AT15704" s="19"/>
      <c r="AU15704" s="19"/>
    </row>
    <row r="15705" spans="3:47">
      <c r="C15705" s="20"/>
      <c r="Z15705" s="20"/>
      <c r="AG15705" s="20"/>
      <c r="AQ15705" s="19"/>
      <c r="AR15705" s="19"/>
      <c r="AS15705" s="19"/>
      <c r="AT15705" s="19"/>
      <c r="AU15705" s="19"/>
    </row>
    <row r="15706" spans="3:47">
      <c r="C15706" s="20"/>
      <c r="Z15706" s="20"/>
      <c r="AG15706" s="20"/>
      <c r="AQ15706" s="19"/>
      <c r="AR15706" s="19"/>
      <c r="AS15706" s="19"/>
      <c r="AT15706" s="19"/>
      <c r="AU15706" s="19"/>
    </row>
    <row r="15707" spans="3:47">
      <c r="C15707" s="20"/>
      <c r="Z15707" s="20"/>
      <c r="AG15707" s="20"/>
      <c r="AQ15707" s="19"/>
      <c r="AR15707" s="19"/>
      <c r="AS15707" s="19"/>
      <c r="AT15707" s="19"/>
      <c r="AU15707" s="19"/>
    </row>
    <row r="15708" spans="3:47">
      <c r="C15708" s="20"/>
      <c r="Z15708" s="20"/>
      <c r="AG15708" s="20"/>
      <c r="AQ15708" s="19"/>
      <c r="AR15708" s="19"/>
      <c r="AS15708" s="19"/>
      <c r="AT15708" s="19"/>
      <c r="AU15708" s="19"/>
    </row>
    <row r="15709" spans="3:47">
      <c r="C15709" s="20"/>
      <c r="Z15709" s="20"/>
      <c r="AG15709" s="20"/>
      <c r="AQ15709" s="19"/>
      <c r="AR15709" s="19"/>
      <c r="AS15709" s="19"/>
      <c r="AT15709" s="19"/>
      <c r="AU15709" s="19"/>
    </row>
    <row r="15710" spans="3:47">
      <c r="C15710" s="20"/>
      <c r="Z15710" s="20"/>
      <c r="AG15710" s="20"/>
      <c r="AQ15710" s="19"/>
      <c r="AR15710" s="19"/>
      <c r="AS15710" s="19"/>
      <c r="AT15710" s="19"/>
      <c r="AU15710" s="19"/>
    </row>
    <row r="15711" spans="3:47">
      <c r="C15711" s="20"/>
      <c r="Z15711" s="20"/>
      <c r="AG15711" s="20"/>
      <c r="AQ15711" s="19"/>
      <c r="AR15711" s="19"/>
      <c r="AS15711" s="19"/>
      <c r="AT15711" s="19"/>
      <c r="AU15711" s="19"/>
    </row>
    <row r="15712" spans="3:47">
      <c r="C15712" s="20"/>
      <c r="Z15712" s="20"/>
      <c r="AG15712" s="20"/>
      <c r="AQ15712" s="19"/>
      <c r="AR15712" s="19"/>
      <c r="AS15712" s="19"/>
      <c r="AT15712" s="19"/>
      <c r="AU15712" s="19"/>
    </row>
    <row r="15713" spans="3:47">
      <c r="C15713" s="20"/>
      <c r="Z15713" s="20"/>
      <c r="AG15713" s="20"/>
      <c r="AQ15713" s="19"/>
      <c r="AR15713" s="19"/>
      <c r="AS15713" s="19"/>
      <c r="AT15713" s="19"/>
      <c r="AU15713" s="19"/>
    </row>
    <row r="15714" spans="3:47">
      <c r="C15714" s="20"/>
      <c r="Z15714" s="20"/>
      <c r="AG15714" s="20"/>
      <c r="AQ15714" s="19"/>
      <c r="AR15714" s="19"/>
      <c r="AS15714" s="19"/>
      <c r="AT15714" s="19"/>
      <c r="AU15714" s="19"/>
    </row>
    <row r="15715" spans="3:47">
      <c r="C15715" s="20"/>
      <c r="Z15715" s="20"/>
      <c r="AG15715" s="20"/>
      <c r="AQ15715" s="19"/>
      <c r="AR15715" s="19"/>
      <c r="AS15715" s="19"/>
      <c r="AT15715" s="19"/>
      <c r="AU15715" s="19"/>
    </row>
    <row r="15716" spans="3:47">
      <c r="C15716" s="20"/>
      <c r="Z15716" s="20"/>
      <c r="AG15716" s="20"/>
      <c r="AQ15716" s="19"/>
      <c r="AR15716" s="19"/>
      <c r="AS15716" s="19"/>
      <c r="AT15716" s="19"/>
      <c r="AU15716" s="19"/>
    </row>
    <row r="15717" spans="3:47">
      <c r="C15717" s="20"/>
      <c r="Z15717" s="20"/>
      <c r="AG15717" s="20"/>
      <c r="AQ15717" s="19"/>
      <c r="AR15717" s="19"/>
      <c r="AS15717" s="19"/>
      <c r="AT15717" s="19"/>
      <c r="AU15717" s="19"/>
    </row>
    <row r="15718" spans="3:47">
      <c r="C15718" s="20"/>
      <c r="Z15718" s="20"/>
      <c r="AG15718" s="20"/>
      <c r="AQ15718" s="19"/>
      <c r="AR15718" s="19"/>
      <c r="AS15718" s="19"/>
      <c r="AT15718" s="19"/>
      <c r="AU15718" s="19"/>
    </row>
    <row r="15719" spans="3:47">
      <c r="C15719" s="20"/>
      <c r="Z15719" s="20"/>
      <c r="AG15719" s="20"/>
      <c r="AQ15719" s="19"/>
      <c r="AR15719" s="19"/>
      <c r="AS15719" s="19"/>
      <c r="AT15719" s="19"/>
      <c r="AU15719" s="19"/>
    </row>
    <row r="15720" spans="3:47">
      <c r="C15720" s="20"/>
      <c r="Z15720" s="20"/>
      <c r="AG15720" s="20"/>
      <c r="AQ15720" s="19"/>
      <c r="AR15720" s="19"/>
      <c r="AS15720" s="19"/>
      <c r="AT15720" s="19"/>
      <c r="AU15720" s="19"/>
    </row>
    <row r="15721" spans="3:47">
      <c r="C15721" s="20"/>
      <c r="Z15721" s="20"/>
      <c r="AG15721" s="20"/>
      <c r="AQ15721" s="19"/>
      <c r="AR15721" s="19"/>
      <c r="AS15721" s="19"/>
      <c r="AT15721" s="19"/>
      <c r="AU15721" s="19"/>
    </row>
    <row r="15722" spans="3:47">
      <c r="C15722" s="20"/>
      <c r="Z15722" s="20"/>
      <c r="AG15722" s="20"/>
      <c r="AQ15722" s="19"/>
      <c r="AR15722" s="19"/>
      <c r="AS15722" s="19"/>
      <c r="AT15722" s="19"/>
      <c r="AU15722" s="19"/>
    </row>
    <row r="15723" spans="3:47">
      <c r="C15723" s="20"/>
      <c r="Z15723" s="20"/>
      <c r="AG15723" s="20"/>
      <c r="AQ15723" s="19"/>
      <c r="AR15723" s="19"/>
      <c r="AS15723" s="19"/>
      <c r="AT15723" s="19"/>
      <c r="AU15723" s="19"/>
    </row>
    <row r="15724" spans="3:47">
      <c r="C15724" s="20"/>
      <c r="Z15724" s="20"/>
      <c r="AG15724" s="20"/>
      <c r="AQ15724" s="19"/>
      <c r="AR15724" s="19"/>
      <c r="AS15724" s="19"/>
      <c r="AT15724" s="19"/>
      <c r="AU15724" s="19"/>
    </row>
    <row r="15725" spans="3:47">
      <c r="C15725" s="20"/>
      <c r="Z15725" s="20"/>
      <c r="AG15725" s="20"/>
      <c r="AQ15725" s="19"/>
      <c r="AR15725" s="19"/>
      <c r="AS15725" s="19"/>
      <c r="AT15725" s="19"/>
      <c r="AU15725" s="19"/>
    </row>
    <row r="15726" spans="3:47">
      <c r="C15726" s="20"/>
      <c r="Z15726" s="20"/>
      <c r="AG15726" s="20"/>
      <c r="AQ15726" s="19"/>
      <c r="AR15726" s="19"/>
      <c r="AS15726" s="19"/>
      <c r="AT15726" s="19"/>
      <c r="AU15726" s="19"/>
    </row>
    <row r="15727" spans="3:47">
      <c r="C15727" s="20"/>
      <c r="Z15727" s="20"/>
      <c r="AG15727" s="20"/>
      <c r="AQ15727" s="19"/>
      <c r="AR15727" s="19"/>
      <c r="AS15727" s="19"/>
      <c r="AT15727" s="19"/>
      <c r="AU15727" s="19"/>
    </row>
    <row r="15728" spans="3:47">
      <c r="C15728" s="20"/>
      <c r="Z15728" s="20"/>
      <c r="AG15728" s="20"/>
      <c r="AQ15728" s="19"/>
      <c r="AR15728" s="19"/>
      <c r="AS15728" s="19"/>
      <c r="AT15728" s="19"/>
      <c r="AU15728" s="19"/>
    </row>
    <row r="15729" spans="3:47">
      <c r="C15729" s="20"/>
      <c r="Z15729" s="20"/>
      <c r="AG15729" s="20"/>
      <c r="AQ15729" s="19"/>
      <c r="AR15729" s="19"/>
      <c r="AS15729" s="19"/>
      <c r="AT15729" s="19"/>
      <c r="AU15729" s="19"/>
    </row>
    <row r="15730" spans="3:47">
      <c r="C15730" s="20"/>
      <c r="Z15730" s="20"/>
      <c r="AG15730" s="20"/>
      <c r="AQ15730" s="19"/>
      <c r="AR15730" s="19"/>
      <c r="AS15730" s="19"/>
      <c r="AT15730" s="19"/>
      <c r="AU15730" s="19"/>
    </row>
    <row r="15731" spans="3:47">
      <c r="C15731" s="20"/>
      <c r="Z15731" s="20"/>
      <c r="AG15731" s="20"/>
      <c r="AQ15731" s="19"/>
      <c r="AR15731" s="19"/>
      <c r="AS15731" s="19"/>
      <c r="AT15731" s="19"/>
      <c r="AU15731" s="19"/>
    </row>
    <row r="15732" spans="3:47">
      <c r="C15732" s="20"/>
      <c r="Z15732" s="20"/>
      <c r="AG15732" s="20"/>
      <c r="AQ15732" s="19"/>
      <c r="AR15732" s="19"/>
      <c r="AS15732" s="19"/>
      <c r="AT15732" s="19"/>
      <c r="AU15732" s="19"/>
    </row>
    <row r="15733" spans="3:47">
      <c r="C15733" s="20"/>
      <c r="Z15733" s="20"/>
      <c r="AG15733" s="20"/>
      <c r="AQ15733" s="19"/>
      <c r="AR15733" s="19"/>
      <c r="AS15733" s="19"/>
      <c r="AT15733" s="19"/>
      <c r="AU15733" s="19"/>
    </row>
    <row r="15734" spans="3:47">
      <c r="C15734" s="20"/>
      <c r="Z15734" s="20"/>
      <c r="AG15734" s="20"/>
      <c r="AQ15734" s="19"/>
      <c r="AR15734" s="19"/>
      <c r="AS15734" s="19"/>
      <c r="AT15734" s="19"/>
      <c r="AU15734" s="19"/>
    </row>
    <row r="15735" spans="3:47">
      <c r="C15735" s="20"/>
      <c r="Z15735" s="20"/>
      <c r="AG15735" s="20"/>
      <c r="AQ15735" s="19"/>
      <c r="AR15735" s="19"/>
      <c r="AS15735" s="19"/>
      <c r="AT15735" s="19"/>
      <c r="AU15735" s="19"/>
    </row>
    <row r="15736" spans="3:47">
      <c r="C15736" s="20"/>
      <c r="Z15736" s="20"/>
      <c r="AG15736" s="20"/>
      <c r="AQ15736" s="19"/>
      <c r="AR15736" s="19"/>
      <c r="AS15736" s="19"/>
      <c r="AT15736" s="19"/>
      <c r="AU15736" s="19"/>
    </row>
    <row r="15737" spans="3:47">
      <c r="C15737" s="20"/>
      <c r="Z15737" s="20"/>
      <c r="AG15737" s="20"/>
      <c r="AQ15737" s="19"/>
      <c r="AR15737" s="19"/>
      <c r="AS15737" s="19"/>
      <c r="AT15737" s="19"/>
      <c r="AU15737" s="19"/>
    </row>
    <row r="15738" spans="3:47">
      <c r="C15738" s="20"/>
      <c r="Z15738" s="20"/>
      <c r="AG15738" s="20"/>
      <c r="AQ15738" s="19"/>
      <c r="AR15738" s="19"/>
      <c r="AS15738" s="19"/>
      <c r="AT15738" s="19"/>
      <c r="AU15738" s="19"/>
    </row>
    <row r="15739" spans="3:47">
      <c r="C15739" s="20"/>
      <c r="Z15739" s="20"/>
      <c r="AG15739" s="20"/>
      <c r="AQ15739" s="19"/>
      <c r="AR15739" s="19"/>
      <c r="AS15739" s="19"/>
      <c r="AT15739" s="19"/>
      <c r="AU15739" s="19"/>
    </row>
    <row r="15740" spans="3:47">
      <c r="C15740" s="20"/>
      <c r="Z15740" s="20"/>
      <c r="AG15740" s="20"/>
      <c r="AQ15740" s="19"/>
      <c r="AR15740" s="19"/>
      <c r="AS15740" s="19"/>
      <c r="AT15740" s="19"/>
      <c r="AU15740" s="19"/>
    </row>
    <row r="15741" spans="3:47">
      <c r="C15741" s="20"/>
      <c r="Z15741" s="20"/>
      <c r="AG15741" s="20"/>
      <c r="AQ15741" s="19"/>
      <c r="AR15741" s="19"/>
      <c r="AS15741" s="19"/>
      <c r="AT15741" s="19"/>
      <c r="AU15741" s="19"/>
    </row>
    <row r="15742" spans="3:47">
      <c r="C15742" s="20"/>
      <c r="Z15742" s="20"/>
      <c r="AG15742" s="20"/>
      <c r="AQ15742" s="19"/>
      <c r="AR15742" s="19"/>
      <c r="AS15742" s="19"/>
      <c r="AT15742" s="19"/>
      <c r="AU15742" s="19"/>
    </row>
    <row r="15743" spans="3:47">
      <c r="C15743" s="20"/>
      <c r="Z15743" s="20"/>
      <c r="AG15743" s="20"/>
      <c r="AQ15743" s="19"/>
      <c r="AR15743" s="19"/>
      <c r="AS15743" s="19"/>
      <c r="AT15743" s="19"/>
      <c r="AU15743" s="19"/>
    </row>
    <row r="15744" spans="3:47">
      <c r="C15744" s="20"/>
      <c r="Z15744" s="20"/>
      <c r="AG15744" s="20"/>
      <c r="AQ15744" s="19"/>
      <c r="AR15744" s="19"/>
      <c r="AS15744" s="19"/>
      <c r="AT15744" s="19"/>
      <c r="AU15744" s="19"/>
    </row>
    <row r="15745" spans="3:47">
      <c r="C15745" s="20"/>
      <c r="Z15745" s="20"/>
      <c r="AG15745" s="20"/>
      <c r="AQ15745" s="19"/>
      <c r="AR15745" s="19"/>
      <c r="AS15745" s="19"/>
      <c r="AT15745" s="19"/>
      <c r="AU15745" s="19"/>
    </row>
    <row r="15746" spans="3:47">
      <c r="C15746" s="20"/>
      <c r="Z15746" s="20"/>
      <c r="AG15746" s="20"/>
      <c r="AQ15746" s="19"/>
      <c r="AR15746" s="19"/>
      <c r="AS15746" s="19"/>
      <c r="AT15746" s="19"/>
      <c r="AU15746" s="19"/>
    </row>
    <row r="15747" spans="3:47">
      <c r="C15747" s="20"/>
      <c r="Z15747" s="20"/>
      <c r="AG15747" s="20"/>
      <c r="AQ15747" s="19"/>
      <c r="AR15747" s="19"/>
      <c r="AS15747" s="19"/>
      <c r="AT15747" s="19"/>
      <c r="AU15747" s="19"/>
    </row>
    <row r="15748" spans="3:47">
      <c r="C15748" s="20"/>
      <c r="Z15748" s="20"/>
      <c r="AG15748" s="20"/>
      <c r="AQ15748" s="19"/>
      <c r="AR15748" s="19"/>
      <c r="AS15748" s="19"/>
      <c r="AT15748" s="19"/>
      <c r="AU15748" s="19"/>
    </row>
    <row r="15749" spans="3:47">
      <c r="C15749" s="20"/>
      <c r="Z15749" s="20"/>
      <c r="AG15749" s="20"/>
      <c r="AQ15749" s="19"/>
      <c r="AR15749" s="19"/>
      <c r="AS15749" s="19"/>
      <c r="AT15749" s="19"/>
      <c r="AU15749" s="19"/>
    </row>
    <row r="15750" spans="3:47">
      <c r="C15750" s="20"/>
      <c r="Z15750" s="20"/>
      <c r="AG15750" s="20"/>
      <c r="AQ15750" s="19"/>
      <c r="AR15750" s="19"/>
      <c r="AS15750" s="19"/>
      <c r="AT15750" s="19"/>
      <c r="AU15750" s="19"/>
    </row>
    <row r="15751" spans="3:47">
      <c r="C15751" s="20"/>
      <c r="Z15751" s="20"/>
      <c r="AG15751" s="20"/>
      <c r="AQ15751" s="19"/>
      <c r="AR15751" s="19"/>
      <c r="AS15751" s="19"/>
      <c r="AT15751" s="19"/>
      <c r="AU15751" s="19"/>
    </row>
    <row r="15752" spans="3:47">
      <c r="C15752" s="20"/>
      <c r="Z15752" s="20"/>
      <c r="AG15752" s="20"/>
      <c r="AQ15752" s="19"/>
      <c r="AR15752" s="19"/>
      <c r="AS15752" s="19"/>
      <c r="AT15752" s="19"/>
      <c r="AU15752" s="19"/>
    </row>
    <row r="15753" spans="3:47">
      <c r="C15753" s="20"/>
      <c r="Z15753" s="20"/>
      <c r="AG15753" s="20"/>
      <c r="AQ15753" s="19"/>
      <c r="AR15753" s="19"/>
      <c r="AS15753" s="19"/>
      <c r="AT15753" s="19"/>
      <c r="AU15753" s="19"/>
    </row>
    <row r="15754" spans="3:47">
      <c r="C15754" s="20"/>
      <c r="Z15754" s="20"/>
      <c r="AG15754" s="20"/>
      <c r="AQ15754" s="19"/>
      <c r="AR15754" s="19"/>
      <c r="AS15754" s="19"/>
      <c r="AT15754" s="19"/>
      <c r="AU15754" s="19"/>
    </row>
    <row r="15755" spans="3:47">
      <c r="C15755" s="20"/>
      <c r="Z15755" s="20"/>
      <c r="AG15755" s="20"/>
      <c r="AQ15755" s="19"/>
      <c r="AR15755" s="19"/>
      <c r="AS15755" s="19"/>
      <c r="AT15755" s="19"/>
      <c r="AU15755" s="19"/>
    </row>
    <row r="15756" spans="3:47">
      <c r="C15756" s="20"/>
      <c r="Z15756" s="20"/>
      <c r="AG15756" s="20"/>
      <c r="AQ15756" s="19"/>
      <c r="AR15756" s="19"/>
      <c r="AS15756" s="19"/>
      <c r="AT15756" s="19"/>
      <c r="AU15756" s="19"/>
    </row>
    <row r="15757" spans="3:47">
      <c r="C15757" s="20"/>
      <c r="Z15757" s="20"/>
      <c r="AG15757" s="20"/>
      <c r="AQ15757" s="19"/>
      <c r="AR15757" s="19"/>
      <c r="AS15757" s="19"/>
      <c r="AT15757" s="19"/>
      <c r="AU15757" s="19"/>
    </row>
    <row r="15758" spans="3:47">
      <c r="C15758" s="20"/>
      <c r="Z15758" s="20"/>
      <c r="AG15758" s="20"/>
      <c r="AQ15758" s="19"/>
      <c r="AR15758" s="19"/>
      <c r="AS15758" s="19"/>
      <c r="AT15758" s="19"/>
      <c r="AU15758" s="19"/>
    </row>
    <row r="15759" spans="3:47">
      <c r="C15759" s="20"/>
      <c r="Z15759" s="20"/>
      <c r="AG15759" s="20"/>
      <c r="AQ15759" s="19"/>
      <c r="AR15759" s="19"/>
      <c r="AS15759" s="19"/>
      <c r="AT15759" s="19"/>
      <c r="AU15759" s="19"/>
    </row>
    <row r="15760" spans="3:47">
      <c r="C15760" s="20"/>
      <c r="Z15760" s="20"/>
      <c r="AG15760" s="20"/>
      <c r="AQ15760" s="19"/>
      <c r="AR15760" s="19"/>
      <c r="AS15760" s="19"/>
      <c r="AT15760" s="19"/>
      <c r="AU15760" s="19"/>
    </row>
    <row r="15761" spans="3:47">
      <c r="C15761" s="20"/>
      <c r="Z15761" s="20"/>
      <c r="AG15761" s="20"/>
      <c r="AQ15761" s="19"/>
      <c r="AR15761" s="19"/>
      <c r="AS15761" s="19"/>
      <c r="AT15761" s="19"/>
      <c r="AU15761" s="19"/>
    </row>
    <row r="15762" spans="3:47">
      <c r="C15762" s="20"/>
      <c r="Z15762" s="20"/>
      <c r="AG15762" s="20"/>
      <c r="AQ15762" s="19"/>
      <c r="AR15762" s="19"/>
      <c r="AS15762" s="19"/>
      <c r="AT15762" s="19"/>
      <c r="AU15762" s="19"/>
    </row>
    <row r="15763" spans="3:47">
      <c r="C15763" s="20"/>
      <c r="Z15763" s="20"/>
      <c r="AG15763" s="20"/>
      <c r="AQ15763" s="19"/>
      <c r="AR15763" s="19"/>
      <c r="AS15763" s="19"/>
      <c r="AT15763" s="19"/>
      <c r="AU15763" s="19"/>
    </row>
    <row r="15764" spans="3:47">
      <c r="C15764" s="20"/>
      <c r="Z15764" s="20"/>
      <c r="AG15764" s="20"/>
      <c r="AQ15764" s="19"/>
      <c r="AR15764" s="19"/>
      <c r="AS15764" s="19"/>
      <c r="AT15764" s="19"/>
      <c r="AU15764" s="19"/>
    </row>
    <row r="15765" spans="3:47">
      <c r="C15765" s="20"/>
      <c r="Z15765" s="20"/>
      <c r="AG15765" s="20"/>
      <c r="AQ15765" s="19"/>
      <c r="AR15765" s="19"/>
      <c r="AS15765" s="19"/>
      <c r="AT15765" s="19"/>
      <c r="AU15765" s="19"/>
    </row>
    <row r="15766" spans="3:47">
      <c r="C15766" s="20"/>
      <c r="Z15766" s="20"/>
      <c r="AG15766" s="20"/>
      <c r="AQ15766" s="19"/>
      <c r="AR15766" s="19"/>
      <c r="AS15766" s="19"/>
      <c r="AT15766" s="19"/>
      <c r="AU15766" s="19"/>
    </row>
    <row r="15767" spans="3:47">
      <c r="C15767" s="20"/>
      <c r="Z15767" s="20"/>
      <c r="AG15767" s="20"/>
      <c r="AQ15767" s="19"/>
      <c r="AR15767" s="19"/>
      <c r="AS15767" s="19"/>
      <c r="AT15767" s="19"/>
      <c r="AU15767" s="19"/>
    </row>
    <row r="15768" spans="3:47">
      <c r="C15768" s="20"/>
      <c r="Z15768" s="20"/>
      <c r="AG15768" s="20"/>
      <c r="AQ15768" s="19"/>
      <c r="AR15768" s="19"/>
      <c r="AS15768" s="19"/>
      <c r="AT15768" s="19"/>
      <c r="AU15768" s="19"/>
    </row>
    <row r="15769" spans="3:47">
      <c r="C15769" s="20"/>
      <c r="Z15769" s="20"/>
      <c r="AG15769" s="20"/>
      <c r="AQ15769" s="19"/>
      <c r="AR15769" s="19"/>
      <c r="AS15769" s="19"/>
      <c r="AT15769" s="19"/>
      <c r="AU15769" s="19"/>
    </row>
    <row r="15770" spans="3:47">
      <c r="C15770" s="20"/>
      <c r="Z15770" s="20"/>
      <c r="AG15770" s="20"/>
      <c r="AQ15770" s="19"/>
      <c r="AR15770" s="19"/>
      <c r="AS15770" s="19"/>
      <c r="AT15770" s="19"/>
      <c r="AU15770" s="19"/>
    </row>
    <row r="15771" spans="3:47">
      <c r="C15771" s="20"/>
      <c r="Z15771" s="20"/>
      <c r="AG15771" s="20"/>
      <c r="AQ15771" s="19"/>
      <c r="AR15771" s="19"/>
      <c r="AS15771" s="19"/>
      <c r="AT15771" s="19"/>
      <c r="AU15771" s="19"/>
    </row>
    <row r="15772" spans="3:47">
      <c r="C15772" s="20"/>
      <c r="Z15772" s="20"/>
      <c r="AG15772" s="20"/>
      <c r="AQ15772" s="19"/>
      <c r="AR15772" s="19"/>
      <c r="AS15772" s="19"/>
      <c r="AT15772" s="19"/>
      <c r="AU15772" s="19"/>
    </row>
    <row r="15773" spans="3:47">
      <c r="C15773" s="20"/>
      <c r="Z15773" s="20"/>
      <c r="AG15773" s="20"/>
      <c r="AQ15773" s="19"/>
      <c r="AR15773" s="19"/>
      <c r="AS15773" s="19"/>
      <c r="AT15773" s="19"/>
      <c r="AU15773" s="19"/>
    </row>
    <row r="15774" spans="3:47">
      <c r="C15774" s="20"/>
      <c r="Z15774" s="20"/>
      <c r="AG15774" s="20"/>
      <c r="AQ15774" s="19"/>
      <c r="AR15774" s="19"/>
      <c r="AS15774" s="19"/>
      <c r="AT15774" s="19"/>
      <c r="AU15774" s="19"/>
    </row>
    <row r="15775" spans="3:47">
      <c r="C15775" s="20"/>
      <c r="Z15775" s="20"/>
      <c r="AG15775" s="20"/>
      <c r="AQ15775" s="19"/>
      <c r="AR15775" s="19"/>
      <c r="AS15775" s="19"/>
      <c r="AT15775" s="19"/>
      <c r="AU15775" s="19"/>
    </row>
    <row r="15776" spans="3:47">
      <c r="C15776" s="20"/>
      <c r="Z15776" s="20"/>
      <c r="AG15776" s="20"/>
      <c r="AQ15776" s="19"/>
      <c r="AR15776" s="19"/>
      <c r="AS15776" s="19"/>
      <c r="AT15776" s="19"/>
      <c r="AU15776" s="19"/>
    </row>
    <row r="15777" spans="3:47">
      <c r="C15777" s="20"/>
      <c r="Z15777" s="20"/>
      <c r="AG15777" s="20"/>
      <c r="AQ15777" s="19"/>
      <c r="AR15777" s="19"/>
      <c r="AS15777" s="19"/>
      <c r="AT15777" s="19"/>
      <c r="AU15777" s="19"/>
    </row>
    <row r="15778" spans="3:47">
      <c r="C15778" s="20"/>
      <c r="Z15778" s="20"/>
      <c r="AG15778" s="20"/>
      <c r="AQ15778" s="19"/>
      <c r="AR15778" s="19"/>
      <c r="AS15778" s="19"/>
      <c r="AT15778" s="19"/>
      <c r="AU15778" s="19"/>
    </row>
    <row r="15779" spans="3:47">
      <c r="C15779" s="20"/>
      <c r="Z15779" s="20"/>
      <c r="AG15779" s="20"/>
      <c r="AQ15779" s="19"/>
      <c r="AR15779" s="19"/>
      <c r="AS15779" s="19"/>
      <c r="AT15779" s="19"/>
      <c r="AU15779" s="19"/>
    </row>
    <row r="15780" spans="3:47">
      <c r="C15780" s="20"/>
      <c r="Z15780" s="20"/>
      <c r="AG15780" s="20"/>
      <c r="AQ15780" s="19"/>
      <c r="AR15780" s="19"/>
      <c r="AS15780" s="19"/>
      <c r="AT15780" s="19"/>
      <c r="AU15780" s="19"/>
    </row>
    <row r="15781" spans="3:47">
      <c r="C15781" s="20"/>
      <c r="Z15781" s="20"/>
      <c r="AG15781" s="20"/>
      <c r="AQ15781" s="19"/>
      <c r="AR15781" s="19"/>
      <c r="AS15781" s="19"/>
      <c r="AT15781" s="19"/>
      <c r="AU15781" s="19"/>
    </row>
    <row r="15782" spans="3:47">
      <c r="C15782" s="20"/>
      <c r="Z15782" s="20"/>
      <c r="AG15782" s="20"/>
      <c r="AQ15782" s="19"/>
      <c r="AR15782" s="19"/>
      <c r="AS15782" s="19"/>
      <c r="AT15782" s="19"/>
      <c r="AU15782" s="19"/>
    </row>
    <row r="15783" spans="3:47">
      <c r="C15783" s="20"/>
      <c r="Z15783" s="20"/>
      <c r="AG15783" s="20"/>
      <c r="AQ15783" s="19"/>
      <c r="AR15783" s="19"/>
      <c r="AS15783" s="19"/>
      <c r="AT15783" s="19"/>
      <c r="AU15783" s="19"/>
    </row>
    <row r="15784" spans="3:47">
      <c r="C15784" s="20"/>
      <c r="Z15784" s="20"/>
      <c r="AG15784" s="20"/>
      <c r="AQ15784" s="19"/>
      <c r="AR15784" s="19"/>
      <c r="AS15784" s="19"/>
      <c r="AT15784" s="19"/>
      <c r="AU15784" s="19"/>
    </row>
    <row r="15785" spans="3:47">
      <c r="C15785" s="20"/>
      <c r="Z15785" s="20"/>
      <c r="AG15785" s="20"/>
      <c r="AQ15785" s="19"/>
      <c r="AR15785" s="19"/>
      <c r="AS15785" s="19"/>
      <c r="AT15785" s="19"/>
      <c r="AU15785" s="19"/>
    </row>
    <row r="15786" spans="3:47">
      <c r="C15786" s="20"/>
      <c r="Z15786" s="20"/>
      <c r="AG15786" s="20"/>
      <c r="AQ15786" s="19"/>
      <c r="AR15786" s="19"/>
      <c r="AS15786" s="19"/>
      <c r="AT15786" s="19"/>
      <c r="AU15786" s="19"/>
    </row>
    <row r="15787" spans="3:47">
      <c r="C15787" s="20"/>
      <c r="Z15787" s="20"/>
      <c r="AG15787" s="20"/>
      <c r="AQ15787" s="19"/>
      <c r="AR15787" s="19"/>
      <c r="AS15787" s="19"/>
      <c r="AT15787" s="19"/>
      <c r="AU15787" s="19"/>
    </row>
    <row r="15788" spans="3:47">
      <c r="C15788" s="20"/>
      <c r="Z15788" s="20"/>
      <c r="AG15788" s="20"/>
      <c r="AQ15788" s="19"/>
      <c r="AR15788" s="19"/>
      <c r="AS15788" s="19"/>
      <c r="AT15788" s="19"/>
      <c r="AU15788" s="19"/>
    </row>
    <row r="15789" spans="3:47">
      <c r="C15789" s="20"/>
      <c r="Z15789" s="20"/>
      <c r="AG15789" s="20"/>
      <c r="AQ15789" s="19"/>
      <c r="AR15789" s="19"/>
      <c r="AS15789" s="19"/>
      <c r="AT15789" s="19"/>
      <c r="AU15789" s="19"/>
    </row>
    <row r="15790" spans="3:47">
      <c r="C15790" s="20"/>
      <c r="Z15790" s="20"/>
      <c r="AG15790" s="20"/>
      <c r="AQ15790" s="19"/>
      <c r="AR15790" s="19"/>
      <c r="AS15790" s="19"/>
      <c r="AT15790" s="19"/>
      <c r="AU15790" s="19"/>
    </row>
    <row r="15791" spans="3:47">
      <c r="C15791" s="20"/>
      <c r="Z15791" s="20"/>
      <c r="AG15791" s="20"/>
      <c r="AQ15791" s="19"/>
      <c r="AR15791" s="19"/>
      <c r="AS15791" s="19"/>
      <c r="AT15791" s="19"/>
      <c r="AU15791" s="19"/>
    </row>
    <row r="15792" spans="3:47">
      <c r="C15792" s="20"/>
      <c r="Z15792" s="20"/>
      <c r="AG15792" s="20"/>
      <c r="AQ15792" s="19"/>
      <c r="AR15792" s="19"/>
      <c r="AS15792" s="19"/>
      <c r="AT15792" s="19"/>
      <c r="AU15792" s="19"/>
    </row>
    <row r="15793" spans="3:47">
      <c r="C15793" s="20"/>
      <c r="Z15793" s="20"/>
      <c r="AG15793" s="20"/>
      <c r="AQ15793" s="19"/>
      <c r="AR15793" s="19"/>
      <c r="AS15793" s="19"/>
      <c r="AT15793" s="19"/>
      <c r="AU15793" s="19"/>
    </row>
    <row r="15794" spans="3:47">
      <c r="C15794" s="20"/>
      <c r="Z15794" s="20"/>
      <c r="AG15794" s="20"/>
      <c r="AQ15794" s="19"/>
      <c r="AR15794" s="19"/>
      <c r="AS15794" s="19"/>
      <c r="AT15794" s="19"/>
      <c r="AU15794" s="19"/>
    </row>
    <row r="15795" spans="3:47">
      <c r="C15795" s="20"/>
      <c r="Z15795" s="20"/>
      <c r="AG15795" s="20"/>
      <c r="AQ15795" s="19"/>
      <c r="AR15795" s="19"/>
      <c r="AS15795" s="19"/>
      <c r="AT15795" s="19"/>
      <c r="AU15795" s="19"/>
    </row>
    <row r="15796" spans="3:47">
      <c r="C15796" s="20"/>
      <c r="Z15796" s="20"/>
      <c r="AG15796" s="20"/>
      <c r="AQ15796" s="19"/>
      <c r="AR15796" s="19"/>
      <c r="AS15796" s="19"/>
      <c r="AT15796" s="19"/>
      <c r="AU15796" s="19"/>
    </row>
    <row r="15797" spans="3:47">
      <c r="C15797" s="20"/>
      <c r="Z15797" s="20"/>
      <c r="AG15797" s="20"/>
      <c r="AQ15797" s="19"/>
      <c r="AR15797" s="19"/>
      <c r="AS15797" s="19"/>
      <c r="AT15797" s="19"/>
      <c r="AU15797" s="19"/>
    </row>
    <row r="15798" spans="3:47">
      <c r="C15798" s="20"/>
      <c r="Z15798" s="20"/>
      <c r="AG15798" s="20"/>
      <c r="AQ15798" s="19"/>
      <c r="AR15798" s="19"/>
      <c r="AS15798" s="19"/>
      <c r="AT15798" s="19"/>
      <c r="AU15798" s="19"/>
    </row>
    <row r="15799" spans="3:47">
      <c r="C15799" s="20"/>
      <c r="Z15799" s="20"/>
      <c r="AG15799" s="20"/>
      <c r="AQ15799" s="19"/>
      <c r="AR15799" s="19"/>
      <c r="AS15799" s="19"/>
      <c r="AT15799" s="19"/>
      <c r="AU15799" s="19"/>
    </row>
    <row r="15800" spans="3:47">
      <c r="C15800" s="20"/>
      <c r="Z15800" s="20"/>
      <c r="AG15800" s="20"/>
      <c r="AQ15800" s="19"/>
      <c r="AR15800" s="19"/>
      <c r="AS15800" s="19"/>
      <c r="AT15800" s="19"/>
      <c r="AU15800" s="19"/>
    </row>
    <row r="15801" spans="3:47">
      <c r="C15801" s="20"/>
      <c r="Z15801" s="20"/>
      <c r="AG15801" s="20"/>
      <c r="AQ15801" s="19"/>
      <c r="AR15801" s="19"/>
      <c r="AS15801" s="19"/>
      <c r="AT15801" s="19"/>
      <c r="AU15801" s="19"/>
    </row>
    <row r="15802" spans="3:47">
      <c r="C15802" s="20"/>
      <c r="Z15802" s="20"/>
      <c r="AG15802" s="20"/>
      <c r="AQ15802" s="19"/>
      <c r="AR15802" s="19"/>
      <c r="AS15802" s="19"/>
      <c r="AT15802" s="19"/>
      <c r="AU15802" s="19"/>
    </row>
    <row r="15803" spans="3:47">
      <c r="C15803" s="20"/>
      <c r="Z15803" s="20"/>
      <c r="AG15803" s="20"/>
      <c r="AQ15803" s="19"/>
      <c r="AR15803" s="19"/>
      <c r="AS15803" s="19"/>
      <c r="AT15803" s="19"/>
      <c r="AU15803" s="19"/>
    </row>
    <row r="15804" spans="3:47">
      <c r="C15804" s="20"/>
      <c r="Z15804" s="20"/>
      <c r="AG15804" s="20"/>
      <c r="AQ15804" s="19"/>
      <c r="AR15804" s="19"/>
      <c r="AS15804" s="19"/>
      <c r="AT15804" s="19"/>
      <c r="AU15804" s="19"/>
    </row>
    <row r="15805" spans="3:47">
      <c r="C15805" s="20"/>
      <c r="Z15805" s="20"/>
      <c r="AG15805" s="20"/>
      <c r="AQ15805" s="19"/>
      <c r="AR15805" s="19"/>
      <c r="AS15805" s="19"/>
      <c r="AT15805" s="19"/>
      <c r="AU15805" s="19"/>
    </row>
    <row r="15806" spans="3:47">
      <c r="C15806" s="20"/>
      <c r="Z15806" s="20"/>
      <c r="AG15806" s="20"/>
      <c r="AQ15806" s="19"/>
      <c r="AR15806" s="19"/>
      <c r="AS15806" s="19"/>
      <c r="AT15806" s="19"/>
      <c r="AU15806" s="19"/>
    </row>
    <row r="15807" spans="3:47">
      <c r="C15807" s="20"/>
      <c r="Z15807" s="20"/>
      <c r="AG15807" s="20"/>
      <c r="AQ15807" s="19"/>
      <c r="AR15807" s="19"/>
      <c r="AS15807" s="19"/>
      <c r="AT15807" s="19"/>
      <c r="AU15807" s="19"/>
    </row>
    <row r="15808" spans="3:47">
      <c r="C15808" s="20"/>
      <c r="Z15808" s="20"/>
      <c r="AG15808" s="20"/>
      <c r="AQ15808" s="19"/>
      <c r="AR15808" s="19"/>
      <c r="AS15808" s="19"/>
      <c r="AT15808" s="19"/>
      <c r="AU15808" s="19"/>
    </row>
    <row r="15809" spans="3:47">
      <c r="C15809" s="20"/>
      <c r="Z15809" s="20"/>
      <c r="AG15809" s="20"/>
      <c r="AQ15809" s="19"/>
      <c r="AR15809" s="19"/>
      <c r="AS15809" s="19"/>
      <c r="AT15809" s="19"/>
      <c r="AU15809" s="19"/>
    </row>
    <row r="15810" spans="3:47">
      <c r="C15810" s="20"/>
      <c r="Z15810" s="20"/>
      <c r="AG15810" s="20"/>
      <c r="AQ15810" s="19"/>
      <c r="AR15810" s="19"/>
      <c r="AS15810" s="19"/>
      <c r="AT15810" s="19"/>
      <c r="AU15810" s="19"/>
    </row>
    <row r="15811" spans="3:47">
      <c r="C15811" s="20"/>
      <c r="Z15811" s="20"/>
      <c r="AG15811" s="20"/>
      <c r="AQ15811" s="19"/>
      <c r="AR15811" s="19"/>
      <c r="AS15811" s="19"/>
      <c r="AT15811" s="19"/>
      <c r="AU15811" s="19"/>
    </row>
    <row r="15812" spans="3:47">
      <c r="C15812" s="20"/>
      <c r="Z15812" s="20"/>
      <c r="AG15812" s="20"/>
      <c r="AQ15812" s="19"/>
      <c r="AR15812" s="19"/>
      <c r="AS15812" s="19"/>
      <c r="AT15812" s="19"/>
      <c r="AU15812" s="19"/>
    </row>
    <row r="15813" spans="3:47">
      <c r="C15813" s="20"/>
      <c r="Z15813" s="20"/>
      <c r="AG15813" s="20"/>
      <c r="AQ15813" s="19"/>
      <c r="AR15813" s="19"/>
      <c r="AS15813" s="19"/>
      <c r="AT15813" s="19"/>
      <c r="AU15813" s="19"/>
    </row>
    <row r="15814" spans="3:47">
      <c r="C15814" s="20"/>
      <c r="Z15814" s="20"/>
      <c r="AG15814" s="20"/>
      <c r="AQ15814" s="19"/>
      <c r="AR15814" s="19"/>
      <c r="AS15814" s="19"/>
      <c r="AT15814" s="19"/>
      <c r="AU15814" s="19"/>
    </row>
    <row r="15815" spans="3:47">
      <c r="C15815" s="20"/>
      <c r="Z15815" s="20"/>
      <c r="AG15815" s="20"/>
      <c r="AQ15815" s="19"/>
      <c r="AR15815" s="19"/>
      <c r="AS15815" s="19"/>
      <c r="AT15815" s="19"/>
      <c r="AU15815" s="19"/>
    </row>
    <row r="15816" spans="3:47">
      <c r="C15816" s="20"/>
      <c r="Z15816" s="20"/>
      <c r="AG15816" s="20"/>
      <c r="AQ15816" s="19"/>
      <c r="AR15816" s="19"/>
      <c r="AS15816" s="19"/>
      <c r="AT15816" s="19"/>
      <c r="AU15816" s="19"/>
    </row>
    <row r="15817" spans="3:47">
      <c r="C15817" s="20"/>
      <c r="Z15817" s="20"/>
      <c r="AG15817" s="20"/>
      <c r="AQ15817" s="19"/>
      <c r="AR15817" s="19"/>
      <c r="AS15817" s="19"/>
      <c r="AT15817" s="19"/>
      <c r="AU15817" s="19"/>
    </row>
    <row r="15818" spans="3:47">
      <c r="C15818" s="20"/>
      <c r="Z15818" s="20"/>
      <c r="AG15818" s="20"/>
      <c r="AQ15818" s="19"/>
      <c r="AR15818" s="19"/>
      <c r="AS15818" s="19"/>
      <c r="AT15818" s="19"/>
      <c r="AU15818" s="19"/>
    </row>
    <row r="15819" spans="3:47">
      <c r="C15819" s="20"/>
      <c r="Z15819" s="20"/>
      <c r="AG15819" s="20"/>
      <c r="AQ15819" s="19"/>
      <c r="AR15819" s="19"/>
      <c r="AS15819" s="19"/>
      <c r="AT15819" s="19"/>
      <c r="AU15819" s="19"/>
    </row>
    <row r="15820" spans="3:47">
      <c r="C15820" s="20"/>
      <c r="Z15820" s="20"/>
      <c r="AG15820" s="20"/>
      <c r="AQ15820" s="19"/>
      <c r="AR15820" s="19"/>
      <c r="AS15820" s="19"/>
      <c r="AT15820" s="19"/>
      <c r="AU15820" s="19"/>
    </row>
    <row r="15821" spans="3:47">
      <c r="C15821" s="20"/>
      <c r="Z15821" s="20"/>
      <c r="AG15821" s="20"/>
      <c r="AQ15821" s="19"/>
      <c r="AR15821" s="19"/>
      <c r="AS15821" s="19"/>
      <c r="AT15821" s="19"/>
      <c r="AU15821" s="19"/>
    </row>
    <row r="15822" spans="3:47">
      <c r="C15822" s="20"/>
      <c r="Z15822" s="20"/>
      <c r="AG15822" s="20"/>
      <c r="AQ15822" s="19"/>
      <c r="AR15822" s="19"/>
      <c r="AS15822" s="19"/>
      <c r="AT15822" s="19"/>
      <c r="AU15822" s="19"/>
    </row>
    <row r="15823" spans="3:47">
      <c r="C15823" s="20"/>
      <c r="Z15823" s="20"/>
      <c r="AG15823" s="20"/>
      <c r="AQ15823" s="19"/>
      <c r="AR15823" s="19"/>
      <c r="AS15823" s="19"/>
      <c r="AT15823" s="19"/>
      <c r="AU15823" s="19"/>
    </row>
    <row r="15824" spans="3:47">
      <c r="C15824" s="20"/>
      <c r="Z15824" s="20"/>
      <c r="AG15824" s="20"/>
      <c r="AQ15824" s="19"/>
      <c r="AR15824" s="19"/>
      <c r="AS15824" s="19"/>
      <c r="AT15824" s="19"/>
      <c r="AU15824" s="19"/>
    </row>
    <row r="15825" spans="3:47">
      <c r="C15825" s="20"/>
      <c r="Z15825" s="20"/>
      <c r="AG15825" s="20"/>
      <c r="AQ15825" s="19"/>
      <c r="AR15825" s="19"/>
      <c r="AS15825" s="19"/>
      <c r="AT15825" s="19"/>
      <c r="AU15825" s="19"/>
    </row>
    <row r="15826" spans="3:47">
      <c r="C15826" s="20"/>
      <c r="Z15826" s="20"/>
      <c r="AG15826" s="20"/>
      <c r="AQ15826" s="19"/>
      <c r="AR15826" s="19"/>
      <c r="AS15826" s="19"/>
      <c r="AT15826" s="19"/>
      <c r="AU15826" s="19"/>
    </row>
    <row r="15827" spans="3:47">
      <c r="C15827" s="20"/>
      <c r="Z15827" s="20"/>
      <c r="AG15827" s="20"/>
      <c r="AQ15827" s="19"/>
      <c r="AR15827" s="19"/>
      <c r="AS15827" s="19"/>
      <c r="AT15827" s="19"/>
      <c r="AU15827" s="19"/>
    </row>
    <row r="15828" spans="3:47">
      <c r="C15828" s="20"/>
      <c r="Z15828" s="20"/>
      <c r="AG15828" s="20"/>
      <c r="AQ15828" s="19"/>
      <c r="AR15828" s="19"/>
      <c r="AS15828" s="19"/>
      <c r="AT15828" s="19"/>
      <c r="AU15828" s="19"/>
    </row>
    <row r="15829" spans="3:47">
      <c r="C15829" s="20"/>
      <c r="Z15829" s="20"/>
      <c r="AG15829" s="20"/>
      <c r="AQ15829" s="19"/>
      <c r="AR15829" s="19"/>
      <c r="AS15829" s="19"/>
      <c r="AT15829" s="19"/>
      <c r="AU15829" s="19"/>
    </row>
    <row r="15830" spans="3:47">
      <c r="C15830" s="20"/>
      <c r="Z15830" s="20"/>
      <c r="AG15830" s="20"/>
      <c r="AQ15830" s="19"/>
      <c r="AR15830" s="19"/>
      <c r="AS15830" s="19"/>
      <c r="AT15830" s="19"/>
      <c r="AU15830" s="19"/>
    </row>
    <row r="15831" spans="3:47">
      <c r="C15831" s="20"/>
      <c r="Z15831" s="20"/>
      <c r="AG15831" s="20"/>
      <c r="AQ15831" s="19"/>
      <c r="AR15831" s="19"/>
      <c r="AS15831" s="19"/>
      <c r="AT15831" s="19"/>
      <c r="AU15831" s="19"/>
    </row>
    <row r="15832" spans="3:47">
      <c r="C15832" s="20"/>
      <c r="Z15832" s="20"/>
      <c r="AG15832" s="20"/>
      <c r="AQ15832" s="19"/>
      <c r="AR15832" s="19"/>
      <c r="AS15832" s="19"/>
      <c r="AT15832" s="19"/>
      <c r="AU15832" s="19"/>
    </row>
    <row r="15833" spans="3:47">
      <c r="C15833" s="20"/>
      <c r="Z15833" s="20"/>
      <c r="AG15833" s="20"/>
      <c r="AQ15833" s="19"/>
      <c r="AR15833" s="19"/>
      <c r="AS15833" s="19"/>
      <c r="AT15833" s="19"/>
      <c r="AU15833" s="19"/>
    </row>
    <row r="15834" spans="3:47">
      <c r="C15834" s="20"/>
      <c r="Z15834" s="20"/>
      <c r="AG15834" s="20"/>
      <c r="AQ15834" s="19"/>
      <c r="AR15834" s="19"/>
      <c r="AS15834" s="19"/>
      <c r="AT15834" s="19"/>
      <c r="AU15834" s="19"/>
    </row>
    <row r="15835" spans="3:47">
      <c r="C15835" s="20"/>
      <c r="Z15835" s="20"/>
      <c r="AG15835" s="20"/>
      <c r="AQ15835" s="19"/>
      <c r="AR15835" s="19"/>
      <c r="AS15835" s="19"/>
      <c r="AT15835" s="19"/>
      <c r="AU15835" s="19"/>
    </row>
    <row r="15836" spans="3:47">
      <c r="C15836" s="20"/>
      <c r="Z15836" s="20"/>
      <c r="AG15836" s="20"/>
      <c r="AQ15836" s="19"/>
      <c r="AR15836" s="19"/>
      <c r="AS15836" s="19"/>
      <c r="AT15836" s="19"/>
      <c r="AU15836" s="19"/>
    </row>
    <row r="15837" spans="3:47">
      <c r="C15837" s="20"/>
      <c r="Z15837" s="20"/>
      <c r="AG15837" s="20"/>
      <c r="AQ15837" s="19"/>
      <c r="AR15837" s="19"/>
      <c r="AS15837" s="19"/>
      <c r="AT15837" s="19"/>
      <c r="AU15837" s="19"/>
    </row>
    <row r="15838" spans="3:47">
      <c r="C15838" s="20"/>
      <c r="Z15838" s="20"/>
      <c r="AG15838" s="20"/>
      <c r="AQ15838" s="19"/>
      <c r="AR15838" s="19"/>
      <c r="AS15838" s="19"/>
      <c r="AT15838" s="19"/>
      <c r="AU15838" s="19"/>
    </row>
    <row r="15839" spans="3:47">
      <c r="C15839" s="20"/>
      <c r="Z15839" s="20"/>
      <c r="AG15839" s="20"/>
      <c r="AQ15839" s="19"/>
      <c r="AR15839" s="19"/>
      <c r="AS15839" s="19"/>
      <c r="AT15839" s="19"/>
      <c r="AU15839" s="19"/>
    </row>
    <row r="15840" spans="3:47">
      <c r="C15840" s="20"/>
      <c r="Z15840" s="20"/>
      <c r="AG15840" s="20"/>
      <c r="AQ15840" s="19"/>
      <c r="AR15840" s="19"/>
      <c r="AS15840" s="19"/>
      <c r="AT15840" s="19"/>
      <c r="AU15840" s="19"/>
    </row>
    <row r="15841" spans="3:47">
      <c r="C15841" s="20"/>
      <c r="Z15841" s="20"/>
      <c r="AG15841" s="20"/>
      <c r="AQ15841" s="19"/>
      <c r="AR15841" s="19"/>
      <c r="AS15841" s="19"/>
      <c r="AT15841" s="19"/>
      <c r="AU15841" s="19"/>
    </row>
    <row r="15842" spans="3:47">
      <c r="C15842" s="20"/>
      <c r="Z15842" s="20"/>
      <c r="AG15842" s="20"/>
      <c r="AQ15842" s="19"/>
      <c r="AR15842" s="19"/>
      <c r="AS15842" s="19"/>
      <c r="AT15842" s="19"/>
      <c r="AU15842" s="19"/>
    </row>
    <row r="15843" spans="3:47">
      <c r="C15843" s="20"/>
      <c r="Z15843" s="20"/>
      <c r="AG15843" s="20"/>
      <c r="AQ15843" s="19"/>
      <c r="AR15843" s="19"/>
      <c r="AS15843" s="19"/>
      <c r="AT15843" s="19"/>
      <c r="AU15843" s="19"/>
    </row>
    <row r="15844" spans="3:47">
      <c r="C15844" s="20"/>
      <c r="Z15844" s="20"/>
      <c r="AG15844" s="20"/>
      <c r="AQ15844" s="19"/>
      <c r="AR15844" s="19"/>
      <c r="AS15844" s="19"/>
      <c r="AT15844" s="19"/>
      <c r="AU15844" s="19"/>
    </row>
    <row r="15845" spans="3:47">
      <c r="C15845" s="20"/>
      <c r="Z15845" s="20"/>
      <c r="AG15845" s="20"/>
      <c r="AQ15845" s="19"/>
      <c r="AR15845" s="19"/>
      <c r="AS15845" s="19"/>
      <c r="AT15845" s="19"/>
      <c r="AU15845" s="19"/>
    </row>
    <row r="15846" spans="3:47">
      <c r="C15846" s="20"/>
      <c r="Z15846" s="20"/>
      <c r="AG15846" s="20"/>
      <c r="AQ15846" s="19"/>
      <c r="AR15846" s="19"/>
      <c r="AS15846" s="19"/>
      <c r="AT15846" s="19"/>
      <c r="AU15846" s="19"/>
    </row>
    <row r="15847" spans="3:47">
      <c r="C15847" s="20"/>
      <c r="Z15847" s="20"/>
      <c r="AG15847" s="20"/>
      <c r="AQ15847" s="19"/>
      <c r="AR15847" s="19"/>
      <c r="AS15847" s="19"/>
      <c r="AT15847" s="19"/>
      <c r="AU15847" s="19"/>
    </row>
    <row r="15848" spans="3:47">
      <c r="C15848" s="20"/>
      <c r="Z15848" s="20"/>
      <c r="AG15848" s="20"/>
      <c r="AQ15848" s="19"/>
      <c r="AR15848" s="19"/>
      <c r="AS15848" s="19"/>
      <c r="AT15848" s="19"/>
      <c r="AU15848" s="19"/>
    </row>
    <row r="15849" spans="3:47">
      <c r="C15849" s="20"/>
      <c r="Z15849" s="20"/>
      <c r="AG15849" s="20"/>
      <c r="AQ15849" s="19"/>
      <c r="AR15849" s="19"/>
      <c r="AS15849" s="19"/>
      <c r="AT15849" s="19"/>
      <c r="AU15849" s="19"/>
    </row>
    <row r="15850" spans="3:47">
      <c r="C15850" s="20"/>
      <c r="Z15850" s="20"/>
      <c r="AG15850" s="20"/>
      <c r="AQ15850" s="19"/>
      <c r="AR15850" s="19"/>
      <c r="AS15850" s="19"/>
      <c r="AT15850" s="19"/>
      <c r="AU15850" s="19"/>
    </row>
    <row r="15851" spans="3:47">
      <c r="C15851" s="20"/>
      <c r="Z15851" s="20"/>
      <c r="AG15851" s="20"/>
      <c r="AQ15851" s="19"/>
      <c r="AR15851" s="19"/>
      <c r="AS15851" s="19"/>
      <c r="AT15851" s="19"/>
      <c r="AU15851" s="19"/>
    </row>
    <row r="15852" spans="3:47">
      <c r="C15852" s="20"/>
      <c r="Z15852" s="20"/>
      <c r="AG15852" s="20"/>
      <c r="AQ15852" s="19"/>
      <c r="AR15852" s="19"/>
      <c r="AS15852" s="19"/>
      <c r="AT15852" s="19"/>
      <c r="AU15852" s="19"/>
    </row>
    <row r="15853" spans="3:47">
      <c r="C15853" s="20"/>
      <c r="Z15853" s="20"/>
      <c r="AG15853" s="20"/>
      <c r="AQ15853" s="19"/>
      <c r="AR15853" s="19"/>
      <c r="AS15853" s="19"/>
      <c r="AT15853" s="19"/>
      <c r="AU15853" s="19"/>
    </row>
    <row r="15854" spans="3:47">
      <c r="C15854" s="20"/>
      <c r="Z15854" s="20"/>
      <c r="AG15854" s="20"/>
      <c r="AQ15854" s="19"/>
      <c r="AR15854" s="19"/>
      <c r="AS15854" s="19"/>
      <c r="AT15854" s="19"/>
      <c r="AU15854" s="19"/>
    </row>
    <row r="15855" spans="3:47">
      <c r="C15855" s="20"/>
      <c r="Z15855" s="20"/>
      <c r="AG15855" s="20"/>
      <c r="AQ15855" s="19"/>
      <c r="AR15855" s="19"/>
      <c r="AS15855" s="19"/>
      <c r="AT15855" s="19"/>
      <c r="AU15855" s="19"/>
    </row>
    <row r="15856" spans="3:47">
      <c r="C15856" s="20"/>
      <c r="Z15856" s="20"/>
      <c r="AG15856" s="20"/>
      <c r="AQ15856" s="19"/>
      <c r="AR15856" s="19"/>
      <c r="AS15856" s="19"/>
      <c r="AT15856" s="19"/>
      <c r="AU15856" s="19"/>
    </row>
    <row r="15857" spans="3:47">
      <c r="C15857" s="20"/>
      <c r="Z15857" s="20"/>
      <c r="AG15857" s="20"/>
      <c r="AQ15857" s="19"/>
      <c r="AR15857" s="19"/>
      <c r="AS15857" s="19"/>
      <c r="AT15857" s="19"/>
      <c r="AU15857" s="19"/>
    </row>
    <row r="15858" spans="3:47">
      <c r="C15858" s="20"/>
      <c r="Z15858" s="20"/>
      <c r="AG15858" s="20"/>
      <c r="AQ15858" s="19"/>
      <c r="AR15858" s="19"/>
      <c r="AS15858" s="19"/>
      <c r="AT15858" s="19"/>
      <c r="AU15858" s="19"/>
    </row>
    <row r="15859" spans="3:47">
      <c r="C15859" s="20"/>
      <c r="Z15859" s="20"/>
      <c r="AG15859" s="20"/>
      <c r="AQ15859" s="19"/>
      <c r="AR15859" s="19"/>
      <c r="AS15859" s="19"/>
      <c r="AT15859" s="19"/>
      <c r="AU15859" s="19"/>
    </row>
    <row r="15860" spans="3:47">
      <c r="C15860" s="20"/>
      <c r="Z15860" s="20"/>
      <c r="AG15860" s="20"/>
      <c r="AQ15860" s="19"/>
      <c r="AR15860" s="19"/>
      <c r="AS15860" s="19"/>
      <c r="AT15860" s="19"/>
      <c r="AU15860" s="19"/>
    </row>
    <row r="15861" spans="3:47">
      <c r="C15861" s="20"/>
      <c r="Z15861" s="20"/>
      <c r="AG15861" s="20"/>
      <c r="AQ15861" s="19"/>
      <c r="AR15861" s="19"/>
      <c r="AS15861" s="19"/>
      <c r="AT15861" s="19"/>
      <c r="AU15861" s="19"/>
    </row>
    <row r="15862" spans="3:47">
      <c r="C15862" s="20"/>
      <c r="Z15862" s="20"/>
      <c r="AG15862" s="20"/>
      <c r="AQ15862" s="19"/>
      <c r="AR15862" s="19"/>
      <c r="AS15862" s="19"/>
      <c r="AT15862" s="19"/>
      <c r="AU15862" s="19"/>
    </row>
    <row r="15863" spans="3:47">
      <c r="C15863" s="20"/>
      <c r="Z15863" s="20"/>
      <c r="AG15863" s="20"/>
      <c r="AQ15863" s="19"/>
      <c r="AR15863" s="19"/>
      <c r="AS15863" s="19"/>
      <c r="AT15863" s="19"/>
      <c r="AU15863" s="19"/>
    </row>
    <row r="15864" spans="3:47">
      <c r="C15864" s="20"/>
      <c r="Z15864" s="20"/>
      <c r="AG15864" s="20"/>
      <c r="AQ15864" s="19"/>
      <c r="AR15864" s="19"/>
      <c r="AS15864" s="19"/>
      <c r="AT15864" s="19"/>
      <c r="AU15864" s="19"/>
    </row>
    <row r="15865" spans="3:47">
      <c r="C15865" s="20"/>
      <c r="Z15865" s="20"/>
      <c r="AG15865" s="20"/>
      <c r="AQ15865" s="19"/>
      <c r="AR15865" s="19"/>
      <c r="AS15865" s="19"/>
      <c r="AT15865" s="19"/>
      <c r="AU15865" s="19"/>
    </row>
    <row r="15866" spans="3:47">
      <c r="C15866" s="20"/>
      <c r="Z15866" s="20"/>
      <c r="AG15866" s="20"/>
      <c r="AQ15866" s="19"/>
      <c r="AR15866" s="19"/>
      <c r="AS15866" s="19"/>
      <c r="AT15866" s="19"/>
      <c r="AU15866" s="19"/>
    </row>
    <row r="15867" spans="3:47">
      <c r="C15867" s="20"/>
      <c r="Z15867" s="20"/>
      <c r="AG15867" s="20"/>
      <c r="AQ15867" s="19"/>
      <c r="AR15867" s="19"/>
      <c r="AS15867" s="19"/>
      <c r="AT15867" s="19"/>
      <c r="AU15867" s="19"/>
    </row>
    <row r="15868" spans="3:47">
      <c r="C15868" s="20"/>
      <c r="Z15868" s="20"/>
      <c r="AG15868" s="20"/>
      <c r="AQ15868" s="19"/>
      <c r="AR15868" s="19"/>
      <c r="AS15868" s="19"/>
      <c r="AT15868" s="19"/>
      <c r="AU15868" s="19"/>
    </row>
    <row r="15869" spans="3:47">
      <c r="C15869" s="20"/>
      <c r="Z15869" s="20"/>
      <c r="AG15869" s="20"/>
      <c r="AQ15869" s="19"/>
      <c r="AR15869" s="19"/>
      <c r="AS15869" s="19"/>
      <c r="AT15869" s="19"/>
      <c r="AU15869" s="19"/>
    </row>
    <row r="15870" spans="3:47">
      <c r="C15870" s="20"/>
      <c r="Z15870" s="20"/>
      <c r="AG15870" s="20"/>
      <c r="AQ15870" s="19"/>
      <c r="AR15870" s="19"/>
      <c r="AS15870" s="19"/>
      <c r="AT15870" s="19"/>
      <c r="AU15870" s="19"/>
    </row>
    <row r="15871" spans="3:47">
      <c r="C15871" s="20"/>
      <c r="Z15871" s="20"/>
      <c r="AG15871" s="20"/>
      <c r="AQ15871" s="19"/>
      <c r="AR15871" s="19"/>
      <c r="AS15871" s="19"/>
      <c r="AT15871" s="19"/>
      <c r="AU15871" s="19"/>
    </row>
    <row r="15872" spans="3:47">
      <c r="C15872" s="20"/>
      <c r="Z15872" s="20"/>
      <c r="AG15872" s="20"/>
      <c r="AQ15872" s="19"/>
      <c r="AR15872" s="19"/>
      <c r="AS15872" s="19"/>
      <c r="AT15872" s="19"/>
      <c r="AU15872" s="19"/>
    </row>
    <row r="15873" spans="3:47">
      <c r="C15873" s="20"/>
      <c r="Z15873" s="20"/>
      <c r="AG15873" s="20"/>
      <c r="AQ15873" s="19"/>
      <c r="AR15873" s="19"/>
      <c r="AS15873" s="19"/>
      <c r="AT15873" s="19"/>
      <c r="AU15873" s="19"/>
    </row>
    <row r="15874" spans="3:47">
      <c r="C15874" s="20"/>
      <c r="Z15874" s="20"/>
      <c r="AG15874" s="20"/>
      <c r="AQ15874" s="19"/>
      <c r="AR15874" s="19"/>
      <c r="AS15874" s="19"/>
      <c r="AT15874" s="19"/>
      <c r="AU15874" s="19"/>
    </row>
    <row r="15875" spans="3:47">
      <c r="C15875" s="20"/>
      <c r="Z15875" s="20"/>
      <c r="AG15875" s="20"/>
      <c r="AQ15875" s="19"/>
      <c r="AR15875" s="19"/>
      <c r="AS15875" s="19"/>
      <c r="AT15875" s="19"/>
      <c r="AU15875" s="19"/>
    </row>
    <row r="15876" spans="3:47">
      <c r="C15876" s="20"/>
      <c r="Z15876" s="20"/>
      <c r="AG15876" s="20"/>
      <c r="AQ15876" s="19"/>
      <c r="AR15876" s="19"/>
      <c r="AS15876" s="19"/>
      <c r="AT15876" s="19"/>
      <c r="AU15876" s="19"/>
    </row>
    <row r="15877" spans="3:47">
      <c r="C15877" s="20"/>
      <c r="Z15877" s="20"/>
      <c r="AG15877" s="20"/>
      <c r="AQ15877" s="19"/>
      <c r="AR15877" s="19"/>
      <c r="AS15877" s="19"/>
      <c r="AT15877" s="19"/>
      <c r="AU15877" s="19"/>
    </row>
    <row r="15878" spans="3:47">
      <c r="C15878" s="20"/>
      <c r="Z15878" s="20"/>
      <c r="AG15878" s="20"/>
      <c r="AQ15878" s="19"/>
      <c r="AR15878" s="19"/>
      <c r="AS15878" s="19"/>
      <c r="AT15878" s="19"/>
      <c r="AU15878" s="19"/>
    </row>
    <row r="15879" spans="3:47">
      <c r="C15879" s="20"/>
      <c r="Z15879" s="20"/>
      <c r="AG15879" s="20"/>
      <c r="AQ15879" s="19"/>
      <c r="AR15879" s="19"/>
      <c r="AS15879" s="19"/>
      <c r="AT15879" s="19"/>
      <c r="AU15879" s="19"/>
    </row>
    <row r="15880" spans="3:47">
      <c r="C15880" s="20"/>
      <c r="Z15880" s="20"/>
      <c r="AG15880" s="20"/>
      <c r="AQ15880" s="19"/>
      <c r="AR15880" s="19"/>
      <c r="AS15880" s="19"/>
      <c r="AT15880" s="19"/>
      <c r="AU15880" s="19"/>
    </row>
    <row r="15881" spans="3:47">
      <c r="C15881" s="20"/>
      <c r="Z15881" s="20"/>
      <c r="AG15881" s="20"/>
      <c r="AQ15881" s="19"/>
      <c r="AR15881" s="19"/>
      <c r="AS15881" s="19"/>
      <c r="AT15881" s="19"/>
      <c r="AU15881" s="19"/>
    </row>
    <row r="15882" spans="3:47">
      <c r="C15882" s="20"/>
      <c r="Z15882" s="20"/>
      <c r="AG15882" s="20"/>
      <c r="AQ15882" s="19"/>
      <c r="AR15882" s="19"/>
      <c r="AS15882" s="19"/>
      <c r="AT15882" s="19"/>
      <c r="AU15882" s="19"/>
    </row>
    <row r="15883" spans="3:47">
      <c r="C15883" s="20"/>
      <c r="Z15883" s="20"/>
      <c r="AG15883" s="20"/>
      <c r="AQ15883" s="19"/>
      <c r="AR15883" s="19"/>
      <c r="AS15883" s="19"/>
      <c r="AT15883" s="19"/>
      <c r="AU15883" s="19"/>
    </row>
    <row r="15884" spans="3:47">
      <c r="C15884" s="20"/>
      <c r="Z15884" s="20"/>
      <c r="AG15884" s="20"/>
      <c r="AQ15884" s="19"/>
      <c r="AR15884" s="19"/>
      <c r="AS15884" s="19"/>
      <c r="AT15884" s="19"/>
      <c r="AU15884" s="19"/>
    </row>
    <row r="15885" spans="3:47">
      <c r="C15885" s="20"/>
      <c r="Z15885" s="20"/>
      <c r="AG15885" s="20"/>
      <c r="AQ15885" s="19"/>
      <c r="AR15885" s="19"/>
      <c r="AS15885" s="19"/>
      <c r="AT15885" s="19"/>
      <c r="AU15885" s="19"/>
    </row>
    <row r="15886" spans="3:47">
      <c r="C15886" s="20"/>
      <c r="Z15886" s="20"/>
      <c r="AG15886" s="20"/>
      <c r="AQ15886" s="19"/>
      <c r="AR15886" s="19"/>
      <c r="AS15886" s="19"/>
      <c r="AT15886" s="19"/>
      <c r="AU15886" s="19"/>
    </row>
    <row r="15887" spans="3:47">
      <c r="C15887" s="20"/>
      <c r="Z15887" s="20"/>
      <c r="AG15887" s="20"/>
      <c r="AQ15887" s="19"/>
      <c r="AR15887" s="19"/>
      <c r="AS15887" s="19"/>
      <c r="AT15887" s="19"/>
      <c r="AU15887" s="19"/>
    </row>
    <row r="15888" spans="3:47">
      <c r="C15888" s="20"/>
      <c r="Z15888" s="20"/>
      <c r="AG15888" s="20"/>
      <c r="AQ15888" s="19"/>
      <c r="AR15888" s="19"/>
      <c r="AS15888" s="19"/>
      <c r="AT15888" s="19"/>
      <c r="AU15888" s="19"/>
    </row>
    <row r="15889" spans="3:47">
      <c r="C15889" s="20"/>
      <c r="Z15889" s="20"/>
      <c r="AG15889" s="20"/>
      <c r="AQ15889" s="19"/>
      <c r="AR15889" s="19"/>
      <c r="AS15889" s="19"/>
      <c r="AT15889" s="19"/>
      <c r="AU15889" s="19"/>
    </row>
    <row r="15890" spans="3:47">
      <c r="C15890" s="20"/>
      <c r="Z15890" s="20"/>
      <c r="AG15890" s="20"/>
      <c r="AQ15890" s="19"/>
      <c r="AR15890" s="19"/>
      <c r="AS15890" s="19"/>
      <c r="AT15890" s="19"/>
      <c r="AU15890" s="19"/>
    </row>
    <row r="15891" spans="3:47">
      <c r="C15891" s="20"/>
      <c r="Z15891" s="20"/>
      <c r="AG15891" s="20"/>
      <c r="AQ15891" s="19"/>
      <c r="AR15891" s="19"/>
      <c r="AS15891" s="19"/>
      <c r="AT15891" s="19"/>
      <c r="AU15891" s="19"/>
    </row>
    <row r="15892" spans="3:47">
      <c r="C15892" s="20"/>
      <c r="Z15892" s="20"/>
      <c r="AG15892" s="20"/>
      <c r="AQ15892" s="19"/>
      <c r="AR15892" s="19"/>
      <c r="AS15892" s="19"/>
      <c r="AT15892" s="19"/>
      <c r="AU15892" s="19"/>
    </row>
    <row r="15893" spans="3:47">
      <c r="C15893" s="20"/>
      <c r="Z15893" s="20"/>
      <c r="AG15893" s="20"/>
      <c r="AQ15893" s="19"/>
      <c r="AR15893" s="19"/>
      <c r="AS15893" s="19"/>
      <c r="AT15893" s="19"/>
      <c r="AU15893" s="19"/>
    </row>
    <row r="15894" spans="3:47">
      <c r="C15894" s="20"/>
      <c r="Z15894" s="20"/>
      <c r="AG15894" s="20"/>
      <c r="AQ15894" s="19"/>
      <c r="AR15894" s="19"/>
      <c r="AS15894" s="19"/>
      <c r="AT15894" s="19"/>
      <c r="AU15894" s="19"/>
    </row>
    <row r="15895" spans="3:47">
      <c r="C15895" s="20"/>
      <c r="Z15895" s="20"/>
      <c r="AG15895" s="20"/>
      <c r="AQ15895" s="19"/>
      <c r="AR15895" s="19"/>
      <c r="AS15895" s="19"/>
      <c r="AT15895" s="19"/>
      <c r="AU15895" s="19"/>
    </row>
    <row r="15896" spans="3:47">
      <c r="C15896" s="20"/>
      <c r="Z15896" s="20"/>
      <c r="AG15896" s="20"/>
      <c r="AQ15896" s="19"/>
      <c r="AR15896" s="19"/>
      <c r="AS15896" s="19"/>
      <c r="AT15896" s="19"/>
      <c r="AU15896" s="19"/>
    </row>
    <row r="15897" spans="3:47">
      <c r="C15897" s="20"/>
      <c r="Z15897" s="20"/>
      <c r="AG15897" s="20"/>
      <c r="AQ15897" s="19"/>
      <c r="AR15897" s="19"/>
      <c r="AS15897" s="19"/>
      <c r="AT15897" s="19"/>
      <c r="AU15897" s="19"/>
    </row>
    <row r="15898" spans="3:47">
      <c r="C15898" s="20"/>
      <c r="Z15898" s="20"/>
      <c r="AG15898" s="20"/>
      <c r="AQ15898" s="19"/>
      <c r="AR15898" s="19"/>
      <c r="AS15898" s="19"/>
      <c r="AT15898" s="19"/>
      <c r="AU15898" s="19"/>
    </row>
    <row r="15899" spans="3:47">
      <c r="C15899" s="20"/>
      <c r="Z15899" s="20"/>
      <c r="AG15899" s="20"/>
      <c r="AQ15899" s="19"/>
      <c r="AR15899" s="19"/>
      <c r="AS15899" s="19"/>
      <c r="AT15899" s="19"/>
      <c r="AU15899" s="19"/>
    </row>
    <row r="15900" spans="3:47">
      <c r="C15900" s="20"/>
      <c r="Z15900" s="20"/>
      <c r="AG15900" s="20"/>
      <c r="AQ15900" s="19"/>
      <c r="AR15900" s="19"/>
      <c r="AS15900" s="19"/>
      <c r="AT15900" s="19"/>
      <c r="AU15900" s="19"/>
    </row>
    <row r="15901" spans="3:47">
      <c r="C15901" s="20"/>
      <c r="Z15901" s="20"/>
      <c r="AG15901" s="20"/>
      <c r="AQ15901" s="19"/>
      <c r="AR15901" s="19"/>
      <c r="AS15901" s="19"/>
      <c r="AT15901" s="19"/>
      <c r="AU15901" s="19"/>
    </row>
    <row r="15902" spans="3:47">
      <c r="C15902" s="20"/>
      <c r="Z15902" s="20"/>
      <c r="AG15902" s="20"/>
      <c r="AQ15902" s="19"/>
      <c r="AR15902" s="19"/>
      <c r="AS15902" s="19"/>
      <c r="AT15902" s="19"/>
      <c r="AU15902" s="19"/>
    </row>
    <row r="15903" spans="3:47">
      <c r="C15903" s="20"/>
      <c r="Z15903" s="20"/>
      <c r="AG15903" s="20"/>
      <c r="AQ15903" s="19"/>
      <c r="AR15903" s="19"/>
      <c r="AS15903" s="19"/>
      <c r="AT15903" s="19"/>
      <c r="AU15903" s="19"/>
    </row>
    <row r="15904" spans="3:47">
      <c r="C15904" s="20"/>
      <c r="Z15904" s="20"/>
      <c r="AG15904" s="20"/>
      <c r="AQ15904" s="19"/>
      <c r="AR15904" s="19"/>
      <c r="AS15904" s="19"/>
      <c r="AT15904" s="19"/>
      <c r="AU15904" s="19"/>
    </row>
    <row r="15905" spans="3:47">
      <c r="C15905" s="20"/>
      <c r="Z15905" s="20"/>
      <c r="AG15905" s="20"/>
      <c r="AQ15905" s="19"/>
      <c r="AR15905" s="19"/>
      <c r="AS15905" s="19"/>
      <c r="AT15905" s="19"/>
      <c r="AU15905" s="19"/>
    </row>
    <row r="15906" spans="3:47">
      <c r="C15906" s="20"/>
      <c r="Z15906" s="20"/>
      <c r="AG15906" s="20"/>
      <c r="AQ15906" s="19"/>
      <c r="AR15906" s="19"/>
      <c r="AS15906" s="19"/>
      <c r="AT15906" s="19"/>
      <c r="AU15906" s="19"/>
    </row>
    <row r="15907" spans="3:47">
      <c r="C15907" s="20"/>
      <c r="Z15907" s="20"/>
      <c r="AG15907" s="20"/>
      <c r="AQ15907" s="19"/>
      <c r="AR15907" s="19"/>
      <c r="AS15907" s="19"/>
      <c r="AT15907" s="19"/>
      <c r="AU15907" s="19"/>
    </row>
    <row r="15908" spans="3:47">
      <c r="C15908" s="20"/>
      <c r="Z15908" s="20"/>
      <c r="AG15908" s="20"/>
      <c r="AQ15908" s="19"/>
      <c r="AR15908" s="19"/>
      <c r="AS15908" s="19"/>
      <c r="AT15908" s="19"/>
      <c r="AU15908" s="19"/>
    </row>
    <row r="15909" spans="3:47">
      <c r="C15909" s="20"/>
      <c r="Z15909" s="20"/>
      <c r="AG15909" s="20"/>
      <c r="AQ15909" s="19"/>
      <c r="AR15909" s="19"/>
      <c r="AS15909" s="19"/>
      <c r="AT15909" s="19"/>
      <c r="AU15909" s="19"/>
    </row>
    <row r="15910" spans="3:47">
      <c r="C15910" s="20"/>
      <c r="Z15910" s="20"/>
      <c r="AG15910" s="20"/>
      <c r="AQ15910" s="19"/>
      <c r="AR15910" s="19"/>
      <c r="AS15910" s="19"/>
      <c r="AT15910" s="19"/>
      <c r="AU15910" s="19"/>
    </row>
    <row r="15911" spans="3:47">
      <c r="C15911" s="20"/>
      <c r="Z15911" s="20"/>
      <c r="AG15911" s="20"/>
      <c r="AQ15911" s="19"/>
      <c r="AR15911" s="19"/>
      <c r="AS15911" s="19"/>
      <c r="AT15911" s="19"/>
      <c r="AU15911" s="19"/>
    </row>
    <row r="15912" spans="3:47">
      <c r="C15912" s="20"/>
      <c r="Z15912" s="20"/>
      <c r="AG15912" s="20"/>
      <c r="AQ15912" s="19"/>
      <c r="AR15912" s="19"/>
      <c r="AS15912" s="19"/>
      <c r="AT15912" s="19"/>
      <c r="AU15912" s="19"/>
    </row>
    <row r="15913" spans="3:47">
      <c r="C15913" s="20"/>
      <c r="Z15913" s="20"/>
      <c r="AG15913" s="20"/>
      <c r="AQ15913" s="19"/>
      <c r="AR15913" s="19"/>
      <c r="AS15913" s="19"/>
      <c r="AT15913" s="19"/>
      <c r="AU15913" s="19"/>
    </row>
    <row r="15914" spans="3:47">
      <c r="C15914" s="20"/>
      <c r="Z15914" s="20"/>
      <c r="AG15914" s="20"/>
      <c r="AQ15914" s="19"/>
      <c r="AR15914" s="19"/>
      <c r="AS15914" s="19"/>
      <c r="AT15914" s="19"/>
      <c r="AU15914" s="19"/>
    </row>
    <row r="15915" spans="3:47">
      <c r="C15915" s="20"/>
      <c r="Z15915" s="20"/>
      <c r="AG15915" s="20"/>
      <c r="AQ15915" s="19"/>
      <c r="AR15915" s="19"/>
      <c r="AS15915" s="19"/>
      <c r="AT15915" s="19"/>
      <c r="AU15915" s="19"/>
    </row>
    <row r="15916" spans="3:47">
      <c r="C15916" s="20"/>
      <c r="Z15916" s="20"/>
      <c r="AG15916" s="20"/>
      <c r="AQ15916" s="19"/>
      <c r="AR15916" s="19"/>
      <c r="AS15916" s="19"/>
      <c r="AT15916" s="19"/>
      <c r="AU15916" s="19"/>
    </row>
    <row r="15917" spans="3:47">
      <c r="C15917" s="20"/>
      <c r="Z15917" s="20"/>
      <c r="AG15917" s="20"/>
      <c r="AQ15917" s="19"/>
      <c r="AR15917" s="19"/>
      <c r="AS15917" s="19"/>
      <c r="AT15917" s="19"/>
      <c r="AU15917" s="19"/>
    </row>
    <row r="15918" spans="3:47">
      <c r="C15918" s="20"/>
      <c r="Z15918" s="20"/>
      <c r="AG15918" s="20"/>
      <c r="AQ15918" s="19"/>
      <c r="AR15918" s="19"/>
      <c r="AS15918" s="19"/>
      <c r="AT15918" s="19"/>
      <c r="AU15918" s="19"/>
    </row>
    <row r="15919" spans="3:47">
      <c r="C15919" s="20"/>
      <c r="Z15919" s="20"/>
      <c r="AG15919" s="20"/>
      <c r="AQ15919" s="19"/>
      <c r="AR15919" s="19"/>
      <c r="AS15919" s="19"/>
      <c r="AT15919" s="19"/>
      <c r="AU15919" s="19"/>
    </row>
    <row r="15920" spans="3:47">
      <c r="C15920" s="20"/>
      <c r="Z15920" s="20"/>
      <c r="AG15920" s="20"/>
      <c r="AQ15920" s="19"/>
      <c r="AR15920" s="19"/>
      <c r="AS15920" s="19"/>
      <c r="AT15920" s="19"/>
      <c r="AU15920" s="19"/>
    </row>
    <row r="15921" spans="3:47">
      <c r="C15921" s="20"/>
      <c r="Z15921" s="20"/>
      <c r="AG15921" s="20"/>
      <c r="AQ15921" s="19"/>
      <c r="AR15921" s="19"/>
      <c r="AS15921" s="19"/>
      <c r="AT15921" s="19"/>
      <c r="AU15921" s="19"/>
    </row>
    <row r="15922" spans="3:47">
      <c r="C15922" s="20"/>
      <c r="Z15922" s="20"/>
      <c r="AG15922" s="20"/>
      <c r="AQ15922" s="19"/>
      <c r="AR15922" s="19"/>
      <c r="AS15922" s="19"/>
      <c r="AT15922" s="19"/>
      <c r="AU15922" s="19"/>
    </row>
    <row r="15923" spans="3:47">
      <c r="C15923" s="20"/>
      <c r="Z15923" s="20"/>
      <c r="AG15923" s="20"/>
      <c r="AQ15923" s="19"/>
      <c r="AR15923" s="19"/>
      <c r="AS15923" s="19"/>
      <c r="AT15923" s="19"/>
      <c r="AU15923" s="19"/>
    </row>
    <row r="15924" spans="3:47">
      <c r="C15924" s="20"/>
      <c r="Z15924" s="20"/>
      <c r="AG15924" s="20"/>
      <c r="AQ15924" s="19"/>
      <c r="AR15924" s="19"/>
      <c r="AS15924" s="19"/>
      <c r="AT15924" s="19"/>
      <c r="AU15924" s="19"/>
    </row>
    <row r="15925" spans="3:47">
      <c r="C15925" s="20"/>
      <c r="Z15925" s="20"/>
      <c r="AG15925" s="20"/>
      <c r="AQ15925" s="19"/>
      <c r="AR15925" s="19"/>
      <c r="AS15925" s="19"/>
      <c r="AT15925" s="19"/>
      <c r="AU15925" s="19"/>
    </row>
    <row r="15926" spans="3:47">
      <c r="C15926" s="20"/>
      <c r="Z15926" s="20"/>
      <c r="AG15926" s="20"/>
      <c r="AQ15926" s="19"/>
      <c r="AR15926" s="19"/>
      <c r="AS15926" s="19"/>
      <c r="AT15926" s="19"/>
      <c r="AU15926" s="19"/>
    </row>
    <row r="15927" spans="3:47">
      <c r="C15927" s="20"/>
      <c r="Z15927" s="20"/>
      <c r="AG15927" s="20"/>
      <c r="AQ15927" s="19"/>
      <c r="AR15927" s="19"/>
      <c r="AS15927" s="19"/>
      <c r="AT15927" s="19"/>
      <c r="AU15927" s="19"/>
    </row>
    <row r="15928" spans="3:47">
      <c r="C15928" s="20"/>
      <c r="Z15928" s="20"/>
      <c r="AG15928" s="20"/>
      <c r="AQ15928" s="19"/>
      <c r="AR15928" s="19"/>
      <c r="AS15928" s="19"/>
      <c r="AT15928" s="19"/>
      <c r="AU15928" s="19"/>
    </row>
    <row r="15929" spans="3:47">
      <c r="C15929" s="20"/>
      <c r="Z15929" s="20"/>
      <c r="AG15929" s="20"/>
      <c r="AQ15929" s="19"/>
      <c r="AR15929" s="19"/>
      <c r="AS15929" s="19"/>
      <c r="AT15929" s="19"/>
      <c r="AU15929" s="19"/>
    </row>
    <row r="15930" spans="3:47">
      <c r="C15930" s="20"/>
      <c r="Z15930" s="20"/>
      <c r="AG15930" s="20"/>
      <c r="AQ15930" s="19"/>
      <c r="AR15930" s="19"/>
      <c r="AS15930" s="19"/>
      <c r="AT15930" s="19"/>
      <c r="AU15930" s="19"/>
    </row>
    <row r="15931" spans="3:47">
      <c r="C15931" s="20"/>
      <c r="Z15931" s="20"/>
      <c r="AG15931" s="20"/>
      <c r="AQ15931" s="19"/>
      <c r="AR15931" s="19"/>
      <c r="AS15931" s="19"/>
      <c r="AT15931" s="19"/>
      <c r="AU15931" s="19"/>
    </row>
    <row r="15932" spans="3:47">
      <c r="C15932" s="20"/>
      <c r="Z15932" s="20"/>
      <c r="AG15932" s="20"/>
      <c r="AQ15932" s="19"/>
      <c r="AR15932" s="19"/>
      <c r="AS15932" s="19"/>
      <c r="AT15932" s="19"/>
      <c r="AU15932" s="19"/>
    </row>
    <row r="15933" spans="3:47">
      <c r="C15933" s="20"/>
      <c r="Z15933" s="20"/>
      <c r="AG15933" s="20"/>
      <c r="AQ15933" s="19"/>
      <c r="AR15933" s="19"/>
      <c r="AS15933" s="19"/>
      <c r="AT15933" s="19"/>
      <c r="AU15933" s="19"/>
    </row>
    <row r="15934" spans="3:47">
      <c r="C15934" s="20"/>
      <c r="Z15934" s="20"/>
      <c r="AG15934" s="20"/>
      <c r="AQ15934" s="19"/>
      <c r="AR15934" s="19"/>
      <c r="AS15934" s="19"/>
      <c r="AT15934" s="19"/>
      <c r="AU15934" s="19"/>
    </row>
    <row r="15935" spans="3:47">
      <c r="C15935" s="20"/>
      <c r="Z15935" s="20"/>
      <c r="AG15935" s="20"/>
      <c r="AQ15935" s="19"/>
      <c r="AR15935" s="19"/>
      <c r="AS15935" s="19"/>
      <c r="AT15935" s="19"/>
      <c r="AU15935" s="19"/>
    </row>
    <row r="15936" spans="3:47">
      <c r="C15936" s="20"/>
      <c r="Z15936" s="20"/>
      <c r="AG15936" s="20"/>
      <c r="AQ15936" s="19"/>
      <c r="AR15936" s="19"/>
      <c r="AS15936" s="19"/>
      <c r="AT15936" s="19"/>
      <c r="AU15936" s="19"/>
    </row>
    <row r="15937" spans="3:47">
      <c r="C15937" s="20"/>
      <c r="Z15937" s="20"/>
      <c r="AG15937" s="20"/>
      <c r="AQ15937" s="19"/>
      <c r="AR15937" s="19"/>
      <c r="AS15937" s="19"/>
      <c r="AT15937" s="19"/>
      <c r="AU15937" s="19"/>
    </row>
    <row r="15938" spans="3:47">
      <c r="C15938" s="20"/>
      <c r="Z15938" s="20"/>
      <c r="AG15938" s="20"/>
      <c r="AQ15938" s="19"/>
      <c r="AR15938" s="19"/>
      <c r="AS15938" s="19"/>
      <c r="AT15938" s="19"/>
      <c r="AU15938" s="19"/>
    </row>
    <row r="15939" spans="3:47">
      <c r="C15939" s="20"/>
      <c r="Z15939" s="20"/>
      <c r="AG15939" s="20"/>
      <c r="AQ15939" s="19"/>
      <c r="AR15939" s="19"/>
      <c r="AS15939" s="19"/>
      <c r="AT15939" s="19"/>
      <c r="AU15939" s="19"/>
    </row>
    <row r="15940" spans="3:47">
      <c r="C15940" s="20"/>
      <c r="Z15940" s="20"/>
      <c r="AG15940" s="20"/>
      <c r="AQ15940" s="19"/>
      <c r="AR15940" s="19"/>
      <c r="AS15940" s="19"/>
      <c r="AT15940" s="19"/>
      <c r="AU15940" s="19"/>
    </row>
    <row r="15941" spans="3:47">
      <c r="C15941" s="20"/>
      <c r="Z15941" s="20"/>
      <c r="AG15941" s="20"/>
      <c r="AQ15941" s="19"/>
      <c r="AR15941" s="19"/>
      <c r="AS15941" s="19"/>
      <c r="AT15941" s="19"/>
      <c r="AU15941" s="19"/>
    </row>
    <row r="15942" spans="3:47">
      <c r="C15942" s="20"/>
      <c r="Z15942" s="20"/>
      <c r="AG15942" s="20"/>
      <c r="AQ15942" s="19"/>
      <c r="AR15942" s="19"/>
      <c r="AS15942" s="19"/>
      <c r="AT15942" s="19"/>
      <c r="AU15942" s="19"/>
    </row>
    <row r="15943" spans="3:47">
      <c r="C15943" s="20"/>
      <c r="Z15943" s="20"/>
      <c r="AG15943" s="20"/>
      <c r="AQ15943" s="19"/>
      <c r="AR15943" s="19"/>
      <c r="AS15943" s="19"/>
      <c r="AT15943" s="19"/>
      <c r="AU15943" s="19"/>
    </row>
    <row r="15944" spans="3:47">
      <c r="C15944" s="20"/>
      <c r="Z15944" s="20"/>
      <c r="AG15944" s="20"/>
      <c r="AQ15944" s="19"/>
      <c r="AR15944" s="19"/>
      <c r="AS15944" s="19"/>
      <c r="AT15944" s="19"/>
      <c r="AU15944" s="19"/>
    </row>
    <row r="15945" spans="3:47">
      <c r="C15945" s="20"/>
      <c r="Z15945" s="20"/>
      <c r="AG15945" s="20"/>
      <c r="AQ15945" s="19"/>
      <c r="AR15945" s="19"/>
      <c r="AS15945" s="19"/>
      <c r="AT15945" s="19"/>
      <c r="AU15945" s="19"/>
    </row>
    <row r="15946" spans="3:47">
      <c r="C15946" s="20"/>
      <c r="Z15946" s="20"/>
      <c r="AG15946" s="20"/>
      <c r="AQ15946" s="19"/>
      <c r="AR15946" s="19"/>
      <c r="AS15946" s="19"/>
      <c r="AT15946" s="19"/>
      <c r="AU15946" s="19"/>
    </row>
    <row r="15947" spans="3:47">
      <c r="C15947" s="20"/>
      <c r="Z15947" s="20"/>
      <c r="AG15947" s="20"/>
      <c r="AQ15947" s="19"/>
      <c r="AR15947" s="19"/>
      <c r="AS15947" s="19"/>
      <c r="AT15947" s="19"/>
      <c r="AU15947" s="19"/>
    </row>
    <row r="15948" spans="3:47">
      <c r="C15948" s="20"/>
      <c r="Z15948" s="20"/>
      <c r="AG15948" s="20"/>
      <c r="AQ15948" s="19"/>
      <c r="AR15948" s="19"/>
      <c r="AS15948" s="19"/>
      <c r="AT15948" s="19"/>
      <c r="AU15948" s="19"/>
    </row>
    <row r="15949" spans="3:47">
      <c r="C15949" s="20"/>
      <c r="Z15949" s="20"/>
      <c r="AG15949" s="20"/>
      <c r="AQ15949" s="19"/>
      <c r="AR15949" s="19"/>
      <c r="AS15949" s="19"/>
      <c r="AT15949" s="19"/>
      <c r="AU15949" s="19"/>
    </row>
    <row r="15950" spans="3:47">
      <c r="C15950" s="20"/>
      <c r="Z15950" s="20"/>
      <c r="AG15950" s="20"/>
      <c r="AQ15950" s="19"/>
      <c r="AR15950" s="19"/>
      <c r="AS15950" s="19"/>
      <c r="AT15950" s="19"/>
      <c r="AU15950" s="19"/>
    </row>
    <row r="15951" spans="3:47">
      <c r="C15951" s="20"/>
      <c r="Z15951" s="20"/>
      <c r="AG15951" s="20"/>
      <c r="AQ15951" s="19"/>
      <c r="AR15951" s="19"/>
      <c r="AS15951" s="19"/>
      <c r="AT15951" s="19"/>
      <c r="AU15951" s="19"/>
    </row>
    <row r="15952" spans="3:47">
      <c r="C15952" s="20"/>
      <c r="Z15952" s="20"/>
      <c r="AG15952" s="20"/>
      <c r="AQ15952" s="19"/>
      <c r="AR15952" s="19"/>
      <c r="AS15952" s="19"/>
      <c r="AT15952" s="19"/>
      <c r="AU15952" s="19"/>
    </row>
    <row r="15953" spans="3:47">
      <c r="C15953" s="20"/>
      <c r="Z15953" s="20"/>
      <c r="AG15953" s="20"/>
      <c r="AQ15953" s="19"/>
      <c r="AR15953" s="19"/>
      <c r="AS15953" s="19"/>
      <c r="AT15953" s="19"/>
      <c r="AU15953" s="19"/>
    </row>
    <row r="15954" spans="3:47">
      <c r="C15954" s="20"/>
      <c r="Z15954" s="20"/>
      <c r="AG15954" s="20"/>
      <c r="AQ15954" s="19"/>
      <c r="AR15954" s="19"/>
      <c r="AS15954" s="19"/>
      <c r="AT15954" s="19"/>
      <c r="AU15954" s="19"/>
    </row>
    <row r="15955" spans="3:47">
      <c r="C15955" s="20"/>
      <c r="Z15955" s="20"/>
      <c r="AG15955" s="20"/>
      <c r="AQ15955" s="19"/>
      <c r="AR15955" s="19"/>
      <c r="AS15955" s="19"/>
      <c r="AT15955" s="19"/>
      <c r="AU15955" s="19"/>
    </row>
    <row r="15956" spans="3:47">
      <c r="C15956" s="20"/>
      <c r="Z15956" s="20"/>
      <c r="AG15956" s="20"/>
      <c r="AQ15956" s="19"/>
      <c r="AR15956" s="19"/>
      <c r="AS15956" s="19"/>
      <c r="AT15956" s="19"/>
      <c r="AU15956" s="19"/>
    </row>
    <row r="15957" spans="3:47">
      <c r="C15957" s="20"/>
      <c r="Z15957" s="20"/>
      <c r="AG15957" s="20"/>
      <c r="AQ15957" s="19"/>
      <c r="AR15957" s="19"/>
      <c r="AS15957" s="19"/>
      <c r="AT15957" s="19"/>
      <c r="AU15957" s="19"/>
    </row>
    <row r="15958" spans="3:47">
      <c r="C15958" s="20"/>
      <c r="Z15958" s="20"/>
      <c r="AG15958" s="20"/>
      <c r="AQ15958" s="19"/>
      <c r="AR15958" s="19"/>
      <c r="AS15958" s="19"/>
      <c r="AT15958" s="19"/>
      <c r="AU15958" s="19"/>
    </row>
    <row r="15959" spans="3:47">
      <c r="C15959" s="20"/>
      <c r="Z15959" s="20"/>
      <c r="AG15959" s="20"/>
      <c r="AQ15959" s="19"/>
      <c r="AR15959" s="19"/>
      <c r="AS15959" s="19"/>
      <c r="AT15959" s="19"/>
      <c r="AU15959" s="19"/>
    </row>
    <row r="15960" spans="3:47">
      <c r="C15960" s="20"/>
      <c r="Z15960" s="20"/>
      <c r="AG15960" s="20"/>
      <c r="AQ15960" s="19"/>
      <c r="AR15960" s="19"/>
      <c r="AS15960" s="19"/>
      <c r="AT15960" s="19"/>
      <c r="AU15960" s="19"/>
    </row>
    <row r="15961" spans="3:47">
      <c r="C15961" s="20"/>
      <c r="Z15961" s="20"/>
      <c r="AG15961" s="20"/>
      <c r="AQ15961" s="19"/>
      <c r="AR15961" s="19"/>
      <c r="AS15961" s="19"/>
      <c r="AT15961" s="19"/>
      <c r="AU15961" s="19"/>
    </row>
    <row r="15962" spans="3:47">
      <c r="C15962" s="20"/>
      <c r="Z15962" s="20"/>
      <c r="AG15962" s="20"/>
      <c r="AQ15962" s="19"/>
      <c r="AR15962" s="19"/>
      <c r="AS15962" s="19"/>
      <c r="AT15962" s="19"/>
      <c r="AU15962" s="19"/>
    </row>
    <row r="15963" spans="3:47">
      <c r="C15963" s="20"/>
      <c r="Z15963" s="20"/>
      <c r="AG15963" s="20"/>
      <c r="AQ15963" s="19"/>
      <c r="AR15963" s="19"/>
      <c r="AS15963" s="19"/>
      <c r="AT15963" s="19"/>
      <c r="AU15963" s="19"/>
    </row>
    <row r="15964" spans="3:47">
      <c r="C15964" s="20"/>
      <c r="Z15964" s="20"/>
      <c r="AG15964" s="20"/>
      <c r="AQ15964" s="19"/>
      <c r="AR15964" s="19"/>
      <c r="AS15964" s="19"/>
      <c r="AT15964" s="19"/>
      <c r="AU15964" s="19"/>
    </row>
    <row r="15965" spans="3:47">
      <c r="C15965" s="20"/>
      <c r="Z15965" s="20"/>
      <c r="AG15965" s="20"/>
      <c r="AQ15965" s="19"/>
      <c r="AR15965" s="19"/>
      <c r="AS15965" s="19"/>
      <c r="AT15965" s="19"/>
      <c r="AU15965" s="19"/>
    </row>
    <row r="15966" spans="3:47">
      <c r="C15966" s="20"/>
      <c r="Z15966" s="20"/>
      <c r="AG15966" s="20"/>
      <c r="AQ15966" s="19"/>
      <c r="AR15966" s="19"/>
      <c r="AS15966" s="19"/>
      <c r="AT15966" s="19"/>
      <c r="AU15966" s="19"/>
    </row>
    <row r="15967" spans="3:47">
      <c r="C15967" s="20"/>
      <c r="Z15967" s="20"/>
      <c r="AG15967" s="20"/>
      <c r="AQ15967" s="19"/>
      <c r="AR15967" s="19"/>
      <c r="AS15967" s="19"/>
      <c r="AT15967" s="19"/>
      <c r="AU15967" s="19"/>
    </row>
    <row r="15968" spans="3:47">
      <c r="C15968" s="20"/>
      <c r="Z15968" s="20"/>
      <c r="AG15968" s="20"/>
      <c r="AQ15968" s="19"/>
      <c r="AR15968" s="19"/>
      <c r="AS15968" s="19"/>
      <c r="AT15968" s="19"/>
      <c r="AU15968" s="19"/>
    </row>
    <row r="15969" spans="3:47">
      <c r="C15969" s="20"/>
      <c r="Z15969" s="20"/>
      <c r="AG15969" s="20"/>
      <c r="AQ15969" s="19"/>
      <c r="AR15969" s="19"/>
      <c r="AS15969" s="19"/>
      <c r="AT15969" s="19"/>
      <c r="AU15969" s="19"/>
    </row>
    <row r="15970" spans="3:47">
      <c r="C15970" s="20"/>
      <c r="Z15970" s="20"/>
      <c r="AG15970" s="20"/>
      <c r="AQ15970" s="19"/>
      <c r="AR15970" s="19"/>
      <c r="AS15970" s="19"/>
      <c r="AT15970" s="19"/>
      <c r="AU15970" s="19"/>
    </row>
    <row r="15971" spans="3:47">
      <c r="C15971" s="20"/>
      <c r="Z15971" s="20"/>
      <c r="AG15971" s="20"/>
      <c r="AQ15971" s="19"/>
      <c r="AR15971" s="19"/>
      <c r="AS15971" s="19"/>
      <c r="AT15971" s="19"/>
      <c r="AU15971" s="19"/>
    </row>
    <row r="15972" spans="3:47">
      <c r="C15972" s="20"/>
      <c r="Z15972" s="20"/>
      <c r="AG15972" s="20"/>
      <c r="AQ15972" s="19"/>
      <c r="AR15972" s="19"/>
      <c r="AS15972" s="19"/>
      <c r="AT15972" s="19"/>
      <c r="AU15972" s="19"/>
    </row>
    <row r="15973" spans="3:47">
      <c r="C15973" s="20"/>
      <c r="Z15973" s="20"/>
      <c r="AG15973" s="20"/>
      <c r="AQ15973" s="19"/>
      <c r="AR15973" s="19"/>
      <c r="AS15973" s="19"/>
      <c r="AT15973" s="19"/>
      <c r="AU15973" s="19"/>
    </row>
    <row r="15974" spans="3:47">
      <c r="C15974" s="20"/>
      <c r="Z15974" s="20"/>
      <c r="AG15974" s="20"/>
      <c r="AQ15974" s="19"/>
      <c r="AR15974" s="19"/>
      <c r="AS15974" s="19"/>
      <c r="AT15974" s="19"/>
      <c r="AU15974" s="19"/>
    </row>
    <row r="15975" spans="3:47">
      <c r="C15975" s="20"/>
      <c r="Z15975" s="20"/>
      <c r="AG15975" s="20"/>
      <c r="AQ15975" s="19"/>
      <c r="AR15975" s="19"/>
      <c r="AS15975" s="19"/>
      <c r="AT15975" s="19"/>
      <c r="AU15975" s="19"/>
    </row>
    <row r="15976" spans="3:47">
      <c r="C15976" s="20"/>
      <c r="Z15976" s="20"/>
      <c r="AG15976" s="20"/>
      <c r="AQ15976" s="19"/>
      <c r="AR15976" s="19"/>
      <c r="AS15976" s="19"/>
      <c r="AT15976" s="19"/>
      <c r="AU15976" s="19"/>
    </row>
    <row r="15977" spans="3:47">
      <c r="C15977" s="20"/>
      <c r="Z15977" s="20"/>
      <c r="AG15977" s="20"/>
      <c r="AQ15977" s="19"/>
      <c r="AR15977" s="19"/>
      <c r="AS15977" s="19"/>
      <c r="AT15977" s="19"/>
      <c r="AU15977" s="19"/>
    </row>
    <row r="15978" spans="3:47">
      <c r="C15978" s="20"/>
      <c r="Z15978" s="20"/>
      <c r="AG15978" s="20"/>
      <c r="AQ15978" s="19"/>
      <c r="AR15978" s="19"/>
      <c r="AS15978" s="19"/>
      <c r="AT15978" s="19"/>
      <c r="AU15978" s="19"/>
    </row>
    <row r="15979" spans="3:47">
      <c r="C15979" s="20"/>
      <c r="Z15979" s="20"/>
      <c r="AG15979" s="20"/>
      <c r="AQ15979" s="19"/>
      <c r="AR15979" s="19"/>
      <c r="AS15979" s="19"/>
      <c r="AT15979" s="19"/>
      <c r="AU15979" s="19"/>
    </row>
    <row r="15980" spans="3:47">
      <c r="C15980" s="20"/>
      <c r="Z15980" s="20"/>
      <c r="AG15980" s="20"/>
      <c r="AQ15980" s="19"/>
      <c r="AR15980" s="19"/>
      <c r="AS15980" s="19"/>
      <c r="AT15980" s="19"/>
      <c r="AU15980" s="19"/>
    </row>
    <row r="15981" spans="3:47">
      <c r="C15981" s="20"/>
      <c r="Z15981" s="20"/>
      <c r="AG15981" s="20"/>
      <c r="AQ15981" s="19"/>
      <c r="AR15981" s="19"/>
      <c r="AS15981" s="19"/>
      <c r="AT15981" s="19"/>
      <c r="AU15981" s="19"/>
    </row>
    <row r="15982" spans="3:47">
      <c r="C15982" s="20"/>
      <c r="Z15982" s="20"/>
      <c r="AG15982" s="20"/>
      <c r="AQ15982" s="19"/>
      <c r="AR15982" s="19"/>
      <c r="AS15982" s="19"/>
      <c r="AT15982" s="19"/>
      <c r="AU15982" s="19"/>
    </row>
    <row r="15983" spans="3:47">
      <c r="C15983" s="20"/>
      <c r="Z15983" s="20"/>
      <c r="AG15983" s="20"/>
      <c r="AQ15983" s="19"/>
      <c r="AR15983" s="19"/>
      <c r="AS15983" s="19"/>
      <c r="AT15983" s="19"/>
      <c r="AU15983" s="19"/>
    </row>
    <row r="15984" spans="3:47">
      <c r="C15984" s="20"/>
      <c r="Z15984" s="20"/>
      <c r="AG15984" s="20"/>
      <c r="AQ15984" s="19"/>
      <c r="AR15984" s="19"/>
      <c r="AS15984" s="19"/>
      <c r="AT15984" s="19"/>
      <c r="AU15984" s="19"/>
    </row>
    <row r="15985" spans="3:47">
      <c r="C15985" s="20"/>
      <c r="Z15985" s="20"/>
      <c r="AG15985" s="20"/>
      <c r="AQ15985" s="19"/>
      <c r="AR15985" s="19"/>
      <c r="AS15985" s="19"/>
      <c r="AT15985" s="19"/>
      <c r="AU15985" s="19"/>
    </row>
    <row r="15986" spans="3:47">
      <c r="C15986" s="20"/>
      <c r="Z15986" s="20"/>
      <c r="AG15986" s="20"/>
      <c r="AQ15986" s="19"/>
      <c r="AR15986" s="19"/>
      <c r="AS15986" s="19"/>
      <c r="AT15986" s="19"/>
      <c r="AU15986" s="19"/>
    </row>
    <row r="15987" spans="3:47">
      <c r="C15987" s="20"/>
      <c r="Z15987" s="20"/>
      <c r="AG15987" s="20"/>
      <c r="AQ15987" s="19"/>
      <c r="AR15987" s="19"/>
      <c r="AS15987" s="19"/>
      <c r="AT15987" s="19"/>
      <c r="AU15987" s="19"/>
    </row>
    <row r="15988" spans="3:47">
      <c r="C15988" s="20"/>
      <c r="Z15988" s="20"/>
      <c r="AG15988" s="20"/>
      <c r="AQ15988" s="19"/>
      <c r="AR15988" s="19"/>
      <c r="AS15988" s="19"/>
      <c r="AT15988" s="19"/>
      <c r="AU15988" s="19"/>
    </row>
    <row r="15989" spans="3:47">
      <c r="C15989" s="20"/>
      <c r="Z15989" s="20"/>
      <c r="AG15989" s="20"/>
      <c r="AQ15989" s="19"/>
      <c r="AR15989" s="19"/>
      <c r="AS15989" s="19"/>
      <c r="AT15989" s="19"/>
      <c r="AU15989" s="19"/>
    </row>
    <row r="15990" spans="3:47">
      <c r="C15990" s="20"/>
      <c r="Z15990" s="20"/>
      <c r="AG15990" s="20"/>
      <c r="AQ15990" s="19"/>
      <c r="AR15990" s="19"/>
      <c r="AS15990" s="19"/>
      <c r="AT15990" s="19"/>
      <c r="AU15990" s="19"/>
    </row>
    <row r="15991" spans="3:47">
      <c r="C15991" s="20"/>
      <c r="Z15991" s="20"/>
      <c r="AG15991" s="20"/>
      <c r="AQ15991" s="19"/>
      <c r="AR15991" s="19"/>
      <c r="AS15991" s="19"/>
      <c r="AT15991" s="19"/>
      <c r="AU15991" s="19"/>
    </row>
    <row r="15992" spans="3:47">
      <c r="C15992" s="20"/>
      <c r="Z15992" s="20"/>
      <c r="AG15992" s="20"/>
      <c r="AQ15992" s="19"/>
      <c r="AR15992" s="19"/>
      <c r="AS15992" s="19"/>
      <c r="AT15992" s="19"/>
      <c r="AU15992" s="19"/>
    </row>
    <row r="15993" spans="3:47">
      <c r="C15993" s="20"/>
      <c r="Z15993" s="20"/>
      <c r="AG15993" s="20"/>
      <c r="AQ15993" s="19"/>
      <c r="AR15993" s="19"/>
      <c r="AS15993" s="19"/>
      <c r="AT15993" s="19"/>
      <c r="AU15993" s="19"/>
    </row>
    <row r="15994" spans="3:47">
      <c r="C15994" s="20"/>
      <c r="Z15994" s="20"/>
      <c r="AG15994" s="20"/>
      <c r="AQ15994" s="19"/>
      <c r="AR15994" s="19"/>
      <c r="AS15994" s="19"/>
      <c r="AT15994" s="19"/>
      <c r="AU15994" s="19"/>
    </row>
    <row r="15995" spans="3:47">
      <c r="C15995" s="20"/>
      <c r="Z15995" s="20"/>
      <c r="AG15995" s="20"/>
      <c r="AQ15995" s="19"/>
      <c r="AR15995" s="19"/>
      <c r="AS15995" s="19"/>
      <c r="AT15995" s="19"/>
      <c r="AU15995" s="19"/>
    </row>
    <row r="15996" spans="3:47">
      <c r="C15996" s="20"/>
      <c r="Z15996" s="20"/>
      <c r="AG15996" s="20"/>
      <c r="AQ15996" s="19"/>
      <c r="AR15996" s="19"/>
      <c r="AS15996" s="19"/>
      <c r="AT15996" s="19"/>
      <c r="AU15996" s="19"/>
    </row>
    <row r="15997" spans="3:47">
      <c r="C15997" s="20"/>
      <c r="Z15997" s="20"/>
      <c r="AG15997" s="20"/>
      <c r="AQ15997" s="19"/>
      <c r="AR15997" s="19"/>
      <c r="AS15997" s="19"/>
      <c r="AT15997" s="19"/>
      <c r="AU15997" s="19"/>
    </row>
    <row r="15998" spans="3:47">
      <c r="C15998" s="20"/>
      <c r="Z15998" s="20"/>
      <c r="AG15998" s="20"/>
      <c r="AQ15998" s="19"/>
      <c r="AR15998" s="19"/>
      <c r="AS15998" s="19"/>
      <c r="AT15998" s="19"/>
      <c r="AU15998" s="19"/>
    </row>
    <row r="15999" spans="3:47">
      <c r="C15999" s="20"/>
      <c r="Z15999" s="20"/>
      <c r="AG15999" s="20"/>
      <c r="AQ15999" s="19"/>
      <c r="AR15999" s="19"/>
      <c r="AS15999" s="19"/>
      <c r="AT15999" s="19"/>
      <c r="AU15999" s="19"/>
    </row>
    <row r="16000" spans="3:47">
      <c r="C16000" s="20"/>
      <c r="Z16000" s="20"/>
      <c r="AG16000" s="20"/>
      <c r="AQ16000" s="19"/>
      <c r="AR16000" s="19"/>
      <c r="AS16000" s="19"/>
      <c r="AT16000" s="19"/>
      <c r="AU16000" s="19"/>
    </row>
    <row r="16001" spans="3:47">
      <c r="C16001" s="20"/>
      <c r="Z16001" s="20"/>
      <c r="AG16001" s="20"/>
      <c r="AQ16001" s="19"/>
      <c r="AR16001" s="19"/>
      <c r="AS16001" s="19"/>
      <c r="AT16001" s="19"/>
      <c r="AU16001" s="19"/>
    </row>
    <row r="16002" spans="3:47">
      <c r="C16002" s="20"/>
      <c r="Z16002" s="20"/>
      <c r="AG16002" s="20"/>
      <c r="AQ16002" s="19"/>
      <c r="AR16002" s="19"/>
      <c r="AS16002" s="19"/>
      <c r="AT16002" s="19"/>
      <c r="AU16002" s="19"/>
    </row>
    <row r="16003" spans="3:47">
      <c r="C16003" s="20"/>
      <c r="Z16003" s="20"/>
      <c r="AG16003" s="20"/>
      <c r="AQ16003" s="19"/>
      <c r="AR16003" s="19"/>
      <c r="AS16003" s="19"/>
      <c r="AT16003" s="19"/>
      <c r="AU16003" s="19"/>
    </row>
    <row r="16004" spans="3:47">
      <c r="C16004" s="20"/>
      <c r="Z16004" s="20"/>
      <c r="AG16004" s="20"/>
      <c r="AQ16004" s="19"/>
      <c r="AR16004" s="19"/>
      <c r="AS16004" s="19"/>
      <c r="AT16004" s="19"/>
      <c r="AU16004" s="19"/>
    </row>
    <row r="16005" spans="3:47">
      <c r="C16005" s="20"/>
      <c r="Z16005" s="20"/>
      <c r="AG16005" s="20"/>
      <c r="AQ16005" s="19"/>
      <c r="AR16005" s="19"/>
      <c r="AS16005" s="19"/>
      <c r="AT16005" s="19"/>
      <c r="AU16005" s="19"/>
    </row>
    <row r="16006" spans="3:47">
      <c r="C16006" s="20"/>
      <c r="Z16006" s="20"/>
      <c r="AG16006" s="20"/>
      <c r="AQ16006" s="19"/>
      <c r="AR16006" s="19"/>
      <c r="AS16006" s="19"/>
      <c r="AT16006" s="19"/>
      <c r="AU16006" s="19"/>
    </row>
    <row r="16007" spans="3:47">
      <c r="C16007" s="20"/>
      <c r="Z16007" s="20"/>
      <c r="AG16007" s="20"/>
      <c r="AQ16007" s="19"/>
      <c r="AR16007" s="19"/>
      <c r="AS16007" s="19"/>
      <c r="AT16007" s="19"/>
      <c r="AU16007" s="19"/>
    </row>
    <row r="16008" spans="3:47">
      <c r="C16008" s="20"/>
      <c r="Z16008" s="20"/>
      <c r="AG16008" s="20"/>
      <c r="AQ16008" s="19"/>
      <c r="AR16008" s="19"/>
      <c r="AS16008" s="19"/>
      <c r="AT16008" s="19"/>
      <c r="AU16008" s="19"/>
    </row>
    <row r="16009" spans="3:47">
      <c r="C16009" s="20"/>
      <c r="Z16009" s="20"/>
      <c r="AG16009" s="20"/>
      <c r="AQ16009" s="19"/>
      <c r="AR16009" s="19"/>
      <c r="AS16009" s="19"/>
      <c r="AT16009" s="19"/>
      <c r="AU16009" s="19"/>
    </row>
    <row r="16010" spans="3:47">
      <c r="C16010" s="20"/>
      <c r="Z16010" s="20"/>
      <c r="AG16010" s="20"/>
      <c r="AQ16010" s="19"/>
      <c r="AR16010" s="19"/>
      <c r="AS16010" s="19"/>
      <c r="AT16010" s="19"/>
      <c r="AU16010" s="19"/>
    </row>
    <row r="16011" spans="3:47">
      <c r="C16011" s="20"/>
      <c r="Z16011" s="20"/>
      <c r="AG16011" s="20"/>
      <c r="AQ16011" s="19"/>
      <c r="AR16011" s="19"/>
      <c r="AS16011" s="19"/>
      <c r="AT16011" s="19"/>
      <c r="AU16011" s="19"/>
    </row>
    <row r="16012" spans="3:47">
      <c r="C16012" s="20"/>
      <c r="Z16012" s="20"/>
      <c r="AG16012" s="20"/>
      <c r="AQ16012" s="19"/>
      <c r="AR16012" s="19"/>
      <c r="AS16012" s="19"/>
      <c r="AT16012" s="19"/>
      <c r="AU16012" s="19"/>
    </row>
    <row r="16013" spans="3:47">
      <c r="C16013" s="20"/>
      <c r="Z16013" s="20"/>
      <c r="AG16013" s="20"/>
      <c r="AQ16013" s="19"/>
      <c r="AR16013" s="19"/>
      <c r="AS16013" s="19"/>
      <c r="AT16013" s="19"/>
      <c r="AU16013" s="19"/>
    </row>
    <row r="16014" spans="3:47">
      <c r="C16014" s="20"/>
      <c r="Z16014" s="20"/>
      <c r="AG16014" s="20"/>
      <c r="AQ16014" s="19"/>
      <c r="AR16014" s="19"/>
      <c r="AS16014" s="19"/>
      <c r="AT16014" s="19"/>
      <c r="AU16014" s="19"/>
    </row>
    <row r="16015" spans="3:47">
      <c r="C16015" s="20"/>
      <c r="Z16015" s="20"/>
      <c r="AG16015" s="20"/>
      <c r="AQ16015" s="19"/>
      <c r="AR16015" s="19"/>
      <c r="AS16015" s="19"/>
      <c r="AT16015" s="19"/>
      <c r="AU16015" s="19"/>
    </row>
    <row r="16016" spans="3:47">
      <c r="C16016" s="20"/>
      <c r="Z16016" s="20"/>
      <c r="AG16016" s="20"/>
      <c r="AQ16016" s="19"/>
      <c r="AR16016" s="19"/>
      <c r="AS16016" s="19"/>
      <c r="AT16016" s="19"/>
      <c r="AU16016" s="19"/>
    </row>
    <row r="16017" spans="3:47">
      <c r="C16017" s="20"/>
      <c r="Z16017" s="20"/>
      <c r="AG16017" s="20"/>
      <c r="AQ16017" s="19"/>
      <c r="AR16017" s="19"/>
      <c r="AS16017" s="19"/>
      <c r="AT16017" s="19"/>
      <c r="AU16017" s="19"/>
    </row>
    <row r="16018" spans="3:47">
      <c r="C16018" s="20"/>
      <c r="Z16018" s="20"/>
      <c r="AG16018" s="20"/>
      <c r="AQ16018" s="19"/>
      <c r="AR16018" s="19"/>
      <c r="AS16018" s="19"/>
      <c r="AT16018" s="19"/>
      <c r="AU16018" s="19"/>
    </row>
    <row r="16019" spans="3:47">
      <c r="C16019" s="20"/>
      <c r="Z16019" s="20"/>
      <c r="AG16019" s="20"/>
      <c r="AQ16019" s="19"/>
      <c r="AR16019" s="19"/>
      <c r="AS16019" s="19"/>
      <c r="AT16019" s="19"/>
      <c r="AU16019" s="19"/>
    </row>
    <row r="16020" spans="3:47">
      <c r="C16020" s="20"/>
      <c r="Z16020" s="20"/>
      <c r="AG16020" s="20"/>
      <c r="AQ16020" s="19"/>
      <c r="AR16020" s="19"/>
      <c r="AS16020" s="19"/>
      <c r="AT16020" s="19"/>
      <c r="AU16020" s="19"/>
    </row>
    <row r="16021" spans="3:47">
      <c r="C16021" s="20"/>
      <c r="Z16021" s="20"/>
      <c r="AG16021" s="20"/>
      <c r="AQ16021" s="19"/>
      <c r="AR16021" s="19"/>
      <c r="AS16021" s="19"/>
      <c r="AT16021" s="19"/>
      <c r="AU16021" s="19"/>
    </row>
    <row r="16022" spans="3:47">
      <c r="C16022" s="20"/>
      <c r="Z16022" s="20"/>
      <c r="AG16022" s="20"/>
      <c r="AQ16022" s="19"/>
      <c r="AR16022" s="19"/>
      <c r="AS16022" s="19"/>
      <c r="AT16022" s="19"/>
      <c r="AU16022" s="19"/>
    </row>
    <row r="16023" spans="3:47">
      <c r="C16023" s="20"/>
      <c r="Z16023" s="20"/>
      <c r="AG16023" s="20"/>
      <c r="AQ16023" s="19"/>
      <c r="AR16023" s="19"/>
      <c r="AS16023" s="19"/>
      <c r="AT16023" s="19"/>
      <c r="AU16023" s="19"/>
    </row>
    <row r="16024" spans="3:47">
      <c r="C16024" s="20"/>
      <c r="Z16024" s="20"/>
      <c r="AG16024" s="20"/>
      <c r="AQ16024" s="19"/>
      <c r="AR16024" s="19"/>
      <c r="AS16024" s="19"/>
      <c r="AT16024" s="19"/>
      <c r="AU16024" s="19"/>
    </row>
    <row r="16025" spans="3:47">
      <c r="C16025" s="20"/>
      <c r="Z16025" s="20"/>
      <c r="AG16025" s="20"/>
      <c r="AQ16025" s="19"/>
      <c r="AR16025" s="19"/>
      <c r="AS16025" s="19"/>
      <c r="AT16025" s="19"/>
      <c r="AU16025" s="19"/>
    </row>
    <row r="16026" spans="3:47">
      <c r="C16026" s="20"/>
      <c r="Z16026" s="20"/>
      <c r="AG16026" s="20"/>
      <c r="AQ16026" s="19"/>
      <c r="AR16026" s="19"/>
      <c r="AS16026" s="19"/>
      <c r="AT16026" s="19"/>
      <c r="AU16026" s="19"/>
    </row>
    <row r="16027" spans="3:47">
      <c r="C16027" s="20"/>
      <c r="Z16027" s="20"/>
      <c r="AG16027" s="20"/>
      <c r="AQ16027" s="19"/>
      <c r="AR16027" s="19"/>
      <c r="AS16027" s="19"/>
      <c r="AT16027" s="19"/>
      <c r="AU16027" s="19"/>
    </row>
    <row r="16028" spans="3:47">
      <c r="C16028" s="20"/>
      <c r="Z16028" s="20"/>
      <c r="AG16028" s="20"/>
      <c r="AQ16028" s="19"/>
      <c r="AR16028" s="19"/>
      <c r="AS16028" s="19"/>
      <c r="AT16028" s="19"/>
      <c r="AU16028" s="19"/>
    </row>
    <row r="16029" spans="3:47">
      <c r="C16029" s="20"/>
      <c r="Z16029" s="20"/>
      <c r="AG16029" s="20"/>
      <c r="AQ16029" s="19"/>
      <c r="AR16029" s="19"/>
      <c r="AS16029" s="19"/>
      <c r="AT16029" s="19"/>
      <c r="AU16029" s="19"/>
    </row>
    <row r="16030" spans="3:47">
      <c r="C16030" s="20"/>
      <c r="Z16030" s="20"/>
      <c r="AG16030" s="20"/>
      <c r="AQ16030" s="19"/>
      <c r="AR16030" s="19"/>
      <c r="AS16030" s="19"/>
      <c r="AT16030" s="19"/>
      <c r="AU16030" s="19"/>
    </row>
    <row r="16031" spans="3:47">
      <c r="C16031" s="20"/>
      <c r="Z16031" s="20"/>
      <c r="AG16031" s="20"/>
      <c r="AQ16031" s="19"/>
      <c r="AR16031" s="19"/>
      <c r="AS16031" s="19"/>
      <c r="AT16031" s="19"/>
      <c r="AU16031" s="19"/>
    </row>
    <row r="16032" spans="3:47">
      <c r="C16032" s="20"/>
      <c r="Z16032" s="20"/>
      <c r="AG16032" s="20"/>
      <c r="AQ16032" s="19"/>
      <c r="AR16032" s="19"/>
      <c r="AS16032" s="19"/>
      <c r="AT16032" s="19"/>
      <c r="AU16032" s="19"/>
    </row>
    <row r="16033" spans="3:47">
      <c r="C16033" s="20"/>
      <c r="Z16033" s="20"/>
      <c r="AG16033" s="20"/>
      <c r="AQ16033" s="19"/>
      <c r="AR16033" s="19"/>
      <c r="AS16033" s="19"/>
      <c r="AT16033" s="19"/>
      <c r="AU16033" s="19"/>
    </row>
    <row r="16034" spans="3:47">
      <c r="C16034" s="20"/>
      <c r="Z16034" s="20"/>
      <c r="AG16034" s="20"/>
      <c r="AQ16034" s="19"/>
      <c r="AR16034" s="19"/>
      <c r="AS16034" s="19"/>
      <c r="AT16034" s="19"/>
      <c r="AU16034" s="19"/>
    </row>
    <row r="16035" spans="3:47">
      <c r="C16035" s="20"/>
      <c r="Z16035" s="20"/>
      <c r="AG16035" s="20"/>
      <c r="AQ16035" s="19"/>
      <c r="AR16035" s="19"/>
      <c r="AS16035" s="19"/>
      <c r="AT16035" s="19"/>
      <c r="AU16035" s="19"/>
    </row>
    <row r="16036" spans="3:47">
      <c r="C16036" s="20"/>
      <c r="Z16036" s="20"/>
      <c r="AG16036" s="20"/>
      <c r="AQ16036" s="19"/>
      <c r="AR16036" s="19"/>
      <c r="AS16036" s="19"/>
      <c r="AT16036" s="19"/>
      <c r="AU16036" s="19"/>
    </row>
    <row r="16037" spans="3:47">
      <c r="C16037" s="20"/>
      <c r="Z16037" s="20"/>
      <c r="AG16037" s="20"/>
      <c r="AQ16037" s="19"/>
      <c r="AR16037" s="19"/>
      <c r="AS16037" s="19"/>
      <c r="AT16037" s="19"/>
      <c r="AU16037" s="19"/>
    </row>
    <row r="16038" spans="3:47">
      <c r="C16038" s="20"/>
      <c r="Z16038" s="20"/>
      <c r="AG16038" s="20"/>
      <c r="AQ16038" s="19"/>
      <c r="AR16038" s="19"/>
      <c r="AS16038" s="19"/>
      <c r="AT16038" s="19"/>
      <c r="AU16038" s="19"/>
    </row>
    <row r="16039" spans="3:47">
      <c r="C16039" s="20"/>
      <c r="Z16039" s="20"/>
      <c r="AG16039" s="20"/>
      <c r="AQ16039" s="19"/>
      <c r="AR16039" s="19"/>
      <c r="AS16039" s="19"/>
      <c r="AT16039" s="19"/>
      <c r="AU16039" s="19"/>
    </row>
    <row r="16040" spans="3:47">
      <c r="C16040" s="20"/>
      <c r="Z16040" s="20"/>
      <c r="AG16040" s="20"/>
      <c r="AQ16040" s="19"/>
      <c r="AR16040" s="19"/>
      <c r="AS16040" s="19"/>
      <c r="AT16040" s="19"/>
      <c r="AU16040" s="19"/>
    </row>
    <row r="16041" spans="3:47">
      <c r="C16041" s="20"/>
      <c r="Z16041" s="20"/>
      <c r="AG16041" s="20"/>
      <c r="AQ16041" s="19"/>
      <c r="AR16041" s="19"/>
      <c r="AS16041" s="19"/>
      <c r="AT16041" s="19"/>
      <c r="AU16041" s="19"/>
    </row>
    <row r="16042" spans="3:47">
      <c r="C16042" s="20"/>
      <c r="Z16042" s="20"/>
      <c r="AG16042" s="20"/>
      <c r="AQ16042" s="19"/>
      <c r="AR16042" s="19"/>
      <c r="AS16042" s="19"/>
      <c r="AT16042" s="19"/>
      <c r="AU16042" s="19"/>
    </row>
    <row r="16043" spans="3:47">
      <c r="C16043" s="20"/>
      <c r="Z16043" s="20"/>
      <c r="AG16043" s="20"/>
      <c r="AQ16043" s="19"/>
      <c r="AR16043" s="19"/>
      <c r="AS16043" s="19"/>
      <c r="AT16043" s="19"/>
      <c r="AU16043" s="19"/>
    </row>
    <row r="16044" spans="3:47">
      <c r="C16044" s="20"/>
      <c r="Z16044" s="20"/>
      <c r="AG16044" s="20"/>
      <c r="AQ16044" s="19"/>
      <c r="AR16044" s="19"/>
      <c r="AS16044" s="19"/>
      <c r="AT16044" s="19"/>
      <c r="AU16044" s="19"/>
    </row>
    <row r="16045" spans="3:47">
      <c r="C16045" s="20"/>
      <c r="Z16045" s="20"/>
      <c r="AG16045" s="20"/>
      <c r="AQ16045" s="19"/>
      <c r="AR16045" s="19"/>
      <c r="AS16045" s="19"/>
      <c r="AT16045" s="19"/>
      <c r="AU16045" s="19"/>
    </row>
    <row r="16046" spans="3:47">
      <c r="C16046" s="20"/>
      <c r="Z16046" s="20"/>
      <c r="AG16046" s="20"/>
      <c r="AQ16046" s="19"/>
      <c r="AR16046" s="19"/>
      <c r="AS16046" s="19"/>
      <c r="AT16046" s="19"/>
      <c r="AU16046" s="19"/>
    </row>
    <row r="16047" spans="3:47">
      <c r="C16047" s="20"/>
      <c r="Z16047" s="20"/>
      <c r="AG16047" s="20"/>
      <c r="AQ16047" s="19"/>
      <c r="AR16047" s="19"/>
      <c r="AS16047" s="19"/>
      <c r="AT16047" s="19"/>
      <c r="AU16047" s="19"/>
    </row>
    <row r="16048" spans="3:47">
      <c r="C16048" s="20"/>
      <c r="Z16048" s="20"/>
      <c r="AG16048" s="20"/>
      <c r="AQ16048" s="19"/>
      <c r="AR16048" s="19"/>
      <c r="AS16048" s="19"/>
      <c r="AT16048" s="19"/>
      <c r="AU16048" s="19"/>
    </row>
    <row r="16049" spans="3:47">
      <c r="C16049" s="20"/>
      <c r="Z16049" s="20"/>
      <c r="AG16049" s="20"/>
      <c r="AQ16049" s="19"/>
      <c r="AR16049" s="19"/>
      <c r="AS16049" s="19"/>
      <c r="AT16049" s="19"/>
      <c r="AU16049" s="19"/>
    </row>
    <row r="16050" spans="3:47">
      <c r="C16050" s="20"/>
      <c r="Z16050" s="20"/>
      <c r="AG16050" s="20"/>
      <c r="AQ16050" s="19"/>
      <c r="AR16050" s="19"/>
      <c r="AS16050" s="19"/>
      <c r="AT16050" s="19"/>
      <c r="AU16050" s="19"/>
    </row>
    <row r="16051" spans="3:47">
      <c r="C16051" s="20"/>
      <c r="Z16051" s="20"/>
      <c r="AG16051" s="20"/>
      <c r="AQ16051" s="19"/>
      <c r="AR16051" s="19"/>
      <c r="AS16051" s="19"/>
      <c r="AT16051" s="19"/>
      <c r="AU16051" s="19"/>
    </row>
    <row r="16052" spans="3:47">
      <c r="C16052" s="20"/>
      <c r="Z16052" s="20"/>
      <c r="AG16052" s="20"/>
      <c r="AQ16052" s="19"/>
      <c r="AR16052" s="19"/>
      <c r="AS16052" s="19"/>
      <c r="AT16052" s="19"/>
      <c r="AU16052" s="19"/>
    </row>
    <row r="16053" spans="3:47">
      <c r="C16053" s="20"/>
      <c r="Z16053" s="20"/>
      <c r="AG16053" s="20"/>
      <c r="AQ16053" s="19"/>
      <c r="AR16053" s="19"/>
      <c r="AS16053" s="19"/>
      <c r="AT16053" s="19"/>
      <c r="AU16053" s="19"/>
    </row>
    <row r="16054" spans="3:47">
      <c r="C16054" s="20"/>
      <c r="Z16054" s="20"/>
      <c r="AG16054" s="20"/>
      <c r="AQ16054" s="19"/>
      <c r="AR16054" s="19"/>
      <c r="AS16054" s="19"/>
      <c r="AT16054" s="19"/>
      <c r="AU16054" s="19"/>
    </row>
    <row r="16055" spans="3:47">
      <c r="C16055" s="20"/>
      <c r="Z16055" s="20"/>
      <c r="AG16055" s="20"/>
      <c r="AQ16055" s="19"/>
      <c r="AR16055" s="19"/>
      <c r="AS16055" s="19"/>
      <c r="AT16055" s="19"/>
      <c r="AU16055" s="19"/>
    </row>
    <row r="16056" spans="3:47">
      <c r="C16056" s="20"/>
      <c r="Z16056" s="20"/>
      <c r="AG16056" s="20"/>
      <c r="AQ16056" s="19"/>
      <c r="AR16056" s="19"/>
      <c r="AS16056" s="19"/>
      <c r="AT16056" s="19"/>
      <c r="AU16056" s="19"/>
    </row>
    <row r="16057" spans="3:47">
      <c r="C16057" s="20"/>
      <c r="Z16057" s="20"/>
      <c r="AG16057" s="20"/>
      <c r="AQ16057" s="19"/>
      <c r="AR16057" s="19"/>
      <c r="AS16057" s="19"/>
      <c r="AT16057" s="19"/>
      <c r="AU16057" s="19"/>
    </row>
    <row r="16058" spans="3:47">
      <c r="C16058" s="20"/>
      <c r="Z16058" s="20"/>
      <c r="AG16058" s="20"/>
      <c r="AQ16058" s="19"/>
      <c r="AR16058" s="19"/>
      <c r="AS16058" s="19"/>
      <c r="AT16058" s="19"/>
      <c r="AU16058" s="19"/>
    </row>
    <row r="16059" spans="3:47">
      <c r="C16059" s="20"/>
      <c r="Z16059" s="20"/>
      <c r="AG16059" s="20"/>
      <c r="AQ16059" s="19"/>
      <c r="AR16059" s="19"/>
      <c r="AS16059" s="19"/>
      <c r="AT16059" s="19"/>
      <c r="AU16059" s="19"/>
    </row>
    <row r="16060" spans="3:47">
      <c r="C16060" s="20"/>
      <c r="Z16060" s="20"/>
      <c r="AG16060" s="20"/>
      <c r="AQ16060" s="19"/>
      <c r="AR16060" s="19"/>
      <c r="AS16060" s="19"/>
      <c r="AT16060" s="19"/>
      <c r="AU16060" s="19"/>
    </row>
    <row r="16061" spans="3:47">
      <c r="C16061" s="20"/>
      <c r="Z16061" s="20"/>
      <c r="AG16061" s="20"/>
      <c r="AQ16061" s="19"/>
      <c r="AR16061" s="19"/>
      <c r="AS16061" s="19"/>
      <c r="AT16061" s="19"/>
      <c r="AU16061" s="19"/>
    </row>
    <row r="16062" spans="3:47">
      <c r="C16062" s="20"/>
      <c r="Z16062" s="20"/>
      <c r="AG16062" s="20"/>
      <c r="AQ16062" s="19"/>
      <c r="AR16062" s="19"/>
      <c r="AS16062" s="19"/>
      <c r="AT16062" s="19"/>
      <c r="AU16062" s="19"/>
    </row>
    <row r="16063" spans="3:47">
      <c r="C16063" s="20"/>
      <c r="Z16063" s="20"/>
      <c r="AG16063" s="20"/>
      <c r="AQ16063" s="19"/>
      <c r="AR16063" s="19"/>
      <c r="AS16063" s="19"/>
      <c r="AT16063" s="19"/>
      <c r="AU16063" s="19"/>
    </row>
    <row r="16064" spans="3:47">
      <c r="C16064" s="20"/>
      <c r="Z16064" s="20"/>
      <c r="AG16064" s="20"/>
      <c r="AQ16064" s="19"/>
      <c r="AR16064" s="19"/>
      <c r="AS16064" s="19"/>
      <c r="AT16064" s="19"/>
      <c r="AU16064" s="19"/>
    </row>
    <row r="16065" spans="3:47">
      <c r="C16065" s="20"/>
      <c r="Z16065" s="20"/>
      <c r="AG16065" s="20"/>
      <c r="AQ16065" s="19"/>
      <c r="AR16065" s="19"/>
      <c r="AS16065" s="19"/>
      <c r="AT16065" s="19"/>
      <c r="AU16065" s="19"/>
    </row>
    <row r="16066" spans="3:47">
      <c r="C16066" s="20"/>
      <c r="Z16066" s="20"/>
      <c r="AG16066" s="20"/>
      <c r="AQ16066" s="19"/>
      <c r="AR16066" s="19"/>
      <c r="AS16066" s="19"/>
      <c r="AT16066" s="19"/>
      <c r="AU16066" s="19"/>
    </row>
    <row r="16067" spans="3:47">
      <c r="C16067" s="20"/>
      <c r="Z16067" s="20"/>
      <c r="AG16067" s="20"/>
      <c r="AQ16067" s="19"/>
      <c r="AR16067" s="19"/>
      <c r="AS16067" s="19"/>
      <c r="AT16067" s="19"/>
      <c r="AU16067" s="19"/>
    </row>
    <row r="16068" spans="3:47">
      <c r="C16068" s="20"/>
      <c r="Z16068" s="20"/>
      <c r="AG16068" s="20"/>
      <c r="AQ16068" s="19"/>
      <c r="AR16068" s="19"/>
      <c r="AS16068" s="19"/>
      <c r="AT16068" s="19"/>
      <c r="AU16068" s="19"/>
    </row>
    <row r="16069" spans="3:47">
      <c r="C16069" s="20"/>
      <c r="Z16069" s="20"/>
      <c r="AG16069" s="20"/>
      <c r="AQ16069" s="19"/>
      <c r="AR16069" s="19"/>
      <c r="AS16069" s="19"/>
      <c r="AT16069" s="19"/>
      <c r="AU16069" s="19"/>
    </row>
    <row r="16070" spans="3:47">
      <c r="C16070" s="20"/>
      <c r="Z16070" s="20"/>
      <c r="AG16070" s="20"/>
      <c r="AQ16070" s="19"/>
      <c r="AR16070" s="19"/>
      <c r="AS16070" s="19"/>
      <c r="AT16070" s="19"/>
      <c r="AU16070" s="19"/>
    </row>
    <row r="16071" spans="3:47">
      <c r="C16071" s="20"/>
      <c r="Z16071" s="20"/>
      <c r="AG16071" s="20"/>
      <c r="AQ16071" s="19"/>
      <c r="AR16071" s="19"/>
      <c r="AS16071" s="19"/>
      <c r="AT16071" s="19"/>
      <c r="AU16071" s="19"/>
    </row>
    <row r="16072" spans="3:47">
      <c r="C16072" s="20"/>
      <c r="Z16072" s="20"/>
      <c r="AG16072" s="20"/>
      <c r="AQ16072" s="19"/>
      <c r="AR16072" s="19"/>
      <c r="AS16072" s="19"/>
      <c r="AT16072" s="19"/>
      <c r="AU16072" s="19"/>
    </row>
    <row r="16073" spans="3:47">
      <c r="C16073" s="20"/>
      <c r="Z16073" s="20"/>
      <c r="AG16073" s="20"/>
      <c r="AQ16073" s="19"/>
      <c r="AR16073" s="19"/>
      <c r="AS16073" s="19"/>
      <c r="AT16073" s="19"/>
      <c r="AU16073" s="19"/>
    </row>
    <row r="16074" spans="3:47">
      <c r="C16074" s="20"/>
      <c r="Z16074" s="20"/>
      <c r="AG16074" s="20"/>
      <c r="AQ16074" s="19"/>
      <c r="AR16074" s="19"/>
      <c r="AS16074" s="19"/>
      <c r="AT16074" s="19"/>
      <c r="AU16074" s="19"/>
    </row>
    <row r="16075" spans="3:47">
      <c r="C16075" s="20"/>
      <c r="Z16075" s="20"/>
      <c r="AG16075" s="20"/>
      <c r="AQ16075" s="19"/>
      <c r="AR16075" s="19"/>
      <c r="AS16075" s="19"/>
      <c r="AT16075" s="19"/>
      <c r="AU16075" s="19"/>
    </row>
    <row r="16076" spans="3:47">
      <c r="C16076" s="20"/>
      <c r="Z16076" s="20"/>
      <c r="AG16076" s="20"/>
      <c r="AQ16076" s="19"/>
      <c r="AR16076" s="19"/>
      <c r="AS16076" s="19"/>
      <c r="AT16076" s="19"/>
      <c r="AU16076" s="19"/>
    </row>
    <row r="16077" spans="3:47">
      <c r="C16077" s="20"/>
      <c r="Z16077" s="20"/>
      <c r="AG16077" s="20"/>
      <c r="AQ16077" s="19"/>
      <c r="AR16077" s="19"/>
      <c r="AS16077" s="19"/>
      <c r="AT16077" s="19"/>
      <c r="AU16077" s="19"/>
    </row>
    <row r="16078" spans="3:47">
      <c r="C16078" s="20"/>
      <c r="Z16078" s="20"/>
      <c r="AG16078" s="20"/>
      <c r="AQ16078" s="19"/>
      <c r="AR16078" s="19"/>
      <c r="AS16078" s="19"/>
      <c r="AT16078" s="19"/>
      <c r="AU16078" s="19"/>
    </row>
    <row r="16079" spans="3:47">
      <c r="C16079" s="20"/>
      <c r="Z16079" s="20"/>
      <c r="AG16079" s="20"/>
      <c r="AQ16079" s="19"/>
      <c r="AR16079" s="19"/>
      <c r="AS16079" s="19"/>
      <c r="AT16079" s="19"/>
      <c r="AU16079" s="19"/>
    </row>
    <row r="16080" spans="3:47">
      <c r="C16080" s="20"/>
      <c r="Z16080" s="20"/>
      <c r="AG16080" s="20"/>
      <c r="AQ16080" s="19"/>
      <c r="AR16080" s="19"/>
      <c r="AS16080" s="19"/>
      <c r="AT16080" s="19"/>
      <c r="AU16080" s="19"/>
    </row>
    <row r="16081" spans="3:47">
      <c r="C16081" s="20"/>
      <c r="Z16081" s="20"/>
      <c r="AG16081" s="20"/>
      <c r="AQ16081" s="19"/>
      <c r="AR16081" s="19"/>
      <c r="AS16081" s="19"/>
      <c r="AT16081" s="19"/>
      <c r="AU16081" s="19"/>
    </row>
    <row r="16082" spans="3:47">
      <c r="C16082" s="20"/>
      <c r="Z16082" s="20"/>
      <c r="AG16082" s="20"/>
      <c r="AQ16082" s="19"/>
      <c r="AR16082" s="19"/>
      <c r="AS16082" s="19"/>
      <c r="AT16082" s="19"/>
      <c r="AU16082" s="19"/>
    </row>
    <row r="16083" spans="3:47">
      <c r="C16083" s="20"/>
      <c r="Z16083" s="20"/>
      <c r="AG16083" s="20"/>
      <c r="AQ16083" s="19"/>
      <c r="AR16083" s="19"/>
      <c r="AS16083" s="19"/>
      <c r="AT16083" s="19"/>
      <c r="AU16083" s="19"/>
    </row>
    <row r="16084" spans="3:47">
      <c r="C16084" s="20"/>
      <c r="Z16084" s="20"/>
      <c r="AG16084" s="20"/>
      <c r="AQ16084" s="19"/>
      <c r="AR16084" s="19"/>
      <c r="AS16084" s="19"/>
      <c r="AT16084" s="19"/>
      <c r="AU16084" s="19"/>
    </row>
    <row r="16085" spans="3:47">
      <c r="C16085" s="20"/>
      <c r="Z16085" s="20"/>
      <c r="AG16085" s="20"/>
      <c r="AQ16085" s="19"/>
      <c r="AR16085" s="19"/>
      <c r="AS16085" s="19"/>
      <c r="AT16085" s="19"/>
      <c r="AU16085" s="19"/>
    </row>
    <row r="16086" spans="3:47">
      <c r="C16086" s="20"/>
      <c r="Z16086" s="20"/>
      <c r="AG16086" s="20"/>
      <c r="AQ16086" s="19"/>
      <c r="AR16086" s="19"/>
      <c r="AS16086" s="19"/>
      <c r="AT16086" s="19"/>
      <c r="AU16086" s="19"/>
    </row>
    <row r="16087" spans="3:47">
      <c r="C16087" s="20"/>
      <c r="Z16087" s="20"/>
      <c r="AG16087" s="20"/>
      <c r="AQ16087" s="19"/>
      <c r="AR16087" s="19"/>
      <c r="AS16087" s="19"/>
      <c r="AT16087" s="19"/>
      <c r="AU16087" s="19"/>
    </row>
    <row r="16088" spans="3:47">
      <c r="C16088" s="20"/>
      <c r="Z16088" s="20"/>
      <c r="AG16088" s="20"/>
      <c r="AQ16088" s="19"/>
      <c r="AR16088" s="19"/>
      <c r="AS16088" s="19"/>
      <c r="AT16088" s="19"/>
      <c r="AU16088" s="19"/>
    </row>
    <row r="16089" spans="3:47">
      <c r="C16089" s="20"/>
      <c r="Z16089" s="20"/>
      <c r="AG16089" s="20"/>
      <c r="AQ16089" s="19"/>
      <c r="AR16089" s="19"/>
      <c r="AS16089" s="19"/>
      <c r="AT16089" s="19"/>
      <c r="AU16089" s="19"/>
    </row>
    <row r="16090" spans="3:47">
      <c r="C16090" s="20"/>
      <c r="Z16090" s="20"/>
      <c r="AG16090" s="20"/>
      <c r="AQ16090" s="19"/>
      <c r="AR16090" s="19"/>
      <c r="AS16090" s="19"/>
      <c r="AT16090" s="19"/>
      <c r="AU16090" s="19"/>
    </row>
    <row r="16091" spans="3:47">
      <c r="C16091" s="20"/>
      <c r="Z16091" s="20"/>
      <c r="AG16091" s="20"/>
      <c r="AQ16091" s="19"/>
      <c r="AR16091" s="19"/>
      <c r="AS16091" s="19"/>
      <c r="AT16091" s="19"/>
      <c r="AU16091" s="19"/>
    </row>
    <row r="16092" spans="3:47">
      <c r="C16092" s="20"/>
      <c r="Z16092" s="20"/>
      <c r="AG16092" s="20"/>
      <c r="AQ16092" s="19"/>
      <c r="AR16092" s="19"/>
      <c r="AS16092" s="19"/>
      <c r="AT16092" s="19"/>
      <c r="AU16092" s="19"/>
    </row>
    <row r="16093" spans="3:47">
      <c r="C16093" s="20"/>
      <c r="Z16093" s="20"/>
      <c r="AG16093" s="20"/>
      <c r="AQ16093" s="19"/>
      <c r="AR16093" s="19"/>
      <c r="AS16093" s="19"/>
      <c r="AT16093" s="19"/>
      <c r="AU16093" s="19"/>
    </row>
    <row r="16094" spans="3:47">
      <c r="C16094" s="20"/>
      <c r="Z16094" s="20"/>
      <c r="AG16094" s="20"/>
      <c r="AQ16094" s="19"/>
      <c r="AR16094" s="19"/>
      <c r="AS16094" s="19"/>
      <c r="AT16094" s="19"/>
      <c r="AU16094" s="19"/>
    </row>
    <row r="16095" spans="3:47">
      <c r="C16095" s="20"/>
      <c r="Z16095" s="20"/>
      <c r="AG16095" s="20"/>
      <c r="AQ16095" s="19"/>
      <c r="AR16095" s="19"/>
      <c r="AS16095" s="19"/>
      <c r="AT16095" s="19"/>
      <c r="AU16095" s="19"/>
    </row>
    <row r="16096" spans="3:47">
      <c r="C16096" s="20"/>
      <c r="Z16096" s="20"/>
      <c r="AG16096" s="20"/>
      <c r="AQ16096" s="19"/>
      <c r="AR16096" s="19"/>
      <c r="AS16096" s="19"/>
      <c r="AT16096" s="19"/>
      <c r="AU16096" s="19"/>
    </row>
    <row r="16097" spans="3:47">
      <c r="C16097" s="20"/>
      <c r="Z16097" s="20"/>
      <c r="AG16097" s="20"/>
      <c r="AQ16097" s="19"/>
      <c r="AR16097" s="19"/>
      <c r="AS16097" s="19"/>
      <c r="AT16097" s="19"/>
      <c r="AU16097" s="19"/>
    </row>
    <row r="16098" spans="3:47">
      <c r="C16098" s="20"/>
      <c r="Z16098" s="20"/>
      <c r="AG16098" s="20"/>
      <c r="AQ16098" s="19"/>
      <c r="AR16098" s="19"/>
      <c r="AS16098" s="19"/>
      <c r="AT16098" s="19"/>
      <c r="AU16098" s="19"/>
    </row>
    <row r="16099" spans="3:47">
      <c r="C16099" s="20"/>
      <c r="Z16099" s="20"/>
      <c r="AG16099" s="20"/>
      <c r="AQ16099" s="19"/>
      <c r="AR16099" s="19"/>
      <c r="AS16099" s="19"/>
      <c r="AT16099" s="19"/>
      <c r="AU16099" s="19"/>
    </row>
    <row r="16100" spans="3:47">
      <c r="C16100" s="20"/>
      <c r="Z16100" s="20"/>
      <c r="AG16100" s="20"/>
      <c r="AQ16100" s="19"/>
      <c r="AR16100" s="19"/>
      <c r="AS16100" s="19"/>
      <c r="AT16100" s="19"/>
      <c r="AU16100" s="19"/>
    </row>
    <row r="16101" spans="3:47">
      <c r="C16101" s="20"/>
      <c r="Z16101" s="20"/>
      <c r="AG16101" s="20"/>
      <c r="AQ16101" s="19"/>
      <c r="AR16101" s="19"/>
      <c r="AS16101" s="19"/>
      <c r="AT16101" s="19"/>
      <c r="AU16101" s="19"/>
    </row>
    <row r="16102" spans="3:47">
      <c r="C16102" s="20"/>
      <c r="Z16102" s="20"/>
      <c r="AG16102" s="20"/>
      <c r="AQ16102" s="19"/>
      <c r="AR16102" s="19"/>
      <c r="AS16102" s="19"/>
      <c r="AT16102" s="19"/>
      <c r="AU16102" s="19"/>
    </row>
    <row r="16103" spans="3:47">
      <c r="C16103" s="20"/>
      <c r="Z16103" s="20"/>
      <c r="AG16103" s="20"/>
      <c r="AQ16103" s="19"/>
      <c r="AR16103" s="19"/>
      <c r="AS16103" s="19"/>
      <c r="AT16103" s="19"/>
      <c r="AU16103" s="19"/>
    </row>
    <row r="16104" spans="3:47">
      <c r="C16104" s="20"/>
      <c r="Z16104" s="20"/>
      <c r="AG16104" s="20"/>
      <c r="AQ16104" s="19"/>
      <c r="AR16104" s="19"/>
      <c r="AS16104" s="19"/>
      <c r="AT16104" s="19"/>
      <c r="AU16104" s="19"/>
    </row>
    <row r="16105" spans="3:47">
      <c r="C16105" s="20"/>
      <c r="Z16105" s="20"/>
      <c r="AG16105" s="20"/>
      <c r="AQ16105" s="19"/>
      <c r="AR16105" s="19"/>
      <c r="AS16105" s="19"/>
      <c r="AT16105" s="19"/>
      <c r="AU16105" s="19"/>
    </row>
    <row r="16106" spans="3:47">
      <c r="C16106" s="20"/>
      <c r="Z16106" s="20"/>
      <c r="AG16106" s="20"/>
      <c r="AQ16106" s="19"/>
      <c r="AR16106" s="19"/>
      <c r="AS16106" s="19"/>
      <c r="AT16106" s="19"/>
      <c r="AU16106" s="19"/>
    </row>
    <row r="16107" spans="3:47">
      <c r="C16107" s="20"/>
      <c r="Z16107" s="20"/>
      <c r="AG16107" s="20"/>
      <c r="AQ16107" s="19"/>
      <c r="AR16107" s="19"/>
      <c r="AS16107" s="19"/>
      <c r="AT16107" s="19"/>
      <c r="AU16107" s="19"/>
    </row>
    <row r="16108" spans="3:47">
      <c r="C16108" s="20"/>
      <c r="Z16108" s="20"/>
      <c r="AG16108" s="20"/>
      <c r="AQ16108" s="19"/>
      <c r="AR16108" s="19"/>
      <c r="AS16108" s="19"/>
      <c r="AT16108" s="19"/>
      <c r="AU16108" s="19"/>
    </row>
    <row r="16109" spans="3:47">
      <c r="C16109" s="20"/>
      <c r="Z16109" s="20"/>
      <c r="AG16109" s="20"/>
      <c r="AQ16109" s="19"/>
      <c r="AR16109" s="19"/>
      <c r="AS16109" s="19"/>
      <c r="AT16109" s="19"/>
      <c r="AU16109" s="19"/>
    </row>
    <row r="16110" spans="3:47">
      <c r="C16110" s="20"/>
      <c r="Z16110" s="20"/>
      <c r="AG16110" s="20"/>
      <c r="AQ16110" s="19"/>
      <c r="AR16110" s="19"/>
      <c r="AS16110" s="19"/>
      <c r="AT16110" s="19"/>
      <c r="AU16110" s="19"/>
    </row>
    <row r="16111" spans="3:47">
      <c r="C16111" s="20"/>
      <c r="Z16111" s="20"/>
      <c r="AG16111" s="20"/>
      <c r="AQ16111" s="19"/>
      <c r="AR16111" s="19"/>
      <c r="AS16111" s="19"/>
      <c r="AT16111" s="19"/>
      <c r="AU16111" s="19"/>
    </row>
    <row r="16112" spans="3:47">
      <c r="C16112" s="20"/>
      <c r="Z16112" s="20"/>
      <c r="AG16112" s="20"/>
      <c r="AQ16112" s="19"/>
      <c r="AR16112" s="19"/>
      <c r="AS16112" s="19"/>
      <c r="AT16112" s="19"/>
      <c r="AU16112" s="19"/>
    </row>
    <row r="16113" spans="3:47">
      <c r="C16113" s="20"/>
      <c r="Z16113" s="20"/>
      <c r="AG16113" s="20"/>
      <c r="AQ16113" s="19"/>
      <c r="AR16113" s="19"/>
      <c r="AS16113" s="19"/>
      <c r="AT16113" s="19"/>
      <c r="AU16113" s="19"/>
    </row>
    <row r="16114" spans="3:47">
      <c r="C16114" s="20"/>
      <c r="Z16114" s="20"/>
      <c r="AG16114" s="20"/>
      <c r="AQ16114" s="19"/>
      <c r="AR16114" s="19"/>
      <c r="AS16114" s="19"/>
      <c r="AT16114" s="19"/>
      <c r="AU16114" s="19"/>
    </row>
    <row r="16115" spans="3:47">
      <c r="C16115" s="20"/>
      <c r="Z16115" s="20"/>
      <c r="AG16115" s="20"/>
      <c r="AQ16115" s="19"/>
      <c r="AR16115" s="19"/>
      <c r="AS16115" s="19"/>
      <c r="AT16115" s="19"/>
      <c r="AU16115" s="19"/>
    </row>
    <row r="16116" spans="3:47">
      <c r="C16116" s="20"/>
      <c r="Z16116" s="20"/>
      <c r="AG16116" s="20"/>
      <c r="AQ16116" s="19"/>
      <c r="AR16116" s="19"/>
      <c r="AS16116" s="19"/>
      <c r="AT16116" s="19"/>
      <c r="AU16116" s="19"/>
    </row>
    <row r="16117" spans="3:47">
      <c r="C16117" s="20"/>
      <c r="Z16117" s="20"/>
      <c r="AG16117" s="20"/>
      <c r="AQ16117" s="19"/>
      <c r="AR16117" s="19"/>
      <c r="AS16117" s="19"/>
      <c r="AT16117" s="19"/>
      <c r="AU16117" s="19"/>
    </row>
    <row r="16118" spans="3:47">
      <c r="C16118" s="20"/>
      <c r="Z16118" s="20"/>
      <c r="AG16118" s="20"/>
      <c r="AQ16118" s="19"/>
      <c r="AR16118" s="19"/>
      <c r="AS16118" s="19"/>
      <c r="AT16118" s="19"/>
      <c r="AU16118" s="19"/>
    </row>
    <row r="16119" spans="3:47">
      <c r="C16119" s="20"/>
      <c r="Z16119" s="20"/>
      <c r="AG16119" s="20"/>
      <c r="AQ16119" s="19"/>
      <c r="AR16119" s="19"/>
      <c r="AS16119" s="19"/>
      <c r="AT16119" s="19"/>
      <c r="AU16119" s="19"/>
    </row>
    <row r="16120" spans="3:47">
      <c r="C16120" s="20"/>
      <c r="Z16120" s="20"/>
      <c r="AG16120" s="20"/>
      <c r="AQ16120" s="19"/>
      <c r="AR16120" s="19"/>
      <c r="AS16120" s="19"/>
      <c r="AT16120" s="19"/>
      <c r="AU16120" s="19"/>
    </row>
    <row r="16121" spans="3:47">
      <c r="C16121" s="20"/>
      <c r="Z16121" s="20"/>
      <c r="AG16121" s="20"/>
      <c r="AQ16121" s="19"/>
      <c r="AR16121" s="19"/>
      <c r="AS16121" s="19"/>
      <c r="AT16121" s="19"/>
      <c r="AU16121" s="19"/>
    </row>
    <row r="16122" spans="3:47">
      <c r="C16122" s="20"/>
      <c r="Z16122" s="20"/>
      <c r="AG16122" s="20"/>
      <c r="AQ16122" s="19"/>
      <c r="AR16122" s="19"/>
      <c r="AS16122" s="19"/>
      <c r="AT16122" s="19"/>
      <c r="AU16122" s="19"/>
    </row>
    <row r="16123" spans="3:47">
      <c r="C16123" s="20"/>
      <c r="Z16123" s="20"/>
      <c r="AG16123" s="20"/>
      <c r="AQ16123" s="19"/>
      <c r="AR16123" s="19"/>
      <c r="AS16123" s="19"/>
      <c r="AT16123" s="19"/>
      <c r="AU16123" s="19"/>
    </row>
    <row r="16124" spans="3:47">
      <c r="C16124" s="20"/>
      <c r="Z16124" s="20"/>
      <c r="AG16124" s="20"/>
      <c r="AQ16124" s="19"/>
      <c r="AR16124" s="19"/>
      <c r="AS16124" s="19"/>
      <c r="AT16124" s="19"/>
      <c r="AU16124" s="19"/>
    </row>
    <row r="16125" spans="3:47">
      <c r="C16125" s="20"/>
      <c r="Z16125" s="20"/>
      <c r="AG16125" s="20"/>
      <c r="AQ16125" s="19"/>
      <c r="AR16125" s="19"/>
      <c r="AS16125" s="19"/>
      <c r="AT16125" s="19"/>
      <c r="AU16125" s="19"/>
    </row>
    <row r="16126" spans="3:47">
      <c r="C16126" s="20"/>
      <c r="Z16126" s="20"/>
      <c r="AG16126" s="20"/>
      <c r="AQ16126" s="19"/>
      <c r="AR16126" s="19"/>
      <c r="AS16126" s="19"/>
      <c r="AT16126" s="19"/>
      <c r="AU16126" s="19"/>
    </row>
    <row r="16127" spans="3:47">
      <c r="C16127" s="20"/>
      <c r="Z16127" s="20"/>
      <c r="AG16127" s="20"/>
      <c r="AQ16127" s="19"/>
      <c r="AR16127" s="19"/>
      <c r="AS16127" s="19"/>
      <c r="AT16127" s="19"/>
      <c r="AU16127" s="19"/>
    </row>
    <row r="16128" spans="3:47">
      <c r="C16128" s="20"/>
      <c r="Z16128" s="20"/>
      <c r="AG16128" s="20"/>
      <c r="AQ16128" s="19"/>
      <c r="AR16128" s="19"/>
      <c r="AS16128" s="19"/>
      <c r="AT16128" s="19"/>
      <c r="AU16128" s="19"/>
    </row>
    <row r="16129" spans="3:47">
      <c r="C16129" s="20"/>
      <c r="Z16129" s="20"/>
      <c r="AG16129" s="20"/>
      <c r="AQ16129" s="19"/>
      <c r="AR16129" s="19"/>
      <c r="AS16129" s="19"/>
      <c r="AT16129" s="19"/>
      <c r="AU16129" s="19"/>
    </row>
    <row r="16130" spans="3:47">
      <c r="C16130" s="20"/>
      <c r="Z16130" s="20"/>
      <c r="AG16130" s="20"/>
      <c r="AQ16130" s="19"/>
      <c r="AR16130" s="19"/>
      <c r="AS16130" s="19"/>
      <c r="AT16130" s="19"/>
      <c r="AU16130" s="19"/>
    </row>
    <row r="16131" spans="3:47">
      <c r="C16131" s="20"/>
      <c r="Z16131" s="20"/>
      <c r="AG16131" s="20"/>
      <c r="AQ16131" s="19"/>
      <c r="AR16131" s="19"/>
      <c r="AS16131" s="19"/>
      <c r="AT16131" s="19"/>
      <c r="AU16131" s="19"/>
    </row>
    <row r="16132" spans="3:47">
      <c r="C16132" s="20"/>
      <c r="Z16132" s="20"/>
      <c r="AG16132" s="20"/>
      <c r="AQ16132" s="19"/>
      <c r="AR16132" s="19"/>
      <c r="AS16132" s="19"/>
      <c r="AT16132" s="19"/>
      <c r="AU16132" s="19"/>
    </row>
    <row r="16133" spans="3:47">
      <c r="C16133" s="20"/>
      <c r="Z16133" s="20"/>
      <c r="AG16133" s="20"/>
      <c r="AQ16133" s="19"/>
      <c r="AR16133" s="19"/>
      <c r="AS16133" s="19"/>
      <c r="AT16133" s="19"/>
      <c r="AU16133" s="19"/>
    </row>
    <row r="16134" spans="3:47">
      <c r="C16134" s="20"/>
      <c r="Z16134" s="20"/>
      <c r="AG16134" s="20"/>
      <c r="AQ16134" s="19"/>
      <c r="AR16134" s="19"/>
      <c r="AS16134" s="19"/>
      <c r="AT16134" s="19"/>
      <c r="AU16134" s="19"/>
    </row>
    <row r="16135" spans="3:47">
      <c r="C16135" s="20"/>
      <c r="Z16135" s="20"/>
      <c r="AG16135" s="20"/>
      <c r="AQ16135" s="19"/>
      <c r="AR16135" s="19"/>
      <c r="AS16135" s="19"/>
      <c r="AT16135" s="19"/>
      <c r="AU16135" s="19"/>
    </row>
    <row r="16136" spans="3:47">
      <c r="C16136" s="20"/>
      <c r="Z16136" s="20"/>
      <c r="AG16136" s="20"/>
      <c r="AQ16136" s="19"/>
      <c r="AR16136" s="19"/>
      <c r="AS16136" s="19"/>
      <c r="AT16136" s="19"/>
      <c r="AU16136" s="19"/>
    </row>
    <row r="16137" spans="3:47">
      <c r="C16137" s="20"/>
      <c r="Z16137" s="20"/>
      <c r="AG16137" s="20"/>
      <c r="AQ16137" s="19"/>
      <c r="AR16137" s="19"/>
      <c r="AS16137" s="19"/>
      <c r="AT16137" s="19"/>
      <c r="AU16137" s="19"/>
    </row>
    <row r="16138" spans="3:47">
      <c r="C16138" s="20"/>
      <c r="Z16138" s="20"/>
      <c r="AG16138" s="20"/>
      <c r="AQ16138" s="19"/>
      <c r="AR16138" s="19"/>
      <c r="AS16138" s="19"/>
      <c r="AT16138" s="19"/>
      <c r="AU16138" s="19"/>
    </row>
    <row r="16139" spans="3:47">
      <c r="C16139" s="20"/>
      <c r="Z16139" s="20"/>
      <c r="AG16139" s="20"/>
      <c r="AQ16139" s="19"/>
      <c r="AR16139" s="19"/>
      <c r="AS16139" s="19"/>
      <c r="AT16139" s="19"/>
      <c r="AU16139" s="19"/>
    </row>
    <row r="16140" spans="3:47">
      <c r="C16140" s="20"/>
      <c r="Z16140" s="20"/>
      <c r="AG16140" s="20"/>
      <c r="AQ16140" s="19"/>
      <c r="AR16140" s="19"/>
      <c r="AS16140" s="19"/>
      <c r="AT16140" s="19"/>
      <c r="AU16140" s="19"/>
    </row>
    <row r="16141" spans="3:47">
      <c r="C16141" s="20"/>
      <c r="Z16141" s="20"/>
      <c r="AG16141" s="20"/>
      <c r="AQ16141" s="19"/>
      <c r="AR16141" s="19"/>
      <c r="AS16141" s="19"/>
      <c r="AT16141" s="19"/>
      <c r="AU16141" s="19"/>
    </row>
    <row r="16142" spans="3:47">
      <c r="C16142" s="20"/>
      <c r="Z16142" s="20"/>
      <c r="AG16142" s="20"/>
      <c r="AQ16142" s="19"/>
      <c r="AR16142" s="19"/>
      <c r="AS16142" s="19"/>
      <c r="AT16142" s="19"/>
      <c r="AU16142" s="19"/>
    </row>
    <row r="16143" spans="3:47">
      <c r="C16143" s="20"/>
      <c r="Z16143" s="20"/>
      <c r="AG16143" s="20"/>
      <c r="AQ16143" s="19"/>
      <c r="AR16143" s="19"/>
      <c r="AS16143" s="19"/>
      <c r="AT16143" s="19"/>
      <c r="AU16143" s="19"/>
    </row>
    <row r="16144" spans="3:47">
      <c r="C16144" s="20"/>
      <c r="Z16144" s="20"/>
      <c r="AG16144" s="20"/>
      <c r="AQ16144" s="19"/>
      <c r="AR16144" s="19"/>
      <c r="AS16144" s="19"/>
      <c r="AT16144" s="19"/>
      <c r="AU16144" s="19"/>
    </row>
    <row r="16145" spans="3:47">
      <c r="C16145" s="20"/>
      <c r="Z16145" s="20"/>
      <c r="AG16145" s="20"/>
      <c r="AQ16145" s="19"/>
      <c r="AR16145" s="19"/>
      <c r="AS16145" s="19"/>
      <c r="AT16145" s="19"/>
      <c r="AU16145" s="19"/>
    </row>
    <row r="16146" spans="3:47">
      <c r="C16146" s="20"/>
      <c r="Z16146" s="20"/>
      <c r="AG16146" s="20"/>
      <c r="AQ16146" s="19"/>
      <c r="AR16146" s="19"/>
      <c r="AS16146" s="19"/>
      <c r="AT16146" s="19"/>
      <c r="AU16146" s="19"/>
    </row>
    <row r="16147" spans="3:47">
      <c r="C16147" s="20"/>
      <c r="Z16147" s="20"/>
      <c r="AG16147" s="20"/>
      <c r="AQ16147" s="19"/>
      <c r="AR16147" s="19"/>
      <c r="AS16147" s="19"/>
      <c r="AT16147" s="19"/>
      <c r="AU16147" s="19"/>
    </row>
    <row r="16148" spans="3:47">
      <c r="C16148" s="20"/>
      <c r="Z16148" s="20"/>
      <c r="AG16148" s="20"/>
      <c r="AQ16148" s="19"/>
      <c r="AR16148" s="19"/>
      <c r="AS16148" s="19"/>
      <c r="AT16148" s="19"/>
      <c r="AU16148" s="19"/>
    </row>
    <row r="16149" spans="3:47">
      <c r="C16149" s="20"/>
      <c r="Z16149" s="20"/>
      <c r="AG16149" s="20"/>
      <c r="AQ16149" s="19"/>
      <c r="AR16149" s="19"/>
      <c r="AS16149" s="19"/>
      <c r="AT16149" s="19"/>
      <c r="AU16149" s="19"/>
    </row>
    <row r="16150" spans="3:47">
      <c r="C16150" s="20"/>
      <c r="Z16150" s="20"/>
      <c r="AG16150" s="20"/>
      <c r="AQ16150" s="19"/>
      <c r="AR16150" s="19"/>
      <c r="AS16150" s="19"/>
      <c r="AT16150" s="19"/>
      <c r="AU16150" s="19"/>
    </row>
    <row r="16151" spans="3:47">
      <c r="C16151" s="20"/>
      <c r="Z16151" s="20"/>
      <c r="AG16151" s="20"/>
      <c r="AQ16151" s="19"/>
      <c r="AR16151" s="19"/>
      <c r="AS16151" s="19"/>
      <c r="AT16151" s="19"/>
      <c r="AU16151" s="19"/>
    </row>
    <row r="16152" spans="3:47">
      <c r="C16152" s="20"/>
      <c r="Z16152" s="20"/>
      <c r="AG16152" s="20"/>
      <c r="AQ16152" s="19"/>
      <c r="AR16152" s="19"/>
      <c r="AS16152" s="19"/>
      <c r="AT16152" s="19"/>
      <c r="AU16152" s="19"/>
    </row>
    <row r="16153" spans="3:47">
      <c r="C16153" s="20"/>
      <c r="Z16153" s="20"/>
      <c r="AG16153" s="20"/>
      <c r="AQ16153" s="19"/>
      <c r="AR16153" s="19"/>
      <c r="AS16153" s="19"/>
      <c r="AT16153" s="19"/>
      <c r="AU16153" s="19"/>
    </row>
    <row r="16154" spans="3:47">
      <c r="C16154" s="20"/>
      <c r="Z16154" s="20"/>
      <c r="AG16154" s="20"/>
      <c r="AQ16154" s="19"/>
      <c r="AR16154" s="19"/>
      <c r="AS16154" s="19"/>
      <c r="AT16154" s="19"/>
      <c r="AU16154" s="19"/>
    </row>
    <row r="16155" spans="3:47">
      <c r="C16155" s="20"/>
      <c r="Z16155" s="20"/>
      <c r="AG16155" s="20"/>
      <c r="AQ16155" s="19"/>
      <c r="AR16155" s="19"/>
      <c r="AS16155" s="19"/>
      <c r="AT16155" s="19"/>
      <c r="AU16155" s="19"/>
    </row>
    <row r="16156" spans="3:47">
      <c r="C16156" s="20"/>
      <c r="Z16156" s="20"/>
      <c r="AG16156" s="20"/>
      <c r="AQ16156" s="19"/>
      <c r="AR16156" s="19"/>
      <c r="AS16156" s="19"/>
      <c r="AT16156" s="19"/>
      <c r="AU16156" s="19"/>
    </row>
    <row r="16157" spans="3:47">
      <c r="C16157" s="20"/>
      <c r="Z16157" s="20"/>
      <c r="AG16157" s="20"/>
      <c r="AQ16157" s="19"/>
      <c r="AR16157" s="19"/>
      <c r="AS16157" s="19"/>
      <c r="AT16157" s="19"/>
      <c r="AU16157" s="19"/>
    </row>
    <row r="16158" spans="3:47">
      <c r="C16158" s="20"/>
      <c r="Z16158" s="20"/>
      <c r="AG16158" s="20"/>
      <c r="AQ16158" s="19"/>
      <c r="AR16158" s="19"/>
      <c r="AS16158" s="19"/>
      <c r="AT16158" s="19"/>
      <c r="AU16158" s="19"/>
    </row>
    <row r="16159" spans="3:47">
      <c r="C16159" s="20"/>
      <c r="Z16159" s="20"/>
      <c r="AG16159" s="20"/>
      <c r="AQ16159" s="19"/>
      <c r="AR16159" s="19"/>
      <c r="AS16159" s="19"/>
      <c r="AT16159" s="19"/>
      <c r="AU16159" s="19"/>
    </row>
    <row r="16160" spans="3:47">
      <c r="C16160" s="20"/>
      <c r="Z16160" s="20"/>
      <c r="AG16160" s="20"/>
      <c r="AQ16160" s="19"/>
      <c r="AR16160" s="19"/>
      <c r="AS16160" s="19"/>
      <c r="AT16160" s="19"/>
      <c r="AU16160" s="19"/>
    </row>
    <row r="16161" spans="3:47">
      <c r="C16161" s="20"/>
      <c r="Z16161" s="20"/>
      <c r="AG16161" s="20"/>
      <c r="AQ16161" s="19"/>
      <c r="AR16161" s="19"/>
      <c r="AS16161" s="19"/>
      <c r="AT16161" s="19"/>
      <c r="AU16161" s="19"/>
    </row>
    <row r="16162" spans="3:47">
      <c r="C16162" s="20"/>
      <c r="Z16162" s="20"/>
      <c r="AG16162" s="20"/>
      <c r="AQ16162" s="19"/>
      <c r="AR16162" s="19"/>
      <c r="AS16162" s="19"/>
      <c r="AT16162" s="19"/>
      <c r="AU16162" s="19"/>
    </row>
    <row r="16163" spans="3:47">
      <c r="C16163" s="20"/>
      <c r="Z16163" s="20"/>
      <c r="AG16163" s="20"/>
      <c r="AQ16163" s="19"/>
      <c r="AR16163" s="19"/>
      <c r="AS16163" s="19"/>
      <c r="AT16163" s="19"/>
      <c r="AU16163" s="19"/>
    </row>
    <row r="16164" spans="3:47">
      <c r="C16164" s="20"/>
      <c r="Z16164" s="20"/>
      <c r="AG16164" s="20"/>
      <c r="AQ16164" s="19"/>
      <c r="AR16164" s="19"/>
      <c r="AS16164" s="19"/>
      <c r="AT16164" s="19"/>
      <c r="AU16164" s="19"/>
    </row>
    <row r="16165" spans="3:47">
      <c r="C16165" s="20"/>
      <c r="Z16165" s="20"/>
      <c r="AG16165" s="20"/>
      <c r="AQ16165" s="19"/>
      <c r="AR16165" s="19"/>
      <c r="AS16165" s="19"/>
      <c r="AT16165" s="19"/>
      <c r="AU16165" s="19"/>
    </row>
    <row r="16166" spans="3:47">
      <c r="C16166" s="20"/>
      <c r="Z16166" s="20"/>
      <c r="AG16166" s="20"/>
      <c r="AQ16166" s="19"/>
      <c r="AR16166" s="19"/>
      <c r="AS16166" s="19"/>
      <c r="AT16166" s="19"/>
      <c r="AU16166" s="19"/>
    </row>
    <row r="16167" spans="3:47">
      <c r="C16167" s="20"/>
      <c r="Z16167" s="20"/>
      <c r="AG16167" s="20"/>
      <c r="AQ16167" s="19"/>
      <c r="AR16167" s="19"/>
      <c r="AS16167" s="19"/>
      <c r="AT16167" s="19"/>
      <c r="AU16167" s="19"/>
    </row>
    <row r="16168" spans="3:47">
      <c r="C16168" s="20"/>
      <c r="Z16168" s="20"/>
      <c r="AG16168" s="20"/>
      <c r="AQ16168" s="19"/>
      <c r="AR16168" s="19"/>
      <c r="AS16168" s="19"/>
      <c r="AT16168" s="19"/>
      <c r="AU16168" s="19"/>
    </row>
    <row r="16169" spans="3:47">
      <c r="C16169" s="20"/>
      <c r="Z16169" s="20"/>
      <c r="AG16169" s="20"/>
      <c r="AQ16169" s="19"/>
      <c r="AR16169" s="19"/>
      <c r="AS16169" s="19"/>
      <c r="AT16169" s="19"/>
      <c r="AU16169" s="19"/>
    </row>
    <row r="16170" spans="3:47">
      <c r="C16170" s="20"/>
      <c r="Z16170" s="20"/>
      <c r="AG16170" s="20"/>
      <c r="AQ16170" s="19"/>
      <c r="AR16170" s="19"/>
      <c r="AS16170" s="19"/>
      <c r="AT16170" s="19"/>
      <c r="AU16170" s="19"/>
    </row>
    <row r="16171" spans="3:47">
      <c r="C16171" s="20"/>
      <c r="Z16171" s="20"/>
      <c r="AG16171" s="20"/>
      <c r="AQ16171" s="19"/>
      <c r="AR16171" s="19"/>
      <c r="AS16171" s="19"/>
      <c r="AT16171" s="19"/>
      <c r="AU16171" s="19"/>
    </row>
    <row r="16172" spans="3:47">
      <c r="C16172" s="20"/>
      <c r="Z16172" s="20"/>
      <c r="AG16172" s="20"/>
      <c r="AQ16172" s="19"/>
      <c r="AR16172" s="19"/>
      <c r="AS16172" s="19"/>
      <c r="AT16172" s="19"/>
      <c r="AU16172" s="19"/>
    </row>
    <row r="16173" spans="3:47">
      <c r="C16173" s="20"/>
      <c r="Z16173" s="20"/>
      <c r="AG16173" s="20"/>
      <c r="AQ16173" s="19"/>
      <c r="AR16173" s="19"/>
      <c r="AS16173" s="19"/>
      <c r="AT16173" s="19"/>
      <c r="AU16173" s="19"/>
    </row>
    <row r="16174" spans="3:47">
      <c r="C16174" s="20"/>
      <c r="Z16174" s="20"/>
      <c r="AG16174" s="20"/>
      <c r="AQ16174" s="19"/>
      <c r="AR16174" s="19"/>
      <c r="AS16174" s="19"/>
      <c r="AT16174" s="19"/>
      <c r="AU16174" s="19"/>
    </row>
    <row r="16175" spans="3:47">
      <c r="C16175" s="20"/>
      <c r="Z16175" s="20"/>
      <c r="AG16175" s="20"/>
      <c r="AQ16175" s="19"/>
      <c r="AR16175" s="19"/>
      <c r="AS16175" s="19"/>
      <c r="AT16175" s="19"/>
      <c r="AU16175" s="19"/>
    </row>
    <row r="16176" spans="3:47">
      <c r="C16176" s="20"/>
      <c r="Z16176" s="20"/>
      <c r="AG16176" s="20"/>
      <c r="AQ16176" s="19"/>
      <c r="AR16176" s="19"/>
      <c r="AS16176" s="19"/>
      <c r="AT16176" s="19"/>
      <c r="AU16176" s="19"/>
    </row>
    <row r="16177" spans="3:47">
      <c r="C16177" s="20"/>
      <c r="Z16177" s="20"/>
      <c r="AG16177" s="20"/>
      <c r="AQ16177" s="19"/>
      <c r="AR16177" s="19"/>
      <c r="AS16177" s="19"/>
      <c r="AT16177" s="19"/>
      <c r="AU16177" s="19"/>
    </row>
    <row r="16178" spans="3:47">
      <c r="C16178" s="20"/>
      <c r="Z16178" s="20"/>
      <c r="AG16178" s="20"/>
      <c r="AQ16178" s="19"/>
      <c r="AR16178" s="19"/>
      <c r="AS16178" s="19"/>
      <c r="AT16178" s="19"/>
      <c r="AU16178" s="19"/>
    </row>
    <row r="16179" spans="3:47">
      <c r="C16179" s="20"/>
      <c r="Z16179" s="20"/>
      <c r="AG16179" s="20"/>
      <c r="AQ16179" s="19"/>
      <c r="AR16179" s="19"/>
      <c r="AS16179" s="19"/>
      <c r="AT16179" s="19"/>
      <c r="AU16179" s="19"/>
    </row>
    <row r="16180" spans="3:47">
      <c r="C16180" s="20"/>
      <c r="Z16180" s="20"/>
      <c r="AG16180" s="20"/>
      <c r="AQ16180" s="19"/>
      <c r="AR16180" s="19"/>
      <c r="AS16180" s="19"/>
      <c r="AT16180" s="19"/>
      <c r="AU16180" s="19"/>
    </row>
    <row r="16181" spans="3:47">
      <c r="C16181" s="20"/>
      <c r="Z16181" s="20"/>
      <c r="AG16181" s="20"/>
      <c r="AQ16181" s="19"/>
      <c r="AR16181" s="19"/>
      <c r="AS16181" s="19"/>
      <c r="AT16181" s="19"/>
      <c r="AU16181" s="19"/>
    </row>
    <row r="16182" spans="3:47">
      <c r="C16182" s="20"/>
      <c r="Z16182" s="20"/>
      <c r="AG16182" s="20"/>
      <c r="AQ16182" s="19"/>
      <c r="AR16182" s="19"/>
      <c r="AS16182" s="19"/>
      <c r="AT16182" s="19"/>
      <c r="AU16182" s="19"/>
    </row>
    <row r="16183" spans="3:47">
      <c r="C16183" s="20"/>
      <c r="Z16183" s="20"/>
      <c r="AG16183" s="20"/>
      <c r="AQ16183" s="19"/>
      <c r="AR16183" s="19"/>
      <c r="AS16183" s="19"/>
      <c r="AT16183" s="19"/>
      <c r="AU16183" s="19"/>
    </row>
    <row r="16184" spans="3:47">
      <c r="C16184" s="20"/>
      <c r="Z16184" s="20"/>
      <c r="AG16184" s="20"/>
      <c r="AQ16184" s="19"/>
      <c r="AR16184" s="19"/>
      <c r="AS16184" s="19"/>
      <c r="AT16184" s="19"/>
      <c r="AU16184" s="19"/>
    </row>
    <row r="16185" spans="3:47">
      <c r="C16185" s="20"/>
      <c r="Z16185" s="20"/>
      <c r="AG16185" s="20"/>
      <c r="AQ16185" s="19"/>
      <c r="AR16185" s="19"/>
      <c r="AS16185" s="19"/>
      <c r="AT16185" s="19"/>
      <c r="AU16185" s="19"/>
    </row>
    <row r="16186" spans="3:47">
      <c r="C16186" s="20"/>
      <c r="Z16186" s="20"/>
      <c r="AG16186" s="20"/>
      <c r="AQ16186" s="19"/>
      <c r="AR16186" s="19"/>
      <c r="AS16186" s="19"/>
      <c r="AT16186" s="19"/>
      <c r="AU16186" s="19"/>
    </row>
    <row r="16187" spans="3:47">
      <c r="C16187" s="20"/>
      <c r="Z16187" s="20"/>
      <c r="AG16187" s="20"/>
      <c r="AQ16187" s="19"/>
      <c r="AR16187" s="19"/>
      <c r="AS16187" s="19"/>
      <c r="AT16187" s="19"/>
      <c r="AU16187" s="19"/>
    </row>
    <row r="16188" spans="3:47">
      <c r="C16188" s="20"/>
      <c r="Z16188" s="20"/>
      <c r="AG16188" s="20"/>
      <c r="AQ16188" s="19"/>
      <c r="AR16188" s="19"/>
      <c r="AS16188" s="19"/>
      <c r="AT16188" s="19"/>
      <c r="AU16188" s="19"/>
    </row>
    <row r="16189" spans="3:47">
      <c r="C16189" s="20"/>
      <c r="Z16189" s="20"/>
      <c r="AG16189" s="20"/>
      <c r="AQ16189" s="19"/>
      <c r="AR16189" s="19"/>
      <c r="AS16189" s="19"/>
      <c r="AT16189" s="19"/>
      <c r="AU16189" s="19"/>
    </row>
    <row r="16190" spans="3:47">
      <c r="C16190" s="20"/>
      <c r="Z16190" s="20"/>
      <c r="AG16190" s="20"/>
      <c r="AQ16190" s="19"/>
      <c r="AR16190" s="19"/>
      <c r="AS16190" s="19"/>
      <c r="AT16190" s="19"/>
      <c r="AU16190" s="19"/>
    </row>
    <row r="16191" spans="3:47">
      <c r="C16191" s="20"/>
      <c r="Z16191" s="20"/>
      <c r="AG16191" s="20"/>
      <c r="AQ16191" s="19"/>
      <c r="AR16191" s="19"/>
      <c r="AS16191" s="19"/>
      <c r="AT16191" s="19"/>
      <c r="AU16191" s="19"/>
    </row>
    <row r="16192" spans="3:47">
      <c r="C16192" s="20"/>
      <c r="Z16192" s="20"/>
      <c r="AG16192" s="20"/>
      <c r="AQ16192" s="19"/>
      <c r="AR16192" s="19"/>
      <c r="AS16192" s="19"/>
      <c r="AT16192" s="19"/>
      <c r="AU16192" s="19"/>
    </row>
    <row r="16193" spans="3:47">
      <c r="C16193" s="20"/>
      <c r="Z16193" s="20"/>
      <c r="AG16193" s="20"/>
      <c r="AQ16193" s="19"/>
      <c r="AR16193" s="19"/>
      <c r="AS16193" s="19"/>
      <c r="AT16193" s="19"/>
      <c r="AU16193" s="19"/>
    </row>
    <row r="16194" spans="3:47">
      <c r="C16194" s="20"/>
      <c r="Z16194" s="20"/>
      <c r="AG16194" s="20"/>
      <c r="AQ16194" s="19"/>
      <c r="AR16194" s="19"/>
      <c r="AS16194" s="19"/>
      <c r="AT16194" s="19"/>
      <c r="AU16194" s="19"/>
    </row>
    <row r="16195" spans="3:47">
      <c r="C16195" s="20"/>
      <c r="Z16195" s="20"/>
      <c r="AG16195" s="20"/>
      <c r="AQ16195" s="19"/>
      <c r="AR16195" s="19"/>
      <c r="AS16195" s="19"/>
      <c r="AT16195" s="19"/>
      <c r="AU16195" s="19"/>
    </row>
    <row r="16196" spans="3:47">
      <c r="C16196" s="20"/>
      <c r="Z16196" s="20"/>
      <c r="AG16196" s="20"/>
      <c r="AQ16196" s="19"/>
      <c r="AR16196" s="19"/>
      <c r="AS16196" s="19"/>
      <c r="AT16196" s="19"/>
      <c r="AU16196" s="19"/>
    </row>
    <row r="16197" spans="3:47">
      <c r="C16197" s="20"/>
      <c r="Z16197" s="20"/>
      <c r="AG16197" s="20"/>
      <c r="AQ16197" s="19"/>
      <c r="AR16197" s="19"/>
      <c r="AS16197" s="19"/>
      <c r="AT16197" s="19"/>
      <c r="AU16197" s="19"/>
    </row>
    <row r="16198" spans="3:47">
      <c r="C16198" s="20"/>
      <c r="Z16198" s="20"/>
      <c r="AG16198" s="20"/>
      <c r="AQ16198" s="19"/>
      <c r="AR16198" s="19"/>
      <c r="AS16198" s="19"/>
      <c r="AT16198" s="19"/>
      <c r="AU16198" s="19"/>
    </row>
    <row r="16199" spans="3:47">
      <c r="C16199" s="20"/>
      <c r="Z16199" s="20"/>
      <c r="AG16199" s="20"/>
      <c r="AQ16199" s="19"/>
      <c r="AR16199" s="19"/>
      <c r="AS16199" s="19"/>
      <c r="AT16199" s="19"/>
      <c r="AU16199" s="19"/>
    </row>
    <row r="16200" spans="3:47">
      <c r="C16200" s="20"/>
      <c r="Z16200" s="20"/>
      <c r="AG16200" s="20"/>
      <c r="AQ16200" s="19"/>
      <c r="AR16200" s="19"/>
      <c r="AS16200" s="19"/>
      <c r="AT16200" s="19"/>
      <c r="AU16200" s="19"/>
    </row>
    <row r="16201" spans="3:47">
      <c r="C16201" s="20"/>
      <c r="Z16201" s="20"/>
      <c r="AG16201" s="20"/>
      <c r="AQ16201" s="19"/>
      <c r="AR16201" s="19"/>
      <c r="AS16201" s="19"/>
      <c r="AT16201" s="19"/>
      <c r="AU16201" s="19"/>
    </row>
    <row r="16202" spans="3:47">
      <c r="C16202" s="20"/>
      <c r="Z16202" s="20"/>
      <c r="AG16202" s="20"/>
      <c r="AQ16202" s="19"/>
      <c r="AR16202" s="19"/>
      <c r="AS16202" s="19"/>
      <c r="AT16202" s="19"/>
      <c r="AU16202" s="19"/>
    </row>
    <row r="16203" spans="3:47">
      <c r="C16203" s="20"/>
      <c r="Z16203" s="20"/>
      <c r="AG16203" s="20"/>
      <c r="AQ16203" s="19"/>
      <c r="AR16203" s="19"/>
      <c r="AS16203" s="19"/>
      <c r="AT16203" s="19"/>
      <c r="AU16203" s="19"/>
    </row>
    <row r="16204" spans="3:47">
      <c r="C16204" s="20"/>
      <c r="Z16204" s="20"/>
      <c r="AG16204" s="20"/>
      <c r="AQ16204" s="19"/>
      <c r="AR16204" s="19"/>
      <c r="AS16204" s="19"/>
      <c r="AT16204" s="19"/>
      <c r="AU16204" s="19"/>
    </row>
    <row r="16205" spans="3:47">
      <c r="C16205" s="20"/>
      <c r="Z16205" s="20"/>
      <c r="AG16205" s="20"/>
      <c r="AQ16205" s="19"/>
      <c r="AR16205" s="19"/>
      <c r="AS16205" s="19"/>
      <c r="AT16205" s="19"/>
      <c r="AU16205" s="19"/>
    </row>
    <row r="16206" spans="3:47">
      <c r="C16206" s="20"/>
      <c r="Z16206" s="20"/>
      <c r="AG16206" s="20"/>
      <c r="AQ16206" s="19"/>
      <c r="AR16206" s="19"/>
      <c r="AS16206" s="19"/>
      <c r="AT16206" s="19"/>
      <c r="AU16206" s="19"/>
    </row>
    <row r="16207" spans="3:47">
      <c r="C16207" s="20"/>
      <c r="Z16207" s="20"/>
      <c r="AG16207" s="20"/>
      <c r="AQ16207" s="19"/>
      <c r="AR16207" s="19"/>
      <c r="AS16207" s="19"/>
      <c r="AT16207" s="19"/>
      <c r="AU16207" s="19"/>
    </row>
    <row r="16208" spans="3:47">
      <c r="C16208" s="20"/>
      <c r="Z16208" s="20"/>
      <c r="AG16208" s="20"/>
      <c r="AQ16208" s="19"/>
      <c r="AR16208" s="19"/>
      <c r="AS16208" s="19"/>
      <c r="AT16208" s="19"/>
      <c r="AU16208" s="19"/>
    </row>
    <row r="16209" spans="3:47">
      <c r="C16209" s="20"/>
      <c r="Z16209" s="20"/>
      <c r="AG16209" s="20"/>
      <c r="AQ16209" s="19"/>
      <c r="AR16209" s="19"/>
      <c r="AS16209" s="19"/>
      <c r="AT16209" s="19"/>
      <c r="AU16209" s="19"/>
    </row>
    <row r="16210" spans="3:47">
      <c r="C16210" s="20"/>
      <c r="Z16210" s="20"/>
      <c r="AG16210" s="20"/>
      <c r="AQ16210" s="19"/>
      <c r="AR16210" s="19"/>
      <c r="AS16210" s="19"/>
      <c r="AT16210" s="19"/>
      <c r="AU16210" s="19"/>
    </row>
    <row r="16211" spans="3:47">
      <c r="C16211" s="20"/>
      <c r="Z16211" s="20"/>
      <c r="AG16211" s="20"/>
      <c r="AQ16211" s="19"/>
      <c r="AR16211" s="19"/>
      <c r="AS16211" s="19"/>
      <c r="AT16211" s="19"/>
      <c r="AU16211" s="19"/>
    </row>
    <row r="16212" spans="3:47">
      <c r="C16212" s="20"/>
      <c r="Z16212" s="20"/>
      <c r="AG16212" s="20"/>
      <c r="AQ16212" s="19"/>
      <c r="AR16212" s="19"/>
      <c r="AS16212" s="19"/>
      <c r="AT16212" s="19"/>
      <c r="AU16212" s="19"/>
    </row>
    <row r="16213" spans="3:47">
      <c r="C16213" s="20"/>
      <c r="Z16213" s="20"/>
      <c r="AG16213" s="20"/>
      <c r="AQ16213" s="19"/>
      <c r="AR16213" s="19"/>
      <c r="AS16213" s="19"/>
      <c r="AT16213" s="19"/>
      <c r="AU16213" s="19"/>
    </row>
    <row r="16214" spans="3:47">
      <c r="C16214" s="20"/>
      <c r="Z16214" s="20"/>
      <c r="AG16214" s="20"/>
      <c r="AQ16214" s="19"/>
      <c r="AR16214" s="19"/>
      <c r="AS16214" s="19"/>
      <c r="AT16214" s="19"/>
      <c r="AU16214" s="19"/>
    </row>
    <row r="16215" spans="3:47">
      <c r="C16215" s="20"/>
      <c r="Z16215" s="20"/>
      <c r="AG16215" s="20"/>
      <c r="AQ16215" s="19"/>
      <c r="AR16215" s="19"/>
      <c r="AS16215" s="19"/>
      <c r="AT16215" s="19"/>
      <c r="AU16215" s="19"/>
    </row>
    <row r="16216" spans="3:47">
      <c r="C16216" s="20"/>
      <c r="Z16216" s="20"/>
      <c r="AG16216" s="20"/>
      <c r="AQ16216" s="19"/>
      <c r="AR16216" s="19"/>
      <c r="AS16216" s="19"/>
      <c r="AT16216" s="19"/>
      <c r="AU16216" s="19"/>
    </row>
    <row r="16217" spans="3:47">
      <c r="C16217" s="20"/>
      <c r="Z16217" s="20"/>
      <c r="AG16217" s="20"/>
      <c r="AQ16217" s="19"/>
      <c r="AR16217" s="19"/>
      <c r="AS16217" s="19"/>
      <c r="AT16217" s="19"/>
      <c r="AU16217" s="19"/>
    </row>
    <row r="16218" spans="3:47">
      <c r="C16218" s="20"/>
      <c r="Z16218" s="20"/>
      <c r="AG16218" s="20"/>
      <c r="AQ16218" s="19"/>
      <c r="AR16218" s="19"/>
      <c r="AS16218" s="19"/>
      <c r="AT16218" s="19"/>
      <c r="AU16218" s="19"/>
    </row>
    <row r="16219" spans="3:47">
      <c r="C16219" s="20"/>
      <c r="Z16219" s="20"/>
      <c r="AG16219" s="20"/>
      <c r="AQ16219" s="19"/>
      <c r="AR16219" s="19"/>
      <c r="AS16219" s="19"/>
      <c r="AT16219" s="19"/>
      <c r="AU16219" s="19"/>
    </row>
    <row r="16220" spans="3:47">
      <c r="C16220" s="20"/>
      <c r="Z16220" s="20"/>
      <c r="AG16220" s="20"/>
      <c r="AQ16220" s="19"/>
      <c r="AR16220" s="19"/>
      <c r="AS16220" s="19"/>
      <c r="AT16220" s="19"/>
      <c r="AU16220" s="19"/>
    </row>
    <row r="16221" spans="3:47">
      <c r="C16221" s="20"/>
      <c r="Z16221" s="20"/>
      <c r="AG16221" s="20"/>
      <c r="AQ16221" s="19"/>
      <c r="AR16221" s="19"/>
      <c r="AS16221" s="19"/>
      <c r="AT16221" s="19"/>
      <c r="AU16221" s="19"/>
    </row>
    <row r="16222" spans="3:47">
      <c r="C16222" s="20"/>
      <c r="Z16222" s="20"/>
      <c r="AG16222" s="20"/>
      <c r="AQ16222" s="19"/>
      <c r="AR16222" s="19"/>
      <c r="AS16222" s="19"/>
      <c r="AT16222" s="19"/>
      <c r="AU16222" s="19"/>
    </row>
    <row r="16223" spans="3:47">
      <c r="C16223" s="20"/>
      <c r="Z16223" s="20"/>
      <c r="AG16223" s="20"/>
      <c r="AQ16223" s="19"/>
      <c r="AR16223" s="19"/>
      <c r="AS16223" s="19"/>
      <c r="AT16223" s="19"/>
      <c r="AU16223" s="19"/>
    </row>
    <row r="16224" spans="3:47">
      <c r="C16224" s="20"/>
      <c r="Z16224" s="20"/>
      <c r="AG16224" s="20"/>
      <c r="AQ16224" s="19"/>
      <c r="AR16224" s="19"/>
      <c r="AS16224" s="19"/>
      <c r="AT16224" s="19"/>
      <c r="AU16224" s="19"/>
    </row>
    <row r="16225" spans="3:47">
      <c r="C16225" s="20"/>
      <c r="Z16225" s="20"/>
      <c r="AG16225" s="20"/>
      <c r="AQ16225" s="19"/>
      <c r="AR16225" s="19"/>
      <c r="AS16225" s="19"/>
      <c r="AT16225" s="19"/>
      <c r="AU16225" s="19"/>
    </row>
    <row r="16226" spans="3:47">
      <c r="C16226" s="20"/>
      <c r="Z16226" s="20"/>
      <c r="AG16226" s="20"/>
      <c r="AQ16226" s="19"/>
      <c r="AR16226" s="19"/>
      <c r="AS16226" s="19"/>
      <c r="AT16226" s="19"/>
      <c r="AU16226" s="19"/>
    </row>
    <row r="16227" spans="3:47">
      <c r="C16227" s="20"/>
      <c r="Z16227" s="20"/>
      <c r="AG16227" s="20"/>
      <c r="AQ16227" s="19"/>
      <c r="AR16227" s="19"/>
      <c r="AS16227" s="19"/>
      <c r="AT16227" s="19"/>
      <c r="AU16227" s="19"/>
    </row>
    <row r="16228" spans="3:47">
      <c r="C16228" s="20"/>
      <c r="Z16228" s="20"/>
      <c r="AG16228" s="20"/>
      <c r="AQ16228" s="19"/>
      <c r="AR16228" s="19"/>
      <c r="AS16228" s="19"/>
      <c r="AT16228" s="19"/>
      <c r="AU16228" s="19"/>
    </row>
    <row r="16229" spans="3:47">
      <c r="C16229" s="20"/>
      <c r="Z16229" s="20"/>
      <c r="AG16229" s="20"/>
      <c r="AQ16229" s="19"/>
      <c r="AR16229" s="19"/>
      <c r="AS16229" s="19"/>
      <c r="AT16229" s="19"/>
      <c r="AU16229" s="19"/>
    </row>
    <row r="16230" spans="3:47">
      <c r="C16230" s="20"/>
      <c r="Z16230" s="20"/>
      <c r="AG16230" s="20"/>
      <c r="AQ16230" s="19"/>
      <c r="AR16230" s="19"/>
      <c r="AS16230" s="19"/>
      <c r="AT16230" s="19"/>
      <c r="AU16230" s="19"/>
    </row>
    <row r="16231" spans="3:47">
      <c r="C16231" s="20"/>
      <c r="Z16231" s="20"/>
      <c r="AG16231" s="20"/>
      <c r="AQ16231" s="19"/>
      <c r="AR16231" s="19"/>
      <c r="AS16231" s="19"/>
      <c r="AT16231" s="19"/>
      <c r="AU16231" s="19"/>
    </row>
    <row r="16232" spans="3:47">
      <c r="C16232" s="20"/>
      <c r="Z16232" s="20"/>
      <c r="AG16232" s="20"/>
      <c r="AQ16232" s="19"/>
      <c r="AR16232" s="19"/>
      <c r="AS16232" s="19"/>
      <c r="AT16232" s="19"/>
      <c r="AU16232" s="19"/>
    </row>
    <row r="16233" spans="3:47">
      <c r="C16233" s="20"/>
      <c r="Z16233" s="20"/>
      <c r="AG16233" s="20"/>
      <c r="AQ16233" s="19"/>
      <c r="AR16233" s="19"/>
      <c r="AS16233" s="19"/>
      <c r="AT16233" s="19"/>
      <c r="AU16233" s="19"/>
    </row>
    <row r="16234" spans="3:47">
      <c r="C16234" s="20"/>
      <c r="Z16234" s="20"/>
      <c r="AG16234" s="20"/>
      <c r="AQ16234" s="19"/>
      <c r="AR16234" s="19"/>
      <c r="AS16234" s="19"/>
      <c r="AT16234" s="19"/>
      <c r="AU16234" s="19"/>
    </row>
    <row r="16235" spans="3:47">
      <c r="C16235" s="20"/>
      <c r="Z16235" s="20"/>
      <c r="AG16235" s="20"/>
      <c r="AQ16235" s="19"/>
      <c r="AR16235" s="19"/>
      <c r="AS16235" s="19"/>
      <c r="AT16235" s="19"/>
      <c r="AU16235" s="19"/>
    </row>
    <row r="16236" spans="3:47">
      <c r="C16236" s="20"/>
      <c r="Z16236" s="20"/>
      <c r="AG16236" s="20"/>
      <c r="AQ16236" s="19"/>
      <c r="AR16236" s="19"/>
      <c r="AS16236" s="19"/>
      <c r="AT16236" s="19"/>
      <c r="AU16236" s="19"/>
    </row>
    <row r="16237" spans="3:47">
      <c r="C16237" s="20"/>
      <c r="Z16237" s="20"/>
      <c r="AG16237" s="20"/>
      <c r="AQ16237" s="19"/>
      <c r="AR16237" s="19"/>
      <c r="AS16237" s="19"/>
      <c r="AT16237" s="19"/>
      <c r="AU16237" s="19"/>
    </row>
    <row r="16238" spans="3:47">
      <c r="C16238" s="20"/>
      <c r="Z16238" s="20"/>
      <c r="AG16238" s="20"/>
      <c r="AQ16238" s="19"/>
      <c r="AR16238" s="19"/>
      <c r="AS16238" s="19"/>
      <c r="AT16238" s="19"/>
      <c r="AU16238" s="19"/>
    </row>
    <row r="16239" spans="3:47">
      <c r="C16239" s="20"/>
      <c r="Z16239" s="20"/>
      <c r="AG16239" s="20"/>
      <c r="AQ16239" s="19"/>
      <c r="AR16239" s="19"/>
      <c r="AS16239" s="19"/>
      <c r="AT16239" s="19"/>
      <c r="AU16239" s="19"/>
    </row>
    <row r="16240" spans="3:47">
      <c r="C16240" s="20"/>
      <c r="Z16240" s="20"/>
      <c r="AG16240" s="20"/>
      <c r="AQ16240" s="19"/>
      <c r="AR16240" s="19"/>
      <c r="AS16240" s="19"/>
      <c r="AT16240" s="19"/>
      <c r="AU16240" s="19"/>
    </row>
    <row r="16241" spans="3:47">
      <c r="C16241" s="20"/>
      <c r="Z16241" s="20"/>
      <c r="AG16241" s="20"/>
      <c r="AQ16241" s="19"/>
      <c r="AR16241" s="19"/>
      <c r="AS16241" s="19"/>
      <c r="AT16241" s="19"/>
      <c r="AU16241" s="19"/>
    </row>
    <row r="16242" spans="3:47">
      <c r="C16242" s="20"/>
      <c r="Z16242" s="20"/>
      <c r="AG16242" s="20"/>
      <c r="AQ16242" s="19"/>
      <c r="AR16242" s="19"/>
      <c r="AS16242" s="19"/>
      <c r="AT16242" s="19"/>
      <c r="AU16242" s="19"/>
    </row>
    <row r="16243" spans="3:47">
      <c r="C16243" s="20"/>
      <c r="Z16243" s="20"/>
      <c r="AG16243" s="20"/>
      <c r="AQ16243" s="19"/>
      <c r="AR16243" s="19"/>
      <c r="AS16243" s="19"/>
      <c r="AT16243" s="19"/>
      <c r="AU16243" s="19"/>
    </row>
    <row r="16244" spans="3:47">
      <c r="C16244" s="20"/>
      <c r="Z16244" s="20"/>
      <c r="AG16244" s="20"/>
      <c r="AQ16244" s="19"/>
      <c r="AR16244" s="19"/>
      <c r="AS16244" s="19"/>
      <c r="AT16244" s="19"/>
      <c r="AU16244" s="19"/>
    </row>
    <row r="16245" spans="3:47">
      <c r="C16245" s="20"/>
      <c r="Z16245" s="20"/>
      <c r="AG16245" s="20"/>
      <c r="AQ16245" s="19"/>
      <c r="AR16245" s="19"/>
      <c r="AS16245" s="19"/>
      <c r="AT16245" s="19"/>
      <c r="AU16245" s="19"/>
    </row>
    <row r="16246" spans="3:47">
      <c r="C16246" s="20"/>
      <c r="Z16246" s="20"/>
      <c r="AG16246" s="20"/>
      <c r="AQ16246" s="19"/>
      <c r="AR16246" s="19"/>
      <c r="AS16246" s="19"/>
      <c r="AT16246" s="19"/>
      <c r="AU16246" s="19"/>
    </row>
    <row r="16247" spans="3:47">
      <c r="C16247" s="20"/>
      <c r="Z16247" s="20"/>
      <c r="AG16247" s="20"/>
      <c r="AQ16247" s="19"/>
      <c r="AR16247" s="19"/>
      <c r="AS16247" s="19"/>
      <c r="AT16247" s="19"/>
      <c r="AU16247" s="19"/>
    </row>
    <row r="16248" spans="3:47">
      <c r="C16248" s="20"/>
      <c r="Z16248" s="20"/>
      <c r="AG16248" s="20"/>
      <c r="AQ16248" s="19"/>
      <c r="AR16248" s="19"/>
      <c r="AS16248" s="19"/>
      <c r="AT16248" s="19"/>
      <c r="AU16248" s="19"/>
    </row>
    <row r="16249" spans="3:47">
      <c r="C16249" s="20"/>
      <c r="Z16249" s="20"/>
      <c r="AG16249" s="20"/>
      <c r="AQ16249" s="19"/>
      <c r="AR16249" s="19"/>
      <c r="AS16249" s="19"/>
      <c r="AT16249" s="19"/>
      <c r="AU16249" s="19"/>
    </row>
    <row r="16250" spans="3:47">
      <c r="C16250" s="20"/>
      <c r="Z16250" s="20"/>
      <c r="AG16250" s="20"/>
      <c r="AQ16250" s="19"/>
      <c r="AR16250" s="19"/>
      <c r="AS16250" s="19"/>
      <c r="AT16250" s="19"/>
      <c r="AU16250" s="19"/>
    </row>
    <row r="16251" spans="3:47">
      <c r="C16251" s="20"/>
      <c r="Z16251" s="20"/>
      <c r="AG16251" s="20"/>
      <c r="AQ16251" s="19"/>
      <c r="AR16251" s="19"/>
      <c r="AS16251" s="19"/>
      <c r="AT16251" s="19"/>
      <c r="AU16251" s="19"/>
    </row>
    <row r="16252" spans="3:47">
      <c r="C16252" s="20"/>
      <c r="Z16252" s="20"/>
      <c r="AG16252" s="20"/>
      <c r="AQ16252" s="19"/>
      <c r="AR16252" s="19"/>
      <c r="AS16252" s="19"/>
      <c r="AT16252" s="19"/>
      <c r="AU16252" s="19"/>
    </row>
    <row r="16253" spans="3:47">
      <c r="C16253" s="20"/>
      <c r="Z16253" s="20"/>
      <c r="AG16253" s="20"/>
      <c r="AQ16253" s="19"/>
      <c r="AR16253" s="19"/>
      <c r="AS16253" s="19"/>
      <c r="AT16253" s="19"/>
      <c r="AU16253" s="19"/>
    </row>
    <row r="16254" spans="3:47">
      <c r="C16254" s="20"/>
      <c r="Z16254" s="20"/>
      <c r="AG16254" s="20"/>
      <c r="AQ16254" s="19"/>
      <c r="AR16254" s="19"/>
      <c r="AS16254" s="19"/>
      <c r="AT16254" s="19"/>
      <c r="AU16254" s="19"/>
    </row>
    <row r="16255" spans="3:47">
      <c r="C16255" s="20"/>
      <c r="Z16255" s="20"/>
      <c r="AG16255" s="20"/>
      <c r="AQ16255" s="19"/>
      <c r="AR16255" s="19"/>
      <c r="AS16255" s="19"/>
      <c r="AT16255" s="19"/>
      <c r="AU16255" s="19"/>
    </row>
    <row r="16256" spans="3:47">
      <c r="C16256" s="20"/>
      <c r="Z16256" s="20"/>
      <c r="AG16256" s="20"/>
      <c r="AQ16256" s="19"/>
      <c r="AR16256" s="19"/>
      <c r="AS16256" s="19"/>
      <c r="AT16256" s="19"/>
      <c r="AU16256" s="19"/>
    </row>
    <row r="16257" spans="3:47">
      <c r="C16257" s="20"/>
      <c r="Z16257" s="20"/>
      <c r="AG16257" s="20"/>
      <c r="AQ16257" s="19"/>
      <c r="AR16257" s="19"/>
      <c r="AS16257" s="19"/>
      <c r="AT16257" s="19"/>
      <c r="AU16257" s="19"/>
    </row>
    <row r="16258" spans="3:47">
      <c r="C16258" s="20"/>
      <c r="Z16258" s="20"/>
      <c r="AG16258" s="20"/>
      <c r="AQ16258" s="19"/>
      <c r="AR16258" s="19"/>
      <c r="AS16258" s="19"/>
      <c r="AT16258" s="19"/>
      <c r="AU16258" s="19"/>
    </row>
    <row r="16259" spans="3:47">
      <c r="C16259" s="20"/>
      <c r="Z16259" s="20"/>
      <c r="AG16259" s="20"/>
      <c r="AQ16259" s="19"/>
      <c r="AR16259" s="19"/>
      <c r="AS16259" s="19"/>
      <c r="AT16259" s="19"/>
      <c r="AU16259" s="19"/>
    </row>
    <row r="16260" spans="3:47">
      <c r="C16260" s="20"/>
      <c r="Z16260" s="20"/>
      <c r="AG16260" s="20"/>
      <c r="AQ16260" s="19"/>
      <c r="AR16260" s="19"/>
      <c r="AS16260" s="19"/>
      <c r="AT16260" s="19"/>
      <c r="AU16260" s="19"/>
    </row>
    <row r="16261" spans="3:47">
      <c r="C16261" s="20"/>
      <c r="Z16261" s="20"/>
      <c r="AG16261" s="20"/>
      <c r="AQ16261" s="19"/>
      <c r="AR16261" s="19"/>
      <c r="AS16261" s="19"/>
      <c r="AT16261" s="19"/>
      <c r="AU16261" s="19"/>
    </row>
    <row r="16262" spans="3:47">
      <c r="C16262" s="20"/>
      <c r="Z16262" s="20"/>
      <c r="AG16262" s="20"/>
      <c r="AQ16262" s="19"/>
      <c r="AR16262" s="19"/>
      <c r="AS16262" s="19"/>
      <c r="AT16262" s="19"/>
      <c r="AU16262" s="19"/>
    </row>
    <row r="16263" spans="3:47">
      <c r="C16263" s="20"/>
      <c r="Z16263" s="20"/>
      <c r="AG16263" s="20"/>
      <c r="AQ16263" s="19"/>
      <c r="AR16263" s="19"/>
      <c r="AS16263" s="19"/>
      <c r="AT16263" s="19"/>
      <c r="AU16263" s="19"/>
    </row>
    <row r="16264" spans="3:47">
      <c r="C16264" s="20"/>
      <c r="Z16264" s="20"/>
      <c r="AG16264" s="20"/>
      <c r="AQ16264" s="19"/>
      <c r="AR16264" s="19"/>
      <c r="AS16264" s="19"/>
      <c r="AT16264" s="19"/>
      <c r="AU16264" s="19"/>
    </row>
    <row r="16265" spans="3:47">
      <c r="C16265" s="20"/>
      <c r="Z16265" s="20"/>
      <c r="AG16265" s="20"/>
      <c r="AQ16265" s="19"/>
      <c r="AR16265" s="19"/>
      <c r="AS16265" s="19"/>
      <c r="AT16265" s="19"/>
      <c r="AU16265" s="19"/>
    </row>
    <row r="16266" spans="3:47">
      <c r="C16266" s="20"/>
      <c r="Z16266" s="20"/>
      <c r="AG16266" s="20"/>
      <c r="AQ16266" s="19"/>
      <c r="AR16266" s="19"/>
      <c r="AS16266" s="19"/>
      <c r="AT16266" s="19"/>
      <c r="AU16266" s="19"/>
    </row>
    <row r="16267" spans="3:47">
      <c r="C16267" s="20"/>
      <c r="Z16267" s="20"/>
      <c r="AG16267" s="20"/>
      <c r="AQ16267" s="19"/>
      <c r="AR16267" s="19"/>
      <c r="AS16267" s="19"/>
      <c r="AT16267" s="19"/>
      <c r="AU16267" s="19"/>
    </row>
    <row r="16268" spans="3:47">
      <c r="C16268" s="20"/>
      <c r="Z16268" s="20"/>
      <c r="AG16268" s="20"/>
      <c r="AQ16268" s="19"/>
      <c r="AR16268" s="19"/>
      <c r="AS16268" s="19"/>
      <c r="AT16268" s="19"/>
      <c r="AU16268" s="19"/>
    </row>
    <row r="16269" spans="3:47">
      <c r="C16269" s="20"/>
      <c r="Z16269" s="20"/>
      <c r="AG16269" s="20"/>
      <c r="AQ16269" s="19"/>
      <c r="AR16269" s="19"/>
      <c r="AS16269" s="19"/>
      <c r="AT16269" s="19"/>
      <c r="AU16269" s="19"/>
    </row>
    <row r="16270" spans="3:47">
      <c r="C16270" s="20"/>
      <c r="Z16270" s="20"/>
      <c r="AG16270" s="20"/>
      <c r="AQ16270" s="19"/>
      <c r="AR16270" s="19"/>
      <c r="AS16270" s="19"/>
      <c r="AT16270" s="19"/>
      <c r="AU16270" s="19"/>
    </row>
    <row r="16271" spans="3:47">
      <c r="C16271" s="20"/>
      <c r="Z16271" s="20"/>
      <c r="AG16271" s="20"/>
      <c r="AQ16271" s="19"/>
      <c r="AR16271" s="19"/>
      <c r="AS16271" s="19"/>
      <c r="AT16271" s="19"/>
      <c r="AU16271" s="19"/>
    </row>
    <row r="16272" spans="3:47">
      <c r="C16272" s="20"/>
      <c r="Z16272" s="20"/>
      <c r="AG16272" s="20"/>
      <c r="AQ16272" s="19"/>
      <c r="AR16272" s="19"/>
      <c r="AS16272" s="19"/>
      <c r="AT16272" s="19"/>
      <c r="AU16272" s="19"/>
    </row>
    <row r="16273" spans="3:47">
      <c r="C16273" s="20"/>
      <c r="Z16273" s="20"/>
      <c r="AG16273" s="20"/>
      <c r="AQ16273" s="19"/>
      <c r="AR16273" s="19"/>
      <c r="AS16273" s="19"/>
      <c r="AT16273" s="19"/>
      <c r="AU16273" s="19"/>
    </row>
    <row r="16274" spans="3:47">
      <c r="C16274" s="20"/>
      <c r="Z16274" s="20"/>
      <c r="AG16274" s="20"/>
      <c r="AQ16274" s="19"/>
      <c r="AR16274" s="19"/>
      <c r="AS16274" s="19"/>
      <c r="AT16274" s="19"/>
      <c r="AU16274" s="19"/>
    </row>
    <row r="16275" spans="3:47">
      <c r="C16275" s="20"/>
      <c r="Z16275" s="20"/>
      <c r="AG16275" s="20"/>
      <c r="AQ16275" s="19"/>
      <c r="AR16275" s="19"/>
      <c r="AS16275" s="19"/>
      <c r="AT16275" s="19"/>
      <c r="AU16275" s="19"/>
    </row>
    <row r="16276" spans="3:47">
      <c r="C16276" s="20"/>
      <c r="Z16276" s="20"/>
      <c r="AG16276" s="20"/>
      <c r="AQ16276" s="19"/>
      <c r="AR16276" s="19"/>
      <c r="AS16276" s="19"/>
      <c r="AT16276" s="19"/>
      <c r="AU16276" s="19"/>
    </row>
    <row r="16277" spans="3:47">
      <c r="C16277" s="20"/>
      <c r="Z16277" s="20"/>
      <c r="AG16277" s="20"/>
      <c r="AQ16277" s="19"/>
      <c r="AR16277" s="19"/>
      <c r="AS16277" s="19"/>
      <c r="AT16277" s="19"/>
      <c r="AU16277" s="19"/>
    </row>
    <row r="16278" spans="3:47">
      <c r="C16278" s="20"/>
      <c r="Z16278" s="20"/>
      <c r="AG16278" s="20"/>
      <c r="AQ16278" s="19"/>
      <c r="AR16278" s="19"/>
      <c r="AS16278" s="19"/>
      <c r="AT16278" s="19"/>
      <c r="AU16278" s="19"/>
    </row>
    <row r="16279" spans="3:47">
      <c r="C16279" s="20"/>
      <c r="Z16279" s="20"/>
      <c r="AG16279" s="20"/>
      <c r="AQ16279" s="19"/>
      <c r="AR16279" s="19"/>
      <c r="AS16279" s="19"/>
      <c r="AT16279" s="19"/>
      <c r="AU16279" s="19"/>
    </row>
    <row r="16280" spans="3:47">
      <c r="C16280" s="20"/>
      <c r="Z16280" s="20"/>
      <c r="AG16280" s="20"/>
      <c r="AQ16280" s="19"/>
      <c r="AR16280" s="19"/>
      <c r="AS16280" s="19"/>
      <c r="AT16280" s="19"/>
      <c r="AU16280" s="19"/>
    </row>
    <row r="16281" spans="3:47">
      <c r="C16281" s="20"/>
      <c r="Z16281" s="20"/>
      <c r="AG16281" s="20"/>
      <c r="AQ16281" s="19"/>
      <c r="AR16281" s="19"/>
      <c r="AS16281" s="19"/>
      <c r="AT16281" s="19"/>
      <c r="AU16281" s="19"/>
    </row>
    <row r="16282" spans="3:47">
      <c r="C16282" s="20"/>
      <c r="Z16282" s="20"/>
      <c r="AG16282" s="20"/>
      <c r="AQ16282" s="19"/>
      <c r="AR16282" s="19"/>
      <c r="AS16282" s="19"/>
      <c r="AT16282" s="19"/>
      <c r="AU16282" s="19"/>
    </row>
    <row r="16283" spans="3:47">
      <c r="C16283" s="20"/>
      <c r="Z16283" s="20"/>
      <c r="AG16283" s="20"/>
      <c r="AQ16283" s="19"/>
      <c r="AR16283" s="19"/>
      <c r="AS16283" s="19"/>
      <c r="AT16283" s="19"/>
      <c r="AU16283" s="19"/>
    </row>
    <row r="16284" spans="3:47">
      <c r="C16284" s="20"/>
      <c r="Z16284" s="20"/>
      <c r="AG16284" s="20"/>
      <c r="AQ16284" s="19"/>
      <c r="AR16284" s="19"/>
      <c r="AS16284" s="19"/>
      <c r="AT16284" s="19"/>
      <c r="AU16284" s="19"/>
    </row>
    <row r="16285" spans="3:47">
      <c r="C16285" s="20"/>
      <c r="Z16285" s="20"/>
      <c r="AG16285" s="20"/>
      <c r="AQ16285" s="19"/>
      <c r="AR16285" s="19"/>
      <c r="AS16285" s="19"/>
      <c r="AT16285" s="19"/>
      <c r="AU16285" s="19"/>
    </row>
    <row r="16286" spans="3:47">
      <c r="C16286" s="20"/>
      <c r="Z16286" s="20"/>
      <c r="AG16286" s="20"/>
      <c r="AQ16286" s="19"/>
      <c r="AR16286" s="19"/>
      <c r="AS16286" s="19"/>
      <c r="AT16286" s="19"/>
      <c r="AU16286" s="19"/>
    </row>
    <row r="16287" spans="3:47">
      <c r="C16287" s="20"/>
      <c r="Z16287" s="20"/>
      <c r="AG16287" s="20"/>
      <c r="AQ16287" s="19"/>
      <c r="AR16287" s="19"/>
      <c r="AS16287" s="19"/>
      <c r="AT16287" s="19"/>
      <c r="AU16287" s="19"/>
    </row>
    <row r="16288" spans="3:47">
      <c r="C16288" s="20"/>
      <c r="Z16288" s="20"/>
      <c r="AG16288" s="20"/>
      <c r="AQ16288" s="19"/>
      <c r="AR16288" s="19"/>
      <c r="AS16288" s="19"/>
      <c r="AT16288" s="19"/>
      <c r="AU16288" s="19"/>
    </row>
    <row r="16289" spans="3:47">
      <c r="C16289" s="20"/>
      <c r="Z16289" s="20"/>
      <c r="AG16289" s="20"/>
      <c r="AQ16289" s="19"/>
      <c r="AR16289" s="19"/>
      <c r="AS16289" s="19"/>
      <c r="AT16289" s="19"/>
      <c r="AU16289" s="19"/>
    </row>
    <row r="16290" spans="3:47">
      <c r="C16290" s="20"/>
      <c r="Z16290" s="20"/>
      <c r="AG16290" s="20"/>
      <c r="AQ16290" s="19"/>
      <c r="AR16290" s="19"/>
      <c r="AS16290" s="19"/>
      <c r="AT16290" s="19"/>
      <c r="AU16290" s="19"/>
    </row>
    <row r="16291" spans="3:47">
      <c r="C16291" s="20"/>
      <c r="Z16291" s="20"/>
      <c r="AG16291" s="20"/>
      <c r="AQ16291" s="19"/>
      <c r="AR16291" s="19"/>
      <c r="AS16291" s="19"/>
      <c r="AT16291" s="19"/>
      <c r="AU16291" s="19"/>
    </row>
    <row r="16292" spans="3:47">
      <c r="C16292" s="20"/>
      <c r="Z16292" s="20"/>
      <c r="AG16292" s="20"/>
      <c r="AQ16292" s="19"/>
      <c r="AR16292" s="19"/>
      <c r="AS16292" s="19"/>
      <c r="AT16292" s="19"/>
      <c r="AU16292" s="19"/>
    </row>
    <row r="16293" spans="3:47">
      <c r="C16293" s="20"/>
      <c r="Z16293" s="20"/>
      <c r="AG16293" s="20"/>
      <c r="AQ16293" s="19"/>
      <c r="AR16293" s="19"/>
      <c r="AS16293" s="19"/>
      <c r="AT16293" s="19"/>
      <c r="AU16293" s="19"/>
    </row>
    <row r="16294" spans="3:47">
      <c r="C16294" s="20"/>
      <c r="Z16294" s="20"/>
      <c r="AG16294" s="20"/>
      <c r="AQ16294" s="19"/>
      <c r="AR16294" s="19"/>
      <c r="AS16294" s="19"/>
      <c r="AT16294" s="19"/>
      <c r="AU16294" s="19"/>
    </row>
    <row r="16295" spans="3:47">
      <c r="C16295" s="20"/>
      <c r="Z16295" s="20"/>
      <c r="AG16295" s="20"/>
      <c r="AQ16295" s="19"/>
      <c r="AR16295" s="19"/>
      <c r="AS16295" s="19"/>
      <c r="AT16295" s="19"/>
      <c r="AU16295" s="19"/>
    </row>
    <row r="16296" spans="3:47">
      <c r="C16296" s="20"/>
      <c r="Z16296" s="20"/>
      <c r="AG16296" s="20"/>
      <c r="AQ16296" s="19"/>
      <c r="AR16296" s="19"/>
      <c r="AS16296" s="19"/>
      <c r="AT16296" s="19"/>
      <c r="AU16296" s="19"/>
    </row>
    <row r="16297" spans="3:47">
      <c r="C16297" s="20"/>
      <c r="Z16297" s="20"/>
      <c r="AG16297" s="20"/>
      <c r="AQ16297" s="19"/>
      <c r="AR16297" s="19"/>
      <c r="AS16297" s="19"/>
      <c r="AT16297" s="19"/>
      <c r="AU16297" s="19"/>
    </row>
    <row r="16298" spans="3:47">
      <c r="C16298" s="20"/>
      <c r="Z16298" s="20"/>
      <c r="AG16298" s="20"/>
      <c r="AQ16298" s="19"/>
      <c r="AR16298" s="19"/>
      <c r="AS16298" s="19"/>
      <c r="AT16298" s="19"/>
      <c r="AU16298" s="19"/>
    </row>
    <row r="16299" spans="3:47">
      <c r="C16299" s="20"/>
      <c r="Z16299" s="20"/>
      <c r="AG16299" s="20"/>
      <c r="AQ16299" s="19"/>
      <c r="AR16299" s="19"/>
      <c r="AS16299" s="19"/>
      <c r="AT16299" s="19"/>
      <c r="AU16299" s="19"/>
    </row>
    <row r="16300" spans="3:47">
      <c r="C16300" s="20"/>
      <c r="Z16300" s="20"/>
      <c r="AG16300" s="20"/>
      <c r="AQ16300" s="19"/>
      <c r="AR16300" s="19"/>
      <c r="AS16300" s="19"/>
      <c r="AT16300" s="19"/>
      <c r="AU16300" s="19"/>
    </row>
    <row r="16301" spans="3:47">
      <c r="C16301" s="20"/>
      <c r="Z16301" s="20"/>
      <c r="AG16301" s="20"/>
      <c r="AQ16301" s="19"/>
      <c r="AR16301" s="19"/>
      <c r="AS16301" s="19"/>
      <c r="AT16301" s="19"/>
      <c r="AU16301" s="19"/>
    </row>
    <row r="16302" spans="3:47">
      <c r="C16302" s="20"/>
      <c r="Z16302" s="20"/>
      <c r="AG16302" s="20"/>
      <c r="AQ16302" s="19"/>
      <c r="AR16302" s="19"/>
      <c r="AS16302" s="19"/>
      <c r="AT16302" s="19"/>
      <c r="AU16302" s="19"/>
    </row>
    <row r="16303" spans="3:47">
      <c r="C16303" s="20"/>
      <c r="Z16303" s="20"/>
      <c r="AG16303" s="20"/>
      <c r="AQ16303" s="19"/>
      <c r="AR16303" s="19"/>
      <c r="AS16303" s="19"/>
      <c r="AT16303" s="19"/>
      <c r="AU16303" s="19"/>
    </row>
    <row r="16304" spans="3:47">
      <c r="C16304" s="20"/>
      <c r="Z16304" s="20"/>
      <c r="AG16304" s="20"/>
      <c r="AQ16304" s="19"/>
      <c r="AR16304" s="19"/>
      <c r="AS16304" s="19"/>
      <c r="AT16304" s="19"/>
      <c r="AU16304" s="19"/>
    </row>
    <row r="16305" spans="3:47">
      <c r="C16305" s="20"/>
      <c r="Z16305" s="20"/>
      <c r="AG16305" s="20"/>
      <c r="AQ16305" s="19"/>
      <c r="AR16305" s="19"/>
      <c r="AS16305" s="19"/>
      <c r="AT16305" s="19"/>
      <c r="AU16305" s="19"/>
    </row>
    <row r="16306" spans="3:47">
      <c r="C16306" s="20"/>
      <c r="Z16306" s="20"/>
      <c r="AG16306" s="20"/>
      <c r="AQ16306" s="19"/>
      <c r="AR16306" s="19"/>
      <c r="AS16306" s="19"/>
      <c r="AT16306" s="19"/>
      <c r="AU16306" s="19"/>
    </row>
    <row r="16307" spans="3:47">
      <c r="C16307" s="20"/>
      <c r="Z16307" s="20"/>
      <c r="AG16307" s="20"/>
      <c r="AQ16307" s="19"/>
      <c r="AR16307" s="19"/>
      <c r="AS16307" s="19"/>
      <c r="AT16307" s="19"/>
      <c r="AU16307" s="19"/>
    </row>
    <row r="16308" spans="3:47">
      <c r="C16308" s="20"/>
      <c r="Z16308" s="20"/>
      <c r="AG16308" s="20"/>
      <c r="AQ16308" s="19"/>
      <c r="AR16308" s="19"/>
      <c r="AS16308" s="19"/>
      <c r="AT16308" s="19"/>
      <c r="AU16308" s="19"/>
    </row>
    <row r="16309" spans="3:47">
      <c r="C16309" s="20"/>
      <c r="Z16309" s="20"/>
      <c r="AG16309" s="20"/>
      <c r="AQ16309" s="19"/>
      <c r="AR16309" s="19"/>
      <c r="AS16309" s="19"/>
      <c r="AT16309" s="19"/>
      <c r="AU16309" s="19"/>
    </row>
    <row r="16310" spans="3:47">
      <c r="C16310" s="20"/>
      <c r="Z16310" s="20"/>
      <c r="AG16310" s="20"/>
      <c r="AQ16310" s="19"/>
      <c r="AR16310" s="19"/>
      <c r="AS16310" s="19"/>
      <c r="AT16310" s="19"/>
      <c r="AU16310" s="19"/>
    </row>
    <row r="16311" spans="3:47">
      <c r="C16311" s="20"/>
      <c r="Z16311" s="20"/>
      <c r="AG16311" s="20"/>
      <c r="AQ16311" s="19"/>
      <c r="AR16311" s="19"/>
      <c r="AS16311" s="19"/>
      <c r="AT16311" s="19"/>
      <c r="AU16311" s="19"/>
    </row>
    <row r="16312" spans="3:47">
      <c r="C16312" s="20"/>
      <c r="Z16312" s="20"/>
      <c r="AG16312" s="20"/>
      <c r="AQ16312" s="19"/>
      <c r="AR16312" s="19"/>
      <c r="AS16312" s="19"/>
      <c r="AT16312" s="19"/>
      <c r="AU16312" s="19"/>
    </row>
    <row r="16313" spans="3:47">
      <c r="C16313" s="20"/>
      <c r="Z16313" s="20"/>
      <c r="AG16313" s="20"/>
      <c r="AQ16313" s="19"/>
      <c r="AR16313" s="19"/>
      <c r="AS16313" s="19"/>
      <c r="AT16313" s="19"/>
      <c r="AU16313" s="19"/>
    </row>
    <row r="16314" spans="3:47">
      <c r="C16314" s="20"/>
      <c r="Z16314" s="20"/>
      <c r="AG16314" s="20"/>
      <c r="AQ16314" s="19"/>
      <c r="AR16314" s="19"/>
      <c r="AS16314" s="19"/>
      <c r="AT16314" s="19"/>
      <c r="AU16314" s="19"/>
    </row>
    <row r="16315" spans="3:47">
      <c r="C16315" s="20"/>
      <c r="Z16315" s="20"/>
      <c r="AG16315" s="20"/>
      <c r="AQ16315" s="19"/>
      <c r="AR16315" s="19"/>
      <c r="AS16315" s="19"/>
      <c r="AT16315" s="19"/>
      <c r="AU16315" s="19"/>
    </row>
    <row r="16316" spans="3:47">
      <c r="C16316" s="20"/>
      <c r="Z16316" s="20"/>
      <c r="AG16316" s="20"/>
      <c r="AQ16316" s="19"/>
      <c r="AR16316" s="19"/>
      <c r="AS16316" s="19"/>
      <c r="AT16316" s="19"/>
      <c r="AU16316" s="19"/>
    </row>
    <row r="16317" spans="3:47">
      <c r="C16317" s="20"/>
      <c r="Z16317" s="20"/>
      <c r="AG16317" s="20"/>
      <c r="AQ16317" s="19"/>
      <c r="AR16317" s="19"/>
      <c r="AS16317" s="19"/>
      <c r="AT16317" s="19"/>
      <c r="AU16317" s="19"/>
    </row>
    <row r="16318" spans="3:47">
      <c r="C16318" s="20"/>
      <c r="Z16318" s="20"/>
      <c r="AG16318" s="20"/>
      <c r="AQ16318" s="19"/>
      <c r="AR16318" s="19"/>
      <c r="AS16318" s="19"/>
      <c r="AT16318" s="19"/>
      <c r="AU16318" s="19"/>
    </row>
    <row r="16319" spans="3:47">
      <c r="C16319" s="20"/>
      <c r="Z16319" s="20"/>
      <c r="AG16319" s="20"/>
      <c r="AQ16319" s="19"/>
      <c r="AR16319" s="19"/>
      <c r="AS16319" s="19"/>
      <c r="AT16319" s="19"/>
      <c r="AU16319" s="19"/>
    </row>
    <row r="16320" spans="3:47">
      <c r="C16320" s="20"/>
      <c r="Z16320" s="20"/>
      <c r="AG16320" s="20"/>
      <c r="AQ16320" s="19"/>
      <c r="AR16320" s="19"/>
      <c r="AS16320" s="19"/>
      <c r="AT16320" s="19"/>
      <c r="AU16320" s="19"/>
    </row>
    <row r="16321" spans="3:47">
      <c r="C16321" s="20"/>
      <c r="Z16321" s="20"/>
      <c r="AG16321" s="20"/>
      <c r="AQ16321" s="19"/>
      <c r="AR16321" s="19"/>
      <c r="AS16321" s="19"/>
      <c r="AT16321" s="19"/>
      <c r="AU16321" s="19"/>
    </row>
    <row r="16322" spans="3:47">
      <c r="C16322" s="20"/>
      <c r="Z16322" s="20"/>
      <c r="AG16322" s="20"/>
      <c r="AQ16322" s="19"/>
      <c r="AR16322" s="19"/>
      <c r="AS16322" s="19"/>
      <c r="AT16322" s="19"/>
      <c r="AU16322" s="19"/>
    </row>
    <row r="16323" spans="3:47">
      <c r="C16323" s="20"/>
      <c r="Z16323" s="20"/>
      <c r="AG16323" s="20"/>
      <c r="AQ16323" s="19"/>
      <c r="AR16323" s="19"/>
      <c r="AS16323" s="19"/>
      <c r="AT16323" s="19"/>
      <c r="AU16323" s="19"/>
    </row>
    <row r="16324" spans="3:47">
      <c r="C16324" s="20"/>
      <c r="Z16324" s="20"/>
      <c r="AG16324" s="20"/>
      <c r="AQ16324" s="19"/>
      <c r="AR16324" s="19"/>
      <c r="AS16324" s="19"/>
      <c r="AT16324" s="19"/>
      <c r="AU16324" s="19"/>
    </row>
    <row r="16325" spans="3:47">
      <c r="C16325" s="20"/>
      <c r="Z16325" s="20"/>
      <c r="AG16325" s="20"/>
      <c r="AQ16325" s="19"/>
      <c r="AR16325" s="19"/>
      <c r="AS16325" s="19"/>
      <c r="AT16325" s="19"/>
      <c r="AU16325" s="19"/>
    </row>
    <row r="16326" spans="3:47">
      <c r="C16326" s="20"/>
      <c r="Z16326" s="20"/>
      <c r="AG16326" s="20"/>
      <c r="AQ16326" s="19"/>
      <c r="AR16326" s="19"/>
      <c r="AS16326" s="19"/>
      <c r="AT16326" s="19"/>
      <c r="AU16326" s="19"/>
    </row>
    <row r="16327" spans="3:47">
      <c r="C16327" s="20"/>
      <c r="Z16327" s="20"/>
      <c r="AG16327" s="20"/>
      <c r="AQ16327" s="19"/>
      <c r="AR16327" s="19"/>
      <c r="AS16327" s="19"/>
      <c r="AT16327" s="19"/>
      <c r="AU16327" s="19"/>
    </row>
    <row r="16328" spans="3:47">
      <c r="C16328" s="20"/>
      <c r="Z16328" s="20"/>
      <c r="AG16328" s="20"/>
      <c r="AQ16328" s="19"/>
      <c r="AR16328" s="19"/>
      <c r="AS16328" s="19"/>
      <c r="AT16328" s="19"/>
      <c r="AU16328" s="19"/>
    </row>
    <row r="16329" spans="3:47">
      <c r="C16329" s="20"/>
      <c r="Z16329" s="20"/>
      <c r="AG16329" s="20"/>
      <c r="AQ16329" s="19"/>
      <c r="AR16329" s="19"/>
      <c r="AS16329" s="19"/>
      <c r="AT16329" s="19"/>
      <c r="AU16329" s="19"/>
    </row>
    <row r="16330" spans="3:47">
      <c r="C16330" s="20"/>
      <c r="Z16330" s="20"/>
      <c r="AG16330" s="20"/>
      <c r="AQ16330" s="19"/>
      <c r="AR16330" s="19"/>
      <c r="AS16330" s="19"/>
      <c r="AT16330" s="19"/>
      <c r="AU16330" s="19"/>
    </row>
    <row r="16331" spans="3:47">
      <c r="C16331" s="20"/>
      <c r="Z16331" s="20"/>
      <c r="AG16331" s="20"/>
      <c r="AQ16331" s="19"/>
      <c r="AR16331" s="19"/>
      <c r="AS16331" s="19"/>
      <c r="AT16331" s="19"/>
      <c r="AU16331" s="19"/>
    </row>
    <row r="16332" spans="3:47">
      <c r="C16332" s="20"/>
      <c r="Z16332" s="20"/>
      <c r="AG16332" s="20"/>
      <c r="AQ16332" s="19"/>
      <c r="AR16332" s="19"/>
      <c r="AS16332" s="19"/>
      <c r="AT16332" s="19"/>
      <c r="AU16332" s="19"/>
    </row>
    <row r="16333" spans="3:47">
      <c r="C16333" s="20"/>
      <c r="Z16333" s="20"/>
      <c r="AG16333" s="20"/>
      <c r="AQ16333" s="19"/>
      <c r="AR16333" s="19"/>
      <c r="AS16333" s="19"/>
      <c r="AT16333" s="19"/>
      <c r="AU16333" s="19"/>
    </row>
    <row r="16334" spans="3:47">
      <c r="C16334" s="20"/>
      <c r="Z16334" s="20"/>
      <c r="AG16334" s="20"/>
      <c r="AQ16334" s="19"/>
      <c r="AR16334" s="19"/>
      <c r="AS16334" s="19"/>
      <c r="AT16334" s="19"/>
      <c r="AU16334" s="19"/>
    </row>
    <row r="16335" spans="3:47">
      <c r="C16335" s="20"/>
      <c r="Z16335" s="20"/>
      <c r="AG16335" s="20"/>
      <c r="AQ16335" s="19"/>
      <c r="AR16335" s="19"/>
      <c r="AS16335" s="19"/>
      <c r="AT16335" s="19"/>
      <c r="AU16335" s="19"/>
    </row>
    <row r="16336" spans="3:47">
      <c r="C16336" s="20"/>
      <c r="Z16336" s="20"/>
      <c r="AG16336" s="20"/>
      <c r="AQ16336" s="19"/>
      <c r="AR16336" s="19"/>
      <c r="AS16336" s="19"/>
      <c r="AT16336" s="19"/>
      <c r="AU16336" s="19"/>
    </row>
    <row r="16337" spans="3:47">
      <c r="C16337" s="20"/>
      <c r="Z16337" s="20"/>
      <c r="AG16337" s="20"/>
      <c r="AQ16337" s="19"/>
      <c r="AR16337" s="19"/>
      <c r="AS16337" s="19"/>
      <c r="AT16337" s="19"/>
      <c r="AU16337" s="19"/>
    </row>
    <row r="16338" spans="3:47">
      <c r="C16338" s="20"/>
      <c r="Z16338" s="20"/>
      <c r="AG16338" s="20"/>
      <c r="AQ16338" s="19"/>
      <c r="AR16338" s="19"/>
      <c r="AS16338" s="19"/>
      <c r="AT16338" s="19"/>
      <c r="AU16338" s="19"/>
    </row>
    <row r="16339" spans="3:47">
      <c r="C16339" s="20"/>
      <c r="Z16339" s="20"/>
      <c r="AG16339" s="20"/>
      <c r="AQ16339" s="19"/>
      <c r="AR16339" s="19"/>
      <c r="AS16339" s="19"/>
      <c r="AT16339" s="19"/>
      <c r="AU16339" s="19"/>
    </row>
    <row r="16340" spans="3:47">
      <c r="C16340" s="20"/>
      <c r="Z16340" s="20"/>
      <c r="AG16340" s="20"/>
      <c r="AQ16340" s="19"/>
      <c r="AR16340" s="19"/>
      <c r="AS16340" s="19"/>
      <c r="AT16340" s="19"/>
      <c r="AU16340" s="19"/>
    </row>
    <row r="16341" spans="3:47">
      <c r="C16341" s="20"/>
      <c r="Z16341" s="20"/>
      <c r="AG16341" s="20"/>
      <c r="AQ16341" s="19"/>
      <c r="AR16341" s="19"/>
      <c r="AS16341" s="19"/>
      <c r="AT16341" s="19"/>
      <c r="AU16341" s="19"/>
    </row>
    <row r="16342" spans="3:47">
      <c r="C16342" s="20"/>
      <c r="Z16342" s="20"/>
      <c r="AG16342" s="20"/>
      <c r="AQ16342" s="19"/>
      <c r="AR16342" s="19"/>
      <c r="AS16342" s="19"/>
      <c r="AT16342" s="19"/>
      <c r="AU16342" s="19"/>
    </row>
    <row r="16343" spans="3:47">
      <c r="C16343" s="20"/>
      <c r="Z16343" s="20"/>
      <c r="AG16343" s="20"/>
      <c r="AQ16343" s="19"/>
      <c r="AR16343" s="19"/>
      <c r="AS16343" s="19"/>
      <c r="AT16343" s="19"/>
      <c r="AU16343" s="19"/>
    </row>
    <row r="16344" spans="3:47">
      <c r="C16344" s="20"/>
      <c r="Z16344" s="20"/>
      <c r="AG16344" s="20"/>
      <c r="AQ16344" s="19"/>
      <c r="AR16344" s="19"/>
      <c r="AS16344" s="19"/>
      <c r="AT16344" s="19"/>
      <c r="AU16344" s="19"/>
    </row>
    <row r="16345" spans="3:47">
      <c r="C16345" s="20"/>
      <c r="Z16345" s="20"/>
      <c r="AG16345" s="20"/>
      <c r="AQ16345" s="19"/>
      <c r="AR16345" s="19"/>
      <c r="AS16345" s="19"/>
      <c r="AT16345" s="19"/>
      <c r="AU16345" s="19"/>
    </row>
    <row r="16346" spans="3:47">
      <c r="C16346" s="20"/>
      <c r="Z16346" s="20"/>
      <c r="AG16346" s="20"/>
      <c r="AQ16346" s="19"/>
      <c r="AR16346" s="19"/>
      <c r="AS16346" s="19"/>
      <c r="AT16346" s="19"/>
      <c r="AU16346" s="19"/>
    </row>
    <row r="16347" spans="3:47">
      <c r="C16347" s="20"/>
      <c r="Z16347" s="20"/>
      <c r="AG16347" s="20"/>
      <c r="AQ16347" s="19"/>
      <c r="AR16347" s="19"/>
      <c r="AS16347" s="19"/>
      <c r="AT16347" s="19"/>
      <c r="AU16347" s="19"/>
    </row>
    <row r="16348" spans="3:47">
      <c r="C16348" s="20"/>
      <c r="Z16348" s="20"/>
      <c r="AG16348" s="20"/>
      <c r="AQ16348" s="19"/>
      <c r="AR16348" s="19"/>
      <c r="AS16348" s="19"/>
      <c r="AT16348" s="19"/>
      <c r="AU16348" s="19"/>
    </row>
    <row r="16349" spans="3:47">
      <c r="C16349" s="20"/>
      <c r="Z16349" s="20"/>
      <c r="AG16349" s="20"/>
      <c r="AQ16349" s="19"/>
      <c r="AR16349" s="19"/>
      <c r="AS16349" s="19"/>
      <c r="AT16349" s="19"/>
      <c r="AU16349" s="19"/>
    </row>
    <row r="16350" spans="3:47">
      <c r="C16350" s="20"/>
      <c r="Z16350" s="20"/>
      <c r="AG16350" s="20"/>
      <c r="AQ16350" s="19"/>
      <c r="AR16350" s="19"/>
      <c r="AS16350" s="19"/>
      <c r="AT16350" s="19"/>
      <c r="AU16350" s="19"/>
    </row>
    <row r="16351" spans="3:47">
      <c r="C16351" s="20"/>
      <c r="Z16351" s="20"/>
      <c r="AG16351" s="20"/>
      <c r="AQ16351" s="19"/>
      <c r="AR16351" s="19"/>
      <c r="AS16351" s="19"/>
      <c r="AT16351" s="19"/>
      <c r="AU16351" s="19"/>
    </row>
    <row r="16352" spans="3:47">
      <c r="C16352" s="20"/>
      <c r="Z16352" s="20"/>
      <c r="AG16352" s="20"/>
      <c r="AQ16352" s="19"/>
      <c r="AR16352" s="19"/>
      <c r="AS16352" s="19"/>
      <c r="AT16352" s="19"/>
      <c r="AU16352" s="19"/>
    </row>
    <row r="16353" spans="3:47">
      <c r="C16353" s="20"/>
      <c r="Z16353" s="20"/>
      <c r="AG16353" s="20"/>
      <c r="AQ16353" s="19"/>
      <c r="AR16353" s="19"/>
      <c r="AS16353" s="19"/>
      <c r="AT16353" s="19"/>
      <c r="AU16353" s="19"/>
    </row>
    <row r="16354" spans="3:47">
      <c r="C16354" s="20"/>
      <c r="Z16354" s="20"/>
      <c r="AG16354" s="20"/>
      <c r="AQ16354" s="19"/>
      <c r="AR16354" s="19"/>
      <c r="AS16354" s="19"/>
      <c r="AT16354" s="19"/>
      <c r="AU16354" s="19"/>
    </row>
    <row r="16355" spans="3:47">
      <c r="C16355" s="20"/>
      <c r="Z16355" s="20"/>
      <c r="AG16355" s="20"/>
      <c r="AQ16355" s="19"/>
      <c r="AR16355" s="19"/>
      <c r="AS16355" s="19"/>
      <c r="AT16355" s="19"/>
      <c r="AU16355" s="19"/>
    </row>
    <row r="16356" spans="3:47">
      <c r="C16356" s="20"/>
      <c r="Z16356" s="20"/>
      <c r="AG16356" s="20"/>
      <c r="AQ16356" s="19"/>
      <c r="AR16356" s="19"/>
      <c r="AS16356" s="19"/>
      <c r="AT16356" s="19"/>
      <c r="AU16356" s="19"/>
    </row>
    <row r="16357" spans="3:47">
      <c r="C16357" s="20"/>
      <c r="Z16357" s="20"/>
      <c r="AG16357" s="20"/>
      <c r="AQ16357" s="19"/>
      <c r="AR16357" s="19"/>
      <c r="AS16357" s="19"/>
      <c r="AT16357" s="19"/>
      <c r="AU16357" s="19"/>
    </row>
    <row r="16358" spans="3:47">
      <c r="C16358" s="20"/>
      <c r="Z16358" s="20"/>
      <c r="AG16358" s="20"/>
      <c r="AQ16358" s="19"/>
      <c r="AR16358" s="19"/>
      <c r="AS16358" s="19"/>
      <c r="AT16358" s="19"/>
      <c r="AU16358" s="19"/>
    </row>
    <row r="16359" spans="3:47">
      <c r="C16359" s="20"/>
      <c r="Z16359" s="20"/>
      <c r="AG16359" s="20"/>
      <c r="AQ16359" s="19"/>
      <c r="AR16359" s="19"/>
      <c r="AS16359" s="19"/>
      <c r="AT16359" s="19"/>
      <c r="AU16359" s="19"/>
    </row>
    <row r="16360" spans="3:47">
      <c r="C16360" s="20"/>
      <c r="Z16360" s="20"/>
      <c r="AG16360" s="20"/>
      <c r="AQ16360" s="19"/>
      <c r="AR16360" s="19"/>
      <c r="AS16360" s="19"/>
      <c r="AT16360" s="19"/>
      <c r="AU16360" s="19"/>
    </row>
    <row r="16361" spans="3:47">
      <c r="C16361" s="20"/>
      <c r="Z16361" s="20"/>
      <c r="AG16361" s="20"/>
      <c r="AQ16361" s="19"/>
      <c r="AR16361" s="19"/>
      <c r="AS16361" s="19"/>
      <c r="AT16361" s="19"/>
      <c r="AU16361" s="19"/>
    </row>
    <row r="16362" spans="3:47">
      <c r="C16362" s="20"/>
      <c r="Z16362" s="20"/>
      <c r="AG16362" s="20"/>
      <c r="AQ16362" s="19"/>
      <c r="AR16362" s="19"/>
      <c r="AS16362" s="19"/>
      <c r="AT16362" s="19"/>
      <c r="AU16362" s="19"/>
    </row>
    <row r="16363" spans="3:47">
      <c r="C16363" s="20"/>
      <c r="Z16363" s="20"/>
      <c r="AG16363" s="20"/>
      <c r="AQ16363" s="19"/>
      <c r="AR16363" s="19"/>
      <c r="AS16363" s="19"/>
      <c r="AT16363" s="19"/>
      <c r="AU16363" s="19"/>
    </row>
    <row r="16364" spans="3:47">
      <c r="C16364" s="20"/>
      <c r="Z16364" s="20"/>
      <c r="AG16364" s="20"/>
      <c r="AQ16364" s="19"/>
      <c r="AR16364" s="19"/>
      <c r="AS16364" s="19"/>
      <c r="AT16364" s="19"/>
      <c r="AU16364" s="19"/>
    </row>
    <row r="16365" spans="3:47">
      <c r="C16365" s="20"/>
      <c r="Z16365" s="20"/>
      <c r="AG16365" s="20"/>
      <c r="AQ16365" s="19"/>
      <c r="AR16365" s="19"/>
      <c r="AS16365" s="19"/>
      <c r="AT16365" s="19"/>
      <c r="AU16365" s="19"/>
    </row>
    <row r="16366" spans="3:47">
      <c r="C16366" s="20"/>
      <c r="Z16366" s="20"/>
      <c r="AG16366" s="20"/>
      <c r="AQ16366" s="19"/>
      <c r="AR16366" s="19"/>
      <c r="AS16366" s="19"/>
      <c r="AT16366" s="19"/>
      <c r="AU16366" s="19"/>
    </row>
    <row r="16367" spans="3:47">
      <c r="C16367" s="20"/>
      <c r="Z16367" s="20"/>
      <c r="AG16367" s="20"/>
      <c r="AQ16367" s="19"/>
      <c r="AR16367" s="19"/>
      <c r="AS16367" s="19"/>
      <c r="AT16367" s="19"/>
      <c r="AU16367" s="19"/>
    </row>
    <row r="16368" spans="3:47">
      <c r="C16368" s="20"/>
      <c r="Z16368" s="20"/>
      <c r="AG16368" s="20"/>
      <c r="AQ16368" s="19"/>
      <c r="AR16368" s="19"/>
      <c r="AS16368" s="19"/>
      <c r="AT16368" s="19"/>
      <c r="AU16368" s="19"/>
    </row>
    <row r="16369" spans="3:47">
      <c r="C16369" s="20"/>
      <c r="Z16369" s="20"/>
      <c r="AG16369" s="20"/>
      <c r="AQ16369" s="19"/>
      <c r="AR16369" s="19"/>
      <c r="AS16369" s="19"/>
      <c r="AT16369" s="19"/>
      <c r="AU16369" s="19"/>
    </row>
    <row r="16370" spans="3:47">
      <c r="C16370" s="20"/>
      <c r="Z16370" s="20"/>
      <c r="AG16370" s="20"/>
      <c r="AQ16370" s="19"/>
      <c r="AR16370" s="19"/>
      <c r="AS16370" s="19"/>
      <c r="AT16370" s="19"/>
      <c r="AU16370" s="19"/>
    </row>
    <row r="16371" spans="3:47">
      <c r="C16371" s="20"/>
      <c r="Z16371" s="20"/>
      <c r="AG16371" s="20"/>
      <c r="AQ16371" s="19"/>
      <c r="AR16371" s="19"/>
      <c r="AS16371" s="19"/>
      <c r="AT16371" s="19"/>
      <c r="AU16371" s="19"/>
    </row>
    <row r="16372" spans="3:47">
      <c r="C16372" s="20"/>
      <c r="Z16372" s="20"/>
      <c r="AG16372" s="20"/>
      <c r="AQ16372" s="19"/>
      <c r="AR16372" s="19"/>
      <c r="AS16372" s="19"/>
      <c r="AT16372" s="19"/>
      <c r="AU16372" s="19"/>
    </row>
    <row r="16373" spans="3:47">
      <c r="C16373" s="20"/>
      <c r="Z16373" s="20"/>
      <c r="AG16373" s="20"/>
      <c r="AQ16373" s="19"/>
      <c r="AR16373" s="19"/>
      <c r="AS16373" s="19"/>
      <c r="AT16373" s="19"/>
      <c r="AU16373" s="19"/>
    </row>
    <row r="16374" spans="3:47">
      <c r="C16374" s="20"/>
      <c r="Z16374" s="20"/>
      <c r="AG16374" s="20"/>
      <c r="AQ16374" s="19"/>
      <c r="AR16374" s="19"/>
      <c r="AS16374" s="19"/>
      <c r="AT16374" s="19"/>
      <c r="AU16374" s="19"/>
    </row>
    <row r="16375" spans="3:47">
      <c r="C16375" s="20"/>
      <c r="Z16375" s="20"/>
      <c r="AG16375" s="20"/>
      <c r="AQ16375" s="19"/>
      <c r="AR16375" s="19"/>
      <c r="AS16375" s="19"/>
      <c r="AT16375" s="19"/>
      <c r="AU16375" s="19"/>
    </row>
    <row r="16376" spans="3:47">
      <c r="C16376" s="20"/>
      <c r="Z16376" s="20"/>
      <c r="AG16376" s="20"/>
      <c r="AQ16376" s="19"/>
      <c r="AR16376" s="19"/>
      <c r="AS16376" s="19"/>
      <c r="AT16376" s="19"/>
      <c r="AU16376" s="19"/>
    </row>
    <row r="16377" spans="3:47">
      <c r="C16377" s="20"/>
      <c r="Z16377" s="20"/>
      <c r="AG16377" s="20"/>
      <c r="AQ16377" s="19"/>
      <c r="AR16377" s="19"/>
      <c r="AS16377" s="19"/>
      <c r="AT16377" s="19"/>
      <c r="AU16377" s="19"/>
    </row>
    <row r="16378" spans="3:47">
      <c r="C16378" s="20"/>
      <c r="Z16378" s="20"/>
      <c r="AG16378" s="20"/>
      <c r="AQ16378" s="19"/>
      <c r="AR16378" s="19"/>
      <c r="AS16378" s="19"/>
      <c r="AT16378" s="19"/>
      <c r="AU16378" s="19"/>
    </row>
    <row r="16379" spans="3:47">
      <c r="C16379" s="20"/>
      <c r="Z16379" s="20"/>
      <c r="AG16379" s="20"/>
      <c r="AQ16379" s="19"/>
      <c r="AR16379" s="19"/>
      <c r="AS16379" s="19"/>
      <c r="AT16379" s="19"/>
      <c r="AU16379" s="19"/>
    </row>
    <row r="16380" spans="3:47">
      <c r="C16380" s="20"/>
      <c r="Z16380" s="20"/>
      <c r="AG16380" s="20"/>
      <c r="AQ16380" s="19"/>
      <c r="AR16380" s="19"/>
      <c r="AS16380" s="19"/>
      <c r="AT16380" s="19"/>
      <c r="AU16380" s="19"/>
    </row>
    <row r="16381" spans="3:47">
      <c r="C16381" s="20"/>
      <c r="Z16381" s="20"/>
      <c r="AG16381" s="20"/>
      <c r="AQ16381" s="19"/>
      <c r="AR16381" s="19"/>
      <c r="AS16381" s="19"/>
      <c r="AT16381" s="19"/>
      <c r="AU16381" s="19"/>
    </row>
    <row r="16382" spans="3:47">
      <c r="C16382" s="20"/>
      <c r="Z16382" s="20"/>
      <c r="AG16382" s="20"/>
      <c r="AQ16382" s="19"/>
      <c r="AR16382" s="19"/>
      <c r="AS16382" s="19"/>
      <c r="AT16382" s="19"/>
      <c r="AU16382" s="19"/>
    </row>
    <row r="16383" spans="3:47">
      <c r="C16383" s="20"/>
      <c r="Z16383" s="20"/>
      <c r="AG16383" s="20"/>
      <c r="AQ16383" s="19"/>
      <c r="AR16383" s="19"/>
      <c r="AS16383" s="19"/>
      <c r="AT16383" s="19"/>
      <c r="AU16383" s="19"/>
    </row>
    <row r="16384" spans="3:47">
      <c r="C16384" s="20"/>
      <c r="Z16384" s="20"/>
      <c r="AG16384" s="20"/>
      <c r="AQ16384" s="19"/>
      <c r="AR16384" s="19"/>
      <c r="AS16384" s="19"/>
      <c r="AT16384" s="19"/>
      <c r="AU16384" s="19"/>
    </row>
    <row r="16385" spans="3:47">
      <c r="C16385" s="20"/>
      <c r="Z16385" s="20"/>
      <c r="AG16385" s="20"/>
      <c r="AQ16385" s="19"/>
      <c r="AR16385" s="19"/>
      <c r="AS16385" s="19"/>
      <c r="AT16385" s="19"/>
      <c r="AU16385" s="19"/>
    </row>
    <row r="16386" spans="3:47">
      <c r="C16386" s="20"/>
      <c r="Z16386" s="20"/>
      <c r="AG16386" s="20"/>
      <c r="AQ16386" s="19"/>
      <c r="AR16386" s="19"/>
      <c r="AS16386" s="19"/>
      <c r="AT16386" s="19"/>
      <c r="AU16386" s="19"/>
    </row>
    <row r="16387" spans="3:47">
      <c r="C16387" s="20"/>
      <c r="Z16387" s="20"/>
      <c r="AG16387" s="20"/>
      <c r="AQ16387" s="19"/>
      <c r="AR16387" s="19"/>
      <c r="AS16387" s="19"/>
      <c r="AT16387" s="19"/>
      <c r="AU16387" s="19"/>
    </row>
    <row r="16388" spans="3:47">
      <c r="C16388" s="20"/>
      <c r="Z16388" s="20"/>
      <c r="AG16388" s="20"/>
      <c r="AQ16388" s="19"/>
      <c r="AR16388" s="19"/>
      <c r="AS16388" s="19"/>
      <c r="AT16388" s="19"/>
      <c r="AU16388" s="19"/>
    </row>
    <row r="16389" spans="3:47">
      <c r="C16389" s="20"/>
      <c r="Z16389" s="20"/>
      <c r="AG16389" s="20"/>
      <c r="AQ16389" s="19"/>
      <c r="AR16389" s="19"/>
      <c r="AS16389" s="19"/>
      <c r="AT16389" s="19"/>
      <c r="AU16389" s="19"/>
    </row>
    <row r="16390" spans="3:47">
      <c r="C16390" s="20"/>
      <c r="Z16390" s="20"/>
      <c r="AG16390" s="20"/>
      <c r="AQ16390" s="19"/>
      <c r="AR16390" s="19"/>
      <c r="AS16390" s="19"/>
      <c r="AT16390" s="19"/>
      <c r="AU16390" s="19"/>
    </row>
    <row r="16391" spans="3:47">
      <c r="C16391" s="20"/>
      <c r="Z16391" s="20"/>
      <c r="AG16391" s="20"/>
      <c r="AQ16391" s="19"/>
      <c r="AR16391" s="19"/>
      <c r="AS16391" s="19"/>
      <c r="AT16391" s="19"/>
      <c r="AU16391" s="19"/>
    </row>
    <row r="16392" spans="3:47">
      <c r="C16392" s="20"/>
      <c r="Z16392" s="20"/>
      <c r="AG16392" s="20"/>
      <c r="AQ16392" s="19"/>
      <c r="AR16392" s="19"/>
      <c r="AS16392" s="19"/>
      <c r="AT16392" s="19"/>
      <c r="AU16392" s="19"/>
    </row>
    <row r="16393" spans="3:47">
      <c r="C16393" s="20"/>
      <c r="Z16393" s="20"/>
      <c r="AG16393" s="20"/>
      <c r="AQ16393" s="19"/>
      <c r="AR16393" s="19"/>
      <c r="AS16393" s="19"/>
      <c r="AT16393" s="19"/>
      <c r="AU16393" s="19"/>
    </row>
    <row r="16394" spans="3:47">
      <c r="C16394" s="20"/>
      <c r="Z16394" s="20"/>
      <c r="AG16394" s="20"/>
      <c r="AQ16394" s="19"/>
      <c r="AR16394" s="19"/>
      <c r="AS16394" s="19"/>
      <c r="AT16394" s="19"/>
      <c r="AU16394" s="19"/>
    </row>
    <row r="16395" spans="3:47">
      <c r="C16395" s="20"/>
      <c r="Z16395" s="20"/>
      <c r="AG16395" s="20"/>
      <c r="AQ16395" s="19"/>
      <c r="AR16395" s="19"/>
      <c r="AS16395" s="19"/>
      <c r="AT16395" s="19"/>
      <c r="AU16395" s="19"/>
    </row>
    <row r="16396" spans="3:47">
      <c r="C16396" s="20"/>
      <c r="Z16396" s="20"/>
      <c r="AG16396" s="20"/>
      <c r="AQ16396" s="19"/>
      <c r="AR16396" s="19"/>
      <c r="AS16396" s="19"/>
      <c r="AT16396" s="19"/>
      <c r="AU16396" s="19"/>
    </row>
    <row r="16397" spans="3:47">
      <c r="C16397" s="20"/>
      <c r="Z16397" s="20"/>
      <c r="AG16397" s="20"/>
      <c r="AQ16397" s="19"/>
      <c r="AR16397" s="19"/>
      <c r="AS16397" s="19"/>
      <c r="AT16397" s="19"/>
      <c r="AU16397" s="19"/>
    </row>
    <row r="16398" spans="3:47">
      <c r="C16398" s="20"/>
      <c r="Z16398" s="20"/>
      <c r="AG16398" s="20"/>
      <c r="AQ16398" s="19"/>
      <c r="AR16398" s="19"/>
      <c r="AS16398" s="19"/>
      <c r="AT16398" s="19"/>
      <c r="AU16398" s="19"/>
    </row>
    <row r="16399" spans="3:47">
      <c r="C16399" s="20"/>
      <c r="Z16399" s="20"/>
      <c r="AG16399" s="20"/>
      <c r="AQ16399" s="19"/>
      <c r="AR16399" s="19"/>
      <c r="AS16399" s="19"/>
      <c r="AT16399" s="19"/>
      <c r="AU16399" s="19"/>
    </row>
    <row r="16400" spans="3:47">
      <c r="C16400" s="20"/>
      <c r="Z16400" s="20"/>
      <c r="AG16400" s="20"/>
      <c r="AQ16400" s="19"/>
      <c r="AR16400" s="19"/>
      <c r="AS16400" s="19"/>
      <c r="AT16400" s="19"/>
      <c r="AU16400" s="19"/>
    </row>
    <row r="16401" spans="3:47">
      <c r="C16401" s="20"/>
      <c r="Z16401" s="20"/>
      <c r="AG16401" s="20"/>
      <c r="AQ16401" s="19"/>
      <c r="AR16401" s="19"/>
      <c r="AS16401" s="19"/>
      <c r="AT16401" s="19"/>
      <c r="AU16401" s="19"/>
    </row>
    <row r="16402" spans="3:47">
      <c r="C16402" s="20"/>
      <c r="Z16402" s="20"/>
      <c r="AG16402" s="20"/>
      <c r="AQ16402" s="19"/>
      <c r="AR16402" s="19"/>
      <c r="AS16402" s="19"/>
      <c r="AT16402" s="19"/>
      <c r="AU16402" s="19"/>
    </row>
    <row r="16403" spans="3:47">
      <c r="C16403" s="20"/>
      <c r="Z16403" s="20"/>
      <c r="AG16403" s="20"/>
      <c r="AQ16403" s="19"/>
      <c r="AR16403" s="19"/>
      <c r="AS16403" s="19"/>
      <c r="AT16403" s="19"/>
      <c r="AU16403" s="19"/>
    </row>
    <row r="16404" spans="3:47">
      <c r="C16404" s="20"/>
      <c r="Z16404" s="20"/>
      <c r="AG16404" s="20"/>
      <c r="AQ16404" s="19"/>
      <c r="AR16404" s="19"/>
      <c r="AS16404" s="19"/>
      <c r="AT16404" s="19"/>
      <c r="AU16404" s="19"/>
    </row>
    <row r="16405" spans="3:47">
      <c r="C16405" s="20"/>
      <c r="Z16405" s="20"/>
      <c r="AG16405" s="20"/>
      <c r="AQ16405" s="19"/>
      <c r="AR16405" s="19"/>
      <c r="AS16405" s="19"/>
      <c r="AT16405" s="19"/>
      <c r="AU16405" s="19"/>
    </row>
    <row r="16406" spans="3:47">
      <c r="C16406" s="20"/>
      <c r="Z16406" s="20"/>
      <c r="AG16406" s="20"/>
      <c r="AQ16406" s="19"/>
      <c r="AR16406" s="19"/>
      <c r="AS16406" s="19"/>
      <c r="AT16406" s="19"/>
      <c r="AU16406" s="19"/>
    </row>
    <row r="16407" spans="3:47">
      <c r="C16407" s="20"/>
      <c r="Z16407" s="20"/>
      <c r="AG16407" s="20"/>
      <c r="AQ16407" s="19"/>
      <c r="AR16407" s="19"/>
      <c r="AS16407" s="19"/>
      <c r="AT16407" s="19"/>
      <c r="AU16407" s="19"/>
    </row>
    <row r="16408" spans="3:47">
      <c r="C16408" s="20"/>
      <c r="Z16408" s="20"/>
      <c r="AG16408" s="20"/>
      <c r="AQ16408" s="19"/>
      <c r="AR16408" s="19"/>
      <c r="AS16408" s="19"/>
      <c r="AT16408" s="19"/>
      <c r="AU16408" s="19"/>
    </row>
    <row r="16409" spans="3:47">
      <c r="C16409" s="20"/>
      <c r="Z16409" s="20"/>
      <c r="AG16409" s="20"/>
      <c r="AQ16409" s="19"/>
      <c r="AR16409" s="19"/>
      <c r="AS16409" s="19"/>
      <c r="AT16409" s="19"/>
      <c r="AU16409" s="19"/>
    </row>
    <row r="16410" spans="3:47">
      <c r="C16410" s="20"/>
      <c r="Z16410" s="20"/>
      <c r="AG16410" s="20"/>
      <c r="AQ16410" s="19"/>
      <c r="AR16410" s="19"/>
      <c r="AS16410" s="19"/>
      <c r="AT16410" s="19"/>
      <c r="AU16410" s="19"/>
    </row>
    <row r="16411" spans="3:47">
      <c r="C16411" s="20"/>
      <c r="Z16411" s="20"/>
      <c r="AG16411" s="20"/>
      <c r="AQ16411" s="19"/>
      <c r="AR16411" s="19"/>
      <c r="AS16411" s="19"/>
      <c r="AT16411" s="19"/>
      <c r="AU16411" s="19"/>
    </row>
    <row r="16412" spans="3:47">
      <c r="C16412" s="20"/>
      <c r="Z16412" s="20"/>
      <c r="AG16412" s="20"/>
      <c r="AQ16412" s="19"/>
      <c r="AR16412" s="19"/>
      <c r="AS16412" s="19"/>
      <c r="AT16412" s="19"/>
      <c r="AU16412" s="19"/>
    </row>
    <row r="16413" spans="3:47">
      <c r="C16413" s="20"/>
      <c r="Z16413" s="20"/>
      <c r="AG16413" s="20"/>
      <c r="AQ16413" s="19"/>
      <c r="AR16413" s="19"/>
      <c r="AS16413" s="19"/>
      <c r="AT16413" s="19"/>
      <c r="AU16413" s="19"/>
    </row>
    <row r="16414" spans="3:47">
      <c r="C16414" s="20"/>
      <c r="Z16414" s="20"/>
      <c r="AG16414" s="20"/>
      <c r="AQ16414" s="19"/>
      <c r="AR16414" s="19"/>
      <c r="AS16414" s="19"/>
      <c r="AT16414" s="19"/>
      <c r="AU16414" s="19"/>
    </row>
    <row r="16415" spans="3:47">
      <c r="C16415" s="20"/>
      <c r="Z16415" s="20"/>
      <c r="AG16415" s="20"/>
      <c r="AQ16415" s="19"/>
      <c r="AR16415" s="19"/>
      <c r="AS16415" s="19"/>
      <c r="AT16415" s="19"/>
      <c r="AU16415" s="19"/>
    </row>
    <row r="16416" spans="3:47">
      <c r="C16416" s="20"/>
      <c r="Z16416" s="20"/>
      <c r="AG16416" s="20"/>
      <c r="AQ16416" s="19"/>
      <c r="AR16416" s="19"/>
      <c r="AS16416" s="19"/>
      <c r="AT16416" s="19"/>
      <c r="AU16416" s="19"/>
    </row>
    <row r="16417" spans="3:47">
      <c r="C16417" s="20"/>
      <c r="Z16417" s="20"/>
      <c r="AG16417" s="20"/>
      <c r="AQ16417" s="19"/>
      <c r="AR16417" s="19"/>
      <c r="AS16417" s="19"/>
      <c r="AT16417" s="19"/>
      <c r="AU16417" s="19"/>
    </row>
    <row r="16418" spans="3:47">
      <c r="C16418" s="20"/>
      <c r="Z16418" s="20"/>
      <c r="AG16418" s="20"/>
      <c r="AQ16418" s="19"/>
      <c r="AR16418" s="19"/>
      <c r="AS16418" s="19"/>
      <c r="AT16418" s="19"/>
      <c r="AU16418" s="19"/>
    </row>
    <row r="16419" spans="3:47">
      <c r="C16419" s="20"/>
      <c r="Z16419" s="20"/>
      <c r="AG16419" s="20"/>
      <c r="AQ16419" s="19"/>
      <c r="AR16419" s="19"/>
      <c r="AS16419" s="19"/>
      <c r="AT16419" s="19"/>
      <c r="AU16419" s="19"/>
    </row>
    <row r="16420" spans="3:47">
      <c r="C16420" s="20"/>
      <c r="Z16420" s="20"/>
      <c r="AG16420" s="20"/>
      <c r="AQ16420" s="19"/>
      <c r="AR16420" s="19"/>
      <c r="AS16420" s="19"/>
      <c r="AT16420" s="19"/>
      <c r="AU16420" s="19"/>
    </row>
    <row r="16421" spans="3:47">
      <c r="C16421" s="20"/>
      <c r="Z16421" s="20"/>
      <c r="AG16421" s="20"/>
      <c r="AQ16421" s="19"/>
      <c r="AR16421" s="19"/>
      <c r="AS16421" s="19"/>
      <c r="AT16421" s="19"/>
      <c r="AU16421" s="19"/>
    </row>
    <row r="16422" spans="3:47">
      <c r="C16422" s="20"/>
      <c r="Z16422" s="20"/>
      <c r="AG16422" s="20"/>
      <c r="AQ16422" s="19"/>
      <c r="AR16422" s="19"/>
      <c r="AS16422" s="19"/>
      <c r="AT16422" s="19"/>
      <c r="AU16422" s="19"/>
    </row>
    <row r="16423" spans="3:47">
      <c r="C16423" s="20"/>
      <c r="Z16423" s="20"/>
      <c r="AG16423" s="20"/>
      <c r="AQ16423" s="19"/>
      <c r="AR16423" s="19"/>
      <c r="AS16423" s="19"/>
      <c r="AT16423" s="19"/>
      <c r="AU16423" s="19"/>
    </row>
    <row r="16424" spans="3:47">
      <c r="C16424" s="20"/>
      <c r="Z16424" s="20"/>
      <c r="AG16424" s="20"/>
      <c r="AQ16424" s="19"/>
      <c r="AR16424" s="19"/>
      <c r="AS16424" s="19"/>
      <c r="AT16424" s="19"/>
      <c r="AU16424" s="19"/>
    </row>
    <row r="16425" spans="3:47">
      <c r="C16425" s="20"/>
      <c r="Z16425" s="20"/>
      <c r="AG16425" s="20"/>
      <c r="AQ16425" s="19"/>
      <c r="AR16425" s="19"/>
      <c r="AS16425" s="19"/>
      <c r="AT16425" s="19"/>
      <c r="AU16425" s="19"/>
    </row>
    <row r="16426" spans="3:47">
      <c r="C16426" s="20"/>
      <c r="Z16426" s="20"/>
      <c r="AG16426" s="20"/>
      <c r="AQ16426" s="19"/>
      <c r="AR16426" s="19"/>
      <c r="AS16426" s="19"/>
      <c r="AT16426" s="19"/>
      <c r="AU16426" s="19"/>
    </row>
    <row r="16427" spans="3:47">
      <c r="C16427" s="20"/>
      <c r="Z16427" s="20"/>
      <c r="AG16427" s="20"/>
      <c r="AQ16427" s="19"/>
      <c r="AR16427" s="19"/>
      <c r="AS16427" s="19"/>
      <c r="AT16427" s="19"/>
      <c r="AU16427" s="19"/>
    </row>
    <row r="16428" spans="3:47">
      <c r="C16428" s="20"/>
      <c r="Z16428" s="20"/>
      <c r="AG16428" s="20"/>
      <c r="AQ16428" s="19"/>
      <c r="AR16428" s="19"/>
      <c r="AS16428" s="19"/>
      <c r="AT16428" s="19"/>
      <c r="AU16428" s="19"/>
    </row>
    <row r="16429" spans="3:47">
      <c r="C16429" s="20"/>
      <c r="Z16429" s="20"/>
      <c r="AG16429" s="20"/>
      <c r="AQ16429" s="19"/>
      <c r="AR16429" s="19"/>
      <c r="AS16429" s="19"/>
      <c r="AT16429" s="19"/>
      <c r="AU16429" s="19"/>
    </row>
    <row r="16430" spans="3:47">
      <c r="C16430" s="20"/>
      <c r="Z16430" s="20"/>
      <c r="AG16430" s="20"/>
      <c r="AQ16430" s="19"/>
      <c r="AR16430" s="19"/>
      <c r="AS16430" s="19"/>
      <c r="AT16430" s="19"/>
      <c r="AU16430" s="19"/>
    </row>
    <row r="16431" spans="3:47">
      <c r="C16431" s="20"/>
      <c r="Z16431" s="20"/>
      <c r="AG16431" s="20"/>
      <c r="AQ16431" s="19"/>
      <c r="AR16431" s="19"/>
      <c r="AS16431" s="19"/>
      <c r="AT16431" s="19"/>
      <c r="AU16431" s="19"/>
    </row>
    <row r="16432" spans="3:47">
      <c r="C16432" s="20"/>
      <c r="Z16432" s="20"/>
      <c r="AG16432" s="20"/>
      <c r="AQ16432" s="19"/>
      <c r="AR16432" s="19"/>
      <c r="AS16432" s="19"/>
      <c r="AT16432" s="19"/>
      <c r="AU16432" s="19"/>
    </row>
    <row r="16433" spans="3:47">
      <c r="C16433" s="20"/>
      <c r="Z16433" s="20"/>
      <c r="AG16433" s="20"/>
      <c r="AQ16433" s="19"/>
      <c r="AR16433" s="19"/>
      <c r="AS16433" s="19"/>
      <c r="AT16433" s="19"/>
      <c r="AU16433" s="19"/>
    </row>
    <row r="16434" spans="3:47">
      <c r="C16434" s="20"/>
      <c r="Z16434" s="20"/>
      <c r="AG16434" s="20"/>
      <c r="AQ16434" s="19"/>
      <c r="AR16434" s="19"/>
      <c r="AS16434" s="19"/>
      <c r="AT16434" s="19"/>
      <c r="AU16434" s="19"/>
    </row>
    <row r="16435" spans="3:47">
      <c r="C16435" s="20"/>
      <c r="Z16435" s="20"/>
      <c r="AG16435" s="20"/>
      <c r="AQ16435" s="19"/>
      <c r="AR16435" s="19"/>
      <c r="AS16435" s="19"/>
      <c r="AT16435" s="19"/>
      <c r="AU16435" s="19"/>
    </row>
    <row r="16436" spans="3:47">
      <c r="C16436" s="20"/>
      <c r="Z16436" s="20"/>
      <c r="AG16436" s="20"/>
      <c r="AQ16436" s="19"/>
      <c r="AR16436" s="19"/>
      <c r="AS16436" s="19"/>
      <c r="AT16436" s="19"/>
      <c r="AU16436" s="19"/>
    </row>
    <row r="16437" spans="3:47">
      <c r="C16437" s="20"/>
      <c r="Z16437" s="20"/>
      <c r="AG16437" s="20"/>
      <c r="AQ16437" s="19"/>
      <c r="AR16437" s="19"/>
      <c r="AS16437" s="19"/>
      <c r="AT16437" s="19"/>
      <c r="AU16437" s="19"/>
    </row>
    <row r="16438" spans="3:47">
      <c r="C16438" s="20"/>
      <c r="Z16438" s="20"/>
      <c r="AG16438" s="20"/>
      <c r="AQ16438" s="19"/>
      <c r="AR16438" s="19"/>
      <c r="AS16438" s="19"/>
      <c r="AT16438" s="19"/>
      <c r="AU16438" s="19"/>
    </row>
    <row r="16439" spans="3:47">
      <c r="C16439" s="20"/>
      <c r="Z16439" s="20"/>
      <c r="AG16439" s="20"/>
      <c r="AQ16439" s="19"/>
      <c r="AR16439" s="19"/>
      <c r="AS16439" s="19"/>
      <c r="AT16439" s="19"/>
      <c r="AU16439" s="19"/>
    </row>
    <row r="16440" spans="3:47">
      <c r="C16440" s="20"/>
      <c r="Z16440" s="20"/>
      <c r="AG16440" s="20"/>
      <c r="AQ16440" s="19"/>
      <c r="AR16440" s="19"/>
      <c r="AS16440" s="19"/>
      <c r="AT16440" s="19"/>
      <c r="AU16440" s="19"/>
    </row>
    <row r="16441" spans="3:47">
      <c r="C16441" s="20"/>
      <c r="Z16441" s="20"/>
      <c r="AG16441" s="20"/>
      <c r="AQ16441" s="19"/>
      <c r="AR16441" s="19"/>
      <c r="AS16441" s="19"/>
      <c r="AT16441" s="19"/>
      <c r="AU16441" s="19"/>
    </row>
    <row r="16442" spans="3:47">
      <c r="C16442" s="20"/>
      <c r="Z16442" s="20"/>
      <c r="AG16442" s="20"/>
      <c r="AQ16442" s="19"/>
      <c r="AR16442" s="19"/>
      <c r="AS16442" s="19"/>
      <c r="AT16442" s="19"/>
      <c r="AU16442" s="19"/>
    </row>
    <row r="16443" spans="3:47">
      <c r="C16443" s="20"/>
      <c r="Z16443" s="20"/>
      <c r="AG16443" s="20"/>
      <c r="AQ16443" s="19"/>
      <c r="AR16443" s="19"/>
      <c r="AS16443" s="19"/>
      <c r="AT16443" s="19"/>
      <c r="AU16443" s="19"/>
    </row>
    <row r="16444" spans="3:47">
      <c r="C16444" s="20"/>
      <c r="Z16444" s="20"/>
      <c r="AG16444" s="20"/>
      <c r="AQ16444" s="19"/>
      <c r="AR16444" s="19"/>
      <c r="AS16444" s="19"/>
      <c r="AT16444" s="19"/>
      <c r="AU16444" s="19"/>
    </row>
    <row r="16445" spans="3:47">
      <c r="C16445" s="20"/>
      <c r="Z16445" s="20"/>
      <c r="AG16445" s="20"/>
      <c r="AQ16445" s="19"/>
      <c r="AR16445" s="19"/>
      <c r="AS16445" s="19"/>
      <c r="AT16445" s="19"/>
      <c r="AU16445" s="19"/>
    </row>
    <row r="16446" spans="3:47">
      <c r="C16446" s="20"/>
      <c r="Z16446" s="20"/>
      <c r="AG16446" s="20"/>
      <c r="AQ16446" s="19"/>
      <c r="AR16446" s="19"/>
      <c r="AS16446" s="19"/>
      <c r="AT16446" s="19"/>
      <c r="AU16446" s="19"/>
    </row>
    <row r="16447" spans="3:47">
      <c r="C16447" s="20"/>
      <c r="Z16447" s="20"/>
      <c r="AG16447" s="20"/>
      <c r="AQ16447" s="19"/>
      <c r="AR16447" s="19"/>
      <c r="AS16447" s="19"/>
      <c r="AT16447" s="19"/>
      <c r="AU16447" s="19"/>
    </row>
    <row r="16448" spans="3:47">
      <c r="C16448" s="20"/>
      <c r="Z16448" s="20"/>
      <c r="AG16448" s="20"/>
      <c r="AQ16448" s="19"/>
      <c r="AR16448" s="19"/>
      <c r="AS16448" s="19"/>
      <c r="AT16448" s="19"/>
      <c r="AU16448" s="19"/>
    </row>
    <row r="16449" spans="3:47">
      <c r="C16449" s="20"/>
      <c r="Z16449" s="20"/>
      <c r="AG16449" s="20"/>
      <c r="AQ16449" s="19"/>
      <c r="AR16449" s="19"/>
      <c r="AS16449" s="19"/>
      <c r="AT16449" s="19"/>
      <c r="AU16449" s="19"/>
    </row>
    <row r="16450" spans="3:47">
      <c r="C16450" s="20"/>
      <c r="Z16450" s="20"/>
      <c r="AG16450" s="20"/>
      <c r="AQ16450" s="19"/>
      <c r="AR16450" s="19"/>
      <c r="AS16450" s="19"/>
      <c r="AT16450" s="19"/>
      <c r="AU16450" s="19"/>
    </row>
    <row r="16451" spans="3:47">
      <c r="C16451" s="20"/>
      <c r="Z16451" s="20"/>
      <c r="AG16451" s="20"/>
      <c r="AQ16451" s="19"/>
      <c r="AR16451" s="19"/>
      <c r="AS16451" s="19"/>
      <c r="AT16451" s="19"/>
      <c r="AU16451" s="19"/>
    </row>
    <row r="16452" spans="3:47">
      <c r="C16452" s="20"/>
      <c r="Z16452" s="20"/>
      <c r="AG16452" s="20"/>
      <c r="AQ16452" s="19"/>
      <c r="AR16452" s="19"/>
      <c r="AS16452" s="19"/>
      <c r="AT16452" s="19"/>
      <c r="AU16452" s="19"/>
    </row>
    <row r="16453" spans="3:47">
      <c r="C16453" s="20"/>
      <c r="Z16453" s="20"/>
      <c r="AG16453" s="20"/>
      <c r="AQ16453" s="19"/>
      <c r="AR16453" s="19"/>
      <c r="AS16453" s="19"/>
      <c r="AT16453" s="19"/>
      <c r="AU16453" s="19"/>
    </row>
    <row r="16454" spans="3:47">
      <c r="C16454" s="20"/>
      <c r="Z16454" s="20"/>
      <c r="AG16454" s="20"/>
      <c r="AQ16454" s="19"/>
      <c r="AR16454" s="19"/>
      <c r="AS16454" s="19"/>
      <c r="AT16454" s="19"/>
      <c r="AU16454" s="19"/>
    </row>
    <row r="16455" spans="3:47">
      <c r="C16455" s="20"/>
      <c r="Z16455" s="20"/>
      <c r="AG16455" s="20"/>
      <c r="AQ16455" s="19"/>
      <c r="AR16455" s="19"/>
      <c r="AS16455" s="19"/>
      <c r="AT16455" s="19"/>
      <c r="AU16455" s="19"/>
    </row>
    <row r="16456" spans="3:47">
      <c r="C16456" s="20"/>
      <c r="Z16456" s="20"/>
      <c r="AG16456" s="20"/>
      <c r="AQ16456" s="19"/>
      <c r="AR16456" s="19"/>
      <c r="AS16456" s="19"/>
      <c r="AT16456" s="19"/>
      <c r="AU16456" s="19"/>
    </row>
    <row r="16457" spans="3:47">
      <c r="C16457" s="20"/>
      <c r="Z16457" s="20"/>
      <c r="AG16457" s="20"/>
      <c r="AQ16457" s="19"/>
      <c r="AR16457" s="19"/>
      <c r="AS16457" s="19"/>
      <c r="AT16457" s="19"/>
      <c r="AU16457" s="19"/>
    </row>
    <row r="16458" spans="3:47">
      <c r="C16458" s="20"/>
      <c r="Z16458" s="20"/>
      <c r="AG16458" s="20"/>
      <c r="AQ16458" s="19"/>
      <c r="AR16458" s="19"/>
      <c r="AS16458" s="19"/>
      <c r="AT16458" s="19"/>
      <c r="AU16458" s="19"/>
    </row>
    <row r="16459" spans="3:47">
      <c r="C16459" s="20"/>
      <c r="Z16459" s="20"/>
      <c r="AG16459" s="20"/>
      <c r="AQ16459" s="19"/>
      <c r="AR16459" s="19"/>
      <c r="AS16459" s="19"/>
      <c r="AT16459" s="19"/>
      <c r="AU16459" s="19"/>
    </row>
    <row r="16460" spans="3:47">
      <c r="C16460" s="20"/>
      <c r="Z16460" s="20"/>
      <c r="AG16460" s="20"/>
      <c r="AQ16460" s="19"/>
      <c r="AR16460" s="19"/>
      <c r="AS16460" s="19"/>
      <c r="AT16460" s="19"/>
      <c r="AU16460" s="19"/>
    </row>
    <row r="16461" spans="3:47">
      <c r="C16461" s="20"/>
      <c r="Z16461" s="20"/>
      <c r="AG16461" s="20"/>
      <c r="AQ16461" s="19"/>
      <c r="AR16461" s="19"/>
      <c r="AS16461" s="19"/>
      <c r="AT16461" s="19"/>
      <c r="AU16461" s="19"/>
    </row>
    <row r="16462" spans="3:47">
      <c r="C16462" s="20"/>
      <c r="Z16462" s="20"/>
      <c r="AG16462" s="20"/>
      <c r="AQ16462" s="19"/>
      <c r="AR16462" s="19"/>
      <c r="AS16462" s="19"/>
      <c r="AT16462" s="19"/>
      <c r="AU16462" s="19"/>
    </row>
    <row r="16463" spans="3:47">
      <c r="C16463" s="20"/>
      <c r="Z16463" s="20"/>
      <c r="AG16463" s="20"/>
      <c r="AQ16463" s="19"/>
      <c r="AR16463" s="19"/>
      <c r="AS16463" s="19"/>
      <c r="AT16463" s="19"/>
      <c r="AU16463" s="19"/>
    </row>
    <row r="16464" spans="3:47">
      <c r="C16464" s="20"/>
      <c r="Z16464" s="20"/>
      <c r="AG16464" s="20"/>
      <c r="AQ16464" s="19"/>
      <c r="AR16464" s="19"/>
      <c r="AS16464" s="19"/>
      <c r="AT16464" s="19"/>
      <c r="AU16464" s="19"/>
    </row>
    <row r="16465" spans="3:47">
      <c r="C16465" s="20"/>
      <c r="Z16465" s="20"/>
      <c r="AG16465" s="20"/>
      <c r="AQ16465" s="19"/>
      <c r="AR16465" s="19"/>
      <c r="AS16465" s="19"/>
      <c r="AT16465" s="19"/>
      <c r="AU16465" s="19"/>
    </row>
    <row r="16466" spans="3:47">
      <c r="C16466" s="20"/>
      <c r="Z16466" s="20"/>
      <c r="AG16466" s="20"/>
      <c r="AQ16466" s="19"/>
      <c r="AR16466" s="19"/>
      <c r="AS16466" s="19"/>
      <c r="AT16466" s="19"/>
      <c r="AU16466" s="19"/>
    </row>
    <row r="16467" spans="3:47">
      <c r="C16467" s="20"/>
      <c r="Z16467" s="20"/>
      <c r="AG16467" s="20"/>
      <c r="AQ16467" s="19"/>
      <c r="AR16467" s="19"/>
      <c r="AS16467" s="19"/>
      <c r="AT16467" s="19"/>
      <c r="AU16467" s="19"/>
    </row>
    <row r="16468" spans="3:47">
      <c r="C16468" s="20"/>
      <c r="Z16468" s="20"/>
      <c r="AG16468" s="20"/>
      <c r="AQ16468" s="19"/>
      <c r="AR16468" s="19"/>
      <c r="AS16468" s="19"/>
      <c r="AT16468" s="19"/>
      <c r="AU16468" s="19"/>
    </row>
    <row r="16469" spans="3:47">
      <c r="C16469" s="20"/>
      <c r="Z16469" s="20"/>
      <c r="AG16469" s="20"/>
      <c r="AQ16469" s="19"/>
      <c r="AR16469" s="19"/>
      <c r="AS16469" s="19"/>
      <c r="AT16469" s="19"/>
      <c r="AU16469" s="19"/>
    </row>
    <row r="16470" spans="3:47">
      <c r="C16470" s="20"/>
      <c r="Z16470" s="20"/>
      <c r="AG16470" s="20"/>
      <c r="AQ16470" s="19"/>
      <c r="AR16470" s="19"/>
      <c r="AS16470" s="19"/>
      <c r="AT16470" s="19"/>
      <c r="AU16470" s="19"/>
    </row>
    <row r="16471" spans="3:47">
      <c r="C16471" s="20"/>
      <c r="Z16471" s="20"/>
      <c r="AG16471" s="20"/>
      <c r="AQ16471" s="19"/>
      <c r="AR16471" s="19"/>
      <c r="AS16471" s="19"/>
      <c r="AT16471" s="19"/>
      <c r="AU16471" s="19"/>
    </row>
    <row r="16472" spans="3:47">
      <c r="C16472" s="20"/>
      <c r="Z16472" s="20"/>
      <c r="AG16472" s="20"/>
      <c r="AQ16472" s="19"/>
      <c r="AR16472" s="19"/>
      <c r="AS16472" s="19"/>
      <c r="AT16472" s="19"/>
      <c r="AU16472" s="19"/>
    </row>
    <row r="16473" spans="3:47">
      <c r="C16473" s="20"/>
      <c r="Z16473" s="20"/>
      <c r="AG16473" s="20"/>
      <c r="AQ16473" s="19"/>
      <c r="AR16473" s="19"/>
      <c r="AS16473" s="19"/>
      <c r="AT16473" s="19"/>
      <c r="AU16473" s="19"/>
    </row>
    <row r="16474" spans="3:47">
      <c r="C16474" s="20"/>
      <c r="Z16474" s="20"/>
      <c r="AG16474" s="20"/>
      <c r="AQ16474" s="19"/>
      <c r="AR16474" s="19"/>
      <c r="AS16474" s="19"/>
      <c r="AT16474" s="19"/>
      <c r="AU16474" s="19"/>
    </row>
    <row r="16475" spans="3:47">
      <c r="C16475" s="20"/>
      <c r="Z16475" s="20"/>
      <c r="AG16475" s="20"/>
      <c r="AQ16475" s="19"/>
      <c r="AR16475" s="19"/>
      <c r="AS16475" s="19"/>
      <c r="AT16475" s="19"/>
      <c r="AU16475" s="19"/>
    </row>
    <row r="16476" spans="3:47">
      <c r="C16476" s="20"/>
      <c r="Z16476" s="20"/>
      <c r="AG16476" s="20"/>
      <c r="AQ16476" s="19"/>
      <c r="AR16476" s="19"/>
      <c r="AS16476" s="19"/>
      <c r="AT16476" s="19"/>
      <c r="AU16476" s="19"/>
    </row>
    <row r="16477" spans="3:47">
      <c r="C16477" s="20"/>
      <c r="Z16477" s="20"/>
      <c r="AG16477" s="20"/>
      <c r="AQ16477" s="19"/>
      <c r="AR16477" s="19"/>
      <c r="AS16477" s="19"/>
      <c r="AT16477" s="19"/>
      <c r="AU16477" s="19"/>
    </row>
    <row r="16478" spans="3:47">
      <c r="C16478" s="20"/>
      <c r="Z16478" s="20"/>
      <c r="AG16478" s="20"/>
      <c r="AQ16478" s="19"/>
      <c r="AR16478" s="19"/>
      <c r="AS16478" s="19"/>
      <c r="AT16478" s="19"/>
      <c r="AU16478" s="19"/>
    </row>
    <row r="16479" spans="3:47">
      <c r="C16479" s="20"/>
      <c r="Z16479" s="20"/>
      <c r="AG16479" s="20"/>
      <c r="AQ16479" s="19"/>
      <c r="AR16479" s="19"/>
      <c r="AS16479" s="19"/>
      <c r="AT16479" s="19"/>
      <c r="AU16479" s="19"/>
    </row>
    <row r="16480" spans="3:47">
      <c r="C16480" s="20"/>
      <c r="Z16480" s="20"/>
      <c r="AG16480" s="20"/>
      <c r="AQ16480" s="19"/>
      <c r="AR16480" s="19"/>
      <c r="AS16480" s="19"/>
      <c r="AT16480" s="19"/>
      <c r="AU16480" s="19"/>
    </row>
    <row r="16481" spans="3:47">
      <c r="C16481" s="20"/>
      <c r="Z16481" s="20"/>
      <c r="AG16481" s="20"/>
      <c r="AQ16481" s="19"/>
      <c r="AR16481" s="19"/>
      <c r="AS16481" s="19"/>
      <c r="AT16481" s="19"/>
      <c r="AU16481" s="19"/>
    </row>
    <row r="16482" spans="3:47">
      <c r="C16482" s="20"/>
      <c r="Z16482" s="20"/>
      <c r="AG16482" s="20"/>
      <c r="AQ16482" s="19"/>
      <c r="AR16482" s="19"/>
      <c r="AS16482" s="19"/>
      <c r="AT16482" s="19"/>
      <c r="AU16482" s="19"/>
    </row>
    <row r="16483" spans="3:47">
      <c r="C16483" s="20"/>
      <c r="Z16483" s="20"/>
      <c r="AG16483" s="20"/>
      <c r="AQ16483" s="19"/>
      <c r="AR16483" s="19"/>
      <c r="AS16483" s="19"/>
      <c r="AT16483" s="19"/>
      <c r="AU16483" s="19"/>
    </row>
    <row r="16484" spans="3:47">
      <c r="C16484" s="20"/>
      <c r="Z16484" s="20"/>
      <c r="AG16484" s="20"/>
      <c r="AQ16484" s="19"/>
      <c r="AR16484" s="19"/>
      <c r="AS16484" s="19"/>
      <c r="AT16484" s="19"/>
      <c r="AU16484" s="19"/>
    </row>
    <row r="16485" spans="3:47">
      <c r="C16485" s="20"/>
      <c r="Z16485" s="20"/>
      <c r="AG16485" s="20"/>
      <c r="AQ16485" s="19"/>
      <c r="AR16485" s="19"/>
      <c r="AS16485" s="19"/>
      <c r="AT16485" s="19"/>
      <c r="AU16485" s="19"/>
    </row>
    <row r="16486" spans="3:47">
      <c r="C16486" s="20"/>
      <c r="Z16486" s="20"/>
      <c r="AG16486" s="20"/>
      <c r="AQ16486" s="19"/>
      <c r="AR16486" s="19"/>
      <c r="AS16486" s="19"/>
      <c r="AT16486" s="19"/>
      <c r="AU16486" s="19"/>
    </row>
    <row r="16487" spans="3:47">
      <c r="C16487" s="20"/>
      <c r="Z16487" s="20"/>
      <c r="AG16487" s="20"/>
      <c r="AQ16487" s="19"/>
      <c r="AR16487" s="19"/>
      <c r="AS16487" s="19"/>
      <c r="AT16487" s="19"/>
      <c r="AU16487" s="19"/>
    </row>
    <row r="16488" spans="3:47">
      <c r="C16488" s="20"/>
      <c r="Z16488" s="20"/>
      <c r="AG16488" s="20"/>
      <c r="AQ16488" s="19"/>
      <c r="AR16488" s="19"/>
      <c r="AS16488" s="19"/>
      <c r="AT16488" s="19"/>
      <c r="AU16488" s="19"/>
    </row>
    <row r="16489" spans="3:47">
      <c r="C16489" s="20"/>
      <c r="Z16489" s="20"/>
      <c r="AG16489" s="20"/>
      <c r="AQ16489" s="19"/>
      <c r="AR16489" s="19"/>
      <c r="AS16489" s="19"/>
      <c r="AT16489" s="19"/>
      <c r="AU16489" s="19"/>
    </row>
    <row r="16490" spans="3:47">
      <c r="C16490" s="20"/>
      <c r="Z16490" s="20"/>
      <c r="AG16490" s="20"/>
      <c r="AQ16490" s="19"/>
      <c r="AR16490" s="19"/>
      <c r="AS16490" s="19"/>
      <c r="AT16490" s="19"/>
      <c r="AU16490" s="19"/>
    </row>
    <row r="16491" spans="3:47">
      <c r="C16491" s="20"/>
      <c r="Z16491" s="20"/>
      <c r="AG16491" s="20"/>
      <c r="AQ16491" s="19"/>
      <c r="AR16491" s="19"/>
      <c r="AS16491" s="19"/>
      <c r="AT16491" s="19"/>
      <c r="AU16491" s="19"/>
    </row>
    <row r="16492" spans="3:47">
      <c r="C16492" s="20"/>
      <c r="Z16492" s="20"/>
      <c r="AG16492" s="20"/>
      <c r="AQ16492" s="19"/>
      <c r="AR16492" s="19"/>
      <c r="AS16492" s="19"/>
      <c r="AT16492" s="19"/>
      <c r="AU16492" s="19"/>
    </row>
    <row r="16493" spans="3:47">
      <c r="C16493" s="20"/>
      <c r="Z16493" s="20"/>
      <c r="AG16493" s="20"/>
      <c r="AQ16493" s="19"/>
      <c r="AR16493" s="19"/>
      <c r="AS16493" s="19"/>
      <c r="AT16493" s="19"/>
      <c r="AU16493" s="19"/>
    </row>
    <row r="16494" spans="3:47">
      <c r="C16494" s="20"/>
      <c r="Z16494" s="20"/>
      <c r="AG16494" s="20"/>
      <c r="AQ16494" s="19"/>
      <c r="AR16494" s="19"/>
      <c r="AS16494" s="19"/>
      <c r="AT16494" s="19"/>
      <c r="AU16494" s="19"/>
    </row>
    <row r="16495" spans="3:47">
      <c r="C16495" s="20"/>
      <c r="Z16495" s="20"/>
      <c r="AG16495" s="20"/>
      <c r="AQ16495" s="19"/>
      <c r="AR16495" s="19"/>
      <c r="AS16495" s="19"/>
      <c r="AT16495" s="19"/>
      <c r="AU16495" s="19"/>
    </row>
    <row r="16496" spans="3:47">
      <c r="C16496" s="20"/>
      <c r="Z16496" s="20"/>
      <c r="AG16496" s="20"/>
      <c r="AQ16496" s="19"/>
      <c r="AR16496" s="19"/>
      <c r="AS16496" s="19"/>
      <c r="AT16496" s="19"/>
      <c r="AU16496" s="19"/>
    </row>
    <row r="16497" spans="3:47">
      <c r="C16497" s="20"/>
      <c r="Z16497" s="20"/>
      <c r="AG16497" s="20"/>
      <c r="AQ16497" s="19"/>
      <c r="AR16497" s="19"/>
      <c r="AS16497" s="19"/>
      <c r="AT16497" s="19"/>
      <c r="AU16497" s="19"/>
    </row>
    <row r="16498" spans="3:47">
      <c r="C16498" s="20"/>
      <c r="Z16498" s="20"/>
      <c r="AG16498" s="20"/>
      <c r="AQ16498" s="19"/>
      <c r="AR16498" s="19"/>
      <c r="AS16498" s="19"/>
      <c r="AT16498" s="19"/>
      <c r="AU16498" s="19"/>
    </row>
    <row r="16499" spans="3:47">
      <c r="C16499" s="20"/>
      <c r="Z16499" s="20"/>
      <c r="AG16499" s="20"/>
      <c r="AQ16499" s="19"/>
      <c r="AR16499" s="19"/>
      <c r="AS16499" s="19"/>
      <c r="AT16499" s="19"/>
      <c r="AU16499" s="19"/>
    </row>
    <row r="16500" spans="3:47">
      <c r="C16500" s="20"/>
      <c r="Z16500" s="20"/>
      <c r="AG16500" s="20"/>
      <c r="AQ16500" s="19"/>
      <c r="AR16500" s="19"/>
      <c r="AS16500" s="19"/>
      <c r="AT16500" s="19"/>
      <c r="AU16500" s="19"/>
    </row>
    <row r="16501" spans="3:47">
      <c r="C16501" s="20"/>
      <c r="Z16501" s="20"/>
      <c r="AG16501" s="20"/>
      <c r="AQ16501" s="19"/>
      <c r="AR16501" s="19"/>
      <c r="AS16501" s="19"/>
      <c r="AT16501" s="19"/>
      <c r="AU16501" s="19"/>
    </row>
    <row r="16502" spans="3:47">
      <c r="C16502" s="20"/>
      <c r="Z16502" s="20"/>
      <c r="AG16502" s="20"/>
      <c r="AQ16502" s="19"/>
      <c r="AR16502" s="19"/>
      <c r="AS16502" s="19"/>
      <c r="AT16502" s="19"/>
      <c r="AU16502" s="19"/>
    </row>
    <row r="16503" spans="3:47">
      <c r="C16503" s="20"/>
      <c r="Z16503" s="20"/>
      <c r="AG16503" s="20"/>
      <c r="AQ16503" s="19"/>
      <c r="AR16503" s="19"/>
      <c r="AS16503" s="19"/>
      <c r="AT16503" s="19"/>
      <c r="AU16503" s="19"/>
    </row>
    <row r="16504" spans="3:47">
      <c r="C16504" s="20"/>
      <c r="Z16504" s="20"/>
      <c r="AG16504" s="20"/>
      <c r="AQ16504" s="19"/>
      <c r="AR16504" s="19"/>
      <c r="AS16504" s="19"/>
      <c r="AT16504" s="19"/>
      <c r="AU16504" s="19"/>
    </row>
    <row r="16505" spans="3:47">
      <c r="C16505" s="20"/>
      <c r="Z16505" s="20"/>
      <c r="AG16505" s="20"/>
      <c r="AQ16505" s="19"/>
      <c r="AR16505" s="19"/>
      <c r="AS16505" s="19"/>
      <c r="AT16505" s="19"/>
      <c r="AU16505" s="19"/>
    </row>
    <row r="16506" spans="3:47">
      <c r="C16506" s="20"/>
      <c r="Z16506" s="20"/>
      <c r="AG16506" s="20"/>
      <c r="AQ16506" s="19"/>
      <c r="AR16506" s="19"/>
      <c r="AS16506" s="19"/>
      <c r="AT16506" s="19"/>
      <c r="AU16506" s="19"/>
    </row>
    <row r="16507" spans="3:47">
      <c r="C16507" s="20"/>
      <c r="Z16507" s="20"/>
      <c r="AG16507" s="20"/>
      <c r="AQ16507" s="19"/>
      <c r="AR16507" s="19"/>
      <c r="AS16507" s="19"/>
      <c r="AT16507" s="19"/>
      <c r="AU16507" s="19"/>
    </row>
    <row r="16508" spans="3:47">
      <c r="C16508" s="20"/>
      <c r="Z16508" s="20"/>
      <c r="AG16508" s="20"/>
      <c r="AQ16508" s="19"/>
      <c r="AR16508" s="19"/>
      <c r="AS16508" s="19"/>
      <c r="AT16508" s="19"/>
      <c r="AU16508" s="19"/>
    </row>
    <row r="16509" spans="3:47">
      <c r="C16509" s="20"/>
      <c r="Z16509" s="20"/>
      <c r="AG16509" s="20"/>
      <c r="AQ16509" s="19"/>
      <c r="AR16509" s="19"/>
      <c r="AS16509" s="19"/>
      <c r="AT16509" s="19"/>
      <c r="AU16509" s="19"/>
    </row>
    <row r="16510" spans="3:47">
      <c r="C16510" s="20"/>
      <c r="Z16510" s="20"/>
      <c r="AG16510" s="20"/>
      <c r="AQ16510" s="19"/>
      <c r="AR16510" s="19"/>
      <c r="AS16510" s="19"/>
      <c r="AT16510" s="19"/>
      <c r="AU16510" s="19"/>
    </row>
    <row r="16511" spans="3:47">
      <c r="C16511" s="20"/>
      <c r="Z16511" s="20"/>
      <c r="AG16511" s="20"/>
      <c r="AQ16511" s="19"/>
      <c r="AR16511" s="19"/>
      <c r="AS16511" s="19"/>
      <c r="AT16511" s="19"/>
      <c r="AU16511" s="19"/>
    </row>
    <row r="16512" spans="3:47">
      <c r="C16512" s="20"/>
      <c r="Z16512" s="20"/>
      <c r="AG16512" s="20"/>
      <c r="AQ16512" s="19"/>
      <c r="AR16512" s="19"/>
      <c r="AS16512" s="19"/>
      <c r="AT16512" s="19"/>
      <c r="AU16512" s="19"/>
    </row>
    <row r="16513" spans="3:47">
      <c r="C16513" s="20"/>
      <c r="Z16513" s="20"/>
      <c r="AG16513" s="20"/>
      <c r="AQ16513" s="19"/>
      <c r="AR16513" s="19"/>
      <c r="AS16513" s="19"/>
      <c r="AT16513" s="19"/>
      <c r="AU16513" s="19"/>
    </row>
    <row r="16514" spans="3:47">
      <c r="C16514" s="20"/>
      <c r="Z16514" s="20"/>
      <c r="AG16514" s="20"/>
      <c r="AQ16514" s="19"/>
      <c r="AR16514" s="19"/>
      <c r="AS16514" s="19"/>
      <c r="AT16514" s="19"/>
      <c r="AU16514" s="19"/>
    </row>
    <row r="16515" spans="3:47">
      <c r="C16515" s="20"/>
      <c r="Z16515" s="20"/>
      <c r="AG16515" s="20"/>
      <c r="AQ16515" s="19"/>
      <c r="AR16515" s="19"/>
      <c r="AS16515" s="19"/>
      <c r="AT16515" s="19"/>
      <c r="AU16515" s="19"/>
    </row>
    <row r="16516" spans="3:47">
      <c r="C16516" s="20"/>
      <c r="Z16516" s="20"/>
      <c r="AG16516" s="20"/>
      <c r="AQ16516" s="19"/>
      <c r="AR16516" s="19"/>
      <c r="AS16516" s="19"/>
      <c r="AT16516" s="19"/>
      <c r="AU16516" s="19"/>
    </row>
    <row r="16517" spans="3:47">
      <c r="C16517" s="20"/>
      <c r="Z16517" s="20"/>
      <c r="AG16517" s="20"/>
      <c r="AQ16517" s="19"/>
      <c r="AR16517" s="19"/>
      <c r="AS16517" s="19"/>
      <c r="AT16517" s="19"/>
      <c r="AU16517" s="19"/>
    </row>
    <row r="16518" spans="3:47">
      <c r="C16518" s="20"/>
      <c r="Z16518" s="20"/>
      <c r="AG16518" s="20"/>
      <c r="AQ16518" s="19"/>
      <c r="AR16518" s="19"/>
      <c r="AS16518" s="19"/>
      <c r="AT16518" s="19"/>
      <c r="AU16518" s="19"/>
    </row>
    <row r="16519" spans="3:47">
      <c r="C16519" s="20"/>
      <c r="Z16519" s="20"/>
      <c r="AG16519" s="20"/>
      <c r="AQ16519" s="19"/>
      <c r="AR16519" s="19"/>
      <c r="AS16519" s="19"/>
      <c r="AT16519" s="19"/>
      <c r="AU16519" s="19"/>
    </row>
    <row r="16520" spans="3:47">
      <c r="C16520" s="20"/>
      <c r="Z16520" s="20"/>
      <c r="AG16520" s="20"/>
      <c r="AQ16520" s="19"/>
      <c r="AR16520" s="19"/>
      <c r="AS16520" s="19"/>
      <c r="AT16520" s="19"/>
      <c r="AU16520" s="19"/>
    </row>
    <row r="16521" spans="3:47">
      <c r="C16521" s="20"/>
      <c r="Z16521" s="20"/>
      <c r="AG16521" s="20"/>
      <c r="AQ16521" s="19"/>
      <c r="AR16521" s="19"/>
      <c r="AS16521" s="19"/>
      <c r="AT16521" s="19"/>
      <c r="AU16521" s="19"/>
    </row>
    <row r="16522" spans="3:47">
      <c r="C16522" s="20"/>
      <c r="Z16522" s="20"/>
      <c r="AG16522" s="20"/>
      <c r="AQ16522" s="19"/>
      <c r="AR16522" s="19"/>
      <c r="AS16522" s="19"/>
      <c r="AT16522" s="19"/>
      <c r="AU16522" s="19"/>
    </row>
    <row r="16523" spans="3:47">
      <c r="C16523" s="20"/>
      <c r="Z16523" s="20"/>
      <c r="AG16523" s="20"/>
      <c r="AQ16523" s="19"/>
      <c r="AR16523" s="19"/>
      <c r="AS16523" s="19"/>
      <c r="AT16523" s="19"/>
      <c r="AU16523" s="19"/>
    </row>
    <row r="16524" spans="3:47">
      <c r="C16524" s="20"/>
      <c r="Z16524" s="20"/>
      <c r="AG16524" s="20"/>
      <c r="AQ16524" s="19"/>
      <c r="AR16524" s="19"/>
      <c r="AS16524" s="19"/>
      <c r="AT16524" s="19"/>
      <c r="AU16524" s="19"/>
    </row>
    <row r="16525" spans="3:47">
      <c r="C16525" s="20"/>
      <c r="Z16525" s="20"/>
      <c r="AG16525" s="20"/>
      <c r="AQ16525" s="19"/>
      <c r="AR16525" s="19"/>
      <c r="AS16525" s="19"/>
      <c r="AT16525" s="19"/>
      <c r="AU16525" s="19"/>
    </row>
    <row r="16526" spans="3:47">
      <c r="C16526" s="20"/>
      <c r="Z16526" s="20"/>
      <c r="AG16526" s="20"/>
      <c r="AQ16526" s="19"/>
      <c r="AR16526" s="19"/>
      <c r="AS16526" s="19"/>
      <c r="AT16526" s="19"/>
      <c r="AU16526" s="19"/>
    </row>
    <row r="16527" spans="3:47">
      <c r="C16527" s="20"/>
      <c r="Z16527" s="20"/>
      <c r="AG16527" s="20"/>
      <c r="AQ16527" s="19"/>
      <c r="AR16527" s="19"/>
      <c r="AS16527" s="19"/>
      <c r="AT16527" s="19"/>
      <c r="AU16527" s="19"/>
    </row>
    <row r="16528" spans="3:47">
      <c r="C16528" s="20"/>
      <c r="Z16528" s="20"/>
      <c r="AG16528" s="20"/>
      <c r="AQ16528" s="19"/>
      <c r="AR16528" s="19"/>
      <c r="AS16528" s="19"/>
      <c r="AT16528" s="19"/>
      <c r="AU16528" s="19"/>
    </row>
    <row r="16529" spans="3:47">
      <c r="C16529" s="20"/>
      <c r="Z16529" s="20"/>
      <c r="AG16529" s="20"/>
      <c r="AQ16529" s="19"/>
      <c r="AR16529" s="19"/>
      <c r="AS16529" s="19"/>
      <c r="AT16529" s="19"/>
      <c r="AU16529" s="19"/>
    </row>
    <row r="16530" spans="3:47">
      <c r="C16530" s="20"/>
      <c r="Z16530" s="20"/>
      <c r="AG16530" s="20"/>
      <c r="AQ16530" s="19"/>
      <c r="AR16530" s="19"/>
      <c r="AS16530" s="19"/>
      <c r="AT16530" s="19"/>
      <c r="AU16530" s="19"/>
    </row>
    <row r="16531" spans="3:47">
      <c r="C16531" s="20"/>
      <c r="Z16531" s="20"/>
      <c r="AG16531" s="20"/>
      <c r="AQ16531" s="19"/>
      <c r="AR16531" s="19"/>
      <c r="AS16531" s="19"/>
      <c r="AT16531" s="19"/>
      <c r="AU16531" s="19"/>
    </row>
    <row r="16532" spans="3:47">
      <c r="C16532" s="20"/>
      <c r="Z16532" s="20"/>
      <c r="AG16532" s="20"/>
      <c r="AQ16532" s="19"/>
      <c r="AR16532" s="19"/>
      <c r="AS16532" s="19"/>
      <c r="AT16532" s="19"/>
      <c r="AU16532" s="19"/>
    </row>
    <row r="16533" spans="3:47">
      <c r="C16533" s="20"/>
      <c r="Z16533" s="20"/>
      <c r="AG16533" s="20"/>
      <c r="AQ16533" s="19"/>
      <c r="AR16533" s="19"/>
      <c r="AS16533" s="19"/>
      <c r="AT16533" s="19"/>
      <c r="AU16533" s="19"/>
    </row>
    <row r="16534" spans="3:47">
      <c r="C16534" s="20"/>
      <c r="Z16534" s="20"/>
      <c r="AG16534" s="20"/>
      <c r="AQ16534" s="19"/>
      <c r="AR16534" s="19"/>
      <c r="AS16534" s="19"/>
      <c r="AT16534" s="19"/>
      <c r="AU16534" s="19"/>
    </row>
    <row r="16535" spans="3:47">
      <c r="C16535" s="20"/>
      <c r="Z16535" s="20"/>
      <c r="AG16535" s="20"/>
      <c r="AQ16535" s="19"/>
      <c r="AR16535" s="19"/>
      <c r="AS16535" s="19"/>
      <c r="AT16535" s="19"/>
      <c r="AU16535" s="19"/>
    </row>
    <row r="16536" spans="3:47">
      <c r="C16536" s="20"/>
      <c r="Z16536" s="20"/>
      <c r="AG16536" s="20"/>
      <c r="AQ16536" s="19"/>
      <c r="AR16536" s="19"/>
      <c r="AS16536" s="19"/>
      <c r="AT16536" s="19"/>
      <c r="AU16536" s="19"/>
    </row>
    <row r="16537" spans="3:47">
      <c r="C16537" s="20"/>
      <c r="Z16537" s="20"/>
      <c r="AG16537" s="20"/>
      <c r="AQ16537" s="19"/>
      <c r="AR16537" s="19"/>
      <c r="AS16537" s="19"/>
      <c r="AT16537" s="19"/>
      <c r="AU16537" s="19"/>
    </row>
    <row r="16538" spans="3:47">
      <c r="C16538" s="20"/>
      <c r="Z16538" s="20"/>
      <c r="AG16538" s="20"/>
      <c r="AQ16538" s="19"/>
      <c r="AR16538" s="19"/>
      <c r="AS16538" s="19"/>
      <c r="AT16538" s="19"/>
      <c r="AU16538" s="19"/>
    </row>
    <row r="16539" spans="3:47">
      <c r="C16539" s="20"/>
      <c r="Z16539" s="20"/>
      <c r="AG16539" s="20"/>
      <c r="AQ16539" s="19"/>
      <c r="AR16539" s="19"/>
      <c r="AS16539" s="19"/>
      <c r="AT16539" s="19"/>
      <c r="AU16539" s="19"/>
    </row>
    <row r="16540" spans="3:47">
      <c r="C16540" s="20"/>
      <c r="Z16540" s="20"/>
      <c r="AG16540" s="20"/>
      <c r="AQ16540" s="19"/>
      <c r="AR16540" s="19"/>
      <c r="AS16540" s="19"/>
      <c r="AT16540" s="19"/>
      <c r="AU16540" s="19"/>
    </row>
    <row r="16541" spans="3:47">
      <c r="C16541" s="20"/>
      <c r="Z16541" s="20"/>
      <c r="AG16541" s="20"/>
      <c r="AQ16541" s="19"/>
      <c r="AR16541" s="19"/>
      <c r="AS16541" s="19"/>
      <c r="AT16541" s="19"/>
      <c r="AU16541" s="19"/>
    </row>
    <row r="16542" spans="3:47">
      <c r="C16542" s="20"/>
      <c r="Z16542" s="20"/>
      <c r="AG16542" s="20"/>
      <c r="AQ16542" s="19"/>
      <c r="AR16542" s="19"/>
      <c r="AS16542" s="19"/>
      <c r="AT16542" s="19"/>
      <c r="AU16542" s="19"/>
    </row>
    <row r="16543" spans="3:47">
      <c r="C16543" s="20"/>
      <c r="Z16543" s="20"/>
      <c r="AG16543" s="20"/>
      <c r="AQ16543" s="19"/>
      <c r="AR16543" s="19"/>
      <c r="AS16543" s="19"/>
      <c r="AT16543" s="19"/>
      <c r="AU16543" s="19"/>
    </row>
    <row r="16544" spans="3:47">
      <c r="C16544" s="20"/>
      <c r="Z16544" s="20"/>
      <c r="AG16544" s="20"/>
      <c r="AQ16544" s="19"/>
      <c r="AR16544" s="19"/>
      <c r="AS16544" s="19"/>
      <c r="AT16544" s="19"/>
      <c r="AU16544" s="19"/>
    </row>
    <row r="16545" spans="3:47">
      <c r="C16545" s="20"/>
      <c r="Z16545" s="20"/>
      <c r="AG16545" s="20"/>
      <c r="AQ16545" s="19"/>
      <c r="AR16545" s="19"/>
      <c r="AS16545" s="19"/>
      <c r="AT16545" s="19"/>
      <c r="AU16545" s="19"/>
    </row>
    <row r="16546" spans="3:47">
      <c r="C16546" s="20"/>
      <c r="Z16546" s="20"/>
      <c r="AG16546" s="20"/>
      <c r="AQ16546" s="19"/>
      <c r="AR16546" s="19"/>
      <c r="AS16546" s="19"/>
      <c r="AT16546" s="19"/>
      <c r="AU16546" s="19"/>
    </row>
    <row r="16547" spans="3:47">
      <c r="C16547" s="20"/>
      <c r="Z16547" s="20"/>
      <c r="AG16547" s="20"/>
      <c r="AQ16547" s="19"/>
      <c r="AR16547" s="19"/>
      <c r="AS16547" s="19"/>
      <c r="AT16547" s="19"/>
      <c r="AU16547" s="19"/>
    </row>
    <row r="16548" spans="3:47">
      <c r="C16548" s="20"/>
      <c r="Z16548" s="20"/>
      <c r="AG16548" s="20"/>
      <c r="AQ16548" s="19"/>
      <c r="AR16548" s="19"/>
      <c r="AS16548" s="19"/>
      <c r="AT16548" s="19"/>
      <c r="AU16548" s="19"/>
    </row>
    <row r="16549" spans="3:47">
      <c r="C16549" s="20"/>
      <c r="Z16549" s="20"/>
      <c r="AG16549" s="20"/>
      <c r="AQ16549" s="19"/>
      <c r="AR16549" s="19"/>
      <c r="AS16549" s="19"/>
      <c r="AT16549" s="19"/>
      <c r="AU16549" s="19"/>
    </row>
    <row r="16550" spans="3:47">
      <c r="C16550" s="20"/>
      <c r="Z16550" s="20"/>
      <c r="AG16550" s="20"/>
      <c r="AQ16550" s="19"/>
      <c r="AR16550" s="19"/>
      <c r="AS16550" s="19"/>
      <c r="AT16550" s="19"/>
      <c r="AU16550" s="19"/>
    </row>
    <row r="16551" spans="3:47">
      <c r="C16551" s="20"/>
      <c r="Z16551" s="20"/>
      <c r="AG16551" s="20"/>
      <c r="AQ16551" s="19"/>
      <c r="AR16551" s="19"/>
      <c r="AS16551" s="19"/>
      <c r="AT16551" s="19"/>
      <c r="AU16551" s="19"/>
    </row>
    <row r="16552" spans="3:47">
      <c r="C16552" s="20"/>
      <c r="Z16552" s="20"/>
      <c r="AG16552" s="20"/>
      <c r="AQ16552" s="19"/>
      <c r="AR16552" s="19"/>
      <c r="AS16552" s="19"/>
      <c r="AT16552" s="19"/>
      <c r="AU16552" s="19"/>
    </row>
    <row r="16553" spans="3:47">
      <c r="C16553" s="20"/>
      <c r="Z16553" s="20"/>
      <c r="AG16553" s="20"/>
      <c r="AQ16553" s="19"/>
      <c r="AR16553" s="19"/>
      <c r="AS16553" s="19"/>
      <c r="AT16553" s="19"/>
      <c r="AU16553" s="19"/>
    </row>
    <row r="16554" spans="3:47">
      <c r="C16554" s="20"/>
      <c r="Z16554" s="20"/>
      <c r="AG16554" s="20"/>
      <c r="AQ16554" s="19"/>
      <c r="AR16554" s="19"/>
      <c r="AS16554" s="19"/>
      <c r="AT16554" s="19"/>
      <c r="AU16554" s="19"/>
    </row>
    <row r="16555" spans="3:47">
      <c r="C16555" s="20"/>
      <c r="Z16555" s="20"/>
      <c r="AG16555" s="20"/>
      <c r="AQ16555" s="19"/>
      <c r="AR16555" s="19"/>
      <c r="AS16555" s="19"/>
      <c r="AT16555" s="19"/>
      <c r="AU16555" s="19"/>
    </row>
    <row r="16556" spans="3:47">
      <c r="C16556" s="20"/>
      <c r="Z16556" s="20"/>
      <c r="AG16556" s="20"/>
      <c r="AQ16556" s="19"/>
      <c r="AR16556" s="19"/>
      <c r="AS16556" s="19"/>
      <c r="AT16556" s="19"/>
      <c r="AU16556" s="19"/>
    </row>
    <row r="16557" spans="3:47">
      <c r="C16557" s="20"/>
      <c r="Z16557" s="20"/>
      <c r="AG16557" s="20"/>
      <c r="AQ16557" s="19"/>
      <c r="AR16557" s="19"/>
      <c r="AS16557" s="19"/>
      <c r="AT16557" s="19"/>
      <c r="AU16557" s="19"/>
    </row>
    <row r="16558" spans="3:47">
      <c r="C16558" s="20"/>
      <c r="Z16558" s="20"/>
      <c r="AG16558" s="20"/>
      <c r="AQ16558" s="19"/>
      <c r="AR16558" s="19"/>
      <c r="AS16558" s="19"/>
      <c r="AT16558" s="19"/>
      <c r="AU16558" s="19"/>
    </row>
    <row r="16559" spans="3:47">
      <c r="C16559" s="20"/>
      <c r="Z16559" s="20"/>
      <c r="AG16559" s="20"/>
      <c r="AQ16559" s="19"/>
      <c r="AR16559" s="19"/>
      <c r="AS16559" s="19"/>
      <c r="AT16559" s="19"/>
      <c r="AU16559" s="19"/>
    </row>
    <row r="16560" spans="3:47">
      <c r="C16560" s="20"/>
      <c r="Z16560" s="20"/>
      <c r="AG16560" s="20"/>
      <c r="AQ16560" s="19"/>
      <c r="AR16560" s="19"/>
      <c r="AS16560" s="19"/>
      <c r="AT16560" s="19"/>
      <c r="AU16560" s="19"/>
    </row>
    <row r="16561" spans="3:47">
      <c r="C16561" s="20"/>
      <c r="Z16561" s="20"/>
      <c r="AG16561" s="20"/>
      <c r="AQ16561" s="19"/>
      <c r="AR16561" s="19"/>
      <c r="AS16561" s="19"/>
      <c r="AT16561" s="19"/>
      <c r="AU16561" s="19"/>
    </row>
    <row r="16562" spans="3:47">
      <c r="C16562" s="20"/>
      <c r="Z16562" s="20"/>
      <c r="AG16562" s="20"/>
      <c r="AQ16562" s="19"/>
      <c r="AR16562" s="19"/>
      <c r="AS16562" s="19"/>
      <c r="AT16562" s="19"/>
      <c r="AU16562" s="19"/>
    </row>
    <row r="16563" spans="3:47">
      <c r="C16563" s="20"/>
      <c r="Z16563" s="20"/>
      <c r="AG16563" s="20"/>
      <c r="AQ16563" s="19"/>
      <c r="AR16563" s="19"/>
      <c r="AS16563" s="19"/>
      <c r="AT16563" s="19"/>
      <c r="AU16563" s="19"/>
    </row>
    <row r="16564" spans="3:47">
      <c r="C16564" s="20"/>
      <c r="Z16564" s="20"/>
      <c r="AG16564" s="20"/>
      <c r="AQ16564" s="19"/>
      <c r="AR16564" s="19"/>
      <c r="AS16564" s="19"/>
      <c r="AT16564" s="19"/>
      <c r="AU16564" s="19"/>
    </row>
    <row r="16565" spans="3:47">
      <c r="C16565" s="20"/>
      <c r="Z16565" s="20"/>
      <c r="AG16565" s="20"/>
      <c r="AQ16565" s="19"/>
      <c r="AR16565" s="19"/>
      <c r="AS16565" s="19"/>
      <c r="AT16565" s="19"/>
      <c r="AU16565" s="19"/>
    </row>
    <row r="16566" spans="3:47">
      <c r="C16566" s="20"/>
      <c r="Z16566" s="20"/>
      <c r="AG16566" s="20"/>
      <c r="AQ16566" s="19"/>
      <c r="AR16566" s="19"/>
      <c r="AS16566" s="19"/>
      <c r="AT16566" s="19"/>
      <c r="AU16566" s="19"/>
    </row>
    <row r="16567" spans="3:47">
      <c r="C16567" s="20"/>
      <c r="Z16567" s="20"/>
      <c r="AG16567" s="20"/>
      <c r="AQ16567" s="19"/>
      <c r="AR16567" s="19"/>
      <c r="AS16567" s="19"/>
      <c r="AT16567" s="19"/>
      <c r="AU16567" s="19"/>
    </row>
    <row r="16568" spans="3:47">
      <c r="C16568" s="20"/>
      <c r="Z16568" s="20"/>
      <c r="AG16568" s="20"/>
      <c r="AQ16568" s="19"/>
      <c r="AR16568" s="19"/>
      <c r="AS16568" s="19"/>
      <c r="AT16568" s="19"/>
      <c r="AU16568" s="19"/>
    </row>
    <row r="16569" spans="3:47">
      <c r="C16569" s="20"/>
      <c r="Z16569" s="20"/>
      <c r="AG16569" s="20"/>
      <c r="AQ16569" s="19"/>
      <c r="AR16569" s="19"/>
      <c r="AS16569" s="19"/>
      <c r="AT16569" s="19"/>
      <c r="AU16569" s="19"/>
    </row>
    <row r="16570" spans="3:47">
      <c r="C16570" s="20"/>
      <c r="Z16570" s="20"/>
      <c r="AG16570" s="20"/>
      <c r="AQ16570" s="19"/>
      <c r="AR16570" s="19"/>
      <c r="AS16570" s="19"/>
      <c r="AT16570" s="19"/>
      <c r="AU16570" s="19"/>
    </row>
    <row r="16571" spans="3:47">
      <c r="C16571" s="20"/>
      <c r="Z16571" s="20"/>
      <c r="AG16571" s="20"/>
      <c r="AQ16571" s="19"/>
      <c r="AR16571" s="19"/>
      <c r="AS16571" s="19"/>
      <c r="AT16571" s="19"/>
      <c r="AU16571" s="19"/>
    </row>
    <row r="16572" spans="3:47">
      <c r="C16572" s="20"/>
      <c r="Z16572" s="20"/>
      <c r="AG16572" s="20"/>
      <c r="AQ16572" s="19"/>
      <c r="AR16572" s="19"/>
      <c r="AS16572" s="19"/>
      <c r="AT16572" s="19"/>
      <c r="AU16572" s="19"/>
    </row>
    <row r="16573" spans="3:47">
      <c r="C16573" s="20"/>
      <c r="Z16573" s="20"/>
      <c r="AG16573" s="20"/>
      <c r="AQ16573" s="19"/>
      <c r="AR16573" s="19"/>
      <c r="AS16573" s="19"/>
      <c r="AT16573" s="19"/>
      <c r="AU16573" s="19"/>
    </row>
    <row r="16574" spans="3:47">
      <c r="C16574" s="20"/>
      <c r="Z16574" s="20"/>
      <c r="AG16574" s="20"/>
      <c r="AQ16574" s="19"/>
      <c r="AR16574" s="19"/>
      <c r="AS16574" s="19"/>
      <c r="AT16574" s="19"/>
      <c r="AU16574" s="19"/>
    </row>
    <row r="16575" spans="3:47">
      <c r="C16575" s="20"/>
      <c r="Z16575" s="20"/>
      <c r="AG16575" s="20"/>
      <c r="AQ16575" s="19"/>
      <c r="AR16575" s="19"/>
      <c r="AS16575" s="19"/>
      <c r="AT16575" s="19"/>
      <c r="AU16575" s="19"/>
    </row>
    <row r="16576" spans="3:47">
      <c r="C16576" s="20"/>
      <c r="Z16576" s="20"/>
      <c r="AG16576" s="20"/>
      <c r="AQ16576" s="19"/>
      <c r="AR16576" s="19"/>
      <c r="AS16576" s="19"/>
      <c r="AT16576" s="19"/>
      <c r="AU16576" s="19"/>
    </row>
    <row r="16577" spans="3:47">
      <c r="C16577" s="20"/>
      <c r="Z16577" s="20"/>
      <c r="AG16577" s="20"/>
      <c r="AQ16577" s="19"/>
      <c r="AR16577" s="19"/>
      <c r="AS16577" s="19"/>
      <c r="AT16577" s="19"/>
      <c r="AU16577" s="19"/>
    </row>
    <row r="16578" spans="3:47">
      <c r="C16578" s="20"/>
      <c r="Z16578" s="20"/>
      <c r="AG16578" s="20"/>
      <c r="AQ16578" s="19"/>
      <c r="AR16578" s="19"/>
      <c r="AS16578" s="19"/>
      <c r="AT16578" s="19"/>
      <c r="AU16578" s="19"/>
    </row>
    <row r="16579" spans="3:47">
      <c r="C16579" s="20"/>
      <c r="Z16579" s="20"/>
      <c r="AG16579" s="20"/>
      <c r="AQ16579" s="19"/>
      <c r="AR16579" s="19"/>
      <c r="AS16579" s="19"/>
      <c r="AT16579" s="19"/>
      <c r="AU16579" s="19"/>
    </row>
    <row r="16580" spans="3:47">
      <c r="C16580" s="20"/>
      <c r="Z16580" s="20"/>
      <c r="AG16580" s="20"/>
      <c r="AQ16580" s="19"/>
      <c r="AR16580" s="19"/>
      <c r="AS16580" s="19"/>
      <c r="AT16580" s="19"/>
      <c r="AU16580" s="19"/>
    </row>
    <row r="16581" spans="3:47">
      <c r="C16581" s="20"/>
      <c r="Z16581" s="20"/>
      <c r="AG16581" s="20"/>
      <c r="AQ16581" s="19"/>
      <c r="AR16581" s="19"/>
      <c r="AS16581" s="19"/>
      <c r="AT16581" s="19"/>
      <c r="AU16581" s="19"/>
    </row>
    <row r="16582" spans="3:47">
      <c r="C16582" s="20"/>
      <c r="Z16582" s="20"/>
      <c r="AG16582" s="20"/>
      <c r="AQ16582" s="19"/>
      <c r="AR16582" s="19"/>
      <c r="AS16582" s="19"/>
      <c r="AT16582" s="19"/>
      <c r="AU16582" s="19"/>
    </row>
    <row r="16583" spans="3:47">
      <c r="C16583" s="20"/>
      <c r="Z16583" s="20"/>
      <c r="AG16583" s="20"/>
      <c r="AQ16583" s="19"/>
      <c r="AR16583" s="19"/>
      <c r="AS16583" s="19"/>
      <c r="AT16583" s="19"/>
      <c r="AU16583" s="19"/>
    </row>
    <row r="16584" spans="3:47">
      <c r="C16584" s="20"/>
      <c r="Z16584" s="20"/>
      <c r="AG16584" s="20"/>
      <c r="AQ16584" s="19"/>
      <c r="AR16584" s="19"/>
      <c r="AS16584" s="19"/>
      <c r="AT16584" s="19"/>
      <c r="AU16584" s="19"/>
    </row>
    <row r="16585" spans="3:47">
      <c r="C16585" s="20"/>
      <c r="Z16585" s="20"/>
      <c r="AG16585" s="20"/>
      <c r="AQ16585" s="19"/>
      <c r="AR16585" s="19"/>
      <c r="AS16585" s="19"/>
      <c r="AT16585" s="19"/>
      <c r="AU16585" s="19"/>
    </row>
    <row r="16586" spans="3:47">
      <c r="C16586" s="20"/>
      <c r="Z16586" s="20"/>
      <c r="AG16586" s="20"/>
      <c r="AQ16586" s="19"/>
      <c r="AR16586" s="19"/>
      <c r="AS16586" s="19"/>
      <c r="AT16586" s="19"/>
      <c r="AU16586" s="19"/>
    </row>
    <row r="16587" spans="3:47">
      <c r="C16587" s="20"/>
      <c r="Z16587" s="20"/>
      <c r="AG16587" s="20"/>
      <c r="AQ16587" s="19"/>
      <c r="AR16587" s="19"/>
      <c r="AS16587" s="19"/>
      <c r="AT16587" s="19"/>
      <c r="AU16587" s="19"/>
    </row>
    <row r="16588" spans="3:47">
      <c r="C16588" s="20"/>
      <c r="Z16588" s="20"/>
      <c r="AG16588" s="20"/>
      <c r="AQ16588" s="19"/>
      <c r="AR16588" s="19"/>
      <c r="AS16588" s="19"/>
      <c r="AT16588" s="19"/>
      <c r="AU16588" s="19"/>
    </row>
    <row r="16589" spans="3:47">
      <c r="C16589" s="20"/>
      <c r="Z16589" s="20"/>
      <c r="AG16589" s="20"/>
      <c r="AQ16589" s="19"/>
      <c r="AR16589" s="19"/>
      <c r="AS16589" s="19"/>
      <c r="AT16589" s="19"/>
      <c r="AU16589" s="19"/>
    </row>
    <row r="16590" spans="3:47">
      <c r="C16590" s="20"/>
      <c r="Z16590" s="20"/>
      <c r="AG16590" s="20"/>
      <c r="AQ16590" s="19"/>
      <c r="AR16590" s="19"/>
      <c r="AS16590" s="19"/>
      <c r="AT16590" s="19"/>
      <c r="AU16590" s="19"/>
    </row>
    <row r="16591" spans="3:47">
      <c r="C16591" s="20"/>
      <c r="Z16591" s="20"/>
      <c r="AG16591" s="20"/>
      <c r="AQ16591" s="19"/>
      <c r="AR16591" s="19"/>
      <c r="AS16591" s="19"/>
      <c r="AT16591" s="19"/>
      <c r="AU16591" s="19"/>
    </row>
    <row r="16592" spans="3:47">
      <c r="C16592" s="20"/>
      <c r="Z16592" s="20"/>
      <c r="AG16592" s="20"/>
      <c r="AQ16592" s="19"/>
      <c r="AR16592" s="19"/>
      <c r="AS16592" s="19"/>
      <c r="AT16592" s="19"/>
      <c r="AU16592" s="19"/>
    </row>
    <row r="16593" spans="3:47">
      <c r="C16593" s="20"/>
      <c r="Z16593" s="20"/>
      <c r="AG16593" s="20"/>
      <c r="AQ16593" s="19"/>
      <c r="AR16593" s="19"/>
      <c r="AS16593" s="19"/>
      <c r="AT16593" s="19"/>
      <c r="AU16593" s="19"/>
    </row>
    <row r="16594" spans="3:47">
      <c r="C16594" s="20"/>
      <c r="Z16594" s="20"/>
      <c r="AG16594" s="20"/>
      <c r="AQ16594" s="19"/>
      <c r="AR16594" s="19"/>
      <c r="AS16594" s="19"/>
      <c r="AT16594" s="19"/>
      <c r="AU16594" s="19"/>
    </row>
    <row r="16595" spans="3:47">
      <c r="C16595" s="20"/>
      <c r="Z16595" s="20"/>
      <c r="AG16595" s="20"/>
      <c r="AQ16595" s="19"/>
      <c r="AR16595" s="19"/>
      <c r="AS16595" s="19"/>
      <c r="AT16595" s="19"/>
      <c r="AU16595" s="19"/>
    </row>
    <row r="16596" spans="3:47">
      <c r="C16596" s="20"/>
      <c r="Z16596" s="20"/>
      <c r="AG16596" s="20"/>
      <c r="AQ16596" s="19"/>
      <c r="AR16596" s="19"/>
      <c r="AS16596" s="19"/>
      <c r="AT16596" s="19"/>
      <c r="AU16596" s="19"/>
    </row>
    <row r="16597" spans="3:47">
      <c r="C16597" s="20"/>
      <c r="Z16597" s="20"/>
      <c r="AG16597" s="20"/>
      <c r="AQ16597" s="19"/>
      <c r="AR16597" s="19"/>
      <c r="AS16597" s="19"/>
      <c r="AT16597" s="19"/>
      <c r="AU16597" s="19"/>
    </row>
    <row r="16598" spans="3:47">
      <c r="C16598" s="20"/>
      <c r="Z16598" s="20"/>
      <c r="AG16598" s="20"/>
      <c r="AQ16598" s="19"/>
      <c r="AR16598" s="19"/>
      <c r="AS16598" s="19"/>
      <c r="AT16598" s="19"/>
      <c r="AU16598" s="19"/>
    </row>
    <row r="16599" spans="3:47">
      <c r="C16599" s="20"/>
      <c r="Z16599" s="20"/>
      <c r="AG16599" s="20"/>
      <c r="AQ16599" s="19"/>
      <c r="AR16599" s="19"/>
      <c r="AS16599" s="19"/>
      <c r="AT16599" s="19"/>
      <c r="AU16599" s="19"/>
    </row>
    <row r="16600" spans="3:47">
      <c r="C16600" s="20"/>
      <c r="Z16600" s="20"/>
      <c r="AG16600" s="20"/>
      <c r="AQ16600" s="19"/>
      <c r="AR16600" s="19"/>
      <c r="AS16600" s="19"/>
      <c r="AT16600" s="19"/>
      <c r="AU16600" s="19"/>
    </row>
    <row r="16601" spans="3:47">
      <c r="C16601" s="20"/>
      <c r="Z16601" s="20"/>
      <c r="AG16601" s="20"/>
      <c r="AQ16601" s="19"/>
      <c r="AR16601" s="19"/>
      <c r="AS16601" s="19"/>
      <c r="AT16601" s="19"/>
      <c r="AU16601" s="19"/>
    </row>
    <row r="16602" spans="3:47">
      <c r="C16602" s="20"/>
      <c r="Z16602" s="20"/>
      <c r="AG16602" s="20"/>
      <c r="AQ16602" s="19"/>
      <c r="AR16602" s="19"/>
      <c r="AS16602" s="19"/>
      <c r="AT16602" s="19"/>
      <c r="AU16602" s="19"/>
    </row>
    <row r="16603" spans="3:47">
      <c r="C16603" s="20"/>
      <c r="Z16603" s="20"/>
      <c r="AG16603" s="20"/>
      <c r="AQ16603" s="19"/>
      <c r="AR16603" s="19"/>
      <c r="AS16603" s="19"/>
      <c r="AT16603" s="19"/>
      <c r="AU16603" s="19"/>
    </row>
    <row r="16604" spans="3:47">
      <c r="C16604" s="20"/>
      <c r="Z16604" s="20"/>
      <c r="AG16604" s="20"/>
      <c r="AQ16604" s="19"/>
      <c r="AR16604" s="19"/>
      <c r="AS16604" s="19"/>
      <c r="AT16604" s="19"/>
      <c r="AU16604" s="19"/>
    </row>
    <row r="16605" spans="3:47">
      <c r="C16605" s="20"/>
      <c r="Z16605" s="20"/>
      <c r="AG16605" s="20"/>
      <c r="AQ16605" s="19"/>
      <c r="AR16605" s="19"/>
      <c r="AS16605" s="19"/>
      <c r="AT16605" s="19"/>
      <c r="AU16605" s="19"/>
    </row>
    <row r="16606" spans="3:47">
      <c r="C16606" s="20"/>
      <c r="Z16606" s="20"/>
      <c r="AG16606" s="20"/>
      <c r="AQ16606" s="19"/>
      <c r="AR16606" s="19"/>
      <c r="AS16606" s="19"/>
      <c r="AT16606" s="19"/>
      <c r="AU16606" s="19"/>
    </row>
    <row r="16607" spans="3:47">
      <c r="C16607" s="20"/>
      <c r="Z16607" s="20"/>
      <c r="AG16607" s="20"/>
      <c r="AQ16607" s="19"/>
      <c r="AR16607" s="19"/>
      <c r="AS16607" s="19"/>
      <c r="AT16607" s="19"/>
      <c r="AU16607" s="19"/>
    </row>
    <row r="16608" spans="3:47">
      <c r="C16608" s="20"/>
      <c r="Z16608" s="20"/>
      <c r="AG16608" s="20"/>
      <c r="AQ16608" s="19"/>
      <c r="AR16608" s="19"/>
      <c r="AS16608" s="19"/>
      <c r="AT16608" s="19"/>
      <c r="AU16608" s="19"/>
    </row>
    <row r="16609" spans="3:47">
      <c r="C16609" s="20"/>
      <c r="Z16609" s="20"/>
      <c r="AG16609" s="20"/>
      <c r="AQ16609" s="19"/>
      <c r="AR16609" s="19"/>
      <c r="AS16609" s="19"/>
      <c r="AT16609" s="19"/>
      <c r="AU16609" s="19"/>
    </row>
    <row r="16610" spans="3:47">
      <c r="C16610" s="20"/>
      <c r="Z16610" s="20"/>
      <c r="AG16610" s="20"/>
      <c r="AQ16610" s="19"/>
      <c r="AR16610" s="19"/>
      <c r="AS16610" s="19"/>
      <c r="AT16610" s="19"/>
      <c r="AU16610" s="19"/>
    </row>
    <row r="16611" spans="3:47">
      <c r="C16611" s="20"/>
      <c r="Z16611" s="20"/>
      <c r="AG16611" s="20"/>
      <c r="AQ16611" s="19"/>
      <c r="AR16611" s="19"/>
      <c r="AS16611" s="19"/>
      <c r="AT16611" s="19"/>
      <c r="AU16611" s="19"/>
    </row>
    <row r="16612" spans="3:47">
      <c r="C16612" s="20"/>
      <c r="Z16612" s="20"/>
      <c r="AG16612" s="20"/>
      <c r="AQ16612" s="19"/>
      <c r="AR16612" s="19"/>
      <c r="AS16612" s="19"/>
      <c r="AT16612" s="19"/>
      <c r="AU16612" s="19"/>
    </row>
    <row r="16613" spans="3:47">
      <c r="C16613" s="20"/>
      <c r="Z16613" s="20"/>
      <c r="AG16613" s="20"/>
      <c r="AQ16613" s="19"/>
      <c r="AR16613" s="19"/>
      <c r="AS16613" s="19"/>
      <c r="AT16613" s="19"/>
      <c r="AU16613" s="19"/>
    </row>
    <row r="16614" spans="3:47">
      <c r="C16614" s="20"/>
      <c r="Z16614" s="20"/>
      <c r="AG16614" s="20"/>
      <c r="AQ16614" s="19"/>
      <c r="AR16614" s="19"/>
      <c r="AS16614" s="19"/>
      <c r="AT16614" s="19"/>
      <c r="AU16614" s="19"/>
    </row>
    <row r="16615" spans="3:47">
      <c r="C16615" s="20"/>
      <c r="Z16615" s="20"/>
      <c r="AG16615" s="20"/>
      <c r="AQ16615" s="19"/>
      <c r="AR16615" s="19"/>
      <c r="AS16615" s="19"/>
      <c r="AT16615" s="19"/>
      <c r="AU16615" s="19"/>
    </row>
    <row r="16616" spans="3:47">
      <c r="C16616" s="20"/>
      <c r="Z16616" s="20"/>
      <c r="AG16616" s="20"/>
      <c r="AQ16616" s="19"/>
      <c r="AR16616" s="19"/>
      <c r="AS16616" s="19"/>
      <c r="AT16616" s="19"/>
      <c r="AU16616" s="19"/>
    </row>
    <row r="16617" spans="3:47">
      <c r="C16617" s="20"/>
      <c r="Z16617" s="20"/>
      <c r="AG16617" s="20"/>
      <c r="AQ16617" s="19"/>
      <c r="AR16617" s="19"/>
      <c r="AS16617" s="19"/>
      <c r="AT16617" s="19"/>
      <c r="AU16617" s="19"/>
    </row>
    <row r="16618" spans="3:47">
      <c r="C16618" s="20"/>
      <c r="Z16618" s="20"/>
      <c r="AG16618" s="20"/>
      <c r="AQ16618" s="19"/>
      <c r="AR16618" s="19"/>
      <c r="AS16618" s="19"/>
      <c r="AT16618" s="19"/>
      <c r="AU16618" s="19"/>
    </row>
    <row r="16619" spans="3:47">
      <c r="C16619" s="20"/>
      <c r="Z16619" s="20"/>
      <c r="AG16619" s="20"/>
      <c r="AQ16619" s="19"/>
      <c r="AR16619" s="19"/>
      <c r="AS16619" s="19"/>
      <c r="AT16619" s="19"/>
      <c r="AU16619" s="19"/>
    </row>
    <row r="16620" spans="3:47">
      <c r="C16620" s="20"/>
      <c r="Z16620" s="20"/>
      <c r="AG16620" s="20"/>
      <c r="AQ16620" s="19"/>
      <c r="AR16620" s="19"/>
      <c r="AS16620" s="19"/>
      <c r="AT16620" s="19"/>
      <c r="AU16620" s="19"/>
    </row>
    <row r="16621" spans="3:47">
      <c r="C16621" s="20"/>
      <c r="Z16621" s="20"/>
      <c r="AG16621" s="20"/>
      <c r="AQ16621" s="19"/>
      <c r="AR16621" s="19"/>
      <c r="AS16621" s="19"/>
      <c r="AT16621" s="19"/>
      <c r="AU16621" s="19"/>
    </row>
    <row r="16622" spans="3:47">
      <c r="C16622" s="20"/>
      <c r="Z16622" s="20"/>
      <c r="AG16622" s="20"/>
      <c r="AQ16622" s="19"/>
      <c r="AR16622" s="19"/>
      <c r="AS16622" s="19"/>
      <c r="AT16622" s="19"/>
      <c r="AU16622" s="19"/>
    </row>
    <row r="16623" spans="3:47">
      <c r="C16623" s="20"/>
      <c r="Z16623" s="20"/>
      <c r="AG16623" s="20"/>
      <c r="AQ16623" s="19"/>
      <c r="AR16623" s="19"/>
      <c r="AS16623" s="19"/>
      <c r="AT16623" s="19"/>
      <c r="AU16623" s="19"/>
    </row>
    <row r="16624" spans="3:47">
      <c r="C16624" s="20"/>
      <c r="Z16624" s="20"/>
      <c r="AG16624" s="20"/>
      <c r="AQ16624" s="19"/>
      <c r="AR16624" s="19"/>
      <c r="AS16624" s="19"/>
      <c r="AT16624" s="19"/>
      <c r="AU16624" s="19"/>
    </row>
    <row r="16625" spans="3:47">
      <c r="C16625" s="20"/>
      <c r="Z16625" s="20"/>
      <c r="AG16625" s="20"/>
      <c r="AQ16625" s="19"/>
      <c r="AR16625" s="19"/>
      <c r="AS16625" s="19"/>
      <c r="AT16625" s="19"/>
      <c r="AU16625" s="19"/>
    </row>
    <row r="16626" spans="3:47">
      <c r="C16626" s="20"/>
      <c r="Z16626" s="20"/>
      <c r="AG16626" s="20"/>
      <c r="AQ16626" s="19"/>
      <c r="AR16626" s="19"/>
      <c r="AS16626" s="19"/>
      <c r="AT16626" s="19"/>
      <c r="AU16626" s="19"/>
    </row>
    <row r="16627" spans="3:47">
      <c r="C16627" s="20"/>
      <c r="Z16627" s="20"/>
      <c r="AG16627" s="20"/>
      <c r="AQ16627" s="19"/>
      <c r="AR16627" s="19"/>
      <c r="AS16627" s="19"/>
      <c r="AT16627" s="19"/>
      <c r="AU16627" s="19"/>
    </row>
    <row r="16628" spans="3:47">
      <c r="C16628" s="20"/>
      <c r="Z16628" s="20"/>
      <c r="AG16628" s="20"/>
      <c r="AQ16628" s="19"/>
      <c r="AR16628" s="19"/>
      <c r="AS16628" s="19"/>
      <c r="AT16628" s="19"/>
      <c r="AU16628" s="19"/>
    </row>
    <row r="16629" spans="3:47">
      <c r="C16629" s="20"/>
      <c r="Z16629" s="20"/>
      <c r="AG16629" s="20"/>
      <c r="AQ16629" s="19"/>
      <c r="AR16629" s="19"/>
      <c r="AS16629" s="19"/>
      <c r="AT16629" s="19"/>
      <c r="AU16629" s="19"/>
    </row>
    <row r="16630" spans="3:47">
      <c r="C16630" s="20"/>
      <c r="Z16630" s="20"/>
      <c r="AG16630" s="20"/>
      <c r="AQ16630" s="19"/>
      <c r="AR16630" s="19"/>
      <c r="AS16630" s="19"/>
      <c r="AT16630" s="19"/>
      <c r="AU16630" s="19"/>
    </row>
    <row r="16631" spans="3:47">
      <c r="C16631" s="20"/>
      <c r="Z16631" s="20"/>
      <c r="AG16631" s="20"/>
      <c r="AQ16631" s="19"/>
      <c r="AR16631" s="19"/>
      <c r="AS16631" s="19"/>
      <c r="AT16631" s="19"/>
      <c r="AU16631" s="19"/>
    </row>
    <row r="16632" spans="3:47">
      <c r="C16632" s="20"/>
      <c r="Z16632" s="20"/>
      <c r="AG16632" s="20"/>
      <c r="AQ16632" s="19"/>
      <c r="AR16632" s="19"/>
      <c r="AS16632" s="19"/>
      <c r="AT16632" s="19"/>
      <c r="AU16632" s="19"/>
    </row>
    <row r="16633" spans="3:47">
      <c r="C16633" s="20"/>
      <c r="Z16633" s="20"/>
      <c r="AG16633" s="20"/>
      <c r="AQ16633" s="19"/>
      <c r="AR16633" s="19"/>
      <c r="AS16633" s="19"/>
      <c r="AT16633" s="19"/>
      <c r="AU16633" s="19"/>
    </row>
    <row r="16634" spans="3:47">
      <c r="C16634" s="20"/>
      <c r="Z16634" s="20"/>
      <c r="AG16634" s="20"/>
      <c r="AQ16634" s="19"/>
      <c r="AR16634" s="19"/>
      <c r="AS16634" s="19"/>
      <c r="AT16634" s="19"/>
      <c r="AU16634" s="19"/>
    </row>
    <row r="16635" spans="3:47">
      <c r="C16635" s="20"/>
      <c r="Z16635" s="20"/>
      <c r="AG16635" s="20"/>
      <c r="AQ16635" s="19"/>
      <c r="AR16635" s="19"/>
      <c r="AS16635" s="19"/>
      <c r="AT16635" s="19"/>
      <c r="AU16635" s="19"/>
    </row>
    <row r="16636" spans="3:47">
      <c r="C16636" s="20"/>
      <c r="Z16636" s="20"/>
      <c r="AG16636" s="20"/>
      <c r="AQ16636" s="19"/>
      <c r="AR16636" s="19"/>
      <c r="AS16636" s="19"/>
      <c r="AT16636" s="19"/>
      <c r="AU16636" s="19"/>
    </row>
    <row r="16637" spans="3:47">
      <c r="C16637" s="20"/>
      <c r="Z16637" s="20"/>
      <c r="AG16637" s="20"/>
      <c r="AQ16637" s="19"/>
      <c r="AR16637" s="19"/>
      <c r="AS16637" s="19"/>
      <c r="AT16637" s="19"/>
      <c r="AU16637" s="19"/>
    </row>
    <row r="16638" spans="3:47">
      <c r="C16638" s="20"/>
      <c r="Z16638" s="20"/>
      <c r="AG16638" s="20"/>
      <c r="AQ16638" s="19"/>
      <c r="AR16638" s="19"/>
      <c r="AS16638" s="19"/>
      <c r="AT16638" s="19"/>
      <c r="AU16638" s="19"/>
    </row>
    <row r="16639" spans="3:47">
      <c r="C16639" s="20"/>
      <c r="Z16639" s="20"/>
      <c r="AG16639" s="20"/>
      <c r="AQ16639" s="19"/>
      <c r="AR16639" s="19"/>
      <c r="AS16639" s="19"/>
      <c r="AT16639" s="19"/>
      <c r="AU16639" s="19"/>
    </row>
    <row r="16640" spans="3:47">
      <c r="C16640" s="20"/>
      <c r="Z16640" s="20"/>
      <c r="AG16640" s="20"/>
      <c r="AQ16640" s="19"/>
      <c r="AR16640" s="19"/>
      <c r="AS16640" s="19"/>
      <c r="AT16640" s="19"/>
      <c r="AU16640" s="19"/>
    </row>
    <row r="16641" spans="3:47">
      <c r="C16641" s="20"/>
      <c r="Z16641" s="20"/>
      <c r="AG16641" s="20"/>
      <c r="AQ16641" s="19"/>
      <c r="AR16641" s="19"/>
      <c r="AS16641" s="19"/>
      <c r="AT16641" s="19"/>
      <c r="AU16641" s="19"/>
    </row>
    <row r="16642" spans="3:47">
      <c r="C16642" s="20"/>
      <c r="Z16642" s="20"/>
      <c r="AG16642" s="20"/>
      <c r="AQ16642" s="19"/>
      <c r="AR16642" s="19"/>
      <c r="AS16642" s="19"/>
      <c r="AT16642" s="19"/>
      <c r="AU16642" s="19"/>
    </row>
    <row r="16643" spans="3:47">
      <c r="C16643" s="20"/>
      <c r="Z16643" s="20"/>
      <c r="AG16643" s="20"/>
      <c r="AQ16643" s="19"/>
      <c r="AR16643" s="19"/>
      <c r="AS16643" s="19"/>
      <c r="AT16643" s="19"/>
      <c r="AU16643" s="19"/>
    </row>
    <row r="16644" spans="3:47">
      <c r="C16644" s="20"/>
      <c r="Z16644" s="20"/>
      <c r="AG16644" s="20"/>
      <c r="AQ16644" s="19"/>
      <c r="AR16644" s="19"/>
      <c r="AS16644" s="19"/>
      <c r="AT16644" s="19"/>
      <c r="AU16644" s="19"/>
    </row>
    <row r="16645" spans="3:47">
      <c r="C16645" s="20"/>
      <c r="Z16645" s="20"/>
      <c r="AG16645" s="20"/>
      <c r="AQ16645" s="19"/>
      <c r="AR16645" s="19"/>
      <c r="AS16645" s="19"/>
      <c r="AT16645" s="19"/>
      <c r="AU16645" s="19"/>
    </row>
    <row r="16646" spans="3:47">
      <c r="C16646" s="20"/>
      <c r="Z16646" s="20"/>
      <c r="AG16646" s="20"/>
      <c r="AQ16646" s="19"/>
      <c r="AR16646" s="19"/>
      <c r="AS16646" s="19"/>
      <c r="AT16646" s="19"/>
      <c r="AU16646" s="19"/>
    </row>
    <row r="16647" spans="3:47">
      <c r="C16647" s="20"/>
      <c r="Z16647" s="20"/>
      <c r="AG16647" s="20"/>
      <c r="AQ16647" s="19"/>
      <c r="AR16647" s="19"/>
      <c r="AS16647" s="19"/>
      <c r="AT16647" s="19"/>
      <c r="AU16647" s="19"/>
    </row>
    <row r="16648" spans="3:47">
      <c r="C16648" s="20"/>
      <c r="Z16648" s="20"/>
      <c r="AG16648" s="20"/>
      <c r="AQ16648" s="19"/>
      <c r="AR16648" s="19"/>
      <c r="AS16648" s="19"/>
      <c r="AT16648" s="19"/>
      <c r="AU16648" s="19"/>
    </row>
    <row r="16649" spans="3:47">
      <c r="C16649" s="20"/>
      <c r="Z16649" s="20"/>
      <c r="AG16649" s="20"/>
      <c r="AQ16649" s="19"/>
      <c r="AR16649" s="19"/>
      <c r="AS16649" s="19"/>
      <c r="AT16649" s="19"/>
      <c r="AU16649" s="19"/>
    </row>
    <row r="16650" spans="3:47">
      <c r="C16650" s="20"/>
      <c r="Z16650" s="20"/>
      <c r="AG16650" s="20"/>
      <c r="AQ16650" s="19"/>
      <c r="AR16650" s="19"/>
      <c r="AS16650" s="19"/>
      <c r="AT16650" s="19"/>
      <c r="AU16650" s="19"/>
    </row>
    <row r="16651" spans="3:47">
      <c r="C16651" s="20"/>
      <c r="Z16651" s="20"/>
      <c r="AG16651" s="20"/>
      <c r="AQ16651" s="19"/>
      <c r="AR16651" s="19"/>
      <c r="AS16651" s="19"/>
      <c r="AT16651" s="19"/>
      <c r="AU16651" s="19"/>
    </row>
    <row r="16652" spans="3:47">
      <c r="C16652" s="20"/>
      <c r="Z16652" s="20"/>
      <c r="AG16652" s="20"/>
      <c r="AQ16652" s="19"/>
      <c r="AR16652" s="19"/>
      <c r="AS16652" s="19"/>
      <c r="AT16652" s="19"/>
      <c r="AU16652" s="19"/>
    </row>
    <row r="16653" spans="3:47">
      <c r="C16653" s="20"/>
      <c r="Z16653" s="20"/>
      <c r="AG16653" s="20"/>
      <c r="AQ16653" s="19"/>
      <c r="AR16653" s="19"/>
      <c r="AS16653" s="19"/>
      <c r="AT16653" s="19"/>
      <c r="AU16653" s="19"/>
    </row>
    <row r="16654" spans="3:47">
      <c r="C16654" s="20"/>
      <c r="Z16654" s="20"/>
      <c r="AG16654" s="20"/>
      <c r="AQ16654" s="19"/>
      <c r="AR16654" s="19"/>
      <c r="AS16654" s="19"/>
      <c r="AT16654" s="19"/>
      <c r="AU16654" s="19"/>
    </row>
    <row r="16655" spans="3:47">
      <c r="C16655" s="20"/>
      <c r="Z16655" s="20"/>
      <c r="AG16655" s="20"/>
      <c r="AQ16655" s="19"/>
      <c r="AR16655" s="19"/>
      <c r="AS16655" s="19"/>
      <c r="AT16655" s="19"/>
      <c r="AU16655" s="19"/>
    </row>
    <row r="16656" spans="3:47">
      <c r="C16656" s="20"/>
      <c r="Z16656" s="20"/>
      <c r="AG16656" s="20"/>
      <c r="AQ16656" s="19"/>
      <c r="AR16656" s="19"/>
      <c r="AS16656" s="19"/>
      <c r="AT16656" s="19"/>
      <c r="AU16656" s="19"/>
    </row>
    <row r="16657" spans="3:47">
      <c r="C16657" s="20"/>
      <c r="Z16657" s="20"/>
      <c r="AG16657" s="20"/>
      <c r="AQ16657" s="19"/>
      <c r="AR16657" s="19"/>
      <c r="AS16657" s="19"/>
      <c r="AT16657" s="19"/>
      <c r="AU16657" s="19"/>
    </row>
    <row r="16658" spans="3:47">
      <c r="C16658" s="20"/>
      <c r="Z16658" s="20"/>
      <c r="AG16658" s="20"/>
      <c r="AQ16658" s="19"/>
      <c r="AR16658" s="19"/>
      <c r="AS16658" s="19"/>
      <c r="AT16658" s="19"/>
      <c r="AU16658" s="19"/>
    </row>
    <row r="16659" spans="3:47">
      <c r="C16659" s="20"/>
      <c r="Z16659" s="20"/>
      <c r="AG16659" s="20"/>
      <c r="AQ16659" s="19"/>
      <c r="AR16659" s="19"/>
      <c r="AS16659" s="19"/>
      <c r="AT16659" s="19"/>
      <c r="AU16659" s="19"/>
    </row>
    <row r="16660" spans="3:47">
      <c r="C16660" s="20"/>
      <c r="Z16660" s="20"/>
      <c r="AG16660" s="20"/>
      <c r="AQ16660" s="19"/>
      <c r="AR16660" s="19"/>
      <c r="AS16660" s="19"/>
      <c r="AT16660" s="19"/>
      <c r="AU16660" s="19"/>
    </row>
    <row r="16661" spans="3:47">
      <c r="C16661" s="20"/>
      <c r="Z16661" s="20"/>
      <c r="AG16661" s="20"/>
      <c r="AQ16661" s="19"/>
      <c r="AR16661" s="19"/>
      <c r="AS16661" s="19"/>
      <c r="AT16661" s="19"/>
      <c r="AU16661" s="19"/>
    </row>
    <row r="16662" spans="3:47">
      <c r="C16662" s="20"/>
      <c r="Z16662" s="20"/>
      <c r="AG16662" s="20"/>
      <c r="AQ16662" s="19"/>
      <c r="AR16662" s="19"/>
      <c r="AS16662" s="19"/>
      <c r="AT16662" s="19"/>
      <c r="AU16662" s="19"/>
    </row>
    <row r="16663" spans="3:47">
      <c r="C16663" s="20"/>
      <c r="Z16663" s="20"/>
      <c r="AG16663" s="20"/>
      <c r="AQ16663" s="19"/>
      <c r="AR16663" s="19"/>
      <c r="AS16663" s="19"/>
      <c r="AT16663" s="19"/>
      <c r="AU16663" s="19"/>
    </row>
    <row r="16664" spans="3:47">
      <c r="C16664" s="20"/>
      <c r="Z16664" s="20"/>
      <c r="AG16664" s="20"/>
      <c r="AQ16664" s="19"/>
      <c r="AR16664" s="19"/>
      <c r="AS16664" s="19"/>
      <c r="AT16664" s="19"/>
      <c r="AU16664" s="19"/>
    </row>
    <row r="16665" spans="3:47">
      <c r="C16665" s="20"/>
      <c r="Z16665" s="20"/>
      <c r="AG16665" s="20"/>
      <c r="AQ16665" s="19"/>
      <c r="AR16665" s="19"/>
      <c r="AS16665" s="19"/>
      <c r="AT16665" s="19"/>
      <c r="AU16665" s="19"/>
    </row>
    <row r="16666" spans="3:47">
      <c r="C16666" s="20"/>
      <c r="Z16666" s="20"/>
      <c r="AG16666" s="20"/>
      <c r="AQ16666" s="19"/>
      <c r="AR16666" s="19"/>
      <c r="AS16666" s="19"/>
      <c r="AT16666" s="19"/>
      <c r="AU16666" s="19"/>
    </row>
    <row r="16667" spans="3:47">
      <c r="C16667" s="20"/>
      <c r="Z16667" s="20"/>
      <c r="AG16667" s="20"/>
      <c r="AQ16667" s="19"/>
      <c r="AR16667" s="19"/>
      <c r="AS16667" s="19"/>
      <c r="AT16667" s="19"/>
      <c r="AU16667" s="19"/>
    </row>
    <row r="16668" spans="3:47">
      <c r="C16668" s="20"/>
      <c r="Z16668" s="20"/>
      <c r="AG16668" s="20"/>
      <c r="AQ16668" s="19"/>
      <c r="AR16668" s="19"/>
      <c r="AS16668" s="19"/>
      <c r="AT16668" s="19"/>
      <c r="AU16668" s="19"/>
    </row>
    <row r="16669" spans="3:47">
      <c r="C16669" s="20"/>
      <c r="Z16669" s="20"/>
      <c r="AG16669" s="20"/>
      <c r="AQ16669" s="19"/>
      <c r="AR16669" s="19"/>
      <c r="AS16669" s="19"/>
      <c r="AT16669" s="19"/>
      <c r="AU16669" s="19"/>
    </row>
    <row r="16670" spans="3:47">
      <c r="C16670" s="20"/>
      <c r="Z16670" s="20"/>
      <c r="AG16670" s="20"/>
      <c r="AQ16670" s="19"/>
      <c r="AR16670" s="19"/>
      <c r="AS16670" s="19"/>
      <c r="AT16670" s="19"/>
      <c r="AU16670" s="19"/>
    </row>
    <row r="16671" spans="3:47">
      <c r="C16671" s="20"/>
      <c r="Z16671" s="20"/>
      <c r="AG16671" s="20"/>
      <c r="AQ16671" s="19"/>
      <c r="AR16671" s="19"/>
      <c r="AS16671" s="19"/>
      <c r="AT16671" s="19"/>
      <c r="AU16671" s="19"/>
    </row>
    <row r="16672" spans="3:47">
      <c r="C16672" s="20"/>
      <c r="Z16672" s="20"/>
      <c r="AG16672" s="20"/>
      <c r="AQ16672" s="19"/>
      <c r="AR16672" s="19"/>
      <c r="AS16672" s="19"/>
      <c r="AT16672" s="19"/>
      <c r="AU16672" s="19"/>
    </row>
    <row r="16673" spans="3:47">
      <c r="C16673" s="20"/>
      <c r="Z16673" s="20"/>
      <c r="AG16673" s="20"/>
      <c r="AQ16673" s="19"/>
      <c r="AR16673" s="19"/>
      <c r="AS16673" s="19"/>
      <c r="AT16673" s="19"/>
      <c r="AU16673" s="19"/>
    </row>
    <row r="16674" spans="3:47">
      <c r="C16674" s="20"/>
      <c r="Z16674" s="20"/>
      <c r="AG16674" s="20"/>
      <c r="AQ16674" s="19"/>
      <c r="AR16674" s="19"/>
      <c r="AS16674" s="19"/>
      <c r="AT16674" s="19"/>
      <c r="AU16674" s="19"/>
    </row>
    <row r="16675" spans="3:47">
      <c r="C16675" s="20"/>
      <c r="Z16675" s="20"/>
      <c r="AG16675" s="20"/>
      <c r="AQ16675" s="19"/>
      <c r="AR16675" s="19"/>
      <c r="AS16675" s="19"/>
      <c r="AT16675" s="19"/>
      <c r="AU16675" s="19"/>
    </row>
    <row r="16676" spans="3:47">
      <c r="C16676" s="20"/>
      <c r="Z16676" s="20"/>
      <c r="AG16676" s="20"/>
      <c r="AQ16676" s="19"/>
      <c r="AR16676" s="19"/>
      <c r="AS16676" s="19"/>
      <c r="AT16676" s="19"/>
      <c r="AU16676" s="19"/>
    </row>
    <row r="16677" spans="3:47">
      <c r="C16677" s="20"/>
      <c r="Z16677" s="20"/>
      <c r="AG16677" s="20"/>
      <c r="AQ16677" s="19"/>
      <c r="AR16677" s="19"/>
      <c r="AS16677" s="19"/>
      <c r="AT16677" s="19"/>
      <c r="AU16677" s="19"/>
    </row>
    <row r="16678" spans="3:47">
      <c r="C16678" s="20"/>
      <c r="Z16678" s="20"/>
      <c r="AG16678" s="20"/>
      <c r="AQ16678" s="19"/>
      <c r="AR16678" s="19"/>
      <c r="AS16678" s="19"/>
      <c r="AT16678" s="19"/>
      <c r="AU16678" s="19"/>
    </row>
    <row r="16679" spans="3:47">
      <c r="C16679" s="20"/>
      <c r="Z16679" s="20"/>
      <c r="AG16679" s="20"/>
      <c r="AQ16679" s="19"/>
      <c r="AR16679" s="19"/>
      <c r="AS16679" s="19"/>
      <c r="AT16679" s="19"/>
      <c r="AU16679" s="19"/>
    </row>
    <row r="16680" spans="3:47">
      <c r="C16680" s="20"/>
      <c r="Z16680" s="20"/>
      <c r="AG16680" s="20"/>
      <c r="AQ16680" s="19"/>
      <c r="AR16680" s="19"/>
      <c r="AS16680" s="19"/>
      <c r="AT16680" s="19"/>
      <c r="AU16680" s="19"/>
    </row>
    <row r="16681" spans="3:47">
      <c r="C16681" s="20"/>
      <c r="Z16681" s="20"/>
      <c r="AG16681" s="20"/>
      <c r="AQ16681" s="19"/>
      <c r="AR16681" s="19"/>
      <c r="AS16681" s="19"/>
      <c r="AT16681" s="19"/>
      <c r="AU16681" s="19"/>
    </row>
    <row r="16682" spans="3:47">
      <c r="C16682" s="20"/>
      <c r="Z16682" s="20"/>
      <c r="AG16682" s="20"/>
      <c r="AQ16682" s="19"/>
      <c r="AR16682" s="19"/>
      <c r="AS16682" s="19"/>
      <c r="AT16682" s="19"/>
      <c r="AU16682" s="19"/>
    </row>
    <row r="16683" spans="3:47">
      <c r="C16683" s="20"/>
      <c r="Z16683" s="20"/>
      <c r="AG16683" s="20"/>
      <c r="AQ16683" s="19"/>
      <c r="AR16683" s="19"/>
      <c r="AS16683" s="19"/>
      <c r="AT16683" s="19"/>
      <c r="AU16683" s="19"/>
    </row>
    <row r="16684" spans="3:47">
      <c r="C16684" s="20"/>
      <c r="Z16684" s="20"/>
      <c r="AG16684" s="20"/>
      <c r="AQ16684" s="19"/>
      <c r="AR16684" s="19"/>
      <c r="AS16684" s="19"/>
      <c r="AT16684" s="19"/>
      <c r="AU16684" s="19"/>
    </row>
    <row r="16685" spans="3:47">
      <c r="C16685" s="20"/>
      <c r="Z16685" s="20"/>
      <c r="AG16685" s="20"/>
      <c r="AQ16685" s="19"/>
      <c r="AR16685" s="19"/>
      <c r="AS16685" s="19"/>
      <c r="AT16685" s="19"/>
      <c r="AU16685" s="19"/>
    </row>
    <row r="16686" spans="3:47">
      <c r="C16686" s="20"/>
      <c r="Z16686" s="20"/>
      <c r="AG16686" s="20"/>
      <c r="AQ16686" s="19"/>
      <c r="AR16686" s="19"/>
      <c r="AS16686" s="19"/>
      <c r="AT16686" s="19"/>
      <c r="AU16686" s="19"/>
    </row>
    <row r="16687" spans="3:47">
      <c r="C16687" s="20"/>
      <c r="Z16687" s="20"/>
      <c r="AG16687" s="20"/>
      <c r="AQ16687" s="19"/>
      <c r="AR16687" s="19"/>
      <c r="AS16687" s="19"/>
      <c r="AT16687" s="19"/>
      <c r="AU16687" s="19"/>
    </row>
    <row r="16688" spans="3:47">
      <c r="C16688" s="20"/>
      <c r="Z16688" s="20"/>
      <c r="AG16688" s="20"/>
      <c r="AQ16688" s="19"/>
      <c r="AR16688" s="19"/>
      <c r="AS16688" s="19"/>
      <c r="AT16688" s="19"/>
      <c r="AU16688" s="19"/>
    </row>
    <row r="16689" spans="3:47">
      <c r="C16689" s="20"/>
      <c r="Z16689" s="20"/>
      <c r="AG16689" s="20"/>
      <c r="AQ16689" s="19"/>
      <c r="AR16689" s="19"/>
      <c r="AS16689" s="19"/>
      <c r="AT16689" s="19"/>
      <c r="AU16689" s="19"/>
    </row>
    <row r="16690" spans="3:47">
      <c r="C16690" s="20"/>
      <c r="Z16690" s="20"/>
      <c r="AG16690" s="20"/>
      <c r="AQ16690" s="19"/>
      <c r="AR16690" s="19"/>
      <c r="AS16690" s="19"/>
      <c r="AT16690" s="19"/>
      <c r="AU16690" s="19"/>
    </row>
    <row r="16691" spans="3:47">
      <c r="C16691" s="20"/>
      <c r="Z16691" s="20"/>
      <c r="AG16691" s="20"/>
      <c r="AQ16691" s="19"/>
      <c r="AR16691" s="19"/>
      <c r="AS16691" s="19"/>
      <c r="AT16691" s="19"/>
      <c r="AU16691" s="19"/>
    </row>
    <row r="16692" spans="3:47">
      <c r="C16692" s="20"/>
      <c r="Z16692" s="20"/>
      <c r="AG16692" s="20"/>
      <c r="AQ16692" s="19"/>
      <c r="AR16692" s="19"/>
      <c r="AS16692" s="19"/>
      <c r="AT16692" s="19"/>
      <c r="AU16692" s="19"/>
    </row>
    <row r="16693" spans="3:47">
      <c r="C16693" s="20"/>
      <c r="Z16693" s="20"/>
      <c r="AG16693" s="20"/>
      <c r="AQ16693" s="19"/>
      <c r="AR16693" s="19"/>
      <c r="AS16693" s="19"/>
      <c r="AT16693" s="19"/>
      <c r="AU16693" s="19"/>
    </row>
    <row r="16694" spans="3:47">
      <c r="C16694" s="20"/>
      <c r="Z16694" s="20"/>
      <c r="AG16694" s="20"/>
      <c r="AQ16694" s="19"/>
      <c r="AR16694" s="19"/>
      <c r="AS16694" s="19"/>
      <c r="AT16694" s="19"/>
      <c r="AU16694" s="19"/>
    </row>
    <row r="16695" spans="3:47">
      <c r="C16695" s="20"/>
      <c r="Z16695" s="20"/>
      <c r="AG16695" s="20"/>
      <c r="AQ16695" s="19"/>
      <c r="AR16695" s="19"/>
      <c r="AS16695" s="19"/>
      <c r="AT16695" s="19"/>
      <c r="AU16695" s="19"/>
    </row>
    <row r="16696" spans="3:47">
      <c r="C16696" s="20"/>
      <c r="Z16696" s="20"/>
      <c r="AG16696" s="20"/>
      <c r="AQ16696" s="19"/>
      <c r="AR16696" s="19"/>
      <c r="AS16696" s="19"/>
      <c r="AT16696" s="19"/>
      <c r="AU16696" s="19"/>
    </row>
    <row r="16697" spans="3:47">
      <c r="C16697" s="20"/>
      <c r="Z16697" s="20"/>
      <c r="AG16697" s="20"/>
      <c r="AQ16697" s="19"/>
      <c r="AR16697" s="19"/>
      <c r="AS16697" s="19"/>
      <c r="AT16697" s="19"/>
      <c r="AU16697" s="19"/>
    </row>
    <row r="16698" spans="3:47">
      <c r="C16698" s="20"/>
      <c r="Z16698" s="20"/>
      <c r="AG16698" s="20"/>
      <c r="AQ16698" s="19"/>
      <c r="AR16698" s="19"/>
      <c r="AS16698" s="19"/>
      <c r="AT16698" s="19"/>
      <c r="AU16698" s="19"/>
    </row>
    <row r="16699" spans="3:47">
      <c r="C16699" s="20"/>
      <c r="Z16699" s="20"/>
      <c r="AG16699" s="20"/>
      <c r="AQ16699" s="19"/>
      <c r="AR16699" s="19"/>
      <c r="AS16699" s="19"/>
      <c r="AT16699" s="19"/>
      <c r="AU16699" s="19"/>
    </row>
    <row r="16700" spans="3:47">
      <c r="C16700" s="20"/>
      <c r="Z16700" s="20"/>
      <c r="AG16700" s="20"/>
      <c r="AQ16700" s="19"/>
      <c r="AR16700" s="19"/>
      <c r="AS16700" s="19"/>
      <c r="AT16700" s="19"/>
      <c r="AU16700" s="19"/>
    </row>
    <row r="16701" spans="3:47">
      <c r="C16701" s="20"/>
      <c r="Z16701" s="20"/>
      <c r="AG16701" s="20"/>
      <c r="AQ16701" s="19"/>
      <c r="AR16701" s="19"/>
      <c r="AS16701" s="19"/>
      <c r="AT16701" s="19"/>
      <c r="AU16701" s="19"/>
    </row>
    <row r="16702" spans="3:47">
      <c r="C16702" s="20"/>
      <c r="Z16702" s="20"/>
      <c r="AG16702" s="20"/>
      <c r="AQ16702" s="19"/>
      <c r="AR16702" s="19"/>
      <c r="AS16702" s="19"/>
      <c r="AT16702" s="19"/>
      <c r="AU16702" s="19"/>
    </row>
    <row r="16703" spans="3:47">
      <c r="C16703" s="20"/>
      <c r="Z16703" s="20"/>
      <c r="AG16703" s="20"/>
      <c r="AQ16703" s="19"/>
      <c r="AR16703" s="19"/>
      <c r="AS16703" s="19"/>
      <c r="AT16703" s="19"/>
      <c r="AU16703" s="19"/>
    </row>
    <row r="16704" spans="3:47">
      <c r="C16704" s="20"/>
      <c r="Z16704" s="20"/>
      <c r="AG16704" s="20"/>
      <c r="AQ16704" s="19"/>
      <c r="AR16704" s="19"/>
      <c r="AS16704" s="19"/>
      <c r="AT16704" s="19"/>
      <c r="AU16704" s="19"/>
    </row>
    <row r="16705" spans="3:47">
      <c r="C16705" s="20"/>
      <c r="Z16705" s="20"/>
      <c r="AG16705" s="20"/>
      <c r="AQ16705" s="19"/>
      <c r="AR16705" s="19"/>
      <c r="AS16705" s="19"/>
      <c r="AT16705" s="19"/>
      <c r="AU16705" s="19"/>
    </row>
    <row r="16706" spans="3:47">
      <c r="C16706" s="20"/>
      <c r="Z16706" s="20"/>
      <c r="AG16706" s="20"/>
      <c r="AQ16706" s="19"/>
      <c r="AR16706" s="19"/>
      <c r="AS16706" s="19"/>
      <c r="AT16706" s="19"/>
      <c r="AU16706" s="19"/>
    </row>
    <row r="16707" spans="3:47">
      <c r="C16707" s="20"/>
      <c r="Z16707" s="20"/>
      <c r="AG16707" s="20"/>
      <c r="AQ16707" s="19"/>
      <c r="AR16707" s="19"/>
      <c r="AS16707" s="19"/>
      <c r="AT16707" s="19"/>
      <c r="AU16707" s="19"/>
    </row>
    <row r="16708" spans="3:47">
      <c r="C16708" s="20"/>
      <c r="Z16708" s="20"/>
      <c r="AG16708" s="20"/>
      <c r="AQ16708" s="19"/>
      <c r="AR16708" s="19"/>
      <c r="AS16708" s="19"/>
      <c r="AT16708" s="19"/>
      <c r="AU16708" s="19"/>
    </row>
    <row r="16709" spans="3:47">
      <c r="C16709" s="20"/>
      <c r="Z16709" s="20"/>
      <c r="AG16709" s="20"/>
      <c r="AQ16709" s="19"/>
      <c r="AR16709" s="19"/>
      <c r="AS16709" s="19"/>
      <c r="AT16709" s="19"/>
      <c r="AU16709" s="19"/>
    </row>
    <row r="16710" spans="3:47">
      <c r="C16710" s="20"/>
      <c r="Z16710" s="20"/>
      <c r="AG16710" s="20"/>
      <c r="AQ16710" s="19"/>
      <c r="AR16710" s="19"/>
      <c r="AS16710" s="19"/>
      <c r="AT16710" s="19"/>
      <c r="AU16710" s="19"/>
    </row>
    <row r="16711" spans="3:47">
      <c r="C16711" s="20"/>
      <c r="Z16711" s="20"/>
      <c r="AG16711" s="20"/>
      <c r="AQ16711" s="19"/>
      <c r="AR16711" s="19"/>
      <c r="AS16711" s="19"/>
      <c r="AT16711" s="19"/>
      <c r="AU16711" s="19"/>
    </row>
    <row r="16712" spans="3:47">
      <c r="C16712" s="20"/>
      <c r="Z16712" s="20"/>
      <c r="AG16712" s="20"/>
      <c r="AQ16712" s="19"/>
      <c r="AR16712" s="19"/>
      <c r="AS16712" s="19"/>
      <c r="AT16712" s="19"/>
      <c r="AU16712" s="19"/>
    </row>
    <row r="16713" spans="3:47">
      <c r="C16713" s="20"/>
      <c r="Z16713" s="20"/>
      <c r="AG16713" s="20"/>
      <c r="AQ16713" s="19"/>
      <c r="AR16713" s="19"/>
      <c r="AS16713" s="19"/>
      <c r="AT16713" s="19"/>
      <c r="AU16713" s="19"/>
    </row>
    <row r="16714" spans="3:47">
      <c r="C16714" s="20"/>
      <c r="Z16714" s="20"/>
      <c r="AG16714" s="20"/>
      <c r="AQ16714" s="19"/>
      <c r="AR16714" s="19"/>
      <c r="AS16714" s="19"/>
      <c r="AT16714" s="19"/>
      <c r="AU16714" s="19"/>
    </row>
    <row r="16715" spans="3:47">
      <c r="C16715" s="20"/>
      <c r="Z16715" s="20"/>
      <c r="AG16715" s="20"/>
      <c r="AQ16715" s="19"/>
      <c r="AR16715" s="19"/>
      <c r="AS16715" s="19"/>
      <c r="AT16715" s="19"/>
      <c r="AU16715" s="19"/>
    </row>
    <row r="16716" spans="3:47">
      <c r="C16716" s="20"/>
      <c r="Z16716" s="20"/>
      <c r="AG16716" s="20"/>
      <c r="AQ16716" s="19"/>
      <c r="AR16716" s="19"/>
      <c r="AS16716" s="19"/>
      <c r="AT16716" s="19"/>
      <c r="AU16716" s="19"/>
    </row>
    <row r="16717" spans="3:47">
      <c r="C16717" s="20"/>
      <c r="Z16717" s="20"/>
      <c r="AG16717" s="20"/>
      <c r="AQ16717" s="19"/>
      <c r="AR16717" s="19"/>
      <c r="AS16717" s="19"/>
      <c r="AT16717" s="19"/>
      <c r="AU16717" s="19"/>
    </row>
    <row r="16718" spans="3:47">
      <c r="C16718" s="20"/>
      <c r="Z16718" s="20"/>
      <c r="AG16718" s="20"/>
      <c r="AQ16718" s="19"/>
      <c r="AR16718" s="19"/>
      <c r="AS16718" s="19"/>
      <c r="AT16718" s="19"/>
      <c r="AU16718" s="19"/>
    </row>
    <row r="16719" spans="3:47">
      <c r="C16719" s="20"/>
      <c r="Z16719" s="20"/>
      <c r="AG16719" s="20"/>
      <c r="AQ16719" s="19"/>
      <c r="AR16719" s="19"/>
      <c r="AS16719" s="19"/>
      <c r="AT16719" s="19"/>
      <c r="AU16719" s="19"/>
    </row>
    <row r="16720" spans="3:47">
      <c r="C16720" s="20"/>
      <c r="Z16720" s="20"/>
      <c r="AG16720" s="20"/>
      <c r="AQ16720" s="19"/>
      <c r="AR16720" s="19"/>
      <c r="AS16720" s="19"/>
      <c r="AT16720" s="19"/>
      <c r="AU16720" s="19"/>
    </row>
    <row r="16721" spans="3:47">
      <c r="C16721" s="20"/>
      <c r="Z16721" s="20"/>
      <c r="AG16721" s="20"/>
      <c r="AQ16721" s="19"/>
      <c r="AR16721" s="19"/>
      <c r="AS16721" s="19"/>
      <c r="AT16721" s="19"/>
      <c r="AU16721" s="19"/>
    </row>
    <row r="16722" spans="3:47">
      <c r="C16722" s="20"/>
      <c r="Z16722" s="20"/>
      <c r="AG16722" s="20"/>
      <c r="AQ16722" s="19"/>
      <c r="AR16722" s="19"/>
      <c r="AS16722" s="19"/>
      <c r="AT16722" s="19"/>
      <c r="AU16722" s="19"/>
    </row>
    <row r="16723" spans="3:47">
      <c r="C16723" s="20"/>
      <c r="Z16723" s="20"/>
      <c r="AG16723" s="20"/>
      <c r="AQ16723" s="19"/>
      <c r="AR16723" s="19"/>
      <c r="AS16723" s="19"/>
      <c r="AT16723" s="19"/>
      <c r="AU16723" s="19"/>
    </row>
    <row r="16724" spans="3:47">
      <c r="C16724" s="20"/>
      <c r="Z16724" s="20"/>
      <c r="AG16724" s="20"/>
      <c r="AQ16724" s="19"/>
      <c r="AR16724" s="19"/>
      <c r="AS16724" s="19"/>
      <c r="AT16724" s="19"/>
      <c r="AU16724" s="19"/>
    </row>
    <row r="16725" spans="3:47">
      <c r="C16725" s="20"/>
      <c r="Z16725" s="20"/>
      <c r="AG16725" s="20"/>
      <c r="AQ16725" s="19"/>
      <c r="AR16725" s="19"/>
      <c r="AS16725" s="19"/>
      <c r="AT16725" s="19"/>
      <c r="AU16725" s="19"/>
    </row>
    <row r="16726" spans="3:47">
      <c r="C16726" s="20"/>
      <c r="Z16726" s="20"/>
      <c r="AG16726" s="20"/>
      <c r="AQ16726" s="19"/>
      <c r="AR16726" s="19"/>
      <c r="AS16726" s="19"/>
      <c r="AT16726" s="19"/>
      <c r="AU16726" s="19"/>
    </row>
    <row r="16727" spans="3:47">
      <c r="C16727" s="20"/>
      <c r="Z16727" s="20"/>
      <c r="AG16727" s="20"/>
      <c r="AQ16727" s="19"/>
      <c r="AR16727" s="19"/>
      <c r="AS16727" s="19"/>
      <c r="AT16727" s="19"/>
      <c r="AU16727" s="19"/>
    </row>
    <row r="16728" spans="3:47">
      <c r="C16728" s="20"/>
      <c r="Z16728" s="20"/>
      <c r="AG16728" s="20"/>
      <c r="AQ16728" s="19"/>
      <c r="AR16728" s="19"/>
      <c r="AS16728" s="19"/>
      <c r="AT16728" s="19"/>
      <c r="AU16728" s="19"/>
    </row>
    <row r="16729" spans="3:47">
      <c r="C16729" s="20"/>
      <c r="Z16729" s="20"/>
      <c r="AG16729" s="20"/>
      <c r="AQ16729" s="19"/>
      <c r="AR16729" s="19"/>
      <c r="AS16729" s="19"/>
      <c r="AT16729" s="19"/>
      <c r="AU16729" s="19"/>
    </row>
    <row r="16730" spans="3:47">
      <c r="C16730" s="20"/>
      <c r="Z16730" s="20"/>
      <c r="AG16730" s="20"/>
      <c r="AQ16730" s="19"/>
      <c r="AR16730" s="19"/>
      <c r="AS16730" s="19"/>
      <c r="AT16730" s="19"/>
      <c r="AU16730" s="19"/>
    </row>
    <row r="16731" spans="3:47">
      <c r="C16731" s="20"/>
      <c r="Z16731" s="20"/>
      <c r="AG16731" s="20"/>
      <c r="AQ16731" s="19"/>
      <c r="AR16731" s="19"/>
      <c r="AS16731" s="19"/>
      <c r="AT16731" s="19"/>
      <c r="AU16731" s="19"/>
    </row>
    <row r="16732" spans="3:47">
      <c r="C16732" s="20"/>
      <c r="Z16732" s="20"/>
      <c r="AG16732" s="20"/>
      <c r="AQ16732" s="19"/>
      <c r="AR16732" s="19"/>
      <c r="AS16732" s="19"/>
      <c r="AT16732" s="19"/>
      <c r="AU16732" s="19"/>
    </row>
    <row r="16733" spans="3:47">
      <c r="C16733" s="20"/>
      <c r="Z16733" s="20"/>
      <c r="AG16733" s="20"/>
      <c r="AQ16733" s="19"/>
      <c r="AR16733" s="19"/>
      <c r="AS16733" s="19"/>
      <c r="AT16733" s="19"/>
      <c r="AU16733" s="19"/>
    </row>
    <row r="16734" spans="3:47">
      <c r="C16734" s="20"/>
      <c r="Z16734" s="20"/>
      <c r="AG16734" s="20"/>
      <c r="AQ16734" s="19"/>
      <c r="AR16734" s="19"/>
      <c r="AS16734" s="19"/>
      <c r="AT16734" s="19"/>
      <c r="AU16734" s="19"/>
    </row>
    <row r="16735" spans="3:47">
      <c r="C16735" s="20"/>
      <c r="Z16735" s="20"/>
      <c r="AG16735" s="20"/>
      <c r="AQ16735" s="19"/>
      <c r="AR16735" s="19"/>
      <c r="AS16735" s="19"/>
      <c r="AT16735" s="19"/>
      <c r="AU16735" s="19"/>
    </row>
    <row r="16736" spans="3:47">
      <c r="C16736" s="20"/>
      <c r="Z16736" s="20"/>
      <c r="AG16736" s="20"/>
      <c r="AQ16736" s="19"/>
      <c r="AR16736" s="19"/>
      <c r="AS16736" s="19"/>
      <c r="AT16736" s="19"/>
      <c r="AU16736" s="19"/>
    </row>
    <row r="16737" spans="3:47">
      <c r="C16737" s="20"/>
      <c r="Z16737" s="20"/>
      <c r="AG16737" s="20"/>
      <c r="AQ16737" s="19"/>
      <c r="AR16737" s="19"/>
      <c r="AS16737" s="19"/>
      <c r="AT16737" s="19"/>
      <c r="AU16737" s="19"/>
    </row>
    <row r="16738" spans="3:47">
      <c r="C16738" s="20"/>
      <c r="Z16738" s="20"/>
      <c r="AG16738" s="20"/>
      <c r="AQ16738" s="19"/>
      <c r="AR16738" s="19"/>
      <c r="AS16738" s="19"/>
      <c r="AT16738" s="19"/>
      <c r="AU16738" s="19"/>
    </row>
    <row r="16739" spans="3:47">
      <c r="C16739" s="20"/>
      <c r="Z16739" s="20"/>
      <c r="AG16739" s="20"/>
      <c r="AQ16739" s="19"/>
      <c r="AR16739" s="19"/>
      <c r="AS16739" s="19"/>
      <c r="AT16739" s="19"/>
      <c r="AU16739" s="19"/>
    </row>
    <row r="16740" spans="3:47">
      <c r="C16740" s="20"/>
      <c r="Z16740" s="20"/>
      <c r="AG16740" s="20"/>
      <c r="AQ16740" s="19"/>
      <c r="AR16740" s="19"/>
      <c r="AS16740" s="19"/>
      <c r="AT16740" s="19"/>
      <c r="AU16740" s="19"/>
    </row>
    <row r="16741" spans="3:47">
      <c r="C16741" s="20"/>
      <c r="Z16741" s="20"/>
      <c r="AG16741" s="20"/>
      <c r="AQ16741" s="19"/>
      <c r="AR16741" s="19"/>
      <c r="AS16741" s="19"/>
      <c r="AT16741" s="19"/>
      <c r="AU16741" s="19"/>
    </row>
    <row r="16742" spans="3:47">
      <c r="C16742" s="20"/>
      <c r="Z16742" s="20"/>
      <c r="AG16742" s="20"/>
      <c r="AQ16742" s="19"/>
      <c r="AR16742" s="19"/>
      <c r="AS16742" s="19"/>
      <c r="AT16742" s="19"/>
      <c r="AU16742" s="19"/>
    </row>
    <row r="16743" spans="3:47">
      <c r="C16743" s="20"/>
      <c r="Z16743" s="20"/>
      <c r="AG16743" s="20"/>
      <c r="AQ16743" s="19"/>
      <c r="AR16743" s="19"/>
      <c r="AS16743" s="19"/>
      <c r="AT16743" s="19"/>
      <c r="AU16743" s="19"/>
    </row>
    <row r="16744" spans="3:47">
      <c r="C16744" s="20"/>
      <c r="Z16744" s="20"/>
      <c r="AG16744" s="20"/>
      <c r="AQ16744" s="19"/>
      <c r="AR16744" s="19"/>
      <c r="AS16744" s="19"/>
      <c r="AT16744" s="19"/>
      <c r="AU16744" s="19"/>
    </row>
    <row r="16745" spans="3:47">
      <c r="C16745" s="20"/>
      <c r="Z16745" s="20"/>
      <c r="AG16745" s="20"/>
      <c r="AQ16745" s="19"/>
      <c r="AR16745" s="19"/>
      <c r="AS16745" s="19"/>
      <c r="AT16745" s="19"/>
      <c r="AU16745" s="19"/>
    </row>
    <row r="16746" spans="3:47">
      <c r="C16746" s="20"/>
      <c r="Z16746" s="20"/>
      <c r="AG16746" s="20"/>
      <c r="AQ16746" s="19"/>
      <c r="AR16746" s="19"/>
      <c r="AS16746" s="19"/>
      <c r="AT16746" s="19"/>
      <c r="AU16746" s="19"/>
    </row>
    <row r="16747" spans="3:47">
      <c r="C16747" s="20"/>
      <c r="Z16747" s="20"/>
      <c r="AG16747" s="20"/>
      <c r="AQ16747" s="19"/>
      <c r="AR16747" s="19"/>
      <c r="AS16747" s="19"/>
      <c r="AT16747" s="19"/>
      <c r="AU16747" s="19"/>
    </row>
    <row r="16748" spans="3:47">
      <c r="C16748" s="20"/>
      <c r="Z16748" s="20"/>
      <c r="AG16748" s="20"/>
      <c r="AQ16748" s="19"/>
      <c r="AR16748" s="19"/>
      <c r="AS16748" s="19"/>
      <c r="AT16748" s="19"/>
      <c r="AU16748" s="19"/>
    </row>
    <row r="16749" spans="3:47">
      <c r="C16749" s="20"/>
      <c r="Z16749" s="20"/>
      <c r="AG16749" s="20"/>
      <c r="AQ16749" s="19"/>
      <c r="AR16749" s="19"/>
      <c r="AS16749" s="19"/>
      <c r="AT16749" s="19"/>
      <c r="AU16749" s="19"/>
    </row>
    <row r="16750" spans="3:47">
      <c r="C16750" s="20"/>
      <c r="Z16750" s="20"/>
      <c r="AG16750" s="20"/>
      <c r="AQ16750" s="19"/>
      <c r="AR16750" s="19"/>
      <c r="AS16750" s="19"/>
      <c r="AT16750" s="19"/>
      <c r="AU16750" s="19"/>
    </row>
    <row r="16751" spans="3:47">
      <c r="C16751" s="20"/>
      <c r="Z16751" s="20"/>
      <c r="AG16751" s="20"/>
      <c r="AQ16751" s="19"/>
      <c r="AR16751" s="19"/>
      <c r="AS16751" s="19"/>
      <c r="AT16751" s="19"/>
      <c r="AU16751" s="19"/>
    </row>
    <row r="16752" spans="3:47">
      <c r="C16752" s="20"/>
      <c r="Z16752" s="20"/>
      <c r="AG16752" s="20"/>
      <c r="AQ16752" s="19"/>
      <c r="AR16752" s="19"/>
      <c r="AS16752" s="19"/>
      <c r="AT16752" s="19"/>
      <c r="AU16752" s="19"/>
    </row>
    <row r="16753" spans="3:47">
      <c r="C16753" s="20"/>
      <c r="Z16753" s="20"/>
      <c r="AG16753" s="20"/>
      <c r="AQ16753" s="19"/>
      <c r="AR16753" s="19"/>
      <c r="AS16753" s="19"/>
      <c r="AT16753" s="19"/>
      <c r="AU16753" s="19"/>
    </row>
    <row r="16754" spans="3:47">
      <c r="C16754" s="20"/>
      <c r="Z16754" s="20"/>
      <c r="AG16754" s="20"/>
      <c r="AQ16754" s="19"/>
      <c r="AR16754" s="19"/>
      <c r="AS16754" s="19"/>
      <c r="AT16754" s="19"/>
      <c r="AU16754" s="19"/>
    </row>
    <row r="16755" spans="3:47">
      <c r="C16755" s="20"/>
      <c r="Z16755" s="20"/>
      <c r="AG16755" s="20"/>
      <c r="AQ16755" s="19"/>
      <c r="AR16755" s="19"/>
      <c r="AS16755" s="19"/>
      <c r="AT16755" s="19"/>
      <c r="AU16755" s="19"/>
    </row>
    <row r="16756" spans="3:47">
      <c r="C16756" s="20"/>
      <c r="Z16756" s="20"/>
      <c r="AG16756" s="20"/>
      <c r="AQ16756" s="19"/>
      <c r="AR16756" s="19"/>
      <c r="AS16756" s="19"/>
      <c r="AT16756" s="19"/>
      <c r="AU16756" s="19"/>
    </row>
    <row r="16757" spans="3:47">
      <c r="C16757" s="20"/>
      <c r="Z16757" s="20"/>
      <c r="AG16757" s="20"/>
      <c r="AQ16757" s="19"/>
      <c r="AR16757" s="19"/>
      <c r="AS16757" s="19"/>
      <c r="AT16757" s="19"/>
      <c r="AU16757" s="19"/>
    </row>
    <row r="16758" spans="3:47">
      <c r="C16758" s="20"/>
      <c r="Z16758" s="20"/>
      <c r="AG16758" s="20"/>
      <c r="AQ16758" s="19"/>
      <c r="AR16758" s="19"/>
      <c r="AS16758" s="19"/>
      <c r="AT16758" s="19"/>
      <c r="AU16758" s="19"/>
    </row>
    <row r="16759" spans="3:47">
      <c r="C16759" s="20"/>
      <c r="Z16759" s="20"/>
      <c r="AG16759" s="20"/>
      <c r="AQ16759" s="19"/>
      <c r="AR16759" s="19"/>
      <c r="AS16759" s="19"/>
      <c r="AT16759" s="19"/>
      <c r="AU16759" s="19"/>
    </row>
    <row r="16760" spans="3:47">
      <c r="C16760" s="20"/>
      <c r="Z16760" s="20"/>
      <c r="AG16760" s="20"/>
      <c r="AQ16760" s="19"/>
      <c r="AR16760" s="19"/>
      <c r="AS16760" s="19"/>
      <c r="AT16760" s="19"/>
      <c r="AU16760" s="19"/>
    </row>
    <row r="16761" spans="3:47">
      <c r="C16761" s="20"/>
      <c r="Z16761" s="20"/>
      <c r="AG16761" s="20"/>
      <c r="AQ16761" s="19"/>
      <c r="AR16761" s="19"/>
      <c r="AS16761" s="19"/>
      <c r="AT16761" s="19"/>
      <c r="AU16761" s="19"/>
    </row>
    <row r="16762" spans="3:47">
      <c r="C16762" s="20"/>
      <c r="Z16762" s="20"/>
      <c r="AG16762" s="20"/>
      <c r="AQ16762" s="19"/>
      <c r="AR16762" s="19"/>
      <c r="AS16762" s="19"/>
      <c r="AT16762" s="19"/>
      <c r="AU16762" s="19"/>
    </row>
    <row r="16763" spans="3:47">
      <c r="C16763" s="20"/>
      <c r="Z16763" s="20"/>
      <c r="AG16763" s="20"/>
      <c r="AQ16763" s="19"/>
      <c r="AR16763" s="19"/>
      <c r="AS16763" s="19"/>
      <c r="AT16763" s="19"/>
      <c r="AU16763" s="19"/>
    </row>
    <row r="16764" spans="3:47">
      <c r="C16764" s="20"/>
      <c r="Z16764" s="20"/>
      <c r="AG16764" s="20"/>
      <c r="AQ16764" s="19"/>
      <c r="AR16764" s="19"/>
      <c r="AS16764" s="19"/>
      <c r="AT16764" s="19"/>
      <c r="AU16764" s="19"/>
    </row>
    <row r="16765" spans="3:47">
      <c r="C16765" s="20"/>
      <c r="Z16765" s="20"/>
      <c r="AG16765" s="20"/>
      <c r="AQ16765" s="19"/>
      <c r="AR16765" s="19"/>
      <c r="AS16765" s="19"/>
      <c r="AT16765" s="19"/>
      <c r="AU16765" s="19"/>
    </row>
    <row r="16766" spans="3:47">
      <c r="C16766" s="20"/>
      <c r="Z16766" s="20"/>
      <c r="AG16766" s="20"/>
      <c r="AQ16766" s="19"/>
      <c r="AR16766" s="19"/>
      <c r="AS16766" s="19"/>
      <c r="AT16766" s="19"/>
      <c r="AU16766" s="19"/>
    </row>
    <row r="16767" spans="3:47">
      <c r="C16767" s="20"/>
      <c r="Z16767" s="20"/>
      <c r="AG16767" s="20"/>
      <c r="AQ16767" s="19"/>
      <c r="AR16767" s="19"/>
      <c r="AS16767" s="19"/>
      <c r="AT16767" s="19"/>
      <c r="AU16767" s="19"/>
    </row>
    <row r="16768" spans="3:47">
      <c r="C16768" s="20"/>
      <c r="Z16768" s="20"/>
      <c r="AG16768" s="20"/>
      <c r="AQ16768" s="19"/>
      <c r="AR16768" s="19"/>
      <c r="AS16768" s="19"/>
      <c r="AT16768" s="19"/>
      <c r="AU16768" s="19"/>
    </row>
    <row r="16769" spans="3:47">
      <c r="C16769" s="20"/>
      <c r="Z16769" s="20"/>
      <c r="AG16769" s="20"/>
      <c r="AQ16769" s="19"/>
      <c r="AR16769" s="19"/>
      <c r="AS16769" s="19"/>
      <c r="AT16769" s="19"/>
      <c r="AU16769" s="19"/>
    </row>
    <row r="16770" spans="3:47">
      <c r="C16770" s="20"/>
      <c r="Z16770" s="20"/>
      <c r="AG16770" s="20"/>
      <c r="AQ16770" s="19"/>
      <c r="AR16770" s="19"/>
      <c r="AS16770" s="19"/>
      <c r="AT16770" s="19"/>
      <c r="AU16770" s="19"/>
    </row>
    <row r="16771" spans="3:47">
      <c r="C16771" s="20"/>
      <c r="Z16771" s="20"/>
      <c r="AG16771" s="20"/>
      <c r="AQ16771" s="19"/>
      <c r="AR16771" s="19"/>
      <c r="AS16771" s="19"/>
      <c r="AT16771" s="19"/>
      <c r="AU16771" s="19"/>
    </row>
    <row r="16772" spans="3:47">
      <c r="C16772" s="20"/>
      <c r="Z16772" s="20"/>
      <c r="AG16772" s="20"/>
      <c r="AQ16772" s="19"/>
      <c r="AR16772" s="19"/>
      <c r="AS16772" s="19"/>
      <c r="AT16772" s="19"/>
      <c r="AU16772" s="19"/>
    </row>
    <row r="16773" spans="3:47">
      <c r="C16773" s="20"/>
      <c r="Z16773" s="20"/>
      <c r="AG16773" s="20"/>
      <c r="AQ16773" s="19"/>
      <c r="AR16773" s="19"/>
      <c r="AS16773" s="19"/>
      <c r="AT16773" s="19"/>
      <c r="AU16773" s="19"/>
    </row>
    <row r="16774" spans="3:47">
      <c r="C16774" s="20"/>
      <c r="Z16774" s="20"/>
      <c r="AG16774" s="20"/>
      <c r="AQ16774" s="19"/>
      <c r="AR16774" s="19"/>
      <c r="AS16774" s="19"/>
      <c r="AT16774" s="19"/>
      <c r="AU16774" s="19"/>
    </row>
    <row r="16775" spans="3:47">
      <c r="C16775" s="20"/>
      <c r="Z16775" s="20"/>
      <c r="AG16775" s="20"/>
      <c r="AQ16775" s="19"/>
      <c r="AR16775" s="19"/>
      <c r="AS16775" s="19"/>
      <c r="AT16775" s="19"/>
      <c r="AU16775" s="19"/>
    </row>
    <row r="16776" spans="3:47">
      <c r="C16776" s="20"/>
      <c r="Z16776" s="20"/>
      <c r="AG16776" s="20"/>
      <c r="AQ16776" s="19"/>
      <c r="AR16776" s="19"/>
      <c r="AS16776" s="19"/>
      <c r="AT16776" s="19"/>
      <c r="AU16776" s="19"/>
    </row>
    <row r="16777" spans="3:47">
      <c r="C16777" s="20"/>
      <c r="Z16777" s="20"/>
      <c r="AG16777" s="20"/>
      <c r="AQ16777" s="19"/>
      <c r="AR16777" s="19"/>
      <c r="AS16777" s="19"/>
      <c r="AT16777" s="19"/>
      <c r="AU16777" s="19"/>
    </row>
    <row r="16778" spans="3:47">
      <c r="C16778" s="20"/>
      <c r="Z16778" s="20"/>
      <c r="AG16778" s="20"/>
      <c r="AQ16778" s="19"/>
      <c r="AR16778" s="19"/>
      <c r="AS16778" s="19"/>
      <c r="AT16778" s="19"/>
      <c r="AU16778" s="19"/>
    </row>
    <row r="16779" spans="3:47">
      <c r="C16779" s="20"/>
      <c r="Z16779" s="20"/>
      <c r="AG16779" s="20"/>
      <c r="AQ16779" s="19"/>
      <c r="AR16779" s="19"/>
      <c r="AS16779" s="19"/>
      <c r="AT16779" s="19"/>
      <c r="AU16779" s="19"/>
    </row>
    <row r="16780" spans="3:47">
      <c r="C16780" s="20"/>
      <c r="Z16780" s="20"/>
      <c r="AG16780" s="20"/>
      <c r="AQ16780" s="19"/>
      <c r="AR16780" s="19"/>
      <c r="AS16780" s="19"/>
      <c r="AT16780" s="19"/>
      <c r="AU16780" s="19"/>
    </row>
    <row r="16781" spans="3:47">
      <c r="C16781" s="20"/>
      <c r="Z16781" s="20"/>
      <c r="AG16781" s="20"/>
      <c r="AQ16781" s="19"/>
      <c r="AR16781" s="19"/>
      <c r="AS16781" s="19"/>
      <c r="AT16781" s="19"/>
      <c r="AU16781" s="19"/>
    </row>
    <row r="16782" spans="3:47">
      <c r="C16782" s="20"/>
      <c r="Z16782" s="20"/>
      <c r="AG16782" s="20"/>
      <c r="AQ16782" s="19"/>
      <c r="AR16782" s="19"/>
      <c r="AS16782" s="19"/>
      <c r="AT16782" s="19"/>
      <c r="AU16782" s="19"/>
    </row>
    <row r="16783" spans="3:47">
      <c r="C16783" s="20"/>
      <c r="Z16783" s="20"/>
      <c r="AG16783" s="20"/>
      <c r="AQ16783" s="19"/>
      <c r="AR16783" s="19"/>
      <c r="AS16783" s="19"/>
      <c r="AT16783" s="19"/>
      <c r="AU16783" s="19"/>
    </row>
    <row r="16784" spans="3:47">
      <c r="C16784" s="20"/>
      <c r="Z16784" s="20"/>
      <c r="AG16784" s="20"/>
      <c r="AQ16784" s="19"/>
      <c r="AR16784" s="19"/>
      <c r="AS16784" s="19"/>
      <c r="AT16784" s="19"/>
      <c r="AU16784" s="19"/>
    </row>
    <row r="16785" spans="3:47">
      <c r="C16785" s="20"/>
      <c r="Z16785" s="20"/>
      <c r="AG16785" s="20"/>
      <c r="AQ16785" s="19"/>
      <c r="AR16785" s="19"/>
      <c r="AS16785" s="19"/>
      <c r="AT16785" s="19"/>
      <c r="AU16785" s="19"/>
    </row>
    <row r="16786" spans="3:47">
      <c r="C16786" s="20"/>
      <c r="Z16786" s="20"/>
      <c r="AG16786" s="20"/>
      <c r="AQ16786" s="19"/>
      <c r="AR16786" s="19"/>
      <c r="AS16786" s="19"/>
      <c r="AT16786" s="19"/>
      <c r="AU16786" s="19"/>
    </row>
    <row r="16787" spans="3:47">
      <c r="C16787" s="20"/>
      <c r="Z16787" s="20"/>
      <c r="AG16787" s="20"/>
      <c r="AQ16787" s="19"/>
      <c r="AR16787" s="19"/>
      <c r="AS16787" s="19"/>
      <c r="AT16787" s="19"/>
      <c r="AU16787" s="19"/>
    </row>
    <row r="16788" spans="3:47">
      <c r="C16788" s="20"/>
      <c r="Z16788" s="20"/>
      <c r="AG16788" s="20"/>
      <c r="AQ16788" s="19"/>
      <c r="AR16788" s="19"/>
      <c r="AS16788" s="19"/>
      <c r="AT16788" s="19"/>
      <c r="AU16788" s="19"/>
    </row>
    <row r="16789" spans="3:47">
      <c r="C16789" s="20"/>
      <c r="Z16789" s="20"/>
      <c r="AG16789" s="20"/>
      <c r="AQ16789" s="19"/>
      <c r="AR16789" s="19"/>
      <c r="AS16789" s="19"/>
      <c r="AT16789" s="19"/>
      <c r="AU16789" s="19"/>
    </row>
    <row r="16790" spans="3:47">
      <c r="C16790" s="20"/>
      <c r="Z16790" s="20"/>
      <c r="AG16790" s="20"/>
      <c r="AQ16790" s="19"/>
      <c r="AR16790" s="19"/>
      <c r="AS16790" s="19"/>
      <c r="AT16790" s="19"/>
      <c r="AU16790" s="19"/>
    </row>
    <row r="16791" spans="3:47">
      <c r="C16791" s="20"/>
      <c r="Z16791" s="20"/>
      <c r="AG16791" s="20"/>
      <c r="AQ16791" s="19"/>
      <c r="AR16791" s="19"/>
      <c r="AS16791" s="19"/>
      <c r="AT16791" s="19"/>
      <c r="AU16791" s="19"/>
    </row>
    <row r="16792" spans="3:47">
      <c r="C16792" s="20"/>
      <c r="Z16792" s="20"/>
      <c r="AG16792" s="20"/>
      <c r="AQ16792" s="19"/>
      <c r="AR16792" s="19"/>
      <c r="AS16792" s="19"/>
      <c r="AT16792" s="19"/>
      <c r="AU16792" s="19"/>
    </row>
    <row r="16793" spans="3:47">
      <c r="C16793" s="20"/>
      <c r="Z16793" s="20"/>
      <c r="AG16793" s="20"/>
      <c r="AQ16793" s="19"/>
      <c r="AR16793" s="19"/>
      <c r="AS16793" s="19"/>
      <c r="AT16793" s="19"/>
      <c r="AU16793" s="19"/>
    </row>
    <row r="16794" spans="3:47">
      <c r="C16794" s="20"/>
      <c r="Z16794" s="20"/>
      <c r="AG16794" s="20"/>
      <c r="AQ16794" s="19"/>
      <c r="AR16794" s="19"/>
      <c r="AS16794" s="19"/>
      <c r="AT16794" s="19"/>
      <c r="AU16794" s="19"/>
    </row>
    <row r="16795" spans="3:47">
      <c r="C16795" s="20"/>
      <c r="Z16795" s="20"/>
      <c r="AG16795" s="20"/>
      <c r="AQ16795" s="19"/>
      <c r="AR16795" s="19"/>
      <c r="AS16795" s="19"/>
      <c r="AT16795" s="19"/>
      <c r="AU16795" s="19"/>
    </row>
    <row r="16796" spans="3:47">
      <c r="C16796" s="20"/>
      <c r="Z16796" s="20"/>
      <c r="AG16796" s="20"/>
      <c r="AQ16796" s="19"/>
      <c r="AR16796" s="19"/>
      <c r="AS16796" s="19"/>
      <c r="AT16796" s="19"/>
      <c r="AU16796" s="19"/>
    </row>
    <row r="16797" spans="3:47">
      <c r="C16797" s="20"/>
      <c r="Z16797" s="20"/>
      <c r="AG16797" s="20"/>
      <c r="AQ16797" s="19"/>
      <c r="AR16797" s="19"/>
      <c r="AS16797" s="19"/>
      <c r="AT16797" s="19"/>
      <c r="AU16797" s="19"/>
    </row>
    <row r="16798" spans="3:47">
      <c r="C16798" s="20"/>
      <c r="Z16798" s="20"/>
      <c r="AG16798" s="20"/>
      <c r="AQ16798" s="19"/>
      <c r="AR16798" s="19"/>
      <c r="AS16798" s="19"/>
      <c r="AT16798" s="19"/>
      <c r="AU16798" s="19"/>
    </row>
    <row r="16799" spans="3:47">
      <c r="C16799" s="20"/>
      <c r="Z16799" s="20"/>
      <c r="AG16799" s="20"/>
      <c r="AQ16799" s="19"/>
      <c r="AR16799" s="19"/>
      <c r="AS16799" s="19"/>
      <c r="AT16799" s="19"/>
      <c r="AU16799" s="19"/>
    </row>
    <row r="16800" spans="3:47">
      <c r="C16800" s="20"/>
      <c r="Z16800" s="20"/>
      <c r="AG16800" s="20"/>
      <c r="AQ16800" s="19"/>
      <c r="AR16800" s="19"/>
      <c r="AS16800" s="19"/>
      <c r="AT16800" s="19"/>
      <c r="AU16800" s="19"/>
    </row>
    <row r="16801" spans="3:47">
      <c r="C16801" s="20"/>
      <c r="Z16801" s="20"/>
      <c r="AG16801" s="20"/>
      <c r="AQ16801" s="19"/>
      <c r="AR16801" s="19"/>
      <c r="AS16801" s="19"/>
      <c r="AT16801" s="19"/>
      <c r="AU16801" s="19"/>
    </row>
    <row r="16802" spans="3:47">
      <c r="C16802" s="20"/>
      <c r="Z16802" s="20"/>
      <c r="AG16802" s="20"/>
      <c r="AQ16802" s="19"/>
      <c r="AR16802" s="19"/>
      <c r="AS16802" s="19"/>
      <c r="AT16802" s="19"/>
      <c r="AU16802" s="19"/>
    </row>
    <row r="16803" spans="3:47">
      <c r="C16803" s="20"/>
      <c r="Z16803" s="20"/>
      <c r="AG16803" s="20"/>
      <c r="AQ16803" s="19"/>
      <c r="AR16803" s="19"/>
      <c r="AS16803" s="19"/>
      <c r="AT16803" s="19"/>
      <c r="AU16803" s="19"/>
    </row>
    <row r="16804" spans="3:47">
      <c r="C16804" s="20"/>
      <c r="Z16804" s="20"/>
      <c r="AG16804" s="20"/>
      <c r="AQ16804" s="19"/>
      <c r="AR16804" s="19"/>
      <c r="AS16804" s="19"/>
      <c r="AT16804" s="19"/>
      <c r="AU16804" s="19"/>
    </row>
    <row r="16805" spans="3:47">
      <c r="C16805" s="20"/>
      <c r="Z16805" s="20"/>
      <c r="AG16805" s="20"/>
      <c r="AQ16805" s="19"/>
      <c r="AR16805" s="19"/>
      <c r="AS16805" s="19"/>
      <c r="AT16805" s="19"/>
      <c r="AU16805" s="19"/>
    </row>
    <row r="16806" spans="3:47">
      <c r="C16806" s="20"/>
      <c r="Z16806" s="20"/>
      <c r="AG16806" s="20"/>
      <c r="AQ16806" s="19"/>
      <c r="AR16806" s="19"/>
      <c r="AS16806" s="19"/>
      <c r="AT16806" s="19"/>
      <c r="AU16806" s="19"/>
    </row>
    <row r="16807" spans="3:47">
      <c r="C16807" s="20"/>
      <c r="Z16807" s="20"/>
      <c r="AG16807" s="20"/>
      <c r="AQ16807" s="19"/>
      <c r="AR16807" s="19"/>
      <c r="AS16807" s="19"/>
      <c r="AT16807" s="19"/>
      <c r="AU16807" s="19"/>
    </row>
    <row r="16808" spans="3:47">
      <c r="C16808" s="20"/>
      <c r="Z16808" s="20"/>
      <c r="AG16808" s="20"/>
      <c r="AQ16808" s="19"/>
      <c r="AR16808" s="19"/>
      <c r="AS16808" s="19"/>
      <c r="AT16808" s="19"/>
      <c r="AU16808" s="19"/>
    </row>
    <row r="16809" spans="3:47">
      <c r="C16809" s="20"/>
      <c r="Z16809" s="20"/>
      <c r="AG16809" s="20"/>
      <c r="AQ16809" s="19"/>
      <c r="AR16809" s="19"/>
      <c r="AS16809" s="19"/>
      <c r="AT16809" s="19"/>
      <c r="AU16809" s="19"/>
    </row>
    <row r="16810" spans="3:47">
      <c r="C16810" s="20"/>
      <c r="Z16810" s="20"/>
      <c r="AG16810" s="20"/>
      <c r="AQ16810" s="19"/>
      <c r="AR16810" s="19"/>
      <c r="AS16810" s="19"/>
      <c r="AT16810" s="19"/>
      <c r="AU16810" s="19"/>
    </row>
    <row r="16811" spans="3:47">
      <c r="C16811" s="20"/>
      <c r="Z16811" s="20"/>
      <c r="AG16811" s="20"/>
      <c r="AQ16811" s="19"/>
      <c r="AR16811" s="19"/>
      <c r="AS16811" s="19"/>
      <c r="AT16811" s="19"/>
      <c r="AU16811" s="19"/>
    </row>
    <row r="16812" spans="3:47">
      <c r="C16812" s="20"/>
      <c r="Z16812" s="20"/>
      <c r="AG16812" s="20"/>
      <c r="AQ16812" s="19"/>
      <c r="AR16812" s="19"/>
      <c r="AS16812" s="19"/>
      <c r="AT16812" s="19"/>
      <c r="AU16812" s="19"/>
    </row>
    <row r="16813" spans="3:47">
      <c r="C16813" s="20"/>
      <c r="Z16813" s="20"/>
      <c r="AG16813" s="20"/>
      <c r="AQ16813" s="19"/>
      <c r="AR16813" s="19"/>
      <c r="AS16813" s="19"/>
      <c r="AT16813" s="19"/>
      <c r="AU16813" s="19"/>
    </row>
    <row r="16814" spans="3:47">
      <c r="C16814" s="20"/>
      <c r="Z16814" s="20"/>
      <c r="AG16814" s="20"/>
      <c r="AQ16814" s="19"/>
      <c r="AR16814" s="19"/>
      <c r="AS16814" s="19"/>
      <c r="AT16814" s="19"/>
      <c r="AU16814" s="19"/>
    </row>
    <row r="16815" spans="3:47">
      <c r="C16815" s="20"/>
      <c r="Z16815" s="20"/>
      <c r="AG16815" s="20"/>
      <c r="AQ16815" s="19"/>
      <c r="AR16815" s="19"/>
      <c r="AS16815" s="19"/>
      <c r="AT16815" s="19"/>
      <c r="AU16815" s="19"/>
    </row>
    <row r="16816" spans="3:47">
      <c r="C16816" s="20"/>
      <c r="Z16816" s="20"/>
      <c r="AG16816" s="20"/>
      <c r="AQ16816" s="19"/>
      <c r="AR16816" s="19"/>
      <c r="AS16816" s="19"/>
      <c r="AT16816" s="19"/>
      <c r="AU16816" s="19"/>
    </row>
    <row r="16817" spans="3:47">
      <c r="C16817" s="20"/>
      <c r="Z16817" s="20"/>
      <c r="AG16817" s="20"/>
      <c r="AQ16817" s="19"/>
      <c r="AR16817" s="19"/>
      <c r="AS16817" s="19"/>
      <c r="AT16817" s="19"/>
      <c r="AU16817" s="19"/>
    </row>
    <row r="16818" spans="3:47">
      <c r="C16818" s="20"/>
      <c r="Z16818" s="20"/>
      <c r="AG16818" s="20"/>
      <c r="AQ16818" s="19"/>
      <c r="AR16818" s="19"/>
      <c r="AS16818" s="19"/>
      <c r="AT16818" s="19"/>
      <c r="AU16818" s="19"/>
    </row>
    <row r="16819" spans="3:47">
      <c r="C16819" s="20"/>
      <c r="Z16819" s="20"/>
      <c r="AG16819" s="20"/>
      <c r="AQ16819" s="19"/>
      <c r="AR16819" s="19"/>
      <c r="AS16819" s="19"/>
      <c r="AT16819" s="19"/>
      <c r="AU16819" s="19"/>
    </row>
    <row r="16820" spans="3:47">
      <c r="C16820" s="20"/>
      <c r="Z16820" s="20"/>
      <c r="AG16820" s="20"/>
      <c r="AQ16820" s="19"/>
      <c r="AR16820" s="19"/>
      <c r="AS16820" s="19"/>
      <c r="AT16820" s="19"/>
      <c r="AU16820" s="19"/>
    </row>
    <row r="16821" spans="3:47">
      <c r="C16821" s="20"/>
      <c r="Z16821" s="20"/>
      <c r="AG16821" s="20"/>
      <c r="AQ16821" s="19"/>
      <c r="AR16821" s="19"/>
      <c r="AS16821" s="19"/>
      <c r="AT16821" s="19"/>
      <c r="AU16821" s="19"/>
    </row>
    <row r="16822" spans="3:47">
      <c r="C16822" s="20"/>
      <c r="Z16822" s="20"/>
      <c r="AG16822" s="20"/>
      <c r="AQ16822" s="19"/>
      <c r="AR16822" s="19"/>
      <c r="AS16822" s="19"/>
      <c r="AT16822" s="19"/>
      <c r="AU16822" s="19"/>
    </row>
    <row r="16823" spans="3:47">
      <c r="C16823" s="20"/>
      <c r="Z16823" s="20"/>
      <c r="AG16823" s="20"/>
      <c r="AQ16823" s="19"/>
      <c r="AR16823" s="19"/>
      <c r="AS16823" s="19"/>
      <c r="AT16823" s="19"/>
      <c r="AU16823" s="19"/>
    </row>
    <row r="16824" spans="3:47">
      <c r="C16824" s="20"/>
      <c r="Z16824" s="20"/>
      <c r="AG16824" s="20"/>
      <c r="AQ16824" s="19"/>
      <c r="AR16824" s="19"/>
      <c r="AS16824" s="19"/>
      <c r="AT16824" s="19"/>
      <c r="AU16824" s="19"/>
    </row>
    <row r="16825" spans="3:47">
      <c r="C16825" s="20"/>
      <c r="Z16825" s="20"/>
      <c r="AG16825" s="20"/>
      <c r="AQ16825" s="19"/>
      <c r="AR16825" s="19"/>
      <c r="AS16825" s="19"/>
      <c r="AT16825" s="19"/>
      <c r="AU16825" s="19"/>
    </row>
    <row r="16826" spans="3:47">
      <c r="C16826" s="20"/>
      <c r="Z16826" s="20"/>
      <c r="AG16826" s="20"/>
      <c r="AQ16826" s="19"/>
      <c r="AR16826" s="19"/>
      <c r="AS16826" s="19"/>
      <c r="AT16826" s="19"/>
      <c r="AU16826" s="19"/>
    </row>
    <row r="16827" spans="3:47">
      <c r="C16827" s="20"/>
      <c r="Z16827" s="20"/>
      <c r="AG16827" s="20"/>
      <c r="AQ16827" s="19"/>
      <c r="AR16827" s="19"/>
      <c r="AS16827" s="19"/>
      <c r="AT16827" s="19"/>
      <c r="AU16827" s="19"/>
    </row>
    <row r="16828" spans="3:47">
      <c r="C16828" s="20"/>
      <c r="Z16828" s="20"/>
      <c r="AG16828" s="20"/>
      <c r="AQ16828" s="19"/>
      <c r="AR16828" s="19"/>
      <c r="AS16828" s="19"/>
      <c r="AT16828" s="19"/>
      <c r="AU16828" s="19"/>
    </row>
    <row r="16829" spans="3:47">
      <c r="C16829" s="20"/>
      <c r="Z16829" s="20"/>
      <c r="AG16829" s="20"/>
      <c r="AQ16829" s="19"/>
      <c r="AR16829" s="19"/>
      <c r="AS16829" s="19"/>
      <c r="AT16829" s="19"/>
      <c r="AU16829" s="19"/>
    </row>
    <row r="16830" spans="3:47">
      <c r="C16830" s="20"/>
      <c r="Z16830" s="20"/>
      <c r="AG16830" s="20"/>
      <c r="AQ16830" s="19"/>
      <c r="AR16830" s="19"/>
      <c r="AS16830" s="19"/>
      <c r="AT16830" s="19"/>
      <c r="AU16830" s="19"/>
    </row>
    <row r="16831" spans="3:47">
      <c r="C16831" s="20"/>
      <c r="Z16831" s="20"/>
      <c r="AG16831" s="20"/>
      <c r="AQ16831" s="19"/>
      <c r="AR16831" s="19"/>
      <c r="AS16831" s="19"/>
      <c r="AT16831" s="19"/>
      <c r="AU16831" s="19"/>
    </row>
    <row r="16832" spans="3:47">
      <c r="C16832" s="20"/>
      <c r="Z16832" s="20"/>
      <c r="AG16832" s="20"/>
      <c r="AQ16832" s="19"/>
      <c r="AR16832" s="19"/>
      <c r="AS16832" s="19"/>
      <c r="AT16832" s="19"/>
      <c r="AU16832" s="19"/>
    </row>
    <row r="16833" spans="3:47">
      <c r="C16833" s="20"/>
      <c r="Z16833" s="20"/>
      <c r="AG16833" s="20"/>
      <c r="AQ16833" s="19"/>
      <c r="AR16833" s="19"/>
      <c r="AS16833" s="19"/>
      <c r="AT16833" s="19"/>
      <c r="AU16833" s="19"/>
    </row>
    <row r="16834" spans="3:47">
      <c r="C16834" s="20"/>
      <c r="Z16834" s="20"/>
      <c r="AG16834" s="20"/>
      <c r="AQ16834" s="19"/>
      <c r="AR16834" s="19"/>
      <c r="AS16834" s="19"/>
      <c r="AT16834" s="19"/>
      <c r="AU16834" s="19"/>
    </row>
    <row r="16835" spans="3:47">
      <c r="C16835" s="20"/>
      <c r="Z16835" s="20"/>
      <c r="AG16835" s="20"/>
      <c r="AQ16835" s="19"/>
      <c r="AR16835" s="19"/>
      <c r="AS16835" s="19"/>
      <c r="AT16835" s="19"/>
      <c r="AU16835" s="19"/>
    </row>
    <row r="16836" spans="3:47">
      <c r="C16836" s="20"/>
      <c r="Z16836" s="20"/>
      <c r="AG16836" s="20"/>
      <c r="AQ16836" s="19"/>
      <c r="AR16836" s="19"/>
      <c r="AS16836" s="19"/>
      <c r="AT16836" s="19"/>
      <c r="AU16836" s="19"/>
    </row>
    <row r="16837" spans="3:47">
      <c r="C16837" s="20"/>
      <c r="Z16837" s="20"/>
      <c r="AG16837" s="20"/>
      <c r="AQ16837" s="19"/>
      <c r="AR16837" s="19"/>
      <c r="AS16837" s="19"/>
      <c r="AT16837" s="19"/>
      <c r="AU16837" s="19"/>
    </row>
    <row r="16838" spans="3:47">
      <c r="C16838" s="20"/>
      <c r="Z16838" s="20"/>
      <c r="AG16838" s="20"/>
      <c r="AQ16838" s="19"/>
      <c r="AR16838" s="19"/>
      <c r="AS16838" s="19"/>
      <c r="AT16838" s="19"/>
      <c r="AU16838" s="19"/>
    </row>
    <row r="16839" spans="3:47">
      <c r="C16839" s="20"/>
      <c r="Z16839" s="20"/>
      <c r="AG16839" s="20"/>
      <c r="AQ16839" s="19"/>
      <c r="AR16839" s="19"/>
      <c r="AS16839" s="19"/>
      <c r="AT16839" s="19"/>
      <c r="AU16839" s="19"/>
    </row>
    <row r="16840" spans="3:47">
      <c r="C16840" s="20"/>
      <c r="Z16840" s="20"/>
      <c r="AG16840" s="20"/>
      <c r="AQ16840" s="19"/>
      <c r="AR16840" s="19"/>
      <c r="AS16840" s="19"/>
      <c r="AT16840" s="19"/>
      <c r="AU16840" s="19"/>
    </row>
    <row r="16841" spans="3:47">
      <c r="C16841" s="20"/>
      <c r="Z16841" s="20"/>
      <c r="AG16841" s="20"/>
      <c r="AQ16841" s="19"/>
      <c r="AR16841" s="19"/>
      <c r="AS16841" s="19"/>
      <c r="AT16841" s="19"/>
      <c r="AU16841" s="19"/>
    </row>
    <row r="16842" spans="3:47">
      <c r="C16842" s="20"/>
      <c r="Z16842" s="20"/>
      <c r="AG16842" s="20"/>
      <c r="AQ16842" s="19"/>
      <c r="AR16842" s="19"/>
      <c r="AS16842" s="19"/>
      <c r="AT16842" s="19"/>
      <c r="AU16842" s="19"/>
    </row>
    <row r="16843" spans="3:47">
      <c r="C16843" s="20"/>
      <c r="Z16843" s="20"/>
      <c r="AG16843" s="20"/>
      <c r="AQ16843" s="19"/>
      <c r="AR16843" s="19"/>
      <c r="AS16843" s="19"/>
      <c r="AT16843" s="19"/>
      <c r="AU16843" s="19"/>
    </row>
    <row r="16844" spans="3:47">
      <c r="C16844" s="20"/>
      <c r="Z16844" s="20"/>
      <c r="AG16844" s="20"/>
      <c r="AQ16844" s="19"/>
      <c r="AR16844" s="19"/>
      <c r="AS16844" s="19"/>
      <c r="AT16844" s="19"/>
      <c r="AU16844" s="19"/>
    </row>
    <row r="16845" spans="3:47">
      <c r="C16845" s="20"/>
      <c r="Z16845" s="20"/>
      <c r="AG16845" s="20"/>
      <c r="AQ16845" s="19"/>
      <c r="AR16845" s="19"/>
      <c r="AS16845" s="19"/>
      <c r="AT16845" s="19"/>
      <c r="AU16845" s="19"/>
    </row>
    <row r="16846" spans="3:47">
      <c r="C16846" s="20"/>
      <c r="Z16846" s="20"/>
      <c r="AG16846" s="20"/>
      <c r="AQ16846" s="19"/>
      <c r="AR16846" s="19"/>
      <c r="AS16846" s="19"/>
      <c r="AT16846" s="19"/>
      <c r="AU16846" s="19"/>
    </row>
    <row r="16847" spans="3:47">
      <c r="C16847" s="20"/>
      <c r="Z16847" s="20"/>
      <c r="AG16847" s="20"/>
      <c r="AQ16847" s="19"/>
      <c r="AR16847" s="19"/>
      <c r="AS16847" s="19"/>
      <c r="AT16847" s="19"/>
      <c r="AU16847" s="19"/>
    </row>
    <row r="16848" spans="3:47">
      <c r="C16848" s="20"/>
      <c r="Z16848" s="20"/>
      <c r="AG16848" s="20"/>
      <c r="AQ16848" s="19"/>
      <c r="AR16848" s="19"/>
      <c r="AS16848" s="19"/>
      <c r="AT16848" s="19"/>
      <c r="AU16848" s="19"/>
    </row>
    <row r="16849" spans="3:47">
      <c r="C16849" s="20"/>
      <c r="Z16849" s="20"/>
      <c r="AG16849" s="20"/>
      <c r="AQ16849" s="19"/>
      <c r="AR16849" s="19"/>
      <c r="AS16849" s="19"/>
      <c r="AT16849" s="19"/>
      <c r="AU16849" s="19"/>
    </row>
    <row r="16850" spans="3:47">
      <c r="C16850" s="20"/>
      <c r="Z16850" s="20"/>
      <c r="AG16850" s="20"/>
      <c r="AQ16850" s="19"/>
      <c r="AR16850" s="19"/>
      <c r="AS16850" s="19"/>
      <c r="AT16850" s="19"/>
      <c r="AU16850" s="19"/>
    </row>
    <row r="16851" spans="3:47">
      <c r="C16851" s="20"/>
      <c r="Z16851" s="20"/>
      <c r="AG16851" s="20"/>
      <c r="AQ16851" s="19"/>
      <c r="AR16851" s="19"/>
      <c r="AS16851" s="19"/>
      <c r="AT16851" s="19"/>
      <c r="AU16851" s="19"/>
    </row>
    <row r="16852" spans="3:47">
      <c r="C16852" s="20"/>
      <c r="Z16852" s="20"/>
      <c r="AG16852" s="20"/>
      <c r="AQ16852" s="19"/>
      <c r="AR16852" s="19"/>
      <c r="AS16852" s="19"/>
      <c r="AT16852" s="19"/>
      <c r="AU16852" s="19"/>
    </row>
    <row r="16853" spans="3:47">
      <c r="C16853" s="20"/>
      <c r="Z16853" s="20"/>
      <c r="AG16853" s="20"/>
      <c r="AQ16853" s="19"/>
      <c r="AR16853" s="19"/>
      <c r="AS16853" s="19"/>
      <c r="AT16853" s="19"/>
      <c r="AU16853" s="19"/>
    </row>
    <row r="16854" spans="3:47">
      <c r="C16854" s="20"/>
      <c r="Z16854" s="20"/>
      <c r="AG16854" s="20"/>
      <c r="AQ16854" s="19"/>
      <c r="AR16854" s="19"/>
      <c r="AS16854" s="19"/>
      <c r="AT16854" s="19"/>
      <c r="AU16854" s="19"/>
    </row>
    <row r="16855" spans="3:47">
      <c r="C16855" s="20"/>
      <c r="Z16855" s="20"/>
      <c r="AG16855" s="20"/>
      <c r="AQ16855" s="19"/>
      <c r="AR16855" s="19"/>
      <c r="AS16855" s="19"/>
      <c r="AT16855" s="19"/>
      <c r="AU16855" s="19"/>
    </row>
    <row r="16856" spans="3:47">
      <c r="C16856" s="20"/>
      <c r="Z16856" s="20"/>
      <c r="AG16856" s="20"/>
      <c r="AQ16856" s="19"/>
      <c r="AR16856" s="19"/>
      <c r="AS16856" s="19"/>
      <c r="AT16856" s="19"/>
      <c r="AU16856" s="19"/>
    </row>
    <row r="16857" spans="3:47">
      <c r="C16857" s="20"/>
      <c r="Z16857" s="20"/>
      <c r="AG16857" s="20"/>
      <c r="AQ16857" s="19"/>
      <c r="AR16857" s="19"/>
      <c r="AS16857" s="19"/>
      <c r="AT16857" s="19"/>
      <c r="AU16857" s="19"/>
    </row>
    <row r="16858" spans="3:47">
      <c r="C16858" s="20"/>
      <c r="Z16858" s="20"/>
      <c r="AG16858" s="20"/>
      <c r="AQ16858" s="19"/>
      <c r="AR16858" s="19"/>
      <c r="AS16858" s="19"/>
      <c r="AT16858" s="19"/>
      <c r="AU16858" s="19"/>
    </row>
    <row r="16859" spans="3:47">
      <c r="C16859" s="20"/>
      <c r="Z16859" s="20"/>
      <c r="AG16859" s="20"/>
      <c r="AQ16859" s="19"/>
      <c r="AR16859" s="19"/>
      <c r="AS16859" s="19"/>
      <c r="AT16859" s="19"/>
      <c r="AU16859" s="19"/>
    </row>
    <row r="16860" spans="3:47">
      <c r="C16860" s="20"/>
      <c r="Z16860" s="20"/>
      <c r="AG16860" s="20"/>
      <c r="AQ16860" s="19"/>
      <c r="AR16860" s="19"/>
      <c r="AS16860" s="19"/>
      <c r="AT16860" s="19"/>
      <c r="AU16860" s="19"/>
    </row>
    <row r="16861" spans="3:47">
      <c r="C16861" s="20"/>
      <c r="Z16861" s="20"/>
      <c r="AG16861" s="20"/>
      <c r="AQ16861" s="19"/>
      <c r="AR16861" s="19"/>
      <c r="AS16861" s="19"/>
      <c r="AT16861" s="19"/>
      <c r="AU16861" s="19"/>
    </row>
    <row r="16862" spans="3:47">
      <c r="C16862" s="20"/>
      <c r="Z16862" s="20"/>
      <c r="AG16862" s="20"/>
      <c r="AQ16862" s="19"/>
      <c r="AR16862" s="19"/>
      <c r="AS16862" s="19"/>
      <c r="AT16862" s="19"/>
      <c r="AU16862" s="19"/>
    </row>
    <row r="16863" spans="3:47">
      <c r="C16863" s="20"/>
      <c r="Z16863" s="20"/>
      <c r="AG16863" s="20"/>
      <c r="AQ16863" s="19"/>
      <c r="AR16863" s="19"/>
      <c r="AS16863" s="19"/>
      <c r="AT16863" s="19"/>
      <c r="AU16863" s="19"/>
    </row>
    <row r="16864" spans="3:47">
      <c r="C16864" s="20"/>
      <c r="Z16864" s="20"/>
      <c r="AG16864" s="20"/>
      <c r="AQ16864" s="19"/>
      <c r="AR16864" s="19"/>
      <c r="AS16864" s="19"/>
      <c r="AT16864" s="19"/>
      <c r="AU16864" s="19"/>
    </row>
    <row r="16865" spans="3:47">
      <c r="C16865" s="20"/>
      <c r="Z16865" s="20"/>
      <c r="AG16865" s="20"/>
      <c r="AQ16865" s="19"/>
      <c r="AR16865" s="19"/>
      <c r="AS16865" s="19"/>
      <c r="AT16865" s="19"/>
      <c r="AU16865" s="19"/>
    </row>
    <row r="16866" spans="3:47">
      <c r="C16866" s="20"/>
      <c r="Z16866" s="20"/>
      <c r="AG16866" s="20"/>
      <c r="AQ16866" s="19"/>
      <c r="AR16866" s="19"/>
      <c r="AS16866" s="19"/>
      <c r="AT16866" s="19"/>
      <c r="AU16866" s="19"/>
    </row>
    <row r="16867" spans="3:47">
      <c r="C16867" s="20"/>
      <c r="Z16867" s="20"/>
      <c r="AG16867" s="20"/>
      <c r="AQ16867" s="19"/>
      <c r="AR16867" s="19"/>
      <c r="AS16867" s="19"/>
      <c r="AT16867" s="19"/>
      <c r="AU16867" s="19"/>
    </row>
    <row r="16868" spans="3:47">
      <c r="C16868" s="20"/>
      <c r="Z16868" s="20"/>
      <c r="AG16868" s="20"/>
      <c r="AQ16868" s="19"/>
      <c r="AR16868" s="19"/>
      <c r="AS16868" s="19"/>
      <c r="AT16868" s="19"/>
      <c r="AU16868" s="19"/>
    </row>
    <row r="16869" spans="3:47">
      <c r="C16869" s="20"/>
      <c r="Z16869" s="20"/>
      <c r="AG16869" s="20"/>
      <c r="AQ16869" s="19"/>
      <c r="AR16869" s="19"/>
      <c r="AS16869" s="19"/>
      <c r="AT16869" s="19"/>
      <c r="AU16869" s="19"/>
    </row>
    <row r="16870" spans="3:47">
      <c r="C16870" s="20"/>
      <c r="Z16870" s="20"/>
      <c r="AG16870" s="20"/>
      <c r="AQ16870" s="19"/>
      <c r="AR16870" s="19"/>
      <c r="AS16870" s="19"/>
      <c r="AT16870" s="19"/>
      <c r="AU16870" s="19"/>
    </row>
    <row r="16871" spans="3:47">
      <c r="C16871" s="20"/>
      <c r="Z16871" s="20"/>
      <c r="AG16871" s="20"/>
      <c r="AQ16871" s="19"/>
      <c r="AR16871" s="19"/>
      <c r="AS16871" s="19"/>
      <c r="AT16871" s="19"/>
      <c r="AU16871" s="19"/>
    </row>
    <row r="16872" spans="3:47">
      <c r="C16872" s="20"/>
      <c r="Z16872" s="20"/>
      <c r="AG16872" s="20"/>
      <c r="AQ16872" s="19"/>
      <c r="AR16872" s="19"/>
      <c r="AS16872" s="19"/>
      <c r="AT16872" s="19"/>
      <c r="AU16872" s="19"/>
    </row>
    <row r="16873" spans="3:47">
      <c r="C16873" s="20"/>
      <c r="Z16873" s="20"/>
      <c r="AG16873" s="20"/>
      <c r="AQ16873" s="19"/>
      <c r="AR16873" s="19"/>
      <c r="AS16873" s="19"/>
      <c r="AT16873" s="19"/>
      <c r="AU16873" s="19"/>
    </row>
    <row r="16874" spans="3:47">
      <c r="C16874" s="20"/>
      <c r="Z16874" s="20"/>
      <c r="AG16874" s="20"/>
      <c r="AQ16874" s="19"/>
      <c r="AR16874" s="19"/>
      <c r="AS16874" s="19"/>
      <c r="AT16874" s="19"/>
      <c r="AU16874" s="19"/>
    </row>
    <row r="16875" spans="3:47">
      <c r="C16875" s="20"/>
      <c r="Z16875" s="20"/>
      <c r="AG16875" s="20"/>
      <c r="AQ16875" s="19"/>
      <c r="AR16875" s="19"/>
      <c r="AS16875" s="19"/>
      <c r="AT16875" s="19"/>
      <c r="AU16875" s="19"/>
    </row>
    <row r="16876" spans="3:47">
      <c r="C16876" s="20"/>
      <c r="Z16876" s="20"/>
      <c r="AG16876" s="20"/>
      <c r="AQ16876" s="19"/>
      <c r="AR16876" s="19"/>
      <c r="AS16876" s="19"/>
      <c r="AT16876" s="19"/>
      <c r="AU16876" s="19"/>
    </row>
    <row r="16877" spans="3:47">
      <c r="C16877" s="20"/>
      <c r="Z16877" s="20"/>
      <c r="AG16877" s="20"/>
      <c r="AQ16877" s="19"/>
      <c r="AR16877" s="19"/>
      <c r="AS16877" s="19"/>
      <c r="AT16877" s="19"/>
      <c r="AU16877" s="19"/>
    </row>
    <row r="16878" spans="3:47">
      <c r="C16878" s="20"/>
      <c r="Z16878" s="20"/>
      <c r="AG16878" s="20"/>
      <c r="AQ16878" s="19"/>
      <c r="AR16878" s="19"/>
      <c r="AS16878" s="19"/>
      <c r="AT16878" s="19"/>
      <c r="AU16878" s="19"/>
    </row>
    <row r="16879" spans="3:47">
      <c r="C16879" s="20"/>
      <c r="Z16879" s="20"/>
      <c r="AG16879" s="20"/>
      <c r="AQ16879" s="19"/>
      <c r="AR16879" s="19"/>
      <c r="AS16879" s="19"/>
      <c r="AT16879" s="19"/>
      <c r="AU16879" s="19"/>
    </row>
    <row r="16880" spans="3:47">
      <c r="C16880" s="20"/>
      <c r="Z16880" s="20"/>
      <c r="AG16880" s="20"/>
      <c r="AQ16880" s="19"/>
      <c r="AR16880" s="19"/>
      <c r="AS16880" s="19"/>
      <c r="AT16880" s="19"/>
      <c r="AU16880" s="19"/>
    </row>
    <row r="16881" spans="3:47">
      <c r="C16881" s="20"/>
      <c r="Z16881" s="20"/>
      <c r="AG16881" s="20"/>
      <c r="AQ16881" s="19"/>
      <c r="AR16881" s="19"/>
      <c r="AS16881" s="19"/>
      <c r="AT16881" s="19"/>
      <c r="AU16881" s="19"/>
    </row>
    <row r="16882" spans="3:47">
      <c r="C16882" s="20"/>
      <c r="Z16882" s="20"/>
      <c r="AG16882" s="20"/>
      <c r="AQ16882" s="19"/>
      <c r="AR16882" s="19"/>
      <c r="AS16882" s="19"/>
      <c r="AT16882" s="19"/>
      <c r="AU16882" s="19"/>
    </row>
    <row r="16883" spans="3:47">
      <c r="C16883" s="20"/>
      <c r="Z16883" s="20"/>
      <c r="AG16883" s="20"/>
      <c r="AQ16883" s="19"/>
      <c r="AR16883" s="19"/>
      <c r="AS16883" s="19"/>
      <c r="AT16883" s="19"/>
      <c r="AU16883" s="19"/>
    </row>
    <row r="16884" spans="3:47">
      <c r="C16884" s="20"/>
      <c r="Z16884" s="20"/>
      <c r="AG16884" s="20"/>
      <c r="AQ16884" s="19"/>
      <c r="AR16884" s="19"/>
      <c r="AS16884" s="19"/>
      <c r="AT16884" s="19"/>
      <c r="AU16884" s="19"/>
    </row>
    <row r="16885" spans="3:47">
      <c r="C16885" s="20"/>
      <c r="Z16885" s="20"/>
      <c r="AG16885" s="20"/>
      <c r="AQ16885" s="19"/>
      <c r="AR16885" s="19"/>
      <c r="AS16885" s="19"/>
      <c r="AT16885" s="19"/>
      <c r="AU16885" s="19"/>
    </row>
    <row r="16886" spans="3:47">
      <c r="C16886" s="20"/>
      <c r="Z16886" s="20"/>
      <c r="AG16886" s="20"/>
      <c r="AQ16886" s="19"/>
      <c r="AR16886" s="19"/>
      <c r="AS16886" s="19"/>
      <c r="AT16886" s="19"/>
      <c r="AU16886" s="19"/>
    </row>
    <row r="16887" spans="3:47">
      <c r="C16887" s="20"/>
      <c r="Z16887" s="20"/>
      <c r="AG16887" s="20"/>
      <c r="AQ16887" s="19"/>
      <c r="AR16887" s="19"/>
      <c r="AS16887" s="19"/>
      <c r="AT16887" s="19"/>
      <c r="AU16887" s="19"/>
    </row>
    <row r="16888" spans="3:47">
      <c r="C16888" s="20"/>
      <c r="Z16888" s="20"/>
      <c r="AG16888" s="20"/>
      <c r="AQ16888" s="19"/>
      <c r="AR16888" s="19"/>
      <c r="AS16888" s="19"/>
      <c r="AT16888" s="19"/>
      <c r="AU16888" s="19"/>
    </row>
    <row r="16889" spans="3:47">
      <c r="C16889" s="20"/>
      <c r="Z16889" s="20"/>
      <c r="AG16889" s="20"/>
      <c r="AQ16889" s="19"/>
      <c r="AR16889" s="19"/>
      <c r="AS16889" s="19"/>
      <c r="AT16889" s="19"/>
      <c r="AU16889" s="19"/>
    </row>
    <row r="16890" spans="3:47">
      <c r="C16890" s="20"/>
      <c r="Z16890" s="20"/>
      <c r="AG16890" s="20"/>
      <c r="AQ16890" s="19"/>
      <c r="AR16890" s="19"/>
      <c r="AS16890" s="19"/>
      <c r="AT16890" s="19"/>
      <c r="AU16890" s="19"/>
    </row>
    <row r="16891" spans="3:47">
      <c r="C16891" s="20"/>
      <c r="Z16891" s="20"/>
      <c r="AG16891" s="20"/>
      <c r="AQ16891" s="19"/>
      <c r="AR16891" s="19"/>
      <c r="AS16891" s="19"/>
      <c r="AT16891" s="19"/>
      <c r="AU16891" s="19"/>
    </row>
    <row r="16892" spans="3:47">
      <c r="C16892" s="20"/>
      <c r="Z16892" s="20"/>
      <c r="AG16892" s="20"/>
      <c r="AQ16892" s="19"/>
      <c r="AR16892" s="19"/>
      <c r="AS16892" s="19"/>
      <c r="AT16892" s="19"/>
      <c r="AU16892" s="19"/>
    </row>
    <row r="16893" spans="3:47">
      <c r="C16893" s="20"/>
      <c r="Z16893" s="20"/>
      <c r="AG16893" s="20"/>
      <c r="AQ16893" s="19"/>
      <c r="AR16893" s="19"/>
      <c r="AS16893" s="19"/>
      <c r="AT16893" s="19"/>
      <c r="AU16893" s="19"/>
    </row>
    <row r="16894" spans="3:47">
      <c r="C16894" s="20"/>
      <c r="Z16894" s="20"/>
      <c r="AG16894" s="20"/>
      <c r="AQ16894" s="19"/>
      <c r="AR16894" s="19"/>
      <c r="AS16894" s="19"/>
      <c r="AT16894" s="19"/>
      <c r="AU16894" s="19"/>
    </row>
    <row r="16895" spans="3:47">
      <c r="C16895" s="20"/>
      <c r="Z16895" s="20"/>
      <c r="AG16895" s="20"/>
      <c r="AQ16895" s="19"/>
      <c r="AR16895" s="19"/>
      <c r="AS16895" s="19"/>
      <c r="AT16895" s="19"/>
      <c r="AU16895" s="19"/>
    </row>
    <row r="16896" spans="3:47">
      <c r="C16896" s="20"/>
      <c r="Z16896" s="20"/>
      <c r="AG16896" s="20"/>
      <c r="AQ16896" s="19"/>
      <c r="AR16896" s="19"/>
      <c r="AS16896" s="19"/>
      <c r="AT16896" s="19"/>
      <c r="AU16896" s="19"/>
    </row>
    <row r="16897" spans="3:47">
      <c r="C16897" s="20"/>
      <c r="Z16897" s="20"/>
      <c r="AG16897" s="20"/>
      <c r="AQ16897" s="19"/>
      <c r="AR16897" s="19"/>
      <c r="AS16897" s="19"/>
      <c r="AT16897" s="19"/>
      <c r="AU16897" s="19"/>
    </row>
    <row r="16898" spans="3:47">
      <c r="C16898" s="20"/>
      <c r="Z16898" s="20"/>
      <c r="AG16898" s="20"/>
      <c r="AQ16898" s="19"/>
      <c r="AR16898" s="19"/>
      <c r="AS16898" s="19"/>
      <c r="AT16898" s="19"/>
      <c r="AU16898" s="19"/>
    </row>
    <row r="16899" spans="3:47">
      <c r="C16899" s="20"/>
      <c r="Z16899" s="20"/>
      <c r="AG16899" s="20"/>
      <c r="AQ16899" s="19"/>
      <c r="AR16899" s="19"/>
      <c r="AS16899" s="19"/>
      <c r="AT16899" s="19"/>
      <c r="AU16899" s="19"/>
    </row>
    <row r="16900" spans="3:47">
      <c r="C16900" s="20"/>
      <c r="Z16900" s="20"/>
      <c r="AG16900" s="20"/>
      <c r="AQ16900" s="19"/>
      <c r="AR16900" s="19"/>
      <c r="AS16900" s="19"/>
      <c r="AT16900" s="19"/>
      <c r="AU16900" s="19"/>
    </row>
    <row r="16901" spans="3:47">
      <c r="C16901" s="20"/>
      <c r="Z16901" s="20"/>
      <c r="AG16901" s="20"/>
      <c r="AQ16901" s="19"/>
      <c r="AR16901" s="19"/>
      <c r="AS16901" s="19"/>
      <c r="AT16901" s="19"/>
      <c r="AU16901" s="19"/>
    </row>
    <row r="16902" spans="3:47">
      <c r="C16902" s="20"/>
      <c r="Z16902" s="20"/>
      <c r="AG16902" s="20"/>
      <c r="AQ16902" s="19"/>
      <c r="AR16902" s="19"/>
      <c r="AS16902" s="19"/>
      <c r="AT16902" s="19"/>
      <c r="AU16902" s="19"/>
    </row>
    <row r="16903" spans="3:47">
      <c r="C16903" s="20"/>
      <c r="Z16903" s="20"/>
      <c r="AG16903" s="20"/>
      <c r="AQ16903" s="19"/>
      <c r="AR16903" s="19"/>
      <c r="AS16903" s="19"/>
      <c r="AT16903" s="19"/>
      <c r="AU16903" s="19"/>
    </row>
    <row r="16904" spans="3:47">
      <c r="C16904" s="20"/>
      <c r="Z16904" s="20"/>
      <c r="AG16904" s="20"/>
      <c r="AQ16904" s="19"/>
      <c r="AR16904" s="19"/>
      <c r="AS16904" s="19"/>
      <c r="AT16904" s="19"/>
      <c r="AU16904" s="19"/>
    </row>
    <row r="16905" spans="3:47">
      <c r="C16905" s="20"/>
      <c r="Z16905" s="20"/>
      <c r="AG16905" s="20"/>
      <c r="AQ16905" s="19"/>
      <c r="AR16905" s="19"/>
      <c r="AS16905" s="19"/>
      <c r="AT16905" s="19"/>
      <c r="AU16905" s="19"/>
    </row>
    <row r="16906" spans="3:47">
      <c r="C16906" s="20"/>
      <c r="Z16906" s="20"/>
      <c r="AG16906" s="20"/>
      <c r="AQ16906" s="19"/>
      <c r="AR16906" s="19"/>
      <c r="AS16906" s="19"/>
      <c r="AT16906" s="19"/>
      <c r="AU16906" s="19"/>
    </row>
    <row r="16907" spans="3:47">
      <c r="C16907" s="20"/>
      <c r="Z16907" s="20"/>
      <c r="AG16907" s="20"/>
      <c r="AQ16907" s="19"/>
      <c r="AR16907" s="19"/>
      <c r="AS16907" s="19"/>
      <c r="AT16907" s="19"/>
      <c r="AU16907" s="19"/>
    </row>
    <row r="16908" spans="3:47">
      <c r="C16908" s="20"/>
      <c r="Z16908" s="20"/>
      <c r="AG16908" s="20"/>
      <c r="AQ16908" s="19"/>
      <c r="AR16908" s="19"/>
      <c r="AS16908" s="19"/>
      <c r="AT16908" s="19"/>
      <c r="AU16908" s="19"/>
    </row>
    <row r="16909" spans="3:47">
      <c r="C16909" s="20"/>
      <c r="Z16909" s="20"/>
      <c r="AG16909" s="20"/>
      <c r="AQ16909" s="19"/>
      <c r="AR16909" s="19"/>
      <c r="AS16909" s="19"/>
      <c r="AT16909" s="19"/>
      <c r="AU16909" s="19"/>
    </row>
    <row r="16910" spans="3:47">
      <c r="C16910" s="20"/>
      <c r="Z16910" s="20"/>
      <c r="AG16910" s="20"/>
      <c r="AQ16910" s="19"/>
      <c r="AR16910" s="19"/>
      <c r="AS16910" s="19"/>
      <c r="AT16910" s="19"/>
      <c r="AU16910" s="19"/>
    </row>
    <row r="16911" spans="3:47">
      <c r="C16911" s="20"/>
      <c r="Z16911" s="20"/>
      <c r="AG16911" s="20"/>
      <c r="AQ16911" s="19"/>
      <c r="AR16911" s="19"/>
      <c r="AS16911" s="19"/>
      <c r="AT16911" s="19"/>
      <c r="AU16911" s="19"/>
    </row>
    <row r="16912" spans="3:47">
      <c r="C16912" s="20"/>
      <c r="Z16912" s="20"/>
      <c r="AG16912" s="20"/>
      <c r="AQ16912" s="19"/>
      <c r="AR16912" s="19"/>
      <c r="AS16912" s="19"/>
      <c r="AT16912" s="19"/>
      <c r="AU16912" s="19"/>
    </row>
    <row r="16913" spans="3:47">
      <c r="C16913" s="20"/>
      <c r="Z16913" s="20"/>
      <c r="AG16913" s="20"/>
      <c r="AQ16913" s="19"/>
      <c r="AR16913" s="19"/>
      <c r="AS16913" s="19"/>
      <c r="AT16913" s="19"/>
      <c r="AU16913" s="19"/>
    </row>
    <row r="16914" spans="3:47">
      <c r="C16914" s="20"/>
      <c r="Z16914" s="20"/>
      <c r="AG16914" s="20"/>
      <c r="AQ16914" s="19"/>
      <c r="AR16914" s="19"/>
      <c r="AS16914" s="19"/>
      <c r="AT16914" s="19"/>
      <c r="AU16914" s="19"/>
    </row>
    <row r="16915" spans="3:47">
      <c r="C16915" s="20"/>
      <c r="Z16915" s="20"/>
      <c r="AG16915" s="20"/>
      <c r="AQ16915" s="19"/>
      <c r="AR16915" s="19"/>
      <c r="AS16915" s="19"/>
      <c r="AT16915" s="19"/>
      <c r="AU16915" s="19"/>
    </row>
    <row r="16916" spans="3:47">
      <c r="C16916" s="20"/>
      <c r="Z16916" s="20"/>
      <c r="AG16916" s="20"/>
      <c r="AQ16916" s="19"/>
      <c r="AR16916" s="19"/>
      <c r="AS16916" s="19"/>
      <c r="AT16916" s="19"/>
      <c r="AU16916" s="19"/>
    </row>
    <row r="16917" spans="3:47">
      <c r="C16917" s="20"/>
      <c r="Z16917" s="20"/>
      <c r="AG16917" s="20"/>
      <c r="AQ16917" s="19"/>
      <c r="AR16917" s="19"/>
      <c r="AS16917" s="19"/>
      <c r="AT16917" s="19"/>
      <c r="AU16917" s="19"/>
    </row>
    <row r="16918" spans="3:47">
      <c r="C16918" s="20"/>
      <c r="Z16918" s="20"/>
      <c r="AG16918" s="20"/>
      <c r="AQ16918" s="19"/>
      <c r="AR16918" s="19"/>
      <c r="AS16918" s="19"/>
      <c r="AT16918" s="19"/>
      <c r="AU16918" s="19"/>
    </row>
    <row r="16919" spans="3:47">
      <c r="C16919" s="20"/>
      <c r="Z16919" s="20"/>
      <c r="AG16919" s="20"/>
      <c r="AQ16919" s="19"/>
      <c r="AR16919" s="19"/>
      <c r="AS16919" s="19"/>
      <c r="AT16919" s="19"/>
      <c r="AU16919" s="19"/>
    </row>
    <row r="16920" spans="3:47">
      <c r="C16920" s="20"/>
      <c r="Z16920" s="20"/>
      <c r="AG16920" s="20"/>
      <c r="AQ16920" s="19"/>
      <c r="AR16920" s="19"/>
      <c r="AS16920" s="19"/>
      <c r="AT16920" s="19"/>
      <c r="AU16920" s="19"/>
    </row>
    <row r="16921" spans="3:47">
      <c r="C16921" s="20"/>
      <c r="Z16921" s="20"/>
      <c r="AG16921" s="20"/>
      <c r="AQ16921" s="19"/>
      <c r="AR16921" s="19"/>
      <c r="AS16921" s="19"/>
      <c r="AT16921" s="19"/>
      <c r="AU16921" s="19"/>
    </row>
    <row r="16922" spans="3:47">
      <c r="C16922" s="20"/>
      <c r="Z16922" s="20"/>
      <c r="AG16922" s="20"/>
      <c r="AQ16922" s="19"/>
      <c r="AR16922" s="19"/>
      <c r="AS16922" s="19"/>
      <c r="AT16922" s="19"/>
      <c r="AU16922" s="19"/>
    </row>
    <row r="16923" spans="3:47">
      <c r="C16923" s="20"/>
      <c r="Z16923" s="20"/>
      <c r="AG16923" s="20"/>
      <c r="AQ16923" s="19"/>
      <c r="AR16923" s="19"/>
      <c r="AS16923" s="19"/>
      <c r="AT16923" s="19"/>
      <c r="AU16923" s="19"/>
    </row>
    <row r="16924" spans="3:47">
      <c r="C16924" s="20"/>
      <c r="Z16924" s="20"/>
      <c r="AG16924" s="20"/>
      <c r="AQ16924" s="19"/>
      <c r="AR16924" s="19"/>
      <c r="AS16924" s="19"/>
      <c r="AT16924" s="19"/>
      <c r="AU16924" s="19"/>
    </row>
    <row r="16925" spans="3:47">
      <c r="C16925" s="20"/>
      <c r="Z16925" s="20"/>
      <c r="AG16925" s="20"/>
      <c r="AQ16925" s="19"/>
      <c r="AR16925" s="19"/>
      <c r="AS16925" s="19"/>
      <c r="AT16925" s="19"/>
      <c r="AU16925" s="19"/>
    </row>
    <row r="16926" spans="3:47">
      <c r="C16926" s="20"/>
      <c r="Z16926" s="20"/>
      <c r="AG16926" s="20"/>
      <c r="AQ16926" s="19"/>
      <c r="AR16926" s="19"/>
      <c r="AS16926" s="19"/>
      <c r="AT16926" s="19"/>
      <c r="AU16926" s="19"/>
    </row>
    <row r="16927" spans="3:47">
      <c r="C16927" s="20"/>
      <c r="Z16927" s="20"/>
      <c r="AG16927" s="20"/>
      <c r="AQ16927" s="19"/>
      <c r="AR16927" s="19"/>
      <c r="AS16927" s="19"/>
      <c r="AT16927" s="19"/>
      <c r="AU16927" s="19"/>
    </row>
    <row r="16928" spans="3:47">
      <c r="C16928" s="20"/>
      <c r="Z16928" s="20"/>
      <c r="AG16928" s="20"/>
      <c r="AQ16928" s="19"/>
      <c r="AR16928" s="19"/>
      <c r="AS16928" s="19"/>
      <c r="AT16928" s="19"/>
      <c r="AU16928" s="19"/>
    </row>
    <row r="16929" spans="3:47">
      <c r="C16929" s="20"/>
      <c r="Z16929" s="20"/>
      <c r="AG16929" s="20"/>
      <c r="AQ16929" s="19"/>
      <c r="AR16929" s="19"/>
      <c r="AS16929" s="19"/>
      <c r="AT16929" s="19"/>
      <c r="AU16929" s="19"/>
    </row>
    <row r="16930" spans="3:47">
      <c r="C16930" s="20"/>
      <c r="Z16930" s="20"/>
      <c r="AG16930" s="20"/>
      <c r="AQ16930" s="19"/>
      <c r="AR16930" s="19"/>
      <c r="AS16930" s="19"/>
      <c r="AT16930" s="19"/>
      <c r="AU16930" s="19"/>
    </row>
    <row r="16931" spans="3:47">
      <c r="C16931" s="20"/>
      <c r="Z16931" s="20"/>
      <c r="AG16931" s="20"/>
      <c r="AQ16931" s="19"/>
      <c r="AR16931" s="19"/>
      <c r="AS16931" s="19"/>
      <c r="AT16931" s="19"/>
      <c r="AU16931" s="19"/>
    </row>
    <row r="16932" spans="3:47">
      <c r="C16932" s="20"/>
      <c r="Z16932" s="20"/>
      <c r="AG16932" s="20"/>
      <c r="AQ16932" s="19"/>
      <c r="AR16932" s="19"/>
      <c r="AS16932" s="19"/>
      <c r="AT16932" s="19"/>
      <c r="AU16932" s="19"/>
    </row>
    <row r="16933" spans="3:47">
      <c r="C16933" s="20"/>
      <c r="Z16933" s="20"/>
      <c r="AG16933" s="20"/>
      <c r="AQ16933" s="19"/>
      <c r="AR16933" s="19"/>
      <c r="AS16933" s="19"/>
      <c r="AT16933" s="19"/>
      <c r="AU16933" s="19"/>
    </row>
    <row r="16934" spans="3:47">
      <c r="C16934" s="20"/>
      <c r="Z16934" s="20"/>
      <c r="AG16934" s="20"/>
      <c r="AQ16934" s="19"/>
      <c r="AR16934" s="19"/>
      <c r="AS16934" s="19"/>
      <c r="AT16934" s="19"/>
      <c r="AU16934" s="19"/>
    </row>
    <row r="16935" spans="3:47">
      <c r="C16935" s="20"/>
      <c r="Z16935" s="20"/>
      <c r="AG16935" s="20"/>
      <c r="AQ16935" s="19"/>
      <c r="AR16935" s="19"/>
      <c r="AS16935" s="19"/>
      <c r="AT16935" s="19"/>
      <c r="AU16935" s="19"/>
    </row>
    <row r="16936" spans="3:47">
      <c r="C16936" s="20"/>
      <c r="Z16936" s="20"/>
      <c r="AG16936" s="20"/>
      <c r="AQ16936" s="19"/>
      <c r="AR16936" s="19"/>
      <c r="AS16936" s="19"/>
      <c r="AT16936" s="19"/>
      <c r="AU16936" s="19"/>
    </row>
    <row r="16937" spans="3:47">
      <c r="C16937" s="20"/>
      <c r="Z16937" s="20"/>
      <c r="AG16937" s="20"/>
      <c r="AQ16937" s="19"/>
      <c r="AR16937" s="19"/>
      <c r="AS16937" s="19"/>
      <c r="AT16937" s="19"/>
      <c r="AU16937" s="19"/>
    </row>
    <row r="16938" spans="3:47">
      <c r="C16938" s="20"/>
      <c r="Z16938" s="20"/>
      <c r="AG16938" s="20"/>
      <c r="AQ16938" s="19"/>
      <c r="AR16938" s="19"/>
      <c r="AS16938" s="19"/>
      <c r="AT16938" s="19"/>
      <c r="AU16938" s="19"/>
    </row>
    <row r="16939" spans="3:47">
      <c r="C16939" s="20"/>
      <c r="Z16939" s="20"/>
      <c r="AG16939" s="20"/>
      <c r="AQ16939" s="19"/>
      <c r="AR16939" s="19"/>
      <c r="AS16939" s="19"/>
      <c r="AT16939" s="19"/>
      <c r="AU16939" s="19"/>
    </row>
    <row r="16940" spans="3:47">
      <c r="C16940" s="20"/>
      <c r="Z16940" s="20"/>
      <c r="AG16940" s="20"/>
      <c r="AQ16940" s="19"/>
      <c r="AR16940" s="19"/>
      <c r="AS16940" s="19"/>
      <c r="AT16940" s="19"/>
      <c r="AU16940" s="19"/>
    </row>
    <row r="16941" spans="3:47">
      <c r="C16941" s="20"/>
      <c r="Z16941" s="20"/>
      <c r="AG16941" s="20"/>
      <c r="AQ16941" s="19"/>
      <c r="AR16941" s="19"/>
      <c r="AS16941" s="19"/>
      <c r="AT16941" s="19"/>
      <c r="AU16941" s="19"/>
    </row>
    <row r="16942" spans="3:47">
      <c r="C16942" s="20"/>
      <c r="Z16942" s="20"/>
      <c r="AG16942" s="20"/>
      <c r="AQ16942" s="19"/>
      <c r="AR16942" s="19"/>
      <c r="AS16942" s="19"/>
      <c r="AT16942" s="19"/>
      <c r="AU16942" s="19"/>
    </row>
    <row r="16943" spans="3:47">
      <c r="C16943" s="20"/>
      <c r="Z16943" s="20"/>
      <c r="AG16943" s="20"/>
      <c r="AQ16943" s="19"/>
      <c r="AR16943" s="19"/>
      <c r="AS16943" s="19"/>
      <c r="AT16943" s="19"/>
      <c r="AU16943" s="19"/>
    </row>
    <row r="16944" spans="3:47">
      <c r="C16944" s="20"/>
      <c r="Z16944" s="20"/>
      <c r="AG16944" s="20"/>
      <c r="AQ16944" s="19"/>
      <c r="AR16944" s="19"/>
      <c r="AS16944" s="19"/>
      <c r="AT16944" s="19"/>
      <c r="AU16944" s="19"/>
    </row>
    <row r="16945" spans="3:47">
      <c r="C16945" s="20"/>
      <c r="Z16945" s="20"/>
      <c r="AG16945" s="20"/>
      <c r="AQ16945" s="19"/>
      <c r="AR16945" s="19"/>
      <c r="AS16945" s="19"/>
      <c r="AT16945" s="19"/>
      <c r="AU16945" s="19"/>
    </row>
    <row r="16946" spans="3:47">
      <c r="C16946" s="20"/>
      <c r="Z16946" s="20"/>
      <c r="AG16946" s="20"/>
      <c r="AQ16946" s="19"/>
      <c r="AR16946" s="19"/>
      <c r="AS16946" s="19"/>
      <c r="AT16946" s="19"/>
      <c r="AU16946" s="19"/>
    </row>
    <row r="16947" spans="3:47">
      <c r="C16947" s="20"/>
      <c r="Z16947" s="20"/>
      <c r="AG16947" s="20"/>
      <c r="AQ16947" s="19"/>
      <c r="AR16947" s="19"/>
      <c r="AS16947" s="19"/>
      <c r="AT16947" s="19"/>
      <c r="AU16947" s="19"/>
    </row>
    <row r="16948" spans="3:47">
      <c r="C16948" s="20"/>
      <c r="Z16948" s="20"/>
      <c r="AG16948" s="20"/>
      <c r="AQ16948" s="19"/>
      <c r="AR16948" s="19"/>
      <c r="AS16948" s="19"/>
      <c r="AT16948" s="19"/>
      <c r="AU16948" s="19"/>
    </row>
    <row r="16949" spans="3:47">
      <c r="C16949" s="20"/>
      <c r="Z16949" s="20"/>
      <c r="AG16949" s="20"/>
      <c r="AQ16949" s="19"/>
      <c r="AR16949" s="19"/>
      <c r="AS16949" s="19"/>
      <c r="AT16949" s="19"/>
      <c r="AU16949" s="19"/>
    </row>
    <row r="16950" spans="3:47">
      <c r="C16950" s="20"/>
      <c r="Z16950" s="20"/>
      <c r="AG16950" s="20"/>
      <c r="AQ16950" s="19"/>
      <c r="AR16950" s="19"/>
      <c r="AS16950" s="19"/>
      <c r="AT16950" s="19"/>
      <c r="AU16950" s="19"/>
    </row>
    <row r="16951" spans="3:47">
      <c r="C16951" s="20"/>
      <c r="Z16951" s="20"/>
      <c r="AG16951" s="20"/>
      <c r="AQ16951" s="19"/>
      <c r="AR16951" s="19"/>
      <c r="AS16951" s="19"/>
      <c r="AT16951" s="19"/>
      <c r="AU16951" s="19"/>
    </row>
    <row r="16952" spans="3:47">
      <c r="C16952" s="20"/>
      <c r="Z16952" s="20"/>
      <c r="AG16952" s="20"/>
      <c r="AQ16952" s="19"/>
      <c r="AR16952" s="19"/>
      <c r="AS16952" s="19"/>
      <c r="AT16952" s="19"/>
      <c r="AU16952" s="19"/>
    </row>
    <row r="16953" spans="3:47">
      <c r="C16953" s="20"/>
      <c r="Z16953" s="20"/>
      <c r="AG16953" s="20"/>
      <c r="AQ16953" s="19"/>
      <c r="AR16953" s="19"/>
      <c r="AS16953" s="19"/>
      <c r="AT16953" s="19"/>
      <c r="AU16953" s="19"/>
    </row>
    <row r="16954" spans="3:47">
      <c r="C16954" s="20"/>
      <c r="Z16954" s="20"/>
      <c r="AG16954" s="20"/>
      <c r="AQ16954" s="19"/>
      <c r="AR16954" s="19"/>
      <c r="AS16954" s="19"/>
      <c r="AT16954" s="19"/>
      <c r="AU16954" s="19"/>
    </row>
    <row r="16955" spans="3:47">
      <c r="C16955" s="20"/>
      <c r="Z16955" s="20"/>
      <c r="AG16955" s="20"/>
      <c r="AQ16955" s="19"/>
      <c r="AR16955" s="19"/>
      <c r="AS16955" s="19"/>
      <c r="AT16955" s="19"/>
      <c r="AU16955" s="19"/>
    </row>
    <row r="16956" spans="3:47">
      <c r="C16956" s="20"/>
      <c r="Z16956" s="20"/>
      <c r="AG16956" s="20"/>
      <c r="AQ16956" s="19"/>
      <c r="AR16956" s="19"/>
      <c r="AS16956" s="19"/>
      <c r="AT16956" s="19"/>
      <c r="AU16956" s="19"/>
    </row>
    <row r="16957" spans="3:47">
      <c r="C16957" s="20"/>
      <c r="Z16957" s="20"/>
      <c r="AG16957" s="20"/>
      <c r="AQ16957" s="19"/>
      <c r="AR16957" s="19"/>
      <c r="AS16957" s="19"/>
      <c r="AT16957" s="19"/>
      <c r="AU16957" s="19"/>
    </row>
    <row r="16958" spans="3:47">
      <c r="C16958" s="20"/>
      <c r="Z16958" s="20"/>
      <c r="AG16958" s="20"/>
      <c r="AQ16958" s="19"/>
      <c r="AR16958" s="19"/>
      <c r="AS16958" s="19"/>
      <c r="AT16958" s="19"/>
      <c r="AU16958" s="19"/>
    </row>
    <row r="16959" spans="3:47">
      <c r="C16959" s="20"/>
      <c r="Z16959" s="20"/>
      <c r="AG16959" s="20"/>
      <c r="AQ16959" s="19"/>
      <c r="AR16959" s="19"/>
      <c r="AS16959" s="19"/>
      <c r="AT16959" s="19"/>
      <c r="AU16959" s="19"/>
    </row>
    <row r="16960" spans="3:47">
      <c r="C16960" s="20"/>
      <c r="Z16960" s="20"/>
      <c r="AG16960" s="20"/>
      <c r="AQ16960" s="19"/>
      <c r="AR16960" s="19"/>
      <c r="AS16960" s="19"/>
      <c r="AT16960" s="19"/>
      <c r="AU16960" s="19"/>
    </row>
    <row r="16961" spans="3:47">
      <c r="C16961" s="20"/>
      <c r="Z16961" s="20"/>
      <c r="AG16961" s="20"/>
      <c r="AQ16961" s="19"/>
      <c r="AR16961" s="19"/>
      <c r="AS16961" s="19"/>
      <c r="AT16961" s="19"/>
      <c r="AU16961" s="19"/>
    </row>
    <row r="16962" spans="3:47">
      <c r="C16962" s="20"/>
      <c r="Z16962" s="20"/>
      <c r="AG16962" s="20"/>
      <c r="AQ16962" s="19"/>
      <c r="AR16962" s="19"/>
      <c r="AS16962" s="19"/>
      <c r="AT16962" s="19"/>
      <c r="AU16962" s="19"/>
    </row>
    <row r="16963" spans="3:47">
      <c r="C16963" s="20"/>
      <c r="Z16963" s="20"/>
      <c r="AG16963" s="20"/>
      <c r="AQ16963" s="19"/>
      <c r="AR16963" s="19"/>
      <c r="AS16963" s="19"/>
      <c r="AT16963" s="19"/>
      <c r="AU16963" s="19"/>
    </row>
    <row r="16964" spans="3:47">
      <c r="C16964" s="20"/>
      <c r="Z16964" s="20"/>
      <c r="AG16964" s="20"/>
      <c r="AQ16964" s="19"/>
      <c r="AR16964" s="19"/>
      <c r="AS16964" s="19"/>
      <c r="AT16964" s="19"/>
      <c r="AU16964" s="19"/>
    </row>
    <row r="16965" spans="3:47">
      <c r="C16965" s="20"/>
      <c r="Z16965" s="20"/>
      <c r="AG16965" s="20"/>
      <c r="AQ16965" s="19"/>
      <c r="AR16965" s="19"/>
      <c r="AS16965" s="19"/>
      <c r="AT16965" s="19"/>
      <c r="AU16965" s="19"/>
    </row>
    <row r="16966" spans="3:47">
      <c r="C16966" s="20"/>
      <c r="Z16966" s="20"/>
      <c r="AG16966" s="20"/>
      <c r="AQ16966" s="19"/>
      <c r="AR16966" s="19"/>
      <c r="AS16966" s="19"/>
      <c r="AT16966" s="19"/>
      <c r="AU16966" s="19"/>
    </row>
    <row r="16967" spans="3:47">
      <c r="C16967" s="20"/>
      <c r="Z16967" s="20"/>
      <c r="AG16967" s="20"/>
      <c r="AQ16967" s="19"/>
      <c r="AR16967" s="19"/>
      <c r="AS16967" s="19"/>
      <c r="AT16967" s="19"/>
      <c r="AU16967" s="19"/>
    </row>
    <row r="16968" spans="3:47">
      <c r="C16968" s="20"/>
      <c r="Z16968" s="20"/>
      <c r="AG16968" s="20"/>
      <c r="AQ16968" s="19"/>
      <c r="AR16968" s="19"/>
      <c r="AS16968" s="19"/>
      <c r="AT16968" s="19"/>
      <c r="AU16968" s="19"/>
    </row>
    <row r="16969" spans="3:47">
      <c r="C16969" s="20"/>
      <c r="Z16969" s="20"/>
      <c r="AG16969" s="20"/>
      <c r="AQ16969" s="19"/>
      <c r="AR16969" s="19"/>
      <c r="AS16969" s="19"/>
      <c r="AT16969" s="19"/>
      <c r="AU16969" s="19"/>
    </row>
    <row r="16970" spans="3:47">
      <c r="C16970" s="20"/>
      <c r="Z16970" s="20"/>
      <c r="AG16970" s="20"/>
      <c r="AQ16970" s="19"/>
      <c r="AR16970" s="19"/>
      <c r="AS16970" s="19"/>
      <c r="AT16970" s="19"/>
      <c r="AU16970" s="19"/>
    </row>
    <row r="16971" spans="3:47">
      <c r="C16971" s="20"/>
      <c r="Z16971" s="20"/>
      <c r="AG16971" s="20"/>
      <c r="AQ16971" s="19"/>
      <c r="AR16971" s="19"/>
      <c r="AS16971" s="19"/>
      <c r="AT16971" s="19"/>
      <c r="AU16971" s="19"/>
    </row>
    <row r="16972" spans="3:47">
      <c r="C16972" s="20"/>
      <c r="Z16972" s="20"/>
      <c r="AG16972" s="20"/>
      <c r="AQ16972" s="19"/>
      <c r="AR16972" s="19"/>
      <c r="AS16972" s="19"/>
      <c r="AT16972" s="19"/>
      <c r="AU16972" s="19"/>
    </row>
    <row r="16973" spans="3:47">
      <c r="C16973" s="20"/>
      <c r="Z16973" s="20"/>
      <c r="AG16973" s="20"/>
      <c r="AQ16973" s="19"/>
      <c r="AR16973" s="19"/>
      <c r="AS16973" s="19"/>
      <c r="AT16973" s="19"/>
      <c r="AU16973" s="19"/>
    </row>
    <row r="16974" spans="3:47">
      <c r="C16974" s="20"/>
      <c r="Z16974" s="20"/>
      <c r="AG16974" s="20"/>
      <c r="AQ16974" s="19"/>
      <c r="AR16974" s="19"/>
      <c r="AS16974" s="19"/>
      <c r="AT16974" s="19"/>
      <c r="AU16974" s="19"/>
    </row>
    <row r="16975" spans="3:47">
      <c r="C16975" s="20"/>
      <c r="Z16975" s="20"/>
      <c r="AG16975" s="20"/>
      <c r="AQ16975" s="19"/>
      <c r="AR16975" s="19"/>
      <c r="AS16975" s="19"/>
      <c r="AT16975" s="19"/>
      <c r="AU16975" s="19"/>
    </row>
    <row r="16976" spans="3:47">
      <c r="C16976" s="20"/>
      <c r="Z16976" s="20"/>
      <c r="AG16976" s="20"/>
      <c r="AQ16976" s="19"/>
      <c r="AR16976" s="19"/>
      <c r="AS16976" s="19"/>
      <c r="AT16976" s="19"/>
      <c r="AU16976" s="19"/>
    </row>
    <row r="16977" spans="3:47">
      <c r="C16977" s="20"/>
      <c r="Z16977" s="20"/>
      <c r="AG16977" s="20"/>
      <c r="AQ16977" s="19"/>
      <c r="AR16977" s="19"/>
      <c r="AS16977" s="19"/>
      <c r="AT16977" s="19"/>
      <c r="AU16977" s="19"/>
    </row>
    <row r="16978" spans="3:47">
      <c r="C16978" s="20"/>
      <c r="Z16978" s="20"/>
      <c r="AG16978" s="20"/>
      <c r="AQ16978" s="19"/>
      <c r="AR16978" s="19"/>
      <c r="AS16978" s="19"/>
      <c r="AT16978" s="19"/>
      <c r="AU16978" s="19"/>
    </row>
    <row r="16979" spans="3:47">
      <c r="C16979" s="20"/>
      <c r="Z16979" s="20"/>
      <c r="AG16979" s="20"/>
      <c r="AQ16979" s="19"/>
      <c r="AR16979" s="19"/>
      <c r="AS16979" s="19"/>
      <c r="AT16979" s="19"/>
      <c r="AU16979" s="19"/>
    </row>
    <row r="16980" spans="3:47">
      <c r="C16980" s="20"/>
      <c r="Z16980" s="20"/>
      <c r="AG16980" s="20"/>
      <c r="AQ16980" s="19"/>
      <c r="AR16980" s="19"/>
      <c r="AS16980" s="19"/>
      <c r="AT16980" s="19"/>
      <c r="AU16980" s="19"/>
    </row>
    <row r="16981" spans="3:47">
      <c r="C16981" s="20"/>
      <c r="Z16981" s="20"/>
      <c r="AG16981" s="20"/>
      <c r="AQ16981" s="19"/>
      <c r="AR16981" s="19"/>
      <c r="AS16981" s="19"/>
      <c r="AT16981" s="19"/>
      <c r="AU16981" s="19"/>
    </row>
    <row r="16982" spans="3:47">
      <c r="C16982" s="20"/>
      <c r="Z16982" s="20"/>
      <c r="AG16982" s="20"/>
      <c r="AQ16982" s="19"/>
      <c r="AR16982" s="19"/>
      <c r="AS16982" s="19"/>
      <c r="AT16982" s="19"/>
      <c r="AU16982" s="19"/>
    </row>
    <row r="16983" spans="3:47">
      <c r="C16983" s="20"/>
      <c r="Z16983" s="20"/>
      <c r="AG16983" s="20"/>
      <c r="AQ16983" s="19"/>
      <c r="AR16983" s="19"/>
      <c r="AS16983" s="19"/>
      <c r="AT16983" s="19"/>
      <c r="AU16983" s="19"/>
    </row>
    <row r="16984" spans="3:47">
      <c r="C16984" s="20"/>
      <c r="Z16984" s="20"/>
      <c r="AG16984" s="20"/>
      <c r="AQ16984" s="19"/>
      <c r="AR16984" s="19"/>
      <c r="AS16984" s="19"/>
      <c r="AT16984" s="19"/>
      <c r="AU16984" s="19"/>
    </row>
    <row r="16985" spans="3:47">
      <c r="C16985" s="20"/>
      <c r="Z16985" s="20"/>
      <c r="AG16985" s="20"/>
      <c r="AQ16985" s="19"/>
      <c r="AR16985" s="19"/>
      <c r="AS16985" s="19"/>
      <c r="AT16985" s="19"/>
      <c r="AU16985" s="19"/>
    </row>
    <row r="16986" spans="3:47">
      <c r="C16986" s="20"/>
      <c r="Z16986" s="20"/>
      <c r="AG16986" s="20"/>
      <c r="AQ16986" s="19"/>
      <c r="AR16986" s="19"/>
      <c r="AS16986" s="19"/>
      <c r="AT16986" s="19"/>
      <c r="AU16986" s="19"/>
    </row>
    <row r="16987" spans="3:47">
      <c r="C16987" s="20"/>
      <c r="Z16987" s="20"/>
      <c r="AG16987" s="20"/>
      <c r="AQ16987" s="19"/>
      <c r="AR16987" s="19"/>
      <c r="AS16987" s="19"/>
      <c r="AT16987" s="19"/>
      <c r="AU16987" s="19"/>
    </row>
    <row r="16988" spans="3:47">
      <c r="C16988" s="20"/>
      <c r="Z16988" s="20"/>
      <c r="AG16988" s="20"/>
      <c r="AQ16988" s="19"/>
      <c r="AR16988" s="19"/>
      <c r="AS16988" s="19"/>
      <c r="AT16988" s="19"/>
      <c r="AU16988" s="19"/>
    </row>
    <row r="16989" spans="3:47">
      <c r="C16989" s="20"/>
      <c r="Z16989" s="20"/>
      <c r="AG16989" s="20"/>
      <c r="AQ16989" s="19"/>
      <c r="AR16989" s="19"/>
      <c r="AS16989" s="19"/>
      <c r="AT16989" s="19"/>
      <c r="AU16989" s="19"/>
    </row>
    <row r="16990" spans="3:47">
      <c r="C16990" s="20"/>
      <c r="Z16990" s="20"/>
      <c r="AG16990" s="20"/>
      <c r="AQ16990" s="19"/>
      <c r="AR16990" s="19"/>
      <c r="AS16990" s="19"/>
      <c r="AT16990" s="19"/>
      <c r="AU16990" s="19"/>
    </row>
    <row r="16991" spans="3:47">
      <c r="C16991" s="20"/>
      <c r="Z16991" s="20"/>
      <c r="AG16991" s="20"/>
      <c r="AQ16991" s="19"/>
      <c r="AR16991" s="19"/>
      <c r="AS16991" s="19"/>
      <c r="AT16991" s="19"/>
      <c r="AU16991" s="19"/>
    </row>
    <row r="16992" spans="3:47">
      <c r="C16992" s="20"/>
      <c r="Z16992" s="20"/>
      <c r="AG16992" s="20"/>
      <c r="AQ16992" s="19"/>
      <c r="AR16992" s="19"/>
      <c r="AS16992" s="19"/>
      <c r="AT16992" s="19"/>
      <c r="AU16992" s="19"/>
    </row>
    <row r="16993" spans="3:47">
      <c r="C16993" s="20"/>
      <c r="Z16993" s="20"/>
      <c r="AG16993" s="20"/>
      <c r="AQ16993" s="19"/>
      <c r="AR16993" s="19"/>
      <c r="AS16993" s="19"/>
      <c r="AT16993" s="19"/>
      <c r="AU16993" s="19"/>
    </row>
    <row r="16994" spans="3:47">
      <c r="C16994" s="20"/>
      <c r="Z16994" s="20"/>
      <c r="AG16994" s="20"/>
      <c r="AQ16994" s="19"/>
      <c r="AR16994" s="19"/>
      <c r="AS16994" s="19"/>
      <c r="AT16994" s="19"/>
      <c r="AU16994" s="19"/>
    </row>
    <row r="16995" spans="3:47">
      <c r="C16995" s="20"/>
      <c r="Z16995" s="20"/>
      <c r="AG16995" s="20"/>
      <c r="AQ16995" s="19"/>
      <c r="AR16995" s="19"/>
      <c r="AS16995" s="19"/>
      <c r="AT16995" s="19"/>
      <c r="AU16995" s="19"/>
    </row>
    <row r="16996" spans="3:47">
      <c r="C16996" s="20"/>
      <c r="Z16996" s="20"/>
      <c r="AG16996" s="20"/>
      <c r="AQ16996" s="19"/>
      <c r="AR16996" s="19"/>
      <c r="AS16996" s="19"/>
      <c r="AT16996" s="19"/>
      <c r="AU16996" s="19"/>
    </row>
    <row r="16997" spans="3:47">
      <c r="C16997" s="20"/>
      <c r="Z16997" s="20"/>
      <c r="AG16997" s="20"/>
      <c r="AQ16997" s="19"/>
      <c r="AR16997" s="19"/>
      <c r="AS16997" s="19"/>
      <c r="AT16997" s="19"/>
      <c r="AU16997" s="19"/>
    </row>
    <row r="16998" spans="3:47">
      <c r="C16998" s="20"/>
      <c r="Z16998" s="20"/>
      <c r="AG16998" s="20"/>
      <c r="AQ16998" s="19"/>
      <c r="AR16998" s="19"/>
      <c r="AS16998" s="19"/>
      <c r="AT16998" s="19"/>
      <c r="AU16998" s="19"/>
    </row>
    <row r="16999" spans="3:47">
      <c r="C16999" s="20"/>
      <c r="Z16999" s="20"/>
      <c r="AG16999" s="20"/>
      <c r="AQ16999" s="19"/>
      <c r="AR16999" s="19"/>
      <c r="AS16999" s="19"/>
      <c r="AT16999" s="19"/>
      <c r="AU16999" s="19"/>
    </row>
    <row r="17000" spans="3:47">
      <c r="C17000" s="20"/>
      <c r="Z17000" s="20"/>
      <c r="AG17000" s="20"/>
      <c r="AQ17000" s="19"/>
      <c r="AR17000" s="19"/>
      <c r="AS17000" s="19"/>
      <c r="AT17000" s="19"/>
      <c r="AU17000" s="19"/>
    </row>
    <row r="17001" spans="3:47">
      <c r="C17001" s="20"/>
      <c r="Z17001" s="20"/>
      <c r="AG17001" s="20"/>
      <c r="AQ17001" s="19"/>
      <c r="AR17001" s="19"/>
      <c r="AS17001" s="19"/>
      <c r="AT17001" s="19"/>
      <c r="AU17001" s="19"/>
    </row>
    <row r="17002" spans="3:47">
      <c r="C17002" s="20"/>
      <c r="Z17002" s="20"/>
      <c r="AG17002" s="20"/>
      <c r="AQ17002" s="19"/>
      <c r="AR17002" s="19"/>
      <c r="AS17002" s="19"/>
      <c r="AT17002" s="19"/>
      <c r="AU17002" s="19"/>
    </row>
    <row r="17003" spans="3:47">
      <c r="C17003" s="20"/>
      <c r="Z17003" s="20"/>
      <c r="AG17003" s="20"/>
      <c r="AQ17003" s="19"/>
      <c r="AR17003" s="19"/>
      <c r="AS17003" s="19"/>
      <c r="AT17003" s="19"/>
      <c r="AU17003" s="19"/>
    </row>
    <row r="17004" spans="3:47">
      <c r="C17004" s="20"/>
      <c r="Z17004" s="20"/>
      <c r="AG17004" s="20"/>
      <c r="AQ17004" s="19"/>
      <c r="AR17004" s="19"/>
      <c r="AS17004" s="19"/>
      <c r="AT17004" s="19"/>
      <c r="AU17004" s="19"/>
    </row>
    <row r="17005" spans="3:47">
      <c r="C17005" s="20"/>
      <c r="Z17005" s="20"/>
      <c r="AG17005" s="20"/>
      <c r="AQ17005" s="19"/>
      <c r="AR17005" s="19"/>
      <c r="AS17005" s="19"/>
      <c r="AT17005" s="19"/>
      <c r="AU17005" s="19"/>
    </row>
    <row r="17006" spans="3:47">
      <c r="C17006" s="20"/>
      <c r="Z17006" s="20"/>
      <c r="AG17006" s="20"/>
      <c r="AQ17006" s="19"/>
      <c r="AR17006" s="19"/>
      <c r="AS17006" s="19"/>
      <c r="AT17006" s="19"/>
      <c r="AU17006" s="19"/>
    </row>
    <row r="17007" spans="3:47">
      <c r="C17007" s="20"/>
      <c r="Z17007" s="20"/>
      <c r="AG17007" s="20"/>
      <c r="AQ17007" s="19"/>
      <c r="AR17007" s="19"/>
      <c r="AS17007" s="19"/>
      <c r="AT17007" s="19"/>
      <c r="AU17007" s="19"/>
    </row>
    <row r="17008" spans="3:47">
      <c r="C17008" s="20"/>
      <c r="Z17008" s="20"/>
      <c r="AG17008" s="20"/>
      <c r="AQ17008" s="19"/>
      <c r="AR17008" s="19"/>
      <c r="AS17008" s="19"/>
      <c r="AT17008" s="19"/>
      <c r="AU17008" s="19"/>
    </row>
    <row r="17009" spans="3:47">
      <c r="C17009" s="20"/>
      <c r="Z17009" s="20"/>
      <c r="AG17009" s="20"/>
      <c r="AQ17009" s="19"/>
      <c r="AR17009" s="19"/>
      <c r="AS17009" s="19"/>
      <c r="AT17009" s="19"/>
      <c r="AU17009" s="19"/>
    </row>
    <row r="17010" spans="3:47">
      <c r="C17010" s="20"/>
      <c r="Z17010" s="20"/>
      <c r="AG17010" s="20"/>
      <c r="AQ17010" s="19"/>
      <c r="AR17010" s="19"/>
      <c r="AS17010" s="19"/>
      <c r="AT17010" s="19"/>
      <c r="AU17010" s="19"/>
    </row>
    <row r="17011" spans="3:47">
      <c r="C17011" s="20"/>
      <c r="Z17011" s="20"/>
      <c r="AG17011" s="20"/>
      <c r="AQ17011" s="19"/>
      <c r="AR17011" s="19"/>
      <c r="AS17011" s="19"/>
      <c r="AT17011" s="19"/>
      <c r="AU17011" s="19"/>
    </row>
    <row r="17012" spans="3:47">
      <c r="C17012" s="20"/>
      <c r="Z17012" s="20"/>
      <c r="AG17012" s="20"/>
      <c r="AQ17012" s="19"/>
      <c r="AR17012" s="19"/>
      <c r="AS17012" s="19"/>
      <c r="AT17012" s="19"/>
      <c r="AU17012" s="19"/>
    </row>
    <row r="17013" spans="3:47">
      <c r="C17013" s="20"/>
      <c r="Z17013" s="20"/>
      <c r="AG17013" s="20"/>
      <c r="AQ17013" s="19"/>
      <c r="AR17013" s="19"/>
      <c r="AS17013" s="19"/>
      <c r="AT17013" s="19"/>
      <c r="AU17013" s="19"/>
    </row>
    <row r="17014" spans="3:47">
      <c r="C17014" s="20"/>
      <c r="Z17014" s="20"/>
      <c r="AG17014" s="20"/>
      <c r="AQ17014" s="19"/>
      <c r="AR17014" s="19"/>
      <c r="AS17014" s="19"/>
      <c r="AT17014" s="19"/>
      <c r="AU17014" s="19"/>
    </row>
    <row r="17015" spans="3:47">
      <c r="C17015" s="20"/>
      <c r="Z17015" s="20"/>
      <c r="AG17015" s="20"/>
      <c r="AQ17015" s="19"/>
      <c r="AR17015" s="19"/>
      <c r="AS17015" s="19"/>
      <c r="AT17015" s="19"/>
      <c r="AU17015" s="19"/>
    </row>
    <row r="17016" spans="3:47">
      <c r="C17016" s="20"/>
      <c r="Z17016" s="20"/>
      <c r="AG17016" s="20"/>
      <c r="AQ17016" s="19"/>
      <c r="AR17016" s="19"/>
      <c r="AS17016" s="19"/>
      <c r="AT17016" s="19"/>
      <c r="AU17016" s="19"/>
    </row>
    <row r="17017" spans="3:47">
      <c r="C17017" s="20"/>
      <c r="Z17017" s="20"/>
      <c r="AG17017" s="20"/>
      <c r="AQ17017" s="19"/>
      <c r="AR17017" s="19"/>
      <c r="AS17017" s="19"/>
      <c r="AT17017" s="19"/>
      <c r="AU17017" s="19"/>
    </row>
    <row r="17018" spans="3:47">
      <c r="C17018" s="20"/>
      <c r="Z17018" s="20"/>
      <c r="AG17018" s="20"/>
      <c r="AQ17018" s="19"/>
      <c r="AR17018" s="19"/>
      <c r="AS17018" s="19"/>
      <c r="AT17018" s="19"/>
      <c r="AU17018" s="19"/>
    </row>
    <row r="17019" spans="3:47">
      <c r="C17019" s="20"/>
      <c r="Z17019" s="20"/>
      <c r="AG17019" s="20"/>
      <c r="AQ17019" s="19"/>
      <c r="AR17019" s="19"/>
      <c r="AS17019" s="19"/>
      <c r="AT17019" s="19"/>
      <c r="AU17019" s="19"/>
    </row>
    <row r="17020" spans="3:47">
      <c r="C17020" s="20"/>
      <c r="Z17020" s="20"/>
      <c r="AG17020" s="20"/>
      <c r="AQ17020" s="19"/>
      <c r="AR17020" s="19"/>
      <c r="AS17020" s="19"/>
      <c r="AT17020" s="19"/>
      <c r="AU17020" s="19"/>
    </row>
    <row r="17021" spans="3:47">
      <c r="C17021" s="20"/>
      <c r="Z17021" s="20"/>
      <c r="AG17021" s="20"/>
      <c r="AQ17021" s="19"/>
      <c r="AR17021" s="19"/>
      <c r="AS17021" s="19"/>
      <c r="AT17021" s="19"/>
      <c r="AU17021" s="19"/>
    </row>
    <row r="17022" spans="3:47">
      <c r="C17022" s="20"/>
      <c r="Z17022" s="20"/>
      <c r="AG17022" s="20"/>
      <c r="AQ17022" s="19"/>
      <c r="AR17022" s="19"/>
      <c r="AS17022" s="19"/>
      <c r="AT17022" s="19"/>
      <c r="AU17022" s="19"/>
    </row>
    <row r="17023" spans="3:47">
      <c r="C17023" s="20"/>
      <c r="Z17023" s="20"/>
      <c r="AG17023" s="20"/>
      <c r="AQ17023" s="19"/>
      <c r="AR17023" s="19"/>
      <c r="AS17023" s="19"/>
      <c r="AT17023" s="19"/>
      <c r="AU17023" s="19"/>
    </row>
    <row r="17024" spans="3:47">
      <c r="C17024" s="20"/>
      <c r="Z17024" s="20"/>
      <c r="AG17024" s="20"/>
      <c r="AQ17024" s="19"/>
      <c r="AR17024" s="19"/>
      <c r="AS17024" s="19"/>
      <c r="AT17024" s="19"/>
      <c r="AU17024" s="19"/>
    </row>
    <row r="17025" spans="3:47">
      <c r="C17025" s="20"/>
      <c r="Z17025" s="20"/>
      <c r="AG17025" s="20"/>
      <c r="AQ17025" s="19"/>
      <c r="AR17025" s="19"/>
      <c r="AS17025" s="19"/>
      <c r="AT17025" s="19"/>
      <c r="AU17025" s="19"/>
    </row>
    <row r="17026" spans="3:47">
      <c r="C17026" s="20"/>
      <c r="Z17026" s="20"/>
      <c r="AG17026" s="20"/>
      <c r="AQ17026" s="19"/>
      <c r="AR17026" s="19"/>
      <c r="AS17026" s="19"/>
      <c r="AT17026" s="19"/>
      <c r="AU17026" s="19"/>
    </row>
    <row r="17027" spans="3:47">
      <c r="C17027" s="20"/>
      <c r="Z17027" s="20"/>
      <c r="AG17027" s="20"/>
      <c r="AQ17027" s="19"/>
      <c r="AR17027" s="19"/>
      <c r="AS17027" s="19"/>
      <c r="AT17027" s="19"/>
      <c r="AU17027" s="19"/>
    </row>
    <row r="17028" spans="3:47">
      <c r="C17028" s="20"/>
      <c r="Z17028" s="20"/>
      <c r="AG17028" s="20"/>
      <c r="AQ17028" s="19"/>
      <c r="AR17028" s="19"/>
      <c r="AS17028" s="19"/>
      <c r="AT17028" s="19"/>
      <c r="AU17028" s="19"/>
    </row>
    <row r="17029" spans="3:47">
      <c r="C17029" s="20"/>
      <c r="Z17029" s="20"/>
      <c r="AG17029" s="20"/>
      <c r="AQ17029" s="19"/>
      <c r="AR17029" s="19"/>
      <c r="AS17029" s="19"/>
      <c r="AT17029" s="19"/>
      <c r="AU17029" s="19"/>
    </row>
    <row r="17030" spans="3:47">
      <c r="C17030" s="20"/>
      <c r="Z17030" s="20"/>
      <c r="AG17030" s="20"/>
      <c r="AQ17030" s="19"/>
      <c r="AR17030" s="19"/>
      <c r="AS17030" s="19"/>
      <c r="AT17030" s="19"/>
      <c r="AU17030" s="19"/>
    </row>
    <row r="17031" spans="3:47">
      <c r="C17031" s="20"/>
      <c r="Z17031" s="20"/>
      <c r="AG17031" s="20"/>
      <c r="AQ17031" s="19"/>
      <c r="AR17031" s="19"/>
      <c r="AS17031" s="19"/>
      <c r="AT17031" s="19"/>
      <c r="AU17031" s="19"/>
    </row>
    <row r="17032" spans="3:47">
      <c r="C17032" s="20"/>
      <c r="Z17032" s="20"/>
      <c r="AG17032" s="20"/>
      <c r="AQ17032" s="19"/>
      <c r="AR17032" s="19"/>
      <c r="AS17032" s="19"/>
      <c r="AT17032" s="19"/>
      <c r="AU17032" s="19"/>
    </row>
    <row r="17033" spans="3:47">
      <c r="C17033" s="20"/>
      <c r="Z17033" s="20"/>
      <c r="AG17033" s="20"/>
      <c r="AQ17033" s="19"/>
      <c r="AR17033" s="19"/>
      <c r="AS17033" s="19"/>
      <c r="AT17033" s="19"/>
      <c r="AU17033" s="19"/>
    </row>
    <row r="17034" spans="3:47">
      <c r="C17034" s="20"/>
      <c r="Z17034" s="20"/>
      <c r="AG17034" s="20"/>
      <c r="AQ17034" s="19"/>
      <c r="AR17034" s="19"/>
      <c r="AS17034" s="19"/>
      <c r="AT17034" s="19"/>
      <c r="AU17034" s="19"/>
    </row>
    <row r="17035" spans="3:47">
      <c r="C17035" s="20"/>
      <c r="Z17035" s="20"/>
      <c r="AG17035" s="20"/>
      <c r="AQ17035" s="19"/>
      <c r="AR17035" s="19"/>
      <c r="AS17035" s="19"/>
      <c r="AT17035" s="19"/>
      <c r="AU17035" s="19"/>
    </row>
    <row r="17036" spans="3:47">
      <c r="C17036" s="20"/>
      <c r="Z17036" s="20"/>
      <c r="AG17036" s="20"/>
      <c r="AQ17036" s="19"/>
      <c r="AR17036" s="19"/>
      <c r="AS17036" s="19"/>
      <c r="AT17036" s="19"/>
      <c r="AU17036" s="19"/>
    </row>
    <row r="17037" spans="3:47">
      <c r="C17037" s="20"/>
      <c r="Z17037" s="20"/>
      <c r="AG17037" s="20"/>
      <c r="AQ17037" s="19"/>
      <c r="AR17037" s="19"/>
      <c r="AS17037" s="19"/>
      <c r="AT17037" s="19"/>
      <c r="AU17037" s="19"/>
    </row>
    <row r="17038" spans="3:47">
      <c r="C17038" s="20"/>
      <c r="Z17038" s="20"/>
      <c r="AG17038" s="20"/>
      <c r="AQ17038" s="19"/>
      <c r="AR17038" s="19"/>
      <c r="AS17038" s="19"/>
      <c r="AT17038" s="19"/>
      <c r="AU17038" s="19"/>
    </row>
    <row r="17039" spans="3:47">
      <c r="C17039" s="20"/>
      <c r="Z17039" s="20"/>
      <c r="AG17039" s="20"/>
      <c r="AQ17039" s="19"/>
      <c r="AR17039" s="19"/>
      <c r="AS17039" s="19"/>
      <c r="AT17039" s="19"/>
      <c r="AU17039" s="19"/>
    </row>
    <row r="17040" spans="3:47">
      <c r="C17040" s="20"/>
      <c r="Z17040" s="20"/>
      <c r="AG17040" s="20"/>
      <c r="AQ17040" s="19"/>
      <c r="AR17040" s="19"/>
      <c r="AS17040" s="19"/>
      <c r="AT17040" s="19"/>
      <c r="AU17040" s="19"/>
    </row>
    <row r="17041" spans="3:47">
      <c r="C17041" s="20"/>
      <c r="Z17041" s="20"/>
      <c r="AG17041" s="20"/>
      <c r="AQ17041" s="19"/>
      <c r="AR17041" s="19"/>
      <c r="AS17041" s="19"/>
      <c r="AT17041" s="19"/>
      <c r="AU17041" s="19"/>
    </row>
    <row r="17042" spans="3:47">
      <c r="C17042" s="20"/>
      <c r="Z17042" s="20"/>
      <c r="AG17042" s="20"/>
      <c r="AQ17042" s="19"/>
      <c r="AR17042" s="19"/>
      <c r="AS17042" s="19"/>
      <c r="AT17042" s="19"/>
      <c r="AU17042" s="19"/>
    </row>
    <row r="17043" spans="3:47">
      <c r="C17043" s="20"/>
      <c r="Z17043" s="20"/>
      <c r="AG17043" s="20"/>
      <c r="AQ17043" s="19"/>
      <c r="AR17043" s="19"/>
      <c r="AS17043" s="19"/>
      <c r="AT17043" s="19"/>
      <c r="AU17043" s="19"/>
    </row>
    <row r="17044" spans="3:47">
      <c r="C17044" s="20"/>
      <c r="Z17044" s="20"/>
      <c r="AG17044" s="20"/>
      <c r="AQ17044" s="19"/>
      <c r="AR17044" s="19"/>
      <c r="AS17044" s="19"/>
      <c r="AT17044" s="19"/>
      <c r="AU17044" s="19"/>
    </row>
    <row r="17045" spans="3:47">
      <c r="C17045" s="20"/>
      <c r="Z17045" s="20"/>
      <c r="AG17045" s="20"/>
      <c r="AQ17045" s="19"/>
      <c r="AR17045" s="19"/>
      <c r="AS17045" s="19"/>
      <c r="AT17045" s="19"/>
      <c r="AU17045" s="19"/>
    </row>
    <row r="17046" spans="3:47">
      <c r="C17046" s="20"/>
      <c r="Z17046" s="20"/>
      <c r="AG17046" s="20"/>
      <c r="AQ17046" s="19"/>
      <c r="AR17046" s="19"/>
      <c r="AS17046" s="19"/>
      <c r="AT17046" s="19"/>
      <c r="AU17046" s="19"/>
    </row>
    <row r="17047" spans="3:47">
      <c r="C17047" s="20"/>
      <c r="Z17047" s="20"/>
      <c r="AG17047" s="20"/>
      <c r="AQ17047" s="19"/>
      <c r="AR17047" s="19"/>
      <c r="AS17047" s="19"/>
      <c r="AT17047" s="19"/>
      <c r="AU17047" s="19"/>
    </row>
    <row r="17048" spans="3:47">
      <c r="C17048" s="20"/>
      <c r="Z17048" s="20"/>
      <c r="AG17048" s="20"/>
      <c r="AQ17048" s="19"/>
      <c r="AR17048" s="19"/>
      <c r="AS17048" s="19"/>
      <c r="AT17048" s="19"/>
      <c r="AU17048" s="19"/>
    </row>
    <row r="17049" spans="3:47">
      <c r="C17049" s="20"/>
      <c r="Z17049" s="20"/>
      <c r="AG17049" s="20"/>
      <c r="AQ17049" s="19"/>
      <c r="AR17049" s="19"/>
      <c r="AS17049" s="19"/>
      <c r="AT17049" s="19"/>
      <c r="AU17049" s="19"/>
    </row>
    <row r="17050" spans="3:47">
      <c r="C17050" s="20"/>
      <c r="Z17050" s="20"/>
      <c r="AG17050" s="20"/>
      <c r="AQ17050" s="19"/>
      <c r="AR17050" s="19"/>
      <c r="AS17050" s="19"/>
      <c r="AT17050" s="19"/>
      <c r="AU17050" s="19"/>
    </row>
    <row r="17051" spans="3:47">
      <c r="C17051" s="20"/>
      <c r="Z17051" s="20"/>
      <c r="AG17051" s="20"/>
      <c r="AQ17051" s="19"/>
      <c r="AR17051" s="19"/>
      <c r="AS17051" s="19"/>
      <c r="AT17051" s="19"/>
      <c r="AU17051" s="19"/>
    </row>
    <row r="17052" spans="3:47">
      <c r="C17052" s="20"/>
      <c r="Z17052" s="20"/>
      <c r="AG17052" s="20"/>
      <c r="AQ17052" s="19"/>
      <c r="AR17052" s="19"/>
      <c r="AS17052" s="19"/>
      <c r="AT17052" s="19"/>
      <c r="AU17052" s="19"/>
    </row>
    <row r="17053" spans="3:47">
      <c r="C17053" s="20"/>
      <c r="Z17053" s="20"/>
      <c r="AG17053" s="20"/>
      <c r="AQ17053" s="19"/>
      <c r="AR17053" s="19"/>
      <c r="AS17053" s="19"/>
      <c r="AT17053" s="19"/>
      <c r="AU17053" s="19"/>
    </row>
    <row r="17054" spans="3:47">
      <c r="C17054" s="20"/>
      <c r="Z17054" s="20"/>
      <c r="AG17054" s="20"/>
      <c r="AQ17054" s="19"/>
      <c r="AR17054" s="19"/>
      <c r="AS17054" s="19"/>
      <c r="AT17054" s="19"/>
      <c r="AU17054" s="19"/>
    </row>
    <row r="17055" spans="3:47">
      <c r="C17055" s="20"/>
      <c r="Z17055" s="20"/>
      <c r="AG17055" s="20"/>
      <c r="AQ17055" s="19"/>
      <c r="AR17055" s="19"/>
      <c r="AS17055" s="19"/>
      <c r="AT17055" s="19"/>
      <c r="AU17055" s="19"/>
    </row>
    <row r="17056" spans="3:47">
      <c r="C17056" s="20"/>
      <c r="Z17056" s="20"/>
      <c r="AG17056" s="20"/>
      <c r="AQ17056" s="19"/>
      <c r="AR17056" s="19"/>
      <c r="AS17056" s="19"/>
      <c r="AT17056" s="19"/>
      <c r="AU17056" s="19"/>
    </row>
    <row r="17057" spans="3:47">
      <c r="C17057" s="20"/>
      <c r="Z17057" s="20"/>
      <c r="AG17057" s="20"/>
      <c r="AQ17057" s="19"/>
      <c r="AR17057" s="19"/>
      <c r="AS17057" s="19"/>
      <c r="AT17057" s="19"/>
      <c r="AU17057" s="19"/>
    </row>
    <row r="17058" spans="3:47">
      <c r="C17058" s="20"/>
      <c r="Z17058" s="20"/>
      <c r="AG17058" s="20"/>
      <c r="AQ17058" s="19"/>
      <c r="AR17058" s="19"/>
      <c r="AS17058" s="19"/>
      <c r="AT17058" s="19"/>
      <c r="AU17058" s="19"/>
    </row>
    <row r="17059" spans="3:47">
      <c r="C17059" s="20"/>
      <c r="Z17059" s="20"/>
      <c r="AG17059" s="20"/>
      <c r="AQ17059" s="19"/>
      <c r="AR17059" s="19"/>
      <c r="AS17059" s="19"/>
      <c r="AT17059" s="19"/>
      <c r="AU17059" s="19"/>
    </row>
    <row r="17060" spans="3:47">
      <c r="C17060" s="20"/>
      <c r="Z17060" s="20"/>
      <c r="AG17060" s="20"/>
      <c r="AQ17060" s="19"/>
      <c r="AR17060" s="19"/>
      <c r="AS17060" s="19"/>
      <c r="AT17060" s="19"/>
      <c r="AU17060" s="19"/>
    </row>
    <row r="17061" spans="3:47">
      <c r="C17061" s="20"/>
      <c r="Z17061" s="20"/>
      <c r="AG17061" s="20"/>
      <c r="AQ17061" s="19"/>
      <c r="AR17061" s="19"/>
      <c r="AS17061" s="19"/>
      <c r="AT17061" s="19"/>
      <c r="AU17061" s="19"/>
    </row>
    <row r="17062" spans="3:47">
      <c r="C17062" s="20"/>
      <c r="Z17062" s="20"/>
      <c r="AG17062" s="20"/>
      <c r="AQ17062" s="19"/>
      <c r="AR17062" s="19"/>
      <c r="AS17062" s="19"/>
      <c r="AT17062" s="19"/>
      <c r="AU17062" s="19"/>
    </row>
    <row r="17063" spans="3:47">
      <c r="C17063" s="20"/>
      <c r="Z17063" s="20"/>
      <c r="AG17063" s="20"/>
      <c r="AQ17063" s="19"/>
      <c r="AR17063" s="19"/>
      <c r="AS17063" s="19"/>
      <c r="AT17063" s="19"/>
      <c r="AU17063" s="19"/>
    </row>
    <row r="17064" spans="3:47">
      <c r="C17064" s="20"/>
      <c r="Z17064" s="20"/>
      <c r="AG17064" s="20"/>
      <c r="AQ17064" s="19"/>
      <c r="AR17064" s="19"/>
      <c r="AS17064" s="19"/>
      <c r="AT17064" s="19"/>
      <c r="AU17064" s="19"/>
    </row>
    <row r="17065" spans="3:47">
      <c r="C17065" s="20"/>
      <c r="Z17065" s="20"/>
      <c r="AG17065" s="20"/>
      <c r="AQ17065" s="19"/>
      <c r="AR17065" s="19"/>
      <c r="AS17065" s="19"/>
      <c r="AT17065" s="19"/>
      <c r="AU17065" s="19"/>
    </row>
    <row r="17066" spans="3:47">
      <c r="C17066" s="20"/>
      <c r="Z17066" s="20"/>
      <c r="AG17066" s="20"/>
      <c r="AQ17066" s="19"/>
      <c r="AR17066" s="19"/>
      <c r="AS17066" s="19"/>
      <c r="AT17066" s="19"/>
      <c r="AU17066" s="19"/>
    </row>
    <row r="17067" spans="3:47">
      <c r="C17067" s="20"/>
      <c r="Z17067" s="20"/>
      <c r="AG17067" s="20"/>
      <c r="AQ17067" s="19"/>
      <c r="AR17067" s="19"/>
      <c r="AS17067" s="19"/>
      <c r="AT17067" s="19"/>
      <c r="AU17067" s="19"/>
    </row>
    <row r="17068" spans="3:47">
      <c r="C17068" s="20"/>
      <c r="Z17068" s="20"/>
      <c r="AG17068" s="20"/>
      <c r="AQ17068" s="19"/>
      <c r="AR17068" s="19"/>
      <c r="AS17068" s="19"/>
      <c r="AT17068" s="19"/>
      <c r="AU17068" s="19"/>
    </row>
    <row r="17069" spans="3:47">
      <c r="C17069" s="20"/>
      <c r="Z17069" s="20"/>
      <c r="AG17069" s="20"/>
      <c r="AQ17069" s="19"/>
      <c r="AR17069" s="19"/>
      <c r="AS17069" s="19"/>
      <c r="AT17069" s="19"/>
      <c r="AU17069" s="19"/>
    </row>
    <row r="17070" spans="3:47">
      <c r="C17070" s="20"/>
      <c r="Z17070" s="20"/>
      <c r="AG17070" s="20"/>
      <c r="AQ17070" s="19"/>
      <c r="AR17070" s="19"/>
      <c r="AS17070" s="19"/>
      <c r="AT17070" s="19"/>
      <c r="AU17070" s="19"/>
    </row>
    <row r="17071" spans="3:47">
      <c r="C17071" s="20"/>
      <c r="Z17071" s="20"/>
      <c r="AG17071" s="20"/>
      <c r="AQ17071" s="19"/>
      <c r="AR17071" s="19"/>
      <c r="AS17071" s="19"/>
      <c r="AT17071" s="19"/>
      <c r="AU17071" s="19"/>
    </row>
    <row r="17072" spans="3:47">
      <c r="C17072" s="20"/>
      <c r="Z17072" s="20"/>
      <c r="AG17072" s="20"/>
      <c r="AQ17072" s="19"/>
      <c r="AR17072" s="19"/>
      <c r="AS17072" s="19"/>
      <c r="AT17072" s="19"/>
      <c r="AU17072" s="19"/>
    </row>
    <row r="17073" spans="3:47">
      <c r="C17073" s="20"/>
      <c r="Z17073" s="20"/>
      <c r="AG17073" s="20"/>
      <c r="AQ17073" s="19"/>
      <c r="AR17073" s="19"/>
      <c r="AS17073" s="19"/>
      <c r="AT17073" s="19"/>
      <c r="AU17073" s="19"/>
    </row>
    <row r="17074" spans="3:47">
      <c r="C17074" s="20"/>
      <c r="Z17074" s="20"/>
      <c r="AG17074" s="20"/>
      <c r="AQ17074" s="19"/>
      <c r="AR17074" s="19"/>
      <c r="AS17074" s="19"/>
      <c r="AT17074" s="19"/>
      <c r="AU17074" s="19"/>
    </row>
    <row r="17075" spans="3:47">
      <c r="C17075" s="20"/>
      <c r="Z17075" s="20"/>
      <c r="AG17075" s="20"/>
      <c r="AQ17075" s="19"/>
      <c r="AR17075" s="19"/>
      <c r="AS17075" s="19"/>
      <c r="AT17075" s="19"/>
      <c r="AU17075" s="19"/>
    </row>
    <row r="17076" spans="3:47">
      <c r="C17076" s="20"/>
      <c r="Z17076" s="20"/>
      <c r="AG17076" s="20"/>
      <c r="AQ17076" s="19"/>
      <c r="AR17076" s="19"/>
      <c r="AS17076" s="19"/>
      <c r="AT17076" s="19"/>
      <c r="AU17076" s="19"/>
    </row>
    <row r="17077" spans="3:47">
      <c r="C17077" s="20"/>
      <c r="Z17077" s="20"/>
      <c r="AG17077" s="20"/>
      <c r="AQ17077" s="19"/>
      <c r="AR17077" s="19"/>
      <c r="AS17077" s="19"/>
      <c r="AT17077" s="19"/>
      <c r="AU17077" s="19"/>
    </row>
    <row r="17078" spans="3:47">
      <c r="C17078" s="20"/>
      <c r="Z17078" s="20"/>
      <c r="AG17078" s="20"/>
      <c r="AQ17078" s="19"/>
      <c r="AR17078" s="19"/>
      <c r="AS17078" s="19"/>
      <c r="AT17078" s="19"/>
      <c r="AU17078" s="19"/>
    </row>
    <row r="17079" spans="3:47">
      <c r="C17079" s="20"/>
      <c r="Z17079" s="20"/>
      <c r="AG17079" s="20"/>
      <c r="AQ17079" s="19"/>
      <c r="AR17079" s="19"/>
      <c r="AS17079" s="19"/>
      <c r="AT17079" s="19"/>
      <c r="AU17079" s="19"/>
    </row>
    <row r="17080" spans="3:47">
      <c r="C17080" s="20"/>
      <c r="Z17080" s="20"/>
      <c r="AG17080" s="20"/>
      <c r="AQ17080" s="19"/>
      <c r="AR17080" s="19"/>
      <c r="AS17080" s="19"/>
      <c r="AT17080" s="19"/>
      <c r="AU17080" s="19"/>
    </row>
    <row r="17081" spans="3:47">
      <c r="C17081" s="20"/>
      <c r="Z17081" s="20"/>
      <c r="AG17081" s="20"/>
      <c r="AQ17081" s="19"/>
      <c r="AR17081" s="19"/>
      <c r="AS17081" s="19"/>
      <c r="AT17081" s="19"/>
      <c r="AU17081" s="19"/>
    </row>
    <row r="17082" spans="3:47">
      <c r="C17082" s="20"/>
      <c r="Z17082" s="20"/>
      <c r="AG17082" s="20"/>
      <c r="AQ17082" s="19"/>
      <c r="AR17082" s="19"/>
      <c r="AS17082" s="19"/>
      <c r="AT17082" s="19"/>
      <c r="AU17082" s="19"/>
    </row>
    <row r="17083" spans="3:47">
      <c r="C17083" s="20"/>
      <c r="Z17083" s="20"/>
      <c r="AG17083" s="20"/>
      <c r="AQ17083" s="19"/>
      <c r="AR17083" s="19"/>
      <c r="AS17083" s="19"/>
      <c r="AT17083" s="19"/>
      <c r="AU17083" s="19"/>
    </row>
    <row r="17084" spans="3:47">
      <c r="C17084" s="20"/>
      <c r="Z17084" s="20"/>
      <c r="AG17084" s="20"/>
      <c r="AQ17084" s="19"/>
      <c r="AR17084" s="19"/>
      <c r="AS17084" s="19"/>
      <c r="AT17084" s="19"/>
      <c r="AU17084" s="19"/>
    </row>
    <row r="17085" spans="3:47">
      <c r="C17085" s="20"/>
      <c r="Z17085" s="20"/>
      <c r="AG17085" s="20"/>
      <c r="AQ17085" s="19"/>
      <c r="AR17085" s="19"/>
      <c r="AS17085" s="19"/>
      <c r="AT17085" s="19"/>
      <c r="AU17085" s="19"/>
    </row>
    <row r="17086" spans="3:47">
      <c r="C17086" s="20"/>
      <c r="Z17086" s="20"/>
      <c r="AG17086" s="20"/>
      <c r="AQ17086" s="19"/>
      <c r="AR17086" s="19"/>
      <c r="AS17086" s="19"/>
      <c r="AT17086" s="19"/>
      <c r="AU17086" s="19"/>
    </row>
    <row r="17087" spans="3:47">
      <c r="C17087" s="20"/>
      <c r="Z17087" s="20"/>
      <c r="AG17087" s="20"/>
      <c r="AQ17087" s="19"/>
      <c r="AR17087" s="19"/>
      <c r="AS17087" s="19"/>
      <c r="AT17087" s="19"/>
      <c r="AU17087" s="19"/>
    </row>
    <row r="17088" spans="3:47">
      <c r="C17088" s="20"/>
      <c r="Z17088" s="20"/>
      <c r="AG17088" s="20"/>
      <c r="AQ17088" s="19"/>
      <c r="AR17088" s="19"/>
      <c r="AS17088" s="19"/>
      <c r="AT17088" s="19"/>
      <c r="AU17088" s="19"/>
    </row>
    <row r="17089" spans="3:47">
      <c r="C17089" s="20"/>
      <c r="Z17089" s="20"/>
      <c r="AG17089" s="20"/>
      <c r="AQ17089" s="19"/>
      <c r="AR17089" s="19"/>
      <c r="AS17089" s="19"/>
      <c r="AT17089" s="19"/>
      <c r="AU17089" s="19"/>
    </row>
    <row r="17090" spans="3:47">
      <c r="C17090" s="20"/>
      <c r="Z17090" s="20"/>
      <c r="AG17090" s="20"/>
      <c r="AQ17090" s="19"/>
      <c r="AR17090" s="19"/>
      <c r="AS17090" s="19"/>
      <c r="AT17090" s="19"/>
      <c r="AU17090" s="19"/>
    </row>
    <row r="17091" spans="3:47">
      <c r="C17091" s="20"/>
      <c r="Z17091" s="20"/>
      <c r="AG17091" s="20"/>
      <c r="AQ17091" s="19"/>
      <c r="AR17091" s="19"/>
      <c r="AS17091" s="19"/>
      <c r="AT17091" s="19"/>
      <c r="AU17091" s="19"/>
    </row>
    <row r="17092" spans="3:47">
      <c r="C17092" s="20"/>
      <c r="Z17092" s="20"/>
      <c r="AG17092" s="20"/>
      <c r="AQ17092" s="19"/>
      <c r="AR17092" s="19"/>
      <c r="AS17092" s="19"/>
      <c r="AT17092" s="19"/>
      <c r="AU17092" s="19"/>
    </row>
    <row r="17093" spans="3:47">
      <c r="C17093" s="20"/>
      <c r="Z17093" s="20"/>
      <c r="AG17093" s="20"/>
      <c r="AQ17093" s="19"/>
      <c r="AR17093" s="19"/>
      <c r="AS17093" s="19"/>
      <c r="AT17093" s="19"/>
      <c r="AU17093" s="19"/>
    </row>
    <row r="17094" spans="3:47">
      <c r="C17094" s="20"/>
      <c r="Z17094" s="20"/>
      <c r="AG17094" s="20"/>
      <c r="AQ17094" s="19"/>
      <c r="AR17094" s="19"/>
      <c r="AS17094" s="19"/>
      <c r="AT17094" s="19"/>
      <c r="AU17094" s="19"/>
    </row>
    <row r="17095" spans="3:47">
      <c r="C17095" s="20"/>
      <c r="Z17095" s="20"/>
      <c r="AG17095" s="20"/>
      <c r="AQ17095" s="19"/>
      <c r="AR17095" s="19"/>
      <c r="AS17095" s="19"/>
      <c r="AT17095" s="19"/>
      <c r="AU17095" s="19"/>
    </row>
    <row r="17096" spans="3:47">
      <c r="C17096" s="20"/>
      <c r="Z17096" s="20"/>
      <c r="AG17096" s="20"/>
      <c r="AQ17096" s="19"/>
      <c r="AR17096" s="19"/>
      <c r="AS17096" s="19"/>
      <c r="AT17096" s="19"/>
      <c r="AU17096" s="19"/>
    </row>
    <row r="17097" spans="3:47">
      <c r="C17097" s="20"/>
      <c r="Z17097" s="20"/>
      <c r="AG17097" s="20"/>
      <c r="AQ17097" s="19"/>
      <c r="AR17097" s="19"/>
      <c r="AS17097" s="19"/>
      <c r="AT17097" s="19"/>
      <c r="AU17097" s="19"/>
    </row>
    <row r="17098" spans="3:47">
      <c r="C17098" s="20"/>
      <c r="Z17098" s="20"/>
      <c r="AG17098" s="20"/>
      <c r="AQ17098" s="19"/>
      <c r="AR17098" s="19"/>
      <c r="AS17098" s="19"/>
      <c r="AT17098" s="19"/>
      <c r="AU17098" s="19"/>
    </row>
    <row r="17099" spans="3:47">
      <c r="C17099" s="20"/>
      <c r="Z17099" s="20"/>
      <c r="AG17099" s="20"/>
      <c r="AQ17099" s="19"/>
      <c r="AR17099" s="19"/>
      <c r="AS17099" s="19"/>
      <c r="AT17099" s="19"/>
      <c r="AU17099" s="19"/>
    </row>
    <row r="17100" spans="3:47">
      <c r="C17100" s="20"/>
      <c r="Z17100" s="20"/>
      <c r="AG17100" s="20"/>
      <c r="AQ17100" s="19"/>
      <c r="AR17100" s="19"/>
      <c r="AS17100" s="19"/>
      <c r="AT17100" s="19"/>
      <c r="AU17100" s="19"/>
    </row>
    <row r="17101" spans="3:47">
      <c r="C17101" s="20"/>
      <c r="Z17101" s="20"/>
      <c r="AG17101" s="20"/>
      <c r="AQ17101" s="19"/>
      <c r="AR17101" s="19"/>
      <c r="AS17101" s="19"/>
      <c r="AT17101" s="19"/>
      <c r="AU17101" s="19"/>
    </row>
    <row r="17102" spans="3:47">
      <c r="C17102" s="20"/>
      <c r="Z17102" s="20"/>
      <c r="AG17102" s="20"/>
      <c r="AQ17102" s="19"/>
      <c r="AR17102" s="19"/>
      <c r="AS17102" s="19"/>
      <c r="AT17102" s="19"/>
      <c r="AU17102" s="19"/>
    </row>
    <row r="17103" spans="3:47">
      <c r="C17103" s="20"/>
      <c r="Z17103" s="20"/>
      <c r="AG17103" s="20"/>
      <c r="AQ17103" s="19"/>
      <c r="AR17103" s="19"/>
      <c r="AS17103" s="19"/>
      <c r="AT17103" s="19"/>
      <c r="AU17103" s="19"/>
    </row>
    <row r="17104" spans="3:47">
      <c r="C17104" s="20"/>
      <c r="Z17104" s="20"/>
      <c r="AG17104" s="20"/>
      <c r="AQ17104" s="19"/>
      <c r="AR17104" s="19"/>
      <c r="AS17104" s="19"/>
      <c r="AT17104" s="19"/>
      <c r="AU17104" s="19"/>
    </row>
    <row r="17105" spans="3:47">
      <c r="C17105" s="20"/>
      <c r="Z17105" s="20"/>
      <c r="AG17105" s="20"/>
      <c r="AQ17105" s="19"/>
      <c r="AR17105" s="19"/>
      <c r="AS17105" s="19"/>
      <c r="AT17105" s="19"/>
      <c r="AU17105" s="19"/>
    </row>
    <row r="17106" spans="3:47">
      <c r="C17106" s="20"/>
      <c r="Z17106" s="20"/>
      <c r="AG17106" s="20"/>
      <c r="AQ17106" s="19"/>
      <c r="AR17106" s="19"/>
      <c r="AS17106" s="19"/>
      <c r="AT17106" s="19"/>
      <c r="AU17106" s="19"/>
    </row>
    <row r="17107" spans="3:47">
      <c r="C17107" s="20"/>
      <c r="Z17107" s="20"/>
      <c r="AG17107" s="20"/>
      <c r="AQ17107" s="19"/>
      <c r="AR17107" s="19"/>
      <c r="AS17107" s="19"/>
      <c r="AT17107" s="19"/>
      <c r="AU17107" s="19"/>
    </row>
    <row r="17108" spans="3:47">
      <c r="C17108" s="20"/>
      <c r="Z17108" s="20"/>
      <c r="AG17108" s="20"/>
      <c r="AQ17108" s="19"/>
      <c r="AR17108" s="19"/>
      <c r="AS17108" s="19"/>
      <c r="AT17108" s="19"/>
      <c r="AU17108" s="19"/>
    </row>
    <row r="17109" spans="3:47">
      <c r="C17109" s="20"/>
      <c r="Z17109" s="20"/>
      <c r="AG17109" s="20"/>
      <c r="AQ17109" s="19"/>
      <c r="AR17109" s="19"/>
      <c r="AS17109" s="19"/>
      <c r="AT17109" s="19"/>
      <c r="AU17109" s="19"/>
    </row>
    <row r="17110" spans="3:47">
      <c r="C17110" s="20"/>
      <c r="Z17110" s="20"/>
      <c r="AG17110" s="20"/>
      <c r="AQ17110" s="19"/>
      <c r="AR17110" s="19"/>
      <c r="AS17110" s="19"/>
      <c r="AT17110" s="19"/>
      <c r="AU17110" s="19"/>
    </row>
    <row r="17111" spans="3:47">
      <c r="C17111" s="20"/>
      <c r="Z17111" s="20"/>
      <c r="AG17111" s="20"/>
      <c r="AQ17111" s="19"/>
      <c r="AR17111" s="19"/>
      <c r="AS17111" s="19"/>
      <c r="AT17111" s="19"/>
      <c r="AU17111" s="19"/>
    </row>
    <row r="17112" spans="3:47">
      <c r="C17112" s="20"/>
      <c r="Z17112" s="20"/>
      <c r="AG17112" s="20"/>
      <c r="AQ17112" s="19"/>
      <c r="AR17112" s="19"/>
      <c r="AS17112" s="19"/>
      <c r="AT17112" s="19"/>
      <c r="AU17112" s="19"/>
    </row>
    <row r="17113" spans="3:47">
      <c r="C17113" s="20"/>
      <c r="Z17113" s="20"/>
      <c r="AG17113" s="20"/>
      <c r="AQ17113" s="19"/>
      <c r="AR17113" s="19"/>
      <c r="AS17113" s="19"/>
      <c r="AT17113" s="19"/>
      <c r="AU17113" s="19"/>
    </row>
    <row r="17114" spans="3:47">
      <c r="C17114" s="20"/>
      <c r="Z17114" s="20"/>
      <c r="AG17114" s="20"/>
      <c r="AQ17114" s="19"/>
      <c r="AR17114" s="19"/>
      <c r="AS17114" s="19"/>
      <c r="AT17114" s="19"/>
      <c r="AU17114" s="19"/>
    </row>
    <row r="17115" spans="3:47">
      <c r="C17115" s="20"/>
      <c r="Z17115" s="20"/>
      <c r="AG17115" s="20"/>
      <c r="AQ17115" s="19"/>
      <c r="AR17115" s="19"/>
      <c r="AS17115" s="19"/>
      <c r="AT17115" s="19"/>
      <c r="AU17115" s="19"/>
    </row>
    <row r="17116" spans="3:47">
      <c r="C17116" s="20"/>
      <c r="Z17116" s="20"/>
      <c r="AG17116" s="20"/>
      <c r="AQ17116" s="19"/>
      <c r="AR17116" s="19"/>
      <c r="AS17116" s="19"/>
      <c r="AT17116" s="19"/>
      <c r="AU17116" s="19"/>
    </row>
    <row r="17117" spans="3:47">
      <c r="C17117" s="20"/>
      <c r="Z17117" s="20"/>
      <c r="AG17117" s="20"/>
      <c r="AQ17117" s="19"/>
      <c r="AR17117" s="19"/>
      <c r="AS17117" s="19"/>
      <c r="AT17117" s="19"/>
      <c r="AU17117" s="19"/>
    </row>
    <row r="17118" spans="3:47">
      <c r="C17118" s="20"/>
      <c r="Z17118" s="20"/>
      <c r="AG17118" s="20"/>
      <c r="AQ17118" s="19"/>
      <c r="AR17118" s="19"/>
      <c r="AS17118" s="19"/>
      <c r="AT17118" s="19"/>
      <c r="AU17118" s="19"/>
    </row>
    <row r="17119" spans="3:47">
      <c r="C17119" s="20"/>
      <c r="Z17119" s="20"/>
      <c r="AG17119" s="20"/>
      <c r="AQ17119" s="19"/>
      <c r="AR17119" s="19"/>
      <c r="AS17119" s="19"/>
      <c r="AT17119" s="19"/>
      <c r="AU17119" s="19"/>
    </row>
    <row r="17120" spans="3:47">
      <c r="C17120" s="20"/>
      <c r="Z17120" s="20"/>
      <c r="AG17120" s="20"/>
      <c r="AQ17120" s="19"/>
      <c r="AR17120" s="19"/>
      <c r="AS17120" s="19"/>
      <c r="AT17120" s="19"/>
      <c r="AU17120" s="19"/>
    </row>
    <row r="17121" spans="3:47">
      <c r="C17121" s="20"/>
      <c r="Z17121" s="20"/>
      <c r="AG17121" s="20"/>
      <c r="AQ17121" s="19"/>
      <c r="AR17121" s="19"/>
      <c r="AS17121" s="19"/>
      <c r="AT17121" s="19"/>
      <c r="AU17121" s="19"/>
    </row>
    <row r="17122" spans="3:47">
      <c r="C17122" s="20"/>
      <c r="Z17122" s="20"/>
      <c r="AG17122" s="20"/>
      <c r="AQ17122" s="19"/>
      <c r="AR17122" s="19"/>
      <c r="AS17122" s="19"/>
      <c r="AT17122" s="19"/>
      <c r="AU17122" s="19"/>
    </row>
    <row r="17123" spans="3:47">
      <c r="C17123" s="20"/>
      <c r="Z17123" s="20"/>
      <c r="AG17123" s="20"/>
      <c r="AQ17123" s="19"/>
      <c r="AR17123" s="19"/>
      <c r="AS17123" s="19"/>
      <c r="AT17123" s="19"/>
      <c r="AU17123" s="19"/>
    </row>
    <row r="17124" spans="3:47">
      <c r="C17124" s="20"/>
      <c r="Z17124" s="20"/>
      <c r="AG17124" s="20"/>
      <c r="AQ17124" s="19"/>
      <c r="AR17124" s="19"/>
      <c r="AS17124" s="19"/>
      <c r="AT17124" s="19"/>
      <c r="AU17124" s="19"/>
    </row>
    <row r="17125" spans="3:47">
      <c r="C17125" s="20"/>
      <c r="Z17125" s="20"/>
      <c r="AG17125" s="20"/>
      <c r="AQ17125" s="19"/>
      <c r="AR17125" s="19"/>
      <c r="AS17125" s="19"/>
      <c r="AT17125" s="19"/>
      <c r="AU17125" s="19"/>
    </row>
    <row r="17126" spans="3:47">
      <c r="C17126" s="20"/>
      <c r="Z17126" s="20"/>
      <c r="AG17126" s="20"/>
      <c r="AQ17126" s="19"/>
      <c r="AR17126" s="19"/>
      <c r="AS17126" s="19"/>
      <c r="AT17126" s="19"/>
      <c r="AU17126" s="19"/>
    </row>
    <row r="17127" spans="3:47">
      <c r="C17127" s="20"/>
      <c r="Z17127" s="20"/>
      <c r="AG17127" s="20"/>
      <c r="AQ17127" s="19"/>
      <c r="AR17127" s="19"/>
      <c r="AS17127" s="19"/>
      <c r="AT17127" s="19"/>
      <c r="AU17127" s="19"/>
    </row>
    <row r="17128" spans="3:47">
      <c r="C17128" s="20"/>
      <c r="Z17128" s="20"/>
      <c r="AG17128" s="20"/>
      <c r="AQ17128" s="19"/>
      <c r="AR17128" s="19"/>
      <c r="AS17128" s="19"/>
      <c r="AT17128" s="19"/>
      <c r="AU17128" s="19"/>
    </row>
    <row r="17129" spans="3:47">
      <c r="C17129" s="20"/>
      <c r="Z17129" s="20"/>
      <c r="AG17129" s="20"/>
      <c r="AQ17129" s="19"/>
      <c r="AR17129" s="19"/>
      <c r="AS17129" s="19"/>
      <c r="AT17129" s="19"/>
      <c r="AU17129" s="19"/>
    </row>
    <row r="17130" spans="3:47">
      <c r="C17130" s="20"/>
      <c r="Z17130" s="20"/>
      <c r="AG17130" s="20"/>
      <c r="AQ17130" s="19"/>
      <c r="AR17130" s="19"/>
      <c r="AS17130" s="19"/>
      <c r="AT17130" s="19"/>
      <c r="AU17130" s="19"/>
    </row>
    <row r="17131" spans="3:47">
      <c r="C17131" s="20"/>
      <c r="Z17131" s="20"/>
      <c r="AG17131" s="20"/>
      <c r="AQ17131" s="19"/>
      <c r="AR17131" s="19"/>
      <c r="AS17131" s="19"/>
      <c r="AT17131" s="19"/>
      <c r="AU17131" s="19"/>
    </row>
    <row r="17132" spans="3:47">
      <c r="C17132" s="20"/>
      <c r="Z17132" s="20"/>
      <c r="AG17132" s="20"/>
      <c r="AQ17132" s="19"/>
      <c r="AR17132" s="19"/>
      <c r="AS17132" s="19"/>
      <c r="AT17132" s="19"/>
      <c r="AU17132" s="19"/>
    </row>
    <row r="17133" spans="3:47">
      <c r="C17133" s="20"/>
      <c r="Z17133" s="20"/>
      <c r="AG17133" s="20"/>
      <c r="AQ17133" s="19"/>
      <c r="AR17133" s="19"/>
      <c r="AS17133" s="19"/>
      <c r="AT17133" s="19"/>
      <c r="AU17133" s="19"/>
    </row>
    <row r="17134" spans="3:47">
      <c r="C17134" s="20"/>
      <c r="Z17134" s="20"/>
      <c r="AG17134" s="20"/>
      <c r="AQ17134" s="19"/>
      <c r="AR17134" s="19"/>
      <c r="AS17134" s="19"/>
      <c r="AT17134" s="19"/>
      <c r="AU17134" s="19"/>
    </row>
    <row r="17135" spans="3:47">
      <c r="C17135" s="20"/>
      <c r="Z17135" s="20"/>
      <c r="AG17135" s="20"/>
      <c r="AQ17135" s="19"/>
      <c r="AR17135" s="19"/>
      <c r="AS17135" s="19"/>
      <c r="AT17135" s="19"/>
      <c r="AU17135" s="19"/>
    </row>
    <row r="17136" spans="3:47">
      <c r="C17136" s="20"/>
      <c r="Z17136" s="20"/>
      <c r="AG17136" s="20"/>
      <c r="AQ17136" s="19"/>
      <c r="AR17136" s="19"/>
      <c r="AS17136" s="19"/>
      <c r="AT17136" s="19"/>
      <c r="AU17136" s="19"/>
    </row>
    <row r="17137" spans="3:47">
      <c r="C17137" s="20"/>
      <c r="Z17137" s="20"/>
      <c r="AG17137" s="20"/>
      <c r="AQ17137" s="19"/>
      <c r="AR17137" s="19"/>
      <c r="AS17137" s="19"/>
      <c r="AT17137" s="19"/>
      <c r="AU17137" s="19"/>
    </row>
    <row r="17138" spans="3:47">
      <c r="C17138" s="20"/>
      <c r="Z17138" s="20"/>
      <c r="AG17138" s="20"/>
      <c r="AQ17138" s="19"/>
      <c r="AR17138" s="19"/>
      <c r="AS17138" s="19"/>
      <c r="AT17138" s="19"/>
      <c r="AU17138" s="19"/>
    </row>
    <row r="17139" spans="3:47">
      <c r="C17139" s="20"/>
      <c r="Z17139" s="20"/>
      <c r="AG17139" s="20"/>
      <c r="AQ17139" s="19"/>
      <c r="AR17139" s="19"/>
      <c r="AS17139" s="19"/>
      <c r="AT17139" s="19"/>
      <c r="AU17139" s="19"/>
    </row>
    <row r="17140" spans="3:47">
      <c r="C17140" s="20"/>
      <c r="Z17140" s="20"/>
      <c r="AG17140" s="20"/>
      <c r="AQ17140" s="19"/>
      <c r="AR17140" s="19"/>
      <c r="AS17140" s="19"/>
      <c r="AT17140" s="19"/>
      <c r="AU17140" s="19"/>
    </row>
    <row r="17141" spans="3:47">
      <c r="C17141" s="20"/>
      <c r="Z17141" s="20"/>
      <c r="AG17141" s="20"/>
      <c r="AQ17141" s="19"/>
      <c r="AR17141" s="19"/>
      <c r="AS17141" s="19"/>
      <c r="AT17141" s="19"/>
      <c r="AU17141" s="19"/>
    </row>
    <row r="17142" spans="3:47">
      <c r="C17142" s="20"/>
      <c r="Z17142" s="20"/>
      <c r="AG17142" s="20"/>
      <c r="AQ17142" s="19"/>
      <c r="AR17142" s="19"/>
      <c r="AS17142" s="19"/>
      <c r="AT17142" s="19"/>
      <c r="AU17142" s="19"/>
    </row>
    <row r="17143" spans="3:47">
      <c r="C17143" s="20"/>
      <c r="Z17143" s="20"/>
      <c r="AG17143" s="20"/>
      <c r="AQ17143" s="19"/>
      <c r="AR17143" s="19"/>
      <c r="AS17143" s="19"/>
      <c r="AT17143" s="19"/>
      <c r="AU17143" s="19"/>
    </row>
    <row r="17144" spans="3:47">
      <c r="C17144" s="20"/>
      <c r="Z17144" s="20"/>
      <c r="AG17144" s="20"/>
      <c r="AQ17144" s="19"/>
      <c r="AR17144" s="19"/>
      <c r="AS17144" s="19"/>
      <c r="AT17144" s="19"/>
      <c r="AU17144" s="19"/>
    </row>
    <row r="17145" spans="3:47">
      <c r="C17145" s="20"/>
      <c r="Z17145" s="20"/>
      <c r="AG17145" s="20"/>
      <c r="AQ17145" s="19"/>
      <c r="AR17145" s="19"/>
      <c r="AS17145" s="19"/>
      <c r="AT17145" s="19"/>
      <c r="AU17145" s="19"/>
    </row>
    <row r="17146" spans="3:47">
      <c r="C17146" s="20"/>
      <c r="Z17146" s="20"/>
      <c r="AG17146" s="20"/>
      <c r="AQ17146" s="19"/>
      <c r="AR17146" s="19"/>
      <c r="AS17146" s="19"/>
      <c r="AT17146" s="19"/>
      <c r="AU17146" s="19"/>
    </row>
    <row r="17147" spans="3:47">
      <c r="C17147" s="20"/>
      <c r="Z17147" s="20"/>
      <c r="AG17147" s="20"/>
      <c r="AQ17147" s="19"/>
      <c r="AR17147" s="19"/>
      <c r="AS17147" s="19"/>
      <c r="AT17147" s="19"/>
      <c r="AU17147" s="19"/>
    </row>
    <row r="17148" spans="3:47">
      <c r="C17148" s="20"/>
      <c r="Z17148" s="20"/>
      <c r="AG17148" s="20"/>
      <c r="AQ17148" s="19"/>
      <c r="AR17148" s="19"/>
      <c r="AS17148" s="19"/>
      <c r="AT17148" s="19"/>
      <c r="AU17148" s="19"/>
    </row>
    <row r="17149" spans="3:47">
      <c r="C17149" s="20"/>
      <c r="Z17149" s="20"/>
      <c r="AG17149" s="20"/>
      <c r="AQ17149" s="19"/>
      <c r="AR17149" s="19"/>
      <c r="AS17149" s="19"/>
      <c r="AT17149" s="19"/>
      <c r="AU17149" s="19"/>
    </row>
    <row r="17150" spans="3:47">
      <c r="C17150" s="20"/>
      <c r="Z17150" s="20"/>
      <c r="AG17150" s="20"/>
      <c r="AQ17150" s="19"/>
      <c r="AR17150" s="19"/>
      <c r="AS17150" s="19"/>
      <c r="AT17150" s="19"/>
      <c r="AU17150" s="19"/>
    </row>
    <row r="17151" spans="3:47">
      <c r="C17151" s="20"/>
      <c r="Z17151" s="20"/>
      <c r="AG17151" s="20"/>
      <c r="AQ17151" s="19"/>
      <c r="AR17151" s="19"/>
      <c r="AS17151" s="19"/>
      <c r="AT17151" s="19"/>
      <c r="AU17151" s="19"/>
    </row>
    <row r="17152" spans="3:47">
      <c r="C17152" s="20"/>
      <c r="Z17152" s="20"/>
      <c r="AG17152" s="20"/>
      <c r="AQ17152" s="19"/>
      <c r="AR17152" s="19"/>
      <c r="AS17152" s="19"/>
      <c r="AT17152" s="19"/>
      <c r="AU17152" s="19"/>
    </row>
    <row r="17153" spans="3:47">
      <c r="C17153" s="20"/>
      <c r="Z17153" s="20"/>
      <c r="AG17153" s="20"/>
      <c r="AQ17153" s="19"/>
      <c r="AR17153" s="19"/>
      <c r="AS17153" s="19"/>
      <c r="AT17153" s="19"/>
      <c r="AU17153" s="19"/>
    </row>
    <row r="17154" spans="3:47">
      <c r="C17154" s="20"/>
      <c r="Z17154" s="20"/>
      <c r="AG17154" s="20"/>
      <c r="AQ17154" s="19"/>
      <c r="AR17154" s="19"/>
      <c r="AS17154" s="19"/>
      <c r="AT17154" s="19"/>
      <c r="AU17154" s="19"/>
    </row>
    <row r="17155" spans="3:47">
      <c r="C17155" s="20"/>
      <c r="Z17155" s="20"/>
      <c r="AG17155" s="20"/>
      <c r="AQ17155" s="19"/>
      <c r="AR17155" s="19"/>
      <c r="AS17155" s="19"/>
      <c r="AT17155" s="19"/>
      <c r="AU17155" s="19"/>
    </row>
    <row r="17156" spans="3:47">
      <c r="C17156" s="20"/>
      <c r="Z17156" s="20"/>
      <c r="AG17156" s="20"/>
      <c r="AQ17156" s="19"/>
      <c r="AR17156" s="19"/>
      <c r="AS17156" s="19"/>
      <c r="AT17156" s="19"/>
      <c r="AU17156" s="19"/>
    </row>
    <row r="17157" spans="3:47">
      <c r="C17157" s="20"/>
      <c r="Z17157" s="20"/>
      <c r="AG17157" s="20"/>
      <c r="AQ17157" s="19"/>
      <c r="AR17157" s="19"/>
      <c r="AS17157" s="19"/>
      <c r="AT17157" s="19"/>
      <c r="AU17157" s="19"/>
    </row>
    <row r="17158" spans="3:47">
      <c r="C17158" s="20"/>
      <c r="Z17158" s="20"/>
      <c r="AG17158" s="20"/>
      <c r="AQ17158" s="19"/>
      <c r="AR17158" s="19"/>
      <c r="AS17158" s="19"/>
      <c r="AT17158" s="19"/>
      <c r="AU17158" s="19"/>
    </row>
    <row r="17159" spans="3:47">
      <c r="C17159" s="20"/>
      <c r="Z17159" s="20"/>
      <c r="AG17159" s="20"/>
      <c r="AQ17159" s="19"/>
      <c r="AR17159" s="19"/>
      <c r="AS17159" s="19"/>
      <c r="AT17159" s="19"/>
      <c r="AU17159" s="19"/>
    </row>
    <row r="17160" spans="3:47">
      <c r="C17160" s="20"/>
      <c r="Z17160" s="20"/>
      <c r="AG17160" s="20"/>
      <c r="AQ17160" s="19"/>
      <c r="AR17160" s="19"/>
      <c r="AS17160" s="19"/>
      <c r="AT17160" s="19"/>
      <c r="AU17160" s="19"/>
    </row>
    <row r="17161" spans="3:47">
      <c r="C17161" s="20"/>
      <c r="Z17161" s="20"/>
      <c r="AG17161" s="20"/>
      <c r="AQ17161" s="19"/>
      <c r="AR17161" s="19"/>
      <c r="AS17161" s="19"/>
      <c r="AT17161" s="19"/>
      <c r="AU17161" s="19"/>
    </row>
    <row r="17162" spans="3:47">
      <c r="C17162" s="20"/>
      <c r="Z17162" s="20"/>
      <c r="AG17162" s="20"/>
      <c r="AQ17162" s="19"/>
      <c r="AR17162" s="19"/>
      <c r="AS17162" s="19"/>
      <c r="AT17162" s="19"/>
      <c r="AU17162" s="19"/>
    </row>
    <row r="17163" spans="3:47">
      <c r="C17163" s="20"/>
      <c r="Z17163" s="20"/>
      <c r="AG17163" s="20"/>
      <c r="AQ17163" s="19"/>
      <c r="AR17163" s="19"/>
      <c r="AS17163" s="19"/>
      <c r="AT17163" s="19"/>
      <c r="AU17163" s="19"/>
    </row>
    <row r="17164" spans="3:47">
      <c r="C17164" s="20"/>
      <c r="Z17164" s="20"/>
      <c r="AG17164" s="20"/>
      <c r="AQ17164" s="19"/>
      <c r="AR17164" s="19"/>
      <c r="AS17164" s="19"/>
      <c r="AT17164" s="19"/>
      <c r="AU17164" s="19"/>
    </row>
    <row r="17165" spans="3:47">
      <c r="C17165" s="20"/>
      <c r="Z17165" s="20"/>
      <c r="AG17165" s="20"/>
      <c r="AQ17165" s="19"/>
      <c r="AR17165" s="19"/>
      <c r="AS17165" s="19"/>
      <c r="AT17165" s="19"/>
      <c r="AU17165" s="19"/>
    </row>
    <row r="17166" spans="3:47">
      <c r="C17166" s="20"/>
      <c r="Z17166" s="20"/>
      <c r="AG17166" s="20"/>
      <c r="AQ17166" s="19"/>
      <c r="AR17166" s="19"/>
      <c r="AS17166" s="19"/>
      <c r="AT17166" s="19"/>
      <c r="AU17166" s="19"/>
    </row>
    <row r="17167" spans="3:47">
      <c r="C17167" s="20"/>
      <c r="Z17167" s="20"/>
      <c r="AG17167" s="20"/>
      <c r="AQ17167" s="19"/>
      <c r="AR17167" s="19"/>
      <c r="AS17167" s="19"/>
      <c r="AT17167" s="19"/>
      <c r="AU17167" s="19"/>
    </row>
    <row r="17168" spans="3:47">
      <c r="C17168" s="20"/>
      <c r="Z17168" s="20"/>
      <c r="AG17168" s="20"/>
      <c r="AQ17168" s="19"/>
      <c r="AR17168" s="19"/>
      <c r="AS17168" s="19"/>
      <c r="AT17168" s="19"/>
      <c r="AU17168" s="19"/>
    </row>
    <row r="17169" spans="3:47">
      <c r="C17169" s="20"/>
      <c r="Z17169" s="20"/>
      <c r="AG17169" s="20"/>
      <c r="AQ17169" s="19"/>
      <c r="AR17169" s="19"/>
      <c r="AS17169" s="19"/>
      <c r="AT17169" s="19"/>
      <c r="AU17169" s="19"/>
    </row>
    <row r="17170" spans="3:47">
      <c r="C17170" s="20"/>
      <c r="Z17170" s="20"/>
      <c r="AG17170" s="20"/>
      <c r="AQ17170" s="19"/>
      <c r="AR17170" s="19"/>
      <c r="AS17170" s="19"/>
      <c r="AT17170" s="19"/>
      <c r="AU17170" s="19"/>
    </row>
    <row r="17171" spans="3:47">
      <c r="C17171" s="20"/>
      <c r="Z17171" s="20"/>
      <c r="AG17171" s="20"/>
      <c r="AQ17171" s="19"/>
      <c r="AR17171" s="19"/>
      <c r="AS17171" s="19"/>
      <c r="AT17171" s="19"/>
      <c r="AU17171" s="19"/>
    </row>
    <row r="17172" spans="3:47">
      <c r="C17172" s="20"/>
      <c r="Z17172" s="20"/>
      <c r="AG17172" s="20"/>
      <c r="AQ17172" s="19"/>
      <c r="AR17172" s="19"/>
      <c r="AS17172" s="19"/>
      <c r="AT17172" s="19"/>
      <c r="AU17172" s="19"/>
    </row>
    <row r="17173" spans="3:47">
      <c r="C17173" s="20"/>
      <c r="Z17173" s="20"/>
      <c r="AG17173" s="20"/>
      <c r="AQ17173" s="19"/>
      <c r="AR17173" s="19"/>
      <c r="AS17173" s="19"/>
      <c r="AT17173" s="19"/>
      <c r="AU17173" s="19"/>
    </row>
    <row r="17174" spans="3:47">
      <c r="C17174" s="20"/>
      <c r="Z17174" s="20"/>
      <c r="AG17174" s="20"/>
      <c r="AQ17174" s="19"/>
      <c r="AR17174" s="19"/>
      <c r="AS17174" s="19"/>
      <c r="AT17174" s="19"/>
      <c r="AU17174" s="19"/>
    </row>
    <row r="17175" spans="3:47">
      <c r="C17175" s="20"/>
      <c r="Z17175" s="20"/>
      <c r="AG17175" s="20"/>
      <c r="AQ17175" s="19"/>
      <c r="AR17175" s="19"/>
      <c r="AS17175" s="19"/>
      <c r="AT17175" s="19"/>
      <c r="AU17175" s="19"/>
    </row>
    <row r="17176" spans="3:47">
      <c r="C17176" s="20"/>
      <c r="Z17176" s="20"/>
      <c r="AG17176" s="20"/>
      <c r="AQ17176" s="19"/>
      <c r="AR17176" s="19"/>
      <c r="AS17176" s="19"/>
      <c r="AT17176" s="19"/>
      <c r="AU17176" s="19"/>
    </row>
    <row r="17177" spans="3:47">
      <c r="C17177" s="20"/>
      <c r="Z17177" s="20"/>
      <c r="AG17177" s="20"/>
      <c r="AQ17177" s="19"/>
      <c r="AR17177" s="19"/>
      <c r="AS17177" s="19"/>
      <c r="AT17177" s="19"/>
      <c r="AU17177" s="19"/>
    </row>
    <row r="17178" spans="3:47">
      <c r="C17178" s="20"/>
      <c r="Z17178" s="20"/>
      <c r="AG17178" s="20"/>
      <c r="AQ17178" s="19"/>
      <c r="AR17178" s="19"/>
      <c r="AS17178" s="19"/>
      <c r="AT17178" s="19"/>
      <c r="AU17178" s="19"/>
    </row>
    <row r="17179" spans="3:47">
      <c r="C17179" s="20"/>
      <c r="Z17179" s="20"/>
      <c r="AG17179" s="20"/>
      <c r="AQ17179" s="19"/>
      <c r="AR17179" s="19"/>
      <c r="AS17179" s="19"/>
      <c r="AT17179" s="19"/>
      <c r="AU17179" s="19"/>
    </row>
    <row r="17180" spans="3:47">
      <c r="C17180" s="20"/>
      <c r="Z17180" s="20"/>
      <c r="AG17180" s="20"/>
      <c r="AQ17180" s="19"/>
      <c r="AR17180" s="19"/>
      <c r="AS17180" s="19"/>
      <c r="AT17180" s="19"/>
      <c r="AU17180" s="19"/>
    </row>
    <row r="17181" spans="3:47">
      <c r="C17181" s="20"/>
      <c r="Z17181" s="20"/>
      <c r="AG17181" s="20"/>
      <c r="AQ17181" s="19"/>
      <c r="AR17181" s="19"/>
      <c r="AS17181" s="19"/>
      <c r="AT17181" s="19"/>
      <c r="AU17181" s="19"/>
    </row>
    <row r="17182" spans="3:47">
      <c r="C17182" s="20"/>
      <c r="Z17182" s="20"/>
      <c r="AG17182" s="20"/>
      <c r="AQ17182" s="19"/>
      <c r="AR17182" s="19"/>
      <c r="AS17182" s="19"/>
      <c r="AT17182" s="19"/>
      <c r="AU17182" s="19"/>
    </row>
    <row r="17183" spans="3:47">
      <c r="C17183" s="20"/>
      <c r="Z17183" s="20"/>
      <c r="AG17183" s="20"/>
      <c r="AQ17183" s="19"/>
      <c r="AR17183" s="19"/>
      <c r="AS17183" s="19"/>
      <c r="AT17183" s="19"/>
      <c r="AU17183" s="19"/>
    </row>
    <row r="17184" spans="3:47">
      <c r="C17184" s="20"/>
      <c r="Z17184" s="20"/>
      <c r="AG17184" s="20"/>
      <c r="AQ17184" s="19"/>
      <c r="AR17184" s="19"/>
      <c r="AS17184" s="19"/>
      <c r="AT17184" s="19"/>
      <c r="AU17184" s="19"/>
    </row>
    <row r="17185" spans="3:47">
      <c r="C17185" s="20"/>
      <c r="Z17185" s="20"/>
      <c r="AG17185" s="20"/>
      <c r="AQ17185" s="19"/>
      <c r="AR17185" s="19"/>
      <c r="AS17185" s="19"/>
      <c r="AT17185" s="19"/>
      <c r="AU17185" s="19"/>
    </row>
    <row r="17186" spans="3:47">
      <c r="C17186" s="20"/>
      <c r="Z17186" s="20"/>
      <c r="AG17186" s="20"/>
      <c r="AQ17186" s="19"/>
      <c r="AR17186" s="19"/>
      <c r="AS17186" s="19"/>
      <c r="AT17186" s="19"/>
      <c r="AU17186" s="19"/>
    </row>
    <row r="17187" spans="3:47">
      <c r="C17187" s="20"/>
      <c r="Z17187" s="20"/>
      <c r="AG17187" s="20"/>
      <c r="AQ17187" s="19"/>
      <c r="AR17187" s="19"/>
      <c r="AS17187" s="19"/>
      <c r="AT17187" s="19"/>
      <c r="AU17187" s="19"/>
    </row>
    <row r="17188" spans="3:47">
      <c r="C17188" s="20"/>
      <c r="Z17188" s="20"/>
      <c r="AG17188" s="20"/>
      <c r="AQ17188" s="19"/>
      <c r="AR17188" s="19"/>
      <c r="AS17188" s="19"/>
      <c r="AT17188" s="19"/>
      <c r="AU17188" s="19"/>
    </row>
    <row r="17189" spans="3:47">
      <c r="C17189" s="20"/>
      <c r="Z17189" s="20"/>
      <c r="AG17189" s="20"/>
      <c r="AQ17189" s="19"/>
      <c r="AR17189" s="19"/>
      <c r="AS17189" s="19"/>
      <c r="AT17189" s="19"/>
      <c r="AU17189" s="19"/>
    </row>
    <row r="17190" spans="3:47">
      <c r="C17190" s="20"/>
      <c r="Z17190" s="20"/>
      <c r="AG17190" s="20"/>
      <c r="AQ17190" s="19"/>
      <c r="AR17190" s="19"/>
      <c r="AS17190" s="19"/>
      <c r="AT17190" s="19"/>
      <c r="AU17190" s="19"/>
    </row>
    <row r="17191" spans="3:47">
      <c r="C17191" s="20"/>
      <c r="Z17191" s="20"/>
      <c r="AG17191" s="20"/>
      <c r="AQ17191" s="19"/>
      <c r="AR17191" s="19"/>
      <c r="AS17191" s="19"/>
      <c r="AT17191" s="19"/>
      <c r="AU17191" s="19"/>
    </row>
    <row r="17192" spans="3:47">
      <c r="C17192" s="20"/>
      <c r="Z17192" s="20"/>
      <c r="AG17192" s="20"/>
      <c r="AQ17192" s="19"/>
      <c r="AR17192" s="19"/>
      <c r="AS17192" s="19"/>
      <c r="AT17192" s="19"/>
      <c r="AU17192" s="19"/>
    </row>
    <row r="17193" spans="3:47">
      <c r="C17193" s="20"/>
      <c r="Z17193" s="20"/>
      <c r="AG17193" s="20"/>
      <c r="AQ17193" s="19"/>
      <c r="AR17193" s="19"/>
      <c r="AS17193" s="19"/>
      <c r="AT17193" s="19"/>
      <c r="AU17193" s="19"/>
    </row>
    <row r="17194" spans="3:47">
      <c r="C17194" s="20"/>
      <c r="Z17194" s="20"/>
      <c r="AG17194" s="20"/>
      <c r="AQ17194" s="19"/>
      <c r="AR17194" s="19"/>
      <c r="AS17194" s="19"/>
      <c r="AT17194" s="19"/>
      <c r="AU17194" s="19"/>
    </row>
    <row r="17195" spans="3:47">
      <c r="C17195" s="20"/>
      <c r="Z17195" s="20"/>
      <c r="AG17195" s="20"/>
      <c r="AQ17195" s="19"/>
      <c r="AR17195" s="19"/>
      <c r="AS17195" s="19"/>
      <c r="AT17195" s="19"/>
      <c r="AU17195" s="19"/>
    </row>
    <row r="17196" spans="3:47">
      <c r="C17196" s="20"/>
      <c r="Z17196" s="20"/>
      <c r="AG17196" s="20"/>
      <c r="AQ17196" s="19"/>
      <c r="AR17196" s="19"/>
      <c r="AS17196" s="19"/>
      <c r="AT17196" s="19"/>
      <c r="AU17196" s="19"/>
    </row>
    <row r="17197" spans="3:47">
      <c r="C17197" s="20"/>
      <c r="Z17197" s="20"/>
      <c r="AG17197" s="20"/>
      <c r="AQ17197" s="19"/>
      <c r="AR17197" s="19"/>
      <c r="AS17197" s="19"/>
      <c r="AT17197" s="19"/>
      <c r="AU17197" s="19"/>
    </row>
    <row r="17198" spans="3:47">
      <c r="C17198" s="20"/>
      <c r="Z17198" s="20"/>
      <c r="AG17198" s="20"/>
      <c r="AQ17198" s="19"/>
      <c r="AR17198" s="19"/>
      <c r="AS17198" s="19"/>
      <c r="AT17198" s="19"/>
      <c r="AU17198" s="19"/>
    </row>
    <row r="17199" spans="3:47">
      <c r="C17199" s="20"/>
      <c r="Z17199" s="20"/>
      <c r="AG17199" s="20"/>
      <c r="AQ17199" s="19"/>
      <c r="AR17199" s="19"/>
      <c r="AS17199" s="19"/>
      <c r="AT17199" s="19"/>
      <c r="AU17199" s="19"/>
    </row>
    <row r="17200" spans="3:47">
      <c r="C17200" s="20"/>
      <c r="Z17200" s="20"/>
      <c r="AG17200" s="20"/>
      <c r="AQ17200" s="19"/>
      <c r="AR17200" s="19"/>
      <c r="AS17200" s="19"/>
      <c r="AT17200" s="19"/>
      <c r="AU17200" s="19"/>
    </row>
    <row r="17201" spans="3:47">
      <c r="C17201" s="20"/>
      <c r="Z17201" s="20"/>
      <c r="AG17201" s="20"/>
      <c r="AQ17201" s="19"/>
      <c r="AR17201" s="19"/>
      <c r="AS17201" s="19"/>
      <c r="AT17201" s="19"/>
      <c r="AU17201" s="19"/>
    </row>
    <row r="17202" spans="3:47">
      <c r="C17202" s="20"/>
      <c r="Z17202" s="20"/>
      <c r="AG17202" s="20"/>
      <c r="AQ17202" s="19"/>
      <c r="AR17202" s="19"/>
      <c r="AS17202" s="19"/>
      <c r="AT17202" s="19"/>
      <c r="AU17202" s="19"/>
    </row>
    <row r="17203" spans="3:47">
      <c r="C17203" s="20"/>
      <c r="Z17203" s="20"/>
      <c r="AG17203" s="20"/>
      <c r="AQ17203" s="19"/>
      <c r="AR17203" s="19"/>
      <c r="AS17203" s="19"/>
      <c r="AT17203" s="19"/>
      <c r="AU17203" s="19"/>
    </row>
    <row r="17204" spans="3:47">
      <c r="C17204" s="20"/>
      <c r="Z17204" s="20"/>
      <c r="AG17204" s="20"/>
      <c r="AQ17204" s="19"/>
      <c r="AR17204" s="19"/>
      <c r="AS17204" s="19"/>
      <c r="AT17204" s="19"/>
      <c r="AU17204" s="19"/>
    </row>
    <row r="17205" spans="3:47">
      <c r="C17205" s="20"/>
      <c r="Z17205" s="20"/>
      <c r="AG17205" s="20"/>
      <c r="AQ17205" s="19"/>
      <c r="AR17205" s="19"/>
      <c r="AS17205" s="19"/>
      <c r="AT17205" s="19"/>
      <c r="AU17205" s="19"/>
    </row>
    <row r="17206" spans="3:47">
      <c r="C17206" s="20"/>
      <c r="Z17206" s="20"/>
      <c r="AG17206" s="20"/>
      <c r="AQ17206" s="19"/>
      <c r="AR17206" s="19"/>
      <c r="AS17206" s="19"/>
      <c r="AT17206" s="19"/>
      <c r="AU17206" s="19"/>
    </row>
    <row r="17207" spans="3:47">
      <c r="C17207" s="20"/>
      <c r="Z17207" s="20"/>
      <c r="AG17207" s="20"/>
      <c r="AQ17207" s="19"/>
      <c r="AR17207" s="19"/>
      <c r="AS17207" s="19"/>
      <c r="AT17207" s="19"/>
      <c r="AU17207" s="19"/>
    </row>
    <row r="17208" spans="3:47">
      <c r="C17208" s="20"/>
      <c r="Z17208" s="20"/>
      <c r="AG17208" s="20"/>
      <c r="AQ17208" s="19"/>
      <c r="AR17208" s="19"/>
      <c r="AS17208" s="19"/>
      <c r="AT17208" s="19"/>
      <c r="AU17208" s="19"/>
    </row>
    <row r="17209" spans="3:47">
      <c r="C17209" s="20"/>
      <c r="Z17209" s="20"/>
      <c r="AG17209" s="20"/>
      <c r="AQ17209" s="19"/>
      <c r="AR17209" s="19"/>
      <c r="AS17209" s="19"/>
      <c r="AT17209" s="19"/>
      <c r="AU17209" s="19"/>
    </row>
    <row r="17210" spans="3:47">
      <c r="C17210" s="20"/>
      <c r="Z17210" s="20"/>
      <c r="AG17210" s="20"/>
      <c r="AQ17210" s="19"/>
      <c r="AR17210" s="19"/>
      <c r="AS17210" s="19"/>
      <c r="AT17210" s="19"/>
      <c r="AU17210" s="19"/>
    </row>
    <row r="17211" spans="3:47">
      <c r="C17211" s="20"/>
      <c r="Z17211" s="20"/>
      <c r="AG17211" s="20"/>
      <c r="AQ17211" s="19"/>
      <c r="AR17211" s="19"/>
      <c r="AS17211" s="19"/>
      <c r="AT17211" s="19"/>
      <c r="AU17211" s="19"/>
    </row>
    <row r="17212" spans="3:47">
      <c r="C17212" s="20"/>
      <c r="Z17212" s="20"/>
      <c r="AG17212" s="20"/>
      <c r="AQ17212" s="19"/>
      <c r="AR17212" s="19"/>
      <c r="AS17212" s="19"/>
      <c r="AT17212" s="19"/>
      <c r="AU17212" s="19"/>
    </row>
    <row r="17213" spans="3:47">
      <c r="C17213" s="20"/>
      <c r="Z17213" s="20"/>
      <c r="AG17213" s="20"/>
      <c r="AQ17213" s="19"/>
      <c r="AR17213" s="19"/>
      <c r="AS17213" s="19"/>
      <c r="AT17213" s="19"/>
      <c r="AU17213" s="19"/>
    </row>
    <row r="17214" spans="3:47">
      <c r="C17214" s="20"/>
      <c r="Z17214" s="20"/>
      <c r="AG17214" s="20"/>
      <c r="AQ17214" s="19"/>
      <c r="AR17214" s="19"/>
      <c r="AS17214" s="19"/>
      <c r="AT17214" s="19"/>
      <c r="AU17214" s="19"/>
    </row>
    <row r="17215" spans="3:47">
      <c r="C17215" s="20"/>
      <c r="Z17215" s="20"/>
      <c r="AG17215" s="20"/>
      <c r="AQ17215" s="19"/>
      <c r="AR17215" s="19"/>
      <c r="AS17215" s="19"/>
      <c r="AT17215" s="19"/>
      <c r="AU17215" s="19"/>
    </row>
    <row r="17216" spans="3:47">
      <c r="C17216" s="20"/>
      <c r="Z17216" s="20"/>
      <c r="AG17216" s="20"/>
      <c r="AQ17216" s="19"/>
      <c r="AR17216" s="19"/>
      <c r="AS17216" s="19"/>
      <c r="AT17216" s="19"/>
      <c r="AU17216" s="19"/>
    </row>
    <row r="17217" spans="3:47">
      <c r="C17217" s="20"/>
      <c r="Z17217" s="20"/>
      <c r="AG17217" s="20"/>
      <c r="AQ17217" s="19"/>
      <c r="AR17217" s="19"/>
      <c r="AS17217" s="19"/>
      <c r="AT17217" s="19"/>
      <c r="AU17217" s="19"/>
    </row>
    <row r="17218" spans="3:47">
      <c r="C17218" s="20"/>
      <c r="Z17218" s="20"/>
      <c r="AG17218" s="20"/>
      <c r="AQ17218" s="19"/>
      <c r="AR17218" s="19"/>
      <c r="AS17218" s="19"/>
      <c r="AT17218" s="19"/>
      <c r="AU17218" s="19"/>
    </row>
    <row r="17219" spans="3:47">
      <c r="C17219" s="20"/>
      <c r="Z17219" s="20"/>
      <c r="AG17219" s="20"/>
      <c r="AQ17219" s="19"/>
      <c r="AR17219" s="19"/>
      <c r="AS17219" s="19"/>
      <c r="AT17219" s="19"/>
      <c r="AU17219" s="19"/>
    </row>
    <row r="17220" spans="3:47">
      <c r="C17220" s="20"/>
      <c r="Z17220" s="20"/>
      <c r="AG17220" s="20"/>
      <c r="AQ17220" s="19"/>
      <c r="AR17220" s="19"/>
      <c r="AS17220" s="19"/>
      <c r="AT17220" s="19"/>
      <c r="AU17220" s="19"/>
    </row>
    <row r="17221" spans="3:47">
      <c r="C17221" s="20"/>
      <c r="Z17221" s="20"/>
      <c r="AG17221" s="20"/>
      <c r="AQ17221" s="19"/>
      <c r="AR17221" s="19"/>
      <c r="AS17221" s="19"/>
      <c r="AT17221" s="19"/>
      <c r="AU17221" s="19"/>
    </row>
    <row r="17222" spans="3:47">
      <c r="C17222" s="20"/>
      <c r="Z17222" s="20"/>
      <c r="AG17222" s="20"/>
      <c r="AQ17222" s="19"/>
      <c r="AR17222" s="19"/>
      <c r="AS17222" s="19"/>
      <c r="AT17222" s="19"/>
      <c r="AU17222" s="19"/>
    </row>
    <row r="17223" spans="3:47">
      <c r="C17223" s="20"/>
      <c r="Z17223" s="20"/>
      <c r="AG17223" s="20"/>
      <c r="AQ17223" s="19"/>
      <c r="AR17223" s="19"/>
      <c r="AS17223" s="19"/>
      <c r="AT17223" s="19"/>
      <c r="AU17223" s="19"/>
    </row>
    <row r="17224" spans="3:47">
      <c r="C17224" s="20"/>
      <c r="Z17224" s="20"/>
      <c r="AG17224" s="20"/>
      <c r="AQ17224" s="19"/>
      <c r="AR17224" s="19"/>
      <c r="AS17224" s="19"/>
      <c r="AT17224" s="19"/>
      <c r="AU17224" s="19"/>
    </row>
    <row r="17225" spans="3:47">
      <c r="C17225" s="20"/>
      <c r="Z17225" s="20"/>
      <c r="AG17225" s="20"/>
      <c r="AQ17225" s="19"/>
      <c r="AR17225" s="19"/>
      <c r="AS17225" s="19"/>
      <c r="AT17225" s="19"/>
      <c r="AU17225" s="19"/>
    </row>
    <row r="17226" spans="3:47">
      <c r="C17226" s="20"/>
      <c r="Z17226" s="20"/>
      <c r="AG17226" s="20"/>
      <c r="AQ17226" s="19"/>
      <c r="AR17226" s="19"/>
      <c r="AS17226" s="19"/>
      <c r="AT17226" s="19"/>
      <c r="AU17226" s="19"/>
    </row>
    <row r="17227" spans="3:47">
      <c r="C17227" s="20"/>
      <c r="Z17227" s="20"/>
      <c r="AG17227" s="20"/>
      <c r="AQ17227" s="19"/>
      <c r="AR17227" s="19"/>
      <c r="AS17227" s="19"/>
      <c r="AT17227" s="19"/>
      <c r="AU17227" s="19"/>
    </row>
    <row r="17228" spans="3:47">
      <c r="C17228" s="20"/>
      <c r="Z17228" s="20"/>
      <c r="AG17228" s="20"/>
      <c r="AQ17228" s="19"/>
      <c r="AR17228" s="19"/>
      <c r="AS17228" s="19"/>
      <c r="AT17228" s="19"/>
      <c r="AU17228" s="19"/>
    </row>
    <row r="17229" spans="3:47">
      <c r="C17229" s="20"/>
      <c r="Z17229" s="20"/>
      <c r="AG17229" s="20"/>
      <c r="AQ17229" s="19"/>
      <c r="AR17229" s="19"/>
      <c r="AS17229" s="19"/>
      <c r="AT17229" s="19"/>
      <c r="AU17229" s="19"/>
    </row>
    <row r="17230" spans="3:47">
      <c r="C17230" s="20"/>
      <c r="Z17230" s="20"/>
      <c r="AG17230" s="20"/>
      <c r="AQ17230" s="19"/>
      <c r="AR17230" s="19"/>
      <c r="AS17230" s="19"/>
      <c r="AT17230" s="19"/>
      <c r="AU17230" s="19"/>
    </row>
    <row r="17231" spans="3:47">
      <c r="C17231" s="20"/>
      <c r="Z17231" s="20"/>
      <c r="AG17231" s="20"/>
      <c r="AQ17231" s="19"/>
      <c r="AR17231" s="19"/>
      <c r="AS17231" s="19"/>
      <c r="AT17231" s="19"/>
      <c r="AU17231" s="19"/>
    </row>
    <row r="17232" spans="3:47">
      <c r="C17232" s="20"/>
      <c r="Z17232" s="20"/>
      <c r="AG17232" s="20"/>
      <c r="AQ17232" s="19"/>
      <c r="AR17232" s="19"/>
      <c r="AS17232" s="19"/>
      <c r="AT17232" s="19"/>
      <c r="AU17232" s="19"/>
    </row>
    <row r="17233" spans="3:47">
      <c r="C17233" s="20"/>
      <c r="Z17233" s="20"/>
      <c r="AG17233" s="20"/>
      <c r="AQ17233" s="19"/>
      <c r="AR17233" s="19"/>
      <c r="AS17233" s="19"/>
      <c r="AT17233" s="19"/>
      <c r="AU17233" s="19"/>
    </row>
    <row r="17234" spans="3:47">
      <c r="C17234" s="20"/>
      <c r="Z17234" s="20"/>
      <c r="AG17234" s="20"/>
      <c r="AQ17234" s="19"/>
      <c r="AR17234" s="19"/>
      <c r="AS17234" s="19"/>
      <c r="AT17234" s="19"/>
      <c r="AU17234" s="19"/>
    </row>
    <row r="17235" spans="3:47">
      <c r="C17235" s="20"/>
      <c r="Z17235" s="20"/>
      <c r="AG17235" s="20"/>
      <c r="AQ17235" s="19"/>
      <c r="AR17235" s="19"/>
      <c r="AS17235" s="19"/>
      <c r="AT17235" s="19"/>
      <c r="AU17235" s="19"/>
    </row>
    <row r="17236" spans="3:47">
      <c r="C17236" s="20"/>
      <c r="Z17236" s="20"/>
      <c r="AG17236" s="20"/>
      <c r="AQ17236" s="19"/>
      <c r="AR17236" s="19"/>
      <c r="AS17236" s="19"/>
      <c r="AT17236" s="19"/>
      <c r="AU17236" s="19"/>
    </row>
    <row r="17237" spans="3:47">
      <c r="C17237" s="20"/>
      <c r="Z17237" s="20"/>
      <c r="AG17237" s="20"/>
      <c r="AQ17237" s="19"/>
      <c r="AR17237" s="19"/>
      <c r="AS17237" s="19"/>
      <c r="AT17237" s="19"/>
      <c r="AU17237" s="19"/>
    </row>
    <row r="17238" spans="3:47">
      <c r="C17238" s="20"/>
      <c r="Z17238" s="20"/>
      <c r="AG17238" s="20"/>
      <c r="AQ17238" s="19"/>
      <c r="AR17238" s="19"/>
      <c r="AS17238" s="19"/>
      <c r="AT17238" s="19"/>
      <c r="AU17238" s="19"/>
    </row>
    <row r="17239" spans="3:47">
      <c r="C17239" s="20"/>
      <c r="Z17239" s="20"/>
      <c r="AG17239" s="20"/>
      <c r="AQ17239" s="19"/>
      <c r="AR17239" s="19"/>
      <c r="AS17239" s="19"/>
      <c r="AT17239" s="19"/>
      <c r="AU17239" s="19"/>
    </row>
    <row r="17240" spans="3:47">
      <c r="C17240" s="20"/>
      <c r="Z17240" s="20"/>
      <c r="AG17240" s="20"/>
      <c r="AQ17240" s="19"/>
      <c r="AR17240" s="19"/>
      <c r="AS17240" s="19"/>
      <c r="AT17240" s="19"/>
      <c r="AU17240" s="19"/>
    </row>
    <row r="17241" spans="3:47">
      <c r="C17241" s="20"/>
      <c r="Z17241" s="20"/>
      <c r="AG17241" s="20"/>
      <c r="AQ17241" s="19"/>
      <c r="AR17241" s="19"/>
      <c r="AS17241" s="19"/>
      <c r="AT17241" s="19"/>
      <c r="AU17241" s="19"/>
    </row>
    <row r="17242" spans="3:47">
      <c r="C17242" s="20"/>
      <c r="Z17242" s="20"/>
      <c r="AG17242" s="20"/>
      <c r="AQ17242" s="19"/>
      <c r="AR17242" s="19"/>
      <c r="AS17242" s="19"/>
      <c r="AT17242" s="19"/>
      <c r="AU17242" s="19"/>
    </row>
    <row r="17243" spans="3:47">
      <c r="C17243" s="20"/>
      <c r="Z17243" s="20"/>
      <c r="AG17243" s="20"/>
      <c r="AQ17243" s="19"/>
      <c r="AR17243" s="19"/>
      <c r="AS17243" s="19"/>
      <c r="AT17243" s="19"/>
      <c r="AU17243" s="19"/>
    </row>
    <row r="17244" spans="3:47">
      <c r="C17244" s="20"/>
      <c r="Z17244" s="20"/>
      <c r="AG17244" s="20"/>
      <c r="AQ17244" s="19"/>
      <c r="AR17244" s="19"/>
      <c r="AS17244" s="19"/>
      <c r="AT17244" s="19"/>
      <c r="AU17244" s="19"/>
    </row>
    <row r="17245" spans="3:47">
      <c r="C17245" s="20"/>
      <c r="Z17245" s="20"/>
      <c r="AG17245" s="20"/>
      <c r="AQ17245" s="19"/>
      <c r="AR17245" s="19"/>
      <c r="AS17245" s="19"/>
      <c r="AT17245" s="19"/>
      <c r="AU17245" s="19"/>
    </row>
    <row r="17246" spans="3:47">
      <c r="C17246" s="20"/>
      <c r="Z17246" s="20"/>
      <c r="AG17246" s="20"/>
      <c r="AQ17246" s="19"/>
      <c r="AR17246" s="19"/>
      <c r="AS17246" s="19"/>
      <c r="AT17246" s="19"/>
      <c r="AU17246" s="19"/>
    </row>
    <row r="17247" spans="3:47">
      <c r="C17247" s="20"/>
      <c r="Z17247" s="20"/>
      <c r="AG17247" s="20"/>
      <c r="AQ17247" s="19"/>
      <c r="AR17247" s="19"/>
      <c r="AS17247" s="19"/>
      <c r="AT17247" s="19"/>
      <c r="AU17247" s="19"/>
    </row>
    <row r="17248" spans="3:47">
      <c r="C17248" s="20"/>
      <c r="Z17248" s="20"/>
      <c r="AG17248" s="20"/>
      <c r="AQ17248" s="19"/>
      <c r="AR17248" s="19"/>
      <c r="AS17248" s="19"/>
      <c r="AT17248" s="19"/>
      <c r="AU17248" s="19"/>
    </row>
    <row r="17249" spans="3:47">
      <c r="C17249" s="20"/>
      <c r="Z17249" s="20"/>
      <c r="AG17249" s="20"/>
      <c r="AQ17249" s="19"/>
      <c r="AR17249" s="19"/>
      <c r="AS17249" s="19"/>
      <c r="AT17249" s="19"/>
      <c r="AU17249" s="19"/>
    </row>
    <row r="17250" spans="3:47">
      <c r="C17250" s="20"/>
      <c r="Z17250" s="20"/>
      <c r="AG17250" s="20"/>
      <c r="AQ17250" s="19"/>
      <c r="AR17250" s="19"/>
      <c r="AS17250" s="19"/>
      <c r="AT17250" s="19"/>
      <c r="AU17250" s="19"/>
    </row>
    <row r="17251" spans="3:47">
      <c r="C17251" s="20"/>
      <c r="Z17251" s="20"/>
      <c r="AG17251" s="20"/>
      <c r="AQ17251" s="19"/>
      <c r="AR17251" s="19"/>
      <c r="AS17251" s="19"/>
      <c r="AT17251" s="19"/>
      <c r="AU17251" s="19"/>
    </row>
    <row r="17252" spans="3:47">
      <c r="C17252" s="20"/>
      <c r="Z17252" s="20"/>
      <c r="AG17252" s="20"/>
      <c r="AQ17252" s="19"/>
      <c r="AR17252" s="19"/>
      <c r="AS17252" s="19"/>
      <c r="AT17252" s="19"/>
      <c r="AU17252" s="19"/>
    </row>
    <row r="17253" spans="3:47">
      <c r="C17253" s="20"/>
      <c r="Z17253" s="20"/>
      <c r="AG17253" s="20"/>
      <c r="AQ17253" s="19"/>
      <c r="AR17253" s="19"/>
      <c r="AS17253" s="19"/>
      <c r="AT17253" s="19"/>
      <c r="AU17253" s="19"/>
    </row>
    <row r="17254" spans="3:47">
      <c r="C17254" s="20"/>
      <c r="Z17254" s="20"/>
      <c r="AG17254" s="20"/>
      <c r="AQ17254" s="19"/>
      <c r="AR17254" s="19"/>
      <c r="AS17254" s="19"/>
      <c r="AT17254" s="19"/>
      <c r="AU17254" s="19"/>
    </row>
    <row r="17255" spans="3:47">
      <c r="C17255" s="20"/>
      <c r="Z17255" s="20"/>
      <c r="AG17255" s="20"/>
      <c r="AQ17255" s="19"/>
      <c r="AR17255" s="19"/>
      <c r="AS17255" s="19"/>
      <c r="AT17255" s="19"/>
      <c r="AU17255" s="19"/>
    </row>
    <row r="17256" spans="3:47">
      <c r="C17256" s="20"/>
      <c r="Z17256" s="20"/>
      <c r="AG17256" s="20"/>
      <c r="AQ17256" s="19"/>
      <c r="AR17256" s="19"/>
      <c r="AS17256" s="19"/>
      <c r="AT17256" s="19"/>
      <c r="AU17256" s="19"/>
    </row>
    <row r="17257" spans="3:47">
      <c r="C17257" s="20"/>
      <c r="Z17257" s="20"/>
      <c r="AG17257" s="20"/>
      <c r="AQ17257" s="19"/>
      <c r="AR17257" s="19"/>
      <c r="AS17257" s="19"/>
      <c r="AT17257" s="19"/>
      <c r="AU17257" s="19"/>
    </row>
    <row r="17258" spans="3:47">
      <c r="C17258" s="20"/>
      <c r="Z17258" s="20"/>
      <c r="AG17258" s="20"/>
      <c r="AQ17258" s="19"/>
      <c r="AR17258" s="19"/>
      <c r="AS17258" s="19"/>
      <c r="AT17258" s="19"/>
      <c r="AU17258" s="19"/>
    </row>
    <row r="17259" spans="3:47">
      <c r="C17259" s="20"/>
      <c r="Z17259" s="20"/>
      <c r="AG17259" s="20"/>
      <c r="AQ17259" s="19"/>
      <c r="AR17259" s="19"/>
      <c r="AS17259" s="19"/>
      <c r="AT17259" s="19"/>
      <c r="AU17259" s="19"/>
    </row>
    <row r="17260" spans="3:47">
      <c r="C17260" s="20"/>
      <c r="Z17260" s="20"/>
      <c r="AG17260" s="20"/>
      <c r="AQ17260" s="19"/>
      <c r="AR17260" s="19"/>
      <c r="AS17260" s="19"/>
      <c r="AT17260" s="19"/>
      <c r="AU17260" s="19"/>
    </row>
    <row r="17261" spans="3:47">
      <c r="C17261" s="20"/>
      <c r="Z17261" s="20"/>
      <c r="AG17261" s="20"/>
      <c r="AQ17261" s="19"/>
      <c r="AR17261" s="19"/>
      <c r="AS17261" s="19"/>
      <c r="AT17261" s="19"/>
      <c r="AU17261" s="19"/>
    </row>
    <row r="17262" spans="3:47">
      <c r="C17262" s="20"/>
      <c r="Z17262" s="20"/>
      <c r="AG17262" s="20"/>
      <c r="AQ17262" s="19"/>
      <c r="AR17262" s="19"/>
      <c r="AS17262" s="19"/>
      <c r="AT17262" s="19"/>
      <c r="AU17262" s="19"/>
    </row>
    <row r="17263" spans="3:47">
      <c r="C17263" s="20"/>
      <c r="Z17263" s="20"/>
      <c r="AG17263" s="20"/>
      <c r="AQ17263" s="19"/>
      <c r="AR17263" s="19"/>
      <c r="AS17263" s="19"/>
      <c r="AT17263" s="19"/>
      <c r="AU17263" s="19"/>
    </row>
    <row r="17264" spans="3:47">
      <c r="C17264" s="20"/>
      <c r="Z17264" s="20"/>
      <c r="AG17264" s="20"/>
      <c r="AQ17264" s="19"/>
      <c r="AR17264" s="19"/>
      <c r="AS17264" s="19"/>
      <c r="AT17264" s="19"/>
      <c r="AU17264" s="19"/>
    </row>
    <row r="17265" spans="3:47">
      <c r="C17265" s="20"/>
      <c r="Z17265" s="20"/>
      <c r="AG17265" s="20"/>
      <c r="AQ17265" s="19"/>
      <c r="AR17265" s="19"/>
      <c r="AS17265" s="19"/>
      <c r="AT17265" s="19"/>
      <c r="AU17265" s="19"/>
    </row>
    <row r="17266" spans="3:47">
      <c r="C17266" s="20"/>
      <c r="Z17266" s="20"/>
      <c r="AG17266" s="20"/>
      <c r="AQ17266" s="19"/>
      <c r="AR17266" s="19"/>
      <c r="AS17266" s="19"/>
      <c r="AT17266" s="19"/>
      <c r="AU17266" s="19"/>
    </row>
    <row r="17267" spans="3:47">
      <c r="C17267" s="20"/>
      <c r="Z17267" s="20"/>
      <c r="AG17267" s="20"/>
      <c r="AQ17267" s="19"/>
      <c r="AR17267" s="19"/>
      <c r="AS17267" s="19"/>
      <c r="AT17267" s="19"/>
      <c r="AU17267" s="19"/>
    </row>
    <row r="17268" spans="3:47">
      <c r="C17268" s="20"/>
      <c r="Z17268" s="20"/>
      <c r="AG17268" s="20"/>
      <c r="AQ17268" s="19"/>
      <c r="AR17268" s="19"/>
      <c r="AS17268" s="19"/>
      <c r="AT17268" s="19"/>
      <c r="AU17268" s="19"/>
    </row>
    <row r="17269" spans="3:47">
      <c r="C17269" s="20"/>
      <c r="Z17269" s="20"/>
      <c r="AG17269" s="20"/>
      <c r="AQ17269" s="19"/>
      <c r="AR17269" s="19"/>
      <c r="AS17269" s="19"/>
      <c r="AT17269" s="19"/>
      <c r="AU17269" s="19"/>
    </row>
    <row r="17270" spans="3:47">
      <c r="C17270" s="20"/>
      <c r="Z17270" s="20"/>
      <c r="AG17270" s="20"/>
      <c r="AQ17270" s="19"/>
      <c r="AR17270" s="19"/>
      <c r="AS17270" s="19"/>
      <c r="AT17270" s="19"/>
      <c r="AU17270" s="19"/>
    </row>
    <row r="17271" spans="3:47">
      <c r="C17271" s="20"/>
      <c r="Z17271" s="20"/>
      <c r="AG17271" s="20"/>
      <c r="AQ17271" s="19"/>
      <c r="AR17271" s="19"/>
      <c r="AS17271" s="19"/>
      <c r="AT17271" s="19"/>
      <c r="AU17271" s="19"/>
    </row>
    <row r="17272" spans="3:47">
      <c r="C17272" s="20"/>
      <c r="Z17272" s="20"/>
      <c r="AG17272" s="20"/>
      <c r="AQ17272" s="19"/>
      <c r="AR17272" s="19"/>
      <c r="AS17272" s="19"/>
      <c r="AT17272" s="19"/>
      <c r="AU17272" s="19"/>
    </row>
    <row r="17273" spans="3:47">
      <c r="C17273" s="20"/>
      <c r="Z17273" s="20"/>
      <c r="AG17273" s="20"/>
      <c r="AQ17273" s="19"/>
      <c r="AR17273" s="19"/>
      <c r="AS17273" s="19"/>
      <c r="AT17273" s="19"/>
      <c r="AU17273" s="19"/>
    </row>
    <row r="17274" spans="3:47">
      <c r="C17274" s="20"/>
      <c r="Z17274" s="20"/>
      <c r="AG17274" s="20"/>
      <c r="AQ17274" s="19"/>
      <c r="AR17274" s="19"/>
      <c r="AS17274" s="19"/>
      <c r="AT17274" s="19"/>
      <c r="AU17274" s="19"/>
    </row>
    <row r="17275" spans="3:47">
      <c r="C17275" s="20"/>
      <c r="Z17275" s="20"/>
      <c r="AG17275" s="20"/>
      <c r="AQ17275" s="19"/>
      <c r="AR17275" s="19"/>
      <c r="AS17275" s="19"/>
      <c r="AT17275" s="19"/>
      <c r="AU17275" s="19"/>
    </row>
    <row r="17276" spans="3:47">
      <c r="C17276" s="20"/>
      <c r="Z17276" s="20"/>
      <c r="AG17276" s="20"/>
      <c r="AQ17276" s="19"/>
      <c r="AR17276" s="19"/>
      <c r="AS17276" s="19"/>
      <c r="AT17276" s="19"/>
      <c r="AU17276" s="19"/>
    </row>
    <row r="17277" spans="3:47">
      <c r="C17277" s="20"/>
      <c r="Z17277" s="20"/>
      <c r="AG17277" s="20"/>
      <c r="AQ17277" s="19"/>
      <c r="AR17277" s="19"/>
      <c r="AS17277" s="19"/>
      <c r="AT17277" s="19"/>
      <c r="AU17277" s="19"/>
    </row>
    <row r="17278" spans="3:47">
      <c r="C17278" s="20"/>
      <c r="Z17278" s="20"/>
      <c r="AG17278" s="20"/>
      <c r="AQ17278" s="19"/>
      <c r="AR17278" s="19"/>
      <c r="AS17278" s="19"/>
      <c r="AT17278" s="19"/>
      <c r="AU17278" s="19"/>
    </row>
    <row r="17279" spans="3:47">
      <c r="C17279" s="20"/>
      <c r="Z17279" s="20"/>
      <c r="AG17279" s="20"/>
      <c r="AQ17279" s="19"/>
      <c r="AR17279" s="19"/>
      <c r="AS17279" s="19"/>
      <c r="AT17279" s="19"/>
      <c r="AU17279" s="19"/>
    </row>
    <row r="17280" spans="3:47">
      <c r="C17280" s="20"/>
      <c r="Z17280" s="20"/>
      <c r="AG17280" s="20"/>
      <c r="AQ17280" s="19"/>
      <c r="AR17280" s="19"/>
      <c r="AS17280" s="19"/>
      <c r="AT17280" s="19"/>
      <c r="AU17280" s="19"/>
    </row>
    <row r="17281" spans="3:47">
      <c r="C17281" s="20"/>
      <c r="Z17281" s="20"/>
      <c r="AG17281" s="20"/>
      <c r="AQ17281" s="19"/>
      <c r="AR17281" s="19"/>
      <c r="AS17281" s="19"/>
      <c r="AT17281" s="19"/>
      <c r="AU17281" s="19"/>
    </row>
    <row r="17282" spans="3:47">
      <c r="C17282" s="20"/>
      <c r="Z17282" s="20"/>
      <c r="AG17282" s="20"/>
      <c r="AQ17282" s="19"/>
      <c r="AR17282" s="19"/>
      <c r="AS17282" s="19"/>
      <c r="AT17282" s="19"/>
      <c r="AU17282" s="19"/>
    </row>
    <row r="17283" spans="3:47">
      <c r="C17283" s="20"/>
      <c r="Z17283" s="20"/>
      <c r="AG17283" s="20"/>
      <c r="AQ17283" s="19"/>
      <c r="AR17283" s="19"/>
      <c r="AS17283" s="19"/>
      <c r="AT17283" s="19"/>
      <c r="AU17283" s="19"/>
    </row>
    <row r="17284" spans="3:47">
      <c r="C17284" s="20"/>
      <c r="Z17284" s="20"/>
      <c r="AG17284" s="20"/>
      <c r="AQ17284" s="19"/>
      <c r="AR17284" s="19"/>
      <c r="AS17284" s="19"/>
      <c r="AT17284" s="19"/>
      <c r="AU17284" s="19"/>
    </row>
    <row r="17285" spans="3:47">
      <c r="C17285" s="20"/>
      <c r="Z17285" s="20"/>
      <c r="AG17285" s="20"/>
      <c r="AQ17285" s="19"/>
      <c r="AR17285" s="19"/>
      <c r="AS17285" s="19"/>
      <c r="AT17285" s="19"/>
      <c r="AU17285" s="19"/>
    </row>
    <row r="17286" spans="3:47">
      <c r="C17286" s="20"/>
      <c r="Z17286" s="20"/>
      <c r="AG17286" s="20"/>
      <c r="AQ17286" s="19"/>
      <c r="AR17286" s="19"/>
      <c r="AS17286" s="19"/>
      <c r="AT17286" s="19"/>
      <c r="AU17286" s="19"/>
    </row>
    <row r="17287" spans="3:47">
      <c r="C17287" s="20"/>
      <c r="Z17287" s="20"/>
      <c r="AG17287" s="20"/>
      <c r="AQ17287" s="19"/>
      <c r="AR17287" s="19"/>
      <c r="AS17287" s="19"/>
      <c r="AT17287" s="19"/>
      <c r="AU17287" s="19"/>
    </row>
    <row r="17288" spans="3:47">
      <c r="C17288" s="20"/>
      <c r="Z17288" s="20"/>
      <c r="AG17288" s="20"/>
      <c r="AQ17288" s="19"/>
      <c r="AR17288" s="19"/>
      <c r="AS17288" s="19"/>
      <c r="AT17288" s="19"/>
      <c r="AU17288" s="19"/>
    </row>
    <row r="17289" spans="3:47">
      <c r="C17289" s="20"/>
      <c r="Z17289" s="20"/>
      <c r="AG17289" s="20"/>
      <c r="AQ17289" s="19"/>
      <c r="AR17289" s="19"/>
      <c r="AS17289" s="19"/>
      <c r="AT17289" s="19"/>
      <c r="AU17289" s="19"/>
    </row>
    <row r="17290" spans="3:47">
      <c r="C17290" s="20"/>
      <c r="Z17290" s="20"/>
      <c r="AG17290" s="20"/>
      <c r="AQ17290" s="19"/>
      <c r="AR17290" s="19"/>
      <c r="AS17290" s="19"/>
      <c r="AT17290" s="19"/>
      <c r="AU17290" s="19"/>
    </row>
    <row r="17291" spans="3:47">
      <c r="C17291" s="20"/>
      <c r="Z17291" s="20"/>
      <c r="AG17291" s="20"/>
      <c r="AQ17291" s="19"/>
      <c r="AR17291" s="19"/>
      <c r="AS17291" s="19"/>
      <c r="AT17291" s="19"/>
      <c r="AU17291" s="19"/>
    </row>
    <row r="17292" spans="3:47">
      <c r="C17292" s="20"/>
      <c r="Z17292" s="20"/>
      <c r="AG17292" s="20"/>
      <c r="AQ17292" s="19"/>
      <c r="AR17292" s="19"/>
      <c r="AS17292" s="19"/>
      <c r="AT17292" s="19"/>
      <c r="AU17292" s="19"/>
    </row>
    <row r="17293" spans="3:47">
      <c r="C17293" s="20"/>
      <c r="Z17293" s="20"/>
      <c r="AG17293" s="20"/>
      <c r="AQ17293" s="19"/>
      <c r="AR17293" s="19"/>
      <c r="AS17293" s="19"/>
      <c r="AT17293" s="19"/>
      <c r="AU17293" s="19"/>
    </row>
    <row r="17294" spans="3:47">
      <c r="C17294" s="20"/>
      <c r="Z17294" s="20"/>
      <c r="AG17294" s="20"/>
      <c r="AQ17294" s="19"/>
      <c r="AR17294" s="19"/>
      <c r="AS17294" s="19"/>
      <c r="AT17294" s="19"/>
      <c r="AU17294" s="19"/>
    </row>
    <row r="17295" spans="3:47">
      <c r="C17295" s="20"/>
      <c r="Z17295" s="20"/>
      <c r="AG17295" s="20"/>
      <c r="AQ17295" s="19"/>
      <c r="AR17295" s="19"/>
      <c r="AS17295" s="19"/>
      <c r="AT17295" s="19"/>
      <c r="AU17295" s="19"/>
    </row>
    <row r="17296" spans="3:47">
      <c r="C17296" s="20"/>
      <c r="Z17296" s="20"/>
      <c r="AG17296" s="20"/>
      <c r="AQ17296" s="19"/>
      <c r="AR17296" s="19"/>
      <c r="AS17296" s="19"/>
      <c r="AT17296" s="19"/>
      <c r="AU17296" s="19"/>
    </row>
    <row r="17297" spans="3:47">
      <c r="C17297" s="20"/>
      <c r="Z17297" s="20"/>
      <c r="AG17297" s="20"/>
      <c r="AQ17297" s="19"/>
      <c r="AR17297" s="19"/>
      <c r="AS17297" s="19"/>
      <c r="AT17297" s="19"/>
      <c r="AU17297" s="19"/>
    </row>
    <row r="17298" spans="3:47">
      <c r="C17298" s="20"/>
      <c r="Z17298" s="20"/>
      <c r="AG17298" s="20"/>
      <c r="AQ17298" s="19"/>
      <c r="AR17298" s="19"/>
      <c r="AS17298" s="19"/>
      <c r="AT17298" s="19"/>
      <c r="AU17298" s="19"/>
    </row>
    <row r="17299" spans="3:47">
      <c r="C17299" s="20"/>
      <c r="Z17299" s="20"/>
      <c r="AG17299" s="20"/>
      <c r="AQ17299" s="19"/>
      <c r="AR17299" s="19"/>
      <c r="AS17299" s="19"/>
      <c r="AT17299" s="19"/>
      <c r="AU17299" s="19"/>
    </row>
    <row r="17300" spans="3:47">
      <c r="C17300" s="20"/>
      <c r="Z17300" s="20"/>
      <c r="AG17300" s="20"/>
      <c r="AQ17300" s="19"/>
      <c r="AR17300" s="19"/>
      <c r="AS17300" s="19"/>
      <c r="AT17300" s="19"/>
      <c r="AU17300" s="19"/>
    </row>
    <row r="17301" spans="3:47">
      <c r="C17301" s="20"/>
      <c r="Z17301" s="20"/>
      <c r="AG17301" s="20"/>
      <c r="AQ17301" s="19"/>
      <c r="AR17301" s="19"/>
      <c r="AS17301" s="19"/>
      <c r="AT17301" s="19"/>
      <c r="AU17301" s="19"/>
    </row>
    <row r="17302" spans="3:47">
      <c r="C17302" s="20"/>
      <c r="Z17302" s="20"/>
      <c r="AG17302" s="20"/>
      <c r="AQ17302" s="19"/>
      <c r="AR17302" s="19"/>
      <c r="AS17302" s="19"/>
      <c r="AT17302" s="19"/>
      <c r="AU17302" s="19"/>
    </row>
    <row r="17303" spans="3:47">
      <c r="C17303" s="20"/>
      <c r="Z17303" s="20"/>
      <c r="AG17303" s="20"/>
      <c r="AQ17303" s="19"/>
      <c r="AR17303" s="19"/>
      <c r="AS17303" s="19"/>
      <c r="AT17303" s="19"/>
      <c r="AU17303" s="19"/>
    </row>
    <row r="17304" spans="3:47">
      <c r="C17304" s="20"/>
      <c r="Z17304" s="20"/>
      <c r="AG17304" s="20"/>
      <c r="AQ17304" s="19"/>
      <c r="AR17304" s="19"/>
      <c r="AS17304" s="19"/>
      <c r="AT17304" s="19"/>
      <c r="AU17304" s="19"/>
    </row>
    <row r="17305" spans="3:47">
      <c r="C17305" s="20"/>
      <c r="Z17305" s="20"/>
      <c r="AG17305" s="20"/>
      <c r="AQ17305" s="19"/>
      <c r="AR17305" s="19"/>
      <c r="AS17305" s="19"/>
      <c r="AT17305" s="19"/>
      <c r="AU17305" s="19"/>
    </row>
    <row r="17306" spans="3:47">
      <c r="C17306" s="20"/>
      <c r="Z17306" s="20"/>
      <c r="AG17306" s="20"/>
      <c r="AQ17306" s="19"/>
      <c r="AR17306" s="19"/>
      <c r="AS17306" s="19"/>
      <c r="AT17306" s="19"/>
      <c r="AU17306" s="19"/>
    </row>
    <row r="17307" spans="3:47">
      <c r="C17307" s="20"/>
      <c r="Z17307" s="20"/>
      <c r="AG17307" s="20"/>
      <c r="AQ17307" s="19"/>
      <c r="AR17307" s="19"/>
      <c r="AS17307" s="19"/>
      <c r="AT17307" s="19"/>
      <c r="AU17307" s="19"/>
    </row>
    <row r="17308" spans="3:47">
      <c r="C17308" s="20"/>
      <c r="Z17308" s="20"/>
      <c r="AG17308" s="20"/>
      <c r="AQ17308" s="19"/>
      <c r="AR17308" s="19"/>
      <c r="AS17308" s="19"/>
      <c r="AT17308" s="19"/>
      <c r="AU17308" s="19"/>
    </row>
    <row r="17309" spans="3:47">
      <c r="C17309" s="20"/>
      <c r="Z17309" s="20"/>
      <c r="AG17309" s="20"/>
      <c r="AQ17309" s="19"/>
      <c r="AR17309" s="19"/>
      <c r="AS17309" s="19"/>
      <c r="AT17309" s="19"/>
      <c r="AU17309" s="19"/>
    </row>
    <row r="17310" spans="3:47">
      <c r="C17310" s="20"/>
      <c r="Z17310" s="20"/>
      <c r="AG17310" s="20"/>
      <c r="AQ17310" s="19"/>
      <c r="AR17310" s="19"/>
      <c r="AS17310" s="19"/>
      <c r="AT17310" s="19"/>
      <c r="AU17310" s="19"/>
    </row>
    <row r="17311" spans="3:47">
      <c r="C17311" s="20"/>
      <c r="Z17311" s="20"/>
      <c r="AG17311" s="20"/>
      <c r="AQ17311" s="19"/>
      <c r="AR17311" s="19"/>
      <c r="AS17311" s="19"/>
      <c r="AT17311" s="19"/>
      <c r="AU17311" s="19"/>
    </row>
    <row r="17312" spans="3:47">
      <c r="C17312" s="20"/>
      <c r="Z17312" s="20"/>
      <c r="AG17312" s="20"/>
      <c r="AQ17312" s="19"/>
      <c r="AR17312" s="19"/>
      <c r="AS17312" s="19"/>
      <c r="AT17312" s="19"/>
      <c r="AU17312" s="19"/>
    </row>
    <row r="17313" spans="3:47">
      <c r="C17313" s="20"/>
      <c r="Z17313" s="20"/>
      <c r="AG17313" s="20"/>
      <c r="AQ17313" s="19"/>
      <c r="AR17313" s="19"/>
      <c r="AS17313" s="19"/>
      <c r="AT17313" s="19"/>
      <c r="AU17313" s="19"/>
    </row>
    <row r="17314" spans="3:47">
      <c r="C17314" s="20"/>
      <c r="Z17314" s="20"/>
      <c r="AG17314" s="20"/>
      <c r="AQ17314" s="19"/>
      <c r="AR17314" s="19"/>
      <c r="AS17314" s="19"/>
      <c r="AT17314" s="19"/>
      <c r="AU17314" s="19"/>
    </row>
    <row r="17315" spans="3:47">
      <c r="C17315" s="20"/>
      <c r="Z17315" s="20"/>
      <c r="AG17315" s="20"/>
      <c r="AQ17315" s="19"/>
      <c r="AR17315" s="19"/>
      <c r="AS17315" s="19"/>
      <c r="AT17315" s="19"/>
      <c r="AU17315" s="19"/>
    </row>
    <row r="17316" spans="3:47">
      <c r="C17316" s="20"/>
      <c r="Z17316" s="20"/>
      <c r="AG17316" s="20"/>
      <c r="AQ17316" s="19"/>
      <c r="AR17316" s="19"/>
      <c r="AS17316" s="19"/>
      <c r="AT17316" s="19"/>
      <c r="AU17316" s="19"/>
    </row>
    <row r="17317" spans="3:47">
      <c r="C17317" s="20"/>
      <c r="Z17317" s="20"/>
      <c r="AG17317" s="20"/>
      <c r="AQ17317" s="19"/>
      <c r="AR17317" s="19"/>
      <c r="AS17317" s="19"/>
      <c r="AT17317" s="19"/>
      <c r="AU17317" s="19"/>
    </row>
    <row r="17318" spans="3:47">
      <c r="C17318" s="20"/>
      <c r="Z17318" s="20"/>
      <c r="AG17318" s="20"/>
      <c r="AQ17318" s="19"/>
      <c r="AR17318" s="19"/>
      <c r="AS17318" s="19"/>
      <c r="AT17318" s="19"/>
      <c r="AU17318" s="19"/>
    </row>
    <row r="17319" spans="3:47">
      <c r="C17319" s="20"/>
      <c r="Z17319" s="20"/>
      <c r="AG17319" s="20"/>
      <c r="AQ17319" s="19"/>
      <c r="AR17319" s="19"/>
      <c r="AS17319" s="19"/>
      <c r="AT17319" s="19"/>
      <c r="AU17319" s="19"/>
    </row>
    <row r="17320" spans="3:47">
      <c r="C17320" s="20"/>
      <c r="Z17320" s="20"/>
      <c r="AG17320" s="20"/>
      <c r="AQ17320" s="19"/>
      <c r="AR17320" s="19"/>
      <c r="AS17320" s="19"/>
      <c r="AT17320" s="19"/>
      <c r="AU17320" s="19"/>
    </row>
    <row r="17321" spans="3:47">
      <c r="C17321" s="20"/>
      <c r="Z17321" s="20"/>
      <c r="AG17321" s="20"/>
      <c r="AQ17321" s="19"/>
      <c r="AR17321" s="19"/>
      <c r="AS17321" s="19"/>
      <c r="AT17321" s="19"/>
      <c r="AU17321" s="19"/>
    </row>
    <row r="17322" spans="3:47">
      <c r="C17322" s="20"/>
      <c r="Z17322" s="20"/>
      <c r="AG17322" s="20"/>
      <c r="AQ17322" s="19"/>
      <c r="AR17322" s="19"/>
      <c r="AS17322" s="19"/>
      <c r="AT17322" s="19"/>
      <c r="AU17322" s="19"/>
    </row>
    <row r="17323" spans="3:47">
      <c r="C17323" s="20"/>
      <c r="Z17323" s="20"/>
      <c r="AG17323" s="20"/>
      <c r="AQ17323" s="19"/>
      <c r="AR17323" s="19"/>
      <c r="AS17323" s="19"/>
      <c r="AT17323" s="19"/>
      <c r="AU17323" s="19"/>
    </row>
    <row r="17324" spans="3:47">
      <c r="C17324" s="20"/>
      <c r="Z17324" s="20"/>
      <c r="AG17324" s="20"/>
      <c r="AQ17324" s="19"/>
      <c r="AR17324" s="19"/>
      <c r="AS17324" s="19"/>
      <c r="AT17324" s="19"/>
      <c r="AU17324" s="19"/>
    </row>
    <row r="17325" spans="3:47">
      <c r="C17325" s="20"/>
      <c r="Z17325" s="20"/>
      <c r="AG17325" s="20"/>
      <c r="AQ17325" s="19"/>
      <c r="AR17325" s="19"/>
      <c r="AS17325" s="19"/>
      <c r="AT17325" s="19"/>
      <c r="AU17325" s="19"/>
    </row>
    <row r="17326" spans="3:47">
      <c r="C17326" s="20"/>
      <c r="Z17326" s="20"/>
      <c r="AG17326" s="20"/>
      <c r="AQ17326" s="19"/>
      <c r="AR17326" s="19"/>
      <c r="AS17326" s="19"/>
      <c r="AT17326" s="19"/>
      <c r="AU17326" s="19"/>
    </row>
    <row r="17327" spans="3:47">
      <c r="C17327" s="20"/>
      <c r="Z17327" s="20"/>
      <c r="AG17327" s="20"/>
      <c r="AQ17327" s="19"/>
      <c r="AR17327" s="19"/>
      <c r="AS17327" s="19"/>
      <c r="AT17327" s="19"/>
      <c r="AU17327" s="19"/>
    </row>
    <row r="17328" spans="3:47">
      <c r="C17328" s="20"/>
      <c r="Z17328" s="20"/>
      <c r="AG17328" s="20"/>
      <c r="AQ17328" s="19"/>
      <c r="AR17328" s="19"/>
      <c r="AS17328" s="19"/>
      <c r="AT17328" s="19"/>
      <c r="AU17328" s="19"/>
    </row>
    <row r="17329" spans="3:47">
      <c r="C17329" s="20"/>
      <c r="Z17329" s="20"/>
      <c r="AG17329" s="20"/>
      <c r="AQ17329" s="19"/>
      <c r="AR17329" s="19"/>
      <c r="AS17329" s="19"/>
      <c r="AT17329" s="19"/>
      <c r="AU17329" s="19"/>
    </row>
    <row r="17330" spans="3:47">
      <c r="C17330" s="20"/>
      <c r="Z17330" s="20"/>
      <c r="AG17330" s="20"/>
      <c r="AQ17330" s="19"/>
      <c r="AR17330" s="19"/>
      <c r="AS17330" s="19"/>
      <c r="AT17330" s="19"/>
      <c r="AU17330" s="19"/>
    </row>
    <row r="17331" spans="3:47">
      <c r="C17331" s="20"/>
      <c r="Z17331" s="20"/>
      <c r="AG17331" s="20"/>
      <c r="AQ17331" s="19"/>
      <c r="AR17331" s="19"/>
      <c r="AS17331" s="19"/>
      <c r="AT17331" s="19"/>
      <c r="AU17331" s="19"/>
    </row>
    <row r="17332" spans="3:47">
      <c r="C17332" s="20"/>
      <c r="Z17332" s="20"/>
      <c r="AG17332" s="20"/>
      <c r="AQ17332" s="19"/>
      <c r="AR17332" s="19"/>
      <c r="AS17332" s="19"/>
      <c r="AT17332" s="19"/>
      <c r="AU17332" s="19"/>
    </row>
    <row r="17333" spans="3:47">
      <c r="C17333" s="20"/>
      <c r="Z17333" s="20"/>
      <c r="AG17333" s="20"/>
      <c r="AQ17333" s="19"/>
      <c r="AR17333" s="19"/>
      <c r="AS17333" s="19"/>
      <c r="AT17333" s="19"/>
      <c r="AU17333" s="19"/>
    </row>
    <row r="17334" spans="3:47">
      <c r="C17334" s="20"/>
      <c r="Z17334" s="20"/>
      <c r="AG17334" s="20"/>
      <c r="AQ17334" s="19"/>
      <c r="AR17334" s="19"/>
      <c r="AS17334" s="19"/>
      <c r="AT17334" s="19"/>
      <c r="AU17334" s="19"/>
    </row>
    <row r="17335" spans="3:47">
      <c r="C17335" s="20"/>
      <c r="Z17335" s="20"/>
      <c r="AG17335" s="20"/>
      <c r="AQ17335" s="19"/>
      <c r="AR17335" s="19"/>
      <c r="AS17335" s="19"/>
      <c r="AT17335" s="19"/>
      <c r="AU17335" s="19"/>
    </row>
    <row r="17336" spans="3:47">
      <c r="C17336" s="20"/>
      <c r="Z17336" s="20"/>
      <c r="AG17336" s="20"/>
      <c r="AQ17336" s="19"/>
      <c r="AR17336" s="19"/>
      <c r="AS17336" s="19"/>
      <c r="AT17336" s="19"/>
      <c r="AU17336" s="19"/>
    </row>
    <row r="17337" spans="3:47">
      <c r="C17337" s="20"/>
      <c r="Z17337" s="20"/>
      <c r="AG17337" s="20"/>
      <c r="AQ17337" s="19"/>
      <c r="AR17337" s="19"/>
      <c r="AS17337" s="19"/>
      <c r="AT17337" s="19"/>
      <c r="AU17337" s="19"/>
    </row>
    <row r="17338" spans="3:47">
      <c r="C17338" s="20"/>
      <c r="Z17338" s="20"/>
      <c r="AG17338" s="20"/>
      <c r="AQ17338" s="19"/>
      <c r="AR17338" s="19"/>
      <c r="AS17338" s="19"/>
      <c r="AT17338" s="19"/>
      <c r="AU17338" s="19"/>
    </row>
    <row r="17339" spans="3:47">
      <c r="C17339" s="20"/>
      <c r="Z17339" s="20"/>
      <c r="AG17339" s="20"/>
      <c r="AQ17339" s="19"/>
      <c r="AR17339" s="19"/>
      <c r="AS17339" s="19"/>
      <c r="AT17339" s="19"/>
      <c r="AU17339" s="19"/>
    </row>
    <row r="17340" spans="3:47">
      <c r="C17340" s="20"/>
      <c r="Z17340" s="20"/>
      <c r="AG17340" s="20"/>
      <c r="AQ17340" s="19"/>
      <c r="AR17340" s="19"/>
      <c r="AS17340" s="19"/>
      <c r="AT17340" s="19"/>
      <c r="AU17340" s="19"/>
    </row>
    <row r="17341" spans="3:47">
      <c r="C17341" s="20"/>
      <c r="Z17341" s="20"/>
      <c r="AG17341" s="20"/>
      <c r="AQ17341" s="19"/>
      <c r="AR17341" s="19"/>
      <c r="AS17341" s="19"/>
      <c r="AT17341" s="19"/>
      <c r="AU17341" s="19"/>
    </row>
    <row r="17342" spans="3:47">
      <c r="C17342" s="20"/>
      <c r="Z17342" s="20"/>
      <c r="AG17342" s="20"/>
      <c r="AQ17342" s="19"/>
      <c r="AR17342" s="19"/>
      <c r="AS17342" s="19"/>
      <c r="AT17342" s="19"/>
      <c r="AU17342" s="19"/>
    </row>
    <row r="17343" spans="3:47">
      <c r="C17343" s="20"/>
      <c r="Z17343" s="20"/>
      <c r="AG17343" s="20"/>
      <c r="AQ17343" s="19"/>
      <c r="AR17343" s="19"/>
      <c r="AS17343" s="19"/>
      <c r="AT17343" s="19"/>
      <c r="AU17343" s="19"/>
    </row>
    <row r="17344" spans="3:47">
      <c r="C17344" s="20"/>
      <c r="Z17344" s="20"/>
      <c r="AG17344" s="20"/>
      <c r="AQ17344" s="19"/>
      <c r="AR17344" s="19"/>
      <c r="AS17344" s="19"/>
      <c r="AT17344" s="19"/>
      <c r="AU17344" s="19"/>
    </row>
    <row r="17345" spans="3:47">
      <c r="C17345" s="20"/>
      <c r="Z17345" s="20"/>
      <c r="AG17345" s="20"/>
      <c r="AQ17345" s="19"/>
      <c r="AR17345" s="19"/>
      <c r="AS17345" s="19"/>
      <c r="AT17345" s="19"/>
      <c r="AU17345" s="19"/>
    </row>
    <row r="17346" spans="3:47">
      <c r="C17346" s="20"/>
      <c r="Z17346" s="20"/>
      <c r="AG17346" s="20"/>
      <c r="AQ17346" s="19"/>
      <c r="AR17346" s="19"/>
      <c r="AS17346" s="19"/>
      <c r="AT17346" s="19"/>
      <c r="AU17346" s="19"/>
    </row>
    <row r="17347" spans="3:47">
      <c r="C17347" s="20"/>
      <c r="Z17347" s="20"/>
      <c r="AG17347" s="20"/>
      <c r="AQ17347" s="19"/>
      <c r="AR17347" s="19"/>
      <c r="AS17347" s="19"/>
      <c r="AT17347" s="19"/>
      <c r="AU17347" s="19"/>
    </row>
    <row r="17348" spans="3:47">
      <c r="C17348" s="20"/>
      <c r="Z17348" s="20"/>
      <c r="AG17348" s="20"/>
      <c r="AQ17348" s="19"/>
      <c r="AR17348" s="19"/>
      <c r="AS17348" s="19"/>
      <c r="AT17348" s="19"/>
      <c r="AU17348" s="19"/>
    </row>
    <row r="17349" spans="3:47">
      <c r="C17349" s="20"/>
      <c r="Z17349" s="20"/>
      <c r="AG17349" s="20"/>
      <c r="AQ17349" s="19"/>
      <c r="AR17349" s="19"/>
      <c r="AS17349" s="19"/>
      <c r="AT17349" s="19"/>
      <c r="AU17349" s="19"/>
    </row>
    <row r="17350" spans="3:47">
      <c r="C17350" s="20"/>
      <c r="Z17350" s="20"/>
      <c r="AG17350" s="20"/>
      <c r="AQ17350" s="19"/>
      <c r="AR17350" s="19"/>
      <c r="AS17350" s="19"/>
      <c r="AT17350" s="19"/>
      <c r="AU17350" s="19"/>
    </row>
    <row r="17351" spans="3:47">
      <c r="C17351" s="20"/>
      <c r="Z17351" s="20"/>
      <c r="AG17351" s="20"/>
      <c r="AQ17351" s="19"/>
      <c r="AR17351" s="19"/>
      <c r="AS17351" s="19"/>
      <c r="AT17351" s="19"/>
      <c r="AU17351" s="19"/>
    </row>
    <row r="17352" spans="3:47">
      <c r="C17352" s="20"/>
      <c r="Z17352" s="20"/>
      <c r="AG17352" s="20"/>
      <c r="AQ17352" s="19"/>
      <c r="AR17352" s="19"/>
      <c r="AS17352" s="19"/>
      <c r="AT17352" s="19"/>
      <c r="AU17352" s="19"/>
    </row>
    <row r="17353" spans="3:47">
      <c r="C17353" s="20"/>
      <c r="Z17353" s="20"/>
      <c r="AG17353" s="20"/>
      <c r="AQ17353" s="19"/>
      <c r="AR17353" s="19"/>
      <c r="AS17353" s="19"/>
      <c r="AT17353" s="19"/>
      <c r="AU17353" s="19"/>
    </row>
    <row r="17354" spans="3:47">
      <c r="C17354" s="20"/>
      <c r="Z17354" s="20"/>
      <c r="AG17354" s="20"/>
      <c r="AQ17354" s="19"/>
      <c r="AR17354" s="19"/>
      <c r="AS17354" s="19"/>
      <c r="AT17354" s="19"/>
      <c r="AU17354" s="19"/>
    </row>
    <row r="17355" spans="3:47">
      <c r="C17355" s="20"/>
      <c r="Z17355" s="20"/>
      <c r="AG17355" s="20"/>
      <c r="AQ17355" s="19"/>
      <c r="AR17355" s="19"/>
      <c r="AS17355" s="19"/>
      <c r="AT17355" s="19"/>
      <c r="AU17355" s="19"/>
    </row>
    <row r="17356" spans="3:47">
      <c r="C17356" s="20"/>
      <c r="Z17356" s="20"/>
      <c r="AG17356" s="20"/>
      <c r="AQ17356" s="19"/>
      <c r="AR17356" s="19"/>
      <c r="AS17356" s="19"/>
      <c r="AT17356" s="19"/>
      <c r="AU17356" s="19"/>
    </row>
    <row r="17357" spans="3:47">
      <c r="C17357" s="20"/>
      <c r="Z17357" s="20"/>
      <c r="AG17357" s="20"/>
      <c r="AQ17357" s="19"/>
      <c r="AR17357" s="19"/>
      <c r="AS17357" s="19"/>
      <c r="AT17357" s="19"/>
      <c r="AU17357" s="19"/>
    </row>
    <row r="17358" spans="3:47">
      <c r="C17358" s="20"/>
      <c r="Z17358" s="20"/>
      <c r="AG17358" s="20"/>
      <c r="AQ17358" s="19"/>
      <c r="AR17358" s="19"/>
      <c r="AS17358" s="19"/>
      <c r="AT17358" s="19"/>
      <c r="AU17358" s="19"/>
    </row>
    <row r="17359" spans="3:47">
      <c r="C17359" s="20"/>
      <c r="Z17359" s="20"/>
      <c r="AG17359" s="20"/>
      <c r="AQ17359" s="19"/>
      <c r="AR17359" s="19"/>
      <c r="AS17359" s="19"/>
      <c r="AT17359" s="19"/>
      <c r="AU17359" s="19"/>
    </row>
    <row r="17360" spans="3:47">
      <c r="C17360" s="20"/>
      <c r="Z17360" s="20"/>
      <c r="AG17360" s="20"/>
      <c r="AQ17360" s="19"/>
      <c r="AR17360" s="19"/>
      <c r="AS17360" s="19"/>
      <c r="AT17360" s="19"/>
      <c r="AU17360" s="19"/>
    </row>
    <row r="17361" spans="3:47">
      <c r="C17361" s="20"/>
      <c r="Z17361" s="20"/>
      <c r="AG17361" s="20"/>
      <c r="AQ17361" s="19"/>
      <c r="AR17361" s="19"/>
      <c r="AS17361" s="19"/>
      <c r="AT17361" s="19"/>
      <c r="AU17361" s="19"/>
    </row>
    <row r="17362" spans="3:47">
      <c r="C17362" s="20"/>
      <c r="Z17362" s="20"/>
      <c r="AG17362" s="20"/>
      <c r="AQ17362" s="19"/>
      <c r="AR17362" s="19"/>
      <c r="AS17362" s="19"/>
      <c r="AT17362" s="19"/>
      <c r="AU17362" s="19"/>
    </row>
    <row r="17363" spans="3:47">
      <c r="C17363" s="20"/>
      <c r="Z17363" s="20"/>
      <c r="AG17363" s="20"/>
      <c r="AQ17363" s="19"/>
      <c r="AR17363" s="19"/>
      <c r="AS17363" s="19"/>
      <c r="AT17363" s="19"/>
      <c r="AU17363" s="19"/>
    </row>
    <row r="17364" spans="3:47">
      <c r="C17364" s="20"/>
      <c r="Z17364" s="20"/>
      <c r="AG17364" s="20"/>
      <c r="AQ17364" s="19"/>
      <c r="AR17364" s="19"/>
      <c r="AS17364" s="19"/>
      <c r="AT17364" s="19"/>
      <c r="AU17364" s="19"/>
    </row>
    <row r="17365" spans="3:47">
      <c r="C17365" s="20"/>
      <c r="Z17365" s="20"/>
      <c r="AG17365" s="20"/>
      <c r="AQ17365" s="19"/>
      <c r="AR17365" s="19"/>
      <c r="AS17365" s="19"/>
      <c r="AT17365" s="19"/>
      <c r="AU17365" s="19"/>
    </row>
    <row r="17366" spans="3:47">
      <c r="C17366" s="20"/>
      <c r="Z17366" s="20"/>
      <c r="AG17366" s="20"/>
      <c r="AQ17366" s="19"/>
      <c r="AR17366" s="19"/>
      <c r="AS17366" s="19"/>
      <c r="AT17366" s="19"/>
      <c r="AU17366" s="19"/>
    </row>
    <row r="17367" spans="3:47">
      <c r="C17367" s="20"/>
      <c r="Z17367" s="20"/>
      <c r="AG17367" s="20"/>
      <c r="AQ17367" s="19"/>
      <c r="AR17367" s="19"/>
      <c r="AS17367" s="19"/>
      <c r="AT17367" s="19"/>
      <c r="AU17367" s="19"/>
    </row>
    <row r="17368" spans="3:47">
      <c r="C17368" s="20"/>
      <c r="Z17368" s="20"/>
      <c r="AG17368" s="20"/>
      <c r="AQ17368" s="19"/>
      <c r="AR17368" s="19"/>
      <c r="AS17368" s="19"/>
      <c r="AT17368" s="19"/>
      <c r="AU17368" s="19"/>
    </row>
    <row r="17369" spans="3:47">
      <c r="C17369" s="20"/>
      <c r="Z17369" s="20"/>
      <c r="AG17369" s="20"/>
      <c r="AQ17369" s="19"/>
      <c r="AR17369" s="19"/>
      <c r="AS17369" s="19"/>
      <c r="AT17369" s="19"/>
      <c r="AU17369" s="19"/>
    </row>
    <row r="17370" spans="3:47">
      <c r="C17370" s="20"/>
      <c r="Z17370" s="20"/>
      <c r="AG17370" s="20"/>
      <c r="AQ17370" s="19"/>
      <c r="AR17370" s="19"/>
      <c r="AS17370" s="19"/>
      <c r="AT17370" s="19"/>
      <c r="AU17370" s="19"/>
    </row>
    <row r="17371" spans="3:47">
      <c r="C17371" s="20"/>
      <c r="Z17371" s="20"/>
      <c r="AG17371" s="20"/>
      <c r="AQ17371" s="19"/>
      <c r="AR17371" s="19"/>
      <c r="AS17371" s="19"/>
      <c r="AT17371" s="19"/>
      <c r="AU17371" s="19"/>
    </row>
    <row r="17372" spans="3:47">
      <c r="C17372" s="20"/>
      <c r="Z17372" s="20"/>
      <c r="AG17372" s="20"/>
      <c r="AQ17372" s="19"/>
      <c r="AR17372" s="19"/>
      <c r="AS17372" s="19"/>
      <c r="AT17372" s="19"/>
      <c r="AU17372" s="19"/>
    </row>
    <row r="17373" spans="3:47">
      <c r="C17373" s="20"/>
      <c r="Z17373" s="20"/>
      <c r="AG17373" s="20"/>
      <c r="AQ17373" s="19"/>
      <c r="AR17373" s="19"/>
      <c r="AS17373" s="19"/>
      <c r="AT17373" s="19"/>
      <c r="AU17373" s="19"/>
    </row>
    <row r="17374" spans="3:47">
      <c r="C17374" s="20"/>
      <c r="Z17374" s="20"/>
      <c r="AG17374" s="20"/>
      <c r="AQ17374" s="19"/>
      <c r="AR17374" s="19"/>
      <c r="AS17374" s="19"/>
      <c r="AT17374" s="19"/>
      <c r="AU17374" s="19"/>
    </row>
    <row r="17375" spans="3:47">
      <c r="C17375" s="20"/>
      <c r="Z17375" s="20"/>
      <c r="AG17375" s="20"/>
      <c r="AQ17375" s="19"/>
      <c r="AR17375" s="19"/>
      <c r="AS17375" s="19"/>
      <c r="AT17375" s="19"/>
      <c r="AU17375" s="19"/>
    </row>
    <row r="17376" spans="3:47">
      <c r="C17376" s="20"/>
      <c r="Z17376" s="20"/>
      <c r="AG17376" s="20"/>
      <c r="AQ17376" s="19"/>
      <c r="AR17376" s="19"/>
      <c r="AS17376" s="19"/>
      <c r="AT17376" s="19"/>
      <c r="AU17376" s="19"/>
    </row>
    <row r="17377" spans="3:47">
      <c r="C17377" s="20"/>
      <c r="Z17377" s="20"/>
      <c r="AG17377" s="20"/>
      <c r="AQ17377" s="19"/>
      <c r="AR17377" s="19"/>
      <c r="AS17377" s="19"/>
      <c r="AT17377" s="19"/>
      <c r="AU17377" s="19"/>
    </row>
    <row r="17378" spans="3:47">
      <c r="C17378" s="20"/>
      <c r="Z17378" s="20"/>
      <c r="AG17378" s="20"/>
      <c r="AQ17378" s="19"/>
      <c r="AR17378" s="19"/>
      <c r="AS17378" s="19"/>
      <c r="AT17378" s="19"/>
      <c r="AU17378" s="19"/>
    </row>
    <row r="17379" spans="3:47">
      <c r="C17379" s="20"/>
      <c r="Z17379" s="20"/>
      <c r="AG17379" s="20"/>
      <c r="AQ17379" s="19"/>
      <c r="AR17379" s="19"/>
      <c r="AS17379" s="19"/>
      <c r="AT17379" s="19"/>
      <c r="AU17379" s="19"/>
    </row>
    <row r="17380" spans="3:47">
      <c r="C17380" s="20"/>
      <c r="Z17380" s="20"/>
      <c r="AG17380" s="20"/>
      <c r="AQ17380" s="19"/>
      <c r="AR17380" s="19"/>
      <c r="AS17380" s="19"/>
      <c r="AT17380" s="19"/>
      <c r="AU17380" s="19"/>
    </row>
    <row r="17381" spans="3:47">
      <c r="C17381" s="20"/>
      <c r="Z17381" s="20"/>
      <c r="AG17381" s="20"/>
      <c r="AQ17381" s="19"/>
      <c r="AR17381" s="19"/>
      <c r="AS17381" s="19"/>
      <c r="AT17381" s="19"/>
      <c r="AU17381" s="19"/>
    </row>
    <row r="17382" spans="3:47">
      <c r="C17382" s="20"/>
      <c r="Z17382" s="20"/>
      <c r="AG17382" s="20"/>
      <c r="AQ17382" s="19"/>
      <c r="AR17382" s="19"/>
      <c r="AS17382" s="19"/>
      <c r="AT17382" s="19"/>
      <c r="AU17382" s="19"/>
    </row>
    <row r="17383" spans="3:47">
      <c r="C17383" s="20"/>
      <c r="Z17383" s="20"/>
      <c r="AG17383" s="20"/>
      <c r="AQ17383" s="19"/>
      <c r="AR17383" s="19"/>
      <c r="AS17383" s="19"/>
      <c r="AT17383" s="19"/>
      <c r="AU17383" s="19"/>
    </row>
    <row r="17384" spans="3:47">
      <c r="C17384" s="20"/>
      <c r="Z17384" s="20"/>
      <c r="AG17384" s="20"/>
      <c r="AQ17384" s="19"/>
      <c r="AR17384" s="19"/>
      <c r="AS17384" s="19"/>
      <c r="AT17384" s="19"/>
      <c r="AU17384" s="19"/>
    </row>
    <row r="17385" spans="3:47">
      <c r="C17385" s="20"/>
      <c r="Z17385" s="20"/>
      <c r="AG17385" s="20"/>
      <c r="AQ17385" s="19"/>
      <c r="AR17385" s="19"/>
      <c r="AS17385" s="19"/>
      <c r="AT17385" s="19"/>
      <c r="AU17385" s="19"/>
    </row>
    <row r="17386" spans="3:47">
      <c r="C17386" s="20"/>
      <c r="Z17386" s="20"/>
      <c r="AG17386" s="20"/>
      <c r="AQ17386" s="19"/>
      <c r="AR17386" s="19"/>
      <c r="AS17386" s="19"/>
      <c r="AT17386" s="19"/>
      <c r="AU17386" s="19"/>
    </row>
    <row r="17387" spans="3:47">
      <c r="C17387" s="20"/>
      <c r="Z17387" s="20"/>
      <c r="AG17387" s="20"/>
      <c r="AQ17387" s="19"/>
      <c r="AR17387" s="19"/>
      <c r="AS17387" s="19"/>
      <c r="AT17387" s="19"/>
      <c r="AU17387" s="19"/>
    </row>
    <row r="17388" spans="3:47">
      <c r="C17388" s="20"/>
      <c r="Z17388" s="20"/>
      <c r="AG17388" s="20"/>
      <c r="AQ17388" s="19"/>
      <c r="AR17388" s="19"/>
      <c r="AS17388" s="19"/>
      <c r="AT17388" s="19"/>
      <c r="AU17388" s="19"/>
    </row>
    <row r="17389" spans="3:47">
      <c r="C17389" s="20"/>
      <c r="Z17389" s="20"/>
      <c r="AG17389" s="20"/>
      <c r="AQ17389" s="19"/>
      <c r="AR17389" s="19"/>
      <c r="AS17389" s="19"/>
      <c r="AT17389" s="19"/>
      <c r="AU17389" s="19"/>
    </row>
    <row r="17390" spans="3:47">
      <c r="C17390" s="20"/>
      <c r="Z17390" s="20"/>
      <c r="AG17390" s="20"/>
      <c r="AQ17390" s="19"/>
      <c r="AR17390" s="19"/>
      <c r="AS17390" s="19"/>
      <c r="AT17390" s="19"/>
      <c r="AU17390" s="19"/>
    </row>
    <row r="17391" spans="3:47">
      <c r="C17391" s="20"/>
      <c r="Z17391" s="20"/>
      <c r="AG17391" s="20"/>
      <c r="AQ17391" s="19"/>
      <c r="AR17391" s="19"/>
      <c r="AS17391" s="19"/>
      <c r="AT17391" s="19"/>
      <c r="AU17391" s="19"/>
    </row>
    <row r="17392" spans="3:47">
      <c r="C17392" s="20"/>
      <c r="Z17392" s="20"/>
      <c r="AG17392" s="20"/>
      <c r="AQ17392" s="19"/>
      <c r="AR17392" s="19"/>
      <c r="AS17392" s="19"/>
      <c r="AT17392" s="19"/>
      <c r="AU17392" s="19"/>
    </row>
    <row r="17393" spans="3:47">
      <c r="C17393" s="20"/>
      <c r="Z17393" s="20"/>
      <c r="AG17393" s="20"/>
      <c r="AQ17393" s="19"/>
      <c r="AR17393" s="19"/>
      <c r="AS17393" s="19"/>
      <c r="AT17393" s="19"/>
      <c r="AU17393" s="19"/>
    </row>
    <row r="17394" spans="3:47">
      <c r="C17394" s="20"/>
      <c r="Z17394" s="20"/>
      <c r="AG17394" s="20"/>
      <c r="AQ17394" s="19"/>
      <c r="AR17394" s="19"/>
      <c r="AS17394" s="19"/>
      <c r="AT17394" s="19"/>
      <c r="AU17394" s="19"/>
    </row>
    <row r="17395" spans="3:47">
      <c r="C17395" s="20"/>
      <c r="Z17395" s="20"/>
      <c r="AG17395" s="20"/>
      <c r="AQ17395" s="19"/>
      <c r="AR17395" s="19"/>
      <c r="AS17395" s="19"/>
      <c r="AT17395" s="19"/>
      <c r="AU17395" s="19"/>
    </row>
    <row r="17396" spans="3:47">
      <c r="C17396" s="20"/>
      <c r="Z17396" s="20"/>
      <c r="AG17396" s="20"/>
      <c r="AQ17396" s="19"/>
      <c r="AR17396" s="19"/>
      <c r="AS17396" s="19"/>
      <c r="AT17396" s="19"/>
      <c r="AU17396" s="19"/>
    </row>
    <row r="17397" spans="3:47">
      <c r="C17397" s="20"/>
      <c r="Z17397" s="20"/>
      <c r="AG17397" s="20"/>
      <c r="AQ17397" s="19"/>
      <c r="AR17397" s="19"/>
      <c r="AS17397" s="19"/>
      <c r="AT17397" s="19"/>
      <c r="AU17397" s="19"/>
    </row>
    <row r="17398" spans="3:47">
      <c r="C17398" s="20"/>
      <c r="Z17398" s="20"/>
      <c r="AG17398" s="20"/>
      <c r="AQ17398" s="19"/>
      <c r="AR17398" s="19"/>
      <c r="AS17398" s="19"/>
      <c r="AT17398" s="19"/>
      <c r="AU17398" s="19"/>
    </row>
    <row r="17399" spans="3:47">
      <c r="C17399" s="20"/>
      <c r="Z17399" s="20"/>
      <c r="AG17399" s="20"/>
      <c r="AQ17399" s="19"/>
      <c r="AR17399" s="19"/>
      <c r="AS17399" s="19"/>
      <c r="AT17399" s="19"/>
      <c r="AU17399" s="19"/>
    </row>
    <row r="17400" spans="3:47">
      <c r="C17400" s="20"/>
      <c r="Z17400" s="20"/>
      <c r="AG17400" s="20"/>
      <c r="AQ17400" s="19"/>
      <c r="AR17400" s="19"/>
      <c r="AS17400" s="19"/>
      <c r="AT17400" s="19"/>
      <c r="AU17400" s="19"/>
    </row>
    <row r="17401" spans="3:47">
      <c r="C17401" s="20"/>
      <c r="Z17401" s="20"/>
      <c r="AG17401" s="20"/>
      <c r="AQ17401" s="19"/>
      <c r="AR17401" s="19"/>
      <c r="AS17401" s="19"/>
      <c r="AT17401" s="19"/>
      <c r="AU17401" s="19"/>
    </row>
    <row r="17402" spans="3:47">
      <c r="C17402" s="20"/>
      <c r="Z17402" s="20"/>
      <c r="AG17402" s="20"/>
      <c r="AQ17402" s="19"/>
      <c r="AR17402" s="19"/>
      <c r="AS17402" s="19"/>
      <c r="AT17402" s="19"/>
      <c r="AU17402" s="19"/>
    </row>
    <row r="17403" spans="3:47">
      <c r="C17403" s="20"/>
      <c r="Z17403" s="20"/>
      <c r="AG17403" s="20"/>
      <c r="AQ17403" s="19"/>
      <c r="AR17403" s="19"/>
      <c r="AS17403" s="19"/>
      <c r="AT17403" s="19"/>
      <c r="AU17403" s="19"/>
    </row>
    <row r="17404" spans="3:47">
      <c r="C17404" s="20"/>
      <c r="Z17404" s="20"/>
      <c r="AG17404" s="20"/>
      <c r="AQ17404" s="19"/>
      <c r="AR17404" s="19"/>
      <c r="AS17404" s="19"/>
      <c r="AT17404" s="19"/>
      <c r="AU17404" s="19"/>
    </row>
    <row r="17405" spans="3:47">
      <c r="C17405" s="20"/>
      <c r="Z17405" s="20"/>
      <c r="AG17405" s="20"/>
      <c r="AQ17405" s="19"/>
      <c r="AR17405" s="19"/>
      <c r="AS17405" s="19"/>
      <c r="AT17405" s="19"/>
      <c r="AU17405" s="19"/>
    </row>
    <row r="17406" spans="3:47">
      <c r="C17406" s="20"/>
      <c r="Z17406" s="20"/>
      <c r="AG17406" s="20"/>
      <c r="AQ17406" s="19"/>
      <c r="AR17406" s="19"/>
      <c r="AS17406" s="19"/>
      <c r="AT17406" s="19"/>
      <c r="AU17406" s="19"/>
    </row>
    <row r="17407" spans="3:47">
      <c r="C17407" s="20"/>
      <c r="Z17407" s="20"/>
      <c r="AG17407" s="20"/>
      <c r="AQ17407" s="19"/>
      <c r="AR17407" s="19"/>
      <c r="AS17407" s="19"/>
      <c r="AT17407" s="19"/>
      <c r="AU17407" s="19"/>
    </row>
    <row r="17408" spans="3:47">
      <c r="C17408" s="20"/>
      <c r="Z17408" s="20"/>
      <c r="AG17408" s="20"/>
      <c r="AQ17408" s="19"/>
      <c r="AR17408" s="19"/>
      <c r="AS17408" s="19"/>
      <c r="AT17408" s="19"/>
      <c r="AU17408" s="19"/>
    </row>
    <row r="17409" spans="3:47">
      <c r="C17409" s="20"/>
      <c r="Z17409" s="20"/>
      <c r="AG17409" s="20"/>
      <c r="AQ17409" s="19"/>
      <c r="AR17409" s="19"/>
      <c r="AS17409" s="19"/>
      <c r="AT17409" s="19"/>
      <c r="AU17409" s="19"/>
    </row>
    <row r="17410" spans="3:47">
      <c r="C17410" s="20"/>
      <c r="Z17410" s="20"/>
      <c r="AG17410" s="20"/>
      <c r="AQ17410" s="19"/>
      <c r="AR17410" s="19"/>
      <c r="AS17410" s="19"/>
      <c r="AT17410" s="19"/>
      <c r="AU17410" s="19"/>
    </row>
    <row r="17411" spans="3:47">
      <c r="C17411" s="20"/>
      <c r="Z17411" s="20"/>
      <c r="AG17411" s="20"/>
      <c r="AQ17411" s="19"/>
      <c r="AR17411" s="19"/>
      <c r="AS17411" s="19"/>
      <c r="AT17411" s="19"/>
      <c r="AU17411" s="19"/>
    </row>
    <row r="17412" spans="3:47">
      <c r="C17412" s="20"/>
      <c r="Z17412" s="20"/>
      <c r="AG17412" s="20"/>
      <c r="AQ17412" s="19"/>
      <c r="AR17412" s="19"/>
      <c r="AS17412" s="19"/>
      <c r="AT17412" s="19"/>
      <c r="AU17412" s="19"/>
    </row>
    <row r="17413" spans="3:47">
      <c r="C17413" s="20"/>
      <c r="Z17413" s="20"/>
      <c r="AG17413" s="20"/>
      <c r="AQ17413" s="19"/>
      <c r="AR17413" s="19"/>
      <c r="AS17413" s="19"/>
      <c r="AT17413" s="19"/>
      <c r="AU17413" s="19"/>
    </row>
    <row r="17414" spans="3:47">
      <c r="C17414" s="20"/>
      <c r="Z17414" s="20"/>
      <c r="AG17414" s="20"/>
      <c r="AQ17414" s="19"/>
      <c r="AR17414" s="19"/>
      <c r="AS17414" s="19"/>
      <c r="AT17414" s="19"/>
      <c r="AU17414" s="19"/>
    </row>
    <row r="17415" spans="3:47">
      <c r="C17415" s="20"/>
      <c r="Z17415" s="20"/>
      <c r="AG17415" s="20"/>
      <c r="AQ17415" s="19"/>
      <c r="AR17415" s="19"/>
      <c r="AS17415" s="19"/>
      <c r="AT17415" s="19"/>
      <c r="AU17415" s="19"/>
    </row>
    <row r="17416" spans="3:47">
      <c r="C17416" s="20"/>
      <c r="Z17416" s="20"/>
      <c r="AG17416" s="20"/>
      <c r="AQ17416" s="19"/>
      <c r="AR17416" s="19"/>
      <c r="AS17416" s="19"/>
      <c r="AT17416" s="19"/>
      <c r="AU17416" s="19"/>
    </row>
    <row r="17417" spans="3:47">
      <c r="C17417" s="20"/>
      <c r="Z17417" s="20"/>
      <c r="AG17417" s="20"/>
      <c r="AQ17417" s="19"/>
      <c r="AR17417" s="19"/>
      <c r="AS17417" s="19"/>
      <c r="AT17417" s="19"/>
      <c r="AU17417" s="19"/>
    </row>
    <row r="17418" spans="3:47">
      <c r="C17418" s="20"/>
      <c r="Z17418" s="20"/>
      <c r="AG17418" s="20"/>
      <c r="AQ17418" s="19"/>
      <c r="AR17418" s="19"/>
      <c r="AS17418" s="19"/>
      <c r="AT17418" s="19"/>
      <c r="AU17418" s="19"/>
    </row>
    <row r="17419" spans="3:47">
      <c r="C17419" s="20"/>
      <c r="Z17419" s="20"/>
      <c r="AG17419" s="20"/>
      <c r="AQ17419" s="19"/>
      <c r="AR17419" s="19"/>
      <c r="AS17419" s="19"/>
      <c r="AT17419" s="19"/>
      <c r="AU17419" s="19"/>
    </row>
    <row r="17420" spans="3:47">
      <c r="C17420" s="20"/>
      <c r="Z17420" s="20"/>
      <c r="AG17420" s="20"/>
      <c r="AQ17420" s="19"/>
      <c r="AR17420" s="19"/>
      <c r="AS17420" s="19"/>
      <c r="AT17420" s="19"/>
      <c r="AU17420" s="19"/>
    </row>
    <row r="17421" spans="3:47">
      <c r="C17421" s="20"/>
      <c r="Z17421" s="20"/>
      <c r="AG17421" s="20"/>
      <c r="AQ17421" s="19"/>
      <c r="AR17421" s="19"/>
      <c r="AS17421" s="19"/>
      <c r="AT17421" s="19"/>
      <c r="AU17421" s="19"/>
    </row>
    <row r="17422" spans="3:47">
      <c r="C17422" s="20"/>
      <c r="Z17422" s="20"/>
      <c r="AG17422" s="20"/>
      <c r="AQ17422" s="19"/>
      <c r="AR17422" s="19"/>
      <c r="AS17422" s="19"/>
      <c r="AT17422" s="19"/>
      <c r="AU17422" s="19"/>
    </row>
    <row r="17423" spans="3:47">
      <c r="C17423" s="20"/>
      <c r="Z17423" s="20"/>
      <c r="AG17423" s="20"/>
      <c r="AQ17423" s="19"/>
      <c r="AR17423" s="19"/>
      <c r="AS17423" s="19"/>
      <c r="AT17423" s="19"/>
      <c r="AU17423" s="19"/>
    </row>
    <row r="17424" spans="3:47">
      <c r="C17424" s="20"/>
      <c r="Z17424" s="20"/>
      <c r="AG17424" s="20"/>
      <c r="AQ17424" s="19"/>
      <c r="AR17424" s="19"/>
      <c r="AS17424" s="19"/>
      <c r="AT17424" s="19"/>
      <c r="AU17424" s="19"/>
    </row>
    <row r="17425" spans="3:47">
      <c r="C17425" s="20"/>
      <c r="Z17425" s="20"/>
      <c r="AG17425" s="20"/>
      <c r="AQ17425" s="19"/>
      <c r="AR17425" s="19"/>
      <c r="AS17425" s="19"/>
      <c r="AT17425" s="19"/>
      <c r="AU17425" s="19"/>
    </row>
    <row r="17426" spans="3:47">
      <c r="C17426" s="20"/>
      <c r="Z17426" s="20"/>
      <c r="AG17426" s="20"/>
      <c r="AQ17426" s="19"/>
      <c r="AR17426" s="19"/>
      <c r="AS17426" s="19"/>
      <c r="AT17426" s="19"/>
      <c r="AU17426" s="19"/>
    </row>
    <row r="17427" spans="3:47">
      <c r="C17427" s="20"/>
      <c r="Z17427" s="20"/>
      <c r="AG17427" s="20"/>
      <c r="AQ17427" s="19"/>
      <c r="AR17427" s="19"/>
      <c r="AS17427" s="19"/>
      <c r="AT17427" s="19"/>
      <c r="AU17427" s="19"/>
    </row>
    <row r="17428" spans="3:47">
      <c r="C17428" s="20"/>
      <c r="Z17428" s="20"/>
      <c r="AG17428" s="20"/>
      <c r="AQ17428" s="19"/>
      <c r="AR17428" s="19"/>
      <c r="AS17428" s="19"/>
      <c r="AT17428" s="19"/>
      <c r="AU17428" s="19"/>
    </row>
    <row r="17429" spans="3:47">
      <c r="C17429" s="20"/>
      <c r="Z17429" s="20"/>
      <c r="AG17429" s="20"/>
      <c r="AQ17429" s="19"/>
      <c r="AR17429" s="19"/>
      <c r="AS17429" s="19"/>
      <c r="AT17429" s="19"/>
      <c r="AU17429" s="19"/>
    </row>
    <row r="17430" spans="3:47">
      <c r="C17430" s="20"/>
      <c r="Z17430" s="20"/>
      <c r="AG17430" s="20"/>
      <c r="AQ17430" s="19"/>
      <c r="AR17430" s="19"/>
      <c r="AS17430" s="19"/>
      <c r="AT17430" s="19"/>
      <c r="AU17430" s="19"/>
    </row>
    <row r="17431" spans="3:47">
      <c r="C17431" s="20"/>
      <c r="Z17431" s="20"/>
      <c r="AG17431" s="20"/>
      <c r="AQ17431" s="19"/>
      <c r="AR17431" s="19"/>
      <c r="AS17431" s="19"/>
      <c r="AT17431" s="19"/>
      <c r="AU17431" s="19"/>
    </row>
    <row r="17432" spans="3:47">
      <c r="C17432" s="20"/>
      <c r="Z17432" s="20"/>
      <c r="AG17432" s="20"/>
      <c r="AQ17432" s="19"/>
      <c r="AR17432" s="19"/>
      <c r="AS17432" s="19"/>
      <c r="AT17432" s="19"/>
      <c r="AU17432" s="19"/>
    </row>
    <row r="17433" spans="3:47">
      <c r="C17433" s="20"/>
      <c r="Z17433" s="20"/>
      <c r="AG17433" s="20"/>
      <c r="AQ17433" s="19"/>
      <c r="AR17433" s="19"/>
      <c r="AS17433" s="19"/>
      <c r="AT17433" s="19"/>
      <c r="AU17433" s="19"/>
    </row>
    <row r="17434" spans="3:47">
      <c r="C17434" s="20"/>
      <c r="Z17434" s="20"/>
      <c r="AG17434" s="20"/>
      <c r="AQ17434" s="19"/>
      <c r="AR17434" s="19"/>
      <c r="AS17434" s="19"/>
      <c r="AT17434" s="19"/>
      <c r="AU17434" s="19"/>
    </row>
    <row r="17435" spans="3:47">
      <c r="C17435" s="20"/>
      <c r="Z17435" s="20"/>
      <c r="AG17435" s="20"/>
      <c r="AQ17435" s="19"/>
      <c r="AR17435" s="19"/>
      <c r="AS17435" s="19"/>
      <c r="AT17435" s="19"/>
      <c r="AU17435" s="19"/>
    </row>
    <row r="17436" spans="3:47">
      <c r="C17436" s="20"/>
      <c r="Z17436" s="20"/>
      <c r="AG17436" s="20"/>
      <c r="AQ17436" s="19"/>
      <c r="AR17436" s="19"/>
      <c r="AS17436" s="19"/>
      <c r="AT17436" s="19"/>
      <c r="AU17436" s="19"/>
    </row>
    <row r="17437" spans="3:47">
      <c r="C17437" s="20"/>
      <c r="Z17437" s="20"/>
      <c r="AG17437" s="20"/>
      <c r="AQ17437" s="19"/>
      <c r="AR17437" s="19"/>
      <c r="AS17437" s="19"/>
      <c r="AT17437" s="19"/>
      <c r="AU17437" s="19"/>
    </row>
    <row r="17438" spans="3:47">
      <c r="C17438" s="20"/>
      <c r="Z17438" s="20"/>
      <c r="AG17438" s="20"/>
      <c r="AQ17438" s="19"/>
      <c r="AR17438" s="19"/>
      <c r="AS17438" s="19"/>
      <c r="AT17438" s="19"/>
      <c r="AU17438" s="19"/>
    </row>
    <row r="17439" spans="3:47">
      <c r="C17439" s="20"/>
      <c r="Z17439" s="20"/>
      <c r="AG17439" s="20"/>
      <c r="AQ17439" s="19"/>
      <c r="AR17439" s="19"/>
      <c r="AS17439" s="19"/>
      <c r="AT17439" s="19"/>
      <c r="AU17439" s="19"/>
    </row>
    <row r="17440" spans="3:47">
      <c r="C17440" s="20"/>
      <c r="Z17440" s="20"/>
      <c r="AG17440" s="20"/>
      <c r="AQ17440" s="19"/>
      <c r="AR17440" s="19"/>
      <c r="AS17440" s="19"/>
      <c r="AT17440" s="19"/>
      <c r="AU17440" s="19"/>
    </row>
    <row r="17441" spans="3:47">
      <c r="C17441" s="20"/>
      <c r="Z17441" s="20"/>
      <c r="AG17441" s="20"/>
      <c r="AQ17441" s="19"/>
      <c r="AR17441" s="19"/>
      <c r="AS17441" s="19"/>
      <c r="AT17441" s="19"/>
      <c r="AU17441" s="19"/>
    </row>
    <row r="17442" spans="3:47">
      <c r="C17442" s="20"/>
      <c r="Z17442" s="20"/>
      <c r="AG17442" s="20"/>
      <c r="AQ17442" s="19"/>
      <c r="AR17442" s="19"/>
      <c r="AS17442" s="19"/>
      <c r="AT17442" s="19"/>
      <c r="AU17442" s="19"/>
    </row>
    <row r="17443" spans="3:47">
      <c r="C17443" s="20"/>
      <c r="Z17443" s="20"/>
      <c r="AG17443" s="20"/>
      <c r="AQ17443" s="19"/>
      <c r="AR17443" s="19"/>
      <c r="AS17443" s="19"/>
      <c r="AT17443" s="19"/>
      <c r="AU17443" s="19"/>
    </row>
    <row r="17444" spans="3:47">
      <c r="C17444" s="20"/>
      <c r="Z17444" s="20"/>
      <c r="AG17444" s="20"/>
      <c r="AQ17444" s="19"/>
      <c r="AR17444" s="19"/>
      <c r="AS17444" s="19"/>
      <c r="AT17444" s="19"/>
      <c r="AU17444" s="19"/>
    </row>
    <row r="17445" spans="3:47">
      <c r="C17445" s="20"/>
      <c r="Z17445" s="20"/>
      <c r="AG17445" s="20"/>
      <c r="AQ17445" s="19"/>
      <c r="AR17445" s="19"/>
      <c r="AS17445" s="19"/>
      <c r="AT17445" s="19"/>
      <c r="AU17445" s="19"/>
    </row>
    <row r="17446" spans="3:47">
      <c r="C17446" s="20"/>
      <c r="Z17446" s="20"/>
      <c r="AG17446" s="20"/>
      <c r="AQ17446" s="19"/>
      <c r="AR17446" s="19"/>
      <c r="AS17446" s="19"/>
      <c r="AT17446" s="19"/>
      <c r="AU17446" s="19"/>
    </row>
    <row r="17447" spans="3:47">
      <c r="C17447" s="20"/>
      <c r="Z17447" s="20"/>
      <c r="AG17447" s="20"/>
      <c r="AQ17447" s="19"/>
      <c r="AR17447" s="19"/>
      <c r="AS17447" s="19"/>
      <c r="AT17447" s="19"/>
      <c r="AU17447" s="19"/>
    </row>
    <row r="17448" spans="3:47">
      <c r="C17448" s="20"/>
      <c r="Z17448" s="20"/>
      <c r="AG17448" s="20"/>
      <c r="AQ17448" s="19"/>
      <c r="AR17448" s="19"/>
      <c r="AS17448" s="19"/>
      <c r="AT17448" s="19"/>
      <c r="AU17448" s="19"/>
    </row>
    <row r="17449" spans="3:47">
      <c r="C17449" s="20"/>
      <c r="Z17449" s="20"/>
      <c r="AG17449" s="20"/>
      <c r="AQ17449" s="19"/>
      <c r="AR17449" s="19"/>
      <c r="AS17449" s="19"/>
      <c r="AT17449" s="19"/>
      <c r="AU17449" s="19"/>
    </row>
    <row r="17450" spans="3:47">
      <c r="C17450" s="20"/>
      <c r="Z17450" s="20"/>
      <c r="AG17450" s="20"/>
      <c r="AQ17450" s="19"/>
      <c r="AR17450" s="19"/>
      <c r="AS17450" s="19"/>
      <c r="AT17450" s="19"/>
      <c r="AU17450" s="19"/>
    </row>
    <row r="17451" spans="3:47">
      <c r="C17451" s="20"/>
      <c r="Z17451" s="20"/>
      <c r="AG17451" s="20"/>
      <c r="AQ17451" s="19"/>
      <c r="AR17451" s="19"/>
      <c r="AS17451" s="19"/>
      <c r="AT17451" s="19"/>
      <c r="AU17451" s="19"/>
    </row>
    <row r="17452" spans="3:47">
      <c r="C17452" s="20"/>
      <c r="Z17452" s="20"/>
      <c r="AG17452" s="20"/>
      <c r="AQ17452" s="19"/>
      <c r="AR17452" s="19"/>
      <c r="AS17452" s="19"/>
      <c r="AT17452" s="19"/>
      <c r="AU17452" s="19"/>
    </row>
    <row r="17453" spans="3:47">
      <c r="C17453" s="20"/>
      <c r="Z17453" s="20"/>
      <c r="AG17453" s="20"/>
      <c r="AQ17453" s="19"/>
      <c r="AR17453" s="19"/>
      <c r="AS17453" s="19"/>
      <c r="AT17453" s="19"/>
      <c r="AU17453" s="19"/>
    </row>
    <row r="17454" spans="3:47">
      <c r="C17454" s="20"/>
      <c r="Z17454" s="20"/>
      <c r="AG17454" s="20"/>
      <c r="AQ17454" s="19"/>
      <c r="AR17454" s="19"/>
      <c r="AS17454" s="19"/>
      <c r="AT17454" s="19"/>
      <c r="AU17454" s="19"/>
    </row>
    <row r="17455" spans="3:47">
      <c r="C17455" s="20"/>
      <c r="Z17455" s="20"/>
      <c r="AG17455" s="20"/>
      <c r="AQ17455" s="19"/>
      <c r="AR17455" s="19"/>
      <c r="AS17455" s="19"/>
      <c r="AT17455" s="19"/>
      <c r="AU17455" s="19"/>
    </row>
    <row r="17456" spans="3:47">
      <c r="C17456" s="20"/>
      <c r="Z17456" s="20"/>
      <c r="AG17456" s="20"/>
      <c r="AQ17456" s="19"/>
      <c r="AR17456" s="19"/>
      <c r="AS17456" s="19"/>
      <c r="AT17456" s="19"/>
      <c r="AU17456" s="19"/>
    </row>
    <row r="17457" spans="3:47">
      <c r="C17457" s="20"/>
      <c r="Z17457" s="20"/>
      <c r="AG17457" s="20"/>
      <c r="AQ17457" s="19"/>
      <c r="AR17457" s="19"/>
      <c r="AS17457" s="19"/>
      <c r="AT17457" s="19"/>
      <c r="AU17457" s="19"/>
    </row>
    <row r="17458" spans="3:47">
      <c r="C17458" s="20"/>
      <c r="Z17458" s="20"/>
      <c r="AG17458" s="20"/>
      <c r="AQ17458" s="19"/>
      <c r="AR17458" s="19"/>
      <c r="AS17458" s="19"/>
      <c r="AT17458" s="19"/>
      <c r="AU17458" s="19"/>
    </row>
    <row r="17459" spans="3:47">
      <c r="C17459" s="20"/>
      <c r="Z17459" s="20"/>
      <c r="AG17459" s="20"/>
      <c r="AQ17459" s="19"/>
      <c r="AR17459" s="19"/>
      <c r="AS17459" s="19"/>
      <c r="AT17459" s="19"/>
      <c r="AU17459" s="19"/>
    </row>
    <row r="17460" spans="3:47">
      <c r="C17460" s="20"/>
      <c r="Z17460" s="20"/>
      <c r="AG17460" s="20"/>
      <c r="AQ17460" s="19"/>
      <c r="AR17460" s="19"/>
      <c r="AS17460" s="19"/>
      <c r="AT17460" s="19"/>
      <c r="AU17460" s="19"/>
    </row>
    <row r="17461" spans="3:47">
      <c r="C17461" s="20"/>
      <c r="Z17461" s="20"/>
      <c r="AG17461" s="20"/>
      <c r="AQ17461" s="19"/>
      <c r="AR17461" s="19"/>
      <c r="AS17461" s="19"/>
      <c r="AT17461" s="19"/>
      <c r="AU17461" s="19"/>
    </row>
    <row r="17462" spans="3:47">
      <c r="C17462" s="20"/>
      <c r="Z17462" s="20"/>
      <c r="AG17462" s="20"/>
      <c r="AQ17462" s="19"/>
      <c r="AR17462" s="19"/>
      <c r="AS17462" s="19"/>
      <c r="AT17462" s="19"/>
      <c r="AU17462" s="19"/>
    </row>
    <row r="17463" spans="3:47">
      <c r="C17463" s="20"/>
      <c r="Z17463" s="20"/>
      <c r="AG17463" s="20"/>
      <c r="AQ17463" s="19"/>
      <c r="AR17463" s="19"/>
      <c r="AS17463" s="19"/>
      <c r="AT17463" s="19"/>
      <c r="AU17463" s="19"/>
    </row>
    <row r="17464" spans="3:47">
      <c r="C17464" s="20"/>
      <c r="Z17464" s="20"/>
      <c r="AG17464" s="20"/>
      <c r="AQ17464" s="19"/>
      <c r="AR17464" s="19"/>
      <c r="AS17464" s="19"/>
      <c r="AT17464" s="19"/>
      <c r="AU17464" s="19"/>
    </row>
    <row r="17465" spans="3:47">
      <c r="C17465" s="20"/>
      <c r="Z17465" s="20"/>
      <c r="AG17465" s="20"/>
      <c r="AQ17465" s="19"/>
      <c r="AR17465" s="19"/>
      <c r="AS17465" s="19"/>
      <c r="AT17465" s="19"/>
      <c r="AU17465" s="19"/>
    </row>
    <row r="17466" spans="3:47">
      <c r="C17466" s="20"/>
      <c r="Z17466" s="20"/>
      <c r="AG17466" s="20"/>
      <c r="AQ17466" s="19"/>
      <c r="AR17466" s="19"/>
      <c r="AS17466" s="19"/>
      <c r="AT17466" s="19"/>
      <c r="AU17466" s="19"/>
    </row>
    <row r="17467" spans="3:47">
      <c r="C17467" s="20"/>
      <c r="Z17467" s="20"/>
      <c r="AG17467" s="20"/>
      <c r="AQ17467" s="19"/>
      <c r="AR17467" s="19"/>
      <c r="AS17467" s="19"/>
      <c r="AT17467" s="19"/>
      <c r="AU17467" s="19"/>
    </row>
    <row r="17468" spans="3:47">
      <c r="C17468" s="20"/>
      <c r="Z17468" s="20"/>
      <c r="AG17468" s="20"/>
      <c r="AQ17468" s="19"/>
      <c r="AR17468" s="19"/>
      <c r="AS17468" s="19"/>
      <c r="AT17468" s="19"/>
      <c r="AU17468" s="19"/>
    </row>
    <row r="17469" spans="3:47">
      <c r="C17469" s="20"/>
      <c r="Z17469" s="20"/>
      <c r="AG17469" s="20"/>
      <c r="AQ17469" s="19"/>
      <c r="AR17469" s="19"/>
      <c r="AS17469" s="19"/>
      <c r="AT17469" s="19"/>
      <c r="AU17469" s="19"/>
    </row>
    <row r="17470" spans="3:47">
      <c r="C17470" s="20"/>
      <c r="Z17470" s="20"/>
      <c r="AG17470" s="20"/>
      <c r="AQ17470" s="19"/>
      <c r="AR17470" s="19"/>
      <c r="AS17470" s="19"/>
      <c r="AT17470" s="19"/>
      <c r="AU17470" s="19"/>
    </row>
    <row r="17471" spans="3:47">
      <c r="C17471" s="20"/>
      <c r="Z17471" s="20"/>
      <c r="AG17471" s="20"/>
      <c r="AQ17471" s="19"/>
      <c r="AR17471" s="19"/>
      <c r="AS17471" s="19"/>
      <c r="AT17471" s="19"/>
      <c r="AU17471" s="19"/>
    </row>
    <row r="17472" spans="3:47">
      <c r="C17472" s="20"/>
      <c r="Z17472" s="20"/>
      <c r="AG17472" s="20"/>
      <c r="AQ17472" s="19"/>
      <c r="AR17472" s="19"/>
      <c r="AS17472" s="19"/>
      <c r="AT17472" s="19"/>
      <c r="AU17472" s="19"/>
    </row>
    <row r="17473" spans="3:47">
      <c r="C17473" s="20"/>
      <c r="Z17473" s="20"/>
      <c r="AG17473" s="20"/>
      <c r="AQ17473" s="19"/>
      <c r="AR17473" s="19"/>
      <c r="AS17473" s="19"/>
      <c r="AT17473" s="19"/>
      <c r="AU17473" s="19"/>
    </row>
    <row r="17474" spans="3:47">
      <c r="C17474" s="20"/>
      <c r="Z17474" s="20"/>
      <c r="AG17474" s="20"/>
      <c r="AQ17474" s="19"/>
      <c r="AR17474" s="19"/>
      <c r="AS17474" s="19"/>
      <c r="AT17474" s="19"/>
      <c r="AU17474" s="19"/>
    </row>
    <row r="17475" spans="3:47">
      <c r="C17475" s="20"/>
      <c r="Z17475" s="20"/>
      <c r="AG17475" s="20"/>
      <c r="AQ17475" s="19"/>
      <c r="AR17475" s="19"/>
      <c r="AS17475" s="19"/>
      <c r="AT17475" s="19"/>
      <c r="AU17475" s="19"/>
    </row>
    <row r="17476" spans="3:47">
      <c r="C17476" s="20"/>
      <c r="Z17476" s="20"/>
      <c r="AG17476" s="20"/>
      <c r="AQ17476" s="19"/>
      <c r="AR17476" s="19"/>
      <c r="AS17476" s="19"/>
      <c r="AT17476" s="19"/>
      <c r="AU17476" s="19"/>
    </row>
    <row r="17477" spans="3:47">
      <c r="C17477" s="20"/>
      <c r="Z17477" s="20"/>
      <c r="AG17477" s="20"/>
      <c r="AQ17477" s="19"/>
      <c r="AR17477" s="19"/>
      <c r="AS17477" s="19"/>
      <c r="AT17477" s="19"/>
      <c r="AU17477" s="19"/>
    </row>
    <row r="17478" spans="3:47">
      <c r="C17478" s="20"/>
      <c r="Z17478" s="20"/>
      <c r="AG17478" s="20"/>
      <c r="AQ17478" s="19"/>
      <c r="AR17478" s="19"/>
      <c r="AS17478" s="19"/>
      <c r="AT17478" s="19"/>
      <c r="AU17478" s="19"/>
    </row>
    <row r="17479" spans="3:47">
      <c r="C17479" s="20"/>
      <c r="Z17479" s="20"/>
      <c r="AG17479" s="20"/>
      <c r="AQ17479" s="19"/>
      <c r="AR17479" s="19"/>
      <c r="AS17479" s="19"/>
      <c r="AT17479" s="19"/>
      <c r="AU17479" s="19"/>
    </row>
    <row r="17480" spans="3:47">
      <c r="C17480" s="20"/>
      <c r="Z17480" s="20"/>
      <c r="AG17480" s="20"/>
      <c r="AQ17480" s="19"/>
      <c r="AR17480" s="19"/>
      <c r="AS17480" s="19"/>
      <c r="AT17480" s="19"/>
      <c r="AU17480" s="19"/>
    </row>
    <row r="17481" spans="3:47">
      <c r="C17481" s="20"/>
      <c r="Z17481" s="20"/>
      <c r="AG17481" s="20"/>
      <c r="AQ17481" s="19"/>
      <c r="AR17481" s="19"/>
      <c r="AS17481" s="19"/>
      <c r="AT17481" s="19"/>
      <c r="AU17481" s="19"/>
    </row>
    <row r="17482" spans="3:47">
      <c r="C17482" s="20"/>
      <c r="Z17482" s="20"/>
      <c r="AG17482" s="20"/>
      <c r="AQ17482" s="19"/>
      <c r="AR17482" s="19"/>
      <c r="AS17482" s="19"/>
      <c r="AT17482" s="19"/>
      <c r="AU17482" s="19"/>
    </row>
    <row r="17483" spans="3:47">
      <c r="C17483" s="20"/>
      <c r="Z17483" s="20"/>
      <c r="AG17483" s="20"/>
      <c r="AQ17483" s="19"/>
      <c r="AR17483" s="19"/>
      <c r="AS17483" s="19"/>
      <c r="AT17483" s="19"/>
      <c r="AU17483" s="19"/>
    </row>
    <row r="17484" spans="3:47">
      <c r="C17484" s="20"/>
      <c r="Z17484" s="20"/>
      <c r="AG17484" s="20"/>
      <c r="AQ17484" s="19"/>
      <c r="AR17484" s="19"/>
      <c r="AS17484" s="19"/>
      <c r="AT17484" s="19"/>
      <c r="AU17484" s="19"/>
    </row>
    <row r="17485" spans="3:47">
      <c r="C17485" s="20"/>
      <c r="Z17485" s="20"/>
      <c r="AG17485" s="20"/>
      <c r="AQ17485" s="19"/>
      <c r="AR17485" s="19"/>
      <c r="AS17485" s="19"/>
      <c r="AT17485" s="19"/>
      <c r="AU17485" s="19"/>
    </row>
    <row r="17486" spans="3:47">
      <c r="C17486" s="20"/>
      <c r="Z17486" s="20"/>
      <c r="AG17486" s="20"/>
      <c r="AQ17486" s="19"/>
      <c r="AR17486" s="19"/>
      <c r="AS17486" s="19"/>
      <c r="AT17486" s="19"/>
      <c r="AU17486" s="19"/>
    </row>
    <row r="17487" spans="3:47">
      <c r="C17487" s="20"/>
      <c r="Z17487" s="20"/>
      <c r="AG17487" s="20"/>
      <c r="AQ17487" s="19"/>
      <c r="AR17487" s="19"/>
      <c r="AS17487" s="19"/>
      <c r="AT17487" s="19"/>
      <c r="AU17487" s="19"/>
    </row>
    <row r="17488" spans="3:47">
      <c r="C17488" s="20"/>
      <c r="Z17488" s="20"/>
      <c r="AG17488" s="20"/>
      <c r="AQ17488" s="19"/>
      <c r="AR17488" s="19"/>
      <c r="AS17488" s="19"/>
      <c r="AT17488" s="19"/>
      <c r="AU17488" s="19"/>
    </row>
    <row r="17489" spans="3:47">
      <c r="C17489" s="20"/>
      <c r="Z17489" s="20"/>
      <c r="AG17489" s="20"/>
      <c r="AQ17489" s="19"/>
      <c r="AR17489" s="19"/>
      <c r="AS17489" s="19"/>
      <c r="AT17489" s="19"/>
      <c r="AU17489" s="19"/>
    </row>
    <row r="17490" spans="3:47">
      <c r="C17490" s="20"/>
      <c r="Z17490" s="20"/>
      <c r="AG17490" s="20"/>
      <c r="AQ17490" s="19"/>
      <c r="AR17490" s="19"/>
      <c r="AS17490" s="19"/>
      <c r="AT17490" s="19"/>
      <c r="AU17490" s="19"/>
    </row>
    <row r="17491" spans="3:47">
      <c r="C17491" s="20"/>
      <c r="Z17491" s="20"/>
      <c r="AG17491" s="20"/>
      <c r="AQ17491" s="19"/>
      <c r="AR17491" s="19"/>
      <c r="AS17491" s="19"/>
      <c r="AT17491" s="19"/>
      <c r="AU17491" s="19"/>
    </row>
    <row r="17492" spans="3:47">
      <c r="C17492" s="20"/>
      <c r="Z17492" s="20"/>
      <c r="AG17492" s="20"/>
      <c r="AQ17492" s="19"/>
      <c r="AR17492" s="19"/>
      <c r="AS17492" s="19"/>
      <c r="AT17492" s="19"/>
      <c r="AU17492" s="19"/>
    </row>
    <row r="17493" spans="3:47">
      <c r="C17493" s="20"/>
      <c r="Z17493" s="20"/>
      <c r="AG17493" s="20"/>
      <c r="AQ17493" s="19"/>
      <c r="AR17493" s="19"/>
      <c r="AS17493" s="19"/>
      <c r="AT17493" s="19"/>
      <c r="AU17493" s="19"/>
    </row>
    <row r="17494" spans="3:47">
      <c r="C17494" s="20"/>
      <c r="Z17494" s="20"/>
      <c r="AG17494" s="20"/>
      <c r="AQ17494" s="19"/>
      <c r="AR17494" s="19"/>
      <c r="AS17494" s="19"/>
      <c r="AT17494" s="19"/>
      <c r="AU17494" s="19"/>
    </row>
    <row r="17495" spans="3:47">
      <c r="C17495" s="20"/>
      <c r="Z17495" s="20"/>
      <c r="AG17495" s="20"/>
      <c r="AQ17495" s="19"/>
      <c r="AR17495" s="19"/>
      <c r="AS17495" s="19"/>
      <c r="AT17495" s="19"/>
      <c r="AU17495" s="19"/>
    </row>
    <row r="17496" spans="3:47">
      <c r="C17496" s="20"/>
      <c r="Z17496" s="20"/>
      <c r="AG17496" s="20"/>
      <c r="AQ17496" s="19"/>
      <c r="AR17496" s="19"/>
      <c r="AS17496" s="19"/>
      <c r="AT17496" s="19"/>
      <c r="AU17496" s="19"/>
    </row>
    <row r="17497" spans="3:47">
      <c r="C17497" s="20"/>
      <c r="Z17497" s="20"/>
      <c r="AG17497" s="20"/>
      <c r="AQ17497" s="19"/>
      <c r="AR17497" s="19"/>
      <c r="AS17497" s="19"/>
      <c r="AT17497" s="19"/>
      <c r="AU17497" s="19"/>
    </row>
    <row r="17498" spans="3:47">
      <c r="C17498" s="20"/>
      <c r="Z17498" s="20"/>
      <c r="AG17498" s="20"/>
      <c r="AQ17498" s="19"/>
      <c r="AR17498" s="19"/>
      <c r="AS17498" s="19"/>
      <c r="AT17498" s="19"/>
      <c r="AU17498" s="19"/>
    </row>
    <row r="17499" spans="3:47">
      <c r="C17499" s="20"/>
      <c r="Z17499" s="20"/>
      <c r="AG17499" s="20"/>
      <c r="AQ17499" s="19"/>
      <c r="AR17499" s="19"/>
      <c r="AS17499" s="19"/>
      <c r="AT17499" s="19"/>
      <c r="AU17499" s="19"/>
    </row>
    <row r="17500" spans="3:47">
      <c r="C17500" s="20"/>
      <c r="Z17500" s="20"/>
      <c r="AG17500" s="20"/>
      <c r="AQ17500" s="19"/>
      <c r="AR17500" s="19"/>
      <c r="AS17500" s="19"/>
      <c r="AT17500" s="19"/>
      <c r="AU17500" s="19"/>
    </row>
    <row r="17501" spans="3:47">
      <c r="C17501" s="20"/>
      <c r="Z17501" s="20"/>
      <c r="AG17501" s="20"/>
      <c r="AQ17501" s="19"/>
      <c r="AR17501" s="19"/>
      <c r="AS17501" s="19"/>
      <c r="AT17501" s="19"/>
      <c r="AU17501" s="19"/>
    </row>
    <row r="17502" spans="3:47">
      <c r="C17502" s="20"/>
      <c r="Z17502" s="20"/>
      <c r="AG17502" s="20"/>
      <c r="AQ17502" s="19"/>
      <c r="AR17502" s="19"/>
      <c r="AS17502" s="19"/>
      <c r="AT17502" s="19"/>
      <c r="AU17502" s="19"/>
    </row>
    <row r="17503" spans="3:47">
      <c r="C17503" s="20"/>
      <c r="Z17503" s="20"/>
      <c r="AG17503" s="20"/>
      <c r="AQ17503" s="19"/>
      <c r="AR17503" s="19"/>
      <c r="AS17503" s="19"/>
      <c r="AT17503" s="19"/>
      <c r="AU17503" s="19"/>
    </row>
    <row r="17504" spans="3:47">
      <c r="C17504" s="20"/>
      <c r="Z17504" s="20"/>
      <c r="AG17504" s="20"/>
      <c r="AQ17504" s="19"/>
      <c r="AR17504" s="19"/>
      <c r="AS17504" s="19"/>
      <c r="AT17504" s="19"/>
      <c r="AU17504" s="19"/>
    </row>
    <row r="17505" spans="3:47">
      <c r="C17505" s="20"/>
      <c r="Z17505" s="20"/>
      <c r="AG17505" s="20"/>
      <c r="AQ17505" s="19"/>
      <c r="AR17505" s="19"/>
      <c r="AS17505" s="19"/>
      <c r="AT17505" s="19"/>
      <c r="AU17505" s="19"/>
    </row>
    <row r="17506" spans="3:47">
      <c r="C17506" s="20"/>
      <c r="Z17506" s="20"/>
      <c r="AG17506" s="20"/>
      <c r="AQ17506" s="19"/>
      <c r="AR17506" s="19"/>
      <c r="AS17506" s="19"/>
      <c r="AT17506" s="19"/>
      <c r="AU17506" s="19"/>
    </row>
    <row r="17507" spans="3:47">
      <c r="C17507" s="20"/>
      <c r="Z17507" s="20"/>
      <c r="AG17507" s="20"/>
      <c r="AQ17507" s="19"/>
      <c r="AR17507" s="19"/>
      <c r="AS17507" s="19"/>
      <c r="AT17507" s="19"/>
      <c r="AU17507" s="19"/>
    </row>
    <row r="17508" spans="3:47">
      <c r="C17508" s="20"/>
      <c r="Z17508" s="20"/>
      <c r="AG17508" s="20"/>
      <c r="AQ17508" s="19"/>
      <c r="AR17508" s="19"/>
      <c r="AS17508" s="19"/>
      <c r="AT17508" s="19"/>
      <c r="AU17508" s="19"/>
    </row>
    <row r="17509" spans="3:47">
      <c r="C17509" s="20"/>
      <c r="Z17509" s="20"/>
      <c r="AG17509" s="20"/>
      <c r="AQ17509" s="19"/>
      <c r="AR17509" s="19"/>
      <c r="AS17509" s="19"/>
      <c r="AT17509" s="19"/>
      <c r="AU17509" s="19"/>
    </row>
    <row r="17510" spans="3:47">
      <c r="C17510" s="20"/>
      <c r="Z17510" s="20"/>
      <c r="AG17510" s="20"/>
      <c r="AQ17510" s="19"/>
      <c r="AR17510" s="19"/>
      <c r="AS17510" s="19"/>
      <c r="AT17510" s="19"/>
      <c r="AU17510" s="19"/>
    </row>
    <row r="17511" spans="3:47">
      <c r="C17511" s="20"/>
      <c r="Z17511" s="20"/>
      <c r="AG17511" s="20"/>
      <c r="AQ17511" s="19"/>
      <c r="AR17511" s="19"/>
      <c r="AS17511" s="19"/>
      <c r="AT17511" s="19"/>
      <c r="AU17511" s="19"/>
    </row>
    <row r="17512" spans="3:47">
      <c r="C17512" s="20"/>
      <c r="Z17512" s="20"/>
      <c r="AG17512" s="20"/>
      <c r="AQ17512" s="19"/>
      <c r="AR17512" s="19"/>
      <c r="AS17512" s="19"/>
      <c r="AT17512" s="19"/>
      <c r="AU17512" s="19"/>
    </row>
    <row r="17513" spans="3:47">
      <c r="C17513" s="20"/>
      <c r="Z17513" s="20"/>
      <c r="AG17513" s="20"/>
      <c r="AQ17513" s="19"/>
      <c r="AR17513" s="19"/>
      <c r="AS17513" s="19"/>
      <c r="AT17513" s="19"/>
      <c r="AU17513" s="19"/>
    </row>
    <row r="17514" spans="3:47">
      <c r="C17514" s="20"/>
      <c r="Z17514" s="20"/>
      <c r="AG17514" s="20"/>
      <c r="AQ17514" s="19"/>
      <c r="AR17514" s="19"/>
      <c r="AS17514" s="19"/>
      <c r="AT17514" s="19"/>
      <c r="AU17514" s="19"/>
    </row>
    <row r="17515" spans="3:47">
      <c r="C17515" s="20"/>
      <c r="Z17515" s="20"/>
      <c r="AG17515" s="20"/>
      <c r="AQ17515" s="19"/>
      <c r="AR17515" s="19"/>
      <c r="AS17515" s="19"/>
      <c r="AT17515" s="19"/>
      <c r="AU17515" s="19"/>
    </row>
    <row r="17516" spans="3:47">
      <c r="C17516" s="20"/>
      <c r="Z17516" s="20"/>
      <c r="AG17516" s="20"/>
      <c r="AQ17516" s="19"/>
      <c r="AR17516" s="19"/>
      <c r="AS17516" s="19"/>
      <c r="AT17516" s="19"/>
      <c r="AU17516" s="19"/>
    </row>
    <row r="17517" spans="3:47">
      <c r="C17517" s="20"/>
      <c r="Z17517" s="20"/>
      <c r="AG17517" s="20"/>
      <c r="AQ17517" s="19"/>
      <c r="AR17517" s="19"/>
      <c r="AS17517" s="19"/>
      <c r="AT17517" s="19"/>
      <c r="AU17517" s="19"/>
    </row>
    <row r="17518" spans="3:47">
      <c r="C17518" s="20"/>
      <c r="Z17518" s="20"/>
      <c r="AG17518" s="20"/>
      <c r="AQ17518" s="19"/>
      <c r="AR17518" s="19"/>
      <c r="AS17518" s="19"/>
      <c r="AT17518" s="19"/>
      <c r="AU17518" s="19"/>
    </row>
    <row r="17519" spans="3:47">
      <c r="C17519" s="20"/>
      <c r="Z17519" s="20"/>
      <c r="AG17519" s="20"/>
      <c r="AQ17519" s="19"/>
      <c r="AR17519" s="19"/>
      <c r="AS17519" s="19"/>
      <c r="AT17519" s="19"/>
      <c r="AU17519" s="19"/>
    </row>
    <row r="17520" spans="3:47">
      <c r="C17520" s="20"/>
      <c r="Z17520" s="20"/>
      <c r="AG17520" s="20"/>
      <c r="AQ17520" s="19"/>
      <c r="AR17520" s="19"/>
      <c r="AS17520" s="19"/>
      <c r="AT17520" s="19"/>
      <c r="AU17520" s="19"/>
    </row>
    <row r="17521" spans="3:47">
      <c r="C17521" s="20"/>
      <c r="Z17521" s="20"/>
      <c r="AG17521" s="20"/>
      <c r="AQ17521" s="19"/>
      <c r="AR17521" s="19"/>
      <c r="AS17521" s="19"/>
      <c r="AT17521" s="19"/>
      <c r="AU17521" s="19"/>
    </row>
    <row r="17522" spans="3:47">
      <c r="C17522" s="20"/>
      <c r="Z17522" s="20"/>
      <c r="AG17522" s="20"/>
      <c r="AQ17522" s="19"/>
      <c r="AR17522" s="19"/>
      <c r="AS17522" s="19"/>
      <c r="AT17522" s="19"/>
      <c r="AU17522" s="19"/>
    </row>
    <row r="17523" spans="3:47">
      <c r="C17523" s="20"/>
      <c r="Z17523" s="20"/>
      <c r="AG17523" s="20"/>
      <c r="AQ17523" s="19"/>
      <c r="AR17523" s="19"/>
      <c r="AS17523" s="19"/>
      <c r="AT17523" s="19"/>
      <c r="AU17523" s="19"/>
    </row>
    <row r="17524" spans="3:47">
      <c r="C17524" s="20"/>
      <c r="Z17524" s="20"/>
      <c r="AG17524" s="20"/>
      <c r="AQ17524" s="19"/>
      <c r="AR17524" s="19"/>
      <c r="AS17524" s="19"/>
      <c r="AT17524" s="19"/>
      <c r="AU17524" s="19"/>
    </row>
    <row r="17525" spans="3:47">
      <c r="C17525" s="20"/>
      <c r="Z17525" s="20"/>
      <c r="AG17525" s="20"/>
      <c r="AQ17525" s="19"/>
      <c r="AR17525" s="19"/>
      <c r="AS17525" s="19"/>
      <c r="AT17525" s="19"/>
      <c r="AU17525" s="19"/>
    </row>
    <row r="17526" spans="3:47">
      <c r="C17526" s="20"/>
      <c r="Z17526" s="20"/>
      <c r="AG17526" s="20"/>
      <c r="AQ17526" s="19"/>
      <c r="AR17526" s="19"/>
      <c r="AS17526" s="19"/>
      <c r="AT17526" s="19"/>
      <c r="AU17526" s="19"/>
    </row>
    <row r="17527" spans="3:47">
      <c r="C17527" s="20"/>
      <c r="Z17527" s="20"/>
      <c r="AG17527" s="20"/>
      <c r="AQ17527" s="19"/>
      <c r="AR17527" s="19"/>
      <c r="AS17527" s="19"/>
      <c r="AT17527" s="19"/>
      <c r="AU17527" s="19"/>
    </row>
    <row r="17528" spans="3:47">
      <c r="C17528" s="20"/>
      <c r="Z17528" s="20"/>
      <c r="AG17528" s="20"/>
      <c r="AQ17528" s="19"/>
      <c r="AR17528" s="19"/>
      <c r="AS17528" s="19"/>
      <c r="AT17528" s="19"/>
      <c r="AU17528" s="19"/>
    </row>
    <row r="17529" spans="3:47">
      <c r="C17529" s="20"/>
      <c r="Z17529" s="20"/>
      <c r="AG17529" s="20"/>
      <c r="AQ17529" s="19"/>
      <c r="AR17529" s="19"/>
      <c r="AS17529" s="19"/>
      <c r="AT17529" s="19"/>
      <c r="AU17529" s="19"/>
    </row>
    <row r="17530" spans="3:47">
      <c r="C17530" s="20"/>
      <c r="Z17530" s="20"/>
      <c r="AG17530" s="20"/>
      <c r="AQ17530" s="19"/>
      <c r="AR17530" s="19"/>
      <c r="AS17530" s="19"/>
      <c r="AT17530" s="19"/>
      <c r="AU17530" s="19"/>
    </row>
    <row r="17531" spans="3:47">
      <c r="C17531" s="20"/>
      <c r="Z17531" s="20"/>
      <c r="AG17531" s="20"/>
      <c r="AQ17531" s="19"/>
      <c r="AR17531" s="19"/>
      <c r="AS17531" s="19"/>
      <c r="AT17531" s="19"/>
      <c r="AU17531" s="19"/>
    </row>
    <row r="17532" spans="3:47">
      <c r="C17532" s="20"/>
      <c r="Z17532" s="20"/>
      <c r="AG17532" s="20"/>
      <c r="AQ17532" s="19"/>
      <c r="AR17532" s="19"/>
      <c r="AS17532" s="19"/>
      <c r="AT17532" s="19"/>
      <c r="AU17532" s="19"/>
    </row>
    <row r="17533" spans="3:47">
      <c r="C17533" s="20"/>
      <c r="Z17533" s="20"/>
      <c r="AG17533" s="20"/>
      <c r="AQ17533" s="19"/>
      <c r="AR17533" s="19"/>
      <c r="AS17533" s="19"/>
      <c r="AT17533" s="19"/>
      <c r="AU17533" s="19"/>
    </row>
    <row r="17534" spans="3:47">
      <c r="C17534" s="20"/>
      <c r="Z17534" s="20"/>
      <c r="AG17534" s="20"/>
      <c r="AQ17534" s="19"/>
      <c r="AR17534" s="19"/>
      <c r="AS17534" s="19"/>
      <c r="AT17534" s="19"/>
      <c r="AU17534" s="19"/>
    </row>
    <row r="17535" spans="3:47">
      <c r="C17535" s="20"/>
      <c r="Z17535" s="20"/>
      <c r="AG17535" s="20"/>
      <c r="AQ17535" s="19"/>
      <c r="AR17535" s="19"/>
      <c r="AS17535" s="19"/>
      <c r="AT17535" s="19"/>
      <c r="AU17535" s="19"/>
    </row>
    <row r="17536" spans="3:47">
      <c r="C17536" s="20"/>
      <c r="Z17536" s="20"/>
      <c r="AG17536" s="20"/>
      <c r="AQ17536" s="19"/>
      <c r="AR17536" s="19"/>
      <c r="AS17536" s="19"/>
      <c r="AT17536" s="19"/>
      <c r="AU17536" s="19"/>
    </row>
    <row r="17537" spans="3:47">
      <c r="C17537" s="20"/>
      <c r="Z17537" s="20"/>
      <c r="AG17537" s="20"/>
      <c r="AQ17537" s="19"/>
      <c r="AR17537" s="19"/>
      <c r="AS17537" s="19"/>
      <c r="AT17537" s="19"/>
      <c r="AU17537" s="19"/>
    </row>
    <row r="17538" spans="3:47">
      <c r="C17538" s="20"/>
      <c r="Z17538" s="20"/>
      <c r="AG17538" s="20"/>
      <c r="AQ17538" s="19"/>
      <c r="AR17538" s="19"/>
      <c r="AS17538" s="19"/>
      <c r="AT17538" s="19"/>
      <c r="AU17538" s="19"/>
    </row>
    <row r="17539" spans="3:47">
      <c r="C17539" s="20"/>
      <c r="Z17539" s="20"/>
      <c r="AG17539" s="20"/>
      <c r="AQ17539" s="19"/>
      <c r="AR17539" s="19"/>
      <c r="AS17539" s="19"/>
      <c r="AT17539" s="19"/>
      <c r="AU17539" s="19"/>
    </row>
    <row r="17540" spans="3:47">
      <c r="C17540" s="20"/>
      <c r="Z17540" s="20"/>
      <c r="AG17540" s="20"/>
      <c r="AQ17540" s="19"/>
      <c r="AR17540" s="19"/>
      <c r="AS17540" s="19"/>
      <c r="AT17540" s="19"/>
      <c r="AU17540" s="19"/>
    </row>
    <row r="17541" spans="3:47">
      <c r="C17541" s="20"/>
      <c r="Z17541" s="20"/>
      <c r="AG17541" s="20"/>
      <c r="AQ17541" s="19"/>
      <c r="AR17541" s="19"/>
      <c r="AS17541" s="19"/>
      <c r="AT17541" s="19"/>
      <c r="AU17541" s="19"/>
    </row>
    <row r="17542" spans="3:47">
      <c r="C17542" s="20"/>
      <c r="Z17542" s="20"/>
      <c r="AG17542" s="20"/>
      <c r="AQ17542" s="19"/>
      <c r="AR17542" s="19"/>
      <c r="AS17542" s="19"/>
      <c r="AT17542" s="19"/>
      <c r="AU17542" s="19"/>
    </row>
    <row r="17543" spans="3:47">
      <c r="C17543" s="20"/>
      <c r="Z17543" s="20"/>
      <c r="AG17543" s="20"/>
      <c r="AQ17543" s="19"/>
      <c r="AR17543" s="19"/>
      <c r="AS17543" s="19"/>
      <c r="AT17543" s="19"/>
      <c r="AU17543" s="19"/>
    </row>
    <row r="17544" spans="3:47">
      <c r="C17544" s="20"/>
      <c r="Z17544" s="20"/>
      <c r="AG17544" s="20"/>
      <c r="AQ17544" s="19"/>
      <c r="AR17544" s="19"/>
      <c r="AS17544" s="19"/>
      <c r="AT17544" s="19"/>
      <c r="AU17544" s="19"/>
    </row>
    <row r="17545" spans="3:47">
      <c r="C17545" s="20"/>
      <c r="Z17545" s="20"/>
      <c r="AG17545" s="20"/>
      <c r="AQ17545" s="19"/>
      <c r="AR17545" s="19"/>
      <c r="AS17545" s="19"/>
      <c r="AT17545" s="19"/>
      <c r="AU17545" s="19"/>
    </row>
    <row r="17546" spans="3:47">
      <c r="C17546" s="20"/>
      <c r="Z17546" s="20"/>
      <c r="AG17546" s="20"/>
      <c r="AQ17546" s="19"/>
      <c r="AR17546" s="19"/>
      <c r="AS17546" s="19"/>
      <c r="AT17546" s="19"/>
      <c r="AU17546" s="19"/>
    </row>
    <row r="17547" spans="3:47">
      <c r="C17547" s="20"/>
      <c r="Z17547" s="20"/>
      <c r="AG17547" s="20"/>
      <c r="AQ17547" s="19"/>
      <c r="AR17547" s="19"/>
      <c r="AS17547" s="19"/>
      <c r="AT17547" s="19"/>
      <c r="AU17547" s="19"/>
    </row>
    <row r="17548" spans="3:47">
      <c r="C17548" s="20"/>
      <c r="Z17548" s="20"/>
      <c r="AG17548" s="20"/>
      <c r="AQ17548" s="19"/>
      <c r="AR17548" s="19"/>
      <c r="AS17548" s="19"/>
      <c r="AT17548" s="19"/>
      <c r="AU17548" s="19"/>
    </row>
    <row r="17549" spans="3:47">
      <c r="C17549" s="20"/>
      <c r="Z17549" s="20"/>
      <c r="AG17549" s="20"/>
      <c r="AQ17549" s="19"/>
      <c r="AR17549" s="19"/>
      <c r="AS17549" s="19"/>
      <c r="AT17549" s="19"/>
      <c r="AU17549" s="19"/>
    </row>
    <row r="17550" spans="3:47">
      <c r="C17550" s="20"/>
      <c r="Z17550" s="20"/>
      <c r="AG17550" s="20"/>
      <c r="AQ17550" s="19"/>
      <c r="AR17550" s="19"/>
      <c r="AS17550" s="19"/>
      <c r="AT17550" s="19"/>
      <c r="AU17550" s="19"/>
    </row>
    <row r="17551" spans="3:47">
      <c r="C17551" s="20"/>
      <c r="Z17551" s="20"/>
      <c r="AG17551" s="20"/>
      <c r="AQ17551" s="19"/>
      <c r="AR17551" s="19"/>
      <c r="AS17551" s="19"/>
      <c r="AT17551" s="19"/>
      <c r="AU17551" s="19"/>
    </row>
    <row r="17552" spans="3:47">
      <c r="C17552" s="20"/>
      <c r="Z17552" s="20"/>
      <c r="AG17552" s="20"/>
      <c r="AQ17552" s="19"/>
      <c r="AR17552" s="19"/>
      <c r="AS17552" s="19"/>
      <c r="AT17552" s="19"/>
      <c r="AU17552" s="19"/>
    </row>
    <row r="17553" spans="3:47">
      <c r="C17553" s="20"/>
      <c r="Z17553" s="20"/>
      <c r="AG17553" s="20"/>
      <c r="AQ17553" s="19"/>
      <c r="AR17553" s="19"/>
      <c r="AS17553" s="19"/>
      <c r="AT17553" s="19"/>
      <c r="AU17553" s="19"/>
    </row>
    <row r="17554" spans="3:47">
      <c r="C17554" s="20"/>
      <c r="Z17554" s="20"/>
      <c r="AG17554" s="20"/>
      <c r="AQ17554" s="19"/>
      <c r="AR17554" s="19"/>
      <c r="AS17554" s="19"/>
      <c r="AT17554" s="19"/>
      <c r="AU17554" s="19"/>
    </row>
    <row r="17555" spans="3:47">
      <c r="C17555" s="20"/>
      <c r="Z17555" s="20"/>
      <c r="AG17555" s="20"/>
      <c r="AQ17555" s="19"/>
      <c r="AR17555" s="19"/>
      <c r="AS17555" s="19"/>
      <c r="AT17555" s="19"/>
      <c r="AU17555" s="19"/>
    </row>
    <row r="17556" spans="3:47">
      <c r="C17556" s="20"/>
      <c r="Z17556" s="20"/>
      <c r="AG17556" s="20"/>
      <c r="AQ17556" s="19"/>
      <c r="AR17556" s="19"/>
      <c r="AS17556" s="19"/>
      <c r="AT17556" s="19"/>
      <c r="AU17556" s="19"/>
    </row>
    <row r="17557" spans="3:47">
      <c r="C17557" s="20"/>
      <c r="Z17557" s="20"/>
      <c r="AG17557" s="20"/>
      <c r="AQ17557" s="19"/>
      <c r="AR17557" s="19"/>
      <c r="AS17557" s="19"/>
      <c r="AT17557" s="19"/>
      <c r="AU17557" s="19"/>
    </row>
    <row r="17558" spans="3:47">
      <c r="C17558" s="20"/>
      <c r="Z17558" s="20"/>
      <c r="AG17558" s="20"/>
      <c r="AQ17558" s="19"/>
      <c r="AR17558" s="19"/>
      <c r="AS17558" s="19"/>
      <c r="AT17558" s="19"/>
      <c r="AU17558" s="19"/>
    </row>
    <row r="17559" spans="3:47">
      <c r="C17559" s="20"/>
      <c r="Z17559" s="20"/>
      <c r="AG17559" s="20"/>
      <c r="AQ17559" s="19"/>
      <c r="AR17559" s="19"/>
      <c r="AS17559" s="19"/>
      <c r="AT17559" s="19"/>
      <c r="AU17559" s="19"/>
    </row>
    <row r="17560" spans="3:47">
      <c r="C17560" s="20"/>
      <c r="Z17560" s="20"/>
      <c r="AG17560" s="20"/>
      <c r="AQ17560" s="19"/>
      <c r="AR17560" s="19"/>
      <c r="AS17560" s="19"/>
      <c r="AT17560" s="19"/>
      <c r="AU17560" s="19"/>
    </row>
    <row r="17561" spans="3:47">
      <c r="C17561" s="20"/>
      <c r="Z17561" s="20"/>
      <c r="AG17561" s="20"/>
      <c r="AQ17561" s="19"/>
      <c r="AR17561" s="19"/>
      <c r="AS17561" s="19"/>
      <c r="AT17561" s="19"/>
      <c r="AU17561" s="19"/>
    </row>
    <row r="17562" spans="3:47">
      <c r="C17562" s="20"/>
      <c r="Z17562" s="20"/>
      <c r="AG17562" s="20"/>
      <c r="AQ17562" s="19"/>
      <c r="AR17562" s="19"/>
      <c r="AS17562" s="19"/>
      <c r="AT17562" s="19"/>
      <c r="AU17562" s="19"/>
    </row>
    <row r="17563" spans="3:47">
      <c r="C17563" s="20"/>
      <c r="Z17563" s="20"/>
      <c r="AG17563" s="20"/>
      <c r="AQ17563" s="19"/>
      <c r="AR17563" s="19"/>
      <c r="AS17563" s="19"/>
      <c r="AT17563" s="19"/>
      <c r="AU17563" s="19"/>
    </row>
    <row r="17564" spans="3:47">
      <c r="C17564" s="20"/>
      <c r="Z17564" s="20"/>
      <c r="AG17564" s="20"/>
      <c r="AQ17564" s="19"/>
      <c r="AR17564" s="19"/>
      <c r="AS17564" s="19"/>
      <c r="AT17564" s="19"/>
      <c r="AU17564" s="19"/>
    </row>
    <row r="17565" spans="3:47">
      <c r="C17565" s="20"/>
      <c r="Z17565" s="20"/>
      <c r="AG17565" s="20"/>
      <c r="AQ17565" s="19"/>
      <c r="AR17565" s="19"/>
      <c r="AS17565" s="19"/>
      <c r="AT17565" s="19"/>
      <c r="AU17565" s="19"/>
    </row>
    <row r="17566" spans="3:47">
      <c r="C17566" s="20"/>
      <c r="Z17566" s="20"/>
      <c r="AG17566" s="20"/>
      <c r="AQ17566" s="19"/>
      <c r="AR17566" s="19"/>
      <c r="AS17566" s="19"/>
      <c r="AT17566" s="19"/>
      <c r="AU17566" s="19"/>
    </row>
    <row r="17567" spans="3:47">
      <c r="C17567" s="20"/>
      <c r="Z17567" s="20"/>
      <c r="AG17567" s="20"/>
      <c r="AQ17567" s="19"/>
      <c r="AR17567" s="19"/>
      <c r="AS17567" s="19"/>
      <c r="AT17567" s="19"/>
      <c r="AU17567" s="19"/>
    </row>
    <row r="17568" spans="3:47">
      <c r="C17568" s="20"/>
      <c r="Z17568" s="20"/>
      <c r="AG17568" s="20"/>
      <c r="AQ17568" s="19"/>
      <c r="AR17568" s="19"/>
      <c r="AS17568" s="19"/>
      <c r="AT17568" s="19"/>
      <c r="AU17568" s="19"/>
    </row>
    <row r="17569" spans="3:47">
      <c r="C17569" s="20"/>
      <c r="Z17569" s="20"/>
      <c r="AG17569" s="20"/>
      <c r="AQ17569" s="19"/>
      <c r="AR17569" s="19"/>
      <c r="AS17569" s="19"/>
      <c r="AT17569" s="19"/>
      <c r="AU17569" s="19"/>
    </row>
    <row r="17570" spans="3:47">
      <c r="C17570" s="20"/>
      <c r="Z17570" s="20"/>
      <c r="AG17570" s="20"/>
      <c r="AQ17570" s="19"/>
      <c r="AR17570" s="19"/>
      <c r="AS17570" s="19"/>
      <c r="AT17570" s="19"/>
      <c r="AU17570" s="19"/>
    </row>
    <row r="17571" spans="3:47">
      <c r="C17571" s="20"/>
      <c r="Z17571" s="20"/>
      <c r="AG17571" s="20"/>
      <c r="AQ17571" s="19"/>
      <c r="AR17571" s="19"/>
      <c r="AS17571" s="19"/>
      <c r="AT17571" s="19"/>
      <c r="AU17571" s="19"/>
    </row>
    <row r="17572" spans="3:47">
      <c r="C17572" s="20"/>
      <c r="Z17572" s="20"/>
      <c r="AG17572" s="20"/>
      <c r="AQ17572" s="19"/>
      <c r="AR17572" s="19"/>
      <c r="AS17572" s="19"/>
      <c r="AT17572" s="19"/>
      <c r="AU17572" s="19"/>
    </row>
    <row r="17573" spans="3:47">
      <c r="C17573" s="20"/>
      <c r="Z17573" s="20"/>
      <c r="AG17573" s="20"/>
      <c r="AQ17573" s="19"/>
      <c r="AR17573" s="19"/>
      <c r="AS17573" s="19"/>
      <c r="AT17573" s="19"/>
      <c r="AU17573" s="19"/>
    </row>
    <row r="17574" spans="3:47">
      <c r="C17574" s="20"/>
      <c r="Z17574" s="20"/>
      <c r="AG17574" s="20"/>
      <c r="AQ17574" s="19"/>
      <c r="AR17574" s="19"/>
      <c r="AS17574" s="19"/>
      <c r="AT17574" s="19"/>
      <c r="AU17574" s="19"/>
    </row>
    <row r="17575" spans="3:47">
      <c r="C17575" s="20"/>
      <c r="Z17575" s="20"/>
      <c r="AG17575" s="20"/>
      <c r="AQ17575" s="19"/>
      <c r="AR17575" s="19"/>
      <c r="AS17575" s="19"/>
      <c r="AT17575" s="19"/>
      <c r="AU17575" s="19"/>
    </row>
    <row r="17576" spans="3:47">
      <c r="C17576" s="20"/>
      <c r="Z17576" s="20"/>
      <c r="AG17576" s="20"/>
      <c r="AQ17576" s="19"/>
      <c r="AR17576" s="19"/>
      <c r="AS17576" s="19"/>
      <c r="AT17576" s="19"/>
      <c r="AU17576" s="19"/>
    </row>
    <row r="17577" spans="3:47">
      <c r="C17577" s="20"/>
      <c r="Z17577" s="20"/>
      <c r="AG17577" s="20"/>
      <c r="AQ17577" s="19"/>
      <c r="AR17577" s="19"/>
      <c r="AS17577" s="19"/>
      <c r="AT17577" s="19"/>
      <c r="AU17577" s="19"/>
    </row>
    <row r="17578" spans="3:47">
      <c r="C17578" s="20"/>
      <c r="Z17578" s="20"/>
      <c r="AG17578" s="20"/>
      <c r="AQ17578" s="19"/>
      <c r="AR17578" s="19"/>
      <c r="AS17578" s="19"/>
      <c r="AT17578" s="19"/>
      <c r="AU17578" s="19"/>
    </row>
    <row r="17579" spans="3:47">
      <c r="C17579" s="20"/>
      <c r="Z17579" s="20"/>
      <c r="AG17579" s="20"/>
      <c r="AQ17579" s="19"/>
      <c r="AR17579" s="19"/>
      <c r="AS17579" s="19"/>
      <c r="AT17579" s="19"/>
      <c r="AU17579" s="19"/>
    </row>
    <row r="17580" spans="3:47">
      <c r="C17580" s="20"/>
      <c r="Z17580" s="20"/>
      <c r="AG17580" s="20"/>
      <c r="AQ17580" s="19"/>
      <c r="AR17580" s="19"/>
      <c r="AS17580" s="19"/>
      <c r="AT17580" s="19"/>
      <c r="AU17580" s="19"/>
    </row>
    <row r="17581" spans="3:47">
      <c r="C17581" s="20"/>
      <c r="Z17581" s="20"/>
      <c r="AG17581" s="20"/>
      <c r="AQ17581" s="19"/>
      <c r="AR17581" s="19"/>
      <c r="AS17581" s="19"/>
      <c r="AT17581" s="19"/>
      <c r="AU17581" s="19"/>
    </row>
    <row r="17582" spans="3:47">
      <c r="C17582" s="20"/>
      <c r="Z17582" s="20"/>
      <c r="AG17582" s="20"/>
      <c r="AQ17582" s="19"/>
      <c r="AR17582" s="19"/>
      <c r="AS17582" s="19"/>
      <c r="AT17582" s="19"/>
      <c r="AU17582" s="19"/>
    </row>
    <row r="17583" spans="3:47">
      <c r="C17583" s="20"/>
      <c r="Z17583" s="20"/>
      <c r="AG17583" s="20"/>
      <c r="AQ17583" s="19"/>
      <c r="AR17583" s="19"/>
      <c r="AS17583" s="19"/>
      <c r="AT17583" s="19"/>
      <c r="AU17583" s="19"/>
    </row>
    <row r="17584" spans="3:47">
      <c r="C17584" s="20"/>
      <c r="Z17584" s="20"/>
      <c r="AG17584" s="20"/>
      <c r="AQ17584" s="19"/>
      <c r="AR17584" s="19"/>
      <c r="AS17584" s="19"/>
      <c r="AT17584" s="19"/>
      <c r="AU17584" s="19"/>
    </row>
    <row r="17585" spans="3:47">
      <c r="C17585" s="20"/>
      <c r="Z17585" s="20"/>
      <c r="AG17585" s="20"/>
      <c r="AQ17585" s="19"/>
      <c r="AR17585" s="19"/>
      <c r="AS17585" s="19"/>
      <c r="AT17585" s="19"/>
      <c r="AU17585" s="19"/>
    </row>
    <row r="17586" spans="3:47">
      <c r="C17586" s="20"/>
      <c r="Z17586" s="20"/>
      <c r="AG17586" s="20"/>
      <c r="AQ17586" s="19"/>
      <c r="AR17586" s="19"/>
      <c r="AS17586" s="19"/>
      <c r="AT17586" s="19"/>
      <c r="AU17586" s="19"/>
    </row>
    <row r="17587" spans="3:47">
      <c r="C17587" s="20"/>
      <c r="Z17587" s="20"/>
      <c r="AG17587" s="20"/>
      <c r="AQ17587" s="19"/>
      <c r="AR17587" s="19"/>
      <c r="AS17587" s="19"/>
      <c r="AT17587" s="19"/>
      <c r="AU17587" s="19"/>
    </row>
    <row r="17588" spans="3:47">
      <c r="C17588" s="20"/>
      <c r="Z17588" s="20"/>
      <c r="AG17588" s="20"/>
      <c r="AQ17588" s="19"/>
      <c r="AR17588" s="19"/>
      <c r="AS17588" s="19"/>
      <c r="AT17588" s="19"/>
      <c r="AU17588" s="19"/>
    </row>
    <row r="17589" spans="3:47">
      <c r="C17589" s="20"/>
      <c r="Z17589" s="20"/>
      <c r="AG17589" s="20"/>
      <c r="AQ17589" s="19"/>
      <c r="AR17589" s="19"/>
      <c r="AS17589" s="19"/>
      <c r="AT17589" s="19"/>
      <c r="AU17589" s="19"/>
    </row>
    <row r="17590" spans="3:47">
      <c r="C17590" s="20"/>
      <c r="Z17590" s="20"/>
      <c r="AG17590" s="20"/>
      <c r="AQ17590" s="19"/>
      <c r="AR17590" s="19"/>
      <c r="AS17590" s="19"/>
      <c r="AT17590" s="19"/>
      <c r="AU17590" s="19"/>
    </row>
    <row r="17591" spans="3:47">
      <c r="C17591" s="20"/>
      <c r="Z17591" s="20"/>
      <c r="AG17591" s="20"/>
      <c r="AQ17591" s="19"/>
      <c r="AR17591" s="19"/>
      <c r="AS17591" s="19"/>
      <c r="AT17591" s="19"/>
      <c r="AU17591" s="19"/>
    </row>
    <row r="17592" spans="3:47">
      <c r="C17592" s="20"/>
      <c r="Z17592" s="20"/>
      <c r="AG17592" s="20"/>
      <c r="AQ17592" s="19"/>
      <c r="AR17592" s="19"/>
      <c r="AS17592" s="19"/>
      <c r="AT17592" s="19"/>
      <c r="AU17592" s="19"/>
    </row>
    <row r="17593" spans="3:47">
      <c r="C17593" s="20"/>
      <c r="Z17593" s="20"/>
      <c r="AG17593" s="20"/>
      <c r="AQ17593" s="19"/>
      <c r="AR17593" s="19"/>
      <c r="AS17593" s="19"/>
      <c r="AT17593" s="19"/>
      <c r="AU17593" s="19"/>
    </row>
    <row r="17594" spans="3:47">
      <c r="C17594" s="20"/>
      <c r="Z17594" s="20"/>
      <c r="AG17594" s="20"/>
      <c r="AQ17594" s="19"/>
      <c r="AR17594" s="19"/>
      <c r="AS17594" s="19"/>
      <c r="AT17594" s="19"/>
      <c r="AU17594" s="19"/>
    </row>
    <row r="17595" spans="3:47">
      <c r="C17595" s="20"/>
      <c r="Z17595" s="20"/>
      <c r="AG17595" s="20"/>
      <c r="AQ17595" s="19"/>
      <c r="AR17595" s="19"/>
      <c r="AS17595" s="19"/>
      <c r="AT17595" s="19"/>
      <c r="AU17595" s="19"/>
    </row>
    <row r="17596" spans="3:47">
      <c r="C17596" s="20"/>
      <c r="Z17596" s="20"/>
      <c r="AG17596" s="20"/>
      <c r="AQ17596" s="19"/>
      <c r="AR17596" s="19"/>
      <c r="AS17596" s="19"/>
      <c r="AT17596" s="19"/>
      <c r="AU17596" s="19"/>
    </row>
    <row r="17597" spans="3:47">
      <c r="C17597" s="20"/>
      <c r="Z17597" s="20"/>
      <c r="AG17597" s="20"/>
      <c r="AQ17597" s="19"/>
      <c r="AR17597" s="19"/>
      <c r="AS17597" s="19"/>
      <c r="AT17597" s="19"/>
      <c r="AU17597" s="19"/>
    </row>
    <row r="17598" spans="3:47">
      <c r="C17598" s="20"/>
      <c r="Z17598" s="20"/>
      <c r="AG17598" s="20"/>
      <c r="AQ17598" s="19"/>
      <c r="AR17598" s="19"/>
      <c r="AS17598" s="19"/>
      <c r="AT17598" s="19"/>
      <c r="AU17598" s="19"/>
    </row>
    <row r="17599" spans="3:47">
      <c r="C17599" s="20"/>
      <c r="Z17599" s="20"/>
      <c r="AG17599" s="20"/>
      <c r="AQ17599" s="19"/>
      <c r="AR17599" s="19"/>
      <c r="AS17599" s="19"/>
      <c r="AT17599" s="19"/>
      <c r="AU17599" s="19"/>
    </row>
    <row r="17600" spans="3:47">
      <c r="C17600" s="20"/>
      <c r="Z17600" s="20"/>
      <c r="AG17600" s="20"/>
      <c r="AQ17600" s="19"/>
      <c r="AR17600" s="19"/>
      <c r="AS17600" s="19"/>
      <c r="AT17600" s="19"/>
      <c r="AU17600" s="19"/>
    </row>
    <row r="17601" spans="3:47">
      <c r="C17601" s="20"/>
      <c r="Z17601" s="20"/>
      <c r="AG17601" s="20"/>
      <c r="AQ17601" s="19"/>
      <c r="AR17601" s="19"/>
      <c r="AS17601" s="19"/>
      <c r="AT17601" s="19"/>
      <c r="AU17601" s="19"/>
    </row>
    <row r="17602" spans="3:47">
      <c r="C17602" s="20"/>
      <c r="Z17602" s="20"/>
      <c r="AG17602" s="20"/>
      <c r="AQ17602" s="19"/>
      <c r="AR17602" s="19"/>
      <c r="AS17602" s="19"/>
      <c r="AT17602" s="19"/>
      <c r="AU17602" s="19"/>
    </row>
    <row r="17603" spans="3:47">
      <c r="C17603" s="20"/>
      <c r="Z17603" s="20"/>
      <c r="AG17603" s="20"/>
      <c r="AQ17603" s="19"/>
      <c r="AR17603" s="19"/>
      <c r="AS17603" s="19"/>
      <c r="AT17603" s="19"/>
      <c r="AU17603" s="19"/>
    </row>
    <row r="17604" spans="3:47">
      <c r="C17604" s="20"/>
      <c r="Z17604" s="20"/>
      <c r="AG17604" s="20"/>
      <c r="AQ17604" s="19"/>
      <c r="AR17604" s="19"/>
      <c r="AS17604" s="19"/>
      <c r="AT17604" s="19"/>
      <c r="AU17604" s="19"/>
    </row>
    <row r="17605" spans="3:47">
      <c r="C17605" s="20"/>
      <c r="Z17605" s="20"/>
      <c r="AG17605" s="20"/>
      <c r="AQ17605" s="19"/>
      <c r="AR17605" s="19"/>
      <c r="AS17605" s="19"/>
      <c r="AT17605" s="19"/>
      <c r="AU17605" s="19"/>
    </row>
    <row r="17606" spans="3:47">
      <c r="C17606" s="20"/>
      <c r="Z17606" s="20"/>
      <c r="AG17606" s="20"/>
      <c r="AQ17606" s="19"/>
      <c r="AR17606" s="19"/>
      <c r="AS17606" s="19"/>
      <c r="AT17606" s="19"/>
      <c r="AU17606" s="19"/>
    </row>
    <row r="17607" spans="3:47">
      <c r="C17607" s="20"/>
      <c r="Z17607" s="20"/>
      <c r="AG17607" s="20"/>
      <c r="AQ17607" s="19"/>
      <c r="AR17607" s="19"/>
      <c r="AS17607" s="19"/>
      <c r="AT17607" s="19"/>
      <c r="AU17607" s="19"/>
    </row>
    <row r="17608" spans="3:47">
      <c r="C17608" s="20"/>
      <c r="Z17608" s="20"/>
      <c r="AG17608" s="20"/>
      <c r="AQ17608" s="19"/>
      <c r="AR17608" s="19"/>
      <c r="AS17608" s="19"/>
      <c r="AT17608" s="19"/>
      <c r="AU17608" s="19"/>
    </row>
    <row r="17609" spans="3:47">
      <c r="C17609" s="20"/>
      <c r="Z17609" s="20"/>
      <c r="AG17609" s="20"/>
      <c r="AQ17609" s="19"/>
      <c r="AR17609" s="19"/>
      <c r="AS17609" s="19"/>
      <c r="AT17609" s="19"/>
      <c r="AU17609" s="19"/>
    </row>
    <row r="17610" spans="3:47">
      <c r="C17610" s="20"/>
      <c r="Z17610" s="20"/>
      <c r="AG17610" s="20"/>
      <c r="AQ17610" s="19"/>
      <c r="AR17610" s="19"/>
      <c r="AS17610" s="19"/>
      <c r="AT17610" s="19"/>
      <c r="AU17610" s="19"/>
    </row>
    <row r="17611" spans="3:47">
      <c r="C17611" s="20"/>
      <c r="Z17611" s="20"/>
      <c r="AG17611" s="20"/>
      <c r="AQ17611" s="19"/>
      <c r="AR17611" s="19"/>
      <c r="AS17611" s="19"/>
      <c r="AT17611" s="19"/>
      <c r="AU17611" s="19"/>
    </row>
    <row r="17612" spans="3:47">
      <c r="C17612" s="20"/>
      <c r="Z17612" s="20"/>
      <c r="AG17612" s="20"/>
      <c r="AQ17612" s="19"/>
      <c r="AR17612" s="19"/>
      <c r="AS17612" s="19"/>
      <c r="AT17612" s="19"/>
      <c r="AU17612" s="19"/>
    </row>
    <row r="17613" spans="3:47">
      <c r="C17613" s="20"/>
      <c r="Z17613" s="20"/>
      <c r="AG17613" s="20"/>
      <c r="AQ17613" s="19"/>
      <c r="AR17613" s="19"/>
      <c r="AS17613" s="19"/>
      <c r="AT17613" s="19"/>
      <c r="AU17613" s="19"/>
    </row>
    <row r="17614" spans="3:47">
      <c r="C17614" s="20"/>
      <c r="Z17614" s="20"/>
      <c r="AG17614" s="20"/>
      <c r="AQ17614" s="19"/>
      <c r="AR17614" s="19"/>
      <c r="AS17614" s="19"/>
      <c r="AT17614" s="19"/>
      <c r="AU17614" s="19"/>
    </row>
    <row r="17615" spans="3:47">
      <c r="C17615" s="20"/>
      <c r="Z17615" s="20"/>
      <c r="AG17615" s="20"/>
      <c r="AQ17615" s="19"/>
      <c r="AR17615" s="19"/>
      <c r="AS17615" s="19"/>
      <c r="AT17615" s="19"/>
      <c r="AU17615" s="19"/>
    </row>
    <row r="17616" spans="3:47">
      <c r="C17616" s="20"/>
      <c r="Z17616" s="20"/>
      <c r="AG17616" s="20"/>
      <c r="AQ17616" s="19"/>
      <c r="AR17616" s="19"/>
      <c r="AS17616" s="19"/>
      <c r="AT17616" s="19"/>
      <c r="AU17616" s="19"/>
    </row>
    <row r="17617" spans="3:47">
      <c r="C17617" s="20"/>
      <c r="Z17617" s="20"/>
      <c r="AG17617" s="20"/>
      <c r="AQ17617" s="19"/>
      <c r="AR17617" s="19"/>
      <c r="AS17617" s="19"/>
      <c r="AT17617" s="19"/>
      <c r="AU17617" s="19"/>
    </row>
    <row r="17618" spans="3:47">
      <c r="C17618" s="20"/>
      <c r="Z17618" s="20"/>
      <c r="AG17618" s="20"/>
      <c r="AQ17618" s="19"/>
      <c r="AR17618" s="19"/>
      <c r="AS17618" s="19"/>
      <c r="AT17618" s="19"/>
      <c r="AU17618" s="19"/>
    </row>
    <row r="17619" spans="3:47">
      <c r="C17619" s="20"/>
      <c r="Z17619" s="20"/>
      <c r="AG17619" s="20"/>
      <c r="AQ17619" s="19"/>
      <c r="AR17619" s="19"/>
      <c r="AS17619" s="19"/>
      <c r="AT17619" s="19"/>
      <c r="AU17619" s="19"/>
    </row>
    <row r="17620" spans="3:47">
      <c r="C17620" s="20"/>
      <c r="Z17620" s="20"/>
      <c r="AG17620" s="20"/>
      <c r="AQ17620" s="19"/>
      <c r="AR17620" s="19"/>
      <c r="AS17620" s="19"/>
      <c r="AT17620" s="19"/>
      <c r="AU17620" s="19"/>
    </row>
    <row r="17621" spans="3:47">
      <c r="C17621" s="20"/>
      <c r="Z17621" s="20"/>
      <c r="AG17621" s="20"/>
      <c r="AQ17621" s="19"/>
      <c r="AR17621" s="19"/>
      <c r="AS17621" s="19"/>
      <c r="AT17621" s="19"/>
      <c r="AU17621" s="19"/>
    </row>
    <row r="17622" spans="3:47">
      <c r="C17622" s="20"/>
      <c r="Z17622" s="20"/>
      <c r="AG17622" s="20"/>
      <c r="AQ17622" s="19"/>
      <c r="AR17622" s="19"/>
      <c r="AS17622" s="19"/>
      <c r="AT17622" s="19"/>
      <c r="AU17622" s="19"/>
    </row>
    <row r="17623" spans="3:47">
      <c r="C17623" s="20"/>
      <c r="Z17623" s="20"/>
      <c r="AG17623" s="20"/>
      <c r="AQ17623" s="19"/>
      <c r="AR17623" s="19"/>
      <c r="AS17623" s="19"/>
      <c r="AT17623" s="19"/>
      <c r="AU17623" s="19"/>
    </row>
    <row r="17624" spans="3:47">
      <c r="C17624" s="20"/>
      <c r="Z17624" s="20"/>
      <c r="AG17624" s="20"/>
      <c r="AQ17624" s="19"/>
      <c r="AR17624" s="19"/>
      <c r="AS17624" s="19"/>
      <c r="AT17624" s="19"/>
      <c r="AU17624" s="19"/>
    </row>
    <row r="17625" spans="3:47">
      <c r="C17625" s="20"/>
      <c r="Z17625" s="20"/>
      <c r="AG17625" s="20"/>
      <c r="AQ17625" s="19"/>
      <c r="AR17625" s="19"/>
      <c r="AS17625" s="19"/>
      <c r="AT17625" s="19"/>
      <c r="AU17625" s="19"/>
    </row>
    <row r="17626" spans="3:47">
      <c r="C17626" s="20"/>
      <c r="Z17626" s="20"/>
      <c r="AG17626" s="20"/>
      <c r="AQ17626" s="19"/>
      <c r="AR17626" s="19"/>
      <c r="AS17626" s="19"/>
      <c r="AT17626" s="19"/>
      <c r="AU17626" s="19"/>
    </row>
    <row r="17627" spans="3:47">
      <c r="C17627" s="20"/>
      <c r="Z17627" s="20"/>
      <c r="AG17627" s="20"/>
      <c r="AQ17627" s="19"/>
      <c r="AR17627" s="19"/>
      <c r="AS17627" s="19"/>
      <c r="AT17627" s="19"/>
      <c r="AU17627" s="19"/>
    </row>
    <row r="17628" spans="3:47">
      <c r="C17628" s="20"/>
      <c r="Z17628" s="20"/>
      <c r="AG17628" s="20"/>
      <c r="AQ17628" s="19"/>
      <c r="AR17628" s="19"/>
      <c r="AS17628" s="19"/>
      <c r="AT17628" s="19"/>
      <c r="AU17628" s="19"/>
    </row>
    <row r="17629" spans="3:47">
      <c r="C17629" s="20"/>
      <c r="Z17629" s="20"/>
      <c r="AG17629" s="20"/>
      <c r="AQ17629" s="19"/>
      <c r="AR17629" s="19"/>
      <c r="AS17629" s="19"/>
      <c r="AT17629" s="19"/>
      <c r="AU17629" s="19"/>
    </row>
    <row r="17630" spans="3:47">
      <c r="C17630" s="20"/>
      <c r="Z17630" s="20"/>
      <c r="AG17630" s="20"/>
      <c r="AQ17630" s="19"/>
      <c r="AR17630" s="19"/>
      <c r="AS17630" s="19"/>
      <c r="AT17630" s="19"/>
      <c r="AU17630" s="19"/>
    </row>
    <row r="17631" spans="3:47">
      <c r="C17631" s="20"/>
      <c r="Z17631" s="20"/>
      <c r="AG17631" s="20"/>
      <c r="AQ17631" s="19"/>
      <c r="AR17631" s="19"/>
      <c r="AS17631" s="19"/>
      <c r="AT17631" s="19"/>
      <c r="AU17631" s="19"/>
    </row>
    <row r="17632" spans="3:47">
      <c r="C17632" s="20"/>
      <c r="Z17632" s="20"/>
      <c r="AG17632" s="20"/>
      <c r="AQ17632" s="19"/>
      <c r="AR17632" s="19"/>
      <c r="AS17632" s="19"/>
      <c r="AT17632" s="19"/>
      <c r="AU17632" s="19"/>
    </row>
    <row r="17633" spans="3:47">
      <c r="C17633" s="20"/>
      <c r="Z17633" s="20"/>
      <c r="AG17633" s="20"/>
      <c r="AQ17633" s="19"/>
      <c r="AR17633" s="19"/>
      <c r="AS17633" s="19"/>
      <c r="AT17633" s="19"/>
      <c r="AU17633" s="19"/>
    </row>
    <row r="17634" spans="3:47">
      <c r="C17634" s="20"/>
      <c r="Z17634" s="20"/>
      <c r="AG17634" s="20"/>
      <c r="AQ17634" s="19"/>
      <c r="AR17634" s="19"/>
      <c r="AS17634" s="19"/>
      <c r="AT17634" s="19"/>
      <c r="AU17634" s="19"/>
    </row>
    <row r="17635" spans="3:47">
      <c r="C17635" s="20"/>
      <c r="Z17635" s="20"/>
      <c r="AG17635" s="20"/>
      <c r="AQ17635" s="19"/>
      <c r="AR17635" s="19"/>
      <c r="AS17635" s="19"/>
      <c r="AT17635" s="19"/>
      <c r="AU17635" s="19"/>
    </row>
    <row r="17636" spans="3:47">
      <c r="C17636" s="20"/>
      <c r="Z17636" s="20"/>
      <c r="AG17636" s="20"/>
      <c r="AQ17636" s="19"/>
      <c r="AR17636" s="19"/>
      <c r="AS17636" s="19"/>
      <c r="AT17636" s="19"/>
      <c r="AU17636" s="19"/>
    </row>
    <row r="17637" spans="3:47">
      <c r="C17637" s="20"/>
      <c r="Z17637" s="20"/>
      <c r="AG17637" s="20"/>
      <c r="AQ17637" s="19"/>
      <c r="AR17637" s="19"/>
      <c r="AS17637" s="19"/>
      <c r="AT17637" s="19"/>
      <c r="AU17637" s="19"/>
    </row>
    <row r="17638" spans="3:47">
      <c r="C17638" s="20"/>
      <c r="Z17638" s="20"/>
      <c r="AG17638" s="20"/>
      <c r="AQ17638" s="19"/>
      <c r="AR17638" s="19"/>
      <c r="AS17638" s="19"/>
      <c r="AT17638" s="19"/>
      <c r="AU17638" s="19"/>
    </row>
    <row r="17639" spans="3:47">
      <c r="C17639" s="20"/>
      <c r="Z17639" s="20"/>
      <c r="AG17639" s="20"/>
      <c r="AQ17639" s="19"/>
      <c r="AR17639" s="19"/>
      <c r="AS17639" s="19"/>
      <c r="AT17639" s="19"/>
      <c r="AU17639" s="19"/>
    </row>
    <row r="17640" spans="3:47">
      <c r="C17640" s="20"/>
      <c r="Z17640" s="20"/>
      <c r="AG17640" s="20"/>
      <c r="AQ17640" s="19"/>
      <c r="AR17640" s="19"/>
      <c r="AS17640" s="19"/>
      <c r="AT17640" s="19"/>
      <c r="AU17640" s="19"/>
    </row>
    <row r="17641" spans="3:47">
      <c r="C17641" s="20"/>
      <c r="Z17641" s="20"/>
      <c r="AG17641" s="20"/>
      <c r="AQ17641" s="19"/>
      <c r="AR17641" s="19"/>
      <c r="AS17641" s="19"/>
      <c r="AT17641" s="19"/>
      <c r="AU17641" s="19"/>
    </row>
    <row r="17642" spans="3:47">
      <c r="C17642" s="20"/>
      <c r="Z17642" s="20"/>
      <c r="AG17642" s="20"/>
      <c r="AQ17642" s="19"/>
      <c r="AR17642" s="19"/>
      <c r="AS17642" s="19"/>
      <c r="AT17642" s="19"/>
      <c r="AU17642" s="19"/>
    </row>
    <row r="17643" spans="3:47">
      <c r="C17643" s="20"/>
      <c r="Z17643" s="20"/>
      <c r="AG17643" s="20"/>
      <c r="AQ17643" s="19"/>
      <c r="AR17643" s="19"/>
      <c r="AS17643" s="19"/>
      <c r="AT17643" s="19"/>
      <c r="AU17643" s="19"/>
    </row>
    <row r="17644" spans="3:47">
      <c r="C17644" s="20"/>
      <c r="Z17644" s="20"/>
      <c r="AG17644" s="20"/>
      <c r="AQ17644" s="19"/>
      <c r="AR17644" s="19"/>
      <c r="AS17644" s="19"/>
      <c r="AT17644" s="19"/>
      <c r="AU17644" s="19"/>
    </row>
    <row r="17645" spans="3:47">
      <c r="C17645" s="20"/>
      <c r="Z17645" s="20"/>
      <c r="AG17645" s="20"/>
      <c r="AQ17645" s="19"/>
      <c r="AR17645" s="19"/>
      <c r="AS17645" s="19"/>
      <c r="AT17645" s="19"/>
      <c r="AU17645" s="19"/>
    </row>
    <row r="17646" spans="3:47">
      <c r="C17646" s="20"/>
      <c r="Z17646" s="20"/>
      <c r="AG17646" s="20"/>
      <c r="AQ17646" s="19"/>
      <c r="AR17646" s="19"/>
      <c r="AS17646" s="19"/>
      <c r="AT17646" s="19"/>
      <c r="AU17646" s="19"/>
    </row>
    <row r="17647" spans="3:47">
      <c r="C17647" s="20"/>
      <c r="Z17647" s="20"/>
      <c r="AG17647" s="20"/>
      <c r="AQ17647" s="19"/>
      <c r="AR17647" s="19"/>
      <c r="AS17647" s="19"/>
      <c r="AT17647" s="19"/>
      <c r="AU17647" s="19"/>
    </row>
    <row r="17648" spans="3:47">
      <c r="C17648" s="20"/>
      <c r="Z17648" s="20"/>
      <c r="AG17648" s="20"/>
      <c r="AQ17648" s="19"/>
      <c r="AR17648" s="19"/>
      <c r="AS17648" s="19"/>
      <c r="AT17648" s="19"/>
      <c r="AU17648" s="19"/>
    </row>
    <row r="17649" spans="3:47">
      <c r="C17649" s="20"/>
      <c r="Z17649" s="20"/>
      <c r="AG17649" s="20"/>
      <c r="AQ17649" s="19"/>
      <c r="AR17649" s="19"/>
      <c r="AS17649" s="19"/>
      <c r="AT17649" s="19"/>
      <c r="AU17649" s="19"/>
    </row>
    <row r="17650" spans="3:47">
      <c r="C17650" s="20"/>
      <c r="Z17650" s="20"/>
      <c r="AG17650" s="20"/>
      <c r="AQ17650" s="19"/>
      <c r="AR17650" s="19"/>
      <c r="AS17650" s="19"/>
      <c r="AT17650" s="19"/>
      <c r="AU17650" s="19"/>
    </row>
    <row r="17651" spans="3:47">
      <c r="C17651" s="20"/>
      <c r="Z17651" s="20"/>
      <c r="AG17651" s="20"/>
      <c r="AQ17651" s="19"/>
      <c r="AR17651" s="19"/>
      <c r="AS17651" s="19"/>
      <c r="AT17651" s="19"/>
      <c r="AU17651" s="19"/>
    </row>
    <row r="17652" spans="3:47">
      <c r="C17652" s="20"/>
      <c r="Z17652" s="20"/>
      <c r="AG17652" s="20"/>
      <c r="AQ17652" s="19"/>
      <c r="AR17652" s="19"/>
      <c r="AS17652" s="19"/>
      <c r="AT17652" s="19"/>
      <c r="AU17652" s="19"/>
    </row>
    <row r="17653" spans="3:47">
      <c r="C17653" s="20"/>
      <c r="Z17653" s="20"/>
      <c r="AG17653" s="20"/>
      <c r="AQ17653" s="19"/>
      <c r="AR17653" s="19"/>
      <c r="AS17653" s="19"/>
      <c r="AT17653" s="19"/>
      <c r="AU17653" s="19"/>
    </row>
    <row r="17654" spans="3:47">
      <c r="C17654" s="20"/>
      <c r="Z17654" s="20"/>
      <c r="AG17654" s="20"/>
      <c r="AQ17654" s="19"/>
      <c r="AR17654" s="19"/>
      <c r="AS17654" s="19"/>
      <c r="AT17654" s="19"/>
      <c r="AU17654" s="19"/>
    </row>
    <row r="17655" spans="3:47">
      <c r="C17655" s="20"/>
      <c r="Z17655" s="20"/>
      <c r="AG17655" s="20"/>
      <c r="AQ17655" s="19"/>
      <c r="AR17655" s="19"/>
      <c r="AS17655" s="19"/>
      <c r="AT17655" s="19"/>
      <c r="AU17655" s="19"/>
    </row>
    <row r="17656" spans="3:47">
      <c r="C17656" s="20"/>
      <c r="Z17656" s="20"/>
      <c r="AG17656" s="20"/>
      <c r="AQ17656" s="19"/>
      <c r="AR17656" s="19"/>
      <c r="AS17656" s="19"/>
      <c r="AT17656" s="19"/>
      <c r="AU17656" s="19"/>
    </row>
    <row r="17657" spans="3:47">
      <c r="C17657" s="20"/>
      <c r="Z17657" s="20"/>
      <c r="AG17657" s="20"/>
      <c r="AQ17657" s="19"/>
      <c r="AR17657" s="19"/>
      <c r="AS17657" s="19"/>
      <c r="AT17657" s="19"/>
      <c r="AU17657" s="19"/>
    </row>
    <row r="17658" spans="3:47">
      <c r="C17658" s="20"/>
      <c r="Z17658" s="20"/>
      <c r="AG17658" s="20"/>
      <c r="AQ17658" s="19"/>
      <c r="AR17658" s="19"/>
      <c r="AS17658" s="19"/>
      <c r="AT17658" s="19"/>
      <c r="AU17658" s="19"/>
    </row>
    <row r="17659" spans="3:47">
      <c r="C17659" s="20"/>
      <c r="Z17659" s="20"/>
      <c r="AG17659" s="20"/>
      <c r="AQ17659" s="19"/>
      <c r="AR17659" s="19"/>
      <c r="AS17659" s="19"/>
      <c r="AT17659" s="19"/>
      <c r="AU17659" s="19"/>
    </row>
    <row r="17660" spans="3:47">
      <c r="C17660" s="20"/>
      <c r="Z17660" s="20"/>
      <c r="AG17660" s="20"/>
      <c r="AQ17660" s="19"/>
      <c r="AR17660" s="19"/>
      <c r="AS17660" s="19"/>
      <c r="AT17660" s="19"/>
      <c r="AU17660" s="19"/>
    </row>
    <row r="17661" spans="3:47">
      <c r="C17661" s="20"/>
      <c r="Z17661" s="20"/>
      <c r="AG17661" s="20"/>
      <c r="AQ17661" s="19"/>
      <c r="AR17661" s="19"/>
      <c r="AS17661" s="19"/>
      <c r="AT17661" s="19"/>
      <c r="AU17661" s="19"/>
    </row>
    <row r="17662" spans="3:47">
      <c r="C17662" s="20"/>
      <c r="Z17662" s="20"/>
      <c r="AG17662" s="20"/>
      <c r="AQ17662" s="19"/>
      <c r="AR17662" s="19"/>
      <c r="AS17662" s="19"/>
      <c r="AT17662" s="19"/>
      <c r="AU17662" s="19"/>
    </row>
    <row r="17663" spans="3:47">
      <c r="C17663" s="20"/>
      <c r="Z17663" s="20"/>
      <c r="AG17663" s="20"/>
      <c r="AQ17663" s="19"/>
      <c r="AR17663" s="19"/>
      <c r="AS17663" s="19"/>
      <c r="AT17663" s="19"/>
      <c r="AU17663" s="19"/>
    </row>
    <row r="17664" spans="3:47">
      <c r="C17664" s="20"/>
      <c r="Z17664" s="20"/>
      <c r="AG17664" s="20"/>
      <c r="AQ17664" s="19"/>
      <c r="AR17664" s="19"/>
      <c r="AS17664" s="19"/>
      <c r="AT17664" s="19"/>
      <c r="AU17664" s="19"/>
    </row>
    <row r="17665" spans="3:47">
      <c r="C17665" s="20"/>
      <c r="Z17665" s="20"/>
      <c r="AG17665" s="20"/>
      <c r="AQ17665" s="19"/>
      <c r="AR17665" s="19"/>
      <c r="AS17665" s="19"/>
      <c r="AT17665" s="19"/>
      <c r="AU17665" s="19"/>
    </row>
    <row r="17666" spans="3:47">
      <c r="C17666" s="20"/>
      <c r="Z17666" s="20"/>
      <c r="AG17666" s="20"/>
      <c r="AQ17666" s="19"/>
      <c r="AR17666" s="19"/>
      <c r="AS17666" s="19"/>
      <c r="AT17666" s="19"/>
      <c r="AU17666" s="19"/>
    </row>
    <row r="17667" spans="3:47">
      <c r="C17667" s="20"/>
      <c r="Z17667" s="20"/>
      <c r="AG17667" s="20"/>
      <c r="AQ17667" s="19"/>
      <c r="AR17667" s="19"/>
      <c r="AS17667" s="19"/>
      <c r="AT17667" s="19"/>
      <c r="AU17667" s="19"/>
    </row>
    <row r="17668" spans="3:47">
      <c r="C17668" s="20"/>
      <c r="Z17668" s="20"/>
      <c r="AG17668" s="20"/>
      <c r="AQ17668" s="19"/>
      <c r="AR17668" s="19"/>
      <c r="AS17668" s="19"/>
      <c r="AT17668" s="19"/>
      <c r="AU17668" s="19"/>
    </row>
    <row r="17669" spans="3:47">
      <c r="C17669" s="20"/>
      <c r="Z17669" s="20"/>
      <c r="AG17669" s="20"/>
      <c r="AQ17669" s="19"/>
      <c r="AR17669" s="19"/>
      <c r="AS17669" s="19"/>
      <c r="AT17669" s="19"/>
      <c r="AU17669" s="19"/>
    </row>
    <row r="17670" spans="3:47">
      <c r="C17670" s="20"/>
      <c r="Z17670" s="20"/>
      <c r="AG17670" s="20"/>
      <c r="AQ17670" s="19"/>
      <c r="AR17670" s="19"/>
      <c r="AS17670" s="19"/>
      <c r="AT17670" s="19"/>
      <c r="AU17670" s="19"/>
    </row>
    <row r="17671" spans="3:47">
      <c r="C17671" s="20"/>
      <c r="Z17671" s="20"/>
      <c r="AG17671" s="20"/>
      <c r="AQ17671" s="19"/>
      <c r="AR17671" s="19"/>
      <c r="AS17671" s="19"/>
      <c r="AT17671" s="19"/>
      <c r="AU17671" s="19"/>
    </row>
    <row r="17672" spans="3:47">
      <c r="C17672" s="20"/>
      <c r="Z17672" s="20"/>
      <c r="AG17672" s="20"/>
      <c r="AQ17672" s="19"/>
      <c r="AR17672" s="19"/>
      <c r="AS17672" s="19"/>
      <c r="AT17672" s="19"/>
      <c r="AU17672" s="19"/>
    </row>
    <row r="17673" spans="3:47">
      <c r="C17673" s="20"/>
      <c r="Z17673" s="20"/>
      <c r="AG17673" s="20"/>
      <c r="AQ17673" s="19"/>
      <c r="AR17673" s="19"/>
      <c r="AS17673" s="19"/>
      <c r="AT17673" s="19"/>
      <c r="AU17673" s="19"/>
    </row>
    <row r="17674" spans="3:47">
      <c r="C17674" s="20"/>
      <c r="Z17674" s="20"/>
      <c r="AG17674" s="20"/>
      <c r="AQ17674" s="19"/>
      <c r="AR17674" s="19"/>
      <c r="AS17674" s="19"/>
      <c r="AT17674" s="19"/>
      <c r="AU17674" s="19"/>
    </row>
    <row r="17675" spans="3:47">
      <c r="C17675" s="20"/>
      <c r="Z17675" s="20"/>
      <c r="AG17675" s="20"/>
      <c r="AQ17675" s="19"/>
      <c r="AR17675" s="19"/>
      <c r="AS17675" s="19"/>
      <c r="AT17675" s="19"/>
      <c r="AU17675" s="19"/>
    </row>
    <row r="17676" spans="3:47">
      <c r="C17676" s="20"/>
      <c r="Z17676" s="20"/>
      <c r="AG17676" s="20"/>
      <c r="AQ17676" s="19"/>
      <c r="AR17676" s="19"/>
      <c r="AS17676" s="19"/>
      <c r="AT17676" s="19"/>
      <c r="AU17676" s="19"/>
    </row>
    <row r="17677" spans="3:47">
      <c r="C17677" s="20"/>
      <c r="Z17677" s="20"/>
      <c r="AG17677" s="20"/>
      <c r="AQ17677" s="19"/>
      <c r="AR17677" s="19"/>
      <c r="AS17677" s="19"/>
      <c r="AT17677" s="19"/>
      <c r="AU17677" s="19"/>
    </row>
    <row r="17678" spans="3:47">
      <c r="C17678" s="20"/>
      <c r="Z17678" s="20"/>
      <c r="AG17678" s="20"/>
      <c r="AQ17678" s="19"/>
      <c r="AR17678" s="19"/>
      <c r="AS17678" s="19"/>
      <c r="AT17678" s="19"/>
      <c r="AU17678" s="19"/>
    </row>
    <row r="17679" spans="3:47">
      <c r="C17679" s="20"/>
      <c r="Z17679" s="20"/>
      <c r="AG17679" s="20"/>
      <c r="AQ17679" s="19"/>
      <c r="AR17679" s="19"/>
      <c r="AS17679" s="19"/>
      <c r="AT17679" s="19"/>
      <c r="AU17679" s="19"/>
    </row>
    <row r="17680" spans="3:47">
      <c r="C17680" s="20"/>
      <c r="Z17680" s="20"/>
      <c r="AG17680" s="20"/>
      <c r="AQ17680" s="19"/>
      <c r="AR17680" s="19"/>
      <c r="AS17680" s="19"/>
      <c r="AT17680" s="19"/>
      <c r="AU17680" s="19"/>
    </row>
    <row r="17681" spans="3:47">
      <c r="C17681" s="20"/>
      <c r="Z17681" s="20"/>
      <c r="AG17681" s="20"/>
      <c r="AQ17681" s="19"/>
      <c r="AR17681" s="19"/>
      <c r="AS17681" s="19"/>
      <c r="AT17681" s="19"/>
      <c r="AU17681" s="19"/>
    </row>
    <row r="17682" spans="3:47">
      <c r="C17682" s="20"/>
      <c r="Z17682" s="20"/>
      <c r="AG17682" s="20"/>
      <c r="AQ17682" s="19"/>
      <c r="AR17682" s="19"/>
      <c r="AS17682" s="19"/>
      <c r="AT17682" s="19"/>
      <c r="AU17682" s="19"/>
    </row>
    <row r="17683" spans="3:47">
      <c r="C17683" s="20"/>
      <c r="Z17683" s="20"/>
      <c r="AG17683" s="20"/>
      <c r="AQ17683" s="19"/>
      <c r="AR17683" s="19"/>
      <c r="AS17683" s="19"/>
      <c r="AT17683" s="19"/>
      <c r="AU17683" s="19"/>
    </row>
    <row r="17684" spans="3:47">
      <c r="C17684" s="20"/>
      <c r="Z17684" s="20"/>
      <c r="AG17684" s="20"/>
      <c r="AQ17684" s="19"/>
      <c r="AR17684" s="19"/>
      <c r="AS17684" s="19"/>
      <c r="AT17684" s="19"/>
      <c r="AU17684" s="19"/>
    </row>
    <row r="17685" spans="3:47">
      <c r="C17685" s="20"/>
      <c r="Z17685" s="20"/>
      <c r="AG17685" s="20"/>
      <c r="AQ17685" s="19"/>
      <c r="AR17685" s="19"/>
      <c r="AS17685" s="19"/>
      <c r="AT17685" s="19"/>
      <c r="AU17685" s="19"/>
    </row>
    <row r="17686" spans="3:47">
      <c r="C17686" s="20"/>
      <c r="Z17686" s="20"/>
      <c r="AG17686" s="20"/>
      <c r="AQ17686" s="19"/>
      <c r="AR17686" s="19"/>
      <c r="AS17686" s="19"/>
      <c r="AT17686" s="19"/>
      <c r="AU17686" s="19"/>
    </row>
    <row r="17687" spans="3:47">
      <c r="C17687" s="20"/>
      <c r="Z17687" s="20"/>
      <c r="AG17687" s="20"/>
      <c r="AQ17687" s="19"/>
      <c r="AR17687" s="19"/>
      <c r="AS17687" s="19"/>
      <c r="AT17687" s="19"/>
      <c r="AU17687" s="19"/>
    </row>
    <row r="17688" spans="3:47">
      <c r="C17688" s="20"/>
      <c r="Z17688" s="20"/>
      <c r="AG17688" s="20"/>
      <c r="AQ17688" s="19"/>
      <c r="AR17688" s="19"/>
      <c r="AS17688" s="19"/>
      <c r="AT17688" s="19"/>
      <c r="AU17688" s="19"/>
    </row>
    <row r="17689" spans="3:47">
      <c r="C17689" s="20"/>
      <c r="Z17689" s="20"/>
      <c r="AG17689" s="20"/>
      <c r="AQ17689" s="19"/>
      <c r="AR17689" s="19"/>
      <c r="AS17689" s="19"/>
      <c r="AT17689" s="19"/>
      <c r="AU17689" s="19"/>
    </row>
    <row r="17690" spans="3:47">
      <c r="C17690" s="20"/>
      <c r="Z17690" s="20"/>
      <c r="AG17690" s="20"/>
      <c r="AQ17690" s="19"/>
      <c r="AR17690" s="19"/>
      <c r="AS17690" s="19"/>
      <c r="AT17690" s="19"/>
      <c r="AU17690" s="19"/>
    </row>
    <row r="17691" spans="3:47">
      <c r="C17691" s="20"/>
      <c r="Z17691" s="20"/>
      <c r="AG17691" s="20"/>
      <c r="AQ17691" s="19"/>
      <c r="AR17691" s="19"/>
      <c r="AS17691" s="19"/>
      <c r="AT17691" s="19"/>
      <c r="AU17691" s="19"/>
    </row>
    <row r="17692" spans="3:47">
      <c r="C17692" s="20"/>
      <c r="Z17692" s="20"/>
      <c r="AG17692" s="20"/>
      <c r="AQ17692" s="19"/>
      <c r="AR17692" s="19"/>
      <c r="AS17692" s="19"/>
      <c r="AT17692" s="19"/>
      <c r="AU17692" s="19"/>
    </row>
    <row r="17693" spans="3:47">
      <c r="C17693" s="20"/>
      <c r="Z17693" s="20"/>
      <c r="AG17693" s="20"/>
      <c r="AQ17693" s="19"/>
      <c r="AR17693" s="19"/>
      <c r="AS17693" s="19"/>
      <c r="AT17693" s="19"/>
      <c r="AU17693" s="19"/>
    </row>
    <row r="17694" spans="3:47">
      <c r="C17694" s="20"/>
      <c r="Z17694" s="20"/>
      <c r="AG17694" s="20"/>
      <c r="AQ17694" s="19"/>
      <c r="AR17694" s="19"/>
      <c r="AS17694" s="19"/>
      <c r="AT17694" s="19"/>
      <c r="AU17694" s="19"/>
    </row>
    <row r="17695" spans="3:47">
      <c r="C17695" s="20"/>
      <c r="Z17695" s="20"/>
      <c r="AG17695" s="20"/>
      <c r="AQ17695" s="19"/>
      <c r="AR17695" s="19"/>
      <c r="AS17695" s="19"/>
      <c r="AT17695" s="19"/>
      <c r="AU17695" s="19"/>
    </row>
    <row r="17696" spans="3:47">
      <c r="C17696" s="20"/>
      <c r="Z17696" s="20"/>
      <c r="AG17696" s="20"/>
      <c r="AQ17696" s="19"/>
      <c r="AR17696" s="19"/>
      <c r="AS17696" s="19"/>
      <c r="AT17696" s="19"/>
      <c r="AU17696" s="19"/>
    </row>
    <row r="17697" spans="3:47">
      <c r="C17697" s="20"/>
      <c r="Z17697" s="20"/>
      <c r="AG17697" s="20"/>
      <c r="AQ17697" s="19"/>
      <c r="AR17697" s="19"/>
      <c r="AS17697" s="19"/>
      <c r="AT17697" s="19"/>
      <c r="AU17697" s="19"/>
    </row>
    <row r="17698" spans="3:47">
      <c r="C17698" s="20"/>
      <c r="Z17698" s="20"/>
      <c r="AG17698" s="20"/>
      <c r="AQ17698" s="19"/>
      <c r="AR17698" s="19"/>
      <c r="AS17698" s="19"/>
      <c r="AT17698" s="19"/>
      <c r="AU17698" s="19"/>
    </row>
    <row r="17699" spans="3:47">
      <c r="C17699" s="20"/>
      <c r="Z17699" s="20"/>
      <c r="AG17699" s="20"/>
      <c r="AQ17699" s="19"/>
      <c r="AR17699" s="19"/>
      <c r="AS17699" s="19"/>
      <c r="AT17699" s="19"/>
      <c r="AU17699" s="19"/>
    </row>
    <row r="17700" spans="3:47">
      <c r="C17700" s="20"/>
      <c r="Z17700" s="20"/>
      <c r="AG17700" s="20"/>
      <c r="AQ17700" s="19"/>
      <c r="AR17700" s="19"/>
      <c r="AS17700" s="19"/>
      <c r="AT17700" s="19"/>
      <c r="AU17700" s="19"/>
    </row>
    <row r="17701" spans="3:47">
      <c r="C17701" s="20"/>
      <c r="Z17701" s="20"/>
      <c r="AG17701" s="20"/>
      <c r="AQ17701" s="19"/>
      <c r="AR17701" s="19"/>
      <c r="AS17701" s="19"/>
      <c r="AT17701" s="19"/>
      <c r="AU17701" s="19"/>
    </row>
    <row r="17702" spans="3:47">
      <c r="C17702" s="20"/>
      <c r="Z17702" s="20"/>
      <c r="AG17702" s="20"/>
      <c r="AQ17702" s="19"/>
      <c r="AR17702" s="19"/>
      <c r="AS17702" s="19"/>
      <c r="AT17702" s="19"/>
      <c r="AU17702" s="19"/>
    </row>
    <row r="17703" spans="3:47">
      <c r="C17703" s="20"/>
      <c r="Z17703" s="20"/>
      <c r="AG17703" s="20"/>
      <c r="AQ17703" s="19"/>
      <c r="AR17703" s="19"/>
      <c r="AS17703" s="19"/>
      <c r="AT17703" s="19"/>
      <c r="AU17703" s="19"/>
    </row>
    <row r="17704" spans="3:47">
      <c r="C17704" s="20"/>
      <c r="Z17704" s="20"/>
      <c r="AG17704" s="20"/>
      <c r="AQ17704" s="19"/>
      <c r="AR17704" s="19"/>
      <c r="AS17704" s="19"/>
      <c r="AT17704" s="19"/>
      <c r="AU17704" s="19"/>
    </row>
    <row r="17705" spans="3:47">
      <c r="C17705" s="20"/>
      <c r="Z17705" s="20"/>
      <c r="AG17705" s="20"/>
      <c r="AQ17705" s="19"/>
      <c r="AR17705" s="19"/>
      <c r="AS17705" s="19"/>
      <c r="AT17705" s="19"/>
      <c r="AU17705" s="19"/>
    </row>
    <row r="17706" spans="3:47">
      <c r="C17706" s="20"/>
      <c r="Z17706" s="20"/>
      <c r="AG17706" s="20"/>
      <c r="AQ17706" s="19"/>
      <c r="AR17706" s="19"/>
      <c r="AS17706" s="19"/>
      <c r="AT17706" s="19"/>
      <c r="AU17706" s="19"/>
    </row>
    <row r="17707" spans="3:47">
      <c r="C17707" s="20"/>
      <c r="Z17707" s="20"/>
      <c r="AG17707" s="20"/>
      <c r="AQ17707" s="19"/>
      <c r="AR17707" s="19"/>
      <c r="AS17707" s="19"/>
      <c r="AT17707" s="19"/>
      <c r="AU17707" s="19"/>
    </row>
    <row r="17708" spans="3:47">
      <c r="C17708" s="20"/>
      <c r="Z17708" s="20"/>
      <c r="AG17708" s="20"/>
      <c r="AQ17708" s="19"/>
      <c r="AR17708" s="19"/>
      <c r="AS17708" s="19"/>
      <c r="AT17708" s="19"/>
      <c r="AU17708" s="19"/>
    </row>
    <row r="17709" spans="3:47">
      <c r="C17709" s="20"/>
      <c r="Z17709" s="20"/>
      <c r="AG17709" s="20"/>
      <c r="AQ17709" s="19"/>
      <c r="AR17709" s="19"/>
      <c r="AS17709" s="19"/>
      <c r="AT17709" s="19"/>
      <c r="AU17709" s="19"/>
    </row>
    <row r="17710" spans="3:47">
      <c r="C17710" s="20"/>
      <c r="Z17710" s="20"/>
      <c r="AG17710" s="20"/>
      <c r="AQ17710" s="19"/>
      <c r="AR17710" s="19"/>
      <c r="AS17710" s="19"/>
      <c r="AT17710" s="19"/>
      <c r="AU17710" s="19"/>
    </row>
    <row r="17711" spans="3:47">
      <c r="C17711" s="20"/>
      <c r="Z17711" s="20"/>
      <c r="AG17711" s="20"/>
      <c r="AQ17711" s="19"/>
      <c r="AR17711" s="19"/>
      <c r="AS17711" s="19"/>
      <c r="AT17711" s="19"/>
      <c r="AU17711" s="19"/>
    </row>
    <row r="17712" spans="3:47">
      <c r="C17712" s="20"/>
      <c r="Z17712" s="20"/>
      <c r="AG17712" s="20"/>
      <c r="AQ17712" s="19"/>
      <c r="AR17712" s="19"/>
      <c r="AS17712" s="19"/>
      <c r="AT17712" s="19"/>
      <c r="AU17712" s="19"/>
    </row>
    <row r="17713" spans="3:47">
      <c r="C17713" s="20"/>
      <c r="Z17713" s="20"/>
      <c r="AG17713" s="20"/>
      <c r="AQ17713" s="19"/>
      <c r="AR17713" s="19"/>
      <c r="AS17713" s="19"/>
      <c r="AT17713" s="19"/>
      <c r="AU17713" s="19"/>
    </row>
    <row r="17714" spans="3:47">
      <c r="C17714" s="20"/>
      <c r="Z17714" s="20"/>
      <c r="AG17714" s="20"/>
      <c r="AQ17714" s="19"/>
      <c r="AR17714" s="19"/>
      <c r="AS17714" s="19"/>
      <c r="AT17714" s="19"/>
      <c r="AU17714" s="19"/>
    </row>
    <row r="17715" spans="3:47">
      <c r="C17715" s="20"/>
      <c r="Z17715" s="20"/>
      <c r="AG17715" s="20"/>
      <c r="AQ17715" s="19"/>
      <c r="AR17715" s="19"/>
      <c r="AS17715" s="19"/>
      <c r="AT17715" s="19"/>
      <c r="AU17715" s="19"/>
    </row>
    <row r="17716" spans="3:47">
      <c r="C17716" s="20"/>
      <c r="Z17716" s="20"/>
      <c r="AG17716" s="20"/>
      <c r="AQ17716" s="19"/>
      <c r="AR17716" s="19"/>
      <c r="AS17716" s="19"/>
      <c r="AT17716" s="19"/>
      <c r="AU17716" s="19"/>
    </row>
    <row r="17717" spans="3:47">
      <c r="C17717" s="20"/>
      <c r="Z17717" s="20"/>
      <c r="AG17717" s="20"/>
      <c r="AQ17717" s="19"/>
      <c r="AR17717" s="19"/>
      <c r="AS17717" s="19"/>
      <c r="AT17717" s="19"/>
      <c r="AU17717" s="19"/>
    </row>
    <row r="17718" spans="3:47">
      <c r="C17718" s="20"/>
      <c r="Z17718" s="20"/>
      <c r="AG17718" s="20"/>
      <c r="AQ17718" s="19"/>
      <c r="AR17718" s="19"/>
      <c r="AS17718" s="19"/>
      <c r="AT17718" s="19"/>
      <c r="AU17718" s="19"/>
    </row>
    <row r="17719" spans="3:47">
      <c r="C17719" s="20"/>
      <c r="Z17719" s="20"/>
      <c r="AG17719" s="20"/>
      <c r="AQ17719" s="19"/>
      <c r="AR17719" s="19"/>
      <c r="AS17719" s="19"/>
      <c r="AT17719" s="19"/>
      <c r="AU17719" s="19"/>
    </row>
    <row r="17720" spans="3:47">
      <c r="C17720" s="20"/>
      <c r="Z17720" s="20"/>
      <c r="AG17720" s="20"/>
      <c r="AQ17720" s="19"/>
      <c r="AR17720" s="19"/>
      <c r="AS17720" s="19"/>
      <c r="AT17720" s="19"/>
      <c r="AU17720" s="19"/>
    </row>
    <row r="17721" spans="3:47">
      <c r="C17721" s="20"/>
      <c r="Z17721" s="20"/>
      <c r="AG17721" s="20"/>
      <c r="AQ17721" s="19"/>
      <c r="AR17721" s="19"/>
      <c r="AS17721" s="19"/>
      <c r="AT17721" s="19"/>
      <c r="AU17721" s="19"/>
    </row>
    <row r="17722" spans="3:47">
      <c r="C17722" s="20"/>
      <c r="Z17722" s="20"/>
      <c r="AG17722" s="20"/>
      <c r="AQ17722" s="19"/>
      <c r="AR17722" s="19"/>
      <c r="AS17722" s="19"/>
      <c r="AT17722" s="19"/>
      <c r="AU17722" s="19"/>
    </row>
    <row r="17723" spans="3:47">
      <c r="C17723" s="20"/>
      <c r="Z17723" s="20"/>
      <c r="AG17723" s="20"/>
      <c r="AQ17723" s="19"/>
      <c r="AR17723" s="19"/>
      <c r="AS17723" s="19"/>
      <c r="AT17723" s="19"/>
      <c r="AU17723" s="19"/>
    </row>
    <row r="17724" spans="3:47">
      <c r="C17724" s="20"/>
      <c r="Z17724" s="20"/>
      <c r="AG17724" s="20"/>
      <c r="AQ17724" s="19"/>
      <c r="AR17724" s="19"/>
      <c r="AS17724" s="19"/>
      <c r="AT17724" s="19"/>
      <c r="AU17724" s="19"/>
    </row>
    <row r="17725" spans="3:47">
      <c r="C17725" s="20"/>
      <c r="Z17725" s="20"/>
      <c r="AG17725" s="20"/>
      <c r="AQ17725" s="19"/>
      <c r="AR17725" s="19"/>
      <c r="AS17725" s="19"/>
      <c r="AT17725" s="19"/>
      <c r="AU17725" s="19"/>
    </row>
    <row r="17726" spans="3:47">
      <c r="C17726" s="20"/>
      <c r="Z17726" s="20"/>
      <c r="AG17726" s="20"/>
      <c r="AQ17726" s="19"/>
      <c r="AR17726" s="19"/>
      <c r="AS17726" s="19"/>
      <c r="AT17726" s="19"/>
      <c r="AU17726" s="19"/>
    </row>
    <row r="17727" spans="3:47">
      <c r="C17727" s="20"/>
      <c r="Z17727" s="20"/>
      <c r="AG17727" s="20"/>
      <c r="AQ17727" s="19"/>
      <c r="AR17727" s="19"/>
      <c r="AS17727" s="19"/>
      <c r="AT17727" s="19"/>
      <c r="AU17727" s="19"/>
    </row>
    <row r="17728" spans="3:47">
      <c r="C17728" s="20"/>
      <c r="Z17728" s="20"/>
      <c r="AG17728" s="20"/>
      <c r="AQ17728" s="19"/>
      <c r="AR17728" s="19"/>
      <c r="AS17728" s="19"/>
      <c r="AT17728" s="19"/>
      <c r="AU17728" s="19"/>
    </row>
    <row r="17729" spans="3:47">
      <c r="C17729" s="20"/>
      <c r="Z17729" s="20"/>
      <c r="AG17729" s="20"/>
      <c r="AQ17729" s="19"/>
      <c r="AR17729" s="19"/>
      <c r="AS17729" s="19"/>
      <c r="AT17729" s="19"/>
      <c r="AU17729" s="19"/>
    </row>
    <row r="17730" spans="3:47">
      <c r="C17730" s="20"/>
      <c r="Z17730" s="20"/>
      <c r="AG17730" s="20"/>
      <c r="AQ17730" s="19"/>
      <c r="AR17730" s="19"/>
      <c r="AS17730" s="19"/>
      <c r="AT17730" s="19"/>
      <c r="AU17730" s="19"/>
    </row>
    <row r="17731" spans="3:47">
      <c r="C17731" s="20"/>
      <c r="Z17731" s="20"/>
      <c r="AG17731" s="20"/>
      <c r="AQ17731" s="19"/>
      <c r="AR17731" s="19"/>
      <c r="AS17731" s="19"/>
      <c r="AT17731" s="19"/>
      <c r="AU17731" s="19"/>
    </row>
    <row r="17732" spans="3:47">
      <c r="C17732" s="20"/>
      <c r="Z17732" s="20"/>
      <c r="AG17732" s="20"/>
      <c r="AQ17732" s="19"/>
      <c r="AR17732" s="19"/>
      <c r="AS17732" s="19"/>
      <c r="AT17732" s="19"/>
      <c r="AU17732" s="19"/>
    </row>
    <row r="17733" spans="3:47">
      <c r="C17733" s="20"/>
      <c r="Z17733" s="20"/>
      <c r="AG17733" s="20"/>
      <c r="AQ17733" s="19"/>
      <c r="AR17733" s="19"/>
      <c r="AS17733" s="19"/>
      <c r="AT17733" s="19"/>
      <c r="AU17733" s="19"/>
    </row>
    <row r="17734" spans="3:47">
      <c r="C17734" s="20"/>
      <c r="Z17734" s="20"/>
      <c r="AG17734" s="20"/>
      <c r="AQ17734" s="19"/>
      <c r="AR17734" s="19"/>
      <c r="AS17734" s="19"/>
      <c r="AT17734" s="19"/>
      <c r="AU17734" s="19"/>
    </row>
    <row r="17735" spans="3:47">
      <c r="C17735" s="20"/>
      <c r="Z17735" s="20"/>
      <c r="AG17735" s="20"/>
      <c r="AQ17735" s="19"/>
      <c r="AR17735" s="19"/>
      <c r="AS17735" s="19"/>
      <c r="AT17735" s="19"/>
      <c r="AU17735" s="19"/>
    </row>
    <row r="17736" spans="3:47">
      <c r="C17736" s="20"/>
      <c r="Z17736" s="20"/>
      <c r="AG17736" s="20"/>
      <c r="AQ17736" s="19"/>
      <c r="AR17736" s="19"/>
      <c r="AS17736" s="19"/>
      <c r="AT17736" s="19"/>
      <c r="AU17736" s="19"/>
    </row>
    <row r="17737" spans="3:47">
      <c r="C17737" s="20"/>
      <c r="Z17737" s="20"/>
      <c r="AG17737" s="20"/>
      <c r="AQ17737" s="19"/>
      <c r="AR17737" s="19"/>
      <c r="AS17737" s="19"/>
      <c r="AT17737" s="19"/>
      <c r="AU17737" s="19"/>
    </row>
    <row r="17738" spans="3:47">
      <c r="C17738" s="20"/>
      <c r="Z17738" s="20"/>
      <c r="AG17738" s="20"/>
      <c r="AQ17738" s="19"/>
      <c r="AR17738" s="19"/>
      <c r="AS17738" s="19"/>
      <c r="AT17738" s="19"/>
      <c r="AU17738" s="19"/>
    </row>
    <row r="17739" spans="3:47">
      <c r="C17739" s="20"/>
      <c r="Z17739" s="20"/>
      <c r="AG17739" s="20"/>
      <c r="AQ17739" s="19"/>
      <c r="AR17739" s="19"/>
      <c r="AS17739" s="19"/>
      <c r="AT17739" s="19"/>
      <c r="AU17739" s="19"/>
    </row>
    <row r="17740" spans="3:47">
      <c r="C17740" s="20"/>
      <c r="Z17740" s="20"/>
      <c r="AG17740" s="20"/>
      <c r="AQ17740" s="19"/>
      <c r="AR17740" s="19"/>
      <c r="AS17740" s="19"/>
      <c r="AT17740" s="19"/>
      <c r="AU17740" s="19"/>
    </row>
    <row r="17741" spans="3:47">
      <c r="C17741" s="20"/>
      <c r="Z17741" s="20"/>
      <c r="AG17741" s="20"/>
      <c r="AQ17741" s="19"/>
      <c r="AR17741" s="19"/>
      <c r="AS17741" s="19"/>
      <c r="AT17741" s="19"/>
      <c r="AU17741" s="19"/>
    </row>
    <row r="17742" spans="3:47">
      <c r="C17742" s="20"/>
      <c r="Z17742" s="20"/>
      <c r="AG17742" s="20"/>
      <c r="AQ17742" s="19"/>
      <c r="AR17742" s="19"/>
      <c r="AS17742" s="19"/>
      <c r="AT17742" s="19"/>
      <c r="AU17742" s="19"/>
    </row>
    <row r="17743" spans="3:47">
      <c r="C17743" s="20"/>
      <c r="Z17743" s="20"/>
      <c r="AG17743" s="20"/>
      <c r="AQ17743" s="19"/>
      <c r="AR17743" s="19"/>
      <c r="AS17743" s="19"/>
      <c r="AT17743" s="19"/>
      <c r="AU17743" s="19"/>
    </row>
    <row r="17744" spans="3:47">
      <c r="C17744" s="20"/>
      <c r="Z17744" s="20"/>
      <c r="AG17744" s="20"/>
      <c r="AQ17744" s="19"/>
      <c r="AR17744" s="19"/>
      <c r="AS17744" s="19"/>
      <c r="AT17744" s="19"/>
      <c r="AU17744" s="19"/>
    </row>
    <row r="17745" spans="3:47">
      <c r="C17745" s="20"/>
      <c r="Z17745" s="20"/>
      <c r="AG17745" s="20"/>
      <c r="AQ17745" s="19"/>
      <c r="AR17745" s="19"/>
      <c r="AS17745" s="19"/>
      <c r="AT17745" s="19"/>
      <c r="AU17745" s="19"/>
    </row>
    <row r="17746" spans="3:47">
      <c r="C17746" s="20"/>
      <c r="Z17746" s="20"/>
      <c r="AG17746" s="20"/>
      <c r="AQ17746" s="19"/>
      <c r="AR17746" s="19"/>
      <c r="AS17746" s="19"/>
      <c r="AT17746" s="19"/>
      <c r="AU17746" s="19"/>
    </row>
    <row r="17747" spans="3:47">
      <c r="C17747" s="20"/>
      <c r="Z17747" s="20"/>
      <c r="AG17747" s="20"/>
      <c r="AQ17747" s="19"/>
      <c r="AR17747" s="19"/>
      <c r="AS17747" s="19"/>
      <c r="AT17747" s="19"/>
      <c r="AU17747" s="19"/>
    </row>
    <row r="17748" spans="3:47">
      <c r="C17748" s="20"/>
      <c r="Z17748" s="20"/>
      <c r="AG17748" s="20"/>
      <c r="AQ17748" s="19"/>
      <c r="AR17748" s="19"/>
      <c r="AS17748" s="19"/>
      <c r="AT17748" s="19"/>
      <c r="AU17748" s="19"/>
    </row>
    <row r="17749" spans="3:47">
      <c r="C17749" s="20"/>
      <c r="Z17749" s="20"/>
      <c r="AG17749" s="20"/>
      <c r="AQ17749" s="19"/>
      <c r="AR17749" s="19"/>
      <c r="AS17749" s="19"/>
      <c r="AT17749" s="19"/>
      <c r="AU17749" s="19"/>
    </row>
    <row r="17750" spans="3:47">
      <c r="C17750" s="20"/>
      <c r="Z17750" s="20"/>
      <c r="AG17750" s="20"/>
      <c r="AQ17750" s="19"/>
      <c r="AR17750" s="19"/>
      <c r="AS17750" s="19"/>
      <c r="AT17750" s="19"/>
      <c r="AU17750" s="19"/>
    </row>
    <row r="17751" spans="3:47">
      <c r="C17751" s="20"/>
      <c r="Z17751" s="20"/>
      <c r="AG17751" s="20"/>
      <c r="AQ17751" s="19"/>
      <c r="AR17751" s="19"/>
      <c r="AS17751" s="19"/>
      <c r="AT17751" s="19"/>
      <c r="AU17751" s="19"/>
    </row>
    <row r="17752" spans="3:47">
      <c r="C17752" s="20"/>
      <c r="Z17752" s="20"/>
      <c r="AG17752" s="20"/>
      <c r="AQ17752" s="19"/>
      <c r="AR17752" s="19"/>
      <c r="AS17752" s="19"/>
      <c r="AT17752" s="19"/>
      <c r="AU17752" s="19"/>
    </row>
    <row r="17753" spans="3:47">
      <c r="C17753" s="20"/>
      <c r="Z17753" s="20"/>
      <c r="AG17753" s="20"/>
      <c r="AQ17753" s="19"/>
      <c r="AR17753" s="19"/>
      <c r="AS17753" s="19"/>
      <c r="AT17753" s="19"/>
      <c r="AU17753" s="19"/>
    </row>
    <row r="17754" spans="3:47">
      <c r="C17754" s="20"/>
      <c r="Z17754" s="20"/>
      <c r="AG17754" s="20"/>
      <c r="AQ17754" s="19"/>
      <c r="AR17754" s="19"/>
      <c r="AS17754" s="19"/>
      <c r="AT17754" s="19"/>
      <c r="AU17754" s="19"/>
    </row>
    <row r="17755" spans="3:47">
      <c r="C17755" s="20"/>
      <c r="Z17755" s="20"/>
      <c r="AG17755" s="20"/>
      <c r="AQ17755" s="19"/>
      <c r="AR17755" s="19"/>
      <c r="AS17755" s="19"/>
      <c r="AT17755" s="19"/>
      <c r="AU17755" s="19"/>
    </row>
    <row r="17756" spans="3:47">
      <c r="C17756" s="20"/>
      <c r="Z17756" s="20"/>
      <c r="AG17756" s="20"/>
      <c r="AQ17756" s="19"/>
      <c r="AR17756" s="19"/>
      <c r="AS17756" s="19"/>
      <c r="AT17756" s="19"/>
      <c r="AU17756" s="19"/>
    </row>
    <row r="17757" spans="3:47">
      <c r="C17757" s="20"/>
      <c r="Z17757" s="20"/>
      <c r="AG17757" s="20"/>
      <c r="AQ17757" s="19"/>
      <c r="AR17757" s="19"/>
      <c r="AS17757" s="19"/>
      <c r="AT17757" s="19"/>
      <c r="AU17757" s="19"/>
    </row>
    <row r="17758" spans="3:47">
      <c r="C17758" s="20"/>
      <c r="Z17758" s="20"/>
      <c r="AG17758" s="20"/>
      <c r="AQ17758" s="19"/>
      <c r="AR17758" s="19"/>
      <c r="AS17758" s="19"/>
      <c r="AT17758" s="19"/>
      <c r="AU17758" s="19"/>
    </row>
    <row r="17759" spans="3:47">
      <c r="C17759" s="20"/>
      <c r="Z17759" s="20"/>
      <c r="AG17759" s="20"/>
      <c r="AQ17759" s="19"/>
      <c r="AR17759" s="19"/>
      <c r="AS17759" s="19"/>
      <c r="AT17759" s="19"/>
      <c r="AU17759" s="19"/>
    </row>
    <row r="17760" spans="3:47">
      <c r="C17760" s="20"/>
      <c r="Z17760" s="20"/>
      <c r="AG17760" s="20"/>
      <c r="AQ17760" s="19"/>
      <c r="AR17760" s="19"/>
      <c r="AS17760" s="19"/>
      <c r="AT17760" s="19"/>
      <c r="AU17760" s="19"/>
    </row>
    <row r="17761" spans="3:47">
      <c r="C17761" s="20"/>
      <c r="Z17761" s="20"/>
      <c r="AG17761" s="20"/>
      <c r="AQ17761" s="19"/>
      <c r="AR17761" s="19"/>
      <c r="AS17761" s="19"/>
      <c r="AT17761" s="19"/>
      <c r="AU17761" s="19"/>
    </row>
    <row r="17762" spans="3:47">
      <c r="C17762" s="20"/>
      <c r="Z17762" s="20"/>
      <c r="AG17762" s="20"/>
      <c r="AQ17762" s="19"/>
      <c r="AR17762" s="19"/>
      <c r="AS17762" s="19"/>
      <c r="AT17762" s="19"/>
      <c r="AU17762" s="19"/>
    </row>
    <row r="17763" spans="3:47">
      <c r="C17763" s="20"/>
      <c r="Z17763" s="20"/>
      <c r="AG17763" s="20"/>
      <c r="AQ17763" s="19"/>
      <c r="AR17763" s="19"/>
      <c r="AS17763" s="19"/>
      <c r="AT17763" s="19"/>
      <c r="AU17763" s="19"/>
    </row>
    <row r="17764" spans="3:47">
      <c r="C17764" s="20"/>
      <c r="Z17764" s="20"/>
      <c r="AG17764" s="20"/>
      <c r="AQ17764" s="19"/>
      <c r="AR17764" s="19"/>
      <c r="AS17764" s="19"/>
      <c r="AT17764" s="19"/>
      <c r="AU17764" s="19"/>
    </row>
    <row r="17765" spans="3:47">
      <c r="C17765" s="20"/>
      <c r="Z17765" s="20"/>
      <c r="AG17765" s="20"/>
      <c r="AQ17765" s="19"/>
      <c r="AR17765" s="19"/>
      <c r="AS17765" s="19"/>
      <c r="AT17765" s="19"/>
      <c r="AU17765" s="19"/>
    </row>
    <row r="17766" spans="3:47">
      <c r="C17766" s="20"/>
      <c r="Z17766" s="20"/>
      <c r="AG17766" s="20"/>
      <c r="AQ17766" s="19"/>
      <c r="AR17766" s="19"/>
      <c r="AS17766" s="19"/>
      <c r="AT17766" s="19"/>
      <c r="AU17766" s="19"/>
    </row>
    <row r="17767" spans="3:47">
      <c r="C17767" s="20"/>
      <c r="Z17767" s="20"/>
      <c r="AG17767" s="20"/>
      <c r="AQ17767" s="19"/>
      <c r="AR17767" s="19"/>
      <c r="AS17767" s="19"/>
      <c r="AT17767" s="19"/>
      <c r="AU17767" s="19"/>
    </row>
    <row r="17768" spans="3:47">
      <c r="C17768" s="20"/>
      <c r="Z17768" s="20"/>
      <c r="AG17768" s="20"/>
      <c r="AQ17768" s="19"/>
      <c r="AR17768" s="19"/>
      <c r="AS17768" s="19"/>
      <c r="AT17768" s="19"/>
      <c r="AU17768" s="19"/>
    </row>
    <row r="17769" spans="3:47">
      <c r="C17769" s="20"/>
      <c r="Z17769" s="20"/>
      <c r="AG17769" s="20"/>
      <c r="AQ17769" s="19"/>
      <c r="AR17769" s="19"/>
      <c r="AS17769" s="19"/>
      <c r="AT17769" s="19"/>
      <c r="AU17769" s="19"/>
    </row>
    <row r="17770" spans="3:47">
      <c r="C17770" s="20"/>
      <c r="Z17770" s="20"/>
      <c r="AG17770" s="20"/>
      <c r="AQ17770" s="19"/>
      <c r="AR17770" s="19"/>
      <c r="AS17770" s="19"/>
      <c r="AT17770" s="19"/>
      <c r="AU17770" s="19"/>
    </row>
    <row r="17771" spans="3:47">
      <c r="C17771" s="20"/>
      <c r="Z17771" s="20"/>
      <c r="AG17771" s="20"/>
      <c r="AQ17771" s="19"/>
      <c r="AR17771" s="19"/>
      <c r="AS17771" s="19"/>
      <c r="AT17771" s="19"/>
      <c r="AU17771" s="19"/>
    </row>
    <row r="17772" spans="3:47">
      <c r="C17772" s="20"/>
      <c r="Z17772" s="20"/>
      <c r="AG17772" s="20"/>
      <c r="AQ17772" s="19"/>
      <c r="AR17772" s="19"/>
      <c r="AS17772" s="19"/>
      <c r="AT17772" s="19"/>
      <c r="AU17772" s="19"/>
    </row>
    <row r="17773" spans="3:47">
      <c r="C17773" s="20"/>
      <c r="Z17773" s="20"/>
      <c r="AG17773" s="20"/>
      <c r="AQ17773" s="19"/>
      <c r="AR17773" s="19"/>
      <c r="AS17773" s="19"/>
      <c r="AT17773" s="19"/>
      <c r="AU17773" s="19"/>
    </row>
    <row r="17774" spans="3:47">
      <c r="C17774" s="20"/>
      <c r="Z17774" s="20"/>
      <c r="AG17774" s="20"/>
      <c r="AQ17774" s="19"/>
      <c r="AR17774" s="19"/>
      <c r="AS17774" s="19"/>
      <c r="AT17774" s="19"/>
      <c r="AU17774" s="19"/>
    </row>
    <row r="17775" spans="3:47">
      <c r="C17775" s="20"/>
      <c r="Z17775" s="20"/>
      <c r="AG17775" s="20"/>
      <c r="AQ17775" s="19"/>
      <c r="AR17775" s="19"/>
      <c r="AS17775" s="19"/>
      <c r="AT17775" s="19"/>
      <c r="AU17775" s="19"/>
    </row>
    <row r="17776" spans="3:47">
      <c r="C17776" s="20"/>
      <c r="Z17776" s="20"/>
      <c r="AG17776" s="20"/>
      <c r="AQ17776" s="19"/>
      <c r="AR17776" s="19"/>
      <c r="AS17776" s="19"/>
      <c r="AT17776" s="19"/>
      <c r="AU17776" s="19"/>
    </row>
    <row r="17777" spans="3:47">
      <c r="C17777" s="20"/>
      <c r="Z17777" s="20"/>
      <c r="AG17777" s="20"/>
      <c r="AQ17777" s="19"/>
      <c r="AR17777" s="19"/>
      <c r="AS17777" s="19"/>
      <c r="AT17777" s="19"/>
      <c r="AU17777" s="19"/>
    </row>
    <row r="17778" spans="3:47">
      <c r="C17778" s="20"/>
      <c r="Z17778" s="20"/>
      <c r="AG17778" s="20"/>
      <c r="AQ17778" s="19"/>
      <c r="AR17778" s="19"/>
      <c r="AS17778" s="19"/>
      <c r="AT17778" s="19"/>
      <c r="AU17778" s="19"/>
    </row>
    <row r="17779" spans="3:47">
      <c r="C17779" s="20"/>
      <c r="Z17779" s="20"/>
      <c r="AG17779" s="20"/>
      <c r="AQ17779" s="19"/>
      <c r="AR17779" s="19"/>
      <c r="AS17779" s="19"/>
      <c r="AT17779" s="19"/>
      <c r="AU17779" s="19"/>
    </row>
    <row r="17780" spans="3:47">
      <c r="C17780" s="20"/>
      <c r="Z17780" s="20"/>
      <c r="AG17780" s="20"/>
      <c r="AQ17780" s="19"/>
      <c r="AR17780" s="19"/>
      <c r="AS17780" s="19"/>
      <c r="AT17780" s="19"/>
      <c r="AU17780" s="19"/>
    </row>
    <row r="17781" spans="3:47">
      <c r="C17781" s="20"/>
      <c r="Z17781" s="20"/>
      <c r="AG17781" s="20"/>
      <c r="AQ17781" s="19"/>
      <c r="AR17781" s="19"/>
      <c r="AS17781" s="19"/>
      <c r="AT17781" s="19"/>
      <c r="AU17781" s="19"/>
    </row>
    <row r="17782" spans="3:47">
      <c r="C17782" s="20"/>
      <c r="Z17782" s="20"/>
      <c r="AG17782" s="20"/>
      <c r="AQ17782" s="19"/>
      <c r="AR17782" s="19"/>
      <c r="AS17782" s="19"/>
      <c r="AT17782" s="19"/>
      <c r="AU17782" s="19"/>
    </row>
    <row r="17783" spans="3:47">
      <c r="C17783" s="20"/>
      <c r="Z17783" s="20"/>
      <c r="AG17783" s="20"/>
      <c r="AQ17783" s="19"/>
      <c r="AR17783" s="19"/>
      <c r="AS17783" s="19"/>
      <c r="AT17783" s="19"/>
      <c r="AU17783" s="19"/>
    </row>
    <row r="17784" spans="3:47">
      <c r="C17784" s="20"/>
      <c r="Z17784" s="20"/>
      <c r="AG17784" s="20"/>
      <c r="AQ17784" s="19"/>
      <c r="AR17784" s="19"/>
      <c r="AS17784" s="19"/>
      <c r="AT17784" s="19"/>
      <c r="AU17784" s="19"/>
    </row>
    <row r="17785" spans="3:47">
      <c r="C17785" s="20"/>
      <c r="Z17785" s="20"/>
      <c r="AG17785" s="20"/>
      <c r="AQ17785" s="19"/>
      <c r="AR17785" s="19"/>
      <c r="AS17785" s="19"/>
      <c r="AT17785" s="19"/>
      <c r="AU17785" s="19"/>
    </row>
    <row r="17786" spans="3:47">
      <c r="C17786" s="20"/>
      <c r="Z17786" s="20"/>
      <c r="AG17786" s="20"/>
      <c r="AQ17786" s="19"/>
      <c r="AR17786" s="19"/>
      <c r="AS17786" s="19"/>
      <c r="AT17786" s="19"/>
      <c r="AU17786" s="19"/>
    </row>
    <row r="17787" spans="3:47">
      <c r="C17787" s="20"/>
      <c r="Z17787" s="20"/>
      <c r="AG17787" s="20"/>
      <c r="AQ17787" s="19"/>
      <c r="AR17787" s="19"/>
      <c r="AS17787" s="19"/>
      <c r="AT17787" s="19"/>
      <c r="AU17787" s="19"/>
    </row>
    <row r="17788" spans="3:47">
      <c r="C17788" s="20"/>
      <c r="Z17788" s="20"/>
      <c r="AG17788" s="20"/>
      <c r="AQ17788" s="19"/>
      <c r="AR17788" s="19"/>
      <c r="AS17788" s="19"/>
      <c r="AT17788" s="19"/>
      <c r="AU17788" s="19"/>
    </row>
    <row r="17789" spans="3:47">
      <c r="C17789" s="20"/>
      <c r="Z17789" s="20"/>
      <c r="AG17789" s="20"/>
      <c r="AQ17789" s="19"/>
      <c r="AR17789" s="19"/>
      <c r="AS17789" s="19"/>
      <c r="AT17789" s="19"/>
      <c r="AU17789" s="19"/>
    </row>
    <row r="17790" spans="3:47">
      <c r="C17790" s="20"/>
      <c r="Z17790" s="20"/>
      <c r="AG17790" s="20"/>
      <c r="AQ17790" s="19"/>
      <c r="AR17790" s="19"/>
      <c r="AS17790" s="19"/>
      <c r="AT17790" s="19"/>
      <c r="AU17790" s="19"/>
    </row>
    <row r="17791" spans="3:47">
      <c r="C17791" s="20"/>
      <c r="Z17791" s="20"/>
      <c r="AG17791" s="20"/>
      <c r="AQ17791" s="19"/>
      <c r="AR17791" s="19"/>
      <c r="AS17791" s="19"/>
      <c r="AT17791" s="19"/>
      <c r="AU17791" s="19"/>
    </row>
    <row r="17792" spans="3:47">
      <c r="C17792" s="20"/>
      <c r="Z17792" s="20"/>
      <c r="AG17792" s="20"/>
      <c r="AQ17792" s="19"/>
      <c r="AR17792" s="19"/>
      <c r="AS17792" s="19"/>
      <c r="AT17792" s="19"/>
      <c r="AU17792" s="19"/>
    </row>
    <row r="17793" spans="3:47">
      <c r="C17793" s="20"/>
      <c r="Z17793" s="20"/>
      <c r="AG17793" s="20"/>
      <c r="AQ17793" s="19"/>
      <c r="AR17793" s="19"/>
      <c r="AS17793" s="19"/>
      <c r="AT17793" s="19"/>
      <c r="AU17793" s="19"/>
    </row>
    <row r="17794" spans="3:47">
      <c r="C17794" s="20"/>
      <c r="Z17794" s="20"/>
      <c r="AG17794" s="20"/>
      <c r="AQ17794" s="19"/>
      <c r="AR17794" s="19"/>
      <c r="AS17794" s="19"/>
      <c r="AT17794" s="19"/>
      <c r="AU17794" s="19"/>
    </row>
    <row r="17795" spans="3:47">
      <c r="C17795" s="20"/>
      <c r="Z17795" s="20"/>
      <c r="AG17795" s="20"/>
      <c r="AQ17795" s="19"/>
      <c r="AR17795" s="19"/>
      <c r="AS17795" s="19"/>
      <c r="AT17795" s="19"/>
      <c r="AU17795" s="19"/>
    </row>
    <row r="17796" spans="3:47">
      <c r="C17796" s="20"/>
      <c r="Z17796" s="20"/>
      <c r="AG17796" s="20"/>
      <c r="AQ17796" s="19"/>
      <c r="AR17796" s="19"/>
      <c r="AS17796" s="19"/>
      <c r="AT17796" s="19"/>
      <c r="AU17796" s="19"/>
    </row>
    <row r="17797" spans="3:47">
      <c r="C17797" s="20"/>
      <c r="Z17797" s="20"/>
      <c r="AG17797" s="20"/>
      <c r="AQ17797" s="19"/>
      <c r="AR17797" s="19"/>
      <c r="AS17797" s="19"/>
      <c r="AT17797" s="19"/>
      <c r="AU17797" s="19"/>
    </row>
    <row r="17798" spans="3:47">
      <c r="C17798" s="20"/>
      <c r="Z17798" s="20"/>
      <c r="AG17798" s="20"/>
      <c r="AQ17798" s="19"/>
      <c r="AR17798" s="19"/>
      <c r="AS17798" s="19"/>
      <c r="AT17798" s="19"/>
      <c r="AU17798" s="19"/>
    </row>
    <row r="17799" spans="3:47">
      <c r="C17799" s="20"/>
      <c r="Z17799" s="20"/>
      <c r="AG17799" s="20"/>
      <c r="AQ17799" s="19"/>
      <c r="AR17799" s="19"/>
      <c r="AS17799" s="19"/>
      <c r="AT17799" s="19"/>
      <c r="AU17799" s="19"/>
    </row>
    <row r="17800" spans="3:47">
      <c r="C17800" s="20"/>
      <c r="Z17800" s="20"/>
      <c r="AG17800" s="20"/>
      <c r="AQ17800" s="19"/>
      <c r="AR17800" s="19"/>
      <c r="AS17800" s="19"/>
      <c r="AT17800" s="19"/>
      <c r="AU17800" s="19"/>
    </row>
    <row r="17801" spans="3:47">
      <c r="C17801" s="20"/>
      <c r="Z17801" s="20"/>
      <c r="AG17801" s="20"/>
      <c r="AQ17801" s="19"/>
      <c r="AR17801" s="19"/>
      <c r="AS17801" s="19"/>
      <c r="AT17801" s="19"/>
      <c r="AU17801" s="19"/>
    </row>
    <row r="17802" spans="3:47">
      <c r="C17802" s="20"/>
      <c r="Z17802" s="20"/>
      <c r="AG17802" s="20"/>
      <c r="AQ17802" s="19"/>
      <c r="AR17802" s="19"/>
      <c r="AS17802" s="19"/>
      <c r="AT17802" s="19"/>
      <c r="AU17802" s="19"/>
    </row>
    <row r="17803" spans="3:47">
      <c r="C17803" s="20"/>
      <c r="Z17803" s="20"/>
      <c r="AG17803" s="20"/>
      <c r="AQ17803" s="19"/>
      <c r="AR17803" s="19"/>
      <c r="AS17803" s="19"/>
      <c r="AT17803" s="19"/>
      <c r="AU17803" s="19"/>
    </row>
    <row r="17804" spans="3:47">
      <c r="C17804" s="20"/>
      <c r="Z17804" s="20"/>
      <c r="AG17804" s="20"/>
      <c r="AQ17804" s="19"/>
      <c r="AR17804" s="19"/>
      <c r="AS17804" s="19"/>
      <c r="AT17804" s="19"/>
      <c r="AU17804" s="19"/>
    </row>
    <row r="17805" spans="3:47">
      <c r="C17805" s="20"/>
      <c r="Z17805" s="20"/>
      <c r="AG17805" s="20"/>
      <c r="AQ17805" s="19"/>
      <c r="AR17805" s="19"/>
      <c r="AS17805" s="19"/>
      <c r="AT17805" s="19"/>
      <c r="AU17805" s="19"/>
    </row>
    <row r="17806" spans="3:47">
      <c r="C17806" s="20"/>
      <c r="Z17806" s="20"/>
      <c r="AG17806" s="20"/>
      <c r="AQ17806" s="19"/>
      <c r="AR17806" s="19"/>
      <c r="AS17806" s="19"/>
      <c r="AT17806" s="19"/>
      <c r="AU17806" s="19"/>
    </row>
    <row r="17807" spans="3:47">
      <c r="C17807" s="20"/>
      <c r="Z17807" s="20"/>
      <c r="AG17807" s="20"/>
      <c r="AQ17807" s="19"/>
      <c r="AR17807" s="19"/>
      <c r="AS17807" s="19"/>
      <c r="AT17807" s="19"/>
      <c r="AU17807" s="19"/>
    </row>
    <row r="17808" spans="3:47">
      <c r="C17808" s="20"/>
      <c r="Z17808" s="20"/>
      <c r="AG17808" s="20"/>
      <c r="AQ17808" s="19"/>
      <c r="AR17808" s="19"/>
      <c r="AS17808" s="19"/>
      <c r="AT17808" s="19"/>
      <c r="AU17808" s="19"/>
    </row>
    <row r="17809" spans="3:47">
      <c r="C17809" s="20"/>
      <c r="Z17809" s="20"/>
      <c r="AG17809" s="20"/>
      <c r="AQ17809" s="19"/>
      <c r="AR17809" s="19"/>
      <c r="AS17809" s="19"/>
      <c r="AT17809" s="19"/>
      <c r="AU17809" s="19"/>
    </row>
    <row r="17810" spans="3:47">
      <c r="C17810" s="20"/>
      <c r="Z17810" s="20"/>
      <c r="AG17810" s="20"/>
      <c r="AQ17810" s="19"/>
      <c r="AR17810" s="19"/>
      <c r="AS17810" s="19"/>
      <c r="AT17810" s="19"/>
      <c r="AU17810" s="19"/>
    </row>
    <row r="17811" spans="3:47">
      <c r="C17811" s="20"/>
      <c r="Z17811" s="20"/>
      <c r="AG17811" s="20"/>
      <c r="AQ17811" s="19"/>
      <c r="AR17811" s="19"/>
      <c r="AS17811" s="19"/>
      <c r="AT17811" s="19"/>
      <c r="AU17811" s="19"/>
    </row>
    <row r="17812" spans="3:47">
      <c r="C17812" s="20"/>
      <c r="Z17812" s="20"/>
      <c r="AG17812" s="20"/>
      <c r="AQ17812" s="19"/>
      <c r="AR17812" s="19"/>
      <c r="AS17812" s="19"/>
      <c r="AT17812" s="19"/>
      <c r="AU17812" s="19"/>
    </row>
    <row r="17813" spans="3:47">
      <c r="C17813" s="20"/>
      <c r="Z17813" s="20"/>
      <c r="AG17813" s="20"/>
      <c r="AQ17813" s="19"/>
      <c r="AR17813" s="19"/>
      <c r="AS17813" s="19"/>
      <c r="AT17813" s="19"/>
      <c r="AU17813" s="19"/>
    </row>
    <row r="17814" spans="3:47">
      <c r="C17814" s="20"/>
      <c r="Z17814" s="20"/>
      <c r="AG17814" s="20"/>
      <c r="AQ17814" s="19"/>
      <c r="AR17814" s="19"/>
      <c r="AS17814" s="19"/>
      <c r="AT17814" s="19"/>
      <c r="AU17814" s="19"/>
    </row>
    <row r="17815" spans="3:47">
      <c r="C17815" s="20"/>
      <c r="Z17815" s="20"/>
      <c r="AG17815" s="20"/>
      <c r="AQ17815" s="19"/>
      <c r="AR17815" s="19"/>
      <c r="AS17815" s="19"/>
      <c r="AT17815" s="19"/>
      <c r="AU17815" s="19"/>
    </row>
    <row r="17816" spans="3:47">
      <c r="C17816" s="20"/>
      <c r="Z17816" s="20"/>
      <c r="AG17816" s="20"/>
      <c r="AQ17816" s="19"/>
      <c r="AR17816" s="19"/>
      <c r="AS17816" s="19"/>
      <c r="AT17816" s="19"/>
      <c r="AU17816" s="19"/>
    </row>
    <row r="17817" spans="3:47">
      <c r="C17817" s="20"/>
      <c r="Z17817" s="20"/>
      <c r="AG17817" s="20"/>
      <c r="AQ17817" s="19"/>
      <c r="AR17817" s="19"/>
      <c r="AS17817" s="19"/>
      <c r="AT17817" s="19"/>
      <c r="AU17817" s="19"/>
    </row>
    <row r="17818" spans="3:47">
      <c r="C17818" s="20"/>
      <c r="Z17818" s="20"/>
      <c r="AG17818" s="20"/>
      <c r="AQ17818" s="19"/>
      <c r="AR17818" s="19"/>
      <c r="AS17818" s="19"/>
      <c r="AT17818" s="19"/>
      <c r="AU17818" s="19"/>
    </row>
    <row r="17819" spans="3:47">
      <c r="C17819" s="20"/>
      <c r="Z17819" s="20"/>
      <c r="AG17819" s="20"/>
      <c r="AQ17819" s="19"/>
      <c r="AR17819" s="19"/>
      <c r="AS17819" s="19"/>
      <c r="AT17819" s="19"/>
      <c r="AU17819" s="19"/>
    </row>
    <row r="17820" spans="3:47">
      <c r="C17820" s="20"/>
      <c r="Z17820" s="20"/>
      <c r="AG17820" s="20"/>
      <c r="AQ17820" s="19"/>
      <c r="AR17820" s="19"/>
      <c r="AS17820" s="19"/>
      <c r="AT17820" s="19"/>
      <c r="AU17820" s="19"/>
    </row>
    <row r="17821" spans="3:47">
      <c r="C17821" s="20"/>
      <c r="Z17821" s="20"/>
      <c r="AG17821" s="20"/>
      <c r="AQ17821" s="19"/>
      <c r="AR17821" s="19"/>
      <c r="AS17821" s="19"/>
      <c r="AT17821" s="19"/>
      <c r="AU17821" s="19"/>
    </row>
    <row r="17822" spans="3:47">
      <c r="C17822" s="20"/>
      <c r="Z17822" s="20"/>
      <c r="AG17822" s="20"/>
      <c r="AQ17822" s="19"/>
      <c r="AR17822" s="19"/>
      <c r="AS17822" s="19"/>
      <c r="AT17822" s="19"/>
      <c r="AU17822" s="19"/>
    </row>
    <row r="17823" spans="3:47">
      <c r="C17823" s="20"/>
      <c r="Z17823" s="20"/>
      <c r="AG17823" s="20"/>
      <c r="AQ17823" s="19"/>
      <c r="AR17823" s="19"/>
      <c r="AS17823" s="19"/>
      <c r="AT17823" s="19"/>
      <c r="AU17823" s="19"/>
    </row>
    <row r="17824" spans="3:47">
      <c r="C17824" s="20"/>
      <c r="Z17824" s="20"/>
      <c r="AG17824" s="20"/>
      <c r="AQ17824" s="19"/>
      <c r="AR17824" s="19"/>
      <c r="AS17824" s="19"/>
      <c r="AT17824" s="19"/>
      <c r="AU17824" s="19"/>
    </row>
    <row r="17825" spans="3:47">
      <c r="C17825" s="20"/>
      <c r="Z17825" s="20"/>
      <c r="AG17825" s="20"/>
      <c r="AQ17825" s="19"/>
      <c r="AR17825" s="19"/>
      <c r="AS17825" s="19"/>
      <c r="AT17825" s="19"/>
      <c r="AU17825" s="19"/>
    </row>
    <row r="17826" spans="3:47">
      <c r="C17826" s="20"/>
      <c r="Z17826" s="20"/>
      <c r="AG17826" s="20"/>
      <c r="AQ17826" s="19"/>
      <c r="AR17826" s="19"/>
      <c r="AS17826" s="19"/>
      <c r="AT17826" s="19"/>
      <c r="AU17826" s="19"/>
    </row>
    <row r="17827" spans="3:47">
      <c r="C17827" s="20"/>
      <c r="Z17827" s="20"/>
      <c r="AG17827" s="20"/>
      <c r="AQ17827" s="19"/>
      <c r="AR17827" s="19"/>
      <c r="AS17827" s="19"/>
      <c r="AT17827" s="19"/>
      <c r="AU17827" s="19"/>
    </row>
    <row r="17828" spans="3:47">
      <c r="C17828" s="20"/>
      <c r="Z17828" s="20"/>
      <c r="AG17828" s="20"/>
      <c r="AQ17828" s="19"/>
      <c r="AR17828" s="19"/>
      <c r="AS17828" s="19"/>
      <c r="AT17828" s="19"/>
      <c r="AU17828" s="19"/>
    </row>
    <row r="17829" spans="3:47">
      <c r="C17829" s="20"/>
      <c r="Z17829" s="20"/>
      <c r="AG17829" s="20"/>
      <c r="AQ17829" s="19"/>
      <c r="AR17829" s="19"/>
      <c r="AS17829" s="19"/>
      <c r="AT17829" s="19"/>
      <c r="AU17829" s="19"/>
    </row>
    <row r="17830" spans="3:47">
      <c r="C17830" s="20"/>
      <c r="Z17830" s="20"/>
      <c r="AG17830" s="20"/>
      <c r="AQ17830" s="19"/>
      <c r="AR17830" s="19"/>
      <c r="AS17830" s="19"/>
      <c r="AT17830" s="19"/>
      <c r="AU17830" s="19"/>
    </row>
    <row r="17831" spans="3:47">
      <c r="C17831" s="20"/>
      <c r="Z17831" s="20"/>
      <c r="AG17831" s="20"/>
      <c r="AQ17831" s="19"/>
      <c r="AR17831" s="19"/>
      <c r="AS17831" s="19"/>
      <c r="AT17831" s="19"/>
      <c r="AU17831" s="19"/>
    </row>
    <row r="17832" spans="3:47">
      <c r="C17832" s="20"/>
      <c r="Z17832" s="20"/>
      <c r="AG17832" s="20"/>
      <c r="AQ17832" s="19"/>
      <c r="AR17832" s="19"/>
      <c r="AS17832" s="19"/>
      <c r="AT17832" s="19"/>
      <c r="AU17832" s="19"/>
    </row>
    <row r="17833" spans="3:47">
      <c r="C17833" s="20"/>
      <c r="Z17833" s="20"/>
      <c r="AG17833" s="20"/>
      <c r="AQ17833" s="19"/>
      <c r="AR17833" s="19"/>
      <c r="AS17833" s="19"/>
      <c r="AT17833" s="19"/>
      <c r="AU17833" s="19"/>
    </row>
    <row r="17834" spans="3:47">
      <c r="C17834" s="20"/>
      <c r="Z17834" s="20"/>
      <c r="AG17834" s="20"/>
      <c r="AQ17834" s="19"/>
      <c r="AR17834" s="19"/>
      <c r="AS17834" s="19"/>
      <c r="AT17834" s="19"/>
      <c r="AU17834" s="19"/>
    </row>
    <row r="17835" spans="3:47">
      <c r="C17835" s="20"/>
      <c r="Z17835" s="20"/>
      <c r="AG17835" s="20"/>
      <c r="AQ17835" s="19"/>
      <c r="AR17835" s="19"/>
      <c r="AS17835" s="19"/>
      <c r="AT17835" s="19"/>
      <c r="AU17835" s="19"/>
    </row>
    <row r="17836" spans="3:47">
      <c r="C17836" s="20"/>
      <c r="Z17836" s="20"/>
      <c r="AG17836" s="20"/>
      <c r="AQ17836" s="19"/>
      <c r="AR17836" s="19"/>
      <c r="AS17836" s="19"/>
      <c r="AT17836" s="19"/>
      <c r="AU17836" s="19"/>
    </row>
    <row r="17837" spans="3:47">
      <c r="C17837" s="20"/>
      <c r="Z17837" s="20"/>
      <c r="AG17837" s="20"/>
      <c r="AQ17837" s="19"/>
      <c r="AR17837" s="19"/>
      <c r="AS17837" s="19"/>
      <c r="AT17837" s="19"/>
      <c r="AU17837" s="19"/>
    </row>
    <row r="17838" spans="3:47">
      <c r="C17838" s="20"/>
      <c r="Z17838" s="20"/>
      <c r="AG17838" s="20"/>
      <c r="AQ17838" s="19"/>
      <c r="AR17838" s="19"/>
      <c r="AS17838" s="19"/>
      <c r="AT17838" s="19"/>
      <c r="AU17838" s="19"/>
    </row>
    <row r="17839" spans="3:47">
      <c r="C17839" s="20"/>
      <c r="Z17839" s="20"/>
      <c r="AG17839" s="20"/>
      <c r="AQ17839" s="19"/>
      <c r="AR17839" s="19"/>
      <c r="AS17839" s="19"/>
      <c r="AT17839" s="19"/>
      <c r="AU17839" s="19"/>
    </row>
    <row r="17840" spans="3:47">
      <c r="C17840" s="20"/>
      <c r="Z17840" s="20"/>
      <c r="AG17840" s="20"/>
      <c r="AQ17840" s="19"/>
      <c r="AR17840" s="19"/>
      <c r="AS17840" s="19"/>
      <c r="AT17840" s="19"/>
      <c r="AU17840" s="19"/>
    </row>
    <row r="17841" spans="3:47">
      <c r="C17841" s="20"/>
      <c r="Z17841" s="20"/>
      <c r="AG17841" s="20"/>
      <c r="AQ17841" s="19"/>
      <c r="AR17841" s="19"/>
      <c r="AS17841" s="19"/>
      <c r="AT17841" s="19"/>
      <c r="AU17841" s="19"/>
    </row>
    <row r="17842" spans="3:47">
      <c r="C17842" s="20"/>
      <c r="Z17842" s="20"/>
      <c r="AG17842" s="20"/>
      <c r="AQ17842" s="19"/>
      <c r="AR17842" s="19"/>
      <c r="AS17842" s="19"/>
      <c r="AT17842" s="19"/>
      <c r="AU17842" s="19"/>
    </row>
    <row r="17843" spans="3:47">
      <c r="C17843" s="20"/>
      <c r="Z17843" s="20"/>
      <c r="AG17843" s="20"/>
      <c r="AQ17843" s="19"/>
      <c r="AR17843" s="19"/>
      <c r="AS17843" s="19"/>
      <c r="AT17843" s="19"/>
      <c r="AU17843" s="19"/>
    </row>
    <row r="17844" spans="3:47">
      <c r="C17844" s="20"/>
      <c r="Z17844" s="20"/>
      <c r="AG17844" s="20"/>
      <c r="AQ17844" s="19"/>
      <c r="AR17844" s="19"/>
      <c r="AS17844" s="19"/>
      <c r="AT17844" s="19"/>
      <c r="AU17844" s="19"/>
    </row>
    <row r="17845" spans="3:47">
      <c r="C17845" s="20"/>
      <c r="Z17845" s="20"/>
      <c r="AG17845" s="20"/>
      <c r="AQ17845" s="19"/>
      <c r="AR17845" s="19"/>
      <c r="AS17845" s="19"/>
      <c r="AT17845" s="19"/>
      <c r="AU17845" s="19"/>
    </row>
    <row r="17846" spans="3:47">
      <c r="C17846" s="20"/>
      <c r="Z17846" s="20"/>
      <c r="AG17846" s="20"/>
      <c r="AQ17846" s="19"/>
      <c r="AR17846" s="19"/>
      <c r="AS17846" s="19"/>
      <c r="AT17846" s="19"/>
      <c r="AU17846" s="19"/>
    </row>
    <row r="17847" spans="3:47">
      <c r="C17847" s="20"/>
      <c r="Z17847" s="20"/>
      <c r="AG17847" s="20"/>
      <c r="AQ17847" s="19"/>
      <c r="AR17847" s="19"/>
      <c r="AS17847" s="19"/>
      <c r="AT17847" s="19"/>
      <c r="AU17847" s="19"/>
    </row>
    <row r="17848" spans="3:47">
      <c r="C17848" s="20"/>
      <c r="Z17848" s="20"/>
      <c r="AG17848" s="20"/>
      <c r="AQ17848" s="19"/>
      <c r="AR17848" s="19"/>
      <c r="AS17848" s="19"/>
      <c r="AT17848" s="19"/>
      <c r="AU17848" s="19"/>
    </row>
    <row r="17849" spans="3:47">
      <c r="C17849" s="20"/>
      <c r="Z17849" s="20"/>
      <c r="AG17849" s="20"/>
      <c r="AQ17849" s="19"/>
      <c r="AR17849" s="19"/>
      <c r="AS17849" s="19"/>
      <c r="AT17849" s="19"/>
      <c r="AU17849" s="19"/>
    </row>
    <row r="17850" spans="3:47">
      <c r="C17850" s="20"/>
      <c r="Z17850" s="20"/>
      <c r="AG17850" s="20"/>
      <c r="AQ17850" s="19"/>
      <c r="AR17850" s="19"/>
      <c r="AS17850" s="19"/>
      <c r="AT17850" s="19"/>
      <c r="AU17850" s="19"/>
    </row>
    <row r="17851" spans="3:47">
      <c r="C17851" s="20"/>
      <c r="Z17851" s="20"/>
      <c r="AG17851" s="20"/>
      <c r="AQ17851" s="19"/>
      <c r="AR17851" s="19"/>
      <c r="AS17851" s="19"/>
      <c r="AT17851" s="19"/>
      <c r="AU17851" s="19"/>
    </row>
    <row r="17852" spans="3:47">
      <c r="C17852" s="20"/>
      <c r="Z17852" s="20"/>
      <c r="AG17852" s="20"/>
      <c r="AQ17852" s="19"/>
      <c r="AR17852" s="19"/>
      <c r="AS17852" s="19"/>
      <c r="AT17852" s="19"/>
      <c r="AU17852" s="19"/>
    </row>
    <row r="17853" spans="3:47">
      <c r="C17853" s="20"/>
      <c r="Z17853" s="20"/>
      <c r="AG17853" s="20"/>
      <c r="AQ17853" s="19"/>
      <c r="AR17853" s="19"/>
      <c r="AS17853" s="19"/>
      <c r="AT17853" s="19"/>
      <c r="AU17853" s="19"/>
    </row>
    <row r="17854" spans="3:47">
      <c r="C17854" s="20"/>
      <c r="Z17854" s="20"/>
      <c r="AG17854" s="20"/>
      <c r="AQ17854" s="19"/>
      <c r="AR17854" s="19"/>
      <c r="AS17854" s="19"/>
      <c r="AT17854" s="19"/>
      <c r="AU17854" s="19"/>
    </row>
    <row r="17855" spans="3:47">
      <c r="C17855" s="20"/>
      <c r="Z17855" s="20"/>
      <c r="AG17855" s="20"/>
      <c r="AQ17855" s="19"/>
      <c r="AR17855" s="19"/>
      <c r="AS17855" s="19"/>
      <c r="AT17855" s="19"/>
      <c r="AU17855" s="19"/>
    </row>
    <row r="17856" spans="3:47">
      <c r="C17856" s="20"/>
      <c r="Z17856" s="20"/>
      <c r="AG17856" s="20"/>
      <c r="AQ17856" s="19"/>
      <c r="AR17856" s="19"/>
      <c r="AS17856" s="19"/>
      <c r="AT17856" s="19"/>
      <c r="AU17856" s="19"/>
    </row>
    <row r="17857" spans="3:47">
      <c r="C17857" s="20"/>
      <c r="Z17857" s="20"/>
      <c r="AG17857" s="20"/>
      <c r="AQ17857" s="19"/>
      <c r="AR17857" s="19"/>
      <c r="AS17857" s="19"/>
      <c r="AT17857" s="19"/>
      <c r="AU17857" s="19"/>
    </row>
    <row r="17858" spans="3:47">
      <c r="C17858" s="20"/>
      <c r="Z17858" s="20"/>
      <c r="AG17858" s="20"/>
      <c r="AQ17858" s="19"/>
      <c r="AR17858" s="19"/>
      <c r="AS17858" s="19"/>
      <c r="AT17858" s="19"/>
      <c r="AU17858" s="19"/>
    </row>
    <row r="17859" spans="3:47">
      <c r="C17859" s="20"/>
      <c r="Z17859" s="20"/>
      <c r="AG17859" s="20"/>
      <c r="AQ17859" s="19"/>
      <c r="AR17859" s="19"/>
      <c r="AS17859" s="19"/>
      <c r="AT17859" s="19"/>
      <c r="AU17859" s="19"/>
    </row>
    <row r="17860" spans="3:47">
      <c r="C17860" s="20"/>
      <c r="Z17860" s="20"/>
      <c r="AG17860" s="20"/>
      <c r="AQ17860" s="19"/>
      <c r="AR17860" s="19"/>
      <c r="AS17860" s="19"/>
      <c r="AT17860" s="19"/>
      <c r="AU17860" s="19"/>
    </row>
    <row r="17861" spans="3:47">
      <c r="C17861" s="20"/>
      <c r="Z17861" s="20"/>
      <c r="AG17861" s="20"/>
      <c r="AQ17861" s="19"/>
      <c r="AR17861" s="19"/>
      <c r="AS17861" s="19"/>
      <c r="AT17861" s="19"/>
      <c r="AU17861" s="19"/>
    </row>
    <row r="17862" spans="3:47">
      <c r="C17862" s="20"/>
      <c r="Z17862" s="20"/>
      <c r="AG17862" s="20"/>
      <c r="AQ17862" s="19"/>
      <c r="AR17862" s="19"/>
      <c r="AS17862" s="19"/>
      <c r="AT17862" s="19"/>
      <c r="AU17862" s="19"/>
    </row>
    <row r="17863" spans="3:47">
      <c r="C17863" s="20"/>
      <c r="Z17863" s="20"/>
      <c r="AG17863" s="20"/>
      <c r="AQ17863" s="19"/>
      <c r="AR17863" s="19"/>
      <c r="AS17863" s="19"/>
      <c r="AT17863" s="19"/>
      <c r="AU17863" s="19"/>
    </row>
    <row r="17864" spans="3:47">
      <c r="C17864" s="20"/>
      <c r="Z17864" s="20"/>
      <c r="AG17864" s="20"/>
      <c r="AQ17864" s="19"/>
      <c r="AR17864" s="19"/>
      <c r="AS17864" s="19"/>
      <c r="AT17864" s="19"/>
      <c r="AU17864" s="19"/>
    </row>
    <row r="17865" spans="3:47">
      <c r="C17865" s="20"/>
      <c r="Z17865" s="20"/>
      <c r="AG17865" s="20"/>
      <c r="AQ17865" s="19"/>
      <c r="AR17865" s="19"/>
      <c r="AS17865" s="19"/>
      <c r="AT17865" s="19"/>
      <c r="AU17865" s="19"/>
    </row>
    <row r="17866" spans="3:47">
      <c r="C17866" s="20"/>
      <c r="Z17866" s="20"/>
      <c r="AG17866" s="20"/>
      <c r="AQ17866" s="19"/>
      <c r="AR17866" s="19"/>
      <c r="AS17866" s="19"/>
      <c r="AT17866" s="19"/>
      <c r="AU17866" s="19"/>
    </row>
    <row r="17867" spans="3:47">
      <c r="C17867" s="20"/>
      <c r="Z17867" s="20"/>
      <c r="AG17867" s="20"/>
      <c r="AQ17867" s="19"/>
      <c r="AR17867" s="19"/>
      <c r="AS17867" s="19"/>
      <c r="AT17867" s="19"/>
      <c r="AU17867" s="19"/>
    </row>
    <row r="17868" spans="3:47">
      <c r="C17868" s="20"/>
      <c r="Z17868" s="20"/>
      <c r="AG17868" s="20"/>
      <c r="AQ17868" s="19"/>
      <c r="AR17868" s="19"/>
      <c r="AS17868" s="19"/>
      <c r="AT17868" s="19"/>
      <c r="AU17868" s="19"/>
    </row>
    <row r="17869" spans="3:47">
      <c r="C17869" s="20"/>
      <c r="Z17869" s="20"/>
      <c r="AG17869" s="20"/>
      <c r="AQ17869" s="19"/>
      <c r="AR17869" s="19"/>
      <c r="AS17869" s="19"/>
      <c r="AT17869" s="19"/>
      <c r="AU17869" s="19"/>
    </row>
    <row r="17870" spans="3:47">
      <c r="C17870" s="20"/>
      <c r="Z17870" s="20"/>
      <c r="AG17870" s="20"/>
      <c r="AQ17870" s="19"/>
      <c r="AR17870" s="19"/>
      <c r="AS17870" s="19"/>
      <c r="AT17870" s="19"/>
      <c r="AU17870" s="19"/>
    </row>
    <row r="17871" spans="3:47">
      <c r="C17871" s="20"/>
      <c r="Z17871" s="20"/>
      <c r="AG17871" s="20"/>
      <c r="AQ17871" s="19"/>
      <c r="AR17871" s="19"/>
      <c r="AS17871" s="19"/>
      <c r="AT17871" s="19"/>
      <c r="AU17871" s="19"/>
    </row>
    <row r="17872" spans="3:47">
      <c r="C17872" s="20"/>
      <c r="Z17872" s="20"/>
      <c r="AG17872" s="20"/>
      <c r="AQ17872" s="19"/>
      <c r="AR17872" s="19"/>
      <c r="AS17872" s="19"/>
      <c r="AT17872" s="19"/>
      <c r="AU17872" s="19"/>
    </row>
    <row r="17873" spans="3:47">
      <c r="C17873" s="20"/>
      <c r="Z17873" s="20"/>
      <c r="AG17873" s="20"/>
      <c r="AQ17873" s="19"/>
      <c r="AR17873" s="19"/>
      <c r="AS17873" s="19"/>
      <c r="AT17873" s="19"/>
      <c r="AU17873" s="19"/>
    </row>
    <row r="17874" spans="3:47">
      <c r="C17874" s="20"/>
      <c r="Z17874" s="20"/>
      <c r="AG17874" s="20"/>
      <c r="AQ17874" s="19"/>
      <c r="AR17874" s="19"/>
      <c r="AS17874" s="19"/>
      <c r="AT17874" s="19"/>
      <c r="AU17874" s="19"/>
    </row>
    <row r="17875" spans="3:47">
      <c r="C17875" s="20"/>
      <c r="Z17875" s="20"/>
      <c r="AG17875" s="20"/>
      <c r="AQ17875" s="19"/>
      <c r="AR17875" s="19"/>
      <c r="AS17875" s="19"/>
      <c r="AT17875" s="19"/>
      <c r="AU17875" s="19"/>
    </row>
    <row r="17876" spans="3:47">
      <c r="C17876" s="20"/>
      <c r="Z17876" s="20"/>
      <c r="AG17876" s="20"/>
      <c r="AQ17876" s="19"/>
      <c r="AR17876" s="19"/>
      <c r="AS17876" s="19"/>
      <c r="AT17876" s="19"/>
      <c r="AU17876" s="19"/>
    </row>
    <row r="17877" spans="3:47">
      <c r="C17877" s="20"/>
      <c r="Z17877" s="20"/>
      <c r="AG17877" s="20"/>
      <c r="AQ17877" s="19"/>
      <c r="AR17877" s="19"/>
      <c r="AS17877" s="19"/>
      <c r="AT17877" s="19"/>
      <c r="AU17877" s="19"/>
    </row>
    <row r="17878" spans="3:47">
      <c r="C17878" s="20"/>
      <c r="Z17878" s="20"/>
      <c r="AG17878" s="20"/>
      <c r="AQ17878" s="19"/>
      <c r="AR17878" s="19"/>
      <c r="AS17878" s="19"/>
      <c r="AT17878" s="19"/>
      <c r="AU17878" s="19"/>
    </row>
    <row r="17879" spans="3:47">
      <c r="C17879" s="20"/>
      <c r="Z17879" s="20"/>
      <c r="AG17879" s="20"/>
      <c r="AQ17879" s="19"/>
      <c r="AR17879" s="19"/>
      <c r="AS17879" s="19"/>
      <c r="AT17879" s="19"/>
      <c r="AU17879" s="19"/>
    </row>
    <row r="17880" spans="3:47">
      <c r="C17880" s="20"/>
      <c r="Z17880" s="20"/>
      <c r="AG17880" s="20"/>
      <c r="AQ17880" s="19"/>
      <c r="AR17880" s="19"/>
      <c r="AS17880" s="19"/>
      <c r="AT17880" s="19"/>
      <c r="AU17880" s="19"/>
    </row>
    <row r="17881" spans="3:47">
      <c r="C17881" s="20"/>
      <c r="Z17881" s="20"/>
      <c r="AG17881" s="20"/>
      <c r="AQ17881" s="19"/>
      <c r="AR17881" s="19"/>
      <c r="AS17881" s="19"/>
      <c r="AT17881" s="19"/>
      <c r="AU17881" s="19"/>
    </row>
    <row r="17882" spans="3:47">
      <c r="C17882" s="20"/>
      <c r="Z17882" s="20"/>
      <c r="AG17882" s="20"/>
      <c r="AQ17882" s="19"/>
      <c r="AR17882" s="19"/>
      <c r="AS17882" s="19"/>
      <c r="AT17882" s="19"/>
      <c r="AU17882" s="19"/>
    </row>
    <row r="17883" spans="3:47">
      <c r="C17883" s="20"/>
      <c r="Z17883" s="20"/>
      <c r="AG17883" s="20"/>
      <c r="AQ17883" s="19"/>
      <c r="AR17883" s="19"/>
      <c r="AS17883" s="19"/>
      <c r="AT17883" s="19"/>
      <c r="AU17883" s="19"/>
    </row>
    <row r="17884" spans="3:47">
      <c r="C17884" s="20"/>
      <c r="Z17884" s="20"/>
      <c r="AG17884" s="20"/>
      <c r="AQ17884" s="19"/>
      <c r="AR17884" s="19"/>
      <c r="AS17884" s="19"/>
      <c r="AT17884" s="19"/>
      <c r="AU17884" s="19"/>
    </row>
    <row r="17885" spans="3:47">
      <c r="C17885" s="20"/>
      <c r="Z17885" s="20"/>
      <c r="AG17885" s="20"/>
      <c r="AQ17885" s="19"/>
      <c r="AR17885" s="19"/>
      <c r="AS17885" s="19"/>
      <c r="AT17885" s="19"/>
      <c r="AU17885" s="19"/>
    </row>
    <row r="17886" spans="3:47">
      <c r="C17886" s="20"/>
      <c r="Z17886" s="20"/>
      <c r="AG17886" s="20"/>
      <c r="AQ17886" s="19"/>
      <c r="AR17886" s="19"/>
      <c r="AS17886" s="19"/>
      <c r="AT17886" s="19"/>
      <c r="AU17886" s="19"/>
    </row>
    <row r="17887" spans="3:47">
      <c r="C17887" s="20"/>
      <c r="Z17887" s="20"/>
      <c r="AG17887" s="20"/>
      <c r="AQ17887" s="19"/>
      <c r="AR17887" s="19"/>
      <c r="AS17887" s="19"/>
      <c r="AT17887" s="19"/>
      <c r="AU17887" s="19"/>
    </row>
    <row r="17888" spans="3:47">
      <c r="C17888" s="20"/>
      <c r="Z17888" s="20"/>
      <c r="AG17888" s="20"/>
      <c r="AQ17888" s="19"/>
      <c r="AR17888" s="19"/>
      <c r="AS17888" s="19"/>
      <c r="AT17888" s="19"/>
      <c r="AU17888" s="19"/>
    </row>
    <row r="17889" spans="3:47">
      <c r="C17889" s="20"/>
      <c r="Z17889" s="20"/>
      <c r="AG17889" s="20"/>
      <c r="AQ17889" s="19"/>
      <c r="AR17889" s="19"/>
      <c r="AS17889" s="19"/>
      <c r="AT17889" s="19"/>
      <c r="AU17889" s="19"/>
    </row>
    <row r="17890" spans="3:47">
      <c r="C17890" s="20"/>
      <c r="Z17890" s="20"/>
      <c r="AG17890" s="20"/>
      <c r="AQ17890" s="19"/>
      <c r="AR17890" s="19"/>
      <c r="AS17890" s="19"/>
      <c r="AT17890" s="19"/>
      <c r="AU17890" s="19"/>
    </row>
    <row r="17891" spans="3:47">
      <c r="C17891" s="20"/>
      <c r="Z17891" s="20"/>
      <c r="AG17891" s="20"/>
      <c r="AQ17891" s="19"/>
      <c r="AR17891" s="19"/>
      <c r="AS17891" s="19"/>
      <c r="AT17891" s="19"/>
      <c r="AU17891" s="19"/>
    </row>
    <row r="17892" spans="3:47">
      <c r="C17892" s="20"/>
      <c r="Z17892" s="20"/>
      <c r="AG17892" s="20"/>
      <c r="AQ17892" s="19"/>
      <c r="AR17892" s="19"/>
      <c r="AS17892" s="19"/>
      <c r="AT17892" s="19"/>
      <c r="AU17892" s="19"/>
    </row>
    <row r="17893" spans="3:47">
      <c r="C17893" s="20"/>
      <c r="Z17893" s="20"/>
      <c r="AG17893" s="20"/>
      <c r="AQ17893" s="19"/>
      <c r="AR17893" s="19"/>
      <c r="AS17893" s="19"/>
      <c r="AT17893" s="19"/>
      <c r="AU17893" s="19"/>
    </row>
    <row r="17894" spans="3:47">
      <c r="C17894" s="20"/>
      <c r="Z17894" s="20"/>
      <c r="AG17894" s="20"/>
      <c r="AQ17894" s="19"/>
      <c r="AR17894" s="19"/>
      <c r="AS17894" s="19"/>
      <c r="AT17894" s="19"/>
      <c r="AU17894" s="19"/>
    </row>
    <row r="17895" spans="3:47">
      <c r="C17895" s="20"/>
      <c r="Z17895" s="20"/>
      <c r="AG17895" s="20"/>
      <c r="AQ17895" s="19"/>
      <c r="AR17895" s="19"/>
      <c r="AS17895" s="19"/>
      <c r="AT17895" s="19"/>
      <c r="AU17895" s="19"/>
    </row>
    <row r="17896" spans="3:47">
      <c r="C17896" s="20"/>
      <c r="Z17896" s="20"/>
      <c r="AG17896" s="20"/>
      <c r="AQ17896" s="19"/>
      <c r="AR17896" s="19"/>
      <c r="AS17896" s="19"/>
      <c r="AT17896" s="19"/>
      <c r="AU17896" s="19"/>
    </row>
    <row r="17897" spans="3:47">
      <c r="C17897" s="20"/>
      <c r="Z17897" s="20"/>
      <c r="AG17897" s="20"/>
      <c r="AQ17897" s="19"/>
      <c r="AR17897" s="19"/>
      <c r="AS17897" s="19"/>
      <c r="AT17897" s="19"/>
      <c r="AU17897" s="19"/>
    </row>
    <row r="17898" spans="3:47">
      <c r="C17898" s="20"/>
      <c r="Z17898" s="20"/>
      <c r="AG17898" s="20"/>
      <c r="AQ17898" s="19"/>
      <c r="AR17898" s="19"/>
      <c r="AS17898" s="19"/>
      <c r="AT17898" s="19"/>
      <c r="AU17898" s="19"/>
    </row>
    <row r="17899" spans="3:47">
      <c r="C17899" s="20"/>
      <c r="Z17899" s="20"/>
      <c r="AG17899" s="20"/>
      <c r="AQ17899" s="19"/>
      <c r="AR17899" s="19"/>
      <c r="AS17899" s="19"/>
      <c r="AT17899" s="19"/>
      <c r="AU17899" s="19"/>
    </row>
    <row r="17900" spans="3:47">
      <c r="C17900" s="20"/>
      <c r="Z17900" s="20"/>
      <c r="AG17900" s="20"/>
      <c r="AQ17900" s="19"/>
      <c r="AR17900" s="19"/>
      <c r="AS17900" s="19"/>
      <c r="AT17900" s="19"/>
      <c r="AU17900" s="19"/>
    </row>
    <row r="17901" spans="3:47">
      <c r="C17901" s="20"/>
      <c r="Z17901" s="20"/>
      <c r="AG17901" s="20"/>
      <c r="AQ17901" s="19"/>
      <c r="AR17901" s="19"/>
      <c r="AS17901" s="19"/>
      <c r="AT17901" s="19"/>
      <c r="AU17901" s="19"/>
    </row>
    <row r="17902" spans="3:47">
      <c r="C17902" s="20"/>
      <c r="Z17902" s="20"/>
      <c r="AG17902" s="20"/>
      <c r="AQ17902" s="19"/>
      <c r="AR17902" s="19"/>
      <c r="AS17902" s="19"/>
      <c r="AT17902" s="19"/>
      <c r="AU17902" s="19"/>
    </row>
    <row r="17903" spans="3:47">
      <c r="C17903" s="20"/>
      <c r="Z17903" s="20"/>
      <c r="AG17903" s="20"/>
      <c r="AQ17903" s="19"/>
      <c r="AR17903" s="19"/>
      <c r="AS17903" s="19"/>
      <c r="AT17903" s="19"/>
      <c r="AU17903" s="19"/>
    </row>
    <row r="17904" spans="3:47">
      <c r="C17904" s="20"/>
      <c r="Z17904" s="20"/>
      <c r="AG17904" s="20"/>
      <c r="AQ17904" s="19"/>
      <c r="AR17904" s="19"/>
      <c r="AS17904" s="19"/>
      <c r="AT17904" s="19"/>
      <c r="AU17904" s="19"/>
    </row>
    <row r="17905" spans="3:47">
      <c r="C17905" s="20"/>
      <c r="Z17905" s="20"/>
      <c r="AG17905" s="20"/>
      <c r="AQ17905" s="19"/>
      <c r="AR17905" s="19"/>
      <c r="AS17905" s="19"/>
      <c r="AT17905" s="19"/>
      <c r="AU17905" s="19"/>
    </row>
    <row r="17906" spans="3:47">
      <c r="C17906" s="20"/>
      <c r="Z17906" s="20"/>
      <c r="AG17906" s="20"/>
      <c r="AQ17906" s="19"/>
      <c r="AR17906" s="19"/>
      <c r="AS17906" s="19"/>
      <c r="AT17906" s="19"/>
      <c r="AU17906" s="19"/>
    </row>
    <row r="17907" spans="3:47">
      <c r="C17907" s="20"/>
      <c r="Z17907" s="20"/>
      <c r="AG17907" s="20"/>
      <c r="AQ17907" s="19"/>
      <c r="AR17907" s="19"/>
      <c r="AS17907" s="19"/>
      <c r="AT17907" s="19"/>
      <c r="AU17907" s="19"/>
    </row>
    <row r="17908" spans="3:47">
      <c r="C17908" s="20"/>
      <c r="Z17908" s="20"/>
      <c r="AG17908" s="20"/>
      <c r="AQ17908" s="19"/>
      <c r="AR17908" s="19"/>
      <c r="AS17908" s="19"/>
      <c r="AT17908" s="19"/>
      <c r="AU17908" s="19"/>
    </row>
    <row r="17909" spans="3:47">
      <c r="C17909" s="20"/>
      <c r="Z17909" s="20"/>
      <c r="AG17909" s="20"/>
      <c r="AQ17909" s="19"/>
      <c r="AR17909" s="19"/>
      <c r="AS17909" s="19"/>
      <c r="AT17909" s="19"/>
      <c r="AU17909" s="19"/>
    </row>
    <row r="17910" spans="3:47">
      <c r="C17910" s="20"/>
      <c r="Z17910" s="20"/>
      <c r="AG17910" s="20"/>
      <c r="AQ17910" s="19"/>
      <c r="AR17910" s="19"/>
      <c r="AS17910" s="19"/>
      <c r="AT17910" s="19"/>
      <c r="AU17910" s="19"/>
    </row>
    <row r="17911" spans="3:47">
      <c r="C17911" s="20"/>
      <c r="Z17911" s="20"/>
      <c r="AG17911" s="20"/>
      <c r="AQ17911" s="19"/>
      <c r="AR17911" s="19"/>
      <c r="AS17911" s="19"/>
      <c r="AT17911" s="19"/>
      <c r="AU17911" s="19"/>
    </row>
    <row r="17912" spans="3:47">
      <c r="C17912" s="20"/>
      <c r="Z17912" s="20"/>
      <c r="AG17912" s="20"/>
      <c r="AQ17912" s="19"/>
      <c r="AR17912" s="19"/>
      <c r="AS17912" s="19"/>
      <c r="AT17912" s="19"/>
      <c r="AU17912" s="19"/>
    </row>
    <row r="17913" spans="3:47">
      <c r="C17913" s="20"/>
      <c r="Z17913" s="20"/>
      <c r="AG17913" s="20"/>
      <c r="AQ17913" s="19"/>
      <c r="AR17913" s="19"/>
      <c r="AS17913" s="19"/>
      <c r="AT17913" s="19"/>
      <c r="AU17913" s="19"/>
    </row>
    <row r="17914" spans="3:47">
      <c r="C17914" s="20"/>
      <c r="Z17914" s="20"/>
      <c r="AG17914" s="20"/>
      <c r="AQ17914" s="19"/>
      <c r="AR17914" s="19"/>
      <c r="AS17914" s="19"/>
      <c r="AT17914" s="19"/>
      <c r="AU17914" s="19"/>
    </row>
    <row r="17915" spans="3:47">
      <c r="C17915" s="20"/>
      <c r="Z17915" s="20"/>
      <c r="AG17915" s="20"/>
      <c r="AQ17915" s="19"/>
      <c r="AR17915" s="19"/>
      <c r="AS17915" s="19"/>
      <c r="AT17915" s="19"/>
      <c r="AU17915" s="19"/>
    </row>
    <row r="17916" spans="3:47">
      <c r="C17916" s="20"/>
      <c r="Z17916" s="20"/>
      <c r="AG17916" s="20"/>
      <c r="AQ17916" s="19"/>
      <c r="AR17916" s="19"/>
      <c r="AS17916" s="19"/>
      <c r="AT17916" s="19"/>
      <c r="AU17916" s="19"/>
    </row>
    <row r="17917" spans="3:47">
      <c r="C17917" s="20"/>
      <c r="Z17917" s="20"/>
      <c r="AG17917" s="20"/>
      <c r="AQ17917" s="19"/>
      <c r="AR17917" s="19"/>
      <c r="AS17917" s="19"/>
      <c r="AT17917" s="19"/>
      <c r="AU17917" s="19"/>
    </row>
    <row r="17918" spans="3:47">
      <c r="C17918" s="20"/>
      <c r="Z17918" s="20"/>
      <c r="AG17918" s="20"/>
      <c r="AQ17918" s="19"/>
      <c r="AR17918" s="19"/>
      <c r="AS17918" s="19"/>
      <c r="AT17918" s="19"/>
      <c r="AU17918" s="19"/>
    </row>
    <row r="17919" spans="3:47">
      <c r="C17919" s="20"/>
      <c r="Z17919" s="20"/>
      <c r="AG17919" s="20"/>
      <c r="AQ17919" s="19"/>
      <c r="AR17919" s="19"/>
      <c r="AS17919" s="19"/>
      <c r="AT17919" s="19"/>
      <c r="AU17919" s="19"/>
    </row>
    <row r="17920" spans="3:47">
      <c r="C17920" s="20"/>
      <c r="Z17920" s="20"/>
      <c r="AG17920" s="20"/>
      <c r="AQ17920" s="19"/>
      <c r="AR17920" s="19"/>
      <c r="AS17920" s="19"/>
      <c r="AT17920" s="19"/>
      <c r="AU17920" s="19"/>
    </row>
    <row r="17921" spans="3:47">
      <c r="C17921" s="20"/>
      <c r="Z17921" s="20"/>
      <c r="AG17921" s="20"/>
      <c r="AQ17921" s="19"/>
      <c r="AR17921" s="19"/>
      <c r="AS17921" s="19"/>
      <c r="AT17921" s="19"/>
      <c r="AU17921" s="19"/>
    </row>
    <row r="17922" spans="3:47">
      <c r="C17922" s="20"/>
      <c r="Z17922" s="20"/>
      <c r="AG17922" s="20"/>
      <c r="AQ17922" s="19"/>
      <c r="AR17922" s="19"/>
      <c r="AS17922" s="19"/>
      <c r="AT17922" s="19"/>
      <c r="AU17922" s="19"/>
    </row>
    <row r="17923" spans="3:47">
      <c r="C17923" s="20"/>
      <c r="Z17923" s="20"/>
      <c r="AG17923" s="20"/>
      <c r="AQ17923" s="19"/>
      <c r="AR17923" s="19"/>
      <c r="AS17923" s="19"/>
      <c r="AT17923" s="19"/>
      <c r="AU17923" s="19"/>
    </row>
    <row r="17924" spans="3:47">
      <c r="C17924" s="20"/>
      <c r="Z17924" s="20"/>
      <c r="AG17924" s="20"/>
      <c r="AQ17924" s="19"/>
      <c r="AR17924" s="19"/>
      <c r="AS17924" s="19"/>
      <c r="AT17924" s="19"/>
      <c r="AU17924" s="19"/>
    </row>
    <row r="17925" spans="3:47">
      <c r="C17925" s="20"/>
      <c r="Z17925" s="20"/>
      <c r="AG17925" s="20"/>
      <c r="AQ17925" s="19"/>
      <c r="AR17925" s="19"/>
      <c r="AS17925" s="19"/>
      <c r="AT17925" s="19"/>
      <c r="AU17925" s="19"/>
    </row>
    <row r="17926" spans="3:47">
      <c r="C17926" s="20"/>
      <c r="Z17926" s="20"/>
      <c r="AG17926" s="20"/>
      <c r="AQ17926" s="19"/>
      <c r="AR17926" s="19"/>
      <c r="AS17926" s="19"/>
      <c r="AT17926" s="19"/>
      <c r="AU17926" s="19"/>
    </row>
    <row r="17927" spans="3:47">
      <c r="C17927" s="20"/>
      <c r="Z17927" s="20"/>
      <c r="AG17927" s="20"/>
      <c r="AQ17927" s="19"/>
      <c r="AR17927" s="19"/>
      <c r="AS17927" s="19"/>
      <c r="AT17927" s="19"/>
      <c r="AU17927" s="19"/>
    </row>
    <row r="17928" spans="3:47">
      <c r="C17928" s="20"/>
      <c r="Z17928" s="20"/>
      <c r="AG17928" s="20"/>
      <c r="AQ17928" s="19"/>
      <c r="AR17928" s="19"/>
      <c r="AS17928" s="19"/>
      <c r="AT17928" s="19"/>
      <c r="AU17928" s="19"/>
    </row>
    <row r="17929" spans="3:47">
      <c r="C17929" s="20"/>
      <c r="Z17929" s="20"/>
      <c r="AG17929" s="20"/>
      <c r="AQ17929" s="19"/>
      <c r="AR17929" s="19"/>
      <c r="AS17929" s="19"/>
      <c r="AT17929" s="19"/>
      <c r="AU17929" s="19"/>
    </row>
    <row r="17930" spans="3:47">
      <c r="C17930" s="20"/>
      <c r="Z17930" s="20"/>
      <c r="AG17930" s="20"/>
      <c r="AQ17930" s="19"/>
      <c r="AR17930" s="19"/>
      <c r="AS17930" s="19"/>
      <c r="AT17930" s="19"/>
      <c r="AU17930" s="19"/>
    </row>
    <row r="17931" spans="3:47">
      <c r="C17931" s="20"/>
      <c r="Z17931" s="20"/>
      <c r="AG17931" s="20"/>
      <c r="AQ17931" s="19"/>
      <c r="AR17931" s="19"/>
      <c r="AS17931" s="19"/>
      <c r="AT17931" s="19"/>
      <c r="AU17931" s="19"/>
    </row>
    <row r="17932" spans="3:47">
      <c r="C17932" s="20"/>
      <c r="Z17932" s="20"/>
      <c r="AG17932" s="20"/>
      <c r="AQ17932" s="19"/>
      <c r="AR17932" s="19"/>
      <c r="AS17932" s="19"/>
      <c r="AT17932" s="19"/>
      <c r="AU17932" s="19"/>
    </row>
    <row r="17933" spans="3:47">
      <c r="C17933" s="20"/>
      <c r="Z17933" s="20"/>
      <c r="AG17933" s="20"/>
      <c r="AQ17933" s="19"/>
      <c r="AR17933" s="19"/>
      <c r="AS17933" s="19"/>
      <c r="AT17933" s="19"/>
      <c r="AU17933" s="19"/>
    </row>
    <row r="17934" spans="3:47">
      <c r="C17934" s="20"/>
      <c r="Z17934" s="20"/>
      <c r="AG17934" s="20"/>
      <c r="AQ17934" s="19"/>
      <c r="AR17934" s="19"/>
      <c r="AS17934" s="19"/>
      <c r="AT17934" s="19"/>
      <c r="AU17934" s="19"/>
    </row>
    <row r="17935" spans="3:47">
      <c r="C17935" s="20"/>
      <c r="Z17935" s="20"/>
      <c r="AG17935" s="20"/>
      <c r="AQ17935" s="19"/>
      <c r="AR17935" s="19"/>
      <c r="AS17935" s="19"/>
      <c r="AT17935" s="19"/>
      <c r="AU17935" s="19"/>
    </row>
    <row r="17936" spans="3:47">
      <c r="C17936" s="20"/>
      <c r="Z17936" s="20"/>
      <c r="AG17936" s="20"/>
      <c r="AQ17936" s="19"/>
      <c r="AR17936" s="19"/>
      <c r="AS17936" s="19"/>
      <c r="AT17936" s="19"/>
      <c r="AU17936" s="19"/>
    </row>
    <row r="17937" spans="3:47">
      <c r="C17937" s="20"/>
      <c r="Z17937" s="20"/>
      <c r="AG17937" s="20"/>
      <c r="AQ17937" s="19"/>
      <c r="AR17937" s="19"/>
      <c r="AS17937" s="19"/>
      <c r="AT17937" s="19"/>
      <c r="AU17937" s="19"/>
    </row>
    <row r="17938" spans="3:47">
      <c r="C17938" s="20"/>
      <c r="Z17938" s="20"/>
      <c r="AG17938" s="20"/>
      <c r="AQ17938" s="19"/>
      <c r="AR17938" s="19"/>
      <c r="AS17938" s="19"/>
      <c r="AT17938" s="19"/>
      <c r="AU17938" s="19"/>
    </row>
    <row r="17939" spans="3:47">
      <c r="C17939" s="20"/>
      <c r="Z17939" s="20"/>
      <c r="AG17939" s="20"/>
      <c r="AQ17939" s="19"/>
      <c r="AR17939" s="19"/>
      <c r="AS17939" s="19"/>
      <c r="AT17939" s="19"/>
      <c r="AU17939" s="19"/>
    </row>
    <row r="17940" spans="3:47">
      <c r="C17940" s="20"/>
      <c r="Z17940" s="20"/>
      <c r="AG17940" s="20"/>
      <c r="AQ17940" s="19"/>
      <c r="AR17940" s="19"/>
      <c r="AS17940" s="19"/>
      <c r="AT17940" s="19"/>
      <c r="AU17940" s="19"/>
    </row>
    <row r="17941" spans="3:47">
      <c r="C17941" s="20"/>
      <c r="Z17941" s="20"/>
      <c r="AG17941" s="20"/>
      <c r="AQ17941" s="19"/>
      <c r="AR17941" s="19"/>
      <c r="AS17941" s="19"/>
      <c r="AT17941" s="19"/>
      <c r="AU17941" s="19"/>
    </row>
    <row r="17942" spans="3:47">
      <c r="C17942" s="20"/>
      <c r="Z17942" s="20"/>
      <c r="AG17942" s="20"/>
      <c r="AQ17942" s="19"/>
      <c r="AR17942" s="19"/>
      <c r="AS17942" s="19"/>
      <c r="AT17942" s="19"/>
      <c r="AU17942" s="19"/>
    </row>
    <row r="17943" spans="3:47">
      <c r="C17943" s="20"/>
      <c r="Z17943" s="20"/>
      <c r="AG17943" s="20"/>
      <c r="AQ17943" s="19"/>
      <c r="AR17943" s="19"/>
      <c r="AS17943" s="19"/>
      <c r="AT17943" s="19"/>
      <c r="AU17943" s="19"/>
    </row>
    <row r="17944" spans="3:47">
      <c r="C17944" s="20"/>
      <c r="Z17944" s="20"/>
      <c r="AG17944" s="20"/>
      <c r="AQ17944" s="19"/>
      <c r="AR17944" s="19"/>
      <c r="AS17944" s="19"/>
      <c r="AT17944" s="19"/>
      <c r="AU17944" s="19"/>
    </row>
    <row r="17945" spans="3:47">
      <c r="C17945" s="20"/>
      <c r="Z17945" s="20"/>
      <c r="AG17945" s="20"/>
      <c r="AQ17945" s="19"/>
      <c r="AR17945" s="19"/>
      <c r="AS17945" s="19"/>
      <c r="AT17945" s="19"/>
      <c r="AU17945" s="19"/>
    </row>
    <row r="17946" spans="3:47">
      <c r="C17946" s="20"/>
      <c r="Z17946" s="20"/>
      <c r="AG17946" s="20"/>
      <c r="AQ17946" s="19"/>
      <c r="AR17946" s="19"/>
      <c r="AS17946" s="19"/>
      <c r="AT17946" s="19"/>
      <c r="AU17946" s="19"/>
    </row>
    <row r="17947" spans="3:47">
      <c r="C17947" s="20"/>
      <c r="Z17947" s="20"/>
      <c r="AG17947" s="20"/>
      <c r="AQ17947" s="19"/>
      <c r="AR17947" s="19"/>
      <c r="AS17947" s="19"/>
      <c r="AT17947" s="19"/>
      <c r="AU17947" s="19"/>
    </row>
    <row r="17948" spans="3:47">
      <c r="C17948" s="20"/>
      <c r="Z17948" s="20"/>
      <c r="AG17948" s="20"/>
      <c r="AQ17948" s="19"/>
      <c r="AR17948" s="19"/>
      <c r="AS17948" s="19"/>
      <c r="AT17948" s="19"/>
      <c r="AU17948" s="19"/>
    </row>
    <row r="17949" spans="3:47">
      <c r="C17949" s="20"/>
      <c r="Z17949" s="20"/>
      <c r="AG17949" s="20"/>
      <c r="AQ17949" s="19"/>
      <c r="AR17949" s="19"/>
      <c r="AS17949" s="19"/>
      <c r="AT17949" s="19"/>
      <c r="AU17949" s="19"/>
    </row>
    <row r="17950" spans="3:47">
      <c r="C17950" s="20"/>
      <c r="Z17950" s="20"/>
      <c r="AG17950" s="20"/>
      <c r="AQ17950" s="19"/>
      <c r="AR17950" s="19"/>
      <c r="AS17950" s="19"/>
      <c r="AT17950" s="19"/>
      <c r="AU17950" s="19"/>
    </row>
    <row r="17951" spans="3:47">
      <c r="C17951" s="20"/>
      <c r="Z17951" s="20"/>
      <c r="AG17951" s="20"/>
      <c r="AQ17951" s="19"/>
      <c r="AR17951" s="19"/>
      <c r="AS17951" s="19"/>
      <c r="AT17951" s="19"/>
      <c r="AU17951" s="19"/>
    </row>
    <row r="17952" spans="3:47">
      <c r="C17952" s="20"/>
      <c r="Z17952" s="20"/>
      <c r="AG17952" s="20"/>
      <c r="AQ17952" s="19"/>
      <c r="AR17952" s="19"/>
      <c r="AS17952" s="19"/>
      <c r="AT17952" s="19"/>
      <c r="AU17952" s="19"/>
    </row>
    <row r="17953" spans="3:47">
      <c r="C17953" s="20"/>
      <c r="Z17953" s="20"/>
      <c r="AG17953" s="20"/>
      <c r="AQ17953" s="19"/>
      <c r="AR17953" s="19"/>
      <c r="AS17953" s="19"/>
      <c r="AT17953" s="19"/>
      <c r="AU17953" s="19"/>
    </row>
    <row r="17954" spans="3:47">
      <c r="C17954" s="20"/>
      <c r="Z17954" s="20"/>
      <c r="AG17954" s="20"/>
      <c r="AQ17954" s="19"/>
      <c r="AR17954" s="19"/>
      <c r="AS17954" s="19"/>
      <c r="AT17954" s="19"/>
      <c r="AU17954" s="19"/>
    </row>
    <row r="17955" spans="3:47">
      <c r="C17955" s="20"/>
      <c r="Z17955" s="20"/>
      <c r="AG17955" s="20"/>
      <c r="AQ17955" s="19"/>
      <c r="AR17955" s="19"/>
      <c r="AS17955" s="19"/>
      <c r="AT17955" s="19"/>
      <c r="AU17955" s="19"/>
    </row>
    <row r="17956" spans="3:47">
      <c r="C17956" s="20"/>
      <c r="Z17956" s="20"/>
      <c r="AG17956" s="20"/>
      <c r="AQ17956" s="19"/>
      <c r="AR17956" s="19"/>
      <c r="AS17956" s="19"/>
      <c r="AT17956" s="19"/>
      <c r="AU17956" s="19"/>
    </row>
    <row r="17957" spans="3:47">
      <c r="C17957" s="20"/>
      <c r="Z17957" s="20"/>
      <c r="AG17957" s="20"/>
      <c r="AQ17957" s="19"/>
      <c r="AR17957" s="19"/>
      <c r="AS17957" s="19"/>
      <c r="AT17957" s="19"/>
      <c r="AU17957" s="19"/>
    </row>
    <row r="17958" spans="3:47">
      <c r="C17958" s="20"/>
      <c r="Z17958" s="20"/>
      <c r="AG17958" s="20"/>
      <c r="AQ17958" s="19"/>
      <c r="AR17958" s="19"/>
      <c r="AS17958" s="19"/>
      <c r="AT17958" s="19"/>
      <c r="AU17958" s="19"/>
    </row>
    <row r="17959" spans="3:47">
      <c r="C17959" s="20"/>
      <c r="Z17959" s="20"/>
      <c r="AG17959" s="20"/>
      <c r="AQ17959" s="19"/>
      <c r="AR17959" s="19"/>
      <c r="AS17959" s="19"/>
      <c r="AT17959" s="19"/>
      <c r="AU17959" s="19"/>
    </row>
    <row r="17960" spans="3:47">
      <c r="C17960" s="20"/>
      <c r="Z17960" s="20"/>
      <c r="AG17960" s="20"/>
      <c r="AQ17960" s="19"/>
      <c r="AR17960" s="19"/>
      <c r="AS17960" s="19"/>
      <c r="AT17960" s="19"/>
      <c r="AU17960" s="19"/>
    </row>
    <row r="17961" spans="3:47">
      <c r="C17961" s="20"/>
      <c r="Z17961" s="20"/>
      <c r="AG17961" s="20"/>
      <c r="AQ17961" s="19"/>
      <c r="AR17961" s="19"/>
      <c r="AS17961" s="19"/>
      <c r="AT17961" s="19"/>
      <c r="AU17961" s="19"/>
    </row>
    <row r="17962" spans="3:47">
      <c r="C17962" s="20"/>
      <c r="Z17962" s="20"/>
      <c r="AG17962" s="20"/>
      <c r="AQ17962" s="19"/>
      <c r="AR17962" s="19"/>
      <c r="AS17962" s="19"/>
      <c r="AT17962" s="19"/>
      <c r="AU17962" s="19"/>
    </row>
    <row r="17963" spans="3:47">
      <c r="C17963" s="20"/>
      <c r="Z17963" s="20"/>
      <c r="AG17963" s="20"/>
      <c r="AQ17963" s="19"/>
      <c r="AR17963" s="19"/>
      <c r="AS17963" s="19"/>
      <c r="AT17963" s="19"/>
      <c r="AU17963" s="19"/>
    </row>
    <row r="17964" spans="3:47">
      <c r="C17964" s="20"/>
      <c r="Z17964" s="20"/>
      <c r="AG17964" s="20"/>
      <c r="AQ17964" s="19"/>
      <c r="AR17964" s="19"/>
      <c r="AS17964" s="19"/>
      <c r="AT17964" s="19"/>
      <c r="AU17964" s="19"/>
    </row>
    <row r="17965" spans="3:47">
      <c r="C17965" s="20"/>
      <c r="Z17965" s="20"/>
      <c r="AG17965" s="20"/>
      <c r="AQ17965" s="19"/>
      <c r="AR17965" s="19"/>
      <c r="AS17965" s="19"/>
      <c r="AT17965" s="19"/>
      <c r="AU17965" s="19"/>
    </row>
    <row r="17966" spans="3:47">
      <c r="C17966" s="20"/>
      <c r="Z17966" s="20"/>
      <c r="AG17966" s="20"/>
      <c r="AQ17966" s="19"/>
      <c r="AR17966" s="19"/>
      <c r="AS17966" s="19"/>
      <c r="AT17966" s="19"/>
      <c r="AU17966" s="19"/>
    </row>
    <row r="17967" spans="3:47">
      <c r="C17967" s="20"/>
      <c r="Z17967" s="20"/>
      <c r="AG17967" s="20"/>
      <c r="AQ17967" s="19"/>
      <c r="AR17967" s="19"/>
      <c r="AS17967" s="19"/>
      <c r="AT17967" s="19"/>
      <c r="AU17967" s="19"/>
    </row>
    <row r="17968" spans="3:47">
      <c r="C17968" s="20"/>
      <c r="Z17968" s="20"/>
      <c r="AG17968" s="20"/>
      <c r="AQ17968" s="19"/>
      <c r="AR17968" s="19"/>
      <c r="AS17968" s="19"/>
      <c r="AT17968" s="19"/>
      <c r="AU17968" s="19"/>
    </row>
    <row r="17969" spans="3:47">
      <c r="C17969" s="20"/>
      <c r="Z17969" s="20"/>
      <c r="AG17969" s="20"/>
      <c r="AQ17969" s="19"/>
      <c r="AR17969" s="19"/>
      <c r="AS17969" s="19"/>
      <c r="AT17969" s="19"/>
      <c r="AU17969" s="19"/>
    </row>
    <row r="17970" spans="3:47">
      <c r="C17970" s="20"/>
      <c r="Z17970" s="20"/>
      <c r="AG17970" s="20"/>
      <c r="AQ17970" s="19"/>
      <c r="AR17970" s="19"/>
      <c r="AS17970" s="19"/>
      <c r="AT17970" s="19"/>
      <c r="AU17970" s="19"/>
    </row>
    <row r="17971" spans="3:47">
      <c r="C17971" s="20"/>
      <c r="Z17971" s="20"/>
      <c r="AG17971" s="20"/>
      <c r="AQ17971" s="19"/>
      <c r="AR17971" s="19"/>
      <c r="AS17971" s="19"/>
      <c r="AT17971" s="19"/>
      <c r="AU17971" s="19"/>
    </row>
    <row r="17972" spans="3:47">
      <c r="C17972" s="20"/>
      <c r="Z17972" s="20"/>
      <c r="AG17972" s="20"/>
      <c r="AQ17972" s="19"/>
      <c r="AR17972" s="19"/>
      <c r="AS17972" s="19"/>
      <c r="AT17972" s="19"/>
      <c r="AU17972" s="19"/>
    </row>
    <row r="17973" spans="3:47">
      <c r="C17973" s="20"/>
      <c r="Z17973" s="20"/>
      <c r="AG17973" s="20"/>
      <c r="AQ17973" s="19"/>
      <c r="AR17973" s="19"/>
      <c r="AS17973" s="19"/>
      <c r="AT17973" s="19"/>
      <c r="AU17973" s="19"/>
    </row>
    <row r="17974" spans="3:47">
      <c r="C17974" s="20"/>
      <c r="Z17974" s="20"/>
      <c r="AG17974" s="20"/>
      <c r="AQ17974" s="19"/>
      <c r="AR17974" s="19"/>
      <c r="AS17974" s="19"/>
      <c r="AT17974" s="19"/>
      <c r="AU17974" s="19"/>
    </row>
    <row r="17975" spans="3:47">
      <c r="C17975" s="20"/>
      <c r="Z17975" s="20"/>
      <c r="AG17975" s="20"/>
      <c r="AQ17975" s="19"/>
      <c r="AR17975" s="19"/>
      <c r="AS17975" s="19"/>
      <c r="AT17975" s="19"/>
      <c r="AU17975" s="19"/>
    </row>
    <row r="17976" spans="3:47">
      <c r="C17976" s="20"/>
      <c r="Z17976" s="20"/>
      <c r="AG17976" s="20"/>
      <c r="AQ17976" s="19"/>
      <c r="AR17976" s="19"/>
      <c r="AS17976" s="19"/>
      <c r="AT17976" s="19"/>
      <c r="AU17976" s="19"/>
    </row>
    <row r="17977" spans="3:47">
      <c r="C17977" s="20"/>
      <c r="Z17977" s="20"/>
      <c r="AG17977" s="20"/>
      <c r="AQ17977" s="19"/>
      <c r="AR17977" s="19"/>
      <c r="AS17977" s="19"/>
      <c r="AT17977" s="19"/>
      <c r="AU17977" s="19"/>
    </row>
    <row r="17978" spans="3:47">
      <c r="C17978" s="20"/>
      <c r="Z17978" s="20"/>
      <c r="AG17978" s="20"/>
      <c r="AQ17978" s="19"/>
      <c r="AR17978" s="19"/>
      <c r="AS17978" s="19"/>
      <c r="AT17978" s="19"/>
      <c r="AU17978" s="19"/>
    </row>
    <row r="17979" spans="3:47">
      <c r="C17979" s="20"/>
      <c r="Z17979" s="20"/>
      <c r="AG17979" s="20"/>
      <c r="AQ17979" s="19"/>
      <c r="AR17979" s="19"/>
      <c r="AS17979" s="19"/>
      <c r="AT17979" s="19"/>
      <c r="AU17979" s="19"/>
    </row>
    <row r="17980" spans="3:47">
      <c r="C17980" s="20"/>
      <c r="Z17980" s="20"/>
      <c r="AG17980" s="20"/>
      <c r="AQ17980" s="19"/>
      <c r="AR17980" s="19"/>
      <c r="AS17980" s="19"/>
      <c r="AT17980" s="19"/>
      <c r="AU17980" s="19"/>
    </row>
    <row r="17981" spans="3:47">
      <c r="C17981" s="20"/>
      <c r="Z17981" s="20"/>
      <c r="AG17981" s="20"/>
      <c r="AQ17981" s="19"/>
      <c r="AR17981" s="19"/>
      <c r="AS17981" s="19"/>
      <c r="AT17981" s="19"/>
      <c r="AU17981" s="19"/>
    </row>
    <row r="17982" spans="3:47">
      <c r="C17982" s="20"/>
      <c r="Z17982" s="20"/>
      <c r="AG17982" s="20"/>
      <c r="AQ17982" s="19"/>
      <c r="AR17982" s="19"/>
      <c r="AS17982" s="19"/>
      <c r="AT17982" s="19"/>
      <c r="AU17982" s="19"/>
    </row>
    <row r="17983" spans="3:47">
      <c r="C17983" s="20"/>
      <c r="Z17983" s="20"/>
      <c r="AG17983" s="20"/>
      <c r="AQ17983" s="19"/>
      <c r="AR17983" s="19"/>
      <c r="AS17983" s="19"/>
      <c r="AT17983" s="19"/>
      <c r="AU17983" s="19"/>
    </row>
    <row r="17984" spans="3:47">
      <c r="C17984" s="20"/>
      <c r="Z17984" s="20"/>
      <c r="AG17984" s="20"/>
      <c r="AQ17984" s="19"/>
      <c r="AR17984" s="19"/>
      <c r="AS17984" s="19"/>
      <c r="AT17984" s="19"/>
      <c r="AU17984" s="19"/>
    </row>
    <row r="17985" spans="3:47">
      <c r="C17985" s="20"/>
      <c r="Z17985" s="20"/>
      <c r="AG17985" s="20"/>
      <c r="AQ17985" s="19"/>
      <c r="AR17985" s="19"/>
      <c r="AS17985" s="19"/>
      <c r="AT17985" s="19"/>
      <c r="AU17985" s="19"/>
    </row>
    <row r="17986" spans="3:47">
      <c r="C17986" s="20"/>
      <c r="Z17986" s="20"/>
      <c r="AG17986" s="20"/>
      <c r="AQ17986" s="19"/>
      <c r="AR17986" s="19"/>
      <c r="AS17986" s="19"/>
      <c r="AT17986" s="19"/>
      <c r="AU17986" s="19"/>
    </row>
    <row r="17987" spans="3:47">
      <c r="C17987" s="20"/>
      <c r="Z17987" s="20"/>
      <c r="AG17987" s="20"/>
      <c r="AQ17987" s="19"/>
      <c r="AR17987" s="19"/>
      <c r="AS17987" s="19"/>
      <c r="AT17987" s="19"/>
      <c r="AU17987" s="19"/>
    </row>
    <row r="17988" spans="3:47">
      <c r="C17988" s="20"/>
      <c r="Z17988" s="20"/>
      <c r="AG17988" s="20"/>
      <c r="AQ17988" s="19"/>
      <c r="AR17988" s="19"/>
      <c r="AS17988" s="19"/>
      <c r="AT17988" s="19"/>
      <c r="AU17988" s="19"/>
    </row>
    <row r="17989" spans="3:47">
      <c r="C17989" s="20"/>
      <c r="Z17989" s="20"/>
      <c r="AG17989" s="20"/>
      <c r="AQ17989" s="19"/>
      <c r="AR17989" s="19"/>
      <c r="AS17989" s="19"/>
      <c r="AT17989" s="19"/>
      <c r="AU17989" s="19"/>
    </row>
    <row r="17990" spans="3:47">
      <c r="C17990" s="20"/>
      <c r="Z17990" s="20"/>
      <c r="AG17990" s="20"/>
      <c r="AQ17990" s="19"/>
      <c r="AR17990" s="19"/>
      <c r="AS17990" s="19"/>
      <c r="AT17990" s="19"/>
      <c r="AU17990" s="19"/>
    </row>
    <row r="17991" spans="3:47">
      <c r="C17991" s="20"/>
      <c r="Z17991" s="20"/>
      <c r="AG17991" s="20"/>
      <c r="AQ17991" s="19"/>
      <c r="AR17991" s="19"/>
      <c r="AS17991" s="19"/>
      <c r="AT17991" s="19"/>
      <c r="AU17991" s="19"/>
    </row>
    <row r="17992" spans="3:47">
      <c r="C17992" s="20"/>
      <c r="Z17992" s="20"/>
      <c r="AG17992" s="20"/>
      <c r="AQ17992" s="19"/>
      <c r="AR17992" s="19"/>
      <c r="AS17992" s="19"/>
      <c r="AT17992" s="19"/>
      <c r="AU17992" s="19"/>
    </row>
    <row r="17993" spans="3:47">
      <c r="C17993" s="20"/>
      <c r="Z17993" s="20"/>
      <c r="AG17993" s="20"/>
      <c r="AQ17993" s="19"/>
      <c r="AR17993" s="19"/>
      <c r="AS17993" s="19"/>
      <c r="AT17993" s="19"/>
      <c r="AU17993" s="19"/>
    </row>
    <row r="17994" spans="3:47">
      <c r="C17994" s="20"/>
      <c r="Z17994" s="20"/>
      <c r="AG17994" s="20"/>
      <c r="AQ17994" s="19"/>
      <c r="AR17994" s="19"/>
      <c r="AS17994" s="19"/>
      <c r="AT17994" s="19"/>
      <c r="AU17994" s="19"/>
    </row>
    <row r="17995" spans="3:47">
      <c r="C17995" s="20"/>
      <c r="Z17995" s="20"/>
      <c r="AG17995" s="20"/>
      <c r="AQ17995" s="19"/>
      <c r="AR17995" s="19"/>
      <c r="AS17995" s="19"/>
      <c r="AT17995" s="19"/>
      <c r="AU17995" s="19"/>
    </row>
    <row r="17996" spans="3:47">
      <c r="C17996" s="20"/>
      <c r="Z17996" s="20"/>
      <c r="AG17996" s="20"/>
      <c r="AQ17996" s="19"/>
      <c r="AR17996" s="19"/>
      <c r="AS17996" s="19"/>
      <c r="AT17996" s="19"/>
      <c r="AU17996" s="19"/>
    </row>
    <row r="17997" spans="3:47">
      <c r="C17997" s="20"/>
      <c r="Z17997" s="20"/>
      <c r="AG17997" s="20"/>
      <c r="AQ17997" s="19"/>
      <c r="AR17997" s="19"/>
      <c r="AS17997" s="19"/>
      <c r="AT17997" s="19"/>
      <c r="AU17997" s="19"/>
    </row>
    <row r="17998" spans="3:47">
      <c r="C17998" s="20"/>
      <c r="Z17998" s="20"/>
      <c r="AG17998" s="20"/>
      <c r="AQ17998" s="19"/>
      <c r="AR17998" s="19"/>
      <c r="AS17998" s="19"/>
      <c r="AT17998" s="19"/>
      <c r="AU17998" s="19"/>
    </row>
    <row r="17999" spans="3:47">
      <c r="C17999" s="20"/>
      <c r="Z17999" s="20"/>
      <c r="AG17999" s="20"/>
      <c r="AQ17999" s="19"/>
      <c r="AR17999" s="19"/>
      <c r="AS17999" s="19"/>
      <c r="AT17999" s="19"/>
      <c r="AU17999" s="19"/>
    </row>
    <row r="18000" spans="3:47">
      <c r="C18000" s="20"/>
      <c r="Z18000" s="20"/>
      <c r="AG18000" s="20"/>
      <c r="AQ18000" s="19"/>
      <c r="AR18000" s="19"/>
      <c r="AS18000" s="19"/>
      <c r="AT18000" s="19"/>
      <c r="AU18000" s="19"/>
    </row>
    <row r="18001" spans="3:47">
      <c r="C18001" s="20"/>
      <c r="Z18001" s="20"/>
      <c r="AG18001" s="20"/>
      <c r="AQ18001" s="19"/>
      <c r="AR18001" s="19"/>
      <c r="AS18001" s="19"/>
      <c r="AT18001" s="19"/>
      <c r="AU18001" s="19"/>
    </row>
    <row r="18002" spans="3:47">
      <c r="C18002" s="20"/>
      <c r="Z18002" s="20"/>
      <c r="AG18002" s="20"/>
      <c r="AQ18002" s="19"/>
      <c r="AR18002" s="19"/>
      <c r="AS18002" s="19"/>
      <c r="AT18002" s="19"/>
      <c r="AU18002" s="19"/>
    </row>
    <row r="18003" spans="3:47">
      <c r="C18003" s="20"/>
      <c r="Z18003" s="20"/>
      <c r="AG18003" s="20"/>
      <c r="AQ18003" s="19"/>
      <c r="AR18003" s="19"/>
      <c r="AS18003" s="19"/>
      <c r="AT18003" s="19"/>
      <c r="AU18003" s="19"/>
    </row>
    <row r="18004" spans="3:47">
      <c r="C18004" s="20"/>
      <c r="Z18004" s="20"/>
      <c r="AG18004" s="20"/>
      <c r="AQ18004" s="19"/>
      <c r="AR18004" s="19"/>
      <c r="AS18004" s="19"/>
      <c r="AT18004" s="19"/>
      <c r="AU18004" s="19"/>
    </row>
    <row r="18005" spans="3:47">
      <c r="C18005" s="20"/>
      <c r="Z18005" s="20"/>
      <c r="AG18005" s="20"/>
      <c r="AQ18005" s="19"/>
      <c r="AR18005" s="19"/>
      <c r="AS18005" s="19"/>
      <c r="AT18005" s="19"/>
      <c r="AU18005" s="19"/>
    </row>
    <row r="18006" spans="3:47">
      <c r="C18006" s="20"/>
      <c r="Z18006" s="20"/>
      <c r="AG18006" s="20"/>
      <c r="AQ18006" s="19"/>
      <c r="AR18006" s="19"/>
      <c r="AS18006" s="19"/>
      <c r="AT18006" s="19"/>
      <c r="AU18006" s="19"/>
    </row>
    <row r="18007" spans="3:47">
      <c r="C18007" s="20"/>
      <c r="Z18007" s="20"/>
      <c r="AG18007" s="20"/>
      <c r="AQ18007" s="19"/>
      <c r="AR18007" s="19"/>
      <c r="AS18007" s="19"/>
      <c r="AT18007" s="19"/>
      <c r="AU18007" s="19"/>
    </row>
    <row r="18008" spans="3:47">
      <c r="C18008" s="20"/>
      <c r="Z18008" s="20"/>
      <c r="AG18008" s="20"/>
      <c r="AQ18008" s="19"/>
      <c r="AR18008" s="19"/>
      <c r="AS18008" s="19"/>
      <c r="AT18008" s="19"/>
      <c r="AU18008" s="19"/>
    </row>
    <row r="18009" spans="3:47">
      <c r="C18009" s="20"/>
      <c r="Z18009" s="20"/>
      <c r="AG18009" s="20"/>
      <c r="AQ18009" s="19"/>
      <c r="AR18009" s="19"/>
      <c r="AS18009" s="19"/>
      <c r="AT18009" s="19"/>
      <c r="AU18009" s="19"/>
    </row>
    <row r="18010" spans="3:47">
      <c r="C18010" s="20"/>
      <c r="Z18010" s="20"/>
      <c r="AG18010" s="20"/>
      <c r="AQ18010" s="19"/>
      <c r="AR18010" s="19"/>
      <c r="AS18010" s="19"/>
      <c r="AT18010" s="19"/>
      <c r="AU18010" s="19"/>
    </row>
    <row r="18011" spans="3:47">
      <c r="C18011" s="20"/>
      <c r="Z18011" s="20"/>
      <c r="AG18011" s="20"/>
      <c r="AQ18011" s="19"/>
      <c r="AR18011" s="19"/>
      <c r="AS18011" s="19"/>
      <c r="AT18011" s="19"/>
      <c r="AU18011" s="19"/>
    </row>
    <row r="18012" spans="3:47">
      <c r="C18012" s="20"/>
      <c r="Z18012" s="20"/>
      <c r="AG18012" s="20"/>
      <c r="AQ18012" s="19"/>
      <c r="AR18012" s="19"/>
      <c r="AS18012" s="19"/>
      <c r="AT18012" s="19"/>
      <c r="AU18012" s="19"/>
    </row>
    <row r="18013" spans="3:47">
      <c r="C18013" s="20"/>
      <c r="Z18013" s="20"/>
      <c r="AG18013" s="20"/>
      <c r="AQ18013" s="19"/>
      <c r="AR18013" s="19"/>
      <c r="AS18013" s="19"/>
      <c r="AT18013" s="19"/>
      <c r="AU18013" s="19"/>
    </row>
    <row r="18014" spans="3:47">
      <c r="C18014" s="20"/>
      <c r="Z18014" s="20"/>
      <c r="AG18014" s="20"/>
      <c r="AQ18014" s="19"/>
      <c r="AR18014" s="19"/>
      <c r="AS18014" s="19"/>
      <c r="AT18014" s="19"/>
      <c r="AU18014" s="19"/>
    </row>
    <row r="18015" spans="3:47">
      <c r="C18015" s="20"/>
      <c r="Z18015" s="20"/>
      <c r="AG18015" s="20"/>
      <c r="AQ18015" s="19"/>
      <c r="AR18015" s="19"/>
      <c r="AS18015" s="19"/>
      <c r="AT18015" s="19"/>
      <c r="AU18015" s="19"/>
    </row>
    <row r="18016" spans="3:47">
      <c r="C18016" s="20"/>
      <c r="Z18016" s="20"/>
      <c r="AG18016" s="20"/>
      <c r="AQ18016" s="19"/>
      <c r="AR18016" s="19"/>
      <c r="AS18016" s="19"/>
      <c r="AT18016" s="19"/>
      <c r="AU18016" s="19"/>
    </row>
    <row r="18017" spans="3:47">
      <c r="C18017" s="20"/>
      <c r="Z18017" s="20"/>
      <c r="AG18017" s="20"/>
      <c r="AQ18017" s="19"/>
      <c r="AR18017" s="19"/>
      <c r="AS18017" s="19"/>
      <c r="AT18017" s="19"/>
      <c r="AU18017" s="19"/>
    </row>
    <row r="18018" spans="3:47">
      <c r="C18018" s="20"/>
      <c r="Z18018" s="20"/>
      <c r="AG18018" s="20"/>
      <c r="AQ18018" s="19"/>
      <c r="AR18018" s="19"/>
      <c r="AS18018" s="19"/>
      <c r="AT18018" s="19"/>
      <c r="AU18018" s="19"/>
    </row>
    <row r="18019" spans="3:47">
      <c r="C18019" s="20"/>
      <c r="Z18019" s="20"/>
      <c r="AG18019" s="20"/>
      <c r="AQ18019" s="19"/>
      <c r="AR18019" s="19"/>
      <c r="AS18019" s="19"/>
      <c r="AT18019" s="19"/>
      <c r="AU18019" s="19"/>
    </row>
    <row r="18020" spans="3:47">
      <c r="C18020" s="20"/>
      <c r="Z18020" s="20"/>
      <c r="AG18020" s="20"/>
      <c r="AQ18020" s="19"/>
      <c r="AR18020" s="19"/>
      <c r="AS18020" s="19"/>
      <c r="AT18020" s="19"/>
      <c r="AU18020" s="19"/>
    </row>
    <row r="18021" spans="3:47">
      <c r="C18021" s="20"/>
      <c r="Z18021" s="20"/>
      <c r="AG18021" s="20"/>
      <c r="AQ18021" s="19"/>
      <c r="AR18021" s="19"/>
      <c r="AS18021" s="19"/>
      <c r="AT18021" s="19"/>
      <c r="AU18021" s="19"/>
    </row>
    <row r="18022" spans="3:47">
      <c r="C18022" s="20"/>
      <c r="Z18022" s="20"/>
      <c r="AG18022" s="20"/>
      <c r="AQ18022" s="19"/>
      <c r="AR18022" s="19"/>
      <c r="AS18022" s="19"/>
      <c r="AT18022" s="19"/>
      <c r="AU18022" s="19"/>
    </row>
    <row r="18023" spans="3:47">
      <c r="C18023" s="20"/>
      <c r="Z18023" s="20"/>
      <c r="AG18023" s="20"/>
      <c r="AQ18023" s="19"/>
      <c r="AR18023" s="19"/>
      <c r="AS18023" s="19"/>
      <c r="AT18023" s="19"/>
      <c r="AU18023" s="19"/>
    </row>
    <row r="18024" spans="3:47">
      <c r="C18024" s="20"/>
      <c r="Z18024" s="20"/>
      <c r="AG18024" s="20"/>
      <c r="AQ18024" s="19"/>
      <c r="AR18024" s="19"/>
      <c r="AS18024" s="19"/>
      <c r="AT18024" s="19"/>
      <c r="AU18024" s="19"/>
    </row>
    <row r="18025" spans="3:47">
      <c r="C18025" s="20"/>
      <c r="Z18025" s="20"/>
      <c r="AG18025" s="20"/>
      <c r="AQ18025" s="19"/>
      <c r="AR18025" s="19"/>
      <c r="AS18025" s="19"/>
      <c r="AT18025" s="19"/>
      <c r="AU18025" s="19"/>
    </row>
    <row r="18026" spans="3:47">
      <c r="C18026" s="20"/>
      <c r="Z18026" s="20"/>
      <c r="AG18026" s="20"/>
      <c r="AQ18026" s="19"/>
      <c r="AR18026" s="19"/>
      <c r="AS18026" s="19"/>
      <c r="AT18026" s="19"/>
      <c r="AU18026" s="19"/>
    </row>
    <row r="18027" spans="3:47">
      <c r="C18027" s="20"/>
      <c r="Z18027" s="20"/>
      <c r="AG18027" s="20"/>
      <c r="AQ18027" s="19"/>
      <c r="AR18027" s="19"/>
      <c r="AS18027" s="19"/>
      <c r="AT18027" s="19"/>
      <c r="AU18027" s="19"/>
    </row>
    <row r="18028" spans="3:47">
      <c r="C18028" s="20"/>
      <c r="Z18028" s="20"/>
      <c r="AG18028" s="20"/>
      <c r="AQ18028" s="19"/>
      <c r="AR18028" s="19"/>
      <c r="AS18028" s="19"/>
      <c r="AT18028" s="19"/>
      <c r="AU18028" s="19"/>
    </row>
    <row r="18029" spans="3:47">
      <c r="C18029" s="20"/>
      <c r="Z18029" s="20"/>
      <c r="AG18029" s="20"/>
      <c r="AQ18029" s="19"/>
      <c r="AR18029" s="19"/>
      <c r="AS18029" s="19"/>
      <c r="AT18029" s="19"/>
      <c r="AU18029" s="19"/>
    </row>
    <row r="18030" spans="3:47">
      <c r="C18030" s="20"/>
      <c r="Z18030" s="20"/>
      <c r="AG18030" s="20"/>
      <c r="AQ18030" s="19"/>
      <c r="AR18030" s="19"/>
      <c r="AS18030" s="19"/>
      <c r="AT18030" s="19"/>
      <c r="AU18030" s="19"/>
    </row>
    <row r="18031" spans="3:47">
      <c r="C18031" s="20"/>
      <c r="Z18031" s="20"/>
      <c r="AG18031" s="20"/>
      <c r="AQ18031" s="19"/>
      <c r="AR18031" s="19"/>
      <c r="AS18031" s="19"/>
      <c r="AT18031" s="19"/>
      <c r="AU18031" s="19"/>
    </row>
    <row r="18032" spans="3:47">
      <c r="C18032" s="20"/>
      <c r="Z18032" s="20"/>
      <c r="AG18032" s="20"/>
      <c r="AQ18032" s="19"/>
      <c r="AR18032" s="19"/>
      <c r="AS18032" s="19"/>
      <c r="AT18032" s="19"/>
      <c r="AU18032" s="19"/>
    </row>
    <row r="18033" spans="3:47">
      <c r="C18033" s="20"/>
      <c r="Z18033" s="20"/>
      <c r="AG18033" s="20"/>
      <c r="AQ18033" s="19"/>
      <c r="AR18033" s="19"/>
      <c r="AS18033" s="19"/>
      <c r="AT18033" s="19"/>
      <c r="AU18033" s="19"/>
    </row>
    <row r="18034" spans="3:47">
      <c r="C18034" s="20"/>
      <c r="Z18034" s="20"/>
      <c r="AG18034" s="20"/>
      <c r="AQ18034" s="19"/>
      <c r="AR18034" s="19"/>
      <c r="AS18034" s="19"/>
      <c r="AT18034" s="19"/>
      <c r="AU18034" s="19"/>
    </row>
    <row r="18035" spans="3:47">
      <c r="C18035" s="20"/>
      <c r="Z18035" s="20"/>
      <c r="AG18035" s="20"/>
      <c r="AQ18035" s="19"/>
      <c r="AR18035" s="19"/>
      <c r="AS18035" s="19"/>
      <c r="AT18035" s="19"/>
      <c r="AU18035" s="19"/>
    </row>
    <row r="18036" spans="3:47">
      <c r="C18036" s="20"/>
      <c r="Z18036" s="20"/>
      <c r="AG18036" s="20"/>
      <c r="AQ18036" s="19"/>
      <c r="AR18036" s="19"/>
      <c r="AS18036" s="19"/>
      <c r="AT18036" s="19"/>
      <c r="AU18036" s="19"/>
    </row>
    <row r="18037" spans="3:47">
      <c r="C18037" s="20"/>
      <c r="Z18037" s="20"/>
      <c r="AG18037" s="20"/>
      <c r="AQ18037" s="19"/>
      <c r="AR18037" s="19"/>
      <c r="AS18037" s="19"/>
      <c r="AT18037" s="19"/>
      <c r="AU18037" s="19"/>
    </row>
    <row r="18038" spans="3:47">
      <c r="C18038" s="20"/>
      <c r="Z18038" s="20"/>
      <c r="AG18038" s="20"/>
      <c r="AQ18038" s="19"/>
      <c r="AR18038" s="19"/>
      <c r="AS18038" s="19"/>
      <c r="AT18038" s="19"/>
      <c r="AU18038" s="19"/>
    </row>
    <row r="18039" spans="3:47">
      <c r="C18039" s="20"/>
      <c r="Z18039" s="20"/>
      <c r="AG18039" s="20"/>
      <c r="AQ18039" s="19"/>
      <c r="AR18039" s="19"/>
      <c r="AS18039" s="19"/>
      <c r="AT18039" s="19"/>
      <c r="AU18039" s="19"/>
    </row>
    <row r="18040" spans="3:47">
      <c r="C18040" s="20"/>
      <c r="Z18040" s="20"/>
      <c r="AG18040" s="20"/>
      <c r="AQ18040" s="19"/>
      <c r="AR18040" s="19"/>
      <c r="AS18040" s="19"/>
      <c r="AT18040" s="19"/>
      <c r="AU18040" s="19"/>
    </row>
    <row r="18041" spans="3:47">
      <c r="C18041" s="20"/>
      <c r="Z18041" s="20"/>
      <c r="AG18041" s="20"/>
      <c r="AQ18041" s="19"/>
      <c r="AR18041" s="19"/>
      <c r="AS18041" s="19"/>
      <c r="AT18041" s="19"/>
      <c r="AU18041" s="19"/>
    </row>
    <row r="18042" spans="3:47">
      <c r="C18042" s="20"/>
      <c r="Z18042" s="20"/>
      <c r="AG18042" s="20"/>
      <c r="AQ18042" s="19"/>
      <c r="AR18042" s="19"/>
      <c r="AS18042" s="19"/>
      <c r="AT18042" s="19"/>
      <c r="AU18042" s="19"/>
    </row>
    <row r="18043" spans="3:47">
      <c r="C18043" s="20"/>
      <c r="Z18043" s="20"/>
      <c r="AG18043" s="20"/>
      <c r="AQ18043" s="19"/>
      <c r="AR18043" s="19"/>
      <c r="AS18043" s="19"/>
      <c r="AT18043" s="19"/>
      <c r="AU18043" s="19"/>
    </row>
    <row r="18044" spans="3:47">
      <c r="C18044" s="20"/>
      <c r="Z18044" s="20"/>
      <c r="AG18044" s="20"/>
      <c r="AQ18044" s="19"/>
      <c r="AR18044" s="19"/>
      <c r="AS18044" s="19"/>
      <c r="AT18044" s="19"/>
      <c r="AU18044" s="19"/>
    </row>
    <row r="18045" spans="3:47">
      <c r="C18045" s="20"/>
      <c r="Z18045" s="20"/>
      <c r="AG18045" s="20"/>
      <c r="AQ18045" s="19"/>
      <c r="AR18045" s="19"/>
      <c r="AS18045" s="19"/>
      <c r="AT18045" s="19"/>
      <c r="AU18045" s="19"/>
    </row>
    <row r="18046" spans="3:47">
      <c r="C18046" s="20"/>
      <c r="Z18046" s="20"/>
      <c r="AG18046" s="20"/>
      <c r="AQ18046" s="19"/>
      <c r="AR18046" s="19"/>
      <c r="AS18046" s="19"/>
      <c r="AT18046" s="19"/>
      <c r="AU18046" s="19"/>
    </row>
    <row r="18047" spans="3:47">
      <c r="C18047" s="20"/>
      <c r="Z18047" s="20"/>
      <c r="AG18047" s="20"/>
      <c r="AQ18047" s="19"/>
      <c r="AR18047" s="19"/>
      <c r="AS18047" s="19"/>
      <c r="AT18047" s="19"/>
      <c r="AU18047" s="19"/>
    </row>
    <row r="18048" spans="3:47">
      <c r="C18048" s="20"/>
      <c r="Z18048" s="20"/>
      <c r="AG18048" s="20"/>
      <c r="AQ18048" s="19"/>
      <c r="AR18048" s="19"/>
      <c r="AS18048" s="19"/>
      <c r="AT18048" s="19"/>
      <c r="AU18048" s="19"/>
    </row>
    <row r="18049" spans="3:47">
      <c r="C18049" s="20"/>
      <c r="Z18049" s="20"/>
      <c r="AG18049" s="20"/>
      <c r="AQ18049" s="19"/>
      <c r="AR18049" s="19"/>
      <c r="AS18049" s="19"/>
      <c r="AT18049" s="19"/>
      <c r="AU18049" s="19"/>
    </row>
    <row r="18050" spans="3:47">
      <c r="C18050" s="20"/>
      <c r="Z18050" s="20"/>
      <c r="AG18050" s="20"/>
      <c r="AQ18050" s="19"/>
      <c r="AR18050" s="19"/>
      <c r="AS18050" s="19"/>
      <c r="AT18050" s="19"/>
      <c r="AU18050" s="19"/>
    </row>
    <row r="18051" spans="3:47">
      <c r="C18051" s="20"/>
      <c r="Z18051" s="20"/>
      <c r="AG18051" s="20"/>
      <c r="AQ18051" s="19"/>
      <c r="AR18051" s="19"/>
      <c r="AS18051" s="19"/>
      <c r="AT18051" s="19"/>
      <c r="AU18051" s="19"/>
    </row>
    <row r="18052" spans="3:47">
      <c r="C18052" s="20"/>
      <c r="Z18052" s="20"/>
      <c r="AG18052" s="20"/>
      <c r="AQ18052" s="19"/>
      <c r="AR18052" s="19"/>
      <c r="AS18052" s="19"/>
      <c r="AT18052" s="19"/>
      <c r="AU18052" s="19"/>
    </row>
    <row r="18053" spans="3:47">
      <c r="C18053" s="20"/>
      <c r="Z18053" s="20"/>
      <c r="AG18053" s="20"/>
      <c r="AQ18053" s="19"/>
      <c r="AR18053" s="19"/>
      <c r="AS18053" s="19"/>
      <c r="AT18053" s="19"/>
      <c r="AU18053" s="19"/>
    </row>
    <row r="18054" spans="3:47">
      <c r="C18054" s="20"/>
      <c r="Z18054" s="20"/>
      <c r="AG18054" s="20"/>
      <c r="AQ18054" s="19"/>
      <c r="AR18054" s="19"/>
      <c r="AS18054" s="19"/>
      <c r="AT18054" s="19"/>
      <c r="AU18054" s="19"/>
    </row>
    <row r="18055" spans="3:47">
      <c r="C18055" s="20"/>
      <c r="Z18055" s="20"/>
      <c r="AG18055" s="20"/>
      <c r="AQ18055" s="19"/>
      <c r="AR18055" s="19"/>
      <c r="AS18055" s="19"/>
      <c r="AT18055" s="19"/>
      <c r="AU18055" s="19"/>
    </row>
    <row r="18056" spans="3:47">
      <c r="C18056" s="20"/>
      <c r="Z18056" s="20"/>
      <c r="AG18056" s="20"/>
      <c r="AQ18056" s="19"/>
      <c r="AR18056" s="19"/>
      <c r="AS18056" s="19"/>
      <c r="AT18056" s="19"/>
      <c r="AU18056" s="19"/>
    </row>
    <row r="18057" spans="3:47">
      <c r="C18057" s="20"/>
      <c r="Z18057" s="20"/>
      <c r="AG18057" s="20"/>
      <c r="AQ18057" s="19"/>
      <c r="AR18057" s="19"/>
      <c r="AS18057" s="19"/>
      <c r="AT18057" s="19"/>
      <c r="AU18057" s="19"/>
    </row>
    <row r="18058" spans="3:47">
      <c r="C18058" s="20"/>
      <c r="Z18058" s="20"/>
      <c r="AG18058" s="20"/>
      <c r="AQ18058" s="19"/>
      <c r="AR18058" s="19"/>
      <c r="AS18058" s="19"/>
      <c r="AT18058" s="19"/>
      <c r="AU18058" s="19"/>
    </row>
    <row r="18059" spans="3:47">
      <c r="C18059" s="20"/>
      <c r="Z18059" s="20"/>
      <c r="AG18059" s="20"/>
      <c r="AQ18059" s="19"/>
      <c r="AR18059" s="19"/>
      <c r="AS18059" s="19"/>
      <c r="AT18059" s="19"/>
      <c r="AU18059" s="19"/>
    </row>
    <row r="18060" spans="3:47">
      <c r="C18060" s="20"/>
      <c r="Z18060" s="20"/>
      <c r="AG18060" s="20"/>
      <c r="AQ18060" s="19"/>
      <c r="AR18060" s="19"/>
      <c r="AS18060" s="19"/>
      <c r="AT18060" s="19"/>
      <c r="AU18060" s="19"/>
    </row>
    <row r="18061" spans="3:47">
      <c r="C18061" s="20"/>
      <c r="Z18061" s="20"/>
      <c r="AG18061" s="20"/>
      <c r="AQ18061" s="19"/>
      <c r="AR18061" s="19"/>
      <c r="AS18061" s="19"/>
      <c r="AT18061" s="19"/>
      <c r="AU18061" s="19"/>
    </row>
    <row r="18062" spans="3:47">
      <c r="C18062" s="20"/>
      <c r="Z18062" s="20"/>
      <c r="AG18062" s="20"/>
      <c r="AQ18062" s="19"/>
      <c r="AR18062" s="19"/>
      <c r="AS18062" s="19"/>
      <c r="AT18062" s="19"/>
      <c r="AU18062" s="19"/>
    </row>
    <row r="18063" spans="3:47">
      <c r="C18063" s="20"/>
      <c r="Z18063" s="20"/>
      <c r="AG18063" s="20"/>
      <c r="AQ18063" s="19"/>
      <c r="AR18063" s="19"/>
      <c r="AS18063" s="19"/>
      <c r="AT18063" s="19"/>
      <c r="AU18063" s="19"/>
    </row>
    <row r="18064" spans="3:47">
      <c r="C18064" s="20"/>
      <c r="Z18064" s="20"/>
      <c r="AG18064" s="20"/>
      <c r="AQ18064" s="19"/>
      <c r="AR18064" s="19"/>
      <c r="AS18064" s="19"/>
      <c r="AT18064" s="19"/>
      <c r="AU18064" s="19"/>
    </row>
    <row r="18065" spans="3:47">
      <c r="C18065" s="20"/>
      <c r="Z18065" s="20"/>
      <c r="AG18065" s="20"/>
      <c r="AQ18065" s="19"/>
      <c r="AR18065" s="19"/>
      <c r="AS18065" s="19"/>
      <c r="AT18065" s="19"/>
      <c r="AU18065" s="19"/>
    </row>
    <row r="18066" spans="3:47">
      <c r="C18066" s="20"/>
      <c r="Z18066" s="20"/>
      <c r="AG18066" s="20"/>
      <c r="AQ18066" s="19"/>
      <c r="AR18066" s="19"/>
      <c r="AS18066" s="19"/>
      <c r="AT18066" s="19"/>
      <c r="AU18066" s="19"/>
    </row>
    <row r="18067" spans="3:47">
      <c r="C18067" s="20"/>
      <c r="Z18067" s="20"/>
      <c r="AG18067" s="20"/>
      <c r="AQ18067" s="19"/>
      <c r="AR18067" s="19"/>
      <c r="AS18067" s="19"/>
      <c r="AT18067" s="19"/>
      <c r="AU18067" s="19"/>
    </row>
    <row r="18068" spans="3:47">
      <c r="C18068" s="20"/>
      <c r="Z18068" s="20"/>
      <c r="AG18068" s="20"/>
      <c r="AQ18068" s="19"/>
      <c r="AR18068" s="19"/>
      <c r="AS18068" s="19"/>
      <c r="AT18068" s="19"/>
      <c r="AU18068" s="19"/>
    </row>
    <row r="18069" spans="3:47">
      <c r="C18069" s="20"/>
      <c r="Z18069" s="20"/>
      <c r="AG18069" s="20"/>
      <c r="AQ18069" s="19"/>
      <c r="AR18069" s="19"/>
      <c r="AS18069" s="19"/>
      <c r="AT18069" s="19"/>
      <c r="AU18069" s="19"/>
    </row>
    <row r="18070" spans="3:47">
      <c r="C18070" s="20"/>
      <c r="Z18070" s="20"/>
      <c r="AG18070" s="20"/>
      <c r="AQ18070" s="19"/>
      <c r="AR18070" s="19"/>
      <c r="AS18070" s="19"/>
      <c r="AT18070" s="19"/>
      <c r="AU18070" s="19"/>
    </row>
    <row r="18071" spans="3:47">
      <c r="C18071" s="20"/>
      <c r="Z18071" s="20"/>
      <c r="AG18071" s="20"/>
      <c r="AQ18071" s="19"/>
      <c r="AR18071" s="19"/>
      <c r="AS18071" s="19"/>
      <c r="AT18071" s="19"/>
      <c r="AU18071" s="19"/>
    </row>
    <row r="18072" spans="3:47">
      <c r="C18072" s="20"/>
      <c r="Z18072" s="20"/>
      <c r="AG18072" s="20"/>
      <c r="AQ18072" s="19"/>
      <c r="AR18072" s="19"/>
      <c r="AS18072" s="19"/>
      <c r="AT18072" s="19"/>
      <c r="AU18072" s="19"/>
    </row>
    <row r="18073" spans="3:47">
      <c r="C18073" s="20"/>
      <c r="Z18073" s="20"/>
      <c r="AG18073" s="20"/>
      <c r="AQ18073" s="19"/>
      <c r="AR18073" s="19"/>
      <c r="AS18073" s="19"/>
      <c r="AT18073" s="19"/>
      <c r="AU18073" s="19"/>
    </row>
    <row r="18074" spans="3:47">
      <c r="C18074" s="20"/>
      <c r="Z18074" s="20"/>
      <c r="AG18074" s="20"/>
      <c r="AQ18074" s="19"/>
      <c r="AR18074" s="19"/>
      <c r="AS18074" s="19"/>
      <c r="AT18074" s="19"/>
      <c r="AU18074" s="19"/>
    </row>
    <row r="18075" spans="3:47">
      <c r="C18075" s="20"/>
      <c r="Z18075" s="20"/>
      <c r="AG18075" s="20"/>
      <c r="AQ18075" s="19"/>
      <c r="AR18075" s="19"/>
      <c r="AS18075" s="19"/>
      <c r="AT18075" s="19"/>
      <c r="AU18075" s="19"/>
    </row>
    <row r="18076" spans="3:47">
      <c r="C18076" s="20"/>
      <c r="Z18076" s="20"/>
      <c r="AG18076" s="20"/>
      <c r="AQ18076" s="19"/>
      <c r="AR18076" s="19"/>
      <c r="AS18076" s="19"/>
      <c r="AT18076" s="19"/>
      <c r="AU18076" s="19"/>
    </row>
    <row r="18077" spans="3:47">
      <c r="C18077" s="20"/>
      <c r="Z18077" s="20"/>
      <c r="AG18077" s="20"/>
      <c r="AQ18077" s="19"/>
      <c r="AR18077" s="19"/>
      <c r="AS18077" s="19"/>
      <c r="AT18077" s="19"/>
      <c r="AU18077" s="19"/>
    </row>
    <row r="18078" spans="3:47">
      <c r="C18078" s="20"/>
      <c r="Z18078" s="20"/>
      <c r="AG18078" s="20"/>
      <c r="AQ18078" s="19"/>
      <c r="AR18078" s="19"/>
      <c r="AS18078" s="19"/>
      <c r="AT18078" s="19"/>
      <c r="AU18078" s="19"/>
    </row>
    <row r="18079" spans="3:47">
      <c r="C18079" s="20"/>
      <c r="Z18079" s="20"/>
      <c r="AG18079" s="20"/>
      <c r="AQ18079" s="19"/>
      <c r="AR18079" s="19"/>
      <c r="AS18079" s="19"/>
      <c r="AT18079" s="19"/>
      <c r="AU18079" s="19"/>
    </row>
    <row r="18080" spans="3:47">
      <c r="C18080" s="20"/>
      <c r="Z18080" s="20"/>
      <c r="AG18080" s="20"/>
      <c r="AQ18080" s="19"/>
      <c r="AR18080" s="19"/>
      <c r="AS18080" s="19"/>
      <c r="AT18080" s="19"/>
      <c r="AU18080" s="19"/>
    </row>
    <row r="18081" spans="3:47">
      <c r="C18081" s="20"/>
      <c r="Z18081" s="20"/>
      <c r="AG18081" s="20"/>
      <c r="AQ18081" s="19"/>
      <c r="AR18081" s="19"/>
      <c r="AS18081" s="19"/>
      <c r="AT18081" s="19"/>
      <c r="AU18081" s="19"/>
    </row>
    <row r="18082" spans="3:47">
      <c r="C18082" s="20"/>
      <c r="Z18082" s="20"/>
      <c r="AG18082" s="20"/>
      <c r="AQ18082" s="19"/>
      <c r="AR18082" s="19"/>
      <c r="AS18082" s="19"/>
      <c r="AT18082" s="19"/>
      <c r="AU18082" s="19"/>
    </row>
    <row r="18083" spans="3:47">
      <c r="C18083" s="20"/>
      <c r="Z18083" s="20"/>
      <c r="AG18083" s="20"/>
      <c r="AQ18083" s="19"/>
      <c r="AR18083" s="19"/>
      <c r="AS18083" s="19"/>
      <c r="AT18083" s="19"/>
      <c r="AU18083" s="19"/>
    </row>
    <row r="18084" spans="3:47">
      <c r="C18084" s="20"/>
      <c r="Z18084" s="20"/>
      <c r="AG18084" s="20"/>
      <c r="AQ18084" s="19"/>
      <c r="AR18084" s="19"/>
      <c r="AS18084" s="19"/>
      <c r="AT18084" s="19"/>
      <c r="AU18084" s="19"/>
    </row>
    <row r="18085" spans="3:47">
      <c r="C18085" s="20"/>
      <c r="Z18085" s="20"/>
      <c r="AG18085" s="20"/>
      <c r="AQ18085" s="19"/>
      <c r="AR18085" s="19"/>
      <c r="AS18085" s="19"/>
      <c r="AT18085" s="19"/>
      <c r="AU18085" s="19"/>
    </row>
    <row r="18086" spans="3:47">
      <c r="C18086" s="20"/>
      <c r="Z18086" s="20"/>
      <c r="AG18086" s="20"/>
      <c r="AQ18086" s="19"/>
      <c r="AR18086" s="19"/>
      <c r="AS18086" s="19"/>
      <c r="AT18086" s="19"/>
      <c r="AU18086" s="19"/>
    </row>
    <row r="18087" spans="3:47">
      <c r="C18087" s="20"/>
      <c r="Z18087" s="20"/>
      <c r="AG18087" s="20"/>
      <c r="AQ18087" s="19"/>
      <c r="AR18087" s="19"/>
      <c r="AS18087" s="19"/>
      <c r="AT18087" s="19"/>
      <c r="AU18087" s="19"/>
    </row>
    <row r="18088" spans="3:47">
      <c r="C18088" s="20"/>
      <c r="Z18088" s="20"/>
      <c r="AG18088" s="20"/>
      <c r="AQ18088" s="19"/>
      <c r="AR18088" s="19"/>
      <c r="AS18088" s="19"/>
      <c r="AT18088" s="19"/>
      <c r="AU18088" s="19"/>
    </row>
    <row r="18089" spans="3:47">
      <c r="C18089" s="20"/>
      <c r="Z18089" s="20"/>
      <c r="AG18089" s="20"/>
      <c r="AQ18089" s="19"/>
      <c r="AR18089" s="19"/>
      <c r="AS18089" s="19"/>
      <c r="AT18089" s="19"/>
      <c r="AU18089" s="19"/>
    </row>
    <row r="18090" spans="3:47">
      <c r="C18090" s="20"/>
      <c r="Z18090" s="20"/>
      <c r="AG18090" s="20"/>
      <c r="AQ18090" s="19"/>
      <c r="AR18090" s="19"/>
      <c r="AS18090" s="19"/>
      <c r="AT18090" s="19"/>
      <c r="AU18090" s="19"/>
    </row>
    <row r="18091" spans="3:47">
      <c r="C18091" s="20"/>
      <c r="Z18091" s="20"/>
      <c r="AG18091" s="20"/>
      <c r="AQ18091" s="19"/>
      <c r="AR18091" s="19"/>
      <c r="AS18091" s="19"/>
      <c r="AT18091" s="19"/>
      <c r="AU18091" s="19"/>
    </row>
    <row r="18092" spans="3:47">
      <c r="C18092" s="20"/>
      <c r="Z18092" s="20"/>
      <c r="AG18092" s="20"/>
      <c r="AQ18092" s="19"/>
      <c r="AR18092" s="19"/>
      <c r="AS18092" s="19"/>
      <c r="AT18092" s="19"/>
      <c r="AU18092" s="19"/>
    </row>
    <row r="18093" spans="3:47">
      <c r="C18093" s="20"/>
      <c r="Z18093" s="20"/>
      <c r="AG18093" s="20"/>
      <c r="AQ18093" s="19"/>
      <c r="AR18093" s="19"/>
      <c r="AS18093" s="19"/>
      <c r="AT18093" s="19"/>
      <c r="AU18093" s="19"/>
    </row>
    <row r="18094" spans="3:47">
      <c r="C18094" s="20"/>
      <c r="Z18094" s="20"/>
      <c r="AG18094" s="20"/>
      <c r="AQ18094" s="19"/>
      <c r="AR18094" s="19"/>
      <c r="AS18094" s="19"/>
      <c r="AT18094" s="19"/>
      <c r="AU18094" s="19"/>
    </row>
    <row r="18095" spans="3:47">
      <c r="C18095" s="20"/>
      <c r="Z18095" s="20"/>
      <c r="AG18095" s="20"/>
      <c r="AQ18095" s="19"/>
      <c r="AR18095" s="19"/>
      <c r="AS18095" s="19"/>
      <c r="AT18095" s="19"/>
      <c r="AU18095" s="19"/>
    </row>
    <row r="18096" spans="3:47">
      <c r="C18096" s="20"/>
      <c r="Z18096" s="20"/>
      <c r="AG18096" s="20"/>
      <c r="AQ18096" s="19"/>
      <c r="AR18096" s="19"/>
      <c r="AS18096" s="19"/>
      <c r="AT18096" s="19"/>
      <c r="AU18096" s="19"/>
    </row>
    <row r="18097" spans="3:47">
      <c r="C18097" s="20"/>
      <c r="Z18097" s="20"/>
      <c r="AG18097" s="20"/>
      <c r="AQ18097" s="19"/>
      <c r="AR18097" s="19"/>
      <c r="AS18097" s="19"/>
      <c r="AT18097" s="19"/>
      <c r="AU18097" s="19"/>
    </row>
    <row r="18098" spans="3:47">
      <c r="C18098" s="20"/>
      <c r="Z18098" s="20"/>
      <c r="AG18098" s="20"/>
      <c r="AQ18098" s="19"/>
      <c r="AR18098" s="19"/>
      <c r="AS18098" s="19"/>
      <c r="AT18098" s="19"/>
      <c r="AU18098" s="19"/>
    </row>
    <row r="18099" spans="3:47">
      <c r="C18099" s="20"/>
      <c r="Z18099" s="20"/>
      <c r="AG18099" s="20"/>
      <c r="AQ18099" s="19"/>
      <c r="AR18099" s="19"/>
      <c r="AS18099" s="19"/>
      <c r="AT18099" s="19"/>
      <c r="AU18099" s="19"/>
    </row>
    <row r="18100" spans="3:47">
      <c r="C18100" s="20"/>
      <c r="Z18100" s="20"/>
      <c r="AG18100" s="20"/>
      <c r="AQ18100" s="19"/>
      <c r="AR18100" s="19"/>
      <c r="AS18100" s="19"/>
      <c r="AT18100" s="19"/>
      <c r="AU18100" s="19"/>
    </row>
    <row r="18101" spans="3:47">
      <c r="C18101" s="20"/>
      <c r="Z18101" s="20"/>
      <c r="AG18101" s="20"/>
      <c r="AQ18101" s="19"/>
      <c r="AR18101" s="19"/>
      <c r="AS18101" s="19"/>
      <c r="AT18101" s="19"/>
      <c r="AU18101" s="19"/>
    </row>
    <row r="18102" spans="3:47">
      <c r="C18102" s="20"/>
      <c r="Z18102" s="20"/>
      <c r="AG18102" s="20"/>
      <c r="AQ18102" s="19"/>
      <c r="AR18102" s="19"/>
      <c r="AS18102" s="19"/>
      <c r="AT18102" s="19"/>
      <c r="AU18102" s="19"/>
    </row>
    <row r="18103" spans="3:47">
      <c r="C18103" s="20"/>
      <c r="Z18103" s="20"/>
      <c r="AG18103" s="20"/>
      <c r="AQ18103" s="19"/>
      <c r="AR18103" s="19"/>
      <c r="AS18103" s="19"/>
      <c r="AT18103" s="19"/>
      <c r="AU18103" s="19"/>
    </row>
    <row r="18104" spans="3:47">
      <c r="C18104" s="20"/>
      <c r="Z18104" s="20"/>
      <c r="AG18104" s="20"/>
      <c r="AQ18104" s="19"/>
      <c r="AR18104" s="19"/>
      <c r="AS18104" s="19"/>
      <c r="AT18104" s="19"/>
      <c r="AU18104" s="19"/>
    </row>
    <row r="18105" spans="3:47">
      <c r="C18105" s="20"/>
      <c r="Z18105" s="20"/>
      <c r="AG18105" s="20"/>
      <c r="AQ18105" s="19"/>
      <c r="AR18105" s="19"/>
      <c r="AS18105" s="19"/>
      <c r="AT18105" s="19"/>
      <c r="AU18105" s="19"/>
    </row>
    <row r="18106" spans="3:47">
      <c r="C18106" s="20"/>
      <c r="Z18106" s="20"/>
      <c r="AG18106" s="20"/>
      <c r="AQ18106" s="19"/>
      <c r="AR18106" s="19"/>
      <c r="AS18106" s="19"/>
      <c r="AT18106" s="19"/>
      <c r="AU18106" s="19"/>
    </row>
    <row r="18107" spans="3:47">
      <c r="C18107" s="20"/>
      <c r="Z18107" s="20"/>
      <c r="AG18107" s="20"/>
      <c r="AQ18107" s="19"/>
      <c r="AR18107" s="19"/>
      <c r="AS18107" s="19"/>
      <c r="AT18107" s="19"/>
      <c r="AU18107" s="19"/>
    </row>
    <row r="18108" spans="3:47">
      <c r="C18108" s="20"/>
      <c r="Z18108" s="20"/>
      <c r="AG18108" s="20"/>
      <c r="AQ18108" s="19"/>
      <c r="AR18108" s="19"/>
      <c r="AS18108" s="19"/>
      <c r="AT18108" s="19"/>
      <c r="AU18108" s="19"/>
    </row>
    <row r="18109" spans="3:47">
      <c r="C18109" s="20"/>
      <c r="Z18109" s="20"/>
      <c r="AG18109" s="20"/>
      <c r="AQ18109" s="19"/>
      <c r="AR18109" s="19"/>
      <c r="AS18109" s="19"/>
      <c r="AT18109" s="19"/>
      <c r="AU18109" s="19"/>
    </row>
    <row r="18110" spans="3:47">
      <c r="C18110" s="20"/>
      <c r="Z18110" s="20"/>
      <c r="AG18110" s="20"/>
      <c r="AQ18110" s="19"/>
      <c r="AR18110" s="19"/>
      <c r="AS18110" s="19"/>
      <c r="AT18110" s="19"/>
      <c r="AU18110" s="19"/>
    </row>
    <row r="18111" spans="3:47">
      <c r="C18111" s="20"/>
      <c r="Z18111" s="20"/>
      <c r="AG18111" s="20"/>
      <c r="AQ18111" s="19"/>
      <c r="AR18111" s="19"/>
      <c r="AS18111" s="19"/>
      <c r="AT18111" s="19"/>
      <c r="AU18111" s="19"/>
    </row>
    <row r="18112" spans="3:47">
      <c r="C18112" s="20"/>
      <c r="Z18112" s="20"/>
      <c r="AG18112" s="20"/>
      <c r="AQ18112" s="19"/>
      <c r="AR18112" s="19"/>
      <c r="AS18112" s="19"/>
      <c r="AT18112" s="19"/>
      <c r="AU18112" s="19"/>
    </row>
    <row r="18113" spans="3:47">
      <c r="C18113" s="20"/>
      <c r="Z18113" s="20"/>
      <c r="AG18113" s="20"/>
      <c r="AQ18113" s="19"/>
      <c r="AR18113" s="19"/>
      <c r="AS18113" s="19"/>
      <c r="AT18113" s="19"/>
      <c r="AU18113" s="19"/>
    </row>
    <row r="18114" spans="3:47">
      <c r="C18114" s="20"/>
      <c r="Z18114" s="20"/>
      <c r="AG18114" s="20"/>
      <c r="AQ18114" s="19"/>
      <c r="AR18114" s="19"/>
      <c r="AS18114" s="19"/>
      <c r="AT18114" s="19"/>
      <c r="AU18114" s="19"/>
    </row>
    <row r="18115" spans="3:47">
      <c r="C18115" s="20"/>
      <c r="Z18115" s="20"/>
      <c r="AG18115" s="20"/>
      <c r="AQ18115" s="19"/>
      <c r="AR18115" s="19"/>
      <c r="AS18115" s="19"/>
      <c r="AT18115" s="19"/>
      <c r="AU18115" s="19"/>
    </row>
    <row r="18116" spans="3:47">
      <c r="C18116" s="20"/>
      <c r="Z18116" s="20"/>
      <c r="AG18116" s="20"/>
      <c r="AQ18116" s="19"/>
      <c r="AR18116" s="19"/>
      <c r="AS18116" s="19"/>
      <c r="AT18116" s="19"/>
      <c r="AU18116" s="19"/>
    </row>
    <row r="18117" spans="3:47">
      <c r="C18117" s="20"/>
      <c r="Z18117" s="20"/>
      <c r="AG18117" s="20"/>
      <c r="AQ18117" s="19"/>
      <c r="AR18117" s="19"/>
      <c r="AS18117" s="19"/>
      <c r="AT18117" s="19"/>
      <c r="AU18117" s="19"/>
    </row>
    <row r="18118" spans="3:47">
      <c r="C18118" s="20"/>
      <c r="Z18118" s="20"/>
      <c r="AG18118" s="20"/>
      <c r="AQ18118" s="19"/>
      <c r="AR18118" s="19"/>
      <c r="AS18118" s="19"/>
      <c r="AT18118" s="19"/>
      <c r="AU18118" s="19"/>
    </row>
    <row r="18119" spans="3:47">
      <c r="C18119" s="20"/>
      <c r="Z18119" s="20"/>
      <c r="AG18119" s="20"/>
      <c r="AQ18119" s="19"/>
      <c r="AR18119" s="19"/>
      <c r="AS18119" s="19"/>
      <c r="AT18119" s="19"/>
      <c r="AU18119" s="19"/>
    </row>
    <row r="18120" spans="3:47">
      <c r="C18120" s="20"/>
      <c r="Z18120" s="20"/>
      <c r="AG18120" s="20"/>
      <c r="AQ18120" s="19"/>
      <c r="AR18120" s="19"/>
      <c r="AS18120" s="19"/>
      <c r="AT18120" s="19"/>
      <c r="AU18120" s="19"/>
    </row>
    <row r="18121" spans="3:47">
      <c r="C18121" s="20"/>
      <c r="Z18121" s="20"/>
      <c r="AG18121" s="20"/>
      <c r="AQ18121" s="19"/>
      <c r="AR18121" s="19"/>
      <c r="AS18121" s="19"/>
      <c r="AT18121" s="19"/>
      <c r="AU18121" s="19"/>
    </row>
    <row r="18122" spans="3:47">
      <c r="C18122" s="20"/>
      <c r="Z18122" s="20"/>
      <c r="AG18122" s="20"/>
      <c r="AQ18122" s="19"/>
      <c r="AR18122" s="19"/>
      <c r="AS18122" s="19"/>
      <c r="AT18122" s="19"/>
      <c r="AU18122" s="19"/>
    </row>
    <row r="18123" spans="3:47">
      <c r="C18123" s="20"/>
      <c r="Z18123" s="20"/>
      <c r="AG18123" s="20"/>
      <c r="AQ18123" s="19"/>
      <c r="AR18123" s="19"/>
      <c r="AS18123" s="19"/>
      <c r="AT18123" s="19"/>
      <c r="AU18123" s="19"/>
    </row>
    <row r="18124" spans="3:47">
      <c r="C18124" s="20"/>
      <c r="Z18124" s="20"/>
      <c r="AG18124" s="20"/>
      <c r="AQ18124" s="19"/>
      <c r="AR18124" s="19"/>
      <c r="AS18124" s="19"/>
      <c r="AT18124" s="19"/>
      <c r="AU18124" s="19"/>
    </row>
    <row r="18125" spans="3:47">
      <c r="C18125" s="20"/>
      <c r="Z18125" s="20"/>
      <c r="AG18125" s="20"/>
      <c r="AQ18125" s="19"/>
      <c r="AR18125" s="19"/>
      <c r="AS18125" s="19"/>
      <c r="AT18125" s="19"/>
      <c r="AU18125" s="19"/>
    </row>
    <row r="18126" spans="3:47">
      <c r="C18126" s="20"/>
      <c r="Z18126" s="20"/>
      <c r="AG18126" s="20"/>
      <c r="AQ18126" s="19"/>
      <c r="AR18126" s="19"/>
      <c r="AS18126" s="19"/>
      <c r="AT18126" s="19"/>
      <c r="AU18126" s="19"/>
    </row>
    <row r="18127" spans="3:47">
      <c r="C18127" s="20"/>
      <c r="Z18127" s="20"/>
      <c r="AG18127" s="20"/>
      <c r="AQ18127" s="19"/>
      <c r="AR18127" s="19"/>
      <c r="AS18127" s="19"/>
      <c r="AT18127" s="19"/>
      <c r="AU18127" s="19"/>
    </row>
    <row r="18128" spans="3:47">
      <c r="C18128" s="20"/>
      <c r="Z18128" s="20"/>
      <c r="AG18128" s="20"/>
      <c r="AQ18128" s="19"/>
      <c r="AR18128" s="19"/>
      <c r="AS18128" s="19"/>
      <c r="AT18128" s="19"/>
      <c r="AU18128" s="19"/>
    </row>
    <row r="18129" spans="3:47">
      <c r="C18129" s="20"/>
      <c r="Z18129" s="20"/>
      <c r="AG18129" s="20"/>
      <c r="AQ18129" s="19"/>
      <c r="AR18129" s="19"/>
      <c r="AS18129" s="19"/>
      <c r="AT18129" s="19"/>
      <c r="AU18129" s="19"/>
    </row>
    <row r="18130" spans="3:47">
      <c r="C18130" s="20"/>
      <c r="Z18130" s="20"/>
      <c r="AG18130" s="20"/>
      <c r="AQ18130" s="19"/>
      <c r="AR18130" s="19"/>
      <c r="AS18130" s="19"/>
      <c r="AT18130" s="19"/>
      <c r="AU18130" s="19"/>
    </row>
    <row r="18131" spans="3:47">
      <c r="C18131" s="20"/>
      <c r="Z18131" s="20"/>
      <c r="AG18131" s="20"/>
      <c r="AQ18131" s="19"/>
      <c r="AR18131" s="19"/>
      <c r="AS18131" s="19"/>
      <c r="AT18131" s="19"/>
      <c r="AU18131" s="19"/>
    </row>
    <row r="18132" spans="3:47">
      <c r="C18132" s="20"/>
      <c r="Z18132" s="20"/>
      <c r="AG18132" s="20"/>
      <c r="AQ18132" s="19"/>
      <c r="AR18132" s="19"/>
      <c r="AS18132" s="19"/>
      <c r="AT18132" s="19"/>
      <c r="AU18132" s="19"/>
    </row>
    <row r="18133" spans="3:47">
      <c r="C18133" s="20"/>
      <c r="Z18133" s="20"/>
      <c r="AG18133" s="20"/>
      <c r="AQ18133" s="19"/>
      <c r="AR18133" s="19"/>
      <c r="AS18133" s="19"/>
      <c r="AT18133" s="19"/>
      <c r="AU18133" s="19"/>
    </row>
    <row r="18134" spans="3:47">
      <c r="C18134" s="20"/>
      <c r="Z18134" s="20"/>
      <c r="AG18134" s="20"/>
      <c r="AQ18134" s="19"/>
      <c r="AR18134" s="19"/>
      <c r="AS18134" s="19"/>
      <c r="AT18134" s="19"/>
      <c r="AU18134" s="19"/>
    </row>
    <row r="18135" spans="3:47">
      <c r="C18135" s="20"/>
      <c r="Z18135" s="20"/>
      <c r="AG18135" s="20"/>
      <c r="AQ18135" s="19"/>
      <c r="AR18135" s="19"/>
      <c r="AS18135" s="19"/>
      <c r="AT18135" s="19"/>
      <c r="AU18135" s="19"/>
    </row>
    <row r="18136" spans="3:47">
      <c r="C18136" s="20"/>
      <c r="Z18136" s="20"/>
      <c r="AG18136" s="20"/>
      <c r="AQ18136" s="19"/>
      <c r="AR18136" s="19"/>
      <c r="AS18136" s="19"/>
      <c r="AT18136" s="19"/>
      <c r="AU18136" s="19"/>
    </row>
    <row r="18137" spans="3:47">
      <c r="C18137" s="20"/>
      <c r="Z18137" s="20"/>
      <c r="AG18137" s="20"/>
      <c r="AQ18137" s="19"/>
      <c r="AR18137" s="19"/>
      <c r="AS18137" s="19"/>
      <c r="AT18137" s="19"/>
      <c r="AU18137" s="19"/>
    </row>
    <row r="18138" spans="3:47">
      <c r="C18138" s="20"/>
      <c r="Z18138" s="20"/>
      <c r="AG18138" s="20"/>
      <c r="AQ18138" s="19"/>
      <c r="AR18138" s="19"/>
      <c r="AS18138" s="19"/>
      <c r="AT18138" s="19"/>
      <c r="AU18138" s="19"/>
    </row>
    <row r="18139" spans="3:47">
      <c r="C18139" s="20"/>
      <c r="Z18139" s="20"/>
      <c r="AG18139" s="20"/>
      <c r="AQ18139" s="19"/>
      <c r="AR18139" s="19"/>
      <c r="AS18139" s="19"/>
      <c r="AT18139" s="19"/>
      <c r="AU18139" s="19"/>
    </row>
    <row r="18140" spans="3:47">
      <c r="C18140" s="20"/>
      <c r="Z18140" s="20"/>
      <c r="AG18140" s="20"/>
      <c r="AQ18140" s="19"/>
      <c r="AR18140" s="19"/>
      <c r="AS18140" s="19"/>
      <c r="AT18140" s="19"/>
      <c r="AU18140" s="19"/>
    </row>
    <row r="18141" spans="3:47">
      <c r="C18141" s="20"/>
      <c r="Z18141" s="20"/>
      <c r="AG18141" s="20"/>
      <c r="AQ18141" s="19"/>
      <c r="AR18141" s="19"/>
      <c r="AS18141" s="19"/>
      <c r="AT18141" s="19"/>
      <c r="AU18141" s="19"/>
    </row>
    <row r="18142" spans="3:47">
      <c r="C18142" s="20"/>
      <c r="Z18142" s="20"/>
      <c r="AG18142" s="20"/>
      <c r="AQ18142" s="19"/>
      <c r="AR18142" s="19"/>
      <c r="AS18142" s="19"/>
      <c r="AT18142" s="19"/>
      <c r="AU18142" s="19"/>
    </row>
    <row r="18143" spans="3:47">
      <c r="C18143" s="20"/>
      <c r="Z18143" s="20"/>
      <c r="AG18143" s="20"/>
      <c r="AQ18143" s="19"/>
      <c r="AR18143" s="19"/>
      <c r="AS18143" s="19"/>
      <c r="AT18143" s="19"/>
      <c r="AU18143" s="19"/>
    </row>
    <row r="18144" spans="3:47">
      <c r="C18144" s="20"/>
      <c r="Z18144" s="20"/>
      <c r="AG18144" s="20"/>
      <c r="AQ18144" s="19"/>
      <c r="AR18144" s="19"/>
      <c r="AS18144" s="19"/>
      <c r="AT18144" s="19"/>
      <c r="AU18144" s="19"/>
    </row>
    <row r="18145" spans="3:47">
      <c r="C18145" s="20"/>
      <c r="Z18145" s="20"/>
      <c r="AG18145" s="20"/>
      <c r="AQ18145" s="19"/>
      <c r="AR18145" s="19"/>
      <c r="AS18145" s="19"/>
      <c r="AT18145" s="19"/>
      <c r="AU18145" s="19"/>
    </row>
    <row r="18146" spans="3:47">
      <c r="C18146" s="20"/>
      <c r="Z18146" s="20"/>
      <c r="AG18146" s="20"/>
      <c r="AQ18146" s="19"/>
      <c r="AR18146" s="19"/>
      <c r="AS18146" s="19"/>
      <c r="AT18146" s="19"/>
      <c r="AU18146" s="19"/>
    </row>
    <row r="18147" spans="3:47">
      <c r="C18147" s="20"/>
      <c r="Z18147" s="20"/>
      <c r="AG18147" s="20"/>
      <c r="AQ18147" s="19"/>
      <c r="AR18147" s="19"/>
      <c r="AS18147" s="19"/>
      <c r="AT18147" s="19"/>
      <c r="AU18147" s="19"/>
    </row>
    <row r="18148" spans="3:47">
      <c r="C18148" s="20"/>
      <c r="Z18148" s="20"/>
      <c r="AG18148" s="20"/>
      <c r="AQ18148" s="19"/>
      <c r="AR18148" s="19"/>
      <c r="AS18148" s="19"/>
      <c r="AT18148" s="19"/>
      <c r="AU18148" s="19"/>
    </row>
    <row r="18149" spans="3:47">
      <c r="C18149" s="20"/>
      <c r="Z18149" s="20"/>
      <c r="AG18149" s="20"/>
      <c r="AQ18149" s="19"/>
      <c r="AR18149" s="19"/>
      <c r="AS18149" s="19"/>
      <c r="AT18149" s="19"/>
      <c r="AU18149" s="19"/>
    </row>
    <row r="18150" spans="3:47">
      <c r="C18150" s="20"/>
      <c r="Z18150" s="20"/>
      <c r="AG18150" s="20"/>
      <c r="AQ18150" s="19"/>
      <c r="AR18150" s="19"/>
      <c r="AS18150" s="19"/>
      <c r="AT18150" s="19"/>
      <c r="AU18150" s="19"/>
    </row>
    <row r="18151" spans="3:47">
      <c r="C18151" s="20"/>
      <c r="Z18151" s="20"/>
      <c r="AG18151" s="20"/>
      <c r="AQ18151" s="19"/>
      <c r="AR18151" s="19"/>
      <c r="AS18151" s="19"/>
      <c r="AT18151" s="19"/>
      <c r="AU18151" s="19"/>
    </row>
    <row r="18152" spans="3:47">
      <c r="C18152" s="20"/>
      <c r="Z18152" s="20"/>
      <c r="AG18152" s="20"/>
      <c r="AQ18152" s="19"/>
      <c r="AR18152" s="19"/>
      <c r="AS18152" s="19"/>
      <c r="AT18152" s="19"/>
      <c r="AU18152" s="19"/>
    </row>
    <row r="18153" spans="3:47">
      <c r="C18153" s="20"/>
      <c r="Z18153" s="20"/>
      <c r="AG18153" s="20"/>
      <c r="AQ18153" s="19"/>
      <c r="AR18153" s="19"/>
      <c r="AS18153" s="19"/>
      <c r="AT18153" s="19"/>
      <c r="AU18153" s="19"/>
    </row>
    <row r="18154" spans="3:47">
      <c r="C18154" s="20"/>
      <c r="Z18154" s="20"/>
      <c r="AG18154" s="20"/>
      <c r="AQ18154" s="19"/>
      <c r="AR18154" s="19"/>
      <c r="AS18154" s="19"/>
      <c r="AT18154" s="19"/>
      <c r="AU18154" s="19"/>
    </row>
    <row r="18155" spans="3:47">
      <c r="C18155" s="20"/>
      <c r="Z18155" s="20"/>
      <c r="AG18155" s="20"/>
      <c r="AQ18155" s="19"/>
      <c r="AR18155" s="19"/>
      <c r="AS18155" s="19"/>
      <c r="AT18155" s="19"/>
      <c r="AU18155" s="19"/>
    </row>
    <row r="18156" spans="3:47">
      <c r="C18156" s="20"/>
      <c r="Z18156" s="20"/>
      <c r="AG18156" s="20"/>
      <c r="AQ18156" s="19"/>
      <c r="AR18156" s="19"/>
      <c r="AS18156" s="19"/>
      <c r="AT18156" s="19"/>
      <c r="AU18156" s="19"/>
    </row>
    <row r="18157" spans="3:47">
      <c r="C18157" s="20"/>
      <c r="Z18157" s="20"/>
      <c r="AG18157" s="20"/>
      <c r="AQ18157" s="19"/>
      <c r="AR18157" s="19"/>
      <c r="AS18157" s="19"/>
      <c r="AT18157" s="19"/>
      <c r="AU18157" s="19"/>
    </row>
    <row r="18158" spans="3:47">
      <c r="C18158" s="20"/>
      <c r="Z18158" s="20"/>
      <c r="AG18158" s="20"/>
      <c r="AQ18158" s="19"/>
      <c r="AR18158" s="19"/>
      <c r="AS18158" s="19"/>
      <c r="AT18158" s="19"/>
      <c r="AU18158" s="19"/>
    </row>
    <row r="18159" spans="3:47">
      <c r="C18159" s="20"/>
      <c r="Z18159" s="20"/>
      <c r="AG18159" s="20"/>
      <c r="AQ18159" s="19"/>
      <c r="AR18159" s="19"/>
      <c r="AS18159" s="19"/>
      <c r="AT18159" s="19"/>
      <c r="AU18159" s="19"/>
    </row>
    <row r="18160" spans="3:47">
      <c r="C18160" s="20"/>
      <c r="Z18160" s="20"/>
      <c r="AG18160" s="20"/>
      <c r="AQ18160" s="19"/>
      <c r="AR18160" s="19"/>
      <c r="AS18160" s="19"/>
      <c r="AT18160" s="19"/>
      <c r="AU18160" s="19"/>
    </row>
    <row r="18161" spans="3:47">
      <c r="C18161" s="20"/>
      <c r="Z18161" s="20"/>
      <c r="AG18161" s="20"/>
      <c r="AQ18161" s="19"/>
      <c r="AR18161" s="19"/>
      <c r="AS18161" s="19"/>
      <c r="AT18161" s="19"/>
      <c r="AU18161" s="19"/>
    </row>
    <row r="18162" spans="3:47">
      <c r="C18162" s="20"/>
      <c r="Z18162" s="20"/>
      <c r="AG18162" s="20"/>
      <c r="AQ18162" s="19"/>
      <c r="AR18162" s="19"/>
      <c r="AS18162" s="19"/>
      <c r="AT18162" s="19"/>
      <c r="AU18162" s="19"/>
    </row>
    <row r="18163" spans="3:47">
      <c r="C18163" s="20"/>
      <c r="Z18163" s="20"/>
      <c r="AG18163" s="20"/>
      <c r="AQ18163" s="19"/>
      <c r="AR18163" s="19"/>
      <c r="AS18163" s="19"/>
      <c r="AT18163" s="19"/>
      <c r="AU18163" s="19"/>
    </row>
    <row r="18164" spans="3:47">
      <c r="C18164" s="20"/>
      <c r="Z18164" s="20"/>
      <c r="AG18164" s="20"/>
      <c r="AQ18164" s="19"/>
      <c r="AR18164" s="19"/>
      <c r="AS18164" s="19"/>
      <c r="AT18164" s="19"/>
      <c r="AU18164" s="19"/>
    </row>
    <row r="18165" spans="3:47">
      <c r="C18165" s="20"/>
      <c r="Z18165" s="20"/>
      <c r="AG18165" s="20"/>
      <c r="AQ18165" s="19"/>
      <c r="AR18165" s="19"/>
      <c r="AS18165" s="19"/>
      <c r="AT18165" s="19"/>
      <c r="AU18165" s="19"/>
    </row>
    <row r="18166" spans="3:47">
      <c r="C18166" s="20"/>
      <c r="Z18166" s="20"/>
      <c r="AG18166" s="20"/>
      <c r="AQ18166" s="19"/>
      <c r="AR18166" s="19"/>
      <c r="AS18166" s="19"/>
      <c r="AT18166" s="19"/>
      <c r="AU18166" s="19"/>
    </row>
    <row r="18167" spans="3:47">
      <c r="C18167" s="20"/>
      <c r="Z18167" s="20"/>
      <c r="AG18167" s="20"/>
      <c r="AQ18167" s="19"/>
      <c r="AR18167" s="19"/>
      <c r="AS18167" s="19"/>
      <c r="AT18167" s="19"/>
      <c r="AU18167" s="19"/>
    </row>
    <row r="18168" spans="3:47">
      <c r="C18168" s="20"/>
      <c r="Z18168" s="20"/>
      <c r="AG18168" s="20"/>
      <c r="AQ18168" s="19"/>
      <c r="AR18168" s="19"/>
      <c r="AS18168" s="19"/>
      <c r="AT18168" s="19"/>
      <c r="AU18168" s="19"/>
    </row>
    <row r="18169" spans="3:47">
      <c r="C18169" s="20"/>
      <c r="Z18169" s="20"/>
      <c r="AG18169" s="20"/>
      <c r="AQ18169" s="19"/>
      <c r="AR18169" s="19"/>
      <c r="AS18169" s="19"/>
      <c r="AT18169" s="19"/>
      <c r="AU18169" s="19"/>
    </row>
    <row r="18170" spans="3:47">
      <c r="C18170" s="20"/>
      <c r="Z18170" s="20"/>
      <c r="AG18170" s="20"/>
      <c r="AQ18170" s="19"/>
      <c r="AR18170" s="19"/>
      <c r="AS18170" s="19"/>
      <c r="AT18170" s="19"/>
      <c r="AU18170" s="19"/>
    </row>
    <row r="18171" spans="3:47">
      <c r="C18171" s="20"/>
      <c r="Z18171" s="20"/>
      <c r="AG18171" s="20"/>
      <c r="AQ18171" s="19"/>
      <c r="AR18171" s="19"/>
      <c r="AS18171" s="19"/>
      <c r="AT18171" s="19"/>
      <c r="AU18171" s="19"/>
    </row>
    <row r="18172" spans="3:47">
      <c r="C18172" s="20"/>
      <c r="Z18172" s="20"/>
      <c r="AG18172" s="20"/>
      <c r="AQ18172" s="19"/>
      <c r="AR18172" s="19"/>
      <c r="AS18172" s="19"/>
      <c r="AT18172" s="19"/>
      <c r="AU18172" s="19"/>
    </row>
    <row r="18173" spans="3:47">
      <c r="C18173" s="20"/>
      <c r="Z18173" s="20"/>
      <c r="AG18173" s="20"/>
      <c r="AQ18173" s="19"/>
      <c r="AR18173" s="19"/>
      <c r="AS18173" s="19"/>
      <c r="AT18173" s="19"/>
      <c r="AU18173" s="19"/>
    </row>
    <row r="18174" spans="3:47">
      <c r="C18174" s="20"/>
      <c r="Z18174" s="20"/>
      <c r="AG18174" s="20"/>
      <c r="AQ18174" s="19"/>
      <c r="AR18174" s="19"/>
      <c r="AS18174" s="19"/>
      <c r="AT18174" s="19"/>
      <c r="AU18174" s="19"/>
    </row>
    <row r="18175" spans="3:47">
      <c r="C18175" s="20"/>
      <c r="Z18175" s="20"/>
      <c r="AG18175" s="20"/>
      <c r="AQ18175" s="19"/>
      <c r="AR18175" s="19"/>
      <c r="AS18175" s="19"/>
      <c r="AT18175" s="19"/>
      <c r="AU18175" s="19"/>
    </row>
    <row r="18176" spans="3:47">
      <c r="C18176" s="20"/>
      <c r="Z18176" s="20"/>
      <c r="AG18176" s="20"/>
      <c r="AQ18176" s="19"/>
      <c r="AR18176" s="19"/>
      <c r="AS18176" s="19"/>
      <c r="AT18176" s="19"/>
      <c r="AU18176" s="19"/>
    </row>
    <row r="18177" spans="3:47">
      <c r="C18177" s="20"/>
      <c r="Z18177" s="20"/>
      <c r="AG18177" s="20"/>
      <c r="AQ18177" s="19"/>
      <c r="AR18177" s="19"/>
      <c r="AS18177" s="19"/>
      <c r="AT18177" s="19"/>
      <c r="AU18177" s="19"/>
    </row>
    <row r="18178" spans="3:47">
      <c r="C18178" s="20"/>
      <c r="Z18178" s="20"/>
      <c r="AG18178" s="20"/>
      <c r="AQ18178" s="19"/>
      <c r="AR18178" s="19"/>
      <c r="AS18178" s="19"/>
      <c r="AT18178" s="19"/>
      <c r="AU18178" s="19"/>
    </row>
    <row r="18179" spans="3:47">
      <c r="C18179" s="20"/>
      <c r="Z18179" s="20"/>
      <c r="AG18179" s="20"/>
      <c r="AQ18179" s="19"/>
      <c r="AR18179" s="19"/>
      <c r="AS18179" s="19"/>
      <c r="AT18179" s="19"/>
      <c r="AU18179" s="19"/>
    </row>
    <row r="18180" spans="3:47">
      <c r="C18180" s="20"/>
      <c r="Z18180" s="20"/>
      <c r="AG18180" s="20"/>
      <c r="AQ18180" s="19"/>
      <c r="AR18180" s="19"/>
      <c r="AS18180" s="19"/>
      <c r="AT18180" s="19"/>
      <c r="AU18180" s="19"/>
    </row>
    <row r="18181" spans="3:47">
      <c r="C18181" s="20"/>
      <c r="Z18181" s="20"/>
      <c r="AG18181" s="20"/>
      <c r="AQ18181" s="19"/>
      <c r="AR18181" s="19"/>
      <c r="AS18181" s="19"/>
      <c r="AT18181" s="19"/>
      <c r="AU18181" s="19"/>
    </row>
    <row r="18182" spans="3:47">
      <c r="C18182" s="20"/>
      <c r="Z18182" s="20"/>
      <c r="AG18182" s="20"/>
      <c r="AQ18182" s="19"/>
      <c r="AR18182" s="19"/>
      <c r="AS18182" s="19"/>
      <c r="AT18182" s="19"/>
      <c r="AU18182" s="19"/>
    </row>
    <row r="18183" spans="3:47">
      <c r="C18183" s="20"/>
      <c r="Z18183" s="20"/>
      <c r="AG18183" s="20"/>
      <c r="AQ18183" s="19"/>
      <c r="AR18183" s="19"/>
      <c r="AS18183" s="19"/>
      <c r="AT18183" s="19"/>
      <c r="AU18183" s="19"/>
    </row>
    <row r="18184" spans="3:47">
      <c r="C18184" s="20"/>
      <c r="Z18184" s="20"/>
      <c r="AG18184" s="20"/>
      <c r="AQ18184" s="19"/>
      <c r="AR18184" s="19"/>
      <c r="AS18184" s="19"/>
      <c r="AT18184" s="19"/>
      <c r="AU18184" s="19"/>
    </row>
    <row r="18185" spans="3:47">
      <c r="C18185" s="20"/>
      <c r="Z18185" s="20"/>
      <c r="AG18185" s="20"/>
      <c r="AQ18185" s="19"/>
      <c r="AR18185" s="19"/>
      <c r="AS18185" s="19"/>
      <c r="AT18185" s="19"/>
      <c r="AU18185" s="19"/>
    </row>
    <row r="18186" spans="3:47">
      <c r="C18186" s="20"/>
      <c r="Z18186" s="20"/>
      <c r="AG18186" s="20"/>
      <c r="AQ18186" s="19"/>
      <c r="AR18186" s="19"/>
      <c r="AS18186" s="19"/>
      <c r="AT18186" s="19"/>
      <c r="AU18186" s="19"/>
    </row>
    <row r="18187" spans="3:47">
      <c r="C18187" s="20"/>
      <c r="Z18187" s="20"/>
      <c r="AG18187" s="20"/>
      <c r="AQ18187" s="19"/>
      <c r="AR18187" s="19"/>
      <c r="AS18187" s="19"/>
      <c r="AT18187" s="19"/>
      <c r="AU18187" s="19"/>
    </row>
    <row r="18188" spans="3:47">
      <c r="C18188" s="20"/>
      <c r="Z18188" s="20"/>
      <c r="AG18188" s="20"/>
      <c r="AQ18188" s="19"/>
      <c r="AR18188" s="19"/>
      <c r="AS18188" s="19"/>
      <c r="AT18188" s="19"/>
      <c r="AU18188" s="19"/>
    </row>
    <row r="18189" spans="3:47">
      <c r="C18189" s="20"/>
      <c r="Z18189" s="20"/>
      <c r="AG18189" s="20"/>
      <c r="AQ18189" s="19"/>
      <c r="AR18189" s="19"/>
      <c r="AS18189" s="19"/>
      <c r="AT18189" s="19"/>
      <c r="AU18189" s="19"/>
    </row>
    <row r="18190" spans="3:47">
      <c r="C18190" s="20"/>
      <c r="Z18190" s="20"/>
      <c r="AG18190" s="20"/>
      <c r="AQ18190" s="19"/>
      <c r="AR18190" s="19"/>
      <c r="AS18190" s="19"/>
      <c r="AT18190" s="19"/>
      <c r="AU18190" s="19"/>
    </row>
    <row r="18191" spans="3:47">
      <c r="C18191" s="20"/>
      <c r="Z18191" s="20"/>
      <c r="AG18191" s="20"/>
      <c r="AQ18191" s="19"/>
      <c r="AR18191" s="19"/>
      <c r="AS18191" s="19"/>
      <c r="AT18191" s="19"/>
      <c r="AU18191" s="19"/>
    </row>
    <row r="18192" spans="3:47">
      <c r="C18192" s="20"/>
      <c r="Z18192" s="20"/>
      <c r="AG18192" s="20"/>
      <c r="AQ18192" s="19"/>
      <c r="AR18192" s="19"/>
      <c r="AS18192" s="19"/>
      <c r="AT18192" s="19"/>
      <c r="AU18192" s="19"/>
    </row>
    <row r="18193" spans="3:47">
      <c r="C18193" s="20"/>
      <c r="Z18193" s="20"/>
      <c r="AG18193" s="20"/>
      <c r="AQ18193" s="19"/>
      <c r="AR18193" s="19"/>
      <c r="AS18193" s="19"/>
      <c r="AT18193" s="19"/>
      <c r="AU18193" s="19"/>
    </row>
    <row r="18194" spans="3:47">
      <c r="C18194" s="20"/>
      <c r="Z18194" s="20"/>
      <c r="AG18194" s="20"/>
      <c r="AQ18194" s="19"/>
      <c r="AR18194" s="19"/>
      <c r="AS18194" s="19"/>
      <c r="AT18194" s="19"/>
      <c r="AU18194" s="19"/>
    </row>
    <row r="18195" spans="3:47">
      <c r="C18195" s="20"/>
      <c r="Z18195" s="20"/>
      <c r="AG18195" s="20"/>
      <c r="AQ18195" s="19"/>
      <c r="AR18195" s="19"/>
      <c r="AS18195" s="19"/>
      <c r="AT18195" s="19"/>
      <c r="AU18195" s="19"/>
    </row>
    <row r="18196" spans="3:47">
      <c r="C18196" s="20"/>
      <c r="Z18196" s="20"/>
      <c r="AG18196" s="20"/>
      <c r="AQ18196" s="19"/>
      <c r="AR18196" s="19"/>
      <c r="AS18196" s="19"/>
      <c r="AT18196" s="19"/>
      <c r="AU18196" s="19"/>
    </row>
    <row r="18197" spans="3:47">
      <c r="C18197" s="20"/>
      <c r="Z18197" s="20"/>
      <c r="AG18197" s="20"/>
      <c r="AQ18197" s="19"/>
      <c r="AR18197" s="19"/>
      <c r="AS18197" s="19"/>
      <c r="AT18197" s="19"/>
      <c r="AU18197" s="19"/>
    </row>
    <row r="18198" spans="3:47">
      <c r="C18198" s="20"/>
      <c r="Z18198" s="20"/>
      <c r="AG18198" s="20"/>
      <c r="AQ18198" s="19"/>
      <c r="AR18198" s="19"/>
      <c r="AS18198" s="19"/>
      <c r="AT18198" s="19"/>
      <c r="AU18198" s="19"/>
    </row>
    <row r="18199" spans="3:47">
      <c r="C18199" s="20"/>
      <c r="Z18199" s="20"/>
      <c r="AG18199" s="20"/>
      <c r="AQ18199" s="19"/>
      <c r="AR18199" s="19"/>
      <c r="AS18199" s="19"/>
      <c r="AT18199" s="19"/>
      <c r="AU18199" s="19"/>
    </row>
    <row r="18200" spans="3:47">
      <c r="C18200" s="20"/>
      <c r="Z18200" s="20"/>
      <c r="AG18200" s="20"/>
      <c r="AQ18200" s="19"/>
      <c r="AR18200" s="19"/>
      <c r="AS18200" s="19"/>
      <c r="AT18200" s="19"/>
      <c r="AU18200" s="19"/>
    </row>
    <row r="18201" spans="3:47">
      <c r="C18201" s="20"/>
      <c r="Z18201" s="20"/>
      <c r="AG18201" s="20"/>
      <c r="AQ18201" s="19"/>
      <c r="AR18201" s="19"/>
      <c r="AS18201" s="19"/>
      <c r="AT18201" s="19"/>
      <c r="AU18201" s="19"/>
    </row>
    <row r="18202" spans="3:47">
      <c r="C18202" s="20"/>
      <c r="Z18202" s="20"/>
      <c r="AG18202" s="20"/>
      <c r="AQ18202" s="19"/>
      <c r="AR18202" s="19"/>
      <c r="AS18202" s="19"/>
      <c r="AT18202" s="19"/>
      <c r="AU18202" s="19"/>
    </row>
    <row r="18203" spans="3:47">
      <c r="C18203" s="20"/>
      <c r="Z18203" s="20"/>
      <c r="AG18203" s="20"/>
      <c r="AQ18203" s="19"/>
      <c r="AR18203" s="19"/>
      <c r="AS18203" s="19"/>
      <c r="AT18203" s="19"/>
      <c r="AU18203" s="19"/>
    </row>
    <row r="18204" spans="3:47">
      <c r="C18204" s="20"/>
      <c r="Z18204" s="20"/>
      <c r="AG18204" s="20"/>
      <c r="AQ18204" s="19"/>
      <c r="AR18204" s="19"/>
      <c r="AS18204" s="19"/>
      <c r="AT18204" s="19"/>
      <c r="AU18204" s="19"/>
    </row>
    <row r="18205" spans="3:47">
      <c r="C18205" s="20"/>
      <c r="Z18205" s="20"/>
      <c r="AG18205" s="20"/>
      <c r="AQ18205" s="19"/>
      <c r="AR18205" s="19"/>
      <c r="AS18205" s="19"/>
      <c r="AT18205" s="19"/>
      <c r="AU18205" s="19"/>
    </row>
    <row r="18206" spans="3:47">
      <c r="C18206" s="20"/>
      <c r="Z18206" s="20"/>
      <c r="AG18206" s="20"/>
      <c r="AQ18206" s="19"/>
      <c r="AR18206" s="19"/>
      <c r="AS18206" s="19"/>
      <c r="AT18206" s="19"/>
      <c r="AU18206" s="19"/>
    </row>
    <row r="18207" spans="3:47">
      <c r="C18207" s="20"/>
      <c r="Z18207" s="20"/>
      <c r="AG18207" s="20"/>
      <c r="AQ18207" s="19"/>
      <c r="AR18207" s="19"/>
      <c r="AS18207" s="19"/>
      <c r="AT18207" s="19"/>
      <c r="AU18207" s="19"/>
    </row>
    <row r="18208" spans="3:47">
      <c r="C18208" s="20"/>
      <c r="Z18208" s="20"/>
      <c r="AG18208" s="20"/>
      <c r="AQ18208" s="19"/>
      <c r="AR18208" s="19"/>
      <c r="AS18208" s="19"/>
      <c r="AT18208" s="19"/>
      <c r="AU18208" s="19"/>
    </row>
    <row r="18209" spans="3:47">
      <c r="C18209" s="20"/>
      <c r="Z18209" s="20"/>
      <c r="AG18209" s="20"/>
      <c r="AQ18209" s="19"/>
      <c r="AR18209" s="19"/>
      <c r="AS18209" s="19"/>
      <c r="AT18209" s="19"/>
      <c r="AU18209" s="19"/>
    </row>
    <row r="18210" spans="3:47">
      <c r="C18210" s="20"/>
      <c r="Z18210" s="20"/>
      <c r="AG18210" s="20"/>
      <c r="AQ18210" s="19"/>
      <c r="AR18210" s="19"/>
      <c r="AS18210" s="19"/>
      <c r="AT18210" s="19"/>
      <c r="AU18210" s="19"/>
    </row>
    <row r="18211" spans="3:47">
      <c r="C18211" s="20"/>
      <c r="Z18211" s="20"/>
      <c r="AG18211" s="20"/>
      <c r="AQ18211" s="19"/>
      <c r="AR18211" s="19"/>
      <c r="AS18211" s="19"/>
      <c r="AT18211" s="19"/>
      <c r="AU18211" s="19"/>
    </row>
    <row r="18212" spans="3:47">
      <c r="C18212" s="20"/>
      <c r="Z18212" s="20"/>
      <c r="AG18212" s="20"/>
      <c r="AQ18212" s="19"/>
      <c r="AR18212" s="19"/>
      <c r="AS18212" s="19"/>
      <c r="AT18212" s="19"/>
      <c r="AU18212" s="19"/>
    </row>
    <row r="18213" spans="3:47">
      <c r="C18213" s="20"/>
      <c r="Z18213" s="20"/>
      <c r="AG18213" s="20"/>
      <c r="AQ18213" s="19"/>
      <c r="AR18213" s="19"/>
      <c r="AS18213" s="19"/>
      <c r="AT18213" s="19"/>
      <c r="AU18213" s="19"/>
    </row>
    <row r="18214" spans="3:47">
      <c r="C18214" s="20"/>
      <c r="Z18214" s="20"/>
      <c r="AG18214" s="20"/>
      <c r="AQ18214" s="19"/>
      <c r="AR18214" s="19"/>
      <c r="AS18214" s="19"/>
      <c r="AT18214" s="19"/>
      <c r="AU18214" s="19"/>
    </row>
    <row r="18215" spans="3:47">
      <c r="C18215" s="20"/>
      <c r="Z18215" s="20"/>
      <c r="AG18215" s="20"/>
      <c r="AQ18215" s="19"/>
      <c r="AR18215" s="19"/>
      <c r="AS18215" s="19"/>
      <c r="AT18215" s="19"/>
      <c r="AU18215" s="19"/>
    </row>
    <row r="18216" spans="3:47">
      <c r="C18216" s="20"/>
      <c r="Z18216" s="20"/>
      <c r="AG18216" s="20"/>
      <c r="AQ18216" s="19"/>
      <c r="AR18216" s="19"/>
      <c r="AS18216" s="19"/>
      <c r="AT18216" s="19"/>
      <c r="AU18216" s="19"/>
    </row>
    <row r="18217" spans="3:47">
      <c r="C18217" s="20"/>
      <c r="Z18217" s="20"/>
      <c r="AG18217" s="20"/>
      <c r="AQ18217" s="19"/>
      <c r="AR18217" s="19"/>
      <c r="AS18217" s="19"/>
      <c r="AT18217" s="19"/>
      <c r="AU18217" s="19"/>
    </row>
    <row r="18218" spans="3:47">
      <c r="C18218" s="20"/>
      <c r="Z18218" s="20"/>
      <c r="AG18218" s="20"/>
      <c r="AQ18218" s="19"/>
      <c r="AR18218" s="19"/>
      <c r="AS18218" s="19"/>
      <c r="AT18218" s="19"/>
      <c r="AU18218" s="19"/>
    </row>
    <row r="18219" spans="3:47">
      <c r="C18219" s="20"/>
      <c r="Z18219" s="20"/>
      <c r="AG18219" s="20"/>
      <c r="AQ18219" s="19"/>
      <c r="AR18219" s="19"/>
      <c r="AS18219" s="19"/>
      <c r="AT18219" s="19"/>
      <c r="AU18219" s="19"/>
    </row>
    <row r="18220" spans="3:47">
      <c r="C18220" s="20"/>
      <c r="Z18220" s="20"/>
      <c r="AG18220" s="20"/>
      <c r="AQ18220" s="19"/>
      <c r="AR18220" s="19"/>
      <c r="AS18220" s="19"/>
      <c r="AT18220" s="19"/>
      <c r="AU18220" s="19"/>
    </row>
    <row r="18221" spans="3:47">
      <c r="C18221" s="20"/>
      <c r="Z18221" s="20"/>
      <c r="AG18221" s="20"/>
      <c r="AQ18221" s="19"/>
      <c r="AR18221" s="19"/>
      <c r="AS18221" s="19"/>
      <c r="AT18221" s="19"/>
      <c r="AU18221" s="19"/>
    </row>
    <row r="18222" spans="3:47">
      <c r="C18222" s="20"/>
      <c r="Z18222" s="20"/>
      <c r="AG18222" s="20"/>
      <c r="AQ18222" s="19"/>
      <c r="AR18222" s="19"/>
      <c r="AS18222" s="19"/>
      <c r="AT18222" s="19"/>
      <c r="AU18222" s="19"/>
    </row>
    <row r="18223" spans="3:47">
      <c r="C18223" s="20"/>
      <c r="Z18223" s="20"/>
      <c r="AG18223" s="20"/>
      <c r="AQ18223" s="19"/>
      <c r="AR18223" s="19"/>
      <c r="AS18223" s="19"/>
      <c r="AT18223" s="19"/>
      <c r="AU18223" s="19"/>
    </row>
    <row r="18224" spans="3:47">
      <c r="C18224" s="20"/>
      <c r="Z18224" s="20"/>
      <c r="AG18224" s="20"/>
      <c r="AQ18224" s="19"/>
      <c r="AR18224" s="19"/>
      <c r="AS18224" s="19"/>
      <c r="AT18224" s="19"/>
      <c r="AU18224" s="19"/>
    </row>
    <row r="18225" spans="3:47">
      <c r="C18225" s="20"/>
      <c r="Z18225" s="20"/>
      <c r="AG18225" s="20"/>
      <c r="AQ18225" s="19"/>
      <c r="AR18225" s="19"/>
      <c r="AS18225" s="19"/>
      <c r="AT18225" s="19"/>
      <c r="AU18225" s="19"/>
    </row>
    <row r="18226" spans="3:47">
      <c r="C18226" s="20"/>
      <c r="Z18226" s="20"/>
      <c r="AG18226" s="20"/>
      <c r="AQ18226" s="19"/>
      <c r="AR18226" s="19"/>
      <c r="AS18226" s="19"/>
      <c r="AT18226" s="19"/>
      <c r="AU18226" s="19"/>
    </row>
    <row r="18227" spans="3:47">
      <c r="C18227" s="20"/>
      <c r="Z18227" s="20"/>
      <c r="AG18227" s="20"/>
      <c r="AQ18227" s="19"/>
      <c r="AR18227" s="19"/>
      <c r="AS18227" s="19"/>
      <c r="AT18227" s="19"/>
      <c r="AU18227" s="19"/>
    </row>
    <row r="18228" spans="3:47">
      <c r="C18228" s="20"/>
      <c r="Z18228" s="20"/>
      <c r="AG18228" s="20"/>
      <c r="AQ18228" s="19"/>
      <c r="AR18228" s="19"/>
      <c r="AS18228" s="19"/>
      <c r="AT18228" s="19"/>
      <c r="AU18228" s="19"/>
    </row>
    <row r="18229" spans="3:47">
      <c r="C18229" s="20"/>
      <c r="Z18229" s="20"/>
      <c r="AG18229" s="20"/>
      <c r="AQ18229" s="19"/>
      <c r="AR18229" s="19"/>
      <c r="AS18229" s="19"/>
      <c r="AT18229" s="19"/>
      <c r="AU18229" s="19"/>
    </row>
    <row r="18230" spans="3:47">
      <c r="C18230" s="20"/>
      <c r="Z18230" s="20"/>
      <c r="AG18230" s="20"/>
      <c r="AQ18230" s="19"/>
      <c r="AR18230" s="19"/>
      <c r="AS18230" s="19"/>
      <c r="AT18230" s="19"/>
      <c r="AU18230" s="19"/>
    </row>
    <row r="18231" spans="3:47">
      <c r="C18231" s="20"/>
      <c r="Z18231" s="20"/>
      <c r="AG18231" s="20"/>
      <c r="AQ18231" s="19"/>
      <c r="AR18231" s="19"/>
      <c r="AS18231" s="19"/>
      <c r="AT18231" s="19"/>
      <c r="AU18231" s="19"/>
    </row>
    <row r="18232" spans="3:47">
      <c r="C18232" s="20"/>
      <c r="Z18232" s="20"/>
      <c r="AG18232" s="20"/>
      <c r="AQ18232" s="19"/>
      <c r="AR18232" s="19"/>
      <c r="AS18232" s="19"/>
      <c r="AT18232" s="19"/>
      <c r="AU18232" s="19"/>
    </row>
    <row r="18233" spans="3:47">
      <c r="C18233" s="20"/>
      <c r="Z18233" s="20"/>
      <c r="AG18233" s="20"/>
      <c r="AQ18233" s="19"/>
      <c r="AR18233" s="19"/>
      <c r="AS18233" s="19"/>
      <c r="AT18233" s="19"/>
      <c r="AU18233" s="19"/>
    </row>
    <row r="18234" spans="3:47">
      <c r="C18234" s="20"/>
      <c r="Z18234" s="20"/>
      <c r="AG18234" s="20"/>
      <c r="AQ18234" s="19"/>
      <c r="AR18234" s="19"/>
      <c r="AS18234" s="19"/>
      <c r="AT18234" s="19"/>
      <c r="AU18234" s="19"/>
    </row>
    <row r="18235" spans="3:47">
      <c r="C18235" s="20"/>
      <c r="Z18235" s="20"/>
      <c r="AG18235" s="20"/>
      <c r="AQ18235" s="19"/>
      <c r="AR18235" s="19"/>
      <c r="AS18235" s="19"/>
      <c r="AT18235" s="19"/>
      <c r="AU18235" s="19"/>
    </row>
    <row r="18236" spans="3:47">
      <c r="C18236" s="20"/>
      <c r="Z18236" s="20"/>
      <c r="AG18236" s="20"/>
      <c r="AQ18236" s="19"/>
      <c r="AR18236" s="19"/>
      <c r="AS18236" s="19"/>
      <c r="AT18236" s="19"/>
      <c r="AU18236" s="19"/>
    </row>
    <row r="18237" spans="3:47">
      <c r="C18237" s="20"/>
      <c r="Z18237" s="20"/>
      <c r="AG18237" s="20"/>
      <c r="AQ18237" s="19"/>
      <c r="AR18237" s="19"/>
      <c r="AS18237" s="19"/>
      <c r="AT18237" s="19"/>
      <c r="AU18237" s="19"/>
    </row>
    <row r="18238" spans="3:47">
      <c r="C18238" s="20"/>
      <c r="Z18238" s="20"/>
      <c r="AG18238" s="20"/>
      <c r="AQ18238" s="19"/>
      <c r="AR18238" s="19"/>
      <c r="AS18238" s="19"/>
      <c r="AT18238" s="19"/>
      <c r="AU18238" s="19"/>
    </row>
    <row r="18239" spans="3:47">
      <c r="C18239" s="20"/>
      <c r="Z18239" s="20"/>
      <c r="AG18239" s="20"/>
      <c r="AQ18239" s="19"/>
      <c r="AR18239" s="19"/>
      <c r="AS18239" s="19"/>
      <c r="AT18239" s="19"/>
      <c r="AU18239" s="19"/>
    </row>
    <row r="18240" spans="3:47">
      <c r="C18240" s="20"/>
      <c r="Z18240" s="20"/>
      <c r="AG18240" s="20"/>
      <c r="AQ18240" s="19"/>
      <c r="AR18240" s="19"/>
      <c r="AS18240" s="19"/>
      <c r="AT18240" s="19"/>
      <c r="AU18240" s="19"/>
    </row>
    <row r="18241" spans="3:47">
      <c r="C18241" s="20"/>
      <c r="Z18241" s="20"/>
      <c r="AG18241" s="20"/>
      <c r="AQ18241" s="19"/>
      <c r="AR18241" s="19"/>
      <c r="AS18241" s="19"/>
      <c r="AT18241" s="19"/>
      <c r="AU18241" s="19"/>
    </row>
    <row r="18242" spans="3:47">
      <c r="C18242" s="20"/>
      <c r="Z18242" s="20"/>
      <c r="AG18242" s="20"/>
      <c r="AQ18242" s="19"/>
      <c r="AR18242" s="19"/>
      <c r="AS18242" s="19"/>
      <c r="AT18242" s="19"/>
      <c r="AU18242" s="19"/>
    </row>
    <row r="18243" spans="3:47">
      <c r="C18243" s="20"/>
      <c r="Z18243" s="20"/>
      <c r="AG18243" s="20"/>
      <c r="AQ18243" s="19"/>
      <c r="AR18243" s="19"/>
      <c r="AS18243" s="19"/>
      <c r="AT18243" s="19"/>
      <c r="AU18243" s="19"/>
    </row>
    <row r="18244" spans="3:47">
      <c r="C18244" s="20"/>
      <c r="Z18244" s="20"/>
      <c r="AG18244" s="20"/>
      <c r="AQ18244" s="19"/>
      <c r="AR18244" s="19"/>
      <c r="AS18244" s="19"/>
      <c r="AT18244" s="19"/>
      <c r="AU18244" s="19"/>
    </row>
    <row r="18245" spans="3:47">
      <c r="C18245" s="20"/>
      <c r="Z18245" s="20"/>
      <c r="AG18245" s="20"/>
      <c r="AQ18245" s="19"/>
      <c r="AR18245" s="19"/>
      <c r="AS18245" s="19"/>
      <c r="AT18245" s="19"/>
      <c r="AU18245" s="19"/>
    </row>
    <row r="18246" spans="3:47">
      <c r="C18246" s="20"/>
      <c r="Z18246" s="20"/>
      <c r="AG18246" s="20"/>
      <c r="AQ18246" s="19"/>
      <c r="AR18246" s="19"/>
      <c r="AS18246" s="19"/>
      <c r="AT18246" s="19"/>
      <c r="AU18246" s="19"/>
    </row>
    <row r="18247" spans="3:47">
      <c r="C18247" s="20"/>
      <c r="Z18247" s="20"/>
      <c r="AG18247" s="20"/>
      <c r="AQ18247" s="19"/>
      <c r="AR18247" s="19"/>
      <c r="AS18247" s="19"/>
      <c r="AT18247" s="19"/>
      <c r="AU18247" s="19"/>
    </row>
    <row r="18248" spans="3:47">
      <c r="C18248" s="20"/>
      <c r="Z18248" s="20"/>
      <c r="AG18248" s="20"/>
      <c r="AQ18248" s="19"/>
      <c r="AR18248" s="19"/>
      <c r="AS18248" s="19"/>
      <c r="AT18248" s="19"/>
      <c r="AU18248" s="19"/>
    </row>
    <row r="18249" spans="3:47">
      <c r="C18249" s="20"/>
      <c r="Z18249" s="20"/>
      <c r="AG18249" s="20"/>
      <c r="AQ18249" s="19"/>
      <c r="AR18249" s="19"/>
      <c r="AS18249" s="19"/>
      <c r="AT18249" s="19"/>
      <c r="AU18249" s="19"/>
    </row>
    <row r="18250" spans="3:47">
      <c r="C18250" s="20"/>
      <c r="Z18250" s="20"/>
      <c r="AG18250" s="20"/>
      <c r="AQ18250" s="19"/>
      <c r="AR18250" s="19"/>
      <c r="AS18250" s="19"/>
      <c r="AT18250" s="19"/>
      <c r="AU18250" s="19"/>
    </row>
    <row r="18251" spans="3:47">
      <c r="C18251" s="20"/>
      <c r="Z18251" s="20"/>
      <c r="AG18251" s="20"/>
      <c r="AQ18251" s="19"/>
      <c r="AR18251" s="19"/>
      <c r="AS18251" s="19"/>
      <c r="AT18251" s="19"/>
      <c r="AU18251" s="19"/>
    </row>
    <row r="18252" spans="3:47">
      <c r="C18252" s="20"/>
      <c r="Z18252" s="20"/>
      <c r="AG18252" s="20"/>
      <c r="AQ18252" s="19"/>
      <c r="AR18252" s="19"/>
      <c r="AS18252" s="19"/>
      <c r="AT18252" s="19"/>
      <c r="AU18252" s="19"/>
    </row>
    <row r="18253" spans="3:47">
      <c r="C18253" s="20"/>
      <c r="Z18253" s="20"/>
      <c r="AG18253" s="20"/>
      <c r="AQ18253" s="19"/>
      <c r="AR18253" s="19"/>
      <c r="AS18253" s="19"/>
      <c r="AT18253" s="19"/>
      <c r="AU18253" s="19"/>
    </row>
    <row r="18254" spans="3:47">
      <c r="C18254" s="20"/>
      <c r="Z18254" s="20"/>
      <c r="AG18254" s="20"/>
      <c r="AQ18254" s="19"/>
      <c r="AR18254" s="19"/>
      <c r="AS18254" s="19"/>
      <c r="AT18254" s="19"/>
      <c r="AU18254" s="19"/>
    </row>
    <row r="18255" spans="3:47">
      <c r="C18255" s="20"/>
      <c r="Z18255" s="20"/>
      <c r="AG18255" s="20"/>
      <c r="AQ18255" s="19"/>
      <c r="AR18255" s="19"/>
      <c r="AS18255" s="19"/>
      <c r="AT18255" s="19"/>
      <c r="AU18255" s="19"/>
    </row>
    <row r="18256" spans="3:47">
      <c r="C18256" s="20"/>
      <c r="Z18256" s="20"/>
      <c r="AG18256" s="20"/>
      <c r="AQ18256" s="19"/>
      <c r="AR18256" s="19"/>
      <c r="AS18256" s="19"/>
      <c r="AT18256" s="19"/>
      <c r="AU18256" s="19"/>
    </row>
    <row r="18257" spans="3:47">
      <c r="C18257" s="20"/>
      <c r="Z18257" s="20"/>
      <c r="AG18257" s="20"/>
      <c r="AQ18257" s="19"/>
      <c r="AR18257" s="19"/>
      <c r="AS18257" s="19"/>
      <c r="AT18257" s="19"/>
      <c r="AU18257" s="19"/>
    </row>
    <row r="18258" spans="3:47">
      <c r="C18258" s="20"/>
      <c r="Z18258" s="20"/>
      <c r="AG18258" s="20"/>
      <c r="AQ18258" s="19"/>
      <c r="AR18258" s="19"/>
      <c r="AS18258" s="19"/>
      <c r="AT18258" s="19"/>
      <c r="AU18258" s="19"/>
    </row>
    <row r="18259" spans="3:47">
      <c r="C18259" s="20"/>
      <c r="Z18259" s="20"/>
      <c r="AG18259" s="20"/>
      <c r="AQ18259" s="19"/>
      <c r="AR18259" s="19"/>
      <c r="AS18259" s="19"/>
      <c r="AT18259" s="19"/>
      <c r="AU18259" s="19"/>
    </row>
    <row r="18260" spans="3:47">
      <c r="C18260" s="20"/>
      <c r="Z18260" s="20"/>
      <c r="AG18260" s="20"/>
      <c r="AQ18260" s="19"/>
      <c r="AR18260" s="19"/>
      <c r="AS18260" s="19"/>
      <c r="AT18260" s="19"/>
      <c r="AU18260" s="19"/>
    </row>
    <row r="18261" spans="3:47">
      <c r="C18261" s="20"/>
      <c r="Z18261" s="20"/>
      <c r="AG18261" s="20"/>
      <c r="AQ18261" s="19"/>
      <c r="AR18261" s="19"/>
      <c r="AS18261" s="19"/>
      <c r="AT18261" s="19"/>
      <c r="AU18261" s="19"/>
    </row>
    <row r="18262" spans="3:47">
      <c r="C18262" s="20"/>
      <c r="Z18262" s="20"/>
      <c r="AG18262" s="20"/>
      <c r="AQ18262" s="19"/>
      <c r="AR18262" s="19"/>
      <c r="AS18262" s="19"/>
      <c r="AT18262" s="19"/>
      <c r="AU18262" s="19"/>
    </row>
    <row r="18263" spans="3:47">
      <c r="C18263" s="20"/>
      <c r="Z18263" s="20"/>
      <c r="AG18263" s="20"/>
      <c r="AQ18263" s="19"/>
      <c r="AR18263" s="19"/>
      <c r="AS18263" s="19"/>
      <c r="AT18263" s="19"/>
      <c r="AU18263" s="19"/>
    </row>
    <row r="18264" spans="3:47">
      <c r="C18264" s="20"/>
      <c r="Z18264" s="20"/>
      <c r="AG18264" s="20"/>
      <c r="AQ18264" s="19"/>
      <c r="AR18264" s="19"/>
      <c r="AS18264" s="19"/>
      <c r="AT18264" s="19"/>
      <c r="AU18264" s="19"/>
    </row>
    <row r="18265" spans="3:47">
      <c r="C18265" s="20"/>
      <c r="Z18265" s="20"/>
      <c r="AG18265" s="20"/>
      <c r="AQ18265" s="19"/>
      <c r="AR18265" s="19"/>
      <c r="AS18265" s="19"/>
      <c r="AT18265" s="19"/>
      <c r="AU18265" s="19"/>
    </row>
    <row r="18266" spans="3:47">
      <c r="C18266" s="20"/>
      <c r="Z18266" s="20"/>
      <c r="AG18266" s="20"/>
      <c r="AQ18266" s="19"/>
      <c r="AR18266" s="19"/>
      <c r="AS18266" s="19"/>
      <c r="AT18266" s="19"/>
      <c r="AU18266" s="19"/>
    </row>
    <row r="18267" spans="3:47">
      <c r="C18267" s="20"/>
      <c r="Z18267" s="20"/>
      <c r="AG18267" s="20"/>
      <c r="AQ18267" s="19"/>
      <c r="AR18267" s="19"/>
      <c r="AS18267" s="19"/>
      <c r="AT18267" s="19"/>
      <c r="AU18267" s="19"/>
    </row>
    <row r="18268" spans="3:47">
      <c r="C18268" s="20"/>
      <c r="Z18268" s="20"/>
      <c r="AG18268" s="20"/>
      <c r="AQ18268" s="19"/>
      <c r="AR18268" s="19"/>
      <c r="AS18268" s="19"/>
      <c r="AT18268" s="19"/>
      <c r="AU18268" s="19"/>
    </row>
    <row r="18269" spans="3:47">
      <c r="C18269" s="20"/>
      <c r="Z18269" s="20"/>
      <c r="AG18269" s="20"/>
      <c r="AQ18269" s="19"/>
      <c r="AR18269" s="19"/>
      <c r="AS18269" s="19"/>
      <c r="AT18269" s="19"/>
      <c r="AU18269" s="19"/>
    </row>
    <row r="18270" spans="3:47">
      <c r="C18270" s="20"/>
      <c r="Z18270" s="20"/>
      <c r="AG18270" s="20"/>
      <c r="AQ18270" s="19"/>
      <c r="AR18270" s="19"/>
      <c r="AS18270" s="19"/>
      <c r="AT18270" s="19"/>
      <c r="AU18270" s="19"/>
    </row>
    <row r="18271" spans="3:47">
      <c r="C18271" s="20"/>
      <c r="Z18271" s="20"/>
      <c r="AG18271" s="20"/>
      <c r="AQ18271" s="19"/>
      <c r="AR18271" s="19"/>
      <c r="AS18271" s="19"/>
      <c r="AT18271" s="19"/>
      <c r="AU18271" s="19"/>
    </row>
    <row r="18272" spans="3:47">
      <c r="C18272" s="20"/>
      <c r="Z18272" s="20"/>
      <c r="AG18272" s="20"/>
      <c r="AQ18272" s="19"/>
      <c r="AR18272" s="19"/>
      <c r="AS18272" s="19"/>
      <c r="AT18272" s="19"/>
      <c r="AU18272" s="19"/>
    </row>
    <row r="18273" spans="3:47">
      <c r="C18273" s="20"/>
      <c r="Z18273" s="20"/>
      <c r="AG18273" s="20"/>
      <c r="AQ18273" s="19"/>
      <c r="AR18273" s="19"/>
      <c r="AS18273" s="19"/>
      <c r="AT18273" s="19"/>
      <c r="AU18273" s="19"/>
    </row>
    <row r="18274" spans="3:47">
      <c r="C18274" s="20"/>
      <c r="Z18274" s="20"/>
      <c r="AG18274" s="20"/>
      <c r="AQ18274" s="19"/>
      <c r="AR18274" s="19"/>
      <c r="AS18274" s="19"/>
      <c r="AT18274" s="19"/>
      <c r="AU18274" s="19"/>
    </row>
    <row r="18275" spans="3:47">
      <c r="C18275" s="20"/>
      <c r="Z18275" s="20"/>
      <c r="AG18275" s="20"/>
      <c r="AQ18275" s="19"/>
      <c r="AR18275" s="19"/>
      <c r="AS18275" s="19"/>
      <c r="AT18275" s="19"/>
      <c r="AU18275" s="19"/>
    </row>
    <row r="18276" spans="3:47">
      <c r="C18276" s="20"/>
      <c r="Z18276" s="20"/>
      <c r="AG18276" s="20"/>
      <c r="AQ18276" s="19"/>
      <c r="AR18276" s="19"/>
      <c r="AS18276" s="19"/>
      <c r="AT18276" s="19"/>
      <c r="AU18276" s="19"/>
    </row>
    <row r="18277" spans="3:47">
      <c r="C18277" s="20"/>
      <c r="Z18277" s="20"/>
      <c r="AG18277" s="20"/>
      <c r="AQ18277" s="19"/>
      <c r="AR18277" s="19"/>
      <c r="AS18277" s="19"/>
      <c r="AT18277" s="19"/>
      <c r="AU18277" s="19"/>
    </row>
    <row r="18278" spans="3:47">
      <c r="C18278" s="20"/>
      <c r="Z18278" s="20"/>
      <c r="AG18278" s="20"/>
      <c r="AQ18278" s="19"/>
      <c r="AR18278" s="19"/>
      <c r="AS18278" s="19"/>
      <c r="AT18278" s="19"/>
      <c r="AU18278" s="19"/>
    </row>
    <row r="18279" spans="3:47">
      <c r="C18279" s="20"/>
      <c r="Z18279" s="20"/>
      <c r="AG18279" s="20"/>
      <c r="AQ18279" s="19"/>
      <c r="AR18279" s="19"/>
      <c r="AS18279" s="19"/>
      <c r="AT18279" s="19"/>
      <c r="AU18279" s="19"/>
    </row>
    <row r="18280" spans="3:47">
      <c r="C18280" s="20"/>
      <c r="Z18280" s="20"/>
      <c r="AG18280" s="20"/>
      <c r="AQ18280" s="19"/>
      <c r="AR18280" s="19"/>
      <c r="AS18280" s="19"/>
      <c r="AT18280" s="19"/>
      <c r="AU18280" s="19"/>
    </row>
    <row r="18281" spans="3:47">
      <c r="C18281" s="20"/>
      <c r="Z18281" s="20"/>
      <c r="AG18281" s="20"/>
      <c r="AQ18281" s="19"/>
      <c r="AR18281" s="19"/>
      <c r="AS18281" s="19"/>
      <c r="AT18281" s="19"/>
      <c r="AU18281" s="19"/>
    </row>
    <row r="18282" spans="3:47">
      <c r="C18282" s="20"/>
      <c r="Z18282" s="20"/>
      <c r="AG18282" s="20"/>
      <c r="AQ18282" s="19"/>
      <c r="AR18282" s="19"/>
      <c r="AS18282" s="19"/>
      <c r="AT18282" s="19"/>
      <c r="AU18282" s="19"/>
    </row>
    <row r="18283" spans="3:47">
      <c r="C18283" s="20"/>
      <c r="Z18283" s="20"/>
      <c r="AG18283" s="20"/>
      <c r="AQ18283" s="19"/>
      <c r="AR18283" s="19"/>
      <c r="AS18283" s="19"/>
      <c r="AT18283" s="19"/>
      <c r="AU18283" s="19"/>
    </row>
    <row r="18284" spans="3:47">
      <c r="C18284" s="20"/>
      <c r="Z18284" s="20"/>
      <c r="AG18284" s="20"/>
      <c r="AQ18284" s="19"/>
      <c r="AR18284" s="19"/>
      <c r="AS18284" s="19"/>
      <c r="AT18284" s="19"/>
      <c r="AU18284" s="19"/>
    </row>
    <row r="18285" spans="3:47">
      <c r="C18285" s="20"/>
      <c r="Z18285" s="20"/>
      <c r="AG18285" s="20"/>
      <c r="AQ18285" s="19"/>
      <c r="AR18285" s="19"/>
      <c r="AS18285" s="19"/>
      <c r="AT18285" s="19"/>
      <c r="AU18285" s="19"/>
    </row>
    <row r="18286" spans="3:47">
      <c r="C18286" s="20"/>
      <c r="Z18286" s="20"/>
      <c r="AG18286" s="20"/>
      <c r="AQ18286" s="19"/>
      <c r="AR18286" s="19"/>
      <c r="AS18286" s="19"/>
      <c r="AT18286" s="19"/>
      <c r="AU18286" s="19"/>
    </row>
    <row r="18287" spans="3:47">
      <c r="C18287" s="20"/>
      <c r="Z18287" s="20"/>
      <c r="AG18287" s="20"/>
      <c r="AQ18287" s="19"/>
      <c r="AR18287" s="19"/>
      <c r="AS18287" s="19"/>
      <c r="AT18287" s="19"/>
      <c r="AU18287" s="19"/>
    </row>
    <row r="18288" spans="3:47">
      <c r="C18288" s="20"/>
      <c r="Z18288" s="20"/>
      <c r="AG18288" s="20"/>
      <c r="AQ18288" s="19"/>
      <c r="AR18288" s="19"/>
      <c r="AS18288" s="19"/>
      <c r="AT18288" s="19"/>
      <c r="AU18288" s="19"/>
    </row>
    <row r="18289" spans="3:47">
      <c r="C18289" s="20"/>
      <c r="Z18289" s="20"/>
      <c r="AG18289" s="20"/>
      <c r="AQ18289" s="19"/>
      <c r="AR18289" s="19"/>
      <c r="AS18289" s="19"/>
      <c r="AT18289" s="19"/>
      <c r="AU18289" s="19"/>
    </row>
    <row r="18290" spans="3:47">
      <c r="C18290" s="20"/>
      <c r="Z18290" s="20"/>
      <c r="AG18290" s="20"/>
      <c r="AQ18290" s="19"/>
      <c r="AR18290" s="19"/>
      <c r="AS18290" s="19"/>
      <c r="AT18290" s="19"/>
      <c r="AU18290" s="19"/>
    </row>
    <row r="18291" spans="3:47">
      <c r="C18291" s="20"/>
      <c r="Z18291" s="20"/>
      <c r="AG18291" s="20"/>
      <c r="AQ18291" s="19"/>
      <c r="AR18291" s="19"/>
      <c r="AS18291" s="19"/>
      <c r="AT18291" s="19"/>
      <c r="AU18291" s="19"/>
    </row>
    <row r="18292" spans="3:47">
      <c r="C18292" s="20"/>
      <c r="Z18292" s="20"/>
      <c r="AG18292" s="20"/>
      <c r="AQ18292" s="19"/>
      <c r="AR18292" s="19"/>
      <c r="AS18292" s="19"/>
      <c r="AT18292" s="19"/>
      <c r="AU18292" s="19"/>
    </row>
    <row r="18293" spans="3:47">
      <c r="C18293" s="20"/>
      <c r="Z18293" s="20"/>
      <c r="AG18293" s="20"/>
      <c r="AQ18293" s="19"/>
      <c r="AR18293" s="19"/>
      <c r="AS18293" s="19"/>
      <c r="AT18293" s="19"/>
      <c r="AU18293" s="19"/>
    </row>
    <row r="18294" spans="3:47">
      <c r="C18294" s="20"/>
      <c r="Z18294" s="20"/>
      <c r="AG18294" s="20"/>
      <c r="AQ18294" s="19"/>
      <c r="AR18294" s="19"/>
      <c r="AS18294" s="19"/>
      <c r="AT18294" s="19"/>
      <c r="AU18294" s="19"/>
    </row>
    <row r="18295" spans="3:47">
      <c r="C18295" s="20"/>
      <c r="Z18295" s="20"/>
      <c r="AG18295" s="20"/>
      <c r="AQ18295" s="19"/>
      <c r="AR18295" s="19"/>
      <c r="AS18295" s="19"/>
      <c r="AT18295" s="19"/>
      <c r="AU18295" s="19"/>
    </row>
    <row r="18296" spans="3:47">
      <c r="C18296" s="20"/>
      <c r="Z18296" s="20"/>
      <c r="AG18296" s="20"/>
      <c r="AQ18296" s="19"/>
      <c r="AR18296" s="19"/>
      <c r="AS18296" s="19"/>
      <c r="AT18296" s="19"/>
      <c r="AU18296" s="19"/>
    </row>
    <row r="18297" spans="3:47">
      <c r="C18297" s="20"/>
      <c r="Z18297" s="20"/>
      <c r="AG18297" s="20"/>
      <c r="AQ18297" s="19"/>
      <c r="AR18297" s="19"/>
      <c r="AS18297" s="19"/>
      <c r="AT18297" s="19"/>
      <c r="AU18297" s="19"/>
    </row>
    <row r="18298" spans="3:47">
      <c r="C18298" s="20"/>
      <c r="Z18298" s="20"/>
      <c r="AG18298" s="20"/>
      <c r="AQ18298" s="19"/>
      <c r="AR18298" s="19"/>
      <c r="AS18298" s="19"/>
      <c r="AT18298" s="19"/>
      <c r="AU18298" s="19"/>
    </row>
    <row r="18299" spans="3:47">
      <c r="C18299" s="20"/>
      <c r="Z18299" s="20"/>
      <c r="AG18299" s="20"/>
      <c r="AQ18299" s="19"/>
      <c r="AR18299" s="19"/>
      <c r="AS18299" s="19"/>
      <c r="AT18299" s="19"/>
      <c r="AU18299" s="19"/>
    </row>
    <row r="18300" spans="3:47">
      <c r="C18300" s="20"/>
      <c r="Z18300" s="20"/>
      <c r="AG18300" s="20"/>
      <c r="AQ18300" s="19"/>
      <c r="AR18300" s="19"/>
      <c r="AS18300" s="19"/>
      <c r="AT18300" s="19"/>
      <c r="AU18300" s="19"/>
    </row>
    <row r="18301" spans="3:47">
      <c r="C18301" s="20"/>
      <c r="Z18301" s="20"/>
      <c r="AG18301" s="20"/>
      <c r="AQ18301" s="19"/>
      <c r="AR18301" s="19"/>
      <c r="AS18301" s="19"/>
      <c r="AT18301" s="19"/>
      <c r="AU18301" s="19"/>
    </row>
    <row r="18302" spans="3:47">
      <c r="C18302" s="20"/>
      <c r="Z18302" s="20"/>
      <c r="AG18302" s="20"/>
      <c r="AQ18302" s="19"/>
      <c r="AR18302" s="19"/>
      <c r="AS18302" s="19"/>
      <c r="AT18302" s="19"/>
      <c r="AU18302" s="19"/>
    </row>
    <row r="18303" spans="3:47">
      <c r="C18303" s="20"/>
      <c r="Z18303" s="20"/>
      <c r="AG18303" s="20"/>
      <c r="AQ18303" s="19"/>
      <c r="AR18303" s="19"/>
      <c r="AS18303" s="19"/>
      <c r="AT18303" s="19"/>
      <c r="AU18303" s="19"/>
    </row>
    <row r="18304" spans="3:47">
      <c r="C18304" s="20"/>
      <c r="Z18304" s="20"/>
      <c r="AG18304" s="20"/>
      <c r="AQ18304" s="19"/>
      <c r="AR18304" s="19"/>
      <c r="AS18304" s="19"/>
      <c r="AT18304" s="19"/>
      <c r="AU18304" s="19"/>
    </row>
    <row r="18305" spans="3:47">
      <c r="C18305" s="20"/>
      <c r="Z18305" s="20"/>
      <c r="AG18305" s="20"/>
      <c r="AQ18305" s="19"/>
      <c r="AR18305" s="19"/>
      <c r="AS18305" s="19"/>
      <c r="AT18305" s="19"/>
      <c r="AU18305" s="19"/>
    </row>
    <row r="18306" spans="3:47">
      <c r="C18306" s="20"/>
      <c r="Z18306" s="20"/>
      <c r="AG18306" s="20"/>
      <c r="AQ18306" s="19"/>
      <c r="AR18306" s="19"/>
      <c r="AS18306" s="19"/>
      <c r="AT18306" s="19"/>
      <c r="AU18306" s="19"/>
    </row>
    <row r="18307" spans="3:47">
      <c r="C18307" s="20"/>
      <c r="Z18307" s="20"/>
      <c r="AG18307" s="20"/>
      <c r="AQ18307" s="19"/>
      <c r="AR18307" s="19"/>
      <c r="AS18307" s="19"/>
      <c r="AT18307" s="19"/>
      <c r="AU18307" s="19"/>
    </row>
    <row r="18308" spans="3:47">
      <c r="C18308" s="20"/>
      <c r="Z18308" s="20"/>
      <c r="AG18308" s="20"/>
      <c r="AQ18308" s="19"/>
      <c r="AR18308" s="19"/>
      <c r="AS18308" s="19"/>
      <c r="AT18308" s="19"/>
      <c r="AU18308" s="19"/>
    </row>
    <row r="18309" spans="3:47">
      <c r="C18309" s="20"/>
      <c r="Z18309" s="20"/>
      <c r="AG18309" s="20"/>
      <c r="AQ18309" s="19"/>
      <c r="AR18309" s="19"/>
      <c r="AS18309" s="19"/>
      <c r="AT18309" s="19"/>
      <c r="AU18309" s="19"/>
    </row>
    <row r="18310" spans="3:47">
      <c r="C18310" s="20"/>
      <c r="Z18310" s="20"/>
      <c r="AG18310" s="20"/>
      <c r="AQ18310" s="19"/>
      <c r="AR18310" s="19"/>
      <c r="AS18310" s="19"/>
      <c r="AT18310" s="19"/>
      <c r="AU18310" s="19"/>
    </row>
    <row r="18311" spans="3:47">
      <c r="C18311" s="20"/>
      <c r="Z18311" s="20"/>
      <c r="AG18311" s="20"/>
      <c r="AQ18311" s="19"/>
      <c r="AR18311" s="19"/>
      <c r="AS18311" s="19"/>
      <c r="AT18311" s="19"/>
      <c r="AU18311" s="19"/>
    </row>
    <row r="18312" spans="3:47">
      <c r="C18312" s="20"/>
      <c r="Z18312" s="20"/>
      <c r="AG18312" s="20"/>
      <c r="AQ18312" s="19"/>
      <c r="AR18312" s="19"/>
      <c r="AS18312" s="19"/>
      <c r="AT18312" s="19"/>
      <c r="AU18312" s="19"/>
    </row>
    <row r="18313" spans="3:47">
      <c r="C18313" s="20"/>
      <c r="Z18313" s="20"/>
      <c r="AG18313" s="20"/>
      <c r="AQ18313" s="19"/>
      <c r="AR18313" s="19"/>
      <c r="AS18313" s="19"/>
      <c r="AT18313" s="19"/>
      <c r="AU18313" s="19"/>
    </row>
    <row r="18314" spans="3:47">
      <c r="C18314" s="20"/>
      <c r="Z18314" s="20"/>
      <c r="AG18314" s="20"/>
      <c r="AQ18314" s="19"/>
      <c r="AR18314" s="19"/>
      <c r="AS18314" s="19"/>
      <c r="AT18314" s="19"/>
      <c r="AU18314" s="19"/>
    </row>
    <row r="18315" spans="3:47">
      <c r="C18315" s="20"/>
      <c r="Z18315" s="20"/>
      <c r="AG18315" s="20"/>
      <c r="AQ18315" s="19"/>
      <c r="AR18315" s="19"/>
      <c r="AS18315" s="19"/>
      <c r="AT18315" s="19"/>
      <c r="AU18315" s="19"/>
    </row>
    <row r="18316" spans="3:47">
      <c r="C18316" s="20"/>
      <c r="Z18316" s="20"/>
      <c r="AG18316" s="20"/>
      <c r="AQ18316" s="19"/>
      <c r="AR18316" s="19"/>
      <c r="AS18316" s="19"/>
      <c r="AT18316" s="19"/>
      <c r="AU18316" s="19"/>
    </row>
    <row r="18317" spans="3:47">
      <c r="C18317" s="20"/>
      <c r="Z18317" s="20"/>
      <c r="AG18317" s="20"/>
      <c r="AQ18317" s="19"/>
      <c r="AR18317" s="19"/>
      <c r="AS18317" s="19"/>
      <c r="AT18317" s="19"/>
      <c r="AU18317" s="19"/>
    </row>
    <row r="18318" spans="3:47">
      <c r="C18318" s="20"/>
      <c r="Z18318" s="20"/>
      <c r="AG18318" s="20"/>
      <c r="AQ18318" s="19"/>
      <c r="AR18318" s="19"/>
      <c r="AS18318" s="19"/>
      <c r="AT18318" s="19"/>
      <c r="AU18318" s="19"/>
    </row>
    <row r="18319" spans="3:47">
      <c r="C18319" s="20"/>
      <c r="Z18319" s="20"/>
      <c r="AG18319" s="20"/>
      <c r="AQ18319" s="19"/>
      <c r="AR18319" s="19"/>
      <c r="AS18319" s="19"/>
      <c r="AT18319" s="19"/>
      <c r="AU18319" s="19"/>
    </row>
    <row r="18320" spans="3:47">
      <c r="C18320" s="20"/>
      <c r="Z18320" s="20"/>
      <c r="AG18320" s="20"/>
      <c r="AQ18320" s="19"/>
      <c r="AR18320" s="19"/>
      <c r="AS18320" s="19"/>
      <c r="AT18320" s="19"/>
      <c r="AU18320" s="19"/>
    </row>
    <row r="18321" spans="3:47">
      <c r="C18321" s="20"/>
      <c r="Z18321" s="20"/>
      <c r="AG18321" s="20"/>
      <c r="AQ18321" s="19"/>
      <c r="AR18321" s="19"/>
      <c r="AS18321" s="19"/>
      <c r="AT18321" s="19"/>
      <c r="AU18321" s="19"/>
    </row>
    <row r="18322" spans="3:47">
      <c r="C18322" s="20"/>
      <c r="Z18322" s="20"/>
      <c r="AG18322" s="20"/>
      <c r="AQ18322" s="19"/>
      <c r="AR18322" s="19"/>
      <c r="AS18322" s="19"/>
      <c r="AT18322" s="19"/>
      <c r="AU18322" s="19"/>
    </row>
    <row r="18323" spans="3:47">
      <c r="C18323" s="20"/>
      <c r="Z18323" s="20"/>
      <c r="AG18323" s="20"/>
      <c r="AQ18323" s="19"/>
      <c r="AR18323" s="19"/>
      <c r="AS18323" s="19"/>
      <c r="AT18323" s="19"/>
      <c r="AU18323" s="19"/>
    </row>
    <row r="18324" spans="3:47">
      <c r="C18324" s="20"/>
      <c r="Z18324" s="20"/>
      <c r="AG18324" s="20"/>
      <c r="AQ18324" s="19"/>
      <c r="AR18324" s="19"/>
      <c r="AS18324" s="19"/>
      <c r="AT18324" s="19"/>
      <c r="AU18324" s="19"/>
    </row>
    <row r="18325" spans="3:47">
      <c r="C18325" s="20"/>
      <c r="Z18325" s="20"/>
      <c r="AG18325" s="20"/>
      <c r="AQ18325" s="19"/>
      <c r="AR18325" s="19"/>
      <c r="AS18325" s="19"/>
      <c r="AT18325" s="19"/>
      <c r="AU18325" s="19"/>
    </row>
    <row r="18326" spans="3:47">
      <c r="C18326" s="20"/>
      <c r="Z18326" s="20"/>
      <c r="AG18326" s="20"/>
      <c r="AQ18326" s="19"/>
      <c r="AR18326" s="19"/>
      <c r="AS18326" s="19"/>
      <c r="AT18326" s="19"/>
      <c r="AU18326" s="19"/>
    </row>
    <row r="18327" spans="3:47">
      <c r="C18327" s="20"/>
      <c r="Z18327" s="20"/>
      <c r="AG18327" s="20"/>
      <c r="AQ18327" s="19"/>
      <c r="AR18327" s="19"/>
      <c r="AS18327" s="19"/>
      <c r="AT18327" s="19"/>
      <c r="AU18327" s="19"/>
    </row>
    <row r="18328" spans="3:47">
      <c r="C18328" s="20"/>
      <c r="Z18328" s="20"/>
      <c r="AG18328" s="20"/>
      <c r="AQ18328" s="19"/>
      <c r="AR18328" s="19"/>
      <c r="AS18328" s="19"/>
      <c r="AT18328" s="19"/>
      <c r="AU18328" s="19"/>
    </row>
    <row r="18329" spans="3:47">
      <c r="C18329" s="20"/>
      <c r="Z18329" s="20"/>
      <c r="AG18329" s="20"/>
      <c r="AQ18329" s="19"/>
      <c r="AR18329" s="19"/>
      <c r="AS18329" s="19"/>
      <c r="AT18329" s="19"/>
      <c r="AU18329" s="19"/>
    </row>
    <row r="18330" spans="3:47">
      <c r="C18330" s="20"/>
      <c r="Z18330" s="20"/>
      <c r="AG18330" s="20"/>
      <c r="AQ18330" s="19"/>
      <c r="AR18330" s="19"/>
      <c r="AS18330" s="19"/>
      <c r="AT18330" s="19"/>
      <c r="AU18330" s="19"/>
    </row>
    <row r="18331" spans="3:47">
      <c r="C18331" s="20"/>
      <c r="Z18331" s="20"/>
      <c r="AG18331" s="20"/>
      <c r="AQ18331" s="19"/>
      <c r="AR18331" s="19"/>
      <c r="AS18331" s="19"/>
      <c r="AT18331" s="19"/>
      <c r="AU18331" s="19"/>
    </row>
    <row r="18332" spans="3:47">
      <c r="C18332" s="20"/>
      <c r="Z18332" s="20"/>
      <c r="AG18332" s="20"/>
      <c r="AQ18332" s="19"/>
      <c r="AR18332" s="19"/>
      <c r="AS18332" s="19"/>
      <c r="AT18332" s="19"/>
      <c r="AU18332" s="19"/>
    </row>
    <row r="18333" spans="3:47">
      <c r="C18333" s="20"/>
      <c r="Z18333" s="20"/>
      <c r="AG18333" s="20"/>
      <c r="AQ18333" s="19"/>
      <c r="AR18333" s="19"/>
      <c r="AS18333" s="19"/>
      <c r="AT18333" s="19"/>
      <c r="AU18333" s="19"/>
    </row>
    <row r="18334" spans="3:47">
      <c r="C18334" s="20"/>
      <c r="Z18334" s="20"/>
      <c r="AG18334" s="20"/>
      <c r="AQ18334" s="19"/>
      <c r="AR18334" s="19"/>
      <c r="AS18334" s="19"/>
      <c r="AT18334" s="19"/>
      <c r="AU18334" s="19"/>
    </row>
    <row r="18335" spans="3:47">
      <c r="C18335" s="20"/>
      <c r="Z18335" s="20"/>
      <c r="AG18335" s="20"/>
      <c r="AQ18335" s="19"/>
      <c r="AR18335" s="19"/>
      <c r="AS18335" s="19"/>
      <c r="AT18335" s="19"/>
      <c r="AU18335" s="19"/>
    </row>
    <row r="18336" spans="3:47">
      <c r="C18336" s="20"/>
      <c r="Z18336" s="20"/>
      <c r="AG18336" s="20"/>
      <c r="AQ18336" s="19"/>
      <c r="AR18336" s="19"/>
      <c r="AS18336" s="19"/>
      <c r="AT18336" s="19"/>
      <c r="AU18336" s="19"/>
    </row>
    <row r="18337" spans="3:47">
      <c r="C18337" s="20"/>
      <c r="Z18337" s="20"/>
      <c r="AG18337" s="20"/>
      <c r="AQ18337" s="19"/>
      <c r="AR18337" s="19"/>
      <c r="AS18337" s="19"/>
      <c r="AT18337" s="19"/>
      <c r="AU18337" s="19"/>
    </row>
    <row r="18338" spans="3:47">
      <c r="C18338" s="20"/>
      <c r="Z18338" s="20"/>
      <c r="AG18338" s="20"/>
      <c r="AQ18338" s="19"/>
      <c r="AR18338" s="19"/>
      <c r="AS18338" s="19"/>
      <c r="AT18338" s="19"/>
      <c r="AU18338" s="19"/>
    </row>
    <row r="18339" spans="3:47">
      <c r="C18339" s="20"/>
      <c r="Z18339" s="20"/>
      <c r="AG18339" s="20"/>
      <c r="AQ18339" s="19"/>
      <c r="AR18339" s="19"/>
      <c r="AS18339" s="19"/>
      <c r="AT18339" s="19"/>
      <c r="AU18339" s="19"/>
    </row>
    <row r="18340" spans="3:47">
      <c r="C18340" s="20"/>
      <c r="Z18340" s="20"/>
      <c r="AG18340" s="20"/>
      <c r="AQ18340" s="19"/>
      <c r="AR18340" s="19"/>
      <c r="AS18340" s="19"/>
      <c r="AT18340" s="19"/>
      <c r="AU18340" s="19"/>
    </row>
    <row r="18341" spans="3:47">
      <c r="C18341" s="20"/>
      <c r="Z18341" s="20"/>
      <c r="AG18341" s="20"/>
      <c r="AQ18341" s="19"/>
      <c r="AR18341" s="19"/>
      <c r="AS18341" s="19"/>
      <c r="AT18341" s="19"/>
      <c r="AU18341" s="19"/>
    </row>
    <row r="18342" spans="3:47">
      <c r="C18342" s="20"/>
      <c r="Z18342" s="20"/>
      <c r="AG18342" s="20"/>
      <c r="AQ18342" s="19"/>
      <c r="AR18342" s="19"/>
      <c r="AS18342" s="19"/>
      <c r="AT18342" s="19"/>
      <c r="AU18342" s="19"/>
    </row>
    <row r="18343" spans="3:47">
      <c r="C18343" s="20"/>
      <c r="Z18343" s="20"/>
      <c r="AG18343" s="20"/>
      <c r="AQ18343" s="19"/>
      <c r="AR18343" s="19"/>
      <c r="AS18343" s="19"/>
      <c r="AT18343" s="19"/>
      <c r="AU18343" s="19"/>
    </row>
    <row r="18344" spans="3:47">
      <c r="C18344" s="20"/>
      <c r="Z18344" s="20"/>
      <c r="AG18344" s="20"/>
      <c r="AQ18344" s="19"/>
      <c r="AR18344" s="19"/>
      <c r="AS18344" s="19"/>
      <c r="AT18344" s="19"/>
      <c r="AU18344" s="19"/>
    </row>
    <row r="18345" spans="3:47">
      <c r="C18345" s="20"/>
      <c r="Z18345" s="20"/>
      <c r="AG18345" s="20"/>
      <c r="AQ18345" s="19"/>
      <c r="AR18345" s="19"/>
      <c r="AS18345" s="19"/>
      <c r="AT18345" s="19"/>
      <c r="AU18345" s="19"/>
    </row>
    <row r="18346" spans="3:47">
      <c r="C18346" s="20"/>
      <c r="Z18346" s="20"/>
      <c r="AG18346" s="20"/>
      <c r="AQ18346" s="19"/>
      <c r="AR18346" s="19"/>
      <c r="AS18346" s="19"/>
      <c r="AT18346" s="19"/>
      <c r="AU18346" s="19"/>
    </row>
    <row r="18347" spans="3:47">
      <c r="C18347" s="20"/>
      <c r="Z18347" s="20"/>
      <c r="AG18347" s="20"/>
      <c r="AQ18347" s="19"/>
      <c r="AR18347" s="19"/>
      <c r="AS18347" s="19"/>
      <c r="AT18347" s="19"/>
      <c r="AU18347" s="19"/>
    </row>
    <row r="18348" spans="3:47">
      <c r="C18348" s="20"/>
      <c r="Z18348" s="20"/>
      <c r="AG18348" s="20"/>
      <c r="AQ18348" s="19"/>
      <c r="AR18348" s="19"/>
      <c r="AS18348" s="19"/>
      <c r="AT18348" s="19"/>
      <c r="AU18348" s="19"/>
    </row>
    <row r="18349" spans="3:47">
      <c r="C18349" s="20"/>
      <c r="Z18349" s="20"/>
      <c r="AG18349" s="20"/>
      <c r="AQ18349" s="19"/>
      <c r="AR18349" s="19"/>
      <c r="AS18349" s="19"/>
      <c r="AT18349" s="19"/>
      <c r="AU18349" s="19"/>
    </row>
    <row r="18350" spans="3:47">
      <c r="C18350" s="20"/>
      <c r="Z18350" s="20"/>
      <c r="AG18350" s="20"/>
      <c r="AQ18350" s="19"/>
      <c r="AR18350" s="19"/>
      <c r="AS18350" s="19"/>
      <c r="AT18350" s="19"/>
      <c r="AU18350" s="19"/>
    </row>
    <row r="18351" spans="3:47">
      <c r="C18351" s="20"/>
      <c r="Z18351" s="20"/>
      <c r="AG18351" s="20"/>
      <c r="AQ18351" s="19"/>
      <c r="AR18351" s="19"/>
      <c r="AS18351" s="19"/>
      <c r="AT18351" s="19"/>
      <c r="AU18351" s="19"/>
    </row>
    <row r="18352" spans="3:47">
      <c r="C18352" s="20"/>
      <c r="Z18352" s="20"/>
      <c r="AG18352" s="20"/>
      <c r="AQ18352" s="19"/>
      <c r="AR18352" s="19"/>
      <c r="AS18352" s="19"/>
      <c r="AT18352" s="19"/>
      <c r="AU18352" s="19"/>
    </row>
    <row r="18353" spans="3:47">
      <c r="C18353" s="20"/>
      <c r="Z18353" s="20"/>
      <c r="AG18353" s="20"/>
      <c r="AQ18353" s="19"/>
      <c r="AR18353" s="19"/>
      <c r="AS18353" s="19"/>
      <c r="AT18353" s="19"/>
      <c r="AU18353" s="19"/>
    </row>
    <row r="18354" spans="3:47">
      <c r="C18354" s="20"/>
      <c r="Z18354" s="20"/>
      <c r="AG18354" s="20"/>
      <c r="AQ18354" s="19"/>
      <c r="AR18354" s="19"/>
      <c r="AS18354" s="19"/>
      <c r="AT18354" s="19"/>
      <c r="AU18354" s="19"/>
    </row>
    <row r="18355" spans="3:47">
      <c r="C18355" s="20"/>
      <c r="Z18355" s="20"/>
      <c r="AG18355" s="20"/>
      <c r="AQ18355" s="19"/>
      <c r="AR18355" s="19"/>
      <c r="AS18355" s="19"/>
      <c r="AT18355" s="19"/>
      <c r="AU18355" s="19"/>
    </row>
    <row r="18356" spans="3:47">
      <c r="C18356" s="20"/>
      <c r="Z18356" s="20"/>
      <c r="AG18356" s="20"/>
      <c r="AQ18356" s="19"/>
      <c r="AR18356" s="19"/>
      <c r="AS18356" s="19"/>
      <c r="AT18356" s="19"/>
      <c r="AU18356" s="19"/>
    </row>
    <row r="18357" spans="3:47">
      <c r="C18357" s="20"/>
      <c r="Z18357" s="20"/>
      <c r="AG18357" s="20"/>
      <c r="AQ18357" s="19"/>
      <c r="AR18357" s="19"/>
      <c r="AS18357" s="19"/>
      <c r="AT18357" s="19"/>
      <c r="AU18357" s="19"/>
    </row>
    <row r="18358" spans="3:47">
      <c r="C18358" s="20"/>
      <c r="Z18358" s="20"/>
      <c r="AG18358" s="20"/>
      <c r="AQ18358" s="19"/>
      <c r="AR18358" s="19"/>
      <c r="AS18358" s="19"/>
      <c r="AT18358" s="19"/>
      <c r="AU18358" s="19"/>
    </row>
    <row r="18359" spans="3:47">
      <c r="C18359" s="20"/>
      <c r="Z18359" s="20"/>
      <c r="AG18359" s="20"/>
      <c r="AQ18359" s="19"/>
      <c r="AR18359" s="19"/>
      <c r="AS18359" s="19"/>
      <c r="AT18359" s="19"/>
      <c r="AU18359" s="19"/>
    </row>
    <row r="18360" spans="3:47">
      <c r="C18360" s="20"/>
      <c r="Z18360" s="20"/>
      <c r="AG18360" s="20"/>
      <c r="AQ18360" s="19"/>
      <c r="AR18360" s="19"/>
      <c r="AS18360" s="19"/>
      <c r="AT18360" s="19"/>
      <c r="AU18360" s="19"/>
    </row>
    <row r="18361" spans="3:47">
      <c r="C18361" s="20"/>
      <c r="Z18361" s="20"/>
      <c r="AG18361" s="20"/>
      <c r="AQ18361" s="19"/>
      <c r="AR18361" s="19"/>
      <c r="AS18361" s="19"/>
      <c r="AT18361" s="19"/>
      <c r="AU18361" s="19"/>
    </row>
    <row r="18362" spans="3:47">
      <c r="C18362" s="20"/>
      <c r="Z18362" s="20"/>
      <c r="AG18362" s="20"/>
      <c r="AQ18362" s="19"/>
      <c r="AR18362" s="19"/>
      <c r="AS18362" s="19"/>
      <c r="AT18362" s="19"/>
      <c r="AU18362" s="19"/>
    </row>
    <row r="18363" spans="3:47">
      <c r="C18363" s="20"/>
      <c r="Z18363" s="20"/>
      <c r="AG18363" s="20"/>
      <c r="AQ18363" s="19"/>
      <c r="AR18363" s="19"/>
      <c r="AS18363" s="19"/>
      <c r="AT18363" s="19"/>
      <c r="AU18363" s="19"/>
    </row>
    <row r="18364" spans="3:47">
      <c r="C18364" s="20"/>
      <c r="Z18364" s="20"/>
      <c r="AG18364" s="20"/>
      <c r="AQ18364" s="19"/>
      <c r="AR18364" s="19"/>
      <c r="AS18364" s="19"/>
      <c r="AT18364" s="19"/>
      <c r="AU18364" s="19"/>
    </row>
    <row r="18365" spans="3:47">
      <c r="C18365" s="20"/>
      <c r="Z18365" s="20"/>
      <c r="AG18365" s="20"/>
      <c r="AQ18365" s="19"/>
      <c r="AR18365" s="19"/>
      <c r="AS18365" s="19"/>
      <c r="AT18365" s="19"/>
      <c r="AU18365" s="19"/>
    </row>
    <row r="18366" spans="3:47">
      <c r="C18366" s="20"/>
      <c r="Z18366" s="20"/>
      <c r="AG18366" s="20"/>
      <c r="AQ18366" s="19"/>
      <c r="AR18366" s="19"/>
      <c r="AS18366" s="19"/>
      <c r="AT18366" s="19"/>
      <c r="AU18366" s="19"/>
    </row>
    <row r="18367" spans="3:47">
      <c r="C18367" s="20"/>
      <c r="Z18367" s="20"/>
      <c r="AG18367" s="20"/>
      <c r="AQ18367" s="19"/>
      <c r="AR18367" s="19"/>
      <c r="AS18367" s="19"/>
      <c r="AT18367" s="19"/>
      <c r="AU18367" s="19"/>
    </row>
    <row r="18368" spans="3:47">
      <c r="C18368" s="20"/>
      <c r="Z18368" s="20"/>
      <c r="AG18368" s="20"/>
      <c r="AQ18368" s="19"/>
      <c r="AR18368" s="19"/>
      <c r="AS18368" s="19"/>
      <c r="AT18368" s="19"/>
      <c r="AU18368" s="19"/>
    </row>
    <row r="18369" spans="3:47">
      <c r="C18369" s="20"/>
      <c r="Z18369" s="20"/>
      <c r="AG18369" s="20"/>
      <c r="AQ18369" s="19"/>
      <c r="AR18369" s="19"/>
      <c r="AS18369" s="19"/>
      <c r="AT18369" s="19"/>
      <c r="AU18369" s="19"/>
    </row>
    <row r="18370" spans="3:47">
      <c r="C18370" s="20"/>
      <c r="Z18370" s="20"/>
      <c r="AG18370" s="20"/>
      <c r="AQ18370" s="19"/>
      <c r="AR18370" s="19"/>
      <c r="AS18370" s="19"/>
      <c r="AT18370" s="19"/>
      <c r="AU18370" s="19"/>
    </row>
    <row r="18371" spans="3:47">
      <c r="C18371" s="20"/>
      <c r="Z18371" s="20"/>
      <c r="AG18371" s="20"/>
      <c r="AQ18371" s="19"/>
      <c r="AR18371" s="19"/>
      <c r="AS18371" s="19"/>
      <c r="AT18371" s="19"/>
      <c r="AU18371" s="19"/>
    </row>
    <row r="18372" spans="3:47">
      <c r="C18372" s="20"/>
      <c r="Z18372" s="20"/>
      <c r="AG18372" s="20"/>
      <c r="AQ18372" s="19"/>
      <c r="AR18372" s="19"/>
      <c r="AS18372" s="19"/>
      <c r="AT18372" s="19"/>
      <c r="AU18372" s="19"/>
    </row>
    <row r="18373" spans="3:47">
      <c r="C18373" s="20"/>
      <c r="Z18373" s="20"/>
      <c r="AG18373" s="20"/>
      <c r="AQ18373" s="19"/>
      <c r="AR18373" s="19"/>
      <c r="AS18373" s="19"/>
      <c r="AT18373" s="19"/>
      <c r="AU18373" s="19"/>
    </row>
    <row r="18374" spans="3:47">
      <c r="C18374" s="20"/>
      <c r="Z18374" s="20"/>
      <c r="AG18374" s="20"/>
      <c r="AQ18374" s="19"/>
      <c r="AR18374" s="19"/>
      <c r="AS18374" s="19"/>
      <c r="AT18374" s="19"/>
      <c r="AU18374" s="19"/>
    </row>
    <row r="18375" spans="3:47">
      <c r="C18375" s="20"/>
      <c r="Z18375" s="20"/>
      <c r="AG18375" s="20"/>
      <c r="AQ18375" s="19"/>
      <c r="AR18375" s="19"/>
      <c r="AS18375" s="19"/>
      <c r="AT18375" s="19"/>
      <c r="AU18375" s="19"/>
    </row>
    <row r="18376" spans="3:47">
      <c r="C18376" s="20"/>
      <c r="Z18376" s="20"/>
      <c r="AG18376" s="20"/>
      <c r="AQ18376" s="19"/>
      <c r="AR18376" s="19"/>
      <c r="AS18376" s="19"/>
      <c r="AT18376" s="19"/>
      <c r="AU18376" s="19"/>
    </row>
    <row r="18377" spans="3:47">
      <c r="C18377" s="20"/>
      <c r="Z18377" s="20"/>
      <c r="AG18377" s="20"/>
      <c r="AQ18377" s="19"/>
      <c r="AR18377" s="19"/>
      <c r="AS18377" s="19"/>
      <c r="AT18377" s="19"/>
      <c r="AU18377" s="19"/>
    </row>
    <row r="18378" spans="3:47">
      <c r="C18378" s="20"/>
      <c r="Z18378" s="20"/>
      <c r="AG18378" s="20"/>
      <c r="AQ18378" s="19"/>
      <c r="AR18378" s="19"/>
      <c r="AS18378" s="19"/>
      <c r="AT18378" s="19"/>
      <c r="AU18378" s="19"/>
    </row>
    <row r="18379" spans="3:47">
      <c r="C18379" s="20"/>
      <c r="Z18379" s="20"/>
      <c r="AG18379" s="20"/>
      <c r="AQ18379" s="19"/>
      <c r="AR18379" s="19"/>
      <c r="AS18379" s="19"/>
      <c r="AT18379" s="19"/>
      <c r="AU18379" s="19"/>
    </row>
    <row r="18380" spans="3:47">
      <c r="C18380" s="20"/>
      <c r="Z18380" s="20"/>
      <c r="AG18380" s="20"/>
      <c r="AQ18380" s="19"/>
      <c r="AR18380" s="19"/>
      <c r="AS18380" s="19"/>
      <c r="AT18380" s="19"/>
      <c r="AU18380" s="19"/>
    </row>
    <row r="18381" spans="3:47">
      <c r="C18381" s="20"/>
      <c r="Z18381" s="20"/>
      <c r="AG18381" s="20"/>
      <c r="AQ18381" s="19"/>
      <c r="AR18381" s="19"/>
      <c r="AS18381" s="19"/>
      <c r="AT18381" s="19"/>
      <c r="AU18381" s="19"/>
    </row>
    <row r="18382" spans="3:47">
      <c r="C18382" s="20"/>
      <c r="Z18382" s="20"/>
      <c r="AG18382" s="20"/>
      <c r="AQ18382" s="19"/>
      <c r="AR18382" s="19"/>
      <c r="AS18382" s="19"/>
      <c r="AT18382" s="19"/>
      <c r="AU18382" s="19"/>
    </row>
    <row r="18383" spans="3:47">
      <c r="C18383" s="20"/>
      <c r="Z18383" s="20"/>
      <c r="AG18383" s="20"/>
      <c r="AQ18383" s="19"/>
      <c r="AR18383" s="19"/>
      <c r="AS18383" s="19"/>
      <c r="AT18383" s="19"/>
      <c r="AU18383" s="19"/>
    </row>
    <row r="18384" spans="3:47">
      <c r="C18384" s="20"/>
      <c r="Z18384" s="20"/>
      <c r="AG18384" s="20"/>
      <c r="AQ18384" s="19"/>
      <c r="AR18384" s="19"/>
      <c r="AS18384" s="19"/>
      <c r="AT18384" s="19"/>
      <c r="AU18384" s="19"/>
    </row>
    <row r="18385" spans="3:47">
      <c r="C18385" s="20"/>
      <c r="Z18385" s="20"/>
      <c r="AG18385" s="20"/>
      <c r="AQ18385" s="19"/>
      <c r="AR18385" s="19"/>
      <c r="AS18385" s="19"/>
      <c r="AT18385" s="19"/>
      <c r="AU18385" s="19"/>
    </row>
    <row r="18386" spans="3:47">
      <c r="C18386" s="20"/>
      <c r="Z18386" s="20"/>
      <c r="AG18386" s="20"/>
      <c r="AQ18386" s="19"/>
      <c r="AR18386" s="19"/>
      <c r="AS18386" s="19"/>
      <c r="AT18386" s="19"/>
      <c r="AU18386" s="19"/>
    </row>
    <row r="18387" spans="3:47">
      <c r="C18387" s="20"/>
      <c r="Z18387" s="20"/>
      <c r="AG18387" s="20"/>
      <c r="AQ18387" s="19"/>
      <c r="AR18387" s="19"/>
      <c r="AS18387" s="19"/>
      <c r="AT18387" s="19"/>
      <c r="AU18387" s="19"/>
    </row>
    <row r="18388" spans="3:47">
      <c r="C18388" s="20"/>
      <c r="Z18388" s="20"/>
      <c r="AG18388" s="20"/>
      <c r="AQ18388" s="19"/>
      <c r="AR18388" s="19"/>
      <c r="AS18388" s="19"/>
      <c r="AT18388" s="19"/>
      <c r="AU18388" s="19"/>
    </row>
    <row r="18389" spans="3:47">
      <c r="C18389" s="20"/>
      <c r="Z18389" s="20"/>
      <c r="AG18389" s="20"/>
      <c r="AQ18389" s="19"/>
      <c r="AR18389" s="19"/>
      <c r="AS18389" s="19"/>
      <c r="AT18389" s="19"/>
      <c r="AU18389" s="19"/>
    </row>
    <row r="18390" spans="3:47">
      <c r="C18390" s="20"/>
      <c r="Z18390" s="20"/>
      <c r="AG18390" s="20"/>
      <c r="AQ18390" s="19"/>
      <c r="AR18390" s="19"/>
      <c r="AS18390" s="19"/>
      <c r="AT18390" s="19"/>
      <c r="AU18390" s="19"/>
    </row>
    <row r="18391" spans="3:47">
      <c r="C18391" s="20"/>
      <c r="Z18391" s="20"/>
      <c r="AG18391" s="20"/>
      <c r="AQ18391" s="19"/>
      <c r="AR18391" s="19"/>
      <c r="AS18391" s="19"/>
      <c r="AT18391" s="19"/>
      <c r="AU18391" s="19"/>
    </row>
    <row r="18392" spans="3:47">
      <c r="C18392" s="20"/>
      <c r="Z18392" s="20"/>
      <c r="AG18392" s="20"/>
      <c r="AQ18392" s="19"/>
      <c r="AR18392" s="19"/>
      <c r="AS18392" s="19"/>
      <c r="AT18392" s="19"/>
      <c r="AU18392" s="19"/>
    </row>
    <row r="18393" spans="3:47">
      <c r="C18393" s="20"/>
      <c r="Z18393" s="20"/>
      <c r="AG18393" s="20"/>
      <c r="AQ18393" s="19"/>
      <c r="AR18393" s="19"/>
      <c r="AS18393" s="19"/>
      <c r="AT18393" s="19"/>
      <c r="AU18393" s="19"/>
    </row>
    <row r="18394" spans="3:47">
      <c r="C18394" s="20"/>
      <c r="Z18394" s="20"/>
      <c r="AG18394" s="20"/>
      <c r="AQ18394" s="19"/>
      <c r="AR18394" s="19"/>
      <c r="AS18394" s="19"/>
      <c r="AT18394" s="19"/>
      <c r="AU18394" s="19"/>
    </row>
    <row r="18395" spans="3:47">
      <c r="C18395" s="20"/>
      <c r="Z18395" s="20"/>
      <c r="AG18395" s="20"/>
      <c r="AQ18395" s="19"/>
      <c r="AR18395" s="19"/>
      <c r="AS18395" s="19"/>
      <c r="AT18395" s="19"/>
      <c r="AU18395" s="19"/>
    </row>
    <row r="18396" spans="3:47">
      <c r="C18396" s="20"/>
      <c r="Z18396" s="20"/>
      <c r="AG18396" s="20"/>
      <c r="AQ18396" s="19"/>
      <c r="AR18396" s="19"/>
      <c r="AS18396" s="19"/>
      <c r="AT18396" s="19"/>
      <c r="AU18396" s="19"/>
    </row>
    <row r="18397" spans="3:47">
      <c r="C18397" s="20"/>
      <c r="Z18397" s="20"/>
      <c r="AG18397" s="20"/>
      <c r="AQ18397" s="19"/>
      <c r="AR18397" s="19"/>
      <c r="AS18397" s="19"/>
      <c r="AT18397" s="19"/>
      <c r="AU18397" s="19"/>
    </row>
    <row r="18398" spans="3:47">
      <c r="C18398" s="20"/>
      <c r="Z18398" s="20"/>
      <c r="AG18398" s="20"/>
      <c r="AQ18398" s="19"/>
      <c r="AR18398" s="19"/>
      <c r="AS18398" s="19"/>
      <c r="AT18398" s="19"/>
      <c r="AU18398" s="19"/>
    </row>
    <row r="18399" spans="3:47">
      <c r="C18399" s="20"/>
      <c r="Z18399" s="20"/>
      <c r="AG18399" s="20"/>
      <c r="AQ18399" s="19"/>
      <c r="AR18399" s="19"/>
      <c r="AS18399" s="19"/>
      <c r="AT18399" s="19"/>
      <c r="AU18399" s="19"/>
    </row>
    <row r="18400" spans="3:47">
      <c r="C18400" s="20"/>
      <c r="Z18400" s="20"/>
      <c r="AG18400" s="20"/>
      <c r="AQ18400" s="19"/>
      <c r="AR18400" s="19"/>
      <c r="AS18400" s="19"/>
      <c r="AT18400" s="19"/>
      <c r="AU18400" s="19"/>
    </row>
    <row r="18401" spans="3:47">
      <c r="C18401" s="20"/>
      <c r="Z18401" s="20"/>
      <c r="AG18401" s="20"/>
      <c r="AQ18401" s="19"/>
      <c r="AR18401" s="19"/>
      <c r="AS18401" s="19"/>
      <c r="AT18401" s="19"/>
      <c r="AU18401" s="19"/>
    </row>
    <row r="18402" spans="3:47">
      <c r="C18402" s="20"/>
      <c r="Z18402" s="20"/>
      <c r="AG18402" s="20"/>
      <c r="AQ18402" s="19"/>
      <c r="AR18402" s="19"/>
      <c r="AS18402" s="19"/>
      <c r="AT18402" s="19"/>
      <c r="AU18402" s="19"/>
    </row>
    <row r="18403" spans="3:47">
      <c r="C18403" s="20"/>
      <c r="Z18403" s="20"/>
      <c r="AG18403" s="20"/>
      <c r="AQ18403" s="19"/>
      <c r="AR18403" s="19"/>
      <c r="AS18403" s="19"/>
      <c r="AT18403" s="19"/>
      <c r="AU18403" s="19"/>
    </row>
    <row r="18404" spans="3:47">
      <c r="C18404" s="20"/>
      <c r="Z18404" s="20"/>
      <c r="AG18404" s="20"/>
      <c r="AQ18404" s="19"/>
      <c r="AR18404" s="19"/>
      <c r="AS18404" s="19"/>
      <c r="AT18404" s="19"/>
      <c r="AU18404" s="19"/>
    </row>
    <row r="18405" spans="3:47">
      <c r="C18405" s="20"/>
      <c r="Z18405" s="20"/>
      <c r="AG18405" s="20"/>
      <c r="AQ18405" s="19"/>
      <c r="AR18405" s="19"/>
      <c r="AS18405" s="19"/>
      <c r="AT18405" s="19"/>
      <c r="AU18405" s="19"/>
    </row>
    <row r="18406" spans="3:47">
      <c r="C18406" s="20"/>
      <c r="Z18406" s="20"/>
      <c r="AG18406" s="20"/>
      <c r="AQ18406" s="19"/>
      <c r="AR18406" s="19"/>
      <c r="AS18406" s="19"/>
      <c r="AT18406" s="19"/>
      <c r="AU18406" s="19"/>
    </row>
    <row r="18407" spans="3:47">
      <c r="C18407" s="20"/>
      <c r="Z18407" s="20"/>
      <c r="AG18407" s="20"/>
      <c r="AQ18407" s="19"/>
      <c r="AR18407" s="19"/>
      <c r="AS18407" s="19"/>
      <c r="AT18407" s="19"/>
      <c r="AU18407" s="19"/>
    </row>
    <row r="18408" spans="3:47">
      <c r="C18408" s="20"/>
      <c r="Z18408" s="20"/>
      <c r="AG18408" s="20"/>
      <c r="AQ18408" s="19"/>
      <c r="AR18408" s="19"/>
      <c r="AS18408" s="19"/>
      <c r="AT18408" s="19"/>
      <c r="AU18408" s="19"/>
    </row>
    <row r="18409" spans="3:47">
      <c r="C18409" s="20"/>
      <c r="Z18409" s="20"/>
      <c r="AG18409" s="20"/>
      <c r="AQ18409" s="19"/>
      <c r="AR18409" s="19"/>
      <c r="AS18409" s="19"/>
      <c r="AT18409" s="19"/>
      <c r="AU18409" s="19"/>
    </row>
    <row r="18410" spans="3:47">
      <c r="C18410" s="20"/>
      <c r="Z18410" s="20"/>
      <c r="AG18410" s="20"/>
      <c r="AQ18410" s="19"/>
      <c r="AR18410" s="19"/>
      <c r="AS18410" s="19"/>
      <c r="AT18410" s="19"/>
      <c r="AU18410" s="19"/>
    </row>
    <row r="18411" spans="3:47">
      <c r="C18411" s="20"/>
      <c r="Z18411" s="20"/>
      <c r="AG18411" s="20"/>
      <c r="AQ18411" s="19"/>
      <c r="AR18411" s="19"/>
      <c r="AS18411" s="19"/>
      <c r="AT18411" s="19"/>
      <c r="AU18411" s="19"/>
    </row>
    <row r="18412" spans="3:47">
      <c r="C18412" s="20"/>
      <c r="Z18412" s="20"/>
      <c r="AG18412" s="20"/>
      <c r="AQ18412" s="19"/>
      <c r="AR18412" s="19"/>
      <c r="AS18412" s="19"/>
      <c r="AT18412" s="19"/>
      <c r="AU18412" s="19"/>
    </row>
    <row r="18413" spans="3:47">
      <c r="C18413" s="20"/>
      <c r="Z18413" s="20"/>
      <c r="AG18413" s="20"/>
      <c r="AQ18413" s="19"/>
      <c r="AR18413" s="19"/>
      <c r="AS18413" s="19"/>
      <c r="AT18413" s="19"/>
      <c r="AU18413" s="19"/>
    </row>
    <row r="18414" spans="3:47">
      <c r="C18414" s="20"/>
      <c r="Z18414" s="20"/>
      <c r="AG18414" s="20"/>
      <c r="AQ18414" s="19"/>
      <c r="AR18414" s="19"/>
      <c r="AS18414" s="19"/>
      <c r="AT18414" s="19"/>
      <c r="AU18414" s="19"/>
    </row>
    <row r="18415" spans="3:47">
      <c r="C18415" s="20"/>
      <c r="Z18415" s="20"/>
      <c r="AG18415" s="20"/>
      <c r="AQ18415" s="19"/>
      <c r="AR18415" s="19"/>
      <c r="AS18415" s="19"/>
      <c r="AT18415" s="19"/>
      <c r="AU18415" s="19"/>
    </row>
    <row r="18416" spans="3:47">
      <c r="C18416" s="20"/>
      <c r="Z18416" s="20"/>
      <c r="AG18416" s="20"/>
      <c r="AQ18416" s="19"/>
      <c r="AR18416" s="19"/>
      <c r="AS18416" s="19"/>
      <c r="AT18416" s="19"/>
      <c r="AU18416" s="19"/>
    </row>
    <row r="18417" spans="3:47">
      <c r="C18417" s="20"/>
      <c r="Z18417" s="20"/>
      <c r="AG18417" s="20"/>
      <c r="AQ18417" s="19"/>
      <c r="AR18417" s="19"/>
      <c r="AS18417" s="19"/>
      <c r="AT18417" s="19"/>
      <c r="AU18417" s="19"/>
    </row>
    <row r="18418" spans="3:47">
      <c r="C18418" s="20"/>
      <c r="Z18418" s="20"/>
      <c r="AG18418" s="20"/>
      <c r="AQ18418" s="19"/>
      <c r="AR18418" s="19"/>
      <c r="AS18418" s="19"/>
      <c r="AT18418" s="19"/>
      <c r="AU18418" s="19"/>
    </row>
    <row r="18419" spans="3:47">
      <c r="C18419" s="20"/>
      <c r="Z18419" s="20"/>
      <c r="AG18419" s="20"/>
      <c r="AQ18419" s="19"/>
      <c r="AR18419" s="19"/>
      <c r="AS18419" s="19"/>
      <c r="AT18419" s="19"/>
      <c r="AU18419" s="19"/>
    </row>
    <row r="18420" spans="3:47">
      <c r="C18420" s="20"/>
      <c r="Z18420" s="20"/>
      <c r="AG18420" s="20"/>
      <c r="AQ18420" s="19"/>
      <c r="AR18420" s="19"/>
      <c r="AS18420" s="19"/>
      <c r="AT18420" s="19"/>
      <c r="AU18420" s="19"/>
    </row>
    <row r="18421" spans="3:47">
      <c r="C18421" s="20"/>
      <c r="Z18421" s="20"/>
      <c r="AG18421" s="20"/>
      <c r="AQ18421" s="19"/>
      <c r="AR18421" s="19"/>
      <c r="AS18421" s="19"/>
      <c r="AT18421" s="19"/>
      <c r="AU18421" s="19"/>
    </row>
    <row r="18422" spans="3:47">
      <c r="C18422" s="20"/>
      <c r="Z18422" s="20"/>
      <c r="AG18422" s="20"/>
      <c r="AQ18422" s="19"/>
      <c r="AR18422" s="19"/>
      <c r="AS18422" s="19"/>
      <c r="AT18422" s="19"/>
      <c r="AU18422" s="19"/>
    </row>
    <row r="18423" spans="3:47">
      <c r="C18423" s="20"/>
      <c r="Z18423" s="20"/>
      <c r="AG18423" s="20"/>
      <c r="AQ18423" s="19"/>
      <c r="AR18423" s="19"/>
      <c r="AS18423" s="19"/>
      <c r="AT18423" s="19"/>
      <c r="AU18423" s="19"/>
    </row>
    <row r="18424" spans="3:47">
      <c r="C18424" s="20"/>
      <c r="Z18424" s="20"/>
      <c r="AG18424" s="20"/>
      <c r="AQ18424" s="19"/>
      <c r="AR18424" s="19"/>
      <c r="AS18424" s="19"/>
      <c r="AT18424" s="19"/>
      <c r="AU18424" s="19"/>
    </row>
    <row r="18425" spans="3:47">
      <c r="C18425" s="20"/>
      <c r="Z18425" s="20"/>
      <c r="AG18425" s="20"/>
      <c r="AQ18425" s="19"/>
      <c r="AR18425" s="19"/>
      <c r="AS18425" s="19"/>
      <c r="AT18425" s="19"/>
      <c r="AU18425" s="19"/>
    </row>
    <row r="18426" spans="3:47">
      <c r="C18426" s="20"/>
      <c r="Z18426" s="20"/>
      <c r="AG18426" s="20"/>
      <c r="AQ18426" s="19"/>
      <c r="AR18426" s="19"/>
      <c r="AS18426" s="19"/>
      <c r="AT18426" s="19"/>
      <c r="AU18426" s="19"/>
    </row>
    <row r="18427" spans="3:47">
      <c r="C18427" s="20"/>
      <c r="Z18427" s="20"/>
      <c r="AG18427" s="20"/>
      <c r="AQ18427" s="19"/>
      <c r="AR18427" s="19"/>
      <c r="AS18427" s="19"/>
      <c r="AT18427" s="19"/>
      <c r="AU18427" s="19"/>
    </row>
    <row r="18428" spans="3:47">
      <c r="C18428" s="20"/>
      <c r="Z18428" s="20"/>
      <c r="AG18428" s="20"/>
      <c r="AQ18428" s="19"/>
      <c r="AR18428" s="19"/>
      <c r="AS18428" s="19"/>
      <c r="AT18428" s="19"/>
      <c r="AU18428" s="19"/>
    </row>
    <row r="18429" spans="3:47">
      <c r="C18429" s="20"/>
      <c r="Z18429" s="20"/>
      <c r="AG18429" s="20"/>
      <c r="AQ18429" s="19"/>
      <c r="AR18429" s="19"/>
      <c r="AS18429" s="19"/>
      <c r="AT18429" s="19"/>
      <c r="AU18429" s="19"/>
    </row>
    <row r="18430" spans="3:47">
      <c r="C18430" s="20"/>
      <c r="Z18430" s="20"/>
      <c r="AG18430" s="20"/>
      <c r="AQ18430" s="19"/>
      <c r="AR18430" s="19"/>
      <c r="AS18430" s="19"/>
      <c r="AT18430" s="19"/>
      <c r="AU18430" s="19"/>
    </row>
    <row r="18431" spans="3:47">
      <c r="C18431" s="20"/>
      <c r="Z18431" s="20"/>
      <c r="AG18431" s="20"/>
      <c r="AQ18431" s="19"/>
      <c r="AR18431" s="19"/>
      <c r="AS18431" s="19"/>
      <c r="AT18431" s="19"/>
      <c r="AU18431" s="19"/>
    </row>
    <row r="18432" spans="3:47">
      <c r="C18432" s="20"/>
      <c r="Z18432" s="20"/>
      <c r="AG18432" s="20"/>
      <c r="AQ18432" s="19"/>
      <c r="AR18432" s="19"/>
      <c r="AS18432" s="19"/>
      <c r="AT18432" s="19"/>
      <c r="AU18432" s="19"/>
    </row>
    <row r="18433" spans="3:47">
      <c r="C18433" s="20"/>
      <c r="Z18433" s="20"/>
      <c r="AG18433" s="20"/>
      <c r="AQ18433" s="19"/>
      <c r="AR18433" s="19"/>
      <c r="AS18433" s="19"/>
      <c r="AT18433" s="19"/>
      <c r="AU18433" s="19"/>
    </row>
    <row r="18434" spans="3:47">
      <c r="C18434" s="20"/>
      <c r="Z18434" s="20"/>
      <c r="AG18434" s="20"/>
      <c r="AQ18434" s="19"/>
      <c r="AR18434" s="19"/>
      <c r="AS18434" s="19"/>
      <c r="AT18434" s="19"/>
      <c r="AU18434" s="19"/>
    </row>
    <row r="18435" spans="3:47">
      <c r="C18435" s="20"/>
      <c r="Z18435" s="20"/>
      <c r="AG18435" s="20"/>
      <c r="AQ18435" s="19"/>
      <c r="AR18435" s="19"/>
      <c r="AS18435" s="19"/>
      <c r="AT18435" s="19"/>
      <c r="AU18435" s="19"/>
    </row>
    <row r="18436" spans="3:47">
      <c r="C18436" s="20"/>
      <c r="Z18436" s="20"/>
      <c r="AG18436" s="20"/>
      <c r="AQ18436" s="19"/>
      <c r="AR18436" s="19"/>
      <c r="AS18436" s="19"/>
      <c r="AT18436" s="19"/>
      <c r="AU18436" s="19"/>
    </row>
    <row r="18437" spans="3:47">
      <c r="C18437" s="20"/>
      <c r="Z18437" s="20"/>
      <c r="AG18437" s="20"/>
      <c r="AQ18437" s="19"/>
      <c r="AR18437" s="19"/>
      <c r="AS18437" s="19"/>
      <c r="AT18437" s="19"/>
      <c r="AU18437" s="19"/>
    </row>
    <row r="18438" spans="3:47">
      <c r="C18438" s="20"/>
      <c r="Z18438" s="20"/>
      <c r="AG18438" s="20"/>
      <c r="AQ18438" s="19"/>
      <c r="AR18438" s="19"/>
      <c r="AS18438" s="19"/>
      <c r="AT18438" s="19"/>
      <c r="AU18438" s="19"/>
    </row>
    <row r="18439" spans="3:47">
      <c r="C18439" s="20"/>
      <c r="Z18439" s="20"/>
      <c r="AG18439" s="20"/>
      <c r="AQ18439" s="19"/>
      <c r="AR18439" s="19"/>
      <c r="AS18439" s="19"/>
      <c r="AT18439" s="19"/>
      <c r="AU18439" s="19"/>
    </row>
    <row r="18440" spans="3:47">
      <c r="C18440" s="20"/>
      <c r="Z18440" s="20"/>
      <c r="AG18440" s="20"/>
      <c r="AQ18440" s="19"/>
      <c r="AR18440" s="19"/>
      <c r="AS18440" s="19"/>
      <c r="AT18440" s="19"/>
      <c r="AU18440" s="19"/>
    </row>
    <row r="18441" spans="3:47">
      <c r="C18441" s="20"/>
      <c r="Z18441" s="20"/>
      <c r="AG18441" s="20"/>
      <c r="AQ18441" s="19"/>
      <c r="AR18441" s="19"/>
      <c r="AS18441" s="19"/>
      <c r="AT18441" s="19"/>
      <c r="AU18441" s="19"/>
    </row>
    <row r="18442" spans="3:47">
      <c r="C18442" s="20"/>
      <c r="Z18442" s="20"/>
      <c r="AG18442" s="20"/>
      <c r="AQ18442" s="19"/>
      <c r="AR18442" s="19"/>
      <c r="AS18442" s="19"/>
      <c r="AT18442" s="19"/>
      <c r="AU18442" s="19"/>
    </row>
    <row r="18443" spans="3:47">
      <c r="C18443" s="20"/>
      <c r="Z18443" s="20"/>
      <c r="AG18443" s="20"/>
      <c r="AQ18443" s="19"/>
      <c r="AR18443" s="19"/>
      <c r="AS18443" s="19"/>
      <c r="AT18443" s="19"/>
      <c r="AU18443" s="19"/>
    </row>
    <row r="18444" spans="3:47">
      <c r="C18444" s="20"/>
      <c r="Z18444" s="20"/>
      <c r="AG18444" s="20"/>
      <c r="AQ18444" s="19"/>
      <c r="AR18444" s="19"/>
      <c r="AS18444" s="19"/>
      <c r="AT18444" s="19"/>
      <c r="AU18444" s="19"/>
    </row>
    <row r="18445" spans="3:47">
      <c r="C18445" s="20"/>
      <c r="Z18445" s="20"/>
      <c r="AG18445" s="20"/>
      <c r="AQ18445" s="19"/>
      <c r="AR18445" s="19"/>
      <c r="AS18445" s="19"/>
      <c r="AT18445" s="19"/>
      <c r="AU18445" s="19"/>
    </row>
    <row r="18446" spans="3:47">
      <c r="C18446" s="20"/>
      <c r="Z18446" s="20"/>
      <c r="AG18446" s="20"/>
      <c r="AQ18446" s="19"/>
      <c r="AR18446" s="19"/>
      <c r="AS18446" s="19"/>
      <c r="AT18446" s="19"/>
      <c r="AU18446" s="19"/>
    </row>
    <row r="18447" spans="3:47">
      <c r="C18447" s="20"/>
      <c r="Z18447" s="20"/>
      <c r="AG18447" s="20"/>
      <c r="AQ18447" s="19"/>
      <c r="AR18447" s="19"/>
      <c r="AS18447" s="19"/>
      <c r="AT18447" s="19"/>
      <c r="AU18447" s="19"/>
    </row>
    <row r="18448" spans="3:47">
      <c r="C18448" s="20"/>
      <c r="Z18448" s="20"/>
      <c r="AG18448" s="20"/>
      <c r="AQ18448" s="19"/>
      <c r="AR18448" s="19"/>
      <c r="AS18448" s="19"/>
      <c r="AT18448" s="19"/>
      <c r="AU18448" s="19"/>
    </row>
    <row r="18449" spans="3:47">
      <c r="C18449" s="20"/>
      <c r="Z18449" s="20"/>
      <c r="AG18449" s="20"/>
      <c r="AQ18449" s="19"/>
      <c r="AR18449" s="19"/>
      <c r="AS18449" s="19"/>
      <c r="AT18449" s="19"/>
      <c r="AU18449" s="19"/>
    </row>
    <row r="18450" spans="3:47">
      <c r="C18450" s="20"/>
      <c r="Z18450" s="20"/>
      <c r="AG18450" s="20"/>
      <c r="AQ18450" s="19"/>
      <c r="AR18450" s="19"/>
      <c r="AS18450" s="19"/>
      <c r="AT18450" s="19"/>
      <c r="AU18450" s="19"/>
    </row>
    <row r="18451" spans="3:47">
      <c r="C18451" s="20"/>
      <c r="Z18451" s="20"/>
      <c r="AG18451" s="20"/>
      <c r="AQ18451" s="19"/>
      <c r="AR18451" s="19"/>
      <c r="AS18451" s="19"/>
      <c r="AT18451" s="19"/>
      <c r="AU18451" s="19"/>
    </row>
    <row r="18452" spans="3:47">
      <c r="C18452" s="20"/>
      <c r="Z18452" s="20"/>
      <c r="AG18452" s="20"/>
      <c r="AQ18452" s="19"/>
      <c r="AR18452" s="19"/>
      <c r="AS18452" s="19"/>
      <c r="AT18452" s="19"/>
      <c r="AU18452" s="19"/>
    </row>
    <row r="18453" spans="3:47">
      <c r="C18453" s="20"/>
      <c r="Z18453" s="20"/>
      <c r="AG18453" s="20"/>
      <c r="AQ18453" s="19"/>
      <c r="AR18453" s="19"/>
      <c r="AS18453" s="19"/>
      <c r="AT18453" s="19"/>
      <c r="AU18453" s="19"/>
    </row>
    <row r="18454" spans="3:47">
      <c r="C18454" s="20"/>
      <c r="Z18454" s="20"/>
      <c r="AG18454" s="20"/>
      <c r="AQ18454" s="19"/>
      <c r="AR18454" s="19"/>
      <c r="AS18454" s="19"/>
      <c r="AT18454" s="19"/>
      <c r="AU18454" s="19"/>
    </row>
    <row r="18455" spans="3:47">
      <c r="C18455" s="20"/>
      <c r="Z18455" s="20"/>
      <c r="AG18455" s="20"/>
      <c r="AQ18455" s="19"/>
      <c r="AR18455" s="19"/>
      <c r="AS18455" s="19"/>
      <c r="AT18455" s="19"/>
      <c r="AU18455" s="19"/>
    </row>
    <row r="18456" spans="3:47">
      <c r="C18456" s="20"/>
      <c r="Z18456" s="20"/>
      <c r="AG18456" s="20"/>
      <c r="AQ18456" s="19"/>
      <c r="AR18456" s="19"/>
      <c r="AS18456" s="19"/>
      <c r="AT18456" s="19"/>
      <c r="AU18456" s="19"/>
    </row>
    <row r="18457" spans="3:47">
      <c r="C18457" s="20"/>
      <c r="Z18457" s="20"/>
      <c r="AG18457" s="20"/>
      <c r="AQ18457" s="19"/>
      <c r="AR18457" s="19"/>
      <c r="AS18457" s="19"/>
      <c r="AT18457" s="19"/>
      <c r="AU18457" s="19"/>
    </row>
    <row r="18458" spans="3:47">
      <c r="C18458" s="20"/>
      <c r="Z18458" s="20"/>
      <c r="AG18458" s="20"/>
      <c r="AQ18458" s="19"/>
      <c r="AR18458" s="19"/>
      <c r="AS18458" s="19"/>
      <c r="AT18458" s="19"/>
      <c r="AU18458" s="19"/>
    </row>
    <row r="18459" spans="3:47">
      <c r="C18459" s="20"/>
      <c r="Z18459" s="20"/>
      <c r="AG18459" s="20"/>
      <c r="AQ18459" s="19"/>
      <c r="AR18459" s="19"/>
      <c r="AS18459" s="19"/>
      <c r="AT18459" s="19"/>
      <c r="AU18459" s="19"/>
    </row>
    <row r="18460" spans="3:47">
      <c r="C18460" s="20"/>
      <c r="Z18460" s="20"/>
      <c r="AG18460" s="20"/>
      <c r="AQ18460" s="19"/>
      <c r="AR18460" s="19"/>
      <c r="AS18460" s="19"/>
      <c r="AT18460" s="19"/>
      <c r="AU18460" s="19"/>
    </row>
    <row r="18461" spans="3:47">
      <c r="C18461" s="20"/>
      <c r="Z18461" s="20"/>
      <c r="AG18461" s="20"/>
      <c r="AQ18461" s="19"/>
      <c r="AR18461" s="19"/>
      <c r="AS18461" s="19"/>
      <c r="AT18461" s="19"/>
      <c r="AU18461" s="19"/>
    </row>
    <row r="18462" spans="3:47">
      <c r="C18462" s="20"/>
      <c r="Z18462" s="20"/>
      <c r="AG18462" s="20"/>
      <c r="AQ18462" s="19"/>
      <c r="AR18462" s="19"/>
      <c r="AS18462" s="19"/>
      <c r="AT18462" s="19"/>
      <c r="AU18462" s="19"/>
    </row>
    <row r="18463" spans="3:47">
      <c r="C18463" s="20"/>
      <c r="Z18463" s="20"/>
      <c r="AG18463" s="20"/>
      <c r="AQ18463" s="19"/>
      <c r="AR18463" s="19"/>
      <c r="AS18463" s="19"/>
      <c r="AT18463" s="19"/>
      <c r="AU18463" s="19"/>
    </row>
    <row r="18464" spans="3:47">
      <c r="C18464" s="20"/>
      <c r="Z18464" s="20"/>
      <c r="AG18464" s="20"/>
      <c r="AQ18464" s="19"/>
      <c r="AR18464" s="19"/>
      <c r="AS18464" s="19"/>
      <c r="AT18464" s="19"/>
      <c r="AU18464" s="19"/>
    </row>
    <row r="18465" spans="3:47">
      <c r="C18465" s="20"/>
      <c r="Z18465" s="20"/>
      <c r="AG18465" s="20"/>
      <c r="AQ18465" s="19"/>
      <c r="AR18465" s="19"/>
      <c r="AS18465" s="19"/>
      <c r="AT18465" s="19"/>
      <c r="AU18465" s="19"/>
    </row>
    <row r="18466" spans="3:47">
      <c r="C18466" s="20"/>
      <c r="Z18466" s="20"/>
      <c r="AG18466" s="20"/>
      <c r="AQ18466" s="19"/>
      <c r="AR18466" s="19"/>
      <c r="AS18466" s="19"/>
      <c r="AT18466" s="19"/>
      <c r="AU18466" s="19"/>
    </row>
    <row r="18467" spans="3:47">
      <c r="C18467" s="20"/>
      <c r="Z18467" s="20"/>
      <c r="AG18467" s="20"/>
      <c r="AQ18467" s="19"/>
      <c r="AR18467" s="19"/>
      <c r="AS18467" s="19"/>
      <c r="AT18467" s="19"/>
      <c r="AU18467" s="19"/>
    </row>
    <row r="18468" spans="3:47">
      <c r="C18468" s="20"/>
      <c r="Z18468" s="20"/>
      <c r="AG18468" s="20"/>
      <c r="AQ18468" s="19"/>
      <c r="AR18468" s="19"/>
      <c r="AS18468" s="19"/>
      <c r="AT18468" s="19"/>
      <c r="AU18468" s="19"/>
    </row>
    <row r="18469" spans="3:47">
      <c r="C18469" s="20"/>
      <c r="Z18469" s="20"/>
      <c r="AG18469" s="20"/>
      <c r="AQ18469" s="19"/>
      <c r="AR18469" s="19"/>
      <c r="AS18469" s="19"/>
      <c r="AT18469" s="19"/>
      <c r="AU18469" s="19"/>
    </row>
    <row r="18470" spans="3:47">
      <c r="C18470" s="20"/>
      <c r="Z18470" s="20"/>
      <c r="AG18470" s="20"/>
      <c r="AQ18470" s="19"/>
      <c r="AR18470" s="19"/>
      <c r="AS18470" s="19"/>
      <c r="AT18470" s="19"/>
      <c r="AU18470" s="19"/>
    </row>
    <row r="18471" spans="3:47">
      <c r="C18471" s="20"/>
      <c r="Z18471" s="20"/>
      <c r="AG18471" s="20"/>
      <c r="AQ18471" s="19"/>
      <c r="AR18471" s="19"/>
      <c r="AS18471" s="19"/>
      <c r="AT18471" s="19"/>
      <c r="AU18471" s="19"/>
    </row>
    <row r="18472" spans="3:47">
      <c r="C18472" s="20"/>
      <c r="Z18472" s="20"/>
      <c r="AG18472" s="20"/>
      <c r="AQ18472" s="19"/>
      <c r="AR18472" s="19"/>
      <c r="AS18472" s="19"/>
      <c r="AT18472" s="19"/>
      <c r="AU18472" s="19"/>
    </row>
    <row r="18473" spans="3:47">
      <c r="C18473" s="20"/>
      <c r="Z18473" s="20"/>
      <c r="AG18473" s="20"/>
      <c r="AQ18473" s="19"/>
      <c r="AR18473" s="19"/>
      <c r="AS18473" s="19"/>
      <c r="AT18473" s="19"/>
      <c r="AU18473" s="19"/>
    </row>
    <row r="18474" spans="3:47">
      <c r="C18474" s="20"/>
      <c r="Z18474" s="20"/>
      <c r="AG18474" s="20"/>
      <c r="AQ18474" s="19"/>
      <c r="AR18474" s="19"/>
      <c r="AS18474" s="19"/>
      <c r="AT18474" s="19"/>
      <c r="AU18474" s="19"/>
    </row>
    <row r="18475" spans="3:47">
      <c r="C18475" s="20"/>
      <c r="Z18475" s="20"/>
      <c r="AG18475" s="20"/>
      <c r="AQ18475" s="19"/>
      <c r="AR18475" s="19"/>
      <c r="AS18475" s="19"/>
      <c r="AT18475" s="19"/>
      <c r="AU18475" s="19"/>
    </row>
    <row r="18476" spans="3:47">
      <c r="C18476" s="20"/>
      <c r="Z18476" s="20"/>
      <c r="AG18476" s="20"/>
      <c r="AQ18476" s="19"/>
      <c r="AR18476" s="19"/>
      <c r="AS18476" s="19"/>
      <c r="AT18476" s="19"/>
      <c r="AU18476" s="19"/>
    </row>
    <row r="18477" spans="3:47">
      <c r="C18477" s="20"/>
      <c r="Z18477" s="20"/>
      <c r="AG18477" s="20"/>
      <c r="AQ18477" s="19"/>
      <c r="AR18477" s="19"/>
      <c r="AS18477" s="19"/>
      <c r="AT18477" s="19"/>
      <c r="AU18477" s="19"/>
    </row>
    <row r="18478" spans="3:47">
      <c r="C18478" s="20"/>
      <c r="Z18478" s="20"/>
      <c r="AG18478" s="20"/>
      <c r="AQ18478" s="19"/>
      <c r="AR18478" s="19"/>
      <c r="AS18478" s="19"/>
      <c r="AT18478" s="19"/>
      <c r="AU18478" s="19"/>
    </row>
    <row r="18479" spans="3:47">
      <c r="C18479" s="20"/>
      <c r="Z18479" s="20"/>
      <c r="AG18479" s="20"/>
      <c r="AQ18479" s="19"/>
      <c r="AR18479" s="19"/>
      <c r="AS18479" s="19"/>
      <c r="AT18479" s="19"/>
      <c r="AU18479" s="19"/>
    </row>
    <row r="18480" spans="3:47">
      <c r="C18480" s="20"/>
      <c r="Z18480" s="20"/>
      <c r="AG18480" s="20"/>
      <c r="AQ18480" s="19"/>
      <c r="AR18480" s="19"/>
      <c r="AS18480" s="19"/>
      <c r="AT18480" s="19"/>
      <c r="AU18480" s="19"/>
    </row>
    <row r="18481" spans="3:47">
      <c r="C18481" s="20"/>
      <c r="Z18481" s="20"/>
      <c r="AG18481" s="20"/>
      <c r="AQ18481" s="19"/>
      <c r="AR18481" s="19"/>
      <c r="AS18481" s="19"/>
      <c r="AT18481" s="19"/>
      <c r="AU18481" s="19"/>
    </row>
    <row r="18482" spans="3:47">
      <c r="C18482" s="20"/>
      <c r="Z18482" s="20"/>
      <c r="AG18482" s="20"/>
      <c r="AQ18482" s="19"/>
      <c r="AR18482" s="19"/>
      <c r="AS18482" s="19"/>
      <c r="AT18482" s="19"/>
      <c r="AU18482" s="19"/>
    </row>
    <row r="18483" spans="3:47">
      <c r="C18483" s="20"/>
      <c r="Z18483" s="20"/>
      <c r="AG18483" s="20"/>
      <c r="AQ18483" s="19"/>
      <c r="AR18483" s="19"/>
      <c r="AS18483" s="19"/>
      <c r="AT18483" s="19"/>
      <c r="AU18483" s="19"/>
    </row>
    <row r="18484" spans="3:47">
      <c r="C18484" s="20"/>
      <c r="Z18484" s="20"/>
      <c r="AG18484" s="20"/>
      <c r="AQ18484" s="19"/>
      <c r="AR18484" s="19"/>
      <c r="AS18484" s="19"/>
      <c r="AT18484" s="19"/>
      <c r="AU18484" s="19"/>
    </row>
    <row r="18485" spans="3:47">
      <c r="C18485" s="20"/>
      <c r="Z18485" s="20"/>
      <c r="AG18485" s="20"/>
      <c r="AQ18485" s="19"/>
      <c r="AR18485" s="19"/>
      <c r="AS18485" s="19"/>
      <c r="AT18485" s="19"/>
      <c r="AU18485" s="19"/>
    </row>
    <row r="18486" spans="3:47">
      <c r="C18486" s="20"/>
      <c r="Z18486" s="20"/>
      <c r="AG18486" s="20"/>
      <c r="AQ18486" s="19"/>
      <c r="AR18486" s="19"/>
      <c r="AS18486" s="19"/>
      <c r="AT18486" s="19"/>
      <c r="AU18486" s="19"/>
    </row>
    <row r="18487" spans="3:47">
      <c r="C18487" s="20"/>
      <c r="Z18487" s="20"/>
      <c r="AG18487" s="20"/>
      <c r="AQ18487" s="19"/>
      <c r="AR18487" s="19"/>
      <c r="AS18487" s="19"/>
      <c r="AT18487" s="19"/>
      <c r="AU18487" s="19"/>
    </row>
    <row r="18488" spans="3:47">
      <c r="C18488" s="20"/>
      <c r="Z18488" s="20"/>
      <c r="AG18488" s="20"/>
      <c r="AQ18488" s="19"/>
      <c r="AR18488" s="19"/>
      <c r="AS18488" s="19"/>
      <c r="AT18488" s="19"/>
      <c r="AU18488" s="19"/>
    </row>
    <row r="18489" spans="3:47">
      <c r="C18489" s="20"/>
      <c r="Z18489" s="20"/>
      <c r="AG18489" s="20"/>
      <c r="AQ18489" s="19"/>
      <c r="AR18489" s="19"/>
      <c r="AS18489" s="19"/>
      <c r="AT18489" s="19"/>
      <c r="AU18489" s="19"/>
    </row>
    <row r="18490" spans="3:47">
      <c r="C18490" s="20"/>
      <c r="Z18490" s="20"/>
      <c r="AG18490" s="20"/>
      <c r="AQ18490" s="19"/>
      <c r="AR18490" s="19"/>
      <c r="AS18490" s="19"/>
      <c r="AT18490" s="19"/>
      <c r="AU18490" s="19"/>
    </row>
    <row r="18491" spans="3:47">
      <c r="C18491" s="20"/>
      <c r="Z18491" s="20"/>
      <c r="AG18491" s="20"/>
      <c r="AQ18491" s="19"/>
      <c r="AR18491" s="19"/>
      <c r="AS18491" s="19"/>
      <c r="AT18491" s="19"/>
      <c r="AU18491" s="19"/>
    </row>
    <row r="18492" spans="3:47">
      <c r="C18492" s="20"/>
      <c r="Z18492" s="20"/>
      <c r="AG18492" s="20"/>
      <c r="AQ18492" s="19"/>
      <c r="AR18492" s="19"/>
      <c r="AS18492" s="19"/>
      <c r="AT18492" s="19"/>
      <c r="AU18492" s="19"/>
    </row>
    <row r="18493" spans="3:47">
      <c r="C18493" s="20"/>
      <c r="Z18493" s="20"/>
      <c r="AG18493" s="20"/>
      <c r="AQ18493" s="19"/>
      <c r="AR18493" s="19"/>
      <c r="AS18493" s="19"/>
      <c r="AT18493" s="19"/>
      <c r="AU18493" s="19"/>
    </row>
    <row r="18494" spans="3:47">
      <c r="C18494" s="20"/>
      <c r="Z18494" s="20"/>
      <c r="AG18494" s="20"/>
      <c r="AQ18494" s="19"/>
      <c r="AR18494" s="19"/>
      <c r="AS18494" s="19"/>
      <c r="AT18494" s="19"/>
      <c r="AU18494" s="19"/>
    </row>
    <row r="18495" spans="3:47">
      <c r="C18495" s="20"/>
      <c r="Z18495" s="20"/>
      <c r="AG18495" s="20"/>
      <c r="AQ18495" s="19"/>
      <c r="AR18495" s="19"/>
      <c r="AS18495" s="19"/>
      <c r="AT18495" s="19"/>
      <c r="AU18495" s="19"/>
    </row>
    <row r="18496" spans="3:47">
      <c r="C18496" s="20"/>
      <c r="Z18496" s="20"/>
      <c r="AG18496" s="20"/>
      <c r="AQ18496" s="19"/>
      <c r="AR18496" s="19"/>
      <c r="AS18496" s="19"/>
      <c r="AT18496" s="19"/>
      <c r="AU18496" s="19"/>
    </row>
    <row r="18497" spans="3:47">
      <c r="C18497" s="20"/>
      <c r="Z18497" s="20"/>
      <c r="AG18497" s="20"/>
      <c r="AQ18497" s="19"/>
      <c r="AR18497" s="19"/>
      <c r="AS18497" s="19"/>
      <c r="AT18497" s="19"/>
      <c r="AU18497" s="19"/>
    </row>
    <row r="18498" spans="3:47">
      <c r="C18498" s="20"/>
      <c r="Z18498" s="20"/>
      <c r="AG18498" s="20"/>
      <c r="AQ18498" s="19"/>
      <c r="AR18498" s="19"/>
      <c r="AS18498" s="19"/>
      <c r="AT18498" s="19"/>
      <c r="AU18498" s="19"/>
    </row>
    <row r="18499" spans="3:47">
      <c r="C18499" s="20"/>
      <c r="Z18499" s="20"/>
      <c r="AG18499" s="20"/>
      <c r="AQ18499" s="19"/>
      <c r="AR18499" s="19"/>
      <c r="AS18499" s="19"/>
      <c r="AT18499" s="19"/>
      <c r="AU18499" s="19"/>
    </row>
    <row r="18500" spans="3:47">
      <c r="C18500" s="20"/>
      <c r="Z18500" s="20"/>
      <c r="AG18500" s="20"/>
      <c r="AQ18500" s="19"/>
      <c r="AR18500" s="19"/>
      <c r="AS18500" s="19"/>
      <c r="AT18500" s="19"/>
      <c r="AU18500" s="19"/>
    </row>
    <row r="18501" spans="3:47">
      <c r="C18501" s="20"/>
      <c r="Z18501" s="20"/>
      <c r="AG18501" s="20"/>
      <c r="AQ18501" s="19"/>
      <c r="AR18501" s="19"/>
      <c r="AS18501" s="19"/>
      <c r="AT18501" s="19"/>
      <c r="AU18501" s="19"/>
    </row>
    <row r="18502" spans="3:47">
      <c r="C18502" s="20"/>
      <c r="Z18502" s="20"/>
      <c r="AG18502" s="20"/>
      <c r="AQ18502" s="19"/>
      <c r="AR18502" s="19"/>
      <c r="AS18502" s="19"/>
      <c r="AT18502" s="19"/>
      <c r="AU18502" s="19"/>
    </row>
    <row r="18503" spans="3:47">
      <c r="C18503" s="20"/>
      <c r="Z18503" s="20"/>
      <c r="AG18503" s="20"/>
      <c r="AQ18503" s="19"/>
      <c r="AR18503" s="19"/>
      <c r="AS18503" s="19"/>
      <c r="AT18503" s="19"/>
      <c r="AU18503" s="19"/>
    </row>
    <row r="18504" spans="3:47">
      <c r="C18504" s="20"/>
      <c r="Z18504" s="20"/>
      <c r="AG18504" s="20"/>
      <c r="AQ18504" s="19"/>
      <c r="AR18504" s="19"/>
      <c r="AS18504" s="19"/>
      <c r="AT18504" s="19"/>
      <c r="AU18504" s="19"/>
    </row>
    <row r="18505" spans="3:47">
      <c r="C18505" s="20"/>
      <c r="Z18505" s="20"/>
      <c r="AG18505" s="20"/>
      <c r="AQ18505" s="19"/>
      <c r="AR18505" s="19"/>
      <c r="AS18505" s="19"/>
      <c r="AT18505" s="19"/>
      <c r="AU18505" s="19"/>
    </row>
    <row r="18506" spans="3:47">
      <c r="C18506" s="20"/>
      <c r="Z18506" s="20"/>
      <c r="AG18506" s="20"/>
      <c r="AQ18506" s="19"/>
      <c r="AR18506" s="19"/>
      <c r="AS18506" s="19"/>
      <c r="AT18506" s="19"/>
      <c r="AU18506" s="19"/>
    </row>
    <row r="18507" spans="3:47">
      <c r="C18507" s="20"/>
      <c r="Z18507" s="20"/>
      <c r="AG18507" s="20"/>
      <c r="AQ18507" s="19"/>
      <c r="AR18507" s="19"/>
      <c r="AS18507" s="19"/>
      <c r="AT18507" s="19"/>
      <c r="AU18507" s="19"/>
    </row>
    <row r="18508" spans="3:47">
      <c r="C18508" s="20"/>
      <c r="Z18508" s="20"/>
      <c r="AG18508" s="20"/>
      <c r="AQ18508" s="19"/>
      <c r="AR18508" s="19"/>
      <c r="AS18508" s="19"/>
      <c r="AT18508" s="19"/>
      <c r="AU18508" s="19"/>
    </row>
    <row r="18509" spans="3:47">
      <c r="C18509" s="20"/>
      <c r="Z18509" s="20"/>
      <c r="AG18509" s="20"/>
      <c r="AQ18509" s="19"/>
      <c r="AR18509" s="19"/>
      <c r="AS18509" s="19"/>
      <c r="AT18509" s="19"/>
      <c r="AU18509" s="19"/>
    </row>
    <row r="18510" spans="3:47">
      <c r="C18510" s="20"/>
      <c r="Z18510" s="20"/>
      <c r="AG18510" s="20"/>
      <c r="AQ18510" s="19"/>
      <c r="AR18510" s="19"/>
      <c r="AS18510" s="19"/>
      <c r="AT18510" s="19"/>
      <c r="AU18510" s="19"/>
    </row>
    <row r="18511" spans="3:47">
      <c r="C18511" s="20"/>
      <c r="Z18511" s="20"/>
      <c r="AG18511" s="20"/>
      <c r="AQ18511" s="19"/>
      <c r="AR18511" s="19"/>
      <c r="AS18511" s="19"/>
      <c r="AT18511" s="19"/>
      <c r="AU18511" s="19"/>
    </row>
    <row r="18512" spans="3:47">
      <c r="C18512" s="20"/>
      <c r="Z18512" s="20"/>
      <c r="AG18512" s="20"/>
      <c r="AQ18512" s="19"/>
      <c r="AR18512" s="19"/>
      <c r="AS18512" s="19"/>
      <c r="AT18512" s="19"/>
      <c r="AU18512" s="19"/>
    </row>
    <row r="18513" spans="3:47">
      <c r="C18513" s="20"/>
      <c r="Z18513" s="20"/>
      <c r="AG18513" s="20"/>
      <c r="AQ18513" s="19"/>
      <c r="AR18513" s="19"/>
      <c r="AS18513" s="19"/>
      <c r="AT18513" s="19"/>
      <c r="AU18513" s="19"/>
    </row>
    <row r="18514" spans="3:47">
      <c r="C18514" s="20"/>
      <c r="Z18514" s="20"/>
      <c r="AG18514" s="20"/>
      <c r="AQ18514" s="19"/>
      <c r="AR18514" s="19"/>
      <c r="AS18514" s="19"/>
      <c r="AT18514" s="19"/>
      <c r="AU18514" s="19"/>
    </row>
    <row r="18515" spans="3:47">
      <c r="C18515" s="20"/>
      <c r="Z18515" s="20"/>
      <c r="AG18515" s="20"/>
      <c r="AQ18515" s="19"/>
      <c r="AR18515" s="19"/>
      <c r="AS18515" s="19"/>
      <c r="AT18515" s="19"/>
      <c r="AU18515" s="19"/>
    </row>
    <row r="18516" spans="3:47">
      <c r="C18516" s="20"/>
      <c r="Z18516" s="20"/>
      <c r="AG18516" s="20"/>
      <c r="AQ18516" s="19"/>
      <c r="AR18516" s="19"/>
      <c r="AS18516" s="19"/>
      <c r="AT18516" s="19"/>
      <c r="AU18516" s="19"/>
    </row>
    <row r="18517" spans="3:47">
      <c r="C18517" s="20"/>
      <c r="Z18517" s="20"/>
      <c r="AG18517" s="20"/>
      <c r="AQ18517" s="19"/>
      <c r="AR18517" s="19"/>
      <c r="AS18517" s="19"/>
      <c r="AT18517" s="19"/>
      <c r="AU18517" s="19"/>
    </row>
    <row r="18518" spans="3:47">
      <c r="C18518" s="20"/>
      <c r="Z18518" s="20"/>
      <c r="AG18518" s="20"/>
      <c r="AQ18518" s="19"/>
      <c r="AR18518" s="19"/>
      <c r="AS18518" s="19"/>
      <c r="AT18518" s="19"/>
      <c r="AU18518" s="19"/>
    </row>
    <row r="18519" spans="3:47">
      <c r="C18519" s="20"/>
      <c r="Z18519" s="20"/>
      <c r="AG18519" s="20"/>
      <c r="AQ18519" s="19"/>
      <c r="AR18519" s="19"/>
      <c r="AS18519" s="19"/>
      <c r="AT18519" s="19"/>
      <c r="AU18519" s="19"/>
    </row>
    <row r="18520" spans="3:47">
      <c r="C18520" s="20"/>
      <c r="Z18520" s="20"/>
      <c r="AG18520" s="20"/>
      <c r="AQ18520" s="19"/>
      <c r="AR18520" s="19"/>
      <c r="AS18520" s="19"/>
      <c r="AT18520" s="19"/>
      <c r="AU18520" s="19"/>
    </row>
    <row r="18521" spans="3:47">
      <c r="C18521" s="20"/>
      <c r="Z18521" s="20"/>
      <c r="AG18521" s="20"/>
      <c r="AQ18521" s="19"/>
      <c r="AR18521" s="19"/>
      <c r="AS18521" s="19"/>
      <c r="AT18521" s="19"/>
      <c r="AU18521" s="19"/>
    </row>
    <row r="18522" spans="3:47">
      <c r="C18522" s="20"/>
      <c r="Z18522" s="20"/>
      <c r="AG18522" s="20"/>
      <c r="AQ18522" s="19"/>
      <c r="AR18522" s="19"/>
      <c r="AS18522" s="19"/>
      <c r="AT18522" s="19"/>
      <c r="AU18522" s="19"/>
    </row>
    <row r="18523" spans="3:47">
      <c r="C18523" s="20"/>
      <c r="Z18523" s="20"/>
      <c r="AG18523" s="20"/>
      <c r="AQ18523" s="19"/>
      <c r="AR18523" s="19"/>
      <c r="AS18523" s="19"/>
      <c r="AT18523" s="19"/>
      <c r="AU18523" s="19"/>
    </row>
    <row r="18524" spans="3:47">
      <c r="C18524" s="20"/>
      <c r="Z18524" s="20"/>
      <c r="AG18524" s="20"/>
      <c r="AQ18524" s="19"/>
      <c r="AR18524" s="19"/>
      <c r="AS18524" s="19"/>
      <c r="AT18524" s="19"/>
      <c r="AU18524" s="19"/>
    </row>
    <row r="18525" spans="3:47">
      <c r="C18525" s="20"/>
      <c r="Z18525" s="20"/>
      <c r="AG18525" s="20"/>
      <c r="AQ18525" s="19"/>
      <c r="AR18525" s="19"/>
      <c r="AS18525" s="19"/>
      <c r="AT18525" s="19"/>
      <c r="AU18525" s="19"/>
    </row>
    <row r="18526" spans="3:47">
      <c r="C18526" s="20"/>
      <c r="Z18526" s="20"/>
      <c r="AG18526" s="20"/>
      <c r="AQ18526" s="19"/>
      <c r="AR18526" s="19"/>
      <c r="AS18526" s="19"/>
      <c r="AT18526" s="19"/>
      <c r="AU18526" s="19"/>
    </row>
    <row r="18527" spans="3:47">
      <c r="C18527" s="20"/>
      <c r="Z18527" s="20"/>
      <c r="AG18527" s="20"/>
      <c r="AQ18527" s="19"/>
      <c r="AR18527" s="19"/>
      <c r="AS18527" s="19"/>
      <c r="AT18527" s="19"/>
      <c r="AU18527" s="19"/>
    </row>
    <row r="18528" spans="3:47">
      <c r="C18528" s="20"/>
      <c r="Z18528" s="20"/>
      <c r="AG18528" s="20"/>
      <c r="AQ18528" s="19"/>
      <c r="AR18528" s="19"/>
      <c r="AS18528" s="19"/>
      <c r="AT18528" s="19"/>
      <c r="AU18528" s="19"/>
    </row>
    <row r="18529" spans="3:47">
      <c r="C18529" s="20"/>
      <c r="Z18529" s="20"/>
      <c r="AG18529" s="20"/>
      <c r="AQ18529" s="19"/>
      <c r="AR18529" s="19"/>
      <c r="AS18529" s="19"/>
      <c r="AT18529" s="19"/>
      <c r="AU18529" s="19"/>
    </row>
    <row r="18530" spans="3:47">
      <c r="C18530" s="20"/>
      <c r="Z18530" s="20"/>
      <c r="AG18530" s="20"/>
      <c r="AQ18530" s="19"/>
      <c r="AR18530" s="19"/>
      <c r="AS18530" s="19"/>
      <c r="AT18530" s="19"/>
      <c r="AU18530" s="19"/>
    </row>
    <row r="18531" spans="3:47">
      <c r="C18531" s="20"/>
      <c r="Z18531" s="20"/>
      <c r="AG18531" s="20"/>
      <c r="AQ18531" s="19"/>
      <c r="AR18531" s="19"/>
      <c r="AS18531" s="19"/>
      <c r="AT18531" s="19"/>
      <c r="AU18531" s="19"/>
    </row>
    <row r="18532" spans="3:47">
      <c r="C18532" s="20"/>
      <c r="Z18532" s="20"/>
      <c r="AG18532" s="20"/>
      <c r="AQ18532" s="19"/>
      <c r="AR18532" s="19"/>
      <c r="AS18532" s="19"/>
      <c r="AT18532" s="19"/>
      <c r="AU18532" s="19"/>
    </row>
    <row r="18533" spans="3:47">
      <c r="C18533" s="20"/>
      <c r="Z18533" s="20"/>
      <c r="AG18533" s="20"/>
      <c r="AQ18533" s="19"/>
      <c r="AR18533" s="19"/>
      <c r="AS18533" s="19"/>
      <c r="AT18533" s="19"/>
      <c r="AU18533" s="19"/>
    </row>
    <row r="18534" spans="3:47">
      <c r="C18534" s="20"/>
      <c r="Z18534" s="20"/>
      <c r="AG18534" s="20"/>
      <c r="AQ18534" s="19"/>
      <c r="AR18534" s="19"/>
      <c r="AS18534" s="19"/>
      <c r="AT18534" s="19"/>
      <c r="AU18534" s="19"/>
    </row>
    <row r="18535" spans="3:47">
      <c r="C18535" s="20"/>
      <c r="Z18535" s="20"/>
      <c r="AG18535" s="20"/>
      <c r="AQ18535" s="19"/>
      <c r="AR18535" s="19"/>
      <c r="AS18535" s="19"/>
      <c r="AT18535" s="19"/>
      <c r="AU18535" s="19"/>
    </row>
    <row r="18536" spans="3:47">
      <c r="C18536" s="20"/>
      <c r="Z18536" s="20"/>
      <c r="AG18536" s="20"/>
      <c r="AQ18536" s="19"/>
      <c r="AR18536" s="19"/>
      <c r="AS18536" s="19"/>
      <c r="AT18536" s="19"/>
      <c r="AU18536" s="19"/>
    </row>
    <row r="18537" spans="3:47">
      <c r="C18537" s="20"/>
      <c r="Z18537" s="20"/>
      <c r="AG18537" s="20"/>
      <c r="AQ18537" s="19"/>
      <c r="AR18537" s="19"/>
      <c r="AS18537" s="19"/>
      <c r="AT18537" s="19"/>
      <c r="AU18537" s="19"/>
    </row>
    <row r="18538" spans="3:47">
      <c r="C18538" s="20"/>
      <c r="Z18538" s="20"/>
      <c r="AG18538" s="20"/>
      <c r="AQ18538" s="19"/>
      <c r="AR18538" s="19"/>
      <c r="AS18538" s="19"/>
      <c r="AT18538" s="19"/>
      <c r="AU18538" s="19"/>
    </row>
    <row r="18539" spans="3:47">
      <c r="C18539" s="20"/>
      <c r="Z18539" s="20"/>
      <c r="AG18539" s="20"/>
      <c r="AQ18539" s="19"/>
      <c r="AR18539" s="19"/>
      <c r="AS18539" s="19"/>
      <c r="AT18539" s="19"/>
      <c r="AU18539" s="19"/>
    </row>
    <row r="18540" spans="3:47">
      <c r="C18540" s="20"/>
      <c r="Z18540" s="20"/>
      <c r="AG18540" s="20"/>
      <c r="AQ18540" s="19"/>
      <c r="AR18540" s="19"/>
      <c r="AS18540" s="19"/>
      <c r="AT18540" s="19"/>
      <c r="AU18540" s="19"/>
    </row>
    <row r="18541" spans="3:47">
      <c r="C18541" s="20"/>
      <c r="Z18541" s="20"/>
      <c r="AG18541" s="20"/>
      <c r="AQ18541" s="19"/>
      <c r="AR18541" s="19"/>
      <c r="AS18541" s="19"/>
      <c r="AT18541" s="19"/>
      <c r="AU18541" s="19"/>
    </row>
    <row r="18542" spans="3:47">
      <c r="C18542" s="20"/>
      <c r="Z18542" s="20"/>
      <c r="AG18542" s="20"/>
      <c r="AQ18542" s="19"/>
      <c r="AR18542" s="19"/>
      <c r="AS18542" s="19"/>
      <c r="AT18542" s="19"/>
      <c r="AU18542" s="19"/>
    </row>
    <row r="18543" spans="3:47">
      <c r="C18543" s="20"/>
      <c r="Z18543" s="20"/>
      <c r="AG18543" s="20"/>
      <c r="AQ18543" s="19"/>
      <c r="AR18543" s="19"/>
      <c r="AS18543" s="19"/>
      <c r="AT18543" s="19"/>
      <c r="AU18543" s="19"/>
    </row>
    <row r="18544" spans="3:47">
      <c r="C18544" s="20"/>
      <c r="Z18544" s="20"/>
      <c r="AG18544" s="20"/>
      <c r="AQ18544" s="19"/>
      <c r="AR18544" s="19"/>
      <c r="AS18544" s="19"/>
      <c r="AT18544" s="19"/>
      <c r="AU18544" s="19"/>
    </row>
    <row r="18545" spans="3:47">
      <c r="C18545" s="20"/>
      <c r="Z18545" s="20"/>
      <c r="AG18545" s="20"/>
      <c r="AQ18545" s="19"/>
      <c r="AR18545" s="19"/>
      <c r="AS18545" s="19"/>
      <c r="AT18545" s="19"/>
      <c r="AU18545" s="19"/>
    </row>
    <row r="18546" spans="3:47">
      <c r="C18546" s="20"/>
      <c r="Z18546" s="20"/>
      <c r="AG18546" s="20"/>
      <c r="AQ18546" s="19"/>
      <c r="AR18546" s="19"/>
      <c r="AS18546" s="19"/>
      <c r="AT18546" s="19"/>
      <c r="AU18546" s="19"/>
    </row>
    <row r="18547" spans="3:47">
      <c r="C18547" s="20"/>
      <c r="Z18547" s="20"/>
      <c r="AG18547" s="20"/>
      <c r="AQ18547" s="19"/>
      <c r="AR18547" s="19"/>
      <c r="AS18547" s="19"/>
      <c r="AT18547" s="19"/>
      <c r="AU18547" s="19"/>
    </row>
    <row r="18548" spans="3:47">
      <c r="C18548" s="20"/>
      <c r="Z18548" s="20"/>
      <c r="AG18548" s="20"/>
      <c r="AQ18548" s="19"/>
      <c r="AR18548" s="19"/>
      <c r="AS18548" s="19"/>
      <c r="AT18548" s="19"/>
      <c r="AU18548" s="19"/>
    </row>
    <row r="18549" spans="3:47">
      <c r="C18549" s="20"/>
      <c r="Z18549" s="20"/>
      <c r="AG18549" s="20"/>
      <c r="AQ18549" s="19"/>
      <c r="AR18549" s="19"/>
      <c r="AS18549" s="19"/>
      <c r="AT18549" s="19"/>
      <c r="AU18549" s="19"/>
    </row>
    <row r="18550" spans="3:47">
      <c r="C18550" s="20"/>
      <c r="Z18550" s="20"/>
      <c r="AG18550" s="20"/>
      <c r="AQ18550" s="19"/>
      <c r="AR18550" s="19"/>
      <c r="AS18550" s="19"/>
      <c r="AT18550" s="19"/>
      <c r="AU18550" s="19"/>
    </row>
    <row r="18551" spans="3:47">
      <c r="C18551" s="20"/>
      <c r="Z18551" s="20"/>
      <c r="AG18551" s="20"/>
      <c r="AQ18551" s="19"/>
      <c r="AR18551" s="19"/>
      <c r="AS18551" s="19"/>
      <c r="AT18551" s="19"/>
      <c r="AU18551" s="19"/>
    </row>
    <row r="18552" spans="3:47">
      <c r="C18552" s="20"/>
      <c r="Z18552" s="20"/>
      <c r="AG18552" s="20"/>
      <c r="AQ18552" s="19"/>
      <c r="AR18552" s="19"/>
      <c r="AS18552" s="19"/>
      <c r="AT18552" s="19"/>
      <c r="AU18552" s="19"/>
    </row>
    <row r="18553" spans="3:47">
      <c r="C18553" s="20"/>
      <c r="Z18553" s="20"/>
      <c r="AG18553" s="20"/>
      <c r="AQ18553" s="19"/>
      <c r="AR18553" s="19"/>
      <c r="AS18553" s="19"/>
      <c r="AT18553" s="19"/>
      <c r="AU18553" s="19"/>
    </row>
    <row r="18554" spans="3:47">
      <c r="C18554" s="20"/>
      <c r="Z18554" s="20"/>
      <c r="AG18554" s="20"/>
      <c r="AQ18554" s="19"/>
      <c r="AR18554" s="19"/>
      <c r="AS18554" s="19"/>
      <c r="AT18554" s="19"/>
      <c r="AU18554" s="19"/>
    </row>
    <row r="18555" spans="3:47">
      <c r="C18555" s="20"/>
      <c r="Z18555" s="20"/>
      <c r="AG18555" s="20"/>
      <c r="AQ18555" s="19"/>
      <c r="AR18555" s="19"/>
      <c r="AS18555" s="19"/>
      <c r="AT18555" s="19"/>
      <c r="AU18555" s="19"/>
    </row>
    <row r="18556" spans="3:47">
      <c r="C18556" s="20"/>
      <c r="Z18556" s="20"/>
      <c r="AG18556" s="20"/>
      <c r="AQ18556" s="19"/>
      <c r="AR18556" s="19"/>
      <c r="AS18556" s="19"/>
      <c r="AT18556" s="19"/>
      <c r="AU18556" s="19"/>
    </row>
    <row r="18557" spans="3:47">
      <c r="C18557" s="20"/>
      <c r="Z18557" s="20"/>
      <c r="AG18557" s="20"/>
      <c r="AQ18557" s="19"/>
      <c r="AR18557" s="19"/>
      <c r="AS18557" s="19"/>
      <c r="AT18557" s="19"/>
      <c r="AU18557" s="19"/>
    </row>
    <row r="18558" spans="3:47">
      <c r="C18558" s="20"/>
      <c r="Z18558" s="20"/>
      <c r="AG18558" s="20"/>
      <c r="AQ18558" s="19"/>
      <c r="AR18558" s="19"/>
      <c r="AS18558" s="19"/>
      <c r="AT18558" s="19"/>
      <c r="AU18558" s="19"/>
    </row>
    <row r="18559" spans="3:47">
      <c r="C18559" s="20"/>
      <c r="Z18559" s="20"/>
      <c r="AG18559" s="20"/>
      <c r="AQ18559" s="19"/>
      <c r="AR18559" s="19"/>
      <c r="AS18559" s="19"/>
      <c r="AT18559" s="19"/>
      <c r="AU18559" s="19"/>
    </row>
    <row r="18560" spans="3:47">
      <c r="C18560" s="20"/>
      <c r="Z18560" s="20"/>
      <c r="AG18560" s="20"/>
      <c r="AQ18560" s="19"/>
      <c r="AR18560" s="19"/>
      <c r="AS18560" s="19"/>
      <c r="AT18560" s="19"/>
      <c r="AU18560" s="19"/>
    </row>
    <row r="18561" spans="3:47">
      <c r="C18561" s="20"/>
      <c r="Z18561" s="20"/>
      <c r="AG18561" s="20"/>
      <c r="AQ18561" s="19"/>
      <c r="AR18561" s="19"/>
      <c r="AS18561" s="19"/>
      <c r="AT18561" s="19"/>
      <c r="AU18561" s="19"/>
    </row>
    <row r="18562" spans="3:47">
      <c r="C18562" s="20"/>
      <c r="Z18562" s="20"/>
      <c r="AG18562" s="20"/>
      <c r="AQ18562" s="19"/>
      <c r="AR18562" s="19"/>
      <c r="AS18562" s="19"/>
      <c r="AT18562" s="19"/>
      <c r="AU18562" s="19"/>
    </row>
    <row r="18563" spans="3:47">
      <c r="C18563" s="20"/>
      <c r="Z18563" s="20"/>
      <c r="AG18563" s="20"/>
      <c r="AQ18563" s="19"/>
      <c r="AR18563" s="19"/>
      <c r="AS18563" s="19"/>
      <c r="AT18563" s="19"/>
      <c r="AU18563" s="19"/>
    </row>
    <row r="18564" spans="3:47">
      <c r="C18564" s="20"/>
      <c r="Z18564" s="20"/>
      <c r="AG18564" s="20"/>
      <c r="AQ18564" s="19"/>
      <c r="AR18564" s="19"/>
      <c r="AS18564" s="19"/>
      <c r="AT18564" s="19"/>
      <c r="AU18564" s="19"/>
    </row>
    <row r="18565" spans="3:47">
      <c r="C18565" s="20"/>
      <c r="Z18565" s="20"/>
      <c r="AG18565" s="20"/>
      <c r="AQ18565" s="19"/>
      <c r="AR18565" s="19"/>
      <c r="AS18565" s="19"/>
      <c r="AT18565" s="19"/>
      <c r="AU18565" s="19"/>
    </row>
    <row r="18566" spans="3:47">
      <c r="C18566" s="20"/>
      <c r="Z18566" s="20"/>
      <c r="AG18566" s="20"/>
      <c r="AQ18566" s="19"/>
      <c r="AR18566" s="19"/>
      <c r="AS18566" s="19"/>
      <c r="AT18566" s="19"/>
      <c r="AU18566" s="19"/>
    </row>
    <row r="18567" spans="3:47">
      <c r="C18567" s="20"/>
      <c r="Z18567" s="20"/>
      <c r="AG18567" s="20"/>
      <c r="AQ18567" s="19"/>
      <c r="AR18567" s="19"/>
      <c r="AS18567" s="19"/>
      <c r="AT18567" s="19"/>
      <c r="AU18567" s="19"/>
    </row>
    <row r="18568" spans="3:47">
      <c r="C18568" s="20"/>
      <c r="Z18568" s="20"/>
      <c r="AG18568" s="20"/>
      <c r="AQ18568" s="19"/>
      <c r="AR18568" s="19"/>
      <c r="AS18568" s="19"/>
      <c r="AT18568" s="19"/>
      <c r="AU18568" s="19"/>
    </row>
    <row r="18569" spans="3:47">
      <c r="C18569" s="20"/>
      <c r="Z18569" s="20"/>
      <c r="AG18569" s="20"/>
      <c r="AQ18569" s="19"/>
      <c r="AR18569" s="19"/>
      <c r="AS18569" s="19"/>
      <c r="AT18569" s="19"/>
      <c r="AU18569" s="19"/>
    </row>
    <row r="18570" spans="3:47">
      <c r="C18570" s="20"/>
      <c r="Z18570" s="20"/>
      <c r="AG18570" s="20"/>
      <c r="AQ18570" s="19"/>
      <c r="AR18570" s="19"/>
      <c r="AS18570" s="19"/>
      <c r="AT18570" s="19"/>
      <c r="AU18570" s="19"/>
    </row>
    <row r="18571" spans="3:47">
      <c r="C18571" s="20"/>
      <c r="Z18571" s="20"/>
      <c r="AG18571" s="20"/>
      <c r="AQ18571" s="19"/>
      <c r="AR18571" s="19"/>
      <c r="AS18571" s="19"/>
      <c r="AT18571" s="19"/>
      <c r="AU18571" s="19"/>
    </row>
    <row r="18572" spans="3:47">
      <c r="C18572" s="20"/>
      <c r="Z18572" s="20"/>
      <c r="AG18572" s="20"/>
      <c r="AQ18572" s="19"/>
      <c r="AR18572" s="19"/>
      <c r="AS18572" s="19"/>
      <c r="AT18572" s="19"/>
      <c r="AU18572" s="19"/>
    </row>
    <row r="18573" spans="3:47">
      <c r="C18573" s="20"/>
      <c r="Z18573" s="20"/>
      <c r="AG18573" s="20"/>
      <c r="AQ18573" s="19"/>
      <c r="AR18573" s="19"/>
      <c r="AS18573" s="19"/>
      <c r="AT18573" s="19"/>
      <c r="AU18573" s="19"/>
    </row>
    <row r="18574" spans="3:47">
      <c r="C18574" s="20"/>
      <c r="Z18574" s="20"/>
      <c r="AG18574" s="20"/>
      <c r="AQ18574" s="19"/>
      <c r="AR18574" s="19"/>
      <c r="AS18574" s="19"/>
      <c r="AT18574" s="19"/>
      <c r="AU18574" s="19"/>
    </row>
    <row r="18575" spans="3:47">
      <c r="C18575" s="20"/>
      <c r="Z18575" s="20"/>
      <c r="AG18575" s="20"/>
      <c r="AQ18575" s="19"/>
      <c r="AR18575" s="19"/>
      <c r="AS18575" s="19"/>
      <c r="AT18575" s="19"/>
      <c r="AU18575" s="19"/>
    </row>
    <row r="18576" spans="3:47">
      <c r="C18576" s="20"/>
      <c r="Z18576" s="20"/>
      <c r="AG18576" s="20"/>
      <c r="AQ18576" s="19"/>
      <c r="AR18576" s="19"/>
      <c r="AS18576" s="19"/>
      <c r="AT18576" s="19"/>
      <c r="AU18576" s="19"/>
    </row>
    <row r="18577" spans="3:47">
      <c r="C18577" s="20"/>
      <c r="Z18577" s="20"/>
      <c r="AG18577" s="20"/>
      <c r="AQ18577" s="19"/>
      <c r="AR18577" s="19"/>
      <c r="AS18577" s="19"/>
      <c r="AT18577" s="19"/>
      <c r="AU18577" s="19"/>
    </row>
    <row r="18578" spans="3:47">
      <c r="C18578" s="20"/>
      <c r="Z18578" s="20"/>
      <c r="AG18578" s="20"/>
      <c r="AQ18578" s="19"/>
      <c r="AR18578" s="19"/>
      <c r="AS18578" s="19"/>
      <c r="AT18578" s="19"/>
      <c r="AU18578" s="19"/>
    </row>
    <row r="18579" spans="3:47">
      <c r="C18579" s="20"/>
      <c r="Z18579" s="20"/>
      <c r="AG18579" s="20"/>
      <c r="AQ18579" s="19"/>
      <c r="AR18579" s="19"/>
      <c r="AS18579" s="19"/>
      <c r="AT18579" s="19"/>
      <c r="AU18579" s="19"/>
    </row>
    <row r="18580" spans="3:47">
      <c r="C18580" s="20"/>
      <c r="Z18580" s="20"/>
      <c r="AG18580" s="20"/>
      <c r="AQ18580" s="19"/>
      <c r="AR18580" s="19"/>
      <c r="AS18580" s="19"/>
      <c r="AT18580" s="19"/>
      <c r="AU18580" s="19"/>
    </row>
    <row r="18581" spans="3:47">
      <c r="C18581" s="20"/>
      <c r="Z18581" s="20"/>
      <c r="AG18581" s="20"/>
      <c r="AQ18581" s="19"/>
      <c r="AR18581" s="19"/>
      <c r="AS18581" s="19"/>
      <c r="AT18581" s="19"/>
      <c r="AU18581" s="19"/>
    </row>
    <row r="18582" spans="3:47">
      <c r="C18582" s="20"/>
      <c r="Z18582" s="20"/>
      <c r="AG18582" s="20"/>
      <c r="AQ18582" s="19"/>
      <c r="AR18582" s="19"/>
      <c r="AS18582" s="19"/>
      <c r="AT18582" s="19"/>
      <c r="AU18582" s="19"/>
    </row>
    <row r="18583" spans="3:47">
      <c r="C18583" s="20"/>
      <c r="Z18583" s="20"/>
      <c r="AG18583" s="20"/>
      <c r="AQ18583" s="19"/>
      <c r="AR18583" s="19"/>
      <c r="AS18583" s="19"/>
      <c r="AT18583" s="19"/>
      <c r="AU18583" s="19"/>
    </row>
    <row r="18584" spans="3:47">
      <c r="C18584" s="20"/>
      <c r="Z18584" s="20"/>
      <c r="AG18584" s="20"/>
      <c r="AQ18584" s="19"/>
      <c r="AR18584" s="19"/>
      <c r="AS18584" s="19"/>
      <c r="AT18584" s="19"/>
      <c r="AU18584" s="19"/>
    </row>
    <row r="18585" spans="3:47">
      <c r="C18585" s="20"/>
      <c r="Z18585" s="20"/>
      <c r="AG18585" s="20"/>
      <c r="AQ18585" s="19"/>
      <c r="AR18585" s="19"/>
      <c r="AS18585" s="19"/>
      <c r="AT18585" s="19"/>
      <c r="AU18585" s="19"/>
    </row>
    <row r="18586" spans="3:47">
      <c r="C18586" s="20"/>
      <c r="Z18586" s="20"/>
      <c r="AG18586" s="20"/>
      <c r="AQ18586" s="19"/>
      <c r="AR18586" s="19"/>
      <c r="AS18586" s="19"/>
      <c r="AT18586" s="19"/>
      <c r="AU18586" s="19"/>
    </row>
    <row r="18587" spans="3:47">
      <c r="C18587" s="20"/>
      <c r="Z18587" s="20"/>
      <c r="AG18587" s="20"/>
      <c r="AQ18587" s="19"/>
      <c r="AR18587" s="19"/>
      <c r="AS18587" s="19"/>
      <c r="AT18587" s="19"/>
      <c r="AU18587" s="19"/>
    </row>
    <row r="18588" spans="3:47">
      <c r="C18588" s="20"/>
      <c r="Z18588" s="20"/>
      <c r="AG18588" s="20"/>
      <c r="AQ18588" s="19"/>
      <c r="AR18588" s="19"/>
      <c r="AS18588" s="19"/>
      <c r="AT18588" s="19"/>
      <c r="AU18588" s="19"/>
    </row>
    <row r="18589" spans="3:47">
      <c r="C18589" s="20"/>
      <c r="Z18589" s="20"/>
      <c r="AG18589" s="20"/>
      <c r="AQ18589" s="19"/>
      <c r="AR18589" s="19"/>
      <c r="AS18589" s="19"/>
      <c r="AT18589" s="19"/>
      <c r="AU18589" s="19"/>
    </row>
    <row r="18590" spans="3:47">
      <c r="C18590" s="20"/>
      <c r="Z18590" s="20"/>
      <c r="AG18590" s="20"/>
      <c r="AQ18590" s="19"/>
      <c r="AR18590" s="19"/>
      <c r="AS18590" s="19"/>
      <c r="AT18590" s="19"/>
      <c r="AU18590" s="19"/>
    </row>
    <row r="18591" spans="3:47">
      <c r="C18591" s="20"/>
      <c r="Z18591" s="20"/>
      <c r="AG18591" s="20"/>
      <c r="AQ18591" s="19"/>
      <c r="AR18591" s="19"/>
      <c r="AS18591" s="19"/>
      <c r="AT18591" s="19"/>
      <c r="AU18591" s="19"/>
    </row>
    <row r="18592" spans="3:47">
      <c r="C18592" s="20"/>
      <c r="Z18592" s="20"/>
      <c r="AG18592" s="20"/>
      <c r="AQ18592" s="19"/>
      <c r="AR18592" s="19"/>
      <c r="AS18592" s="19"/>
      <c r="AT18592" s="19"/>
      <c r="AU18592" s="19"/>
    </row>
    <row r="18593" spans="3:47">
      <c r="C18593" s="20"/>
      <c r="Z18593" s="20"/>
      <c r="AG18593" s="20"/>
      <c r="AQ18593" s="19"/>
      <c r="AR18593" s="19"/>
      <c r="AS18593" s="19"/>
      <c r="AT18593" s="19"/>
      <c r="AU18593" s="19"/>
    </row>
    <row r="18594" spans="3:47">
      <c r="C18594" s="20"/>
      <c r="Z18594" s="20"/>
      <c r="AG18594" s="20"/>
      <c r="AQ18594" s="19"/>
      <c r="AR18594" s="19"/>
      <c r="AS18594" s="19"/>
      <c r="AT18594" s="19"/>
      <c r="AU18594" s="19"/>
    </row>
    <row r="18595" spans="3:47">
      <c r="C18595" s="20"/>
      <c r="Z18595" s="20"/>
      <c r="AG18595" s="20"/>
      <c r="AQ18595" s="19"/>
      <c r="AR18595" s="19"/>
      <c r="AS18595" s="19"/>
      <c r="AT18595" s="19"/>
      <c r="AU18595" s="19"/>
    </row>
    <row r="18596" spans="3:47">
      <c r="C18596" s="20"/>
      <c r="Z18596" s="20"/>
      <c r="AG18596" s="20"/>
      <c r="AQ18596" s="19"/>
      <c r="AR18596" s="19"/>
      <c r="AS18596" s="19"/>
      <c r="AT18596" s="19"/>
      <c r="AU18596" s="19"/>
    </row>
    <row r="18597" spans="3:47">
      <c r="C18597" s="20"/>
      <c r="Z18597" s="20"/>
      <c r="AG18597" s="20"/>
      <c r="AQ18597" s="19"/>
      <c r="AR18597" s="19"/>
      <c r="AS18597" s="19"/>
      <c r="AT18597" s="19"/>
      <c r="AU18597" s="19"/>
    </row>
    <row r="18598" spans="3:47">
      <c r="C18598" s="20"/>
      <c r="Z18598" s="20"/>
      <c r="AG18598" s="20"/>
      <c r="AQ18598" s="19"/>
      <c r="AR18598" s="19"/>
      <c r="AS18598" s="19"/>
      <c r="AT18598" s="19"/>
      <c r="AU18598" s="19"/>
    </row>
    <row r="18599" spans="3:47">
      <c r="C18599" s="20"/>
      <c r="Z18599" s="20"/>
      <c r="AG18599" s="20"/>
      <c r="AQ18599" s="19"/>
      <c r="AR18599" s="19"/>
      <c r="AS18599" s="19"/>
      <c r="AT18599" s="19"/>
      <c r="AU18599" s="19"/>
    </row>
    <row r="18600" spans="3:47">
      <c r="C18600" s="20"/>
      <c r="Z18600" s="20"/>
      <c r="AG18600" s="20"/>
      <c r="AQ18600" s="19"/>
      <c r="AR18600" s="19"/>
      <c r="AS18600" s="19"/>
      <c r="AT18600" s="19"/>
      <c r="AU18600" s="19"/>
    </row>
    <row r="18601" spans="3:47">
      <c r="C18601" s="20"/>
      <c r="Z18601" s="20"/>
      <c r="AG18601" s="20"/>
      <c r="AQ18601" s="19"/>
      <c r="AR18601" s="19"/>
      <c r="AS18601" s="19"/>
      <c r="AT18601" s="19"/>
      <c r="AU18601" s="19"/>
    </row>
    <row r="18602" spans="3:47">
      <c r="C18602" s="20"/>
      <c r="Z18602" s="20"/>
      <c r="AG18602" s="20"/>
      <c r="AQ18602" s="19"/>
      <c r="AR18602" s="19"/>
      <c r="AS18602" s="19"/>
      <c r="AT18602" s="19"/>
      <c r="AU18602" s="19"/>
    </row>
    <row r="18603" spans="3:47">
      <c r="C18603" s="20"/>
      <c r="Z18603" s="20"/>
      <c r="AG18603" s="20"/>
      <c r="AQ18603" s="19"/>
      <c r="AR18603" s="19"/>
      <c r="AS18603" s="19"/>
      <c r="AT18603" s="19"/>
      <c r="AU18603" s="19"/>
    </row>
    <row r="18604" spans="3:47">
      <c r="C18604" s="20"/>
      <c r="Z18604" s="20"/>
      <c r="AG18604" s="20"/>
      <c r="AQ18604" s="19"/>
      <c r="AR18604" s="19"/>
      <c r="AS18604" s="19"/>
      <c r="AT18604" s="19"/>
      <c r="AU18604" s="19"/>
    </row>
    <row r="18605" spans="3:47">
      <c r="C18605" s="20"/>
      <c r="Z18605" s="20"/>
      <c r="AG18605" s="20"/>
      <c r="AQ18605" s="19"/>
      <c r="AR18605" s="19"/>
      <c r="AS18605" s="19"/>
      <c r="AT18605" s="19"/>
      <c r="AU18605" s="19"/>
    </row>
    <row r="18606" spans="3:47">
      <c r="C18606" s="20"/>
      <c r="Z18606" s="20"/>
      <c r="AG18606" s="20"/>
      <c r="AQ18606" s="19"/>
      <c r="AR18606" s="19"/>
      <c r="AS18606" s="19"/>
      <c r="AT18606" s="19"/>
      <c r="AU18606" s="19"/>
    </row>
    <row r="18607" spans="3:47">
      <c r="C18607" s="20"/>
      <c r="Z18607" s="20"/>
      <c r="AG18607" s="20"/>
      <c r="AQ18607" s="19"/>
      <c r="AR18607" s="19"/>
      <c r="AS18607" s="19"/>
      <c r="AT18607" s="19"/>
      <c r="AU18607" s="19"/>
    </row>
    <row r="18608" spans="3:47">
      <c r="C18608" s="20"/>
      <c r="Z18608" s="20"/>
      <c r="AG18608" s="20"/>
      <c r="AQ18608" s="19"/>
      <c r="AR18608" s="19"/>
      <c r="AS18608" s="19"/>
      <c r="AT18608" s="19"/>
      <c r="AU18608" s="19"/>
    </row>
    <row r="18609" spans="3:47">
      <c r="C18609" s="20"/>
      <c r="Z18609" s="20"/>
      <c r="AG18609" s="20"/>
      <c r="AQ18609" s="19"/>
      <c r="AR18609" s="19"/>
      <c r="AS18609" s="19"/>
      <c r="AT18609" s="19"/>
      <c r="AU18609" s="19"/>
    </row>
    <row r="18610" spans="3:47">
      <c r="C18610" s="20"/>
      <c r="Z18610" s="20"/>
      <c r="AG18610" s="20"/>
      <c r="AQ18610" s="19"/>
      <c r="AR18610" s="19"/>
      <c r="AS18610" s="19"/>
      <c r="AT18610" s="19"/>
      <c r="AU18610" s="19"/>
    </row>
    <row r="18611" spans="3:47">
      <c r="C18611" s="20"/>
      <c r="Z18611" s="20"/>
      <c r="AG18611" s="20"/>
      <c r="AQ18611" s="19"/>
      <c r="AR18611" s="19"/>
      <c r="AS18611" s="19"/>
      <c r="AT18611" s="19"/>
      <c r="AU18611" s="19"/>
    </row>
    <row r="18612" spans="3:47">
      <c r="C18612" s="20"/>
      <c r="Z18612" s="20"/>
      <c r="AG18612" s="20"/>
      <c r="AQ18612" s="19"/>
      <c r="AR18612" s="19"/>
      <c r="AS18612" s="19"/>
      <c r="AT18612" s="19"/>
      <c r="AU18612" s="19"/>
    </row>
    <row r="18613" spans="3:47">
      <c r="C18613" s="20"/>
      <c r="Z18613" s="20"/>
      <c r="AG18613" s="20"/>
      <c r="AQ18613" s="19"/>
      <c r="AR18613" s="19"/>
      <c r="AS18613" s="19"/>
      <c r="AT18613" s="19"/>
      <c r="AU18613" s="19"/>
    </row>
    <row r="18614" spans="3:47">
      <c r="C18614" s="20"/>
      <c r="Z18614" s="20"/>
      <c r="AG18614" s="20"/>
      <c r="AQ18614" s="19"/>
      <c r="AR18614" s="19"/>
      <c r="AS18614" s="19"/>
      <c r="AT18614" s="19"/>
      <c r="AU18614" s="19"/>
    </row>
    <row r="18615" spans="3:47">
      <c r="C18615" s="20"/>
      <c r="Z18615" s="20"/>
      <c r="AG18615" s="20"/>
      <c r="AQ18615" s="19"/>
      <c r="AR18615" s="19"/>
      <c r="AS18615" s="19"/>
      <c r="AT18615" s="19"/>
      <c r="AU18615" s="19"/>
    </row>
    <row r="18616" spans="3:47">
      <c r="C18616" s="20"/>
      <c r="Z18616" s="20"/>
      <c r="AG18616" s="20"/>
      <c r="AQ18616" s="19"/>
      <c r="AR18616" s="19"/>
      <c r="AS18616" s="19"/>
      <c r="AT18616" s="19"/>
      <c r="AU18616" s="19"/>
    </row>
    <row r="18617" spans="3:47">
      <c r="C18617" s="20"/>
      <c r="Z18617" s="20"/>
      <c r="AG18617" s="20"/>
      <c r="AQ18617" s="19"/>
      <c r="AR18617" s="19"/>
      <c r="AS18617" s="19"/>
      <c r="AT18617" s="19"/>
      <c r="AU18617" s="19"/>
    </row>
    <row r="18618" spans="3:47">
      <c r="C18618" s="20"/>
      <c r="Z18618" s="20"/>
      <c r="AG18618" s="20"/>
      <c r="AQ18618" s="19"/>
      <c r="AR18618" s="19"/>
      <c r="AS18618" s="19"/>
      <c r="AT18618" s="19"/>
      <c r="AU18618" s="19"/>
    </row>
    <row r="18619" spans="3:47">
      <c r="C18619" s="20"/>
      <c r="Z18619" s="20"/>
      <c r="AG18619" s="20"/>
      <c r="AQ18619" s="19"/>
      <c r="AR18619" s="19"/>
      <c r="AS18619" s="19"/>
      <c r="AT18619" s="19"/>
      <c r="AU18619" s="19"/>
    </row>
    <row r="18620" spans="3:47">
      <c r="C18620" s="20"/>
      <c r="Z18620" s="20"/>
      <c r="AG18620" s="20"/>
      <c r="AQ18620" s="19"/>
      <c r="AR18620" s="19"/>
      <c r="AS18620" s="19"/>
      <c r="AT18620" s="19"/>
      <c r="AU18620" s="19"/>
    </row>
    <row r="18621" spans="3:47">
      <c r="C18621" s="20"/>
      <c r="Z18621" s="20"/>
      <c r="AG18621" s="20"/>
      <c r="AQ18621" s="19"/>
      <c r="AR18621" s="19"/>
      <c r="AS18621" s="19"/>
      <c r="AT18621" s="19"/>
      <c r="AU18621" s="19"/>
    </row>
    <row r="18622" spans="3:47">
      <c r="C18622" s="20"/>
      <c r="Z18622" s="20"/>
      <c r="AG18622" s="20"/>
      <c r="AQ18622" s="19"/>
      <c r="AR18622" s="19"/>
      <c r="AS18622" s="19"/>
      <c r="AT18622" s="19"/>
      <c r="AU18622" s="19"/>
    </row>
    <row r="18623" spans="3:47">
      <c r="C18623" s="20"/>
      <c r="Z18623" s="20"/>
      <c r="AG18623" s="20"/>
      <c r="AQ18623" s="19"/>
      <c r="AR18623" s="19"/>
      <c r="AS18623" s="19"/>
      <c r="AT18623" s="19"/>
      <c r="AU18623" s="19"/>
    </row>
    <row r="18624" spans="3:47">
      <c r="C18624" s="20"/>
      <c r="Z18624" s="20"/>
      <c r="AG18624" s="20"/>
      <c r="AQ18624" s="19"/>
      <c r="AR18624" s="19"/>
      <c r="AS18624" s="19"/>
      <c r="AT18624" s="19"/>
      <c r="AU18624" s="19"/>
    </row>
    <row r="18625" spans="3:47">
      <c r="C18625" s="20"/>
      <c r="Z18625" s="20"/>
      <c r="AG18625" s="20"/>
      <c r="AQ18625" s="19"/>
      <c r="AR18625" s="19"/>
      <c r="AS18625" s="19"/>
      <c r="AT18625" s="19"/>
      <c r="AU18625" s="19"/>
    </row>
    <row r="18626" spans="3:47">
      <c r="C18626" s="20"/>
      <c r="Z18626" s="20"/>
      <c r="AG18626" s="20"/>
      <c r="AQ18626" s="19"/>
      <c r="AR18626" s="19"/>
      <c r="AS18626" s="19"/>
      <c r="AT18626" s="19"/>
      <c r="AU18626" s="19"/>
    </row>
    <row r="18627" spans="3:47">
      <c r="C18627" s="20"/>
      <c r="Z18627" s="20"/>
      <c r="AG18627" s="20"/>
      <c r="AQ18627" s="19"/>
      <c r="AR18627" s="19"/>
      <c r="AS18627" s="19"/>
      <c r="AT18627" s="19"/>
      <c r="AU18627" s="19"/>
    </row>
    <row r="18628" spans="3:47">
      <c r="C18628" s="20"/>
      <c r="Z18628" s="20"/>
      <c r="AG18628" s="20"/>
      <c r="AQ18628" s="19"/>
      <c r="AR18628" s="19"/>
      <c r="AS18628" s="19"/>
      <c r="AT18628" s="19"/>
      <c r="AU18628" s="19"/>
    </row>
    <row r="18629" spans="3:47">
      <c r="C18629" s="20"/>
      <c r="Z18629" s="20"/>
      <c r="AG18629" s="20"/>
      <c r="AQ18629" s="19"/>
      <c r="AR18629" s="19"/>
      <c r="AS18629" s="19"/>
      <c r="AT18629" s="19"/>
      <c r="AU18629" s="19"/>
    </row>
    <row r="18630" spans="3:47">
      <c r="C18630" s="20"/>
      <c r="Z18630" s="20"/>
      <c r="AG18630" s="20"/>
      <c r="AQ18630" s="19"/>
      <c r="AR18630" s="19"/>
      <c r="AS18630" s="19"/>
      <c r="AT18630" s="19"/>
      <c r="AU18630" s="19"/>
    </row>
    <row r="18631" spans="3:47">
      <c r="C18631" s="20"/>
      <c r="Z18631" s="20"/>
      <c r="AG18631" s="20"/>
      <c r="AQ18631" s="19"/>
      <c r="AR18631" s="19"/>
      <c r="AS18631" s="19"/>
      <c r="AT18631" s="19"/>
      <c r="AU18631" s="19"/>
    </row>
    <row r="18632" spans="3:47">
      <c r="C18632" s="20"/>
      <c r="Z18632" s="20"/>
      <c r="AG18632" s="20"/>
      <c r="AQ18632" s="19"/>
      <c r="AR18632" s="19"/>
      <c r="AS18632" s="19"/>
      <c r="AT18632" s="19"/>
      <c r="AU18632" s="19"/>
    </row>
    <row r="18633" spans="3:47">
      <c r="C18633" s="20"/>
      <c r="Z18633" s="20"/>
      <c r="AG18633" s="20"/>
      <c r="AQ18633" s="19"/>
      <c r="AR18633" s="19"/>
      <c r="AS18633" s="19"/>
      <c r="AT18633" s="19"/>
      <c r="AU18633" s="19"/>
    </row>
    <row r="18634" spans="3:47">
      <c r="C18634" s="20"/>
      <c r="Z18634" s="20"/>
      <c r="AG18634" s="20"/>
      <c r="AQ18634" s="19"/>
      <c r="AR18634" s="19"/>
      <c r="AS18634" s="19"/>
      <c r="AT18634" s="19"/>
      <c r="AU18634" s="19"/>
    </row>
    <row r="18635" spans="3:47">
      <c r="C18635" s="20"/>
      <c r="Z18635" s="20"/>
      <c r="AG18635" s="20"/>
      <c r="AQ18635" s="19"/>
      <c r="AR18635" s="19"/>
      <c r="AS18635" s="19"/>
      <c r="AT18635" s="19"/>
      <c r="AU18635" s="19"/>
    </row>
    <row r="18636" spans="3:47">
      <c r="C18636" s="20"/>
      <c r="Z18636" s="20"/>
      <c r="AG18636" s="20"/>
      <c r="AQ18636" s="19"/>
      <c r="AR18636" s="19"/>
      <c r="AS18636" s="19"/>
      <c r="AT18636" s="19"/>
      <c r="AU18636" s="19"/>
    </row>
    <row r="18637" spans="3:47">
      <c r="C18637" s="20"/>
      <c r="Z18637" s="20"/>
      <c r="AG18637" s="20"/>
      <c r="AQ18637" s="19"/>
      <c r="AR18637" s="19"/>
      <c r="AS18637" s="19"/>
      <c r="AT18637" s="19"/>
      <c r="AU18637" s="19"/>
    </row>
    <row r="18638" spans="3:47">
      <c r="C18638" s="20"/>
      <c r="Z18638" s="20"/>
      <c r="AG18638" s="20"/>
      <c r="AQ18638" s="19"/>
      <c r="AR18638" s="19"/>
      <c r="AS18638" s="19"/>
      <c r="AT18638" s="19"/>
      <c r="AU18638" s="19"/>
    </row>
    <row r="18639" spans="3:47">
      <c r="C18639" s="20"/>
      <c r="Z18639" s="20"/>
      <c r="AG18639" s="20"/>
      <c r="AQ18639" s="19"/>
      <c r="AR18639" s="19"/>
      <c r="AS18639" s="19"/>
      <c r="AT18639" s="19"/>
      <c r="AU18639" s="19"/>
    </row>
    <row r="18640" spans="3:47">
      <c r="C18640" s="20"/>
      <c r="Z18640" s="20"/>
      <c r="AG18640" s="20"/>
      <c r="AQ18640" s="19"/>
      <c r="AR18640" s="19"/>
      <c r="AS18640" s="19"/>
      <c r="AT18640" s="19"/>
      <c r="AU18640" s="19"/>
    </row>
    <row r="18641" spans="3:47">
      <c r="C18641" s="20"/>
      <c r="Z18641" s="20"/>
      <c r="AG18641" s="20"/>
      <c r="AQ18641" s="19"/>
      <c r="AR18641" s="19"/>
      <c r="AS18641" s="19"/>
      <c r="AT18641" s="19"/>
      <c r="AU18641" s="19"/>
    </row>
    <row r="18642" spans="3:47">
      <c r="C18642" s="20"/>
      <c r="Z18642" s="20"/>
      <c r="AG18642" s="20"/>
      <c r="AQ18642" s="19"/>
      <c r="AR18642" s="19"/>
      <c r="AS18642" s="19"/>
      <c r="AT18642" s="19"/>
      <c r="AU18642" s="19"/>
    </row>
    <row r="18643" spans="3:47">
      <c r="C18643" s="20"/>
      <c r="Z18643" s="20"/>
      <c r="AG18643" s="20"/>
      <c r="AQ18643" s="19"/>
      <c r="AR18643" s="19"/>
      <c r="AS18643" s="19"/>
      <c r="AT18643" s="19"/>
      <c r="AU18643" s="19"/>
    </row>
    <row r="18644" spans="3:47">
      <c r="C18644" s="20"/>
      <c r="Z18644" s="20"/>
      <c r="AG18644" s="20"/>
      <c r="AQ18644" s="19"/>
      <c r="AR18644" s="19"/>
      <c r="AS18644" s="19"/>
      <c r="AT18644" s="19"/>
      <c r="AU18644" s="19"/>
    </row>
    <row r="18645" spans="3:47">
      <c r="C18645" s="20"/>
      <c r="Z18645" s="20"/>
      <c r="AG18645" s="20"/>
      <c r="AQ18645" s="19"/>
      <c r="AR18645" s="19"/>
      <c r="AS18645" s="19"/>
      <c r="AT18645" s="19"/>
      <c r="AU18645" s="19"/>
    </row>
    <row r="18646" spans="3:47">
      <c r="C18646" s="20"/>
      <c r="Z18646" s="20"/>
      <c r="AG18646" s="20"/>
      <c r="AQ18646" s="19"/>
      <c r="AR18646" s="19"/>
      <c r="AS18646" s="19"/>
      <c r="AT18646" s="19"/>
      <c r="AU18646" s="19"/>
    </row>
    <row r="18647" spans="3:47">
      <c r="C18647" s="20"/>
      <c r="Z18647" s="20"/>
      <c r="AG18647" s="20"/>
      <c r="AQ18647" s="19"/>
      <c r="AR18647" s="19"/>
      <c r="AS18647" s="19"/>
      <c r="AT18647" s="19"/>
      <c r="AU18647" s="19"/>
    </row>
    <row r="18648" spans="3:47">
      <c r="C18648" s="20"/>
      <c r="Z18648" s="20"/>
      <c r="AG18648" s="20"/>
      <c r="AQ18648" s="19"/>
      <c r="AR18648" s="19"/>
      <c r="AS18648" s="19"/>
      <c r="AT18648" s="19"/>
      <c r="AU18648" s="19"/>
    </row>
    <row r="18649" spans="3:47">
      <c r="C18649" s="20"/>
      <c r="Z18649" s="20"/>
      <c r="AG18649" s="20"/>
      <c r="AQ18649" s="19"/>
      <c r="AR18649" s="19"/>
      <c r="AS18649" s="19"/>
      <c r="AT18649" s="19"/>
      <c r="AU18649" s="19"/>
    </row>
    <row r="18650" spans="3:47">
      <c r="C18650" s="20"/>
      <c r="Z18650" s="20"/>
      <c r="AG18650" s="20"/>
      <c r="AQ18650" s="19"/>
      <c r="AR18650" s="19"/>
      <c r="AS18650" s="19"/>
      <c r="AT18650" s="19"/>
      <c r="AU18650" s="19"/>
    </row>
    <row r="18651" spans="3:47">
      <c r="C18651" s="20"/>
      <c r="Z18651" s="20"/>
      <c r="AG18651" s="20"/>
      <c r="AQ18651" s="19"/>
      <c r="AR18651" s="19"/>
      <c r="AS18651" s="19"/>
      <c r="AT18651" s="19"/>
      <c r="AU18651" s="19"/>
    </row>
    <row r="18652" spans="3:47">
      <c r="C18652" s="20"/>
      <c r="Z18652" s="20"/>
      <c r="AG18652" s="20"/>
      <c r="AQ18652" s="19"/>
      <c r="AR18652" s="19"/>
      <c r="AS18652" s="19"/>
      <c r="AT18652" s="19"/>
      <c r="AU18652" s="19"/>
    </row>
    <row r="18653" spans="3:47">
      <c r="C18653" s="20"/>
      <c r="Z18653" s="20"/>
      <c r="AG18653" s="20"/>
      <c r="AQ18653" s="19"/>
      <c r="AR18653" s="19"/>
      <c r="AS18653" s="19"/>
      <c r="AT18653" s="19"/>
      <c r="AU18653" s="19"/>
    </row>
    <row r="18654" spans="3:47">
      <c r="C18654" s="20"/>
      <c r="Z18654" s="20"/>
      <c r="AG18654" s="20"/>
      <c r="AQ18654" s="19"/>
      <c r="AR18654" s="19"/>
      <c r="AS18654" s="19"/>
      <c r="AT18654" s="19"/>
      <c r="AU18654" s="19"/>
    </row>
    <row r="18655" spans="3:47">
      <c r="C18655" s="20"/>
      <c r="Z18655" s="20"/>
      <c r="AG18655" s="20"/>
      <c r="AQ18655" s="19"/>
      <c r="AR18655" s="19"/>
      <c r="AS18655" s="19"/>
      <c r="AT18655" s="19"/>
      <c r="AU18655" s="19"/>
    </row>
    <row r="18656" spans="3:47">
      <c r="C18656" s="20"/>
      <c r="Z18656" s="20"/>
      <c r="AG18656" s="20"/>
      <c r="AQ18656" s="19"/>
      <c r="AR18656" s="19"/>
      <c r="AS18656" s="19"/>
      <c r="AT18656" s="19"/>
      <c r="AU18656" s="19"/>
    </row>
    <row r="18657" spans="3:47">
      <c r="C18657" s="20"/>
      <c r="Z18657" s="20"/>
      <c r="AG18657" s="20"/>
      <c r="AQ18657" s="19"/>
      <c r="AR18657" s="19"/>
      <c r="AS18657" s="19"/>
      <c r="AT18657" s="19"/>
      <c r="AU18657" s="19"/>
    </row>
    <row r="18658" spans="3:47">
      <c r="C18658" s="20"/>
      <c r="Z18658" s="20"/>
      <c r="AG18658" s="20"/>
      <c r="AQ18658" s="19"/>
      <c r="AR18658" s="19"/>
      <c r="AS18658" s="19"/>
      <c r="AT18658" s="19"/>
      <c r="AU18658" s="19"/>
    </row>
    <row r="18659" spans="3:47">
      <c r="C18659" s="20"/>
      <c r="Z18659" s="20"/>
      <c r="AG18659" s="20"/>
      <c r="AQ18659" s="19"/>
      <c r="AR18659" s="19"/>
      <c r="AS18659" s="19"/>
      <c r="AT18659" s="19"/>
      <c r="AU18659" s="19"/>
    </row>
    <row r="18660" spans="3:47">
      <c r="C18660" s="20"/>
      <c r="Z18660" s="20"/>
      <c r="AG18660" s="20"/>
      <c r="AQ18660" s="19"/>
      <c r="AR18660" s="19"/>
      <c r="AS18660" s="19"/>
      <c r="AT18660" s="19"/>
      <c r="AU18660" s="19"/>
    </row>
    <row r="18661" spans="3:47">
      <c r="C18661" s="20"/>
      <c r="Z18661" s="20"/>
      <c r="AG18661" s="20"/>
      <c r="AQ18661" s="19"/>
      <c r="AR18661" s="19"/>
      <c r="AS18661" s="19"/>
      <c r="AT18661" s="19"/>
      <c r="AU18661" s="19"/>
    </row>
    <row r="18662" spans="3:47">
      <c r="C18662" s="20"/>
      <c r="Z18662" s="20"/>
      <c r="AG18662" s="20"/>
      <c r="AQ18662" s="19"/>
      <c r="AR18662" s="19"/>
      <c r="AS18662" s="19"/>
      <c r="AT18662" s="19"/>
      <c r="AU18662" s="19"/>
    </row>
    <row r="18663" spans="3:47">
      <c r="C18663" s="20"/>
      <c r="Z18663" s="20"/>
      <c r="AG18663" s="20"/>
      <c r="AQ18663" s="19"/>
      <c r="AR18663" s="19"/>
      <c r="AS18663" s="19"/>
      <c r="AT18663" s="19"/>
      <c r="AU18663" s="19"/>
    </row>
    <row r="18664" spans="3:47">
      <c r="C18664" s="20"/>
      <c r="Z18664" s="20"/>
      <c r="AG18664" s="20"/>
      <c r="AQ18664" s="19"/>
      <c r="AR18664" s="19"/>
      <c r="AS18664" s="19"/>
      <c r="AT18664" s="19"/>
      <c r="AU18664" s="19"/>
    </row>
    <row r="18665" spans="3:47">
      <c r="C18665" s="20"/>
      <c r="Z18665" s="20"/>
      <c r="AG18665" s="20"/>
      <c r="AQ18665" s="19"/>
      <c r="AR18665" s="19"/>
      <c r="AS18665" s="19"/>
      <c r="AT18665" s="19"/>
      <c r="AU18665" s="19"/>
    </row>
    <row r="18666" spans="3:47">
      <c r="C18666" s="20"/>
      <c r="Z18666" s="20"/>
      <c r="AG18666" s="20"/>
      <c r="AQ18666" s="19"/>
      <c r="AR18666" s="19"/>
      <c r="AS18666" s="19"/>
      <c r="AT18666" s="19"/>
      <c r="AU18666" s="19"/>
    </row>
    <row r="18667" spans="3:47">
      <c r="C18667" s="20"/>
      <c r="Z18667" s="20"/>
      <c r="AG18667" s="20"/>
      <c r="AQ18667" s="19"/>
      <c r="AR18667" s="19"/>
      <c r="AS18667" s="19"/>
      <c r="AT18667" s="19"/>
      <c r="AU18667" s="19"/>
    </row>
    <row r="18668" spans="3:47">
      <c r="C18668" s="20"/>
      <c r="Z18668" s="20"/>
      <c r="AG18668" s="20"/>
      <c r="AQ18668" s="19"/>
      <c r="AR18668" s="19"/>
      <c r="AS18668" s="19"/>
      <c r="AT18668" s="19"/>
      <c r="AU18668" s="19"/>
    </row>
    <row r="18669" spans="3:47">
      <c r="C18669" s="20"/>
      <c r="Z18669" s="20"/>
      <c r="AG18669" s="20"/>
      <c r="AQ18669" s="19"/>
      <c r="AR18669" s="19"/>
      <c r="AS18669" s="19"/>
      <c r="AT18669" s="19"/>
      <c r="AU18669" s="19"/>
    </row>
    <row r="18670" spans="3:47">
      <c r="C18670" s="20"/>
      <c r="Z18670" s="20"/>
      <c r="AG18670" s="20"/>
      <c r="AQ18670" s="19"/>
      <c r="AR18670" s="19"/>
      <c r="AS18670" s="19"/>
      <c r="AT18670" s="19"/>
      <c r="AU18670" s="19"/>
    </row>
    <row r="18671" spans="3:47">
      <c r="C18671" s="20"/>
      <c r="Z18671" s="20"/>
      <c r="AG18671" s="20"/>
      <c r="AQ18671" s="19"/>
      <c r="AR18671" s="19"/>
      <c r="AS18671" s="19"/>
      <c r="AT18671" s="19"/>
      <c r="AU18671" s="19"/>
    </row>
    <row r="18672" spans="3:47">
      <c r="C18672" s="20"/>
      <c r="Z18672" s="20"/>
      <c r="AG18672" s="20"/>
      <c r="AQ18672" s="19"/>
      <c r="AR18672" s="19"/>
      <c r="AS18672" s="19"/>
      <c r="AT18672" s="19"/>
      <c r="AU18672" s="19"/>
    </row>
    <row r="18673" spans="3:47">
      <c r="C18673" s="20"/>
      <c r="Z18673" s="20"/>
      <c r="AG18673" s="20"/>
      <c r="AQ18673" s="19"/>
      <c r="AR18673" s="19"/>
      <c r="AS18673" s="19"/>
      <c r="AT18673" s="19"/>
      <c r="AU18673" s="19"/>
    </row>
    <row r="18674" spans="3:47">
      <c r="C18674" s="20"/>
      <c r="Z18674" s="20"/>
      <c r="AG18674" s="20"/>
      <c r="AQ18674" s="19"/>
      <c r="AR18674" s="19"/>
      <c r="AS18674" s="19"/>
      <c r="AT18674" s="19"/>
      <c r="AU18674" s="19"/>
    </row>
    <row r="18675" spans="3:47">
      <c r="C18675" s="20"/>
      <c r="Z18675" s="20"/>
      <c r="AG18675" s="20"/>
      <c r="AQ18675" s="19"/>
      <c r="AR18675" s="19"/>
      <c r="AS18675" s="19"/>
      <c r="AT18675" s="19"/>
      <c r="AU18675" s="19"/>
    </row>
    <row r="18676" spans="3:47">
      <c r="C18676" s="20"/>
      <c r="Z18676" s="20"/>
      <c r="AG18676" s="20"/>
      <c r="AQ18676" s="19"/>
      <c r="AR18676" s="19"/>
      <c r="AS18676" s="19"/>
      <c r="AT18676" s="19"/>
      <c r="AU18676" s="19"/>
    </row>
    <row r="18677" spans="3:47">
      <c r="C18677" s="20"/>
      <c r="Z18677" s="20"/>
      <c r="AG18677" s="20"/>
      <c r="AQ18677" s="19"/>
      <c r="AR18677" s="19"/>
      <c r="AS18677" s="19"/>
      <c r="AT18677" s="19"/>
      <c r="AU18677" s="19"/>
    </row>
    <row r="18678" spans="3:47">
      <c r="C18678" s="20"/>
      <c r="Z18678" s="20"/>
      <c r="AG18678" s="20"/>
      <c r="AQ18678" s="19"/>
      <c r="AR18678" s="19"/>
      <c r="AS18678" s="19"/>
      <c r="AT18678" s="19"/>
      <c r="AU18678" s="19"/>
    </row>
    <row r="18679" spans="3:47">
      <c r="C18679" s="20"/>
      <c r="Z18679" s="20"/>
      <c r="AG18679" s="20"/>
      <c r="AQ18679" s="19"/>
      <c r="AR18679" s="19"/>
      <c r="AS18679" s="19"/>
      <c r="AT18679" s="19"/>
      <c r="AU18679" s="19"/>
    </row>
    <row r="18680" spans="3:47">
      <c r="C18680" s="20"/>
      <c r="Z18680" s="20"/>
      <c r="AG18680" s="20"/>
      <c r="AQ18680" s="19"/>
      <c r="AR18680" s="19"/>
      <c r="AS18680" s="19"/>
      <c r="AT18680" s="19"/>
      <c r="AU18680" s="19"/>
    </row>
    <row r="18681" spans="3:47">
      <c r="C18681" s="20"/>
      <c r="Z18681" s="20"/>
      <c r="AG18681" s="20"/>
      <c r="AQ18681" s="19"/>
      <c r="AR18681" s="19"/>
      <c r="AS18681" s="19"/>
      <c r="AT18681" s="19"/>
      <c r="AU18681" s="19"/>
    </row>
    <row r="18682" spans="3:47">
      <c r="C18682" s="20"/>
      <c r="Z18682" s="20"/>
      <c r="AG18682" s="20"/>
      <c r="AQ18682" s="19"/>
      <c r="AR18682" s="19"/>
      <c r="AS18682" s="19"/>
      <c r="AT18682" s="19"/>
      <c r="AU18682" s="19"/>
    </row>
    <row r="18683" spans="3:47">
      <c r="C18683" s="20"/>
      <c r="Z18683" s="20"/>
      <c r="AG18683" s="20"/>
      <c r="AQ18683" s="19"/>
      <c r="AR18683" s="19"/>
      <c r="AS18683" s="19"/>
      <c r="AT18683" s="19"/>
      <c r="AU18683" s="19"/>
    </row>
    <row r="18684" spans="3:47">
      <c r="C18684" s="20"/>
      <c r="Z18684" s="20"/>
      <c r="AG18684" s="20"/>
      <c r="AQ18684" s="19"/>
      <c r="AR18684" s="19"/>
      <c r="AS18684" s="19"/>
      <c r="AT18684" s="19"/>
      <c r="AU18684" s="19"/>
    </row>
    <row r="18685" spans="3:47">
      <c r="C18685" s="20"/>
      <c r="Z18685" s="20"/>
      <c r="AG18685" s="20"/>
      <c r="AQ18685" s="19"/>
      <c r="AR18685" s="19"/>
      <c r="AS18685" s="19"/>
      <c r="AT18685" s="19"/>
      <c r="AU18685" s="19"/>
    </row>
    <row r="18686" spans="3:47">
      <c r="C18686" s="20"/>
      <c r="Z18686" s="20"/>
      <c r="AG18686" s="20"/>
      <c r="AQ18686" s="19"/>
      <c r="AR18686" s="19"/>
      <c r="AS18686" s="19"/>
      <c r="AT18686" s="19"/>
      <c r="AU18686" s="19"/>
    </row>
    <row r="18687" spans="3:47">
      <c r="C18687" s="20"/>
      <c r="Z18687" s="20"/>
      <c r="AG18687" s="20"/>
      <c r="AQ18687" s="19"/>
      <c r="AR18687" s="19"/>
      <c r="AS18687" s="19"/>
      <c r="AT18687" s="19"/>
      <c r="AU18687" s="19"/>
    </row>
    <row r="18688" spans="3:47">
      <c r="C18688" s="20"/>
      <c r="Z18688" s="20"/>
      <c r="AG18688" s="20"/>
      <c r="AQ18688" s="19"/>
      <c r="AR18688" s="19"/>
      <c r="AS18688" s="19"/>
      <c r="AT18688" s="19"/>
      <c r="AU18688" s="19"/>
    </row>
    <row r="18689" spans="3:47">
      <c r="C18689" s="20"/>
      <c r="Z18689" s="20"/>
      <c r="AG18689" s="20"/>
      <c r="AQ18689" s="19"/>
      <c r="AR18689" s="19"/>
      <c r="AS18689" s="19"/>
      <c r="AT18689" s="19"/>
      <c r="AU18689" s="19"/>
    </row>
    <row r="18690" spans="3:47">
      <c r="C18690" s="20"/>
      <c r="Z18690" s="20"/>
      <c r="AG18690" s="20"/>
      <c r="AQ18690" s="19"/>
      <c r="AR18690" s="19"/>
      <c r="AS18690" s="19"/>
      <c r="AT18690" s="19"/>
      <c r="AU18690" s="19"/>
    </row>
    <row r="18691" spans="3:47">
      <c r="C18691" s="20"/>
      <c r="Z18691" s="20"/>
      <c r="AG18691" s="20"/>
      <c r="AQ18691" s="19"/>
      <c r="AR18691" s="19"/>
      <c r="AS18691" s="19"/>
      <c r="AT18691" s="19"/>
      <c r="AU18691" s="19"/>
    </row>
    <row r="18692" spans="3:47">
      <c r="C18692" s="20"/>
      <c r="Z18692" s="20"/>
      <c r="AG18692" s="20"/>
      <c r="AQ18692" s="19"/>
      <c r="AR18692" s="19"/>
      <c r="AS18692" s="19"/>
      <c r="AT18692" s="19"/>
      <c r="AU18692" s="19"/>
    </row>
    <row r="18693" spans="3:47">
      <c r="C18693" s="20"/>
      <c r="Z18693" s="20"/>
      <c r="AG18693" s="20"/>
      <c r="AQ18693" s="19"/>
      <c r="AR18693" s="19"/>
      <c r="AS18693" s="19"/>
      <c r="AT18693" s="19"/>
      <c r="AU18693" s="19"/>
    </row>
    <row r="18694" spans="3:47">
      <c r="C18694" s="20"/>
      <c r="Z18694" s="20"/>
      <c r="AG18694" s="20"/>
      <c r="AQ18694" s="19"/>
      <c r="AR18694" s="19"/>
      <c r="AS18694" s="19"/>
      <c r="AT18694" s="19"/>
      <c r="AU18694" s="19"/>
    </row>
    <row r="18695" spans="3:47">
      <c r="C18695" s="20"/>
      <c r="Z18695" s="20"/>
      <c r="AG18695" s="20"/>
      <c r="AQ18695" s="19"/>
      <c r="AR18695" s="19"/>
      <c r="AS18695" s="19"/>
      <c r="AT18695" s="19"/>
      <c r="AU18695" s="19"/>
    </row>
    <row r="18696" spans="3:47">
      <c r="C18696" s="20"/>
      <c r="Z18696" s="20"/>
      <c r="AG18696" s="20"/>
      <c r="AQ18696" s="19"/>
      <c r="AR18696" s="19"/>
      <c r="AS18696" s="19"/>
      <c r="AT18696" s="19"/>
      <c r="AU18696" s="19"/>
    </row>
    <row r="18697" spans="3:47">
      <c r="C18697" s="20"/>
      <c r="Z18697" s="20"/>
      <c r="AG18697" s="20"/>
      <c r="AQ18697" s="19"/>
      <c r="AR18697" s="19"/>
      <c r="AS18697" s="19"/>
      <c r="AT18697" s="19"/>
      <c r="AU18697" s="19"/>
    </row>
    <row r="18698" spans="3:47">
      <c r="C18698" s="20"/>
      <c r="Z18698" s="20"/>
      <c r="AG18698" s="20"/>
      <c r="AQ18698" s="19"/>
      <c r="AR18698" s="19"/>
      <c r="AS18698" s="19"/>
      <c r="AT18698" s="19"/>
      <c r="AU18698" s="19"/>
    </row>
    <row r="18699" spans="3:47">
      <c r="C18699" s="20"/>
      <c r="Z18699" s="20"/>
      <c r="AG18699" s="20"/>
      <c r="AQ18699" s="19"/>
      <c r="AR18699" s="19"/>
      <c r="AS18699" s="19"/>
      <c r="AT18699" s="19"/>
      <c r="AU18699" s="19"/>
    </row>
    <row r="18700" spans="3:47">
      <c r="C18700" s="20"/>
      <c r="Z18700" s="20"/>
      <c r="AG18700" s="20"/>
      <c r="AQ18700" s="19"/>
      <c r="AR18700" s="19"/>
      <c r="AS18700" s="19"/>
      <c r="AT18700" s="19"/>
      <c r="AU18700" s="19"/>
    </row>
    <row r="18701" spans="3:47">
      <c r="C18701" s="20"/>
      <c r="Z18701" s="20"/>
      <c r="AG18701" s="20"/>
      <c r="AQ18701" s="19"/>
      <c r="AR18701" s="19"/>
      <c r="AS18701" s="19"/>
      <c r="AT18701" s="19"/>
      <c r="AU18701" s="19"/>
    </row>
    <row r="18702" spans="3:47">
      <c r="C18702" s="20"/>
      <c r="Z18702" s="20"/>
      <c r="AG18702" s="20"/>
      <c r="AQ18702" s="19"/>
      <c r="AR18702" s="19"/>
      <c r="AS18702" s="19"/>
      <c r="AT18702" s="19"/>
      <c r="AU18702" s="19"/>
    </row>
    <row r="18703" spans="3:47">
      <c r="C18703" s="20"/>
      <c r="Z18703" s="20"/>
      <c r="AG18703" s="20"/>
      <c r="AQ18703" s="19"/>
      <c r="AR18703" s="19"/>
      <c r="AS18703" s="19"/>
      <c r="AT18703" s="19"/>
      <c r="AU18703" s="19"/>
    </row>
    <row r="18704" spans="3:47">
      <c r="C18704" s="20"/>
      <c r="Z18704" s="20"/>
      <c r="AG18704" s="20"/>
      <c r="AQ18704" s="19"/>
      <c r="AR18704" s="19"/>
      <c r="AS18704" s="19"/>
      <c r="AT18704" s="19"/>
      <c r="AU18704" s="19"/>
    </row>
    <row r="18705" spans="3:47">
      <c r="C18705" s="20"/>
      <c r="Z18705" s="20"/>
      <c r="AG18705" s="20"/>
      <c r="AQ18705" s="19"/>
      <c r="AR18705" s="19"/>
      <c r="AS18705" s="19"/>
      <c r="AT18705" s="19"/>
      <c r="AU18705" s="19"/>
    </row>
    <row r="18706" spans="3:47">
      <c r="C18706" s="20"/>
      <c r="Z18706" s="20"/>
      <c r="AG18706" s="20"/>
      <c r="AQ18706" s="19"/>
      <c r="AR18706" s="19"/>
      <c r="AS18706" s="19"/>
      <c r="AT18706" s="19"/>
      <c r="AU18706" s="19"/>
    </row>
    <row r="18707" spans="3:47">
      <c r="C18707" s="20"/>
      <c r="Z18707" s="20"/>
      <c r="AG18707" s="20"/>
      <c r="AQ18707" s="19"/>
      <c r="AR18707" s="19"/>
      <c r="AS18707" s="19"/>
      <c r="AT18707" s="19"/>
      <c r="AU18707" s="19"/>
    </row>
    <row r="18708" spans="3:47">
      <c r="C18708" s="20"/>
      <c r="Z18708" s="20"/>
      <c r="AG18708" s="20"/>
      <c r="AQ18708" s="19"/>
      <c r="AR18708" s="19"/>
      <c r="AS18708" s="19"/>
      <c r="AT18708" s="19"/>
      <c r="AU18708" s="19"/>
    </row>
    <row r="18709" spans="3:47">
      <c r="C18709" s="20"/>
      <c r="Z18709" s="20"/>
      <c r="AG18709" s="20"/>
      <c r="AQ18709" s="19"/>
      <c r="AR18709" s="19"/>
      <c r="AS18709" s="19"/>
      <c r="AT18709" s="19"/>
      <c r="AU18709" s="19"/>
    </row>
    <row r="18710" spans="3:47">
      <c r="C18710" s="20"/>
      <c r="Z18710" s="20"/>
      <c r="AG18710" s="20"/>
      <c r="AQ18710" s="19"/>
      <c r="AR18710" s="19"/>
      <c r="AS18710" s="19"/>
      <c r="AT18710" s="19"/>
      <c r="AU18710" s="19"/>
    </row>
    <row r="18711" spans="3:47">
      <c r="C18711" s="20"/>
      <c r="Z18711" s="20"/>
      <c r="AG18711" s="20"/>
      <c r="AQ18711" s="19"/>
      <c r="AR18711" s="19"/>
      <c r="AS18711" s="19"/>
      <c r="AT18711" s="19"/>
      <c r="AU18711" s="19"/>
    </row>
    <row r="18712" spans="3:47">
      <c r="C18712" s="20"/>
      <c r="Z18712" s="20"/>
      <c r="AG18712" s="20"/>
      <c r="AQ18712" s="19"/>
      <c r="AR18712" s="19"/>
      <c r="AS18712" s="19"/>
      <c r="AT18712" s="19"/>
      <c r="AU18712" s="19"/>
    </row>
    <row r="18713" spans="3:47">
      <c r="C18713" s="20"/>
      <c r="Z18713" s="20"/>
      <c r="AG18713" s="20"/>
      <c r="AQ18713" s="19"/>
      <c r="AR18713" s="19"/>
      <c r="AS18713" s="19"/>
      <c r="AT18713" s="19"/>
      <c r="AU18713" s="19"/>
    </row>
    <row r="18714" spans="3:47">
      <c r="C18714" s="20"/>
      <c r="Z18714" s="20"/>
      <c r="AG18714" s="20"/>
      <c r="AQ18714" s="19"/>
      <c r="AR18714" s="19"/>
      <c r="AS18714" s="19"/>
      <c r="AT18714" s="19"/>
      <c r="AU18714" s="19"/>
    </row>
    <row r="18715" spans="3:47">
      <c r="C18715" s="20"/>
      <c r="Z18715" s="20"/>
      <c r="AG18715" s="20"/>
      <c r="AQ18715" s="19"/>
      <c r="AR18715" s="19"/>
      <c r="AS18715" s="19"/>
      <c r="AT18715" s="19"/>
      <c r="AU18715" s="19"/>
    </row>
    <row r="18716" spans="3:47">
      <c r="C18716" s="20"/>
      <c r="Z18716" s="20"/>
      <c r="AG18716" s="20"/>
      <c r="AQ18716" s="19"/>
      <c r="AR18716" s="19"/>
      <c r="AS18716" s="19"/>
      <c r="AT18716" s="19"/>
      <c r="AU18716" s="19"/>
    </row>
    <row r="18717" spans="3:47">
      <c r="C18717" s="20"/>
      <c r="Z18717" s="20"/>
      <c r="AG18717" s="20"/>
      <c r="AQ18717" s="19"/>
      <c r="AR18717" s="19"/>
      <c r="AS18717" s="19"/>
      <c r="AT18717" s="19"/>
      <c r="AU18717" s="19"/>
    </row>
    <row r="18718" spans="3:47">
      <c r="C18718" s="20"/>
      <c r="Z18718" s="20"/>
      <c r="AG18718" s="20"/>
      <c r="AQ18718" s="19"/>
      <c r="AR18718" s="19"/>
      <c r="AS18718" s="19"/>
      <c r="AT18718" s="19"/>
      <c r="AU18718" s="19"/>
    </row>
    <row r="18719" spans="3:47">
      <c r="C18719" s="20"/>
      <c r="Z18719" s="20"/>
      <c r="AG18719" s="20"/>
      <c r="AQ18719" s="19"/>
      <c r="AR18719" s="19"/>
      <c r="AS18719" s="19"/>
      <c r="AT18719" s="19"/>
      <c r="AU18719" s="19"/>
    </row>
    <row r="18720" spans="3:47">
      <c r="C18720" s="20"/>
      <c r="Z18720" s="20"/>
      <c r="AG18720" s="20"/>
      <c r="AQ18720" s="19"/>
      <c r="AR18720" s="19"/>
      <c r="AS18720" s="19"/>
      <c r="AT18720" s="19"/>
      <c r="AU18720" s="19"/>
    </row>
    <row r="18721" spans="3:47">
      <c r="C18721" s="20"/>
      <c r="Z18721" s="20"/>
      <c r="AG18721" s="20"/>
      <c r="AQ18721" s="19"/>
      <c r="AR18721" s="19"/>
      <c r="AS18721" s="19"/>
      <c r="AT18721" s="19"/>
      <c r="AU18721" s="19"/>
    </row>
    <row r="18722" spans="3:47">
      <c r="C18722" s="20"/>
      <c r="Z18722" s="20"/>
      <c r="AG18722" s="20"/>
      <c r="AQ18722" s="19"/>
      <c r="AR18722" s="19"/>
      <c r="AS18722" s="19"/>
      <c r="AT18722" s="19"/>
      <c r="AU18722" s="19"/>
    </row>
    <row r="18723" spans="3:47">
      <c r="C18723" s="20"/>
      <c r="Z18723" s="20"/>
      <c r="AG18723" s="20"/>
      <c r="AQ18723" s="19"/>
      <c r="AR18723" s="19"/>
      <c r="AS18723" s="19"/>
      <c r="AT18723" s="19"/>
      <c r="AU18723" s="19"/>
    </row>
    <row r="18724" spans="3:47">
      <c r="C18724" s="20"/>
      <c r="Z18724" s="20"/>
      <c r="AG18724" s="20"/>
      <c r="AQ18724" s="19"/>
      <c r="AR18724" s="19"/>
      <c r="AS18724" s="19"/>
      <c r="AT18724" s="19"/>
      <c r="AU18724" s="19"/>
    </row>
    <row r="18725" spans="3:47">
      <c r="C18725" s="20"/>
      <c r="Z18725" s="20"/>
      <c r="AG18725" s="20"/>
      <c r="AQ18725" s="19"/>
      <c r="AR18725" s="19"/>
      <c r="AS18725" s="19"/>
      <c r="AT18725" s="19"/>
      <c r="AU18725" s="19"/>
    </row>
    <row r="18726" spans="3:47">
      <c r="C18726" s="20"/>
      <c r="Z18726" s="20"/>
      <c r="AG18726" s="20"/>
      <c r="AQ18726" s="19"/>
      <c r="AR18726" s="19"/>
      <c r="AS18726" s="19"/>
      <c r="AT18726" s="19"/>
      <c r="AU18726" s="19"/>
    </row>
    <row r="18727" spans="3:47">
      <c r="C18727" s="20"/>
      <c r="Z18727" s="20"/>
      <c r="AG18727" s="20"/>
      <c r="AQ18727" s="19"/>
      <c r="AR18727" s="19"/>
      <c r="AS18727" s="19"/>
      <c r="AT18727" s="19"/>
      <c r="AU18727" s="19"/>
    </row>
    <row r="18728" spans="3:47">
      <c r="C18728" s="20"/>
      <c r="Z18728" s="20"/>
      <c r="AG18728" s="20"/>
      <c r="AQ18728" s="19"/>
      <c r="AR18728" s="19"/>
      <c r="AS18728" s="19"/>
      <c r="AT18728" s="19"/>
      <c r="AU18728" s="19"/>
    </row>
    <row r="18729" spans="3:47">
      <c r="C18729" s="20"/>
      <c r="Z18729" s="20"/>
      <c r="AG18729" s="20"/>
      <c r="AQ18729" s="19"/>
      <c r="AR18729" s="19"/>
      <c r="AS18729" s="19"/>
      <c r="AT18729" s="19"/>
      <c r="AU18729" s="19"/>
    </row>
    <row r="18730" spans="3:47">
      <c r="C18730" s="20"/>
      <c r="Z18730" s="20"/>
      <c r="AG18730" s="20"/>
      <c r="AQ18730" s="19"/>
      <c r="AR18730" s="19"/>
      <c r="AS18730" s="19"/>
      <c r="AT18730" s="19"/>
      <c r="AU18730" s="19"/>
    </row>
    <row r="18731" spans="3:47">
      <c r="C18731" s="20"/>
      <c r="Z18731" s="20"/>
      <c r="AG18731" s="20"/>
      <c r="AQ18731" s="19"/>
      <c r="AR18731" s="19"/>
      <c r="AS18731" s="19"/>
      <c r="AT18731" s="19"/>
      <c r="AU18731" s="19"/>
    </row>
    <row r="18732" spans="3:47">
      <c r="C18732" s="20"/>
      <c r="Z18732" s="20"/>
      <c r="AG18732" s="20"/>
      <c r="AQ18732" s="19"/>
      <c r="AR18732" s="19"/>
      <c r="AS18732" s="19"/>
      <c r="AT18732" s="19"/>
      <c r="AU18732" s="19"/>
    </row>
    <row r="18733" spans="3:47">
      <c r="C18733" s="20"/>
      <c r="Z18733" s="20"/>
      <c r="AG18733" s="20"/>
      <c r="AQ18733" s="19"/>
      <c r="AR18733" s="19"/>
      <c r="AS18733" s="19"/>
      <c r="AT18733" s="19"/>
      <c r="AU18733" s="19"/>
    </row>
    <row r="18734" spans="3:47">
      <c r="C18734" s="20"/>
      <c r="Z18734" s="20"/>
      <c r="AG18734" s="20"/>
      <c r="AQ18734" s="19"/>
      <c r="AR18734" s="19"/>
      <c r="AS18734" s="19"/>
      <c r="AT18734" s="19"/>
      <c r="AU18734" s="19"/>
    </row>
    <row r="18735" spans="3:47">
      <c r="C18735" s="20"/>
      <c r="Z18735" s="20"/>
      <c r="AG18735" s="20"/>
      <c r="AQ18735" s="19"/>
      <c r="AR18735" s="19"/>
      <c r="AS18735" s="19"/>
      <c r="AT18735" s="19"/>
      <c r="AU18735" s="19"/>
    </row>
    <row r="18736" spans="3:47">
      <c r="C18736" s="20"/>
      <c r="Z18736" s="20"/>
      <c r="AG18736" s="20"/>
      <c r="AQ18736" s="19"/>
      <c r="AR18736" s="19"/>
      <c r="AS18736" s="19"/>
      <c r="AT18736" s="19"/>
      <c r="AU18736" s="19"/>
    </row>
    <row r="18737" spans="3:47">
      <c r="C18737" s="20"/>
      <c r="Z18737" s="20"/>
      <c r="AG18737" s="20"/>
      <c r="AQ18737" s="19"/>
      <c r="AR18737" s="19"/>
      <c r="AS18737" s="19"/>
      <c r="AT18737" s="19"/>
      <c r="AU18737" s="19"/>
    </row>
    <row r="18738" spans="3:47">
      <c r="C18738" s="20"/>
      <c r="Z18738" s="20"/>
      <c r="AG18738" s="20"/>
      <c r="AQ18738" s="19"/>
      <c r="AR18738" s="19"/>
      <c r="AS18738" s="19"/>
      <c r="AT18738" s="19"/>
      <c r="AU18738" s="19"/>
    </row>
    <row r="18739" spans="3:47">
      <c r="C18739" s="20"/>
      <c r="Z18739" s="20"/>
      <c r="AG18739" s="20"/>
      <c r="AQ18739" s="19"/>
      <c r="AR18739" s="19"/>
      <c r="AS18739" s="19"/>
      <c r="AT18739" s="19"/>
      <c r="AU18739" s="19"/>
    </row>
    <row r="18740" spans="3:47">
      <c r="C18740" s="20"/>
      <c r="Z18740" s="20"/>
      <c r="AG18740" s="20"/>
      <c r="AQ18740" s="19"/>
      <c r="AR18740" s="19"/>
      <c r="AS18740" s="19"/>
      <c r="AT18740" s="19"/>
      <c r="AU18740" s="19"/>
    </row>
    <row r="18741" spans="3:47">
      <c r="C18741" s="20"/>
      <c r="Z18741" s="20"/>
      <c r="AG18741" s="20"/>
      <c r="AQ18741" s="19"/>
      <c r="AR18741" s="19"/>
      <c r="AS18741" s="19"/>
      <c r="AT18741" s="19"/>
      <c r="AU18741" s="19"/>
    </row>
    <row r="18742" spans="3:47">
      <c r="C18742" s="20"/>
      <c r="Z18742" s="20"/>
      <c r="AG18742" s="20"/>
      <c r="AQ18742" s="19"/>
      <c r="AR18742" s="19"/>
      <c r="AS18742" s="19"/>
      <c r="AT18742" s="19"/>
      <c r="AU18742" s="19"/>
    </row>
    <row r="18743" spans="3:47">
      <c r="C18743" s="20"/>
      <c r="Z18743" s="20"/>
      <c r="AG18743" s="20"/>
      <c r="AQ18743" s="19"/>
      <c r="AR18743" s="19"/>
      <c r="AS18743" s="19"/>
      <c r="AT18743" s="19"/>
      <c r="AU18743" s="19"/>
    </row>
    <row r="18744" spans="3:47">
      <c r="C18744" s="20"/>
      <c r="Z18744" s="20"/>
      <c r="AG18744" s="20"/>
      <c r="AQ18744" s="19"/>
      <c r="AR18744" s="19"/>
      <c r="AS18744" s="19"/>
      <c r="AT18744" s="19"/>
      <c r="AU18744" s="19"/>
    </row>
    <row r="18745" spans="3:47">
      <c r="C18745" s="20"/>
      <c r="Z18745" s="20"/>
      <c r="AG18745" s="20"/>
      <c r="AQ18745" s="19"/>
      <c r="AR18745" s="19"/>
      <c r="AS18745" s="19"/>
      <c r="AT18745" s="19"/>
      <c r="AU18745" s="19"/>
    </row>
    <row r="18746" spans="3:47">
      <c r="C18746" s="20"/>
      <c r="Z18746" s="20"/>
      <c r="AG18746" s="20"/>
      <c r="AQ18746" s="19"/>
      <c r="AR18746" s="19"/>
      <c r="AS18746" s="19"/>
      <c r="AT18746" s="19"/>
      <c r="AU18746" s="19"/>
    </row>
    <row r="18747" spans="3:47">
      <c r="C18747" s="20"/>
      <c r="Z18747" s="20"/>
      <c r="AG18747" s="20"/>
      <c r="AQ18747" s="19"/>
      <c r="AR18747" s="19"/>
      <c r="AS18747" s="19"/>
      <c r="AT18747" s="19"/>
      <c r="AU18747" s="19"/>
    </row>
    <row r="18748" spans="3:47">
      <c r="C18748" s="20"/>
      <c r="Z18748" s="20"/>
      <c r="AG18748" s="20"/>
      <c r="AQ18748" s="19"/>
      <c r="AR18748" s="19"/>
      <c r="AS18748" s="19"/>
      <c r="AT18748" s="19"/>
      <c r="AU18748" s="19"/>
    </row>
    <row r="18749" spans="3:47">
      <c r="C18749" s="20"/>
      <c r="Z18749" s="20"/>
      <c r="AG18749" s="20"/>
      <c r="AQ18749" s="19"/>
      <c r="AR18749" s="19"/>
      <c r="AS18749" s="19"/>
      <c r="AT18749" s="19"/>
      <c r="AU18749" s="19"/>
    </row>
    <row r="18750" spans="3:47">
      <c r="C18750" s="20"/>
      <c r="Z18750" s="20"/>
      <c r="AG18750" s="20"/>
      <c r="AQ18750" s="19"/>
      <c r="AR18750" s="19"/>
      <c r="AS18750" s="19"/>
      <c r="AT18750" s="19"/>
      <c r="AU18750" s="19"/>
    </row>
    <row r="18751" spans="3:47">
      <c r="C18751" s="20"/>
      <c r="Z18751" s="20"/>
      <c r="AG18751" s="20"/>
      <c r="AQ18751" s="19"/>
      <c r="AR18751" s="19"/>
      <c r="AS18751" s="19"/>
      <c r="AT18751" s="19"/>
      <c r="AU18751" s="19"/>
    </row>
    <row r="18752" spans="3:47">
      <c r="C18752" s="20"/>
      <c r="Z18752" s="20"/>
      <c r="AG18752" s="20"/>
      <c r="AQ18752" s="19"/>
      <c r="AR18752" s="19"/>
      <c r="AS18752" s="19"/>
      <c r="AT18752" s="19"/>
      <c r="AU18752" s="19"/>
    </row>
    <row r="18753" spans="3:47">
      <c r="C18753" s="20"/>
      <c r="Z18753" s="20"/>
      <c r="AG18753" s="20"/>
      <c r="AQ18753" s="19"/>
      <c r="AR18753" s="19"/>
      <c r="AS18753" s="19"/>
      <c r="AT18753" s="19"/>
      <c r="AU18753" s="19"/>
    </row>
    <row r="18754" spans="3:47">
      <c r="C18754" s="20"/>
      <c r="Z18754" s="20"/>
      <c r="AG18754" s="20"/>
      <c r="AQ18754" s="19"/>
      <c r="AR18754" s="19"/>
      <c r="AS18754" s="19"/>
      <c r="AT18754" s="19"/>
      <c r="AU18754" s="19"/>
    </row>
    <row r="18755" spans="3:47">
      <c r="C18755" s="20"/>
      <c r="Z18755" s="20"/>
      <c r="AG18755" s="20"/>
      <c r="AQ18755" s="19"/>
      <c r="AR18755" s="19"/>
      <c r="AS18755" s="19"/>
      <c r="AT18755" s="19"/>
      <c r="AU18755" s="19"/>
    </row>
    <row r="18756" spans="3:47">
      <c r="C18756" s="20"/>
      <c r="Z18756" s="20"/>
      <c r="AG18756" s="20"/>
      <c r="AQ18756" s="19"/>
      <c r="AR18756" s="19"/>
      <c r="AS18756" s="19"/>
      <c r="AT18756" s="19"/>
      <c r="AU18756" s="19"/>
    </row>
    <row r="18757" spans="3:47">
      <c r="C18757" s="20"/>
      <c r="Z18757" s="20"/>
      <c r="AG18757" s="20"/>
      <c r="AQ18757" s="19"/>
      <c r="AR18757" s="19"/>
      <c r="AS18757" s="19"/>
      <c r="AT18757" s="19"/>
      <c r="AU18757" s="19"/>
    </row>
    <row r="18758" spans="3:47">
      <c r="C18758" s="20"/>
      <c r="Z18758" s="20"/>
      <c r="AG18758" s="20"/>
      <c r="AQ18758" s="19"/>
      <c r="AR18758" s="19"/>
      <c r="AS18758" s="19"/>
      <c r="AT18758" s="19"/>
      <c r="AU18758" s="19"/>
    </row>
    <row r="18759" spans="3:47">
      <c r="C18759" s="20"/>
      <c r="Z18759" s="20"/>
      <c r="AG18759" s="20"/>
      <c r="AQ18759" s="19"/>
      <c r="AR18759" s="19"/>
      <c r="AS18759" s="19"/>
      <c r="AT18759" s="19"/>
      <c r="AU18759" s="19"/>
    </row>
    <row r="18760" spans="3:47">
      <c r="C18760" s="20"/>
      <c r="Z18760" s="20"/>
      <c r="AG18760" s="20"/>
      <c r="AQ18760" s="19"/>
      <c r="AR18760" s="19"/>
      <c r="AS18760" s="19"/>
      <c r="AT18760" s="19"/>
      <c r="AU18760" s="19"/>
    </row>
    <row r="18761" spans="3:47">
      <c r="C18761" s="20"/>
      <c r="Z18761" s="20"/>
      <c r="AG18761" s="20"/>
      <c r="AQ18761" s="19"/>
      <c r="AR18761" s="19"/>
      <c r="AS18761" s="19"/>
      <c r="AT18761" s="19"/>
      <c r="AU18761" s="19"/>
    </row>
    <row r="18762" spans="3:47">
      <c r="C18762" s="20"/>
      <c r="Z18762" s="20"/>
      <c r="AG18762" s="20"/>
      <c r="AQ18762" s="19"/>
      <c r="AR18762" s="19"/>
      <c r="AS18762" s="19"/>
      <c r="AT18762" s="19"/>
      <c r="AU18762" s="19"/>
    </row>
    <row r="18763" spans="3:47">
      <c r="C18763" s="20"/>
      <c r="Z18763" s="20"/>
      <c r="AG18763" s="20"/>
      <c r="AQ18763" s="19"/>
      <c r="AR18763" s="19"/>
      <c r="AS18763" s="19"/>
      <c r="AT18763" s="19"/>
      <c r="AU18763" s="19"/>
    </row>
    <row r="18764" spans="3:47">
      <c r="C18764" s="20"/>
      <c r="Z18764" s="20"/>
      <c r="AG18764" s="20"/>
      <c r="AQ18764" s="19"/>
      <c r="AR18764" s="19"/>
      <c r="AS18764" s="19"/>
      <c r="AT18764" s="19"/>
      <c r="AU18764" s="19"/>
    </row>
    <row r="18765" spans="3:47">
      <c r="C18765" s="20"/>
      <c r="Z18765" s="20"/>
      <c r="AG18765" s="20"/>
      <c r="AQ18765" s="19"/>
      <c r="AR18765" s="19"/>
      <c r="AS18765" s="19"/>
      <c r="AT18765" s="19"/>
      <c r="AU18765" s="19"/>
    </row>
    <row r="18766" spans="3:47">
      <c r="C18766" s="20"/>
      <c r="Z18766" s="20"/>
      <c r="AG18766" s="20"/>
      <c r="AQ18766" s="19"/>
      <c r="AR18766" s="19"/>
      <c r="AS18766" s="19"/>
      <c r="AT18766" s="19"/>
      <c r="AU18766" s="19"/>
    </row>
    <row r="18767" spans="3:47">
      <c r="C18767" s="20"/>
      <c r="Z18767" s="20"/>
      <c r="AG18767" s="20"/>
      <c r="AQ18767" s="19"/>
      <c r="AR18767" s="19"/>
      <c r="AS18767" s="19"/>
      <c r="AT18767" s="19"/>
      <c r="AU18767" s="19"/>
    </row>
    <row r="18768" spans="3:47">
      <c r="C18768" s="20"/>
      <c r="Z18768" s="20"/>
      <c r="AG18768" s="20"/>
      <c r="AQ18768" s="19"/>
      <c r="AR18768" s="19"/>
      <c r="AS18768" s="19"/>
      <c r="AT18768" s="19"/>
      <c r="AU18768" s="19"/>
    </row>
    <row r="18769" spans="3:47">
      <c r="C18769" s="20"/>
      <c r="Z18769" s="20"/>
      <c r="AG18769" s="20"/>
      <c r="AQ18769" s="19"/>
      <c r="AR18769" s="19"/>
      <c r="AS18769" s="19"/>
      <c r="AT18769" s="19"/>
      <c r="AU18769" s="19"/>
    </row>
    <row r="18770" spans="3:47">
      <c r="C18770" s="20"/>
      <c r="Z18770" s="20"/>
      <c r="AG18770" s="20"/>
      <c r="AQ18770" s="19"/>
      <c r="AR18770" s="19"/>
      <c r="AS18770" s="19"/>
      <c r="AT18770" s="19"/>
      <c r="AU18770" s="19"/>
    </row>
    <row r="18771" spans="3:47">
      <c r="C18771" s="20"/>
      <c r="Z18771" s="20"/>
      <c r="AG18771" s="20"/>
      <c r="AQ18771" s="19"/>
      <c r="AR18771" s="19"/>
      <c r="AS18771" s="19"/>
      <c r="AT18771" s="19"/>
      <c r="AU18771" s="19"/>
    </row>
    <row r="18772" spans="3:47">
      <c r="C18772" s="20"/>
      <c r="Z18772" s="20"/>
      <c r="AG18772" s="20"/>
      <c r="AQ18772" s="19"/>
      <c r="AR18772" s="19"/>
      <c r="AS18772" s="19"/>
      <c r="AT18772" s="19"/>
      <c r="AU18772" s="19"/>
    </row>
    <row r="18773" spans="3:47">
      <c r="C18773" s="20"/>
      <c r="Z18773" s="20"/>
      <c r="AG18773" s="20"/>
      <c r="AQ18773" s="19"/>
      <c r="AR18773" s="19"/>
      <c r="AS18773" s="19"/>
      <c r="AT18773" s="19"/>
      <c r="AU18773" s="19"/>
    </row>
    <row r="18774" spans="3:47">
      <c r="C18774" s="20"/>
      <c r="Z18774" s="20"/>
      <c r="AG18774" s="20"/>
      <c r="AQ18774" s="19"/>
      <c r="AR18774" s="19"/>
      <c r="AS18774" s="19"/>
      <c r="AT18774" s="19"/>
      <c r="AU18774" s="19"/>
    </row>
    <row r="18775" spans="3:47">
      <c r="C18775" s="20"/>
      <c r="Z18775" s="20"/>
      <c r="AG18775" s="20"/>
      <c r="AQ18775" s="19"/>
      <c r="AR18775" s="19"/>
      <c r="AS18775" s="19"/>
      <c r="AT18775" s="19"/>
      <c r="AU18775" s="19"/>
    </row>
    <row r="18776" spans="3:47">
      <c r="C18776" s="20"/>
      <c r="Z18776" s="20"/>
      <c r="AG18776" s="20"/>
      <c r="AQ18776" s="19"/>
      <c r="AR18776" s="19"/>
      <c r="AS18776" s="19"/>
      <c r="AT18776" s="19"/>
      <c r="AU18776" s="19"/>
    </row>
    <row r="18777" spans="3:47">
      <c r="C18777" s="20"/>
      <c r="Z18777" s="20"/>
      <c r="AG18777" s="20"/>
      <c r="AQ18777" s="19"/>
      <c r="AR18777" s="19"/>
      <c r="AS18777" s="19"/>
      <c r="AT18777" s="19"/>
      <c r="AU18777" s="19"/>
    </row>
    <row r="18778" spans="3:47">
      <c r="C18778" s="20"/>
      <c r="Z18778" s="20"/>
      <c r="AG18778" s="20"/>
      <c r="AQ18778" s="19"/>
      <c r="AR18778" s="19"/>
      <c r="AS18778" s="19"/>
      <c r="AT18778" s="19"/>
      <c r="AU18778" s="19"/>
    </row>
    <row r="18779" spans="3:47">
      <c r="C18779" s="20"/>
      <c r="Z18779" s="20"/>
      <c r="AG18779" s="20"/>
      <c r="AQ18779" s="19"/>
      <c r="AR18779" s="19"/>
      <c r="AS18779" s="19"/>
      <c r="AT18779" s="19"/>
      <c r="AU18779" s="19"/>
    </row>
    <row r="18780" spans="3:47">
      <c r="C18780" s="20"/>
      <c r="Z18780" s="20"/>
      <c r="AG18780" s="20"/>
      <c r="AQ18780" s="19"/>
      <c r="AR18780" s="19"/>
      <c r="AS18780" s="19"/>
      <c r="AT18780" s="19"/>
      <c r="AU18780" s="19"/>
    </row>
    <row r="18781" spans="3:47">
      <c r="C18781" s="20"/>
      <c r="Z18781" s="20"/>
      <c r="AG18781" s="20"/>
      <c r="AQ18781" s="19"/>
      <c r="AR18781" s="19"/>
      <c r="AS18781" s="19"/>
      <c r="AT18781" s="19"/>
      <c r="AU18781" s="19"/>
    </row>
    <row r="18782" spans="3:47">
      <c r="C18782" s="20"/>
      <c r="Z18782" s="20"/>
      <c r="AG18782" s="20"/>
      <c r="AQ18782" s="19"/>
      <c r="AR18782" s="19"/>
      <c r="AS18782" s="19"/>
      <c r="AT18782" s="19"/>
      <c r="AU18782" s="19"/>
    </row>
    <row r="18783" spans="3:47">
      <c r="C18783" s="20"/>
      <c r="Z18783" s="20"/>
      <c r="AG18783" s="20"/>
      <c r="AQ18783" s="19"/>
      <c r="AR18783" s="19"/>
      <c r="AS18783" s="19"/>
      <c r="AT18783" s="19"/>
      <c r="AU18783" s="19"/>
    </row>
    <row r="18784" spans="3:47">
      <c r="C18784" s="20"/>
      <c r="Z18784" s="20"/>
      <c r="AG18784" s="20"/>
      <c r="AQ18784" s="19"/>
      <c r="AR18784" s="19"/>
      <c r="AS18784" s="19"/>
      <c r="AT18784" s="19"/>
      <c r="AU18784" s="19"/>
    </row>
    <row r="18785" spans="3:47">
      <c r="C18785" s="20"/>
      <c r="Z18785" s="20"/>
      <c r="AG18785" s="20"/>
      <c r="AQ18785" s="19"/>
      <c r="AR18785" s="19"/>
      <c r="AS18785" s="19"/>
      <c r="AT18785" s="19"/>
      <c r="AU18785" s="19"/>
    </row>
    <row r="18786" spans="3:47">
      <c r="C18786" s="20"/>
      <c r="Z18786" s="20"/>
      <c r="AG18786" s="20"/>
      <c r="AQ18786" s="19"/>
      <c r="AR18786" s="19"/>
      <c r="AS18786" s="19"/>
      <c r="AT18786" s="19"/>
      <c r="AU18786" s="19"/>
    </row>
    <row r="18787" spans="3:47">
      <c r="C18787" s="20"/>
      <c r="Z18787" s="20"/>
      <c r="AG18787" s="20"/>
      <c r="AQ18787" s="19"/>
      <c r="AR18787" s="19"/>
      <c r="AS18787" s="19"/>
      <c r="AT18787" s="19"/>
      <c r="AU18787" s="19"/>
    </row>
    <row r="18788" spans="3:47">
      <c r="C18788" s="20"/>
      <c r="Z18788" s="20"/>
      <c r="AG18788" s="20"/>
      <c r="AQ18788" s="19"/>
      <c r="AR18788" s="19"/>
      <c r="AS18788" s="19"/>
      <c r="AT18788" s="19"/>
      <c r="AU18788" s="19"/>
    </row>
    <row r="18789" spans="3:47">
      <c r="C18789" s="20"/>
      <c r="Z18789" s="20"/>
      <c r="AG18789" s="20"/>
      <c r="AQ18789" s="19"/>
      <c r="AR18789" s="19"/>
      <c r="AS18789" s="19"/>
      <c r="AT18789" s="19"/>
      <c r="AU18789" s="19"/>
    </row>
    <row r="18790" spans="3:47">
      <c r="C18790" s="20"/>
      <c r="Z18790" s="20"/>
      <c r="AG18790" s="20"/>
      <c r="AQ18790" s="19"/>
      <c r="AR18790" s="19"/>
      <c r="AS18790" s="19"/>
      <c r="AT18790" s="19"/>
      <c r="AU18790" s="19"/>
    </row>
    <row r="18791" spans="3:47">
      <c r="C18791" s="20"/>
      <c r="Z18791" s="20"/>
      <c r="AG18791" s="20"/>
      <c r="AQ18791" s="19"/>
      <c r="AR18791" s="19"/>
      <c r="AS18791" s="19"/>
      <c r="AT18791" s="19"/>
      <c r="AU18791" s="19"/>
    </row>
    <row r="18792" spans="3:47">
      <c r="C18792" s="20"/>
      <c r="Z18792" s="20"/>
      <c r="AG18792" s="20"/>
      <c r="AQ18792" s="19"/>
      <c r="AR18792" s="19"/>
      <c r="AS18792" s="19"/>
      <c r="AT18792" s="19"/>
      <c r="AU18792" s="19"/>
    </row>
    <row r="18793" spans="3:47">
      <c r="C18793" s="20"/>
      <c r="Z18793" s="20"/>
      <c r="AG18793" s="20"/>
      <c r="AQ18793" s="19"/>
      <c r="AR18793" s="19"/>
      <c r="AS18793" s="19"/>
      <c r="AT18793" s="19"/>
      <c r="AU18793" s="19"/>
    </row>
    <row r="18794" spans="3:47">
      <c r="C18794" s="20"/>
      <c r="Z18794" s="20"/>
      <c r="AG18794" s="20"/>
      <c r="AQ18794" s="19"/>
      <c r="AR18794" s="19"/>
      <c r="AS18794" s="19"/>
      <c r="AT18794" s="19"/>
      <c r="AU18794" s="19"/>
    </row>
    <row r="18795" spans="3:47">
      <c r="C18795" s="20"/>
      <c r="Z18795" s="20"/>
      <c r="AG18795" s="20"/>
      <c r="AQ18795" s="19"/>
      <c r="AR18795" s="19"/>
      <c r="AS18795" s="19"/>
      <c r="AT18795" s="19"/>
      <c r="AU18795" s="19"/>
    </row>
    <row r="18796" spans="3:47">
      <c r="C18796" s="20"/>
      <c r="Z18796" s="20"/>
      <c r="AG18796" s="20"/>
      <c r="AQ18796" s="19"/>
      <c r="AR18796" s="19"/>
      <c r="AS18796" s="19"/>
      <c r="AT18796" s="19"/>
      <c r="AU18796" s="19"/>
    </row>
    <row r="18797" spans="3:47">
      <c r="C18797" s="20"/>
      <c r="Z18797" s="20"/>
      <c r="AG18797" s="20"/>
      <c r="AQ18797" s="19"/>
      <c r="AR18797" s="19"/>
      <c r="AS18797" s="19"/>
      <c r="AT18797" s="19"/>
      <c r="AU18797" s="19"/>
    </row>
    <row r="18798" spans="3:47">
      <c r="C18798" s="20"/>
      <c r="Z18798" s="20"/>
      <c r="AG18798" s="20"/>
      <c r="AQ18798" s="19"/>
      <c r="AR18798" s="19"/>
      <c r="AS18798" s="19"/>
      <c r="AT18798" s="19"/>
      <c r="AU18798" s="19"/>
    </row>
    <row r="18799" spans="3:47">
      <c r="C18799" s="20"/>
      <c r="Z18799" s="20"/>
      <c r="AG18799" s="20"/>
      <c r="AQ18799" s="19"/>
      <c r="AR18799" s="19"/>
      <c r="AS18799" s="19"/>
      <c r="AT18799" s="19"/>
      <c r="AU18799" s="19"/>
    </row>
    <row r="18800" spans="3:47">
      <c r="C18800" s="20"/>
      <c r="Z18800" s="20"/>
      <c r="AG18800" s="20"/>
      <c r="AQ18800" s="19"/>
      <c r="AR18800" s="19"/>
      <c r="AS18800" s="19"/>
      <c r="AT18800" s="19"/>
      <c r="AU18800" s="19"/>
    </row>
    <row r="18801" spans="3:47">
      <c r="C18801" s="20"/>
      <c r="Z18801" s="20"/>
      <c r="AG18801" s="20"/>
      <c r="AQ18801" s="19"/>
      <c r="AR18801" s="19"/>
      <c r="AS18801" s="19"/>
      <c r="AT18801" s="19"/>
      <c r="AU18801" s="19"/>
    </row>
    <row r="18802" spans="3:47">
      <c r="C18802" s="20"/>
      <c r="Z18802" s="20"/>
      <c r="AG18802" s="20"/>
      <c r="AQ18802" s="19"/>
      <c r="AR18802" s="19"/>
      <c r="AS18802" s="19"/>
      <c r="AT18802" s="19"/>
      <c r="AU18802" s="19"/>
    </row>
    <row r="18803" spans="3:47">
      <c r="C18803" s="20"/>
      <c r="Z18803" s="20"/>
      <c r="AG18803" s="20"/>
      <c r="AQ18803" s="19"/>
      <c r="AR18803" s="19"/>
      <c r="AS18803" s="19"/>
      <c r="AT18803" s="19"/>
      <c r="AU18803" s="19"/>
    </row>
    <row r="18804" spans="3:47">
      <c r="C18804" s="20"/>
      <c r="Z18804" s="20"/>
      <c r="AG18804" s="20"/>
      <c r="AQ18804" s="19"/>
      <c r="AR18804" s="19"/>
      <c r="AS18804" s="19"/>
      <c r="AT18804" s="19"/>
      <c r="AU18804" s="19"/>
    </row>
    <row r="18805" spans="3:47">
      <c r="C18805" s="20"/>
      <c r="Z18805" s="20"/>
      <c r="AG18805" s="20"/>
      <c r="AQ18805" s="19"/>
      <c r="AR18805" s="19"/>
      <c r="AS18805" s="19"/>
      <c r="AT18805" s="19"/>
      <c r="AU18805" s="19"/>
    </row>
    <row r="18806" spans="3:47">
      <c r="C18806" s="20"/>
      <c r="Z18806" s="20"/>
      <c r="AG18806" s="20"/>
      <c r="AQ18806" s="19"/>
      <c r="AR18806" s="19"/>
      <c r="AS18806" s="19"/>
      <c r="AT18806" s="19"/>
      <c r="AU18806" s="19"/>
    </row>
    <row r="18807" spans="3:47">
      <c r="C18807" s="20"/>
      <c r="Z18807" s="20"/>
      <c r="AG18807" s="20"/>
      <c r="AQ18807" s="19"/>
      <c r="AR18807" s="19"/>
      <c r="AS18807" s="19"/>
      <c r="AT18807" s="19"/>
      <c r="AU18807" s="19"/>
    </row>
    <row r="18808" spans="3:47">
      <c r="C18808" s="20"/>
      <c r="Z18808" s="20"/>
      <c r="AG18808" s="20"/>
      <c r="AQ18808" s="19"/>
      <c r="AR18808" s="19"/>
      <c r="AS18808" s="19"/>
      <c r="AT18808" s="19"/>
      <c r="AU18808" s="19"/>
    </row>
    <row r="18809" spans="3:47">
      <c r="C18809" s="20"/>
      <c r="Z18809" s="20"/>
      <c r="AG18809" s="20"/>
      <c r="AQ18809" s="19"/>
      <c r="AR18809" s="19"/>
      <c r="AS18809" s="19"/>
      <c r="AT18809" s="19"/>
      <c r="AU18809" s="19"/>
    </row>
    <row r="18810" spans="3:47">
      <c r="C18810" s="20"/>
      <c r="Z18810" s="20"/>
      <c r="AG18810" s="20"/>
      <c r="AQ18810" s="19"/>
      <c r="AR18810" s="19"/>
      <c r="AS18810" s="19"/>
      <c r="AT18810" s="19"/>
      <c r="AU18810" s="19"/>
    </row>
    <row r="18811" spans="3:47">
      <c r="C18811" s="20"/>
      <c r="Z18811" s="20"/>
      <c r="AG18811" s="20"/>
      <c r="AQ18811" s="19"/>
      <c r="AR18811" s="19"/>
      <c r="AS18811" s="19"/>
      <c r="AT18811" s="19"/>
      <c r="AU18811" s="19"/>
    </row>
    <row r="18812" spans="3:47">
      <c r="C18812" s="20"/>
      <c r="Z18812" s="20"/>
      <c r="AG18812" s="20"/>
      <c r="AQ18812" s="19"/>
      <c r="AR18812" s="19"/>
      <c r="AS18812" s="19"/>
      <c r="AT18812" s="19"/>
      <c r="AU18812" s="19"/>
    </row>
    <row r="18813" spans="3:47">
      <c r="C18813" s="20"/>
      <c r="Z18813" s="20"/>
      <c r="AG18813" s="20"/>
      <c r="AQ18813" s="19"/>
      <c r="AR18813" s="19"/>
      <c r="AS18813" s="19"/>
      <c r="AT18813" s="19"/>
      <c r="AU18813" s="19"/>
    </row>
    <row r="18814" spans="3:47">
      <c r="C18814" s="20"/>
      <c r="Z18814" s="20"/>
      <c r="AG18814" s="20"/>
      <c r="AQ18814" s="19"/>
      <c r="AR18814" s="19"/>
      <c r="AS18814" s="19"/>
      <c r="AT18814" s="19"/>
      <c r="AU18814" s="19"/>
    </row>
    <row r="18815" spans="3:47">
      <c r="C18815" s="20"/>
      <c r="Z18815" s="20"/>
      <c r="AG18815" s="20"/>
      <c r="AQ18815" s="19"/>
      <c r="AR18815" s="19"/>
      <c r="AS18815" s="19"/>
      <c r="AT18815" s="19"/>
      <c r="AU18815" s="19"/>
    </row>
    <row r="18816" spans="3:47">
      <c r="C18816" s="20"/>
      <c r="Z18816" s="20"/>
      <c r="AG18816" s="20"/>
      <c r="AQ18816" s="19"/>
      <c r="AR18816" s="19"/>
      <c r="AS18816" s="19"/>
      <c r="AT18816" s="19"/>
      <c r="AU18816" s="19"/>
    </row>
    <row r="18817" spans="3:47">
      <c r="C18817" s="20"/>
      <c r="Z18817" s="20"/>
      <c r="AG18817" s="20"/>
      <c r="AQ18817" s="19"/>
      <c r="AR18817" s="19"/>
      <c r="AS18817" s="19"/>
      <c r="AT18817" s="19"/>
      <c r="AU18817" s="19"/>
    </row>
    <row r="18818" spans="3:47">
      <c r="C18818" s="20"/>
      <c r="Z18818" s="20"/>
      <c r="AG18818" s="20"/>
      <c r="AQ18818" s="19"/>
      <c r="AR18818" s="19"/>
      <c r="AS18818" s="19"/>
      <c r="AT18818" s="19"/>
      <c r="AU18818" s="19"/>
    </row>
    <row r="18819" spans="3:47">
      <c r="C18819" s="20"/>
      <c r="Z18819" s="20"/>
      <c r="AG18819" s="20"/>
      <c r="AQ18819" s="19"/>
      <c r="AR18819" s="19"/>
      <c r="AS18819" s="19"/>
      <c r="AT18819" s="19"/>
      <c r="AU18819" s="19"/>
    </row>
    <row r="18820" spans="3:47">
      <c r="C18820" s="20"/>
      <c r="Z18820" s="20"/>
      <c r="AG18820" s="20"/>
      <c r="AQ18820" s="19"/>
      <c r="AR18820" s="19"/>
      <c r="AS18820" s="19"/>
      <c r="AT18820" s="19"/>
      <c r="AU18820" s="19"/>
    </row>
    <row r="18821" spans="3:47">
      <c r="C18821" s="20"/>
      <c r="Z18821" s="20"/>
      <c r="AG18821" s="20"/>
      <c r="AQ18821" s="19"/>
      <c r="AR18821" s="19"/>
      <c r="AS18821" s="19"/>
      <c r="AT18821" s="19"/>
      <c r="AU18821" s="19"/>
    </row>
    <row r="18822" spans="3:47">
      <c r="C18822" s="20"/>
      <c r="Z18822" s="20"/>
      <c r="AG18822" s="20"/>
      <c r="AQ18822" s="19"/>
      <c r="AR18822" s="19"/>
      <c r="AS18822" s="19"/>
      <c r="AT18822" s="19"/>
      <c r="AU18822" s="19"/>
    </row>
    <row r="18823" spans="3:47">
      <c r="C18823" s="20"/>
      <c r="Z18823" s="20"/>
      <c r="AG18823" s="20"/>
      <c r="AQ18823" s="19"/>
      <c r="AR18823" s="19"/>
      <c r="AS18823" s="19"/>
      <c r="AT18823" s="19"/>
      <c r="AU18823" s="19"/>
    </row>
    <row r="18824" spans="3:47">
      <c r="C18824" s="20"/>
      <c r="Z18824" s="20"/>
      <c r="AG18824" s="20"/>
      <c r="AQ18824" s="19"/>
      <c r="AR18824" s="19"/>
      <c r="AS18824" s="19"/>
      <c r="AT18824" s="19"/>
      <c r="AU18824" s="19"/>
    </row>
    <row r="18825" spans="3:47">
      <c r="C18825" s="20"/>
      <c r="Z18825" s="20"/>
      <c r="AG18825" s="20"/>
      <c r="AQ18825" s="19"/>
      <c r="AR18825" s="19"/>
      <c r="AS18825" s="19"/>
      <c r="AT18825" s="19"/>
      <c r="AU18825" s="19"/>
    </row>
    <row r="18826" spans="3:47">
      <c r="C18826" s="20"/>
      <c r="Z18826" s="20"/>
      <c r="AG18826" s="20"/>
      <c r="AQ18826" s="19"/>
      <c r="AR18826" s="19"/>
      <c r="AS18826" s="19"/>
      <c r="AT18826" s="19"/>
      <c r="AU18826" s="19"/>
    </row>
    <row r="18827" spans="3:47">
      <c r="C18827" s="20"/>
      <c r="Z18827" s="20"/>
      <c r="AG18827" s="20"/>
      <c r="AQ18827" s="19"/>
      <c r="AR18827" s="19"/>
      <c r="AS18827" s="19"/>
      <c r="AT18827" s="19"/>
      <c r="AU18827" s="19"/>
    </row>
    <row r="18828" spans="3:47">
      <c r="C18828" s="20"/>
      <c r="Z18828" s="20"/>
      <c r="AG18828" s="20"/>
      <c r="AQ18828" s="19"/>
      <c r="AR18828" s="19"/>
      <c r="AS18828" s="19"/>
      <c r="AT18828" s="19"/>
      <c r="AU18828" s="19"/>
    </row>
    <row r="18829" spans="3:47">
      <c r="C18829" s="20"/>
      <c r="Z18829" s="20"/>
      <c r="AG18829" s="20"/>
      <c r="AQ18829" s="19"/>
      <c r="AR18829" s="19"/>
      <c r="AS18829" s="19"/>
      <c r="AT18829" s="19"/>
      <c r="AU18829" s="19"/>
    </row>
    <row r="18830" spans="3:47">
      <c r="C18830" s="20"/>
      <c r="Z18830" s="20"/>
      <c r="AG18830" s="20"/>
      <c r="AQ18830" s="19"/>
      <c r="AR18830" s="19"/>
      <c r="AS18830" s="19"/>
      <c r="AT18830" s="19"/>
      <c r="AU18830" s="19"/>
    </row>
    <row r="18831" spans="3:47">
      <c r="C18831" s="20"/>
      <c r="Z18831" s="20"/>
      <c r="AG18831" s="20"/>
      <c r="AQ18831" s="19"/>
      <c r="AR18831" s="19"/>
      <c r="AS18831" s="19"/>
      <c r="AT18831" s="19"/>
      <c r="AU18831" s="19"/>
    </row>
    <row r="18832" spans="3:47">
      <c r="C18832" s="20"/>
      <c r="Z18832" s="20"/>
      <c r="AG18832" s="20"/>
      <c r="AQ18832" s="19"/>
      <c r="AR18832" s="19"/>
      <c r="AS18832" s="19"/>
      <c r="AT18832" s="19"/>
      <c r="AU18832" s="19"/>
    </row>
    <row r="18833" spans="3:47">
      <c r="C18833" s="20"/>
      <c r="Z18833" s="20"/>
      <c r="AG18833" s="20"/>
      <c r="AQ18833" s="19"/>
      <c r="AR18833" s="19"/>
      <c r="AS18833" s="19"/>
      <c r="AT18833" s="19"/>
      <c r="AU18833" s="19"/>
    </row>
    <row r="18834" spans="3:47">
      <c r="C18834" s="20"/>
      <c r="Z18834" s="20"/>
      <c r="AG18834" s="20"/>
      <c r="AQ18834" s="19"/>
      <c r="AR18834" s="19"/>
      <c r="AS18834" s="19"/>
      <c r="AT18834" s="19"/>
      <c r="AU18834" s="19"/>
    </row>
    <row r="18835" spans="3:47">
      <c r="C18835" s="20"/>
      <c r="Z18835" s="20"/>
      <c r="AG18835" s="20"/>
      <c r="AQ18835" s="19"/>
      <c r="AR18835" s="19"/>
      <c r="AS18835" s="19"/>
      <c r="AT18835" s="19"/>
      <c r="AU18835" s="19"/>
    </row>
    <row r="18836" spans="3:47">
      <c r="C18836" s="20"/>
      <c r="Z18836" s="20"/>
      <c r="AG18836" s="20"/>
      <c r="AQ18836" s="19"/>
      <c r="AR18836" s="19"/>
      <c r="AS18836" s="19"/>
      <c r="AT18836" s="19"/>
      <c r="AU18836" s="19"/>
    </row>
    <row r="18837" spans="3:47">
      <c r="C18837" s="20"/>
      <c r="Z18837" s="20"/>
      <c r="AG18837" s="20"/>
      <c r="AQ18837" s="19"/>
      <c r="AR18837" s="19"/>
      <c r="AS18837" s="19"/>
      <c r="AT18837" s="19"/>
      <c r="AU18837" s="19"/>
    </row>
    <row r="18838" spans="3:47">
      <c r="C18838" s="20"/>
      <c r="Z18838" s="20"/>
      <c r="AG18838" s="20"/>
      <c r="AQ18838" s="19"/>
      <c r="AR18838" s="19"/>
      <c r="AS18838" s="19"/>
      <c r="AT18838" s="19"/>
      <c r="AU18838" s="19"/>
    </row>
    <row r="18839" spans="3:47">
      <c r="C18839" s="20"/>
      <c r="Z18839" s="20"/>
      <c r="AG18839" s="20"/>
      <c r="AQ18839" s="19"/>
      <c r="AR18839" s="19"/>
      <c r="AS18839" s="19"/>
      <c r="AT18839" s="19"/>
      <c r="AU18839" s="19"/>
    </row>
    <row r="18840" spans="3:47">
      <c r="C18840" s="20"/>
      <c r="Z18840" s="20"/>
      <c r="AG18840" s="20"/>
      <c r="AQ18840" s="19"/>
      <c r="AR18840" s="19"/>
      <c r="AS18840" s="19"/>
      <c r="AT18840" s="19"/>
      <c r="AU18840" s="19"/>
    </row>
    <row r="18841" spans="3:47">
      <c r="C18841" s="20"/>
      <c r="Z18841" s="20"/>
      <c r="AG18841" s="20"/>
      <c r="AQ18841" s="19"/>
      <c r="AR18841" s="19"/>
      <c r="AS18841" s="19"/>
      <c r="AT18841" s="19"/>
      <c r="AU18841" s="19"/>
    </row>
    <row r="18842" spans="3:47">
      <c r="C18842" s="20"/>
      <c r="Z18842" s="20"/>
      <c r="AG18842" s="20"/>
      <c r="AQ18842" s="19"/>
      <c r="AR18842" s="19"/>
      <c r="AS18842" s="19"/>
      <c r="AT18842" s="19"/>
      <c r="AU18842" s="19"/>
    </row>
    <row r="18843" spans="3:47">
      <c r="C18843" s="20"/>
      <c r="Z18843" s="20"/>
      <c r="AG18843" s="20"/>
      <c r="AQ18843" s="19"/>
      <c r="AR18843" s="19"/>
      <c r="AS18843" s="19"/>
      <c r="AT18843" s="19"/>
      <c r="AU18843" s="19"/>
    </row>
    <row r="18844" spans="3:47">
      <c r="C18844" s="20"/>
      <c r="Z18844" s="20"/>
      <c r="AG18844" s="20"/>
      <c r="AQ18844" s="19"/>
      <c r="AR18844" s="19"/>
      <c r="AS18844" s="19"/>
      <c r="AT18844" s="19"/>
      <c r="AU18844" s="19"/>
    </row>
    <row r="18845" spans="3:47">
      <c r="C18845" s="20"/>
      <c r="Z18845" s="20"/>
      <c r="AG18845" s="20"/>
      <c r="AQ18845" s="19"/>
      <c r="AR18845" s="19"/>
      <c r="AS18845" s="19"/>
      <c r="AT18845" s="19"/>
      <c r="AU18845" s="19"/>
    </row>
    <row r="18846" spans="3:47">
      <c r="C18846" s="20"/>
      <c r="Z18846" s="20"/>
      <c r="AG18846" s="20"/>
      <c r="AQ18846" s="19"/>
      <c r="AR18846" s="19"/>
      <c r="AS18846" s="19"/>
      <c r="AT18846" s="19"/>
      <c r="AU18846" s="19"/>
    </row>
    <row r="18847" spans="3:47">
      <c r="C18847" s="20"/>
      <c r="Z18847" s="20"/>
      <c r="AG18847" s="20"/>
      <c r="AQ18847" s="19"/>
      <c r="AR18847" s="19"/>
      <c r="AS18847" s="19"/>
      <c r="AT18847" s="19"/>
      <c r="AU18847" s="19"/>
    </row>
    <row r="18848" spans="3:47">
      <c r="C18848" s="20"/>
      <c r="Z18848" s="20"/>
      <c r="AG18848" s="20"/>
      <c r="AQ18848" s="19"/>
      <c r="AR18848" s="19"/>
      <c r="AS18848" s="19"/>
      <c r="AT18848" s="19"/>
      <c r="AU18848" s="19"/>
    </row>
    <row r="18849" spans="3:47">
      <c r="C18849" s="20"/>
      <c r="Z18849" s="20"/>
      <c r="AG18849" s="20"/>
      <c r="AQ18849" s="19"/>
      <c r="AR18849" s="19"/>
      <c r="AS18849" s="19"/>
      <c r="AT18849" s="19"/>
      <c r="AU18849" s="19"/>
    </row>
    <row r="18850" spans="3:47">
      <c r="C18850" s="20"/>
      <c r="Z18850" s="20"/>
      <c r="AG18850" s="20"/>
      <c r="AQ18850" s="19"/>
      <c r="AR18850" s="19"/>
      <c r="AS18850" s="19"/>
      <c r="AT18850" s="19"/>
      <c r="AU18850" s="19"/>
    </row>
    <row r="18851" spans="3:47">
      <c r="C18851" s="20"/>
      <c r="Z18851" s="20"/>
      <c r="AG18851" s="20"/>
      <c r="AQ18851" s="19"/>
      <c r="AR18851" s="19"/>
      <c r="AS18851" s="19"/>
      <c r="AT18851" s="19"/>
      <c r="AU18851" s="19"/>
    </row>
    <row r="18852" spans="3:47">
      <c r="C18852" s="20"/>
      <c r="Z18852" s="20"/>
      <c r="AG18852" s="20"/>
      <c r="AQ18852" s="19"/>
      <c r="AR18852" s="19"/>
      <c r="AS18852" s="19"/>
      <c r="AT18852" s="19"/>
      <c r="AU18852" s="19"/>
    </row>
    <row r="18853" spans="3:47">
      <c r="C18853" s="20"/>
      <c r="Z18853" s="20"/>
      <c r="AG18853" s="20"/>
      <c r="AQ18853" s="19"/>
      <c r="AR18853" s="19"/>
      <c r="AS18853" s="19"/>
      <c r="AT18853" s="19"/>
      <c r="AU18853" s="19"/>
    </row>
    <row r="18854" spans="3:47">
      <c r="C18854" s="20"/>
      <c r="Z18854" s="20"/>
      <c r="AG18854" s="20"/>
      <c r="AQ18854" s="19"/>
      <c r="AR18854" s="19"/>
      <c r="AS18854" s="19"/>
      <c r="AT18854" s="19"/>
      <c r="AU18854" s="19"/>
    </row>
    <row r="18855" spans="3:47">
      <c r="C18855" s="20"/>
      <c r="Z18855" s="20"/>
      <c r="AG18855" s="20"/>
      <c r="AQ18855" s="19"/>
      <c r="AR18855" s="19"/>
      <c r="AS18855" s="19"/>
      <c r="AT18855" s="19"/>
      <c r="AU18855" s="19"/>
    </row>
    <row r="18856" spans="3:47">
      <c r="C18856" s="20"/>
      <c r="Z18856" s="20"/>
      <c r="AG18856" s="20"/>
      <c r="AQ18856" s="19"/>
      <c r="AR18856" s="19"/>
      <c r="AS18856" s="19"/>
      <c r="AT18856" s="19"/>
      <c r="AU18856" s="19"/>
    </row>
    <row r="18857" spans="3:47">
      <c r="C18857" s="20"/>
      <c r="Z18857" s="20"/>
      <c r="AG18857" s="20"/>
      <c r="AQ18857" s="19"/>
      <c r="AR18857" s="19"/>
      <c r="AS18857" s="19"/>
      <c r="AT18857" s="19"/>
      <c r="AU18857" s="19"/>
    </row>
    <row r="18858" spans="3:47">
      <c r="C18858" s="20"/>
      <c r="Z18858" s="20"/>
      <c r="AG18858" s="20"/>
      <c r="AQ18858" s="19"/>
      <c r="AR18858" s="19"/>
      <c r="AS18858" s="19"/>
      <c r="AT18858" s="19"/>
      <c r="AU18858" s="19"/>
    </row>
    <row r="18859" spans="3:47">
      <c r="C18859" s="20"/>
      <c r="Z18859" s="20"/>
      <c r="AG18859" s="20"/>
      <c r="AQ18859" s="19"/>
      <c r="AR18859" s="19"/>
      <c r="AS18859" s="19"/>
      <c r="AT18859" s="19"/>
      <c r="AU18859" s="19"/>
    </row>
    <row r="18860" spans="3:47">
      <c r="C18860" s="20"/>
      <c r="Z18860" s="20"/>
      <c r="AG18860" s="20"/>
      <c r="AQ18860" s="19"/>
      <c r="AR18860" s="19"/>
      <c r="AS18860" s="19"/>
      <c r="AT18860" s="19"/>
      <c r="AU18860" s="19"/>
    </row>
    <row r="18861" spans="3:47">
      <c r="C18861" s="20"/>
      <c r="Z18861" s="20"/>
      <c r="AG18861" s="20"/>
      <c r="AQ18861" s="19"/>
      <c r="AR18861" s="19"/>
      <c r="AS18861" s="19"/>
      <c r="AT18861" s="19"/>
      <c r="AU18861" s="19"/>
    </row>
    <row r="18862" spans="3:47">
      <c r="C18862" s="20"/>
      <c r="Z18862" s="20"/>
      <c r="AG18862" s="20"/>
      <c r="AQ18862" s="19"/>
      <c r="AR18862" s="19"/>
      <c r="AS18862" s="19"/>
      <c r="AT18862" s="19"/>
      <c r="AU18862" s="19"/>
    </row>
    <row r="18863" spans="3:47">
      <c r="C18863" s="20"/>
      <c r="Z18863" s="20"/>
      <c r="AG18863" s="20"/>
      <c r="AQ18863" s="19"/>
      <c r="AR18863" s="19"/>
      <c r="AS18863" s="19"/>
      <c r="AT18863" s="19"/>
      <c r="AU18863" s="19"/>
    </row>
    <row r="18864" spans="3:47">
      <c r="C18864" s="20"/>
      <c r="Z18864" s="20"/>
      <c r="AG18864" s="20"/>
      <c r="AQ18864" s="19"/>
      <c r="AR18864" s="19"/>
      <c r="AS18864" s="19"/>
      <c r="AT18864" s="19"/>
      <c r="AU18864" s="19"/>
    </row>
    <row r="18865" spans="3:47">
      <c r="C18865" s="20"/>
      <c r="Z18865" s="20"/>
      <c r="AG18865" s="20"/>
      <c r="AQ18865" s="19"/>
      <c r="AR18865" s="19"/>
      <c r="AS18865" s="19"/>
      <c r="AT18865" s="19"/>
      <c r="AU18865" s="19"/>
    </row>
    <row r="18866" spans="3:47">
      <c r="C18866" s="20"/>
      <c r="Z18866" s="20"/>
      <c r="AG18866" s="20"/>
      <c r="AQ18866" s="19"/>
      <c r="AR18866" s="19"/>
      <c r="AS18866" s="19"/>
      <c r="AT18866" s="19"/>
      <c r="AU18866" s="19"/>
    </row>
    <row r="18867" spans="3:47">
      <c r="C18867" s="20"/>
      <c r="Z18867" s="20"/>
      <c r="AG18867" s="20"/>
      <c r="AQ18867" s="19"/>
      <c r="AR18867" s="19"/>
      <c r="AS18867" s="19"/>
      <c r="AT18867" s="19"/>
      <c r="AU18867" s="19"/>
    </row>
    <row r="18868" spans="3:47">
      <c r="C18868" s="20"/>
      <c r="Z18868" s="20"/>
      <c r="AG18868" s="20"/>
      <c r="AQ18868" s="19"/>
      <c r="AR18868" s="19"/>
      <c r="AS18868" s="19"/>
      <c r="AT18868" s="19"/>
      <c r="AU18868" s="19"/>
    </row>
    <row r="18869" spans="3:47">
      <c r="C18869" s="20"/>
      <c r="Z18869" s="20"/>
      <c r="AG18869" s="20"/>
      <c r="AQ18869" s="19"/>
      <c r="AR18869" s="19"/>
      <c r="AS18869" s="19"/>
      <c r="AT18869" s="19"/>
      <c r="AU18869" s="19"/>
    </row>
    <row r="18870" spans="3:47">
      <c r="C18870" s="20"/>
      <c r="Z18870" s="20"/>
      <c r="AG18870" s="20"/>
      <c r="AQ18870" s="19"/>
      <c r="AR18870" s="19"/>
      <c r="AS18870" s="19"/>
      <c r="AT18870" s="19"/>
      <c r="AU18870" s="19"/>
    </row>
    <row r="18871" spans="3:47">
      <c r="C18871" s="20"/>
      <c r="Z18871" s="20"/>
      <c r="AG18871" s="20"/>
      <c r="AQ18871" s="19"/>
      <c r="AR18871" s="19"/>
      <c r="AS18871" s="19"/>
      <c r="AT18871" s="19"/>
      <c r="AU18871" s="19"/>
    </row>
    <row r="18872" spans="3:47">
      <c r="C18872" s="20"/>
      <c r="Z18872" s="20"/>
      <c r="AG18872" s="20"/>
      <c r="AQ18872" s="19"/>
      <c r="AR18872" s="19"/>
      <c r="AS18872" s="19"/>
      <c r="AT18872" s="19"/>
      <c r="AU18872" s="19"/>
    </row>
    <row r="18873" spans="3:47">
      <c r="C18873" s="20"/>
      <c r="Z18873" s="20"/>
      <c r="AG18873" s="20"/>
      <c r="AQ18873" s="19"/>
      <c r="AR18873" s="19"/>
      <c r="AS18873" s="19"/>
      <c r="AT18873" s="19"/>
      <c r="AU18873" s="19"/>
    </row>
    <row r="18874" spans="3:47">
      <c r="C18874" s="20"/>
      <c r="Z18874" s="20"/>
      <c r="AG18874" s="20"/>
      <c r="AQ18874" s="19"/>
      <c r="AR18874" s="19"/>
      <c r="AS18874" s="19"/>
      <c r="AT18874" s="19"/>
      <c r="AU18874" s="19"/>
    </row>
    <row r="18875" spans="3:47">
      <c r="C18875" s="20"/>
      <c r="Z18875" s="20"/>
      <c r="AG18875" s="20"/>
      <c r="AQ18875" s="19"/>
      <c r="AR18875" s="19"/>
      <c r="AS18875" s="19"/>
      <c r="AT18875" s="19"/>
      <c r="AU18875" s="19"/>
    </row>
    <row r="18876" spans="3:47">
      <c r="C18876" s="20"/>
      <c r="Z18876" s="20"/>
      <c r="AG18876" s="20"/>
      <c r="AQ18876" s="19"/>
      <c r="AR18876" s="19"/>
      <c r="AS18876" s="19"/>
      <c r="AT18876" s="19"/>
      <c r="AU18876" s="19"/>
    </row>
    <row r="18877" spans="3:47">
      <c r="C18877" s="20"/>
      <c r="Z18877" s="20"/>
      <c r="AG18877" s="20"/>
      <c r="AQ18877" s="19"/>
      <c r="AR18877" s="19"/>
      <c r="AS18877" s="19"/>
      <c r="AT18877" s="19"/>
      <c r="AU18877" s="19"/>
    </row>
    <row r="18878" spans="3:47">
      <c r="C18878" s="20"/>
      <c r="Z18878" s="20"/>
      <c r="AG18878" s="20"/>
      <c r="AQ18878" s="19"/>
      <c r="AR18878" s="19"/>
      <c r="AS18878" s="19"/>
      <c r="AT18878" s="19"/>
      <c r="AU18878" s="19"/>
    </row>
    <row r="18879" spans="3:47">
      <c r="C18879" s="20"/>
      <c r="Z18879" s="20"/>
      <c r="AG18879" s="20"/>
      <c r="AQ18879" s="19"/>
      <c r="AR18879" s="19"/>
      <c r="AS18879" s="19"/>
      <c r="AT18879" s="19"/>
      <c r="AU18879" s="19"/>
    </row>
    <row r="18880" spans="3:47">
      <c r="C18880" s="20"/>
      <c r="Z18880" s="20"/>
      <c r="AG18880" s="20"/>
      <c r="AQ18880" s="19"/>
      <c r="AR18880" s="19"/>
      <c r="AS18880" s="19"/>
      <c r="AT18880" s="19"/>
      <c r="AU18880" s="19"/>
    </row>
    <row r="18881" spans="3:47">
      <c r="C18881" s="20"/>
      <c r="Z18881" s="20"/>
      <c r="AG18881" s="20"/>
      <c r="AQ18881" s="19"/>
      <c r="AR18881" s="19"/>
      <c r="AS18881" s="19"/>
      <c r="AT18881" s="19"/>
      <c r="AU18881" s="19"/>
    </row>
    <row r="18882" spans="3:47">
      <c r="C18882" s="20"/>
      <c r="Z18882" s="20"/>
      <c r="AG18882" s="20"/>
      <c r="AQ18882" s="19"/>
      <c r="AR18882" s="19"/>
      <c r="AS18882" s="19"/>
      <c r="AT18882" s="19"/>
      <c r="AU18882" s="19"/>
    </row>
    <row r="18883" spans="3:47">
      <c r="C18883" s="20"/>
      <c r="Z18883" s="20"/>
      <c r="AG18883" s="20"/>
      <c r="AQ18883" s="19"/>
      <c r="AR18883" s="19"/>
      <c r="AS18883" s="19"/>
      <c r="AT18883" s="19"/>
      <c r="AU18883" s="19"/>
    </row>
    <row r="18884" spans="3:47">
      <c r="C18884" s="20"/>
      <c r="Z18884" s="20"/>
      <c r="AG18884" s="20"/>
      <c r="AQ18884" s="19"/>
      <c r="AR18884" s="19"/>
      <c r="AS18884" s="19"/>
      <c r="AT18884" s="19"/>
      <c r="AU18884" s="19"/>
    </row>
    <row r="18885" spans="3:47">
      <c r="C18885" s="20"/>
      <c r="Z18885" s="20"/>
      <c r="AG18885" s="20"/>
      <c r="AQ18885" s="19"/>
      <c r="AR18885" s="19"/>
      <c r="AS18885" s="19"/>
      <c r="AT18885" s="19"/>
      <c r="AU18885" s="19"/>
    </row>
    <row r="18886" spans="3:47">
      <c r="C18886" s="20"/>
      <c r="Z18886" s="20"/>
      <c r="AG18886" s="20"/>
      <c r="AQ18886" s="19"/>
      <c r="AR18886" s="19"/>
      <c r="AS18886" s="19"/>
      <c r="AT18886" s="19"/>
      <c r="AU18886" s="19"/>
    </row>
    <row r="18887" spans="3:47">
      <c r="C18887" s="20"/>
      <c r="Z18887" s="20"/>
      <c r="AG18887" s="20"/>
      <c r="AQ18887" s="19"/>
      <c r="AR18887" s="19"/>
      <c r="AS18887" s="19"/>
      <c r="AT18887" s="19"/>
      <c r="AU18887" s="19"/>
    </row>
    <row r="18888" spans="3:47">
      <c r="C18888" s="20"/>
      <c r="Z18888" s="20"/>
      <c r="AG18888" s="20"/>
      <c r="AQ18888" s="19"/>
      <c r="AR18888" s="19"/>
      <c r="AS18888" s="19"/>
      <c r="AT18888" s="19"/>
      <c r="AU18888" s="19"/>
    </row>
    <row r="18889" spans="3:47">
      <c r="C18889" s="20"/>
      <c r="Z18889" s="20"/>
      <c r="AG18889" s="20"/>
      <c r="AQ18889" s="19"/>
      <c r="AR18889" s="19"/>
      <c r="AS18889" s="19"/>
      <c r="AT18889" s="19"/>
      <c r="AU18889" s="19"/>
    </row>
    <row r="18890" spans="3:47">
      <c r="C18890" s="20"/>
      <c r="Z18890" s="20"/>
      <c r="AG18890" s="20"/>
      <c r="AQ18890" s="19"/>
      <c r="AR18890" s="19"/>
      <c r="AS18890" s="19"/>
      <c r="AT18890" s="19"/>
      <c r="AU18890" s="19"/>
    </row>
    <row r="18891" spans="3:47">
      <c r="C18891" s="20"/>
      <c r="Z18891" s="20"/>
      <c r="AG18891" s="20"/>
      <c r="AQ18891" s="19"/>
      <c r="AR18891" s="19"/>
      <c r="AS18891" s="19"/>
      <c r="AT18891" s="19"/>
      <c r="AU18891" s="19"/>
    </row>
    <row r="18892" spans="3:47">
      <c r="C18892" s="20"/>
      <c r="Z18892" s="20"/>
      <c r="AG18892" s="20"/>
      <c r="AQ18892" s="19"/>
      <c r="AR18892" s="19"/>
      <c r="AS18892" s="19"/>
      <c r="AT18892" s="19"/>
      <c r="AU18892" s="19"/>
    </row>
    <row r="18893" spans="3:47">
      <c r="C18893" s="20"/>
      <c r="Z18893" s="20"/>
      <c r="AG18893" s="20"/>
      <c r="AQ18893" s="19"/>
      <c r="AR18893" s="19"/>
      <c r="AS18893" s="19"/>
      <c r="AT18893" s="19"/>
      <c r="AU18893" s="19"/>
    </row>
    <row r="18894" spans="3:47">
      <c r="C18894" s="20"/>
      <c r="Z18894" s="20"/>
      <c r="AG18894" s="20"/>
      <c r="AQ18894" s="19"/>
      <c r="AR18894" s="19"/>
      <c r="AS18894" s="19"/>
      <c r="AT18894" s="19"/>
      <c r="AU18894" s="19"/>
    </row>
    <row r="18895" spans="3:47">
      <c r="C18895" s="20"/>
      <c r="Z18895" s="20"/>
      <c r="AG18895" s="20"/>
      <c r="AQ18895" s="19"/>
      <c r="AR18895" s="19"/>
      <c r="AS18895" s="19"/>
      <c r="AT18895" s="19"/>
      <c r="AU18895" s="19"/>
    </row>
    <row r="18896" spans="3:47">
      <c r="C18896" s="20"/>
      <c r="Z18896" s="20"/>
      <c r="AG18896" s="20"/>
      <c r="AQ18896" s="19"/>
      <c r="AR18896" s="19"/>
      <c r="AS18896" s="19"/>
      <c r="AT18896" s="19"/>
      <c r="AU18896" s="19"/>
    </row>
    <row r="18897" spans="3:47">
      <c r="C18897" s="20"/>
      <c r="Z18897" s="20"/>
      <c r="AG18897" s="20"/>
      <c r="AQ18897" s="19"/>
      <c r="AR18897" s="19"/>
      <c r="AS18897" s="19"/>
      <c r="AT18897" s="19"/>
      <c r="AU18897" s="19"/>
    </row>
    <row r="18898" spans="3:47">
      <c r="C18898" s="20"/>
      <c r="Z18898" s="20"/>
      <c r="AG18898" s="20"/>
      <c r="AQ18898" s="19"/>
      <c r="AR18898" s="19"/>
      <c r="AS18898" s="19"/>
      <c r="AT18898" s="19"/>
      <c r="AU18898" s="19"/>
    </row>
    <row r="18899" spans="3:47">
      <c r="C18899" s="20"/>
      <c r="Z18899" s="20"/>
      <c r="AG18899" s="20"/>
      <c r="AQ18899" s="19"/>
      <c r="AR18899" s="19"/>
      <c r="AS18899" s="19"/>
      <c r="AT18899" s="19"/>
      <c r="AU18899" s="19"/>
    </row>
    <row r="18900" spans="3:47">
      <c r="C18900" s="20"/>
      <c r="Z18900" s="20"/>
      <c r="AG18900" s="20"/>
      <c r="AQ18900" s="19"/>
      <c r="AR18900" s="19"/>
      <c r="AS18900" s="19"/>
      <c r="AT18900" s="19"/>
      <c r="AU18900" s="19"/>
    </row>
    <row r="18901" spans="3:47">
      <c r="C18901" s="20"/>
      <c r="Z18901" s="20"/>
      <c r="AG18901" s="20"/>
      <c r="AQ18901" s="19"/>
      <c r="AR18901" s="19"/>
      <c r="AS18901" s="19"/>
      <c r="AT18901" s="19"/>
      <c r="AU18901" s="19"/>
    </row>
    <row r="18902" spans="3:47">
      <c r="C18902" s="20"/>
      <c r="Z18902" s="20"/>
      <c r="AG18902" s="20"/>
      <c r="AQ18902" s="19"/>
      <c r="AR18902" s="19"/>
      <c r="AS18902" s="19"/>
      <c r="AT18902" s="19"/>
      <c r="AU18902" s="19"/>
    </row>
    <row r="18903" spans="3:47">
      <c r="C18903" s="20"/>
      <c r="Z18903" s="20"/>
      <c r="AG18903" s="20"/>
      <c r="AQ18903" s="19"/>
      <c r="AR18903" s="19"/>
      <c r="AS18903" s="19"/>
      <c r="AT18903" s="19"/>
      <c r="AU18903" s="19"/>
    </row>
    <row r="18904" spans="3:47">
      <c r="C18904" s="20"/>
      <c r="Z18904" s="20"/>
      <c r="AG18904" s="20"/>
      <c r="AQ18904" s="19"/>
      <c r="AR18904" s="19"/>
      <c r="AS18904" s="19"/>
      <c r="AT18904" s="19"/>
      <c r="AU18904" s="19"/>
    </row>
    <row r="18905" spans="3:47">
      <c r="C18905" s="20"/>
      <c r="Z18905" s="20"/>
      <c r="AG18905" s="20"/>
      <c r="AQ18905" s="19"/>
      <c r="AR18905" s="19"/>
      <c r="AS18905" s="19"/>
      <c r="AT18905" s="19"/>
      <c r="AU18905" s="19"/>
    </row>
    <row r="18906" spans="3:47">
      <c r="C18906" s="20"/>
      <c r="Z18906" s="20"/>
      <c r="AG18906" s="20"/>
      <c r="AQ18906" s="19"/>
      <c r="AR18906" s="19"/>
      <c r="AS18906" s="19"/>
      <c r="AT18906" s="19"/>
      <c r="AU18906" s="19"/>
    </row>
    <row r="18907" spans="3:47">
      <c r="C18907" s="20"/>
      <c r="Z18907" s="20"/>
      <c r="AG18907" s="20"/>
      <c r="AQ18907" s="19"/>
      <c r="AR18907" s="19"/>
      <c r="AS18907" s="19"/>
      <c r="AT18907" s="19"/>
      <c r="AU18907" s="19"/>
    </row>
    <row r="18908" spans="3:47">
      <c r="C18908" s="20"/>
      <c r="Z18908" s="20"/>
      <c r="AG18908" s="20"/>
      <c r="AQ18908" s="19"/>
      <c r="AR18908" s="19"/>
      <c r="AS18908" s="19"/>
      <c r="AT18908" s="19"/>
      <c r="AU18908" s="19"/>
    </row>
    <row r="18909" spans="3:47">
      <c r="C18909" s="20"/>
      <c r="Z18909" s="20"/>
      <c r="AG18909" s="20"/>
      <c r="AQ18909" s="19"/>
      <c r="AR18909" s="19"/>
      <c r="AS18909" s="19"/>
      <c r="AT18909" s="19"/>
      <c r="AU18909" s="19"/>
    </row>
    <row r="18910" spans="3:47">
      <c r="C18910" s="20"/>
      <c r="Z18910" s="20"/>
      <c r="AG18910" s="20"/>
      <c r="AQ18910" s="19"/>
      <c r="AR18910" s="19"/>
      <c r="AS18910" s="19"/>
      <c r="AT18910" s="19"/>
      <c r="AU18910" s="19"/>
    </row>
    <row r="18911" spans="3:47">
      <c r="C18911" s="20"/>
      <c r="Z18911" s="20"/>
      <c r="AG18911" s="20"/>
      <c r="AQ18911" s="19"/>
      <c r="AR18911" s="19"/>
      <c r="AS18911" s="19"/>
      <c r="AT18911" s="19"/>
      <c r="AU18911" s="19"/>
    </row>
    <row r="18912" spans="3:47">
      <c r="C18912" s="20"/>
      <c r="Z18912" s="20"/>
      <c r="AG18912" s="20"/>
      <c r="AQ18912" s="19"/>
      <c r="AR18912" s="19"/>
      <c r="AS18912" s="19"/>
      <c r="AT18912" s="19"/>
      <c r="AU18912" s="19"/>
    </row>
    <row r="18913" spans="3:47">
      <c r="C18913" s="20"/>
      <c r="Z18913" s="20"/>
      <c r="AG18913" s="20"/>
      <c r="AQ18913" s="19"/>
      <c r="AR18913" s="19"/>
      <c r="AS18913" s="19"/>
      <c r="AT18913" s="19"/>
      <c r="AU18913" s="19"/>
    </row>
    <row r="18914" spans="3:47">
      <c r="C18914" s="20"/>
      <c r="Z18914" s="20"/>
      <c r="AG18914" s="20"/>
      <c r="AQ18914" s="19"/>
      <c r="AR18914" s="19"/>
      <c r="AS18914" s="19"/>
      <c r="AT18914" s="19"/>
      <c r="AU18914" s="19"/>
    </row>
    <row r="18915" spans="3:47">
      <c r="C18915" s="20"/>
      <c r="Z18915" s="20"/>
      <c r="AG18915" s="20"/>
      <c r="AQ18915" s="19"/>
      <c r="AR18915" s="19"/>
      <c r="AS18915" s="19"/>
      <c r="AT18915" s="19"/>
      <c r="AU18915" s="19"/>
    </row>
    <row r="18916" spans="3:47">
      <c r="C18916" s="20"/>
      <c r="Z18916" s="20"/>
      <c r="AG18916" s="20"/>
      <c r="AQ18916" s="19"/>
      <c r="AR18916" s="19"/>
      <c r="AS18916" s="19"/>
      <c r="AT18916" s="19"/>
      <c r="AU18916" s="19"/>
    </row>
    <row r="18917" spans="3:47">
      <c r="C18917" s="20"/>
      <c r="Z18917" s="20"/>
      <c r="AG18917" s="20"/>
      <c r="AQ18917" s="19"/>
      <c r="AR18917" s="19"/>
      <c r="AS18917" s="19"/>
      <c r="AT18917" s="19"/>
      <c r="AU18917" s="19"/>
    </row>
    <row r="18918" spans="3:47">
      <c r="C18918" s="20"/>
      <c r="Z18918" s="20"/>
      <c r="AG18918" s="20"/>
      <c r="AQ18918" s="19"/>
      <c r="AR18918" s="19"/>
      <c r="AS18918" s="19"/>
      <c r="AT18918" s="19"/>
      <c r="AU18918" s="19"/>
    </row>
    <row r="18919" spans="3:47">
      <c r="C18919" s="20"/>
      <c r="Z18919" s="20"/>
      <c r="AG18919" s="20"/>
      <c r="AQ18919" s="19"/>
      <c r="AR18919" s="19"/>
      <c r="AS18919" s="19"/>
      <c r="AT18919" s="19"/>
      <c r="AU18919" s="19"/>
    </row>
    <row r="18920" spans="3:47">
      <c r="C18920" s="20"/>
      <c r="Z18920" s="20"/>
      <c r="AG18920" s="20"/>
      <c r="AQ18920" s="19"/>
      <c r="AR18920" s="19"/>
      <c r="AS18920" s="19"/>
      <c r="AT18920" s="19"/>
      <c r="AU18920" s="19"/>
    </row>
    <row r="18921" spans="3:47">
      <c r="C18921" s="20"/>
      <c r="Z18921" s="20"/>
      <c r="AG18921" s="20"/>
      <c r="AQ18921" s="19"/>
      <c r="AR18921" s="19"/>
      <c r="AS18921" s="19"/>
      <c r="AT18921" s="19"/>
      <c r="AU18921" s="19"/>
    </row>
    <row r="18922" spans="3:47">
      <c r="C18922" s="20"/>
      <c r="Z18922" s="20"/>
      <c r="AG18922" s="20"/>
      <c r="AQ18922" s="19"/>
      <c r="AR18922" s="19"/>
      <c r="AS18922" s="19"/>
      <c r="AT18922" s="19"/>
      <c r="AU18922" s="19"/>
    </row>
    <row r="18923" spans="3:47">
      <c r="C18923" s="20"/>
      <c r="Z18923" s="20"/>
      <c r="AG18923" s="20"/>
      <c r="AQ18923" s="19"/>
      <c r="AR18923" s="19"/>
      <c r="AS18923" s="19"/>
      <c r="AT18923" s="19"/>
      <c r="AU18923" s="19"/>
    </row>
    <row r="18924" spans="3:47">
      <c r="C18924" s="20"/>
      <c r="Z18924" s="20"/>
      <c r="AG18924" s="20"/>
      <c r="AQ18924" s="19"/>
      <c r="AR18924" s="19"/>
      <c r="AS18924" s="19"/>
      <c r="AT18924" s="19"/>
      <c r="AU18924" s="19"/>
    </row>
    <row r="18925" spans="3:47">
      <c r="C18925" s="20"/>
      <c r="Z18925" s="20"/>
      <c r="AG18925" s="20"/>
      <c r="AQ18925" s="19"/>
      <c r="AR18925" s="19"/>
      <c r="AS18925" s="19"/>
      <c r="AT18925" s="19"/>
      <c r="AU18925" s="19"/>
    </row>
    <row r="18926" spans="3:47">
      <c r="C18926" s="20"/>
      <c r="Z18926" s="20"/>
      <c r="AG18926" s="20"/>
      <c r="AQ18926" s="19"/>
      <c r="AR18926" s="19"/>
      <c r="AS18926" s="19"/>
      <c r="AT18926" s="19"/>
      <c r="AU18926" s="19"/>
    </row>
    <row r="18927" spans="3:47">
      <c r="C18927" s="20"/>
      <c r="Z18927" s="20"/>
      <c r="AG18927" s="20"/>
      <c r="AQ18927" s="19"/>
      <c r="AR18927" s="19"/>
      <c r="AS18927" s="19"/>
      <c r="AT18927" s="19"/>
      <c r="AU18927" s="19"/>
    </row>
    <row r="18928" spans="3:47">
      <c r="C18928" s="20"/>
      <c r="Z18928" s="20"/>
      <c r="AG18928" s="20"/>
      <c r="AQ18928" s="19"/>
      <c r="AR18928" s="19"/>
      <c r="AS18928" s="19"/>
      <c r="AT18928" s="19"/>
      <c r="AU18928" s="19"/>
    </row>
    <row r="18929" spans="3:47">
      <c r="C18929" s="20"/>
      <c r="Z18929" s="20"/>
      <c r="AG18929" s="20"/>
      <c r="AQ18929" s="19"/>
      <c r="AR18929" s="19"/>
      <c r="AS18929" s="19"/>
      <c r="AT18929" s="19"/>
      <c r="AU18929" s="19"/>
    </row>
    <row r="18930" spans="3:47">
      <c r="C18930" s="20"/>
      <c r="Z18930" s="20"/>
      <c r="AG18930" s="20"/>
      <c r="AQ18930" s="19"/>
      <c r="AR18930" s="19"/>
      <c r="AS18930" s="19"/>
      <c r="AT18930" s="19"/>
      <c r="AU18930" s="19"/>
    </row>
    <row r="18931" spans="3:47">
      <c r="C18931" s="20"/>
      <c r="Z18931" s="20"/>
      <c r="AG18931" s="20"/>
      <c r="AQ18931" s="19"/>
      <c r="AR18931" s="19"/>
      <c r="AS18931" s="19"/>
      <c r="AT18931" s="19"/>
      <c r="AU18931" s="19"/>
    </row>
    <row r="18932" spans="3:47">
      <c r="C18932" s="20"/>
      <c r="Z18932" s="20"/>
      <c r="AG18932" s="20"/>
      <c r="AQ18932" s="19"/>
      <c r="AR18932" s="19"/>
      <c r="AS18932" s="19"/>
      <c r="AT18932" s="19"/>
      <c r="AU18932" s="19"/>
    </row>
    <row r="18933" spans="3:47">
      <c r="C18933" s="20"/>
      <c r="Z18933" s="20"/>
      <c r="AG18933" s="20"/>
      <c r="AQ18933" s="19"/>
      <c r="AR18933" s="19"/>
      <c r="AS18933" s="19"/>
      <c r="AT18933" s="19"/>
      <c r="AU18933" s="19"/>
    </row>
    <row r="18934" spans="3:47">
      <c r="C18934" s="20"/>
      <c r="Z18934" s="20"/>
      <c r="AG18934" s="20"/>
      <c r="AQ18934" s="19"/>
      <c r="AR18934" s="19"/>
      <c r="AS18934" s="19"/>
      <c r="AT18934" s="19"/>
      <c r="AU18934" s="19"/>
    </row>
    <row r="18935" spans="3:47">
      <c r="C18935" s="20"/>
      <c r="Z18935" s="20"/>
      <c r="AG18935" s="20"/>
      <c r="AQ18935" s="19"/>
      <c r="AR18935" s="19"/>
      <c r="AS18935" s="19"/>
      <c r="AT18935" s="19"/>
      <c r="AU18935" s="19"/>
    </row>
    <row r="18936" spans="3:47">
      <c r="C18936" s="20"/>
      <c r="Z18936" s="20"/>
      <c r="AG18936" s="20"/>
      <c r="AQ18936" s="19"/>
      <c r="AR18936" s="19"/>
      <c r="AS18936" s="19"/>
      <c r="AT18936" s="19"/>
      <c r="AU18936" s="19"/>
    </row>
    <row r="18937" spans="3:47">
      <c r="C18937" s="20"/>
      <c r="Z18937" s="20"/>
      <c r="AG18937" s="20"/>
      <c r="AQ18937" s="19"/>
      <c r="AR18937" s="19"/>
      <c r="AS18937" s="19"/>
      <c r="AT18937" s="19"/>
      <c r="AU18937" s="19"/>
    </row>
    <row r="18938" spans="3:47">
      <c r="C18938" s="20"/>
      <c r="Z18938" s="20"/>
      <c r="AG18938" s="20"/>
      <c r="AQ18938" s="19"/>
      <c r="AR18938" s="19"/>
      <c r="AS18938" s="19"/>
      <c r="AT18938" s="19"/>
      <c r="AU18938" s="19"/>
    </row>
    <row r="18939" spans="3:47">
      <c r="C18939" s="20"/>
      <c r="Z18939" s="20"/>
      <c r="AG18939" s="20"/>
      <c r="AQ18939" s="19"/>
      <c r="AR18939" s="19"/>
      <c r="AS18939" s="19"/>
      <c r="AT18939" s="19"/>
      <c r="AU18939" s="19"/>
    </row>
    <row r="18940" spans="3:47">
      <c r="C18940" s="20"/>
      <c r="Z18940" s="20"/>
      <c r="AG18940" s="20"/>
      <c r="AQ18940" s="19"/>
      <c r="AR18940" s="19"/>
      <c r="AS18940" s="19"/>
      <c r="AT18940" s="19"/>
      <c r="AU18940" s="19"/>
    </row>
    <row r="18941" spans="3:47">
      <c r="C18941" s="20"/>
      <c r="Z18941" s="20"/>
      <c r="AG18941" s="20"/>
      <c r="AQ18941" s="19"/>
      <c r="AR18941" s="19"/>
      <c r="AS18941" s="19"/>
      <c r="AT18941" s="19"/>
      <c r="AU18941" s="19"/>
    </row>
    <row r="18942" spans="3:47">
      <c r="C18942" s="20"/>
      <c r="Z18942" s="20"/>
      <c r="AG18942" s="20"/>
      <c r="AQ18942" s="19"/>
      <c r="AR18942" s="19"/>
      <c r="AS18942" s="19"/>
      <c r="AT18942" s="19"/>
      <c r="AU18942" s="19"/>
    </row>
    <row r="18943" spans="3:47">
      <c r="C18943" s="20"/>
      <c r="Z18943" s="20"/>
      <c r="AG18943" s="20"/>
      <c r="AQ18943" s="19"/>
      <c r="AR18943" s="19"/>
      <c r="AS18943" s="19"/>
      <c r="AT18943" s="19"/>
      <c r="AU18943" s="19"/>
    </row>
    <row r="18944" spans="3:47">
      <c r="C18944" s="20"/>
      <c r="Z18944" s="20"/>
      <c r="AG18944" s="20"/>
      <c r="AQ18944" s="19"/>
      <c r="AR18944" s="19"/>
      <c r="AS18944" s="19"/>
      <c r="AT18944" s="19"/>
      <c r="AU18944" s="19"/>
    </row>
    <row r="18945" spans="3:47">
      <c r="C18945" s="20"/>
      <c r="Z18945" s="20"/>
      <c r="AG18945" s="20"/>
      <c r="AQ18945" s="19"/>
      <c r="AR18945" s="19"/>
      <c r="AS18945" s="19"/>
      <c r="AT18945" s="19"/>
      <c r="AU18945" s="19"/>
    </row>
    <row r="18946" spans="3:47">
      <c r="C18946" s="20"/>
      <c r="Z18946" s="20"/>
      <c r="AG18946" s="20"/>
      <c r="AQ18946" s="19"/>
      <c r="AR18946" s="19"/>
      <c r="AS18946" s="19"/>
      <c r="AT18946" s="19"/>
      <c r="AU18946" s="19"/>
    </row>
    <row r="18947" spans="3:47">
      <c r="C18947" s="20"/>
      <c r="Z18947" s="20"/>
      <c r="AG18947" s="20"/>
      <c r="AQ18947" s="19"/>
      <c r="AR18947" s="19"/>
      <c r="AS18947" s="19"/>
      <c r="AT18947" s="19"/>
      <c r="AU18947" s="19"/>
    </row>
    <row r="18948" spans="3:47">
      <c r="C18948" s="20"/>
      <c r="Z18948" s="20"/>
      <c r="AG18948" s="20"/>
      <c r="AQ18948" s="19"/>
      <c r="AR18948" s="19"/>
      <c r="AS18948" s="19"/>
      <c r="AT18948" s="19"/>
      <c r="AU18948" s="19"/>
    </row>
    <row r="18949" spans="3:47">
      <c r="C18949" s="20"/>
      <c r="Z18949" s="20"/>
      <c r="AG18949" s="20"/>
      <c r="AQ18949" s="19"/>
      <c r="AR18949" s="19"/>
      <c r="AS18949" s="19"/>
      <c r="AT18949" s="19"/>
      <c r="AU18949" s="19"/>
    </row>
    <row r="18950" spans="3:47">
      <c r="C18950" s="20"/>
      <c r="Z18950" s="20"/>
      <c r="AG18950" s="20"/>
      <c r="AQ18950" s="19"/>
      <c r="AR18950" s="19"/>
      <c r="AS18950" s="19"/>
      <c r="AT18950" s="19"/>
      <c r="AU18950" s="19"/>
    </row>
    <row r="18951" spans="3:47">
      <c r="C18951" s="20"/>
      <c r="Z18951" s="20"/>
      <c r="AG18951" s="20"/>
      <c r="AQ18951" s="19"/>
      <c r="AR18951" s="19"/>
      <c r="AS18951" s="19"/>
      <c r="AT18951" s="19"/>
      <c r="AU18951" s="19"/>
    </row>
    <row r="18952" spans="3:47">
      <c r="C18952" s="20"/>
      <c r="Z18952" s="20"/>
      <c r="AG18952" s="20"/>
      <c r="AQ18952" s="19"/>
      <c r="AR18952" s="19"/>
      <c r="AS18952" s="19"/>
      <c r="AT18952" s="19"/>
      <c r="AU18952" s="19"/>
    </row>
    <row r="18953" spans="3:47">
      <c r="C18953" s="20"/>
      <c r="Z18953" s="20"/>
      <c r="AG18953" s="20"/>
      <c r="AQ18953" s="19"/>
      <c r="AR18953" s="19"/>
      <c r="AS18953" s="19"/>
      <c r="AT18953" s="19"/>
      <c r="AU18953" s="19"/>
    </row>
    <row r="18954" spans="3:47">
      <c r="C18954" s="20"/>
      <c r="Z18954" s="20"/>
      <c r="AG18954" s="20"/>
      <c r="AQ18954" s="19"/>
      <c r="AR18954" s="19"/>
      <c r="AS18954" s="19"/>
      <c r="AT18954" s="19"/>
      <c r="AU18954" s="19"/>
    </row>
    <row r="18955" spans="3:47">
      <c r="C18955" s="20"/>
      <c r="Z18955" s="20"/>
      <c r="AG18955" s="20"/>
      <c r="AQ18955" s="19"/>
      <c r="AR18955" s="19"/>
      <c r="AS18955" s="19"/>
      <c r="AT18955" s="19"/>
      <c r="AU18955" s="19"/>
    </row>
    <row r="18956" spans="3:47">
      <c r="C18956" s="20"/>
      <c r="Z18956" s="20"/>
      <c r="AG18956" s="20"/>
      <c r="AQ18956" s="19"/>
      <c r="AR18956" s="19"/>
      <c r="AS18956" s="19"/>
      <c r="AT18956" s="19"/>
      <c r="AU18956" s="19"/>
    </row>
    <row r="18957" spans="3:47">
      <c r="C18957" s="20"/>
      <c r="Z18957" s="20"/>
      <c r="AG18957" s="20"/>
      <c r="AQ18957" s="19"/>
      <c r="AR18957" s="19"/>
      <c r="AS18957" s="19"/>
      <c r="AT18957" s="19"/>
      <c r="AU18957" s="19"/>
    </row>
    <row r="18958" spans="3:47">
      <c r="C18958" s="20"/>
      <c r="Z18958" s="20"/>
      <c r="AG18958" s="20"/>
      <c r="AQ18958" s="19"/>
      <c r="AR18958" s="19"/>
      <c r="AS18958" s="19"/>
      <c r="AT18958" s="19"/>
      <c r="AU18958" s="19"/>
    </row>
    <row r="18959" spans="3:47">
      <c r="C18959" s="20"/>
      <c r="Z18959" s="20"/>
      <c r="AG18959" s="20"/>
      <c r="AQ18959" s="19"/>
      <c r="AR18959" s="19"/>
      <c r="AS18959" s="19"/>
      <c r="AT18959" s="19"/>
      <c r="AU18959" s="19"/>
    </row>
    <row r="18960" spans="3:47">
      <c r="C18960" s="20"/>
      <c r="Z18960" s="20"/>
      <c r="AG18960" s="20"/>
      <c r="AQ18960" s="19"/>
      <c r="AR18960" s="19"/>
      <c r="AS18960" s="19"/>
      <c r="AT18960" s="19"/>
      <c r="AU18960" s="19"/>
    </row>
    <row r="18961" spans="3:47">
      <c r="C18961" s="20"/>
      <c r="Z18961" s="20"/>
      <c r="AG18961" s="20"/>
      <c r="AQ18961" s="19"/>
      <c r="AR18961" s="19"/>
      <c r="AS18961" s="19"/>
      <c r="AT18961" s="19"/>
      <c r="AU18961" s="19"/>
    </row>
    <row r="18962" spans="3:47">
      <c r="C18962" s="20"/>
      <c r="Z18962" s="20"/>
      <c r="AG18962" s="20"/>
      <c r="AQ18962" s="19"/>
      <c r="AR18962" s="19"/>
      <c r="AS18962" s="19"/>
      <c r="AT18962" s="19"/>
      <c r="AU18962" s="19"/>
    </row>
    <row r="18963" spans="3:47">
      <c r="C18963" s="20"/>
      <c r="Z18963" s="20"/>
      <c r="AG18963" s="20"/>
      <c r="AQ18963" s="19"/>
      <c r="AR18963" s="19"/>
      <c r="AS18963" s="19"/>
      <c r="AT18963" s="19"/>
      <c r="AU18963" s="19"/>
    </row>
    <row r="18964" spans="3:47">
      <c r="C18964" s="20"/>
      <c r="Z18964" s="20"/>
      <c r="AG18964" s="20"/>
      <c r="AQ18964" s="19"/>
      <c r="AR18964" s="19"/>
      <c r="AS18964" s="19"/>
      <c r="AT18964" s="19"/>
      <c r="AU18964" s="19"/>
    </row>
    <row r="18965" spans="3:47">
      <c r="C18965" s="20"/>
      <c r="Z18965" s="20"/>
      <c r="AG18965" s="20"/>
      <c r="AQ18965" s="19"/>
      <c r="AR18965" s="19"/>
      <c r="AS18965" s="19"/>
      <c r="AT18965" s="19"/>
      <c r="AU18965" s="19"/>
    </row>
    <row r="18966" spans="3:47">
      <c r="C18966" s="20"/>
      <c r="Z18966" s="20"/>
      <c r="AG18966" s="20"/>
      <c r="AQ18966" s="19"/>
      <c r="AR18966" s="19"/>
      <c r="AS18966" s="19"/>
      <c r="AT18966" s="19"/>
      <c r="AU18966" s="19"/>
    </row>
    <row r="18967" spans="3:47">
      <c r="C18967" s="20"/>
      <c r="Z18967" s="20"/>
      <c r="AG18967" s="20"/>
      <c r="AQ18967" s="19"/>
      <c r="AR18967" s="19"/>
      <c r="AS18967" s="19"/>
      <c r="AT18967" s="19"/>
      <c r="AU18967" s="19"/>
    </row>
    <row r="18968" spans="3:47">
      <c r="C18968" s="20"/>
      <c r="Z18968" s="20"/>
      <c r="AG18968" s="20"/>
      <c r="AQ18968" s="19"/>
      <c r="AR18968" s="19"/>
      <c r="AS18968" s="19"/>
      <c r="AT18968" s="19"/>
      <c r="AU18968" s="19"/>
    </row>
    <row r="18969" spans="3:47">
      <c r="C18969" s="20"/>
      <c r="Z18969" s="20"/>
      <c r="AG18969" s="20"/>
      <c r="AQ18969" s="19"/>
      <c r="AR18969" s="19"/>
      <c r="AS18969" s="19"/>
      <c r="AT18969" s="19"/>
      <c r="AU18969" s="19"/>
    </row>
    <row r="18970" spans="3:47">
      <c r="C18970" s="20"/>
      <c r="Z18970" s="20"/>
      <c r="AG18970" s="20"/>
      <c r="AQ18970" s="19"/>
      <c r="AR18970" s="19"/>
      <c r="AS18970" s="19"/>
      <c r="AT18970" s="19"/>
      <c r="AU18970" s="19"/>
    </row>
    <row r="18971" spans="3:47">
      <c r="C18971" s="20"/>
      <c r="Z18971" s="20"/>
      <c r="AG18971" s="20"/>
      <c r="AQ18971" s="19"/>
      <c r="AR18971" s="19"/>
      <c r="AS18971" s="19"/>
      <c r="AT18971" s="19"/>
      <c r="AU18971" s="19"/>
    </row>
    <row r="18972" spans="3:47">
      <c r="C18972" s="20"/>
      <c r="Z18972" s="20"/>
      <c r="AG18972" s="20"/>
      <c r="AQ18972" s="19"/>
      <c r="AR18972" s="19"/>
      <c r="AS18972" s="19"/>
      <c r="AT18972" s="19"/>
      <c r="AU18972" s="19"/>
    </row>
    <row r="18973" spans="3:47">
      <c r="C18973" s="20"/>
      <c r="Z18973" s="20"/>
      <c r="AG18973" s="20"/>
      <c r="AQ18973" s="19"/>
      <c r="AR18973" s="19"/>
      <c r="AS18973" s="19"/>
      <c r="AT18973" s="19"/>
      <c r="AU18973" s="19"/>
    </row>
    <row r="18974" spans="3:47">
      <c r="C18974" s="20"/>
      <c r="Z18974" s="20"/>
      <c r="AG18974" s="20"/>
      <c r="AQ18974" s="19"/>
      <c r="AR18974" s="19"/>
      <c r="AS18974" s="19"/>
      <c r="AT18974" s="19"/>
      <c r="AU18974" s="19"/>
    </row>
    <row r="18975" spans="3:47">
      <c r="C18975" s="20"/>
      <c r="Z18975" s="20"/>
      <c r="AG18975" s="20"/>
      <c r="AQ18975" s="19"/>
      <c r="AR18975" s="19"/>
      <c r="AS18975" s="19"/>
      <c r="AT18975" s="19"/>
      <c r="AU18975" s="19"/>
    </row>
    <row r="18976" spans="3:47">
      <c r="C18976" s="20"/>
      <c r="Z18976" s="20"/>
      <c r="AG18976" s="20"/>
      <c r="AQ18976" s="19"/>
      <c r="AR18976" s="19"/>
      <c r="AS18976" s="19"/>
      <c r="AT18976" s="19"/>
      <c r="AU18976" s="19"/>
    </row>
    <row r="18977" spans="3:47">
      <c r="C18977" s="20"/>
      <c r="Z18977" s="20"/>
      <c r="AG18977" s="20"/>
      <c r="AQ18977" s="19"/>
      <c r="AR18977" s="19"/>
      <c r="AS18977" s="19"/>
      <c r="AT18977" s="19"/>
      <c r="AU18977" s="19"/>
    </row>
    <row r="18978" spans="3:47">
      <c r="C18978" s="20"/>
      <c r="Z18978" s="20"/>
      <c r="AG18978" s="20"/>
      <c r="AQ18978" s="19"/>
      <c r="AR18978" s="19"/>
      <c r="AS18978" s="19"/>
      <c r="AT18978" s="19"/>
      <c r="AU18978" s="19"/>
    </row>
    <row r="18979" spans="3:47">
      <c r="C18979" s="20"/>
      <c r="Z18979" s="20"/>
      <c r="AG18979" s="20"/>
      <c r="AQ18979" s="19"/>
      <c r="AR18979" s="19"/>
      <c r="AS18979" s="19"/>
      <c r="AT18979" s="19"/>
      <c r="AU18979" s="19"/>
    </row>
    <row r="18980" spans="3:47">
      <c r="C18980" s="20"/>
      <c r="Z18980" s="20"/>
      <c r="AG18980" s="20"/>
      <c r="AQ18980" s="19"/>
      <c r="AR18980" s="19"/>
      <c r="AS18980" s="19"/>
      <c r="AT18980" s="19"/>
      <c r="AU18980" s="19"/>
    </row>
    <row r="18981" spans="3:47">
      <c r="C18981" s="20"/>
      <c r="Z18981" s="20"/>
      <c r="AG18981" s="20"/>
      <c r="AQ18981" s="19"/>
      <c r="AR18981" s="19"/>
      <c r="AS18981" s="19"/>
      <c r="AT18981" s="19"/>
      <c r="AU18981" s="19"/>
    </row>
    <row r="18982" spans="3:47">
      <c r="C18982" s="20"/>
      <c r="Z18982" s="20"/>
      <c r="AG18982" s="20"/>
      <c r="AQ18982" s="19"/>
      <c r="AR18982" s="19"/>
      <c r="AS18982" s="19"/>
      <c r="AT18982" s="19"/>
      <c r="AU18982" s="19"/>
    </row>
    <row r="18983" spans="3:47">
      <c r="C18983" s="20"/>
      <c r="Z18983" s="20"/>
      <c r="AG18983" s="20"/>
      <c r="AQ18983" s="19"/>
      <c r="AR18983" s="19"/>
      <c r="AS18983" s="19"/>
      <c r="AT18983" s="19"/>
      <c r="AU18983" s="19"/>
    </row>
    <row r="18984" spans="3:47">
      <c r="C18984" s="20"/>
      <c r="Z18984" s="20"/>
      <c r="AG18984" s="20"/>
      <c r="AQ18984" s="19"/>
      <c r="AR18984" s="19"/>
      <c r="AS18984" s="19"/>
      <c r="AT18984" s="19"/>
      <c r="AU18984" s="19"/>
    </row>
    <row r="18985" spans="3:47">
      <c r="C18985" s="20"/>
      <c r="Z18985" s="20"/>
      <c r="AG18985" s="20"/>
      <c r="AQ18985" s="19"/>
      <c r="AR18985" s="19"/>
      <c r="AS18985" s="19"/>
      <c r="AT18985" s="19"/>
      <c r="AU18985" s="19"/>
    </row>
    <row r="18986" spans="3:47">
      <c r="C18986" s="20"/>
      <c r="Z18986" s="20"/>
      <c r="AG18986" s="20"/>
      <c r="AQ18986" s="19"/>
      <c r="AR18986" s="19"/>
      <c r="AS18986" s="19"/>
      <c r="AT18986" s="19"/>
      <c r="AU18986" s="19"/>
    </row>
    <row r="18987" spans="3:47">
      <c r="C18987" s="20"/>
      <c r="Z18987" s="20"/>
      <c r="AG18987" s="20"/>
      <c r="AQ18987" s="19"/>
      <c r="AR18987" s="19"/>
      <c r="AS18987" s="19"/>
      <c r="AT18987" s="19"/>
      <c r="AU18987" s="19"/>
    </row>
    <row r="18988" spans="3:47">
      <c r="C18988" s="20"/>
      <c r="Z18988" s="20"/>
      <c r="AG18988" s="20"/>
      <c r="AQ18988" s="19"/>
      <c r="AR18988" s="19"/>
      <c r="AS18988" s="19"/>
      <c r="AT18988" s="19"/>
      <c r="AU18988" s="19"/>
    </row>
    <row r="18989" spans="3:47">
      <c r="C18989" s="20"/>
      <c r="Z18989" s="20"/>
      <c r="AG18989" s="20"/>
      <c r="AQ18989" s="19"/>
      <c r="AR18989" s="19"/>
      <c r="AS18989" s="19"/>
      <c r="AT18989" s="19"/>
      <c r="AU18989" s="19"/>
    </row>
    <row r="18990" spans="3:47">
      <c r="C18990" s="20"/>
      <c r="Z18990" s="20"/>
      <c r="AG18990" s="20"/>
      <c r="AQ18990" s="19"/>
      <c r="AR18990" s="19"/>
      <c r="AS18990" s="19"/>
      <c r="AT18990" s="19"/>
      <c r="AU18990" s="19"/>
    </row>
    <row r="18991" spans="3:47">
      <c r="C18991" s="20"/>
      <c r="Z18991" s="20"/>
      <c r="AG18991" s="20"/>
      <c r="AQ18991" s="19"/>
      <c r="AR18991" s="19"/>
      <c r="AS18991" s="19"/>
      <c r="AT18991" s="19"/>
      <c r="AU18991" s="19"/>
    </row>
    <row r="18992" spans="3:47">
      <c r="C18992" s="20"/>
      <c r="Z18992" s="20"/>
      <c r="AG18992" s="20"/>
      <c r="AQ18992" s="19"/>
      <c r="AR18992" s="19"/>
      <c r="AS18992" s="19"/>
      <c r="AT18992" s="19"/>
      <c r="AU18992" s="19"/>
    </row>
    <row r="18993" spans="3:47">
      <c r="C18993" s="20"/>
      <c r="Z18993" s="20"/>
      <c r="AG18993" s="20"/>
      <c r="AQ18993" s="19"/>
      <c r="AR18993" s="19"/>
      <c r="AS18993" s="19"/>
      <c r="AT18993" s="19"/>
      <c r="AU18993" s="19"/>
    </row>
    <row r="18994" spans="3:47">
      <c r="C18994" s="20"/>
      <c r="Z18994" s="20"/>
      <c r="AG18994" s="20"/>
      <c r="AQ18994" s="19"/>
      <c r="AR18994" s="19"/>
      <c r="AS18994" s="19"/>
      <c r="AT18994" s="19"/>
      <c r="AU18994" s="19"/>
    </row>
    <row r="18995" spans="3:47">
      <c r="C18995" s="20"/>
      <c r="Z18995" s="20"/>
      <c r="AG18995" s="20"/>
      <c r="AQ18995" s="19"/>
      <c r="AR18995" s="19"/>
      <c r="AS18995" s="19"/>
      <c r="AT18995" s="19"/>
      <c r="AU18995" s="19"/>
    </row>
    <row r="18996" spans="3:47">
      <c r="C18996" s="20"/>
      <c r="Z18996" s="20"/>
      <c r="AG18996" s="20"/>
      <c r="AQ18996" s="19"/>
      <c r="AR18996" s="19"/>
      <c r="AS18996" s="19"/>
      <c r="AT18996" s="19"/>
      <c r="AU18996" s="19"/>
    </row>
    <row r="18997" spans="3:47">
      <c r="C18997" s="20"/>
      <c r="Z18997" s="20"/>
      <c r="AG18997" s="20"/>
      <c r="AQ18997" s="19"/>
      <c r="AR18997" s="19"/>
      <c r="AS18997" s="19"/>
      <c r="AT18997" s="19"/>
      <c r="AU18997" s="19"/>
    </row>
    <row r="18998" spans="3:47">
      <c r="C18998" s="20"/>
      <c r="Z18998" s="20"/>
      <c r="AG18998" s="20"/>
      <c r="AQ18998" s="19"/>
      <c r="AR18998" s="19"/>
      <c r="AS18998" s="19"/>
      <c r="AT18998" s="19"/>
      <c r="AU18998" s="19"/>
    </row>
    <row r="18999" spans="3:47">
      <c r="C18999" s="20"/>
      <c r="Z18999" s="20"/>
      <c r="AG18999" s="20"/>
      <c r="AQ18999" s="19"/>
      <c r="AR18999" s="19"/>
      <c r="AS18999" s="19"/>
      <c r="AT18999" s="19"/>
      <c r="AU18999" s="19"/>
    </row>
    <row r="19000" spans="3:47">
      <c r="C19000" s="20"/>
      <c r="Z19000" s="20"/>
      <c r="AG19000" s="20"/>
      <c r="AQ19000" s="19"/>
      <c r="AR19000" s="19"/>
      <c r="AS19000" s="19"/>
      <c r="AT19000" s="19"/>
      <c r="AU19000" s="19"/>
    </row>
    <row r="19001" spans="3:47">
      <c r="C19001" s="20"/>
      <c r="Z19001" s="20"/>
      <c r="AG19001" s="20"/>
      <c r="AQ19001" s="19"/>
      <c r="AR19001" s="19"/>
      <c r="AS19001" s="19"/>
      <c r="AT19001" s="19"/>
      <c r="AU19001" s="19"/>
    </row>
    <row r="19002" spans="3:47">
      <c r="C19002" s="20"/>
      <c r="Z19002" s="20"/>
      <c r="AG19002" s="20"/>
      <c r="AQ19002" s="19"/>
      <c r="AR19002" s="19"/>
      <c r="AS19002" s="19"/>
      <c r="AT19002" s="19"/>
      <c r="AU19002" s="19"/>
    </row>
    <row r="19003" spans="3:47">
      <c r="C19003" s="20"/>
      <c r="Z19003" s="20"/>
      <c r="AG19003" s="20"/>
      <c r="AQ19003" s="19"/>
      <c r="AR19003" s="19"/>
      <c r="AS19003" s="19"/>
      <c r="AT19003" s="19"/>
      <c r="AU19003" s="19"/>
    </row>
    <row r="19004" spans="3:47">
      <c r="C19004" s="20"/>
      <c r="Z19004" s="20"/>
      <c r="AG19004" s="20"/>
      <c r="AQ19004" s="19"/>
      <c r="AR19004" s="19"/>
      <c r="AS19004" s="19"/>
      <c r="AT19004" s="19"/>
      <c r="AU19004" s="19"/>
    </row>
    <row r="19005" spans="3:47">
      <c r="C19005" s="20"/>
      <c r="Z19005" s="20"/>
      <c r="AG19005" s="20"/>
      <c r="AQ19005" s="19"/>
      <c r="AR19005" s="19"/>
      <c r="AS19005" s="19"/>
      <c r="AT19005" s="19"/>
      <c r="AU19005" s="19"/>
    </row>
    <row r="19006" spans="3:47">
      <c r="C19006" s="20"/>
      <c r="Z19006" s="20"/>
      <c r="AG19006" s="20"/>
      <c r="AQ19006" s="19"/>
      <c r="AR19006" s="19"/>
      <c r="AS19006" s="19"/>
      <c r="AT19006" s="19"/>
      <c r="AU19006" s="19"/>
    </row>
    <row r="19007" spans="3:47">
      <c r="C19007" s="20"/>
      <c r="Z19007" s="20"/>
      <c r="AG19007" s="20"/>
      <c r="AQ19007" s="19"/>
      <c r="AR19007" s="19"/>
      <c r="AS19007" s="19"/>
      <c r="AT19007" s="19"/>
      <c r="AU19007" s="19"/>
    </row>
    <row r="19008" spans="3:47">
      <c r="C19008" s="20"/>
      <c r="Z19008" s="20"/>
      <c r="AG19008" s="20"/>
      <c r="AQ19008" s="19"/>
      <c r="AR19008" s="19"/>
      <c r="AS19008" s="19"/>
      <c r="AT19008" s="19"/>
      <c r="AU19008" s="19"/>
    </row>
    <row r="19009" spans="3:47">
      <c r="C19009" s="20"/>
      <c r="Z19009" s="20"/>
      <c r="AG19009" s="20"/>
      <c r="AQ19009" s="19"/>
      <c r="AR19009" s="19"/>
      <c r="AS19009" s="19"/>
      <c r="AT19009" s="19"/>
      <c r="AU19009" s="19"/>
    </row>
    <row r="19010" spans="3:47">
      <c r="C19010" s="20"/>
      <c r="Z19010" s="20"/>
      <c r="AG19010" s="20"/>
      <c r="AQ19010" s="19"/>
      <c r="AR19010" s="19"/>
      <c r="AS19010" s="19"/>
      <c r="AT19010" s="19"/>
      <c r="AU19010" s="19"/>
    </row>
    <row r="19011" spans="3:47">
      <c r="C19011" s="20"/>
      <c r="Z19011" s="20"/>
      <c r="AG19011" s="20"/>
      <c r="AQ19011" s="19"/>
      <c r="AR19011" s="19"/>
      <c r="AS19011" s="19"/>
      <c r="AT19011" s="19"/>
      <c r="AU19011" s="19"/>
    </row>
    <row r="19012" spans="3:47">
      <c r="C19012" s="20"/>
      <c r="Z19012" s="20"/>
      <c r="AG19012" s="20"/>
      <c r="AQ19012" s="19"/>
      <c r="AR19012" s="19"/>
      <c r="AS19012" s="19"/>
      <c r="AT19012" s="19"/>
      <c r="AU19012" s="19"/>
    </row>
    <row r="19013" spans="3:47">
      <c r="C19013" s="20"/>
      <c r="Z19013" s="20"/>
      <c r="AG19013" s="20"/>
      <c r="AQ19013" s="19"/>
      <c r="AR19013" s="19"/>
      <c r="AS19013" s="19"/>
      <c r="AT19013" s="19"/>
      <c r="AU19013" s="19"/>
    </row>
    <row r="19014" spans="3:47">
      <c r="C19014" s="20"/>
      <c r="Z19014" s="20"/>
      <c r="AG19014" s="20"/>
      <c r="AQ19014" s="19"/>
      <c r="AR19014" s="19"/>
      <c r="AS19014" s="19"/>
      <c r="AT19014" s="19"/>
      <c r="AU19014" s="19"/>
    </row>
    <row r="19015" spans="3:47">
      <c r="C19015" s="20"/>
      <c r="Z19015" s="20"/>
      <c r="AG19015" s="20"/>
      <c r="AQ19015" s="19"/>
      <c r="AR19015" s="19"/>
      <c r="AS19015" s="19"/>
      <c r="AT19015" s="19"/>
      <c r="AU19015" s="19"/>
    </row>
    <row r="19016" spans="3:47">
      <c r="C19016" s="20"/>
      <c r="Z19016" s="20"/>
      <c r="AG19016" s="20"/>
      <c r="AQ19016" s="19"/>
      <c r="AR19016" s="19"/>
      <c r="AS19016" s="19"/>
      <c r="AT19016" s="19"/>
      <c r="AU19016" s="19"/>
    </row>
    <row r="19017" spans="3:47">
      <c r="C19017" s="20"/>
      <c r="Z19017" s="20"/>
      <c r="AG19017" s="20"/>
      <c r="AQ19017" s="19"/>
      <c r="AR19017" s="19"/>
      <c r="AS19017" s="19"/>
      <c r="AT19017" s="19"/>
      <c r="AU19017" s="19"/>
    </row>
    <row r="19018" spans="3:47">
      <c r="C19018" s="20"/>
      <c r="Z19018" s="20"/>
      <c r="AG19018" s="20"/>
      <c r="AQ19018" s="19"/>
      <c r="AR19018" s="19"/>
      <c r="AS19018" s="19"/>
      <c r="AT19018" s="19"/>
      <c r="AU19018" s="19"/>
    </row>
    <row r="19019" spans="3:47">
      <c r="C19019" s="20"/>
      <c r="Z19019" s="20"/>
      <c r="AG19019" s="20"/>
      <c r="AQ19019" s="19"/>
      <c r="AR19019" s="19"/>
      <c r="AS19019" s="19"/>
      <c r="AT19019" s="19"/>
      <c r="AU19019" s="19"/>
    </row>
    <row r="19020" spans="3:47">
      <c r="C19020" s="20"/>
      <c r="Z19020" s="20"/>
      <c r="AG19020" s="20"/>
      <c r="AQ19020" s="19"/>
      <c r="AR19020" s="19"/>
      <c r="AS19020" s="19"/>
      <c r="AT19020" s="19"/>
      <c r="AU19020" s="19"/>
    </row>
    <row r="19021" spans="3:47">
      <c r="C19021" s="20"/>
      <c r="Z19021" s="20"/>
      <c r="AG19021" s="20"/>
      <c r="AQ19021" s="19"/>
      <c r="AR19021" s="19"/>
      <c r="AS19021" s="19"/>
      <c r="AT19021" s="19"/>
      <c r="AU19021" s="19"/>
    </row>
    <row r="19022" spans="3:47">
      <c r="C19022" s="20"/>
      <c r="Z19022" s="20"/>
      <c r="AG19022" s="20"/>
      <c r="AQ19022" s="19"/>
      <c r="AR19022" s="19"/>
      <c r="AS19022" s="19"/>
      <c r="AT19022" s="19"/>
      <c r="AU19022" s="19"/>
    </row>
    <row r="19023" spans="3:47">
      <c r="C19023" s="20"/>
      <c r="Z19023" s="20"/>
      <c r="AG19023" s="20"/>
      <c r="AQ19023" s="19"/>
      <c r="AR19023" s="19"/>
      <c r="AS19023" s="19"/>
      <c r="AT19023" s="19"/>
      <c r="AU19023" s="19"/>
    </row>
    <row r="19024" spans="3:47">
      <c r="C19024" s="20"/>
      <c r="Z19024" s="20"/>
      <c r="AG19024" s="20"/>
      <c r="AQ19024" s="19"/>
      <c r="AR19024" s="19"/>
      <c r="AS19024" s="19"/>
      <c r="AT19024" s="19"/>
      <c r="AU19024" s="19"/>
    </row>
    <row r="19025" spans="3:47">
      <c r="C19025" s="20"/>
      <c r="Z19025" s="20"/>
      <c r="AG19025" s="20"/>
      <c r="AQ19025" s="19"/>
      <c r="AR19025" s="19"/>
      <c r="AS19025" s="19"/>
      <c r="AT19025" s="19"/>
      <c r="AU19025" s="19"/>
    </row>
    <row r="19026" spans="3:47">
      <c r="C19026" s="20"/>
      <c r="Z19026" s="20"/>
      <c r="AG19026" s="20"/>
      <c r="AQ19026" s="19"/>
      <c r="AR19026" s="19"/>
      <c r="AS19026" s="19"/>
      <c r="AT19026" s="19"/>
      <c r="AU19026" s="19"/>
    </row>
    <row r="19027" spans="3:47">
      <c r="C19027" s="20"/>
      <c r="Z19027" s="20"/>
      <c r="AG19027" s="20"/>
      <c r="AQ19027" s="19"/>
      <c r="AR19027" s="19"/>
      <c r="AS19027" s="19"/>
      <c r="AT19027" s="19"/>
      <c r="AU19027" s="19"/>
    </row>
    <row r="19028" spans="3:47">
      <c r="C19028" s="20"/>
      <c r="Z19028" s="20"/>
      <c r="AG19028" s="20"/>
      <c r="AQ19028" s="19"/>
      <c r="AR19028" s="19"/>
      <c r="AS19028" s="19"/>
      <c r="AT19028" s="19"/>
      <c r="AU19028" s="19"/>
    </row>
    <row r="19029" spans="3:47">
      <c r="C19029" s="20"/>
      <c r="Z19029" s="20"/>
      <c r="AG19029" s="20"/>
      <c r="AQ19029" s="19"/>
      <c r="AR19029" s="19"/>
      <c r="AS19029" s="19"/>
      <c r="AT19029" s="19"/>
      <c r="AU19029" s="19"/>
    </row>
    <row r="19030" spans="3:47">
      <c r="C19030" s="20"/>
      <c r="Z19030" s="20"/>
      <c r="AG19030" s="20"/>
      <c r="AQ19030" s="19"/>
      <c r="AR19030" s="19"/>
      <c r="AS19030" s="19"/>
      <c r="AT19030" s="19"/>
      <c r="AU19030" s="19"/>
    </row>
    <row r="19031" spans="3:47">
      <c r="C19031" s="20"/>
      <c r="Z19031" s="20"/>
      <c r="AG19031" s="20"/>
      <c r="AQ19031" s="19"/>
      <c r="AR19031" s="19"/>
      <c r="AS19031" s="19"/>
      <c r="AT19031" s="19"/>
      <c r="AU19031" s="19"/>
    </row>
    <row r="19032" spans="3:47">
      <c r="C19032" s="20"/>
      <c r="Z19032" s="20"/>
      <c r="AG19032" s="20"/>
      <c r="AQ19032" s="19"/>
      <c r="AR19032" s="19"/>
      <c r="AS19032" s="19"/>
      <c r="AT19032" s="19"/>
      <c r="AU19032" s="19"/>
    </row>
    <row r="19033" spans="3:47">
      <c r="C19033" s="20"/>
      <c r="Z19033" s="20"/>
      <c r="AG19033" s="20"/>
      <c r="AQ19033" s="19"/>
      <c r="AR19033" s="19"/>
      <c r="AS19033" s="19"/>
      <c r="AT19033" s="19"/>
      <c r="AU19033" s="19"/>
    </row>
    <row r="19034" spans="3:47">
      <c r="C19034" s="20"/>
      <c r="Z19034" s="20"/>
      <c r="AG19034" s="20"/>
      <c r="AQ19034" s="19"/>
      <c r="AR19034" s="19"/>
      <c r="AS19034" s="19"/>
      <c r="AT19034" s="19"/>
      <c r="AU19034" s="19"/>
    </row>
    <row r="19035" spans="3:47">
      <c r="C19035" s="20"/>
      <c r="Z19035" s="20"/>
      <c r="AG19035" s="20"/>
      <c r="AQ19035" s="19"/>
      <c r="AR19035" s="19"/>
      <c r="AS19035" s="19"/>
      <c r="AT19035" s="19"/>
      <c r="AU19035" s="19"/>
    </row>
    <row r="19036" spans="3:47">
      <c r="C19036" s="20"/>
      <c r="Z19036" s="20"/>
      <c r="AG19036" s="20"/>
      <c r="AQ19036" s="19"/>
      <c r="AR19036" s="19"/>
      <c r="AS19036" s="19"/>
      <c r="AT19036" s="19"/>
      <c r="AU19036" s="19"/>
    </row>
    <row r="19037" spans="3:47">
      <c r="C19037" s="20"/>
      <c r="Z19037" s="20"/>
      <c r="AG19037" s="20"/>
      <c r="AQ19037" s="19"/>
      <c r="AR19037" s="19"/>
      <c r="AS19037" s="19"/>
      <c r="AT19037" s="19"/>
      <c r="AU19037" s="19"/>
    </row>
    <row r="19038" spans="3:47">
      <c r="C19038" s="20"/>
      <c r="Z19038" s="20"/>
      <c r="AG19038" s="20"/>
      <c r="AQ19038" s="19"/>
      <c r="AR19038" s="19"/>
      <c r="AS19038" s="19"/>
      <c r="AT19038" s="19"/>
      <c r="AU19038" s="19"/>
    </row>
    <row r="19039" spans="3:47">
      <c r="C19039" s="20"/>
      <c r="Z19039" s="20"/>
      <c r="AG19039" s="20"/>
      <c r="AQ19039" s="19"/>
      <c r="AR19039" s="19"/>
      <c r="AS19039" s="19"/>
      <c r="AT19039" s="19"/>
      <c r="AU19039" s="19"/>
    </row>
    <row r="19040" spans="3:47">
      <c r="C19040" s="20"/>
      <c r="Z19040" s="20"/>
      <c r="AG19040" s="20"/>
      <c r="AQ19040" s="19"/>
      <c r="AR19040" s="19"/>
      <c r="AS19040" s="19"/>
      <c r="AT19040" s="19"/>
      <c r="AU19040" s="19"/>
    </row>
    <row r="19041" spans="3:47">
      <c r="C19041" s="20"/>
      <c r="Z19041" s="20"/>
      <c r="AG19041" s="20"/>
      <c r="AQ19041" s="19"/>
      <c r="AR19041" s="19"/>
      <c r="AS19041" s="19"/>
      <c r="AT19041" s="19"/>
      <c r="AU19041" s="19"/>
    </row>
    <row r="19042" spans="3:47">
      <c r="C19042" s="20"/>
      <c r="Z19042" s="20"/>
      <c r="AG19042" s="20"/>
      <c r="AQ19042" s="19"/>
      <c r="AR19042" s="19"/>
      <c r="AS19042" s="19"/>
      <c r="AT19042" s="19"/>
      <c r="AU19042" s="19"/>
    </row>
    <row r="19043" spans="3:47">
      <c r="C19043" s="20"/>
      <c r="Z19043" s="20"/>
      <c r="AG19043" s="20"/>
      <c r="AQ19043" s="19"/>
      <c r="AR19043" s="19"/>
      <c r="AS19043" s="19"/>
      <c r="AT19043" s="19"/>
      <c r="AU19043" s="19"/>
    </row>
    <row r="19044" spans="3:47">
      <c r="C19044" s="20"/>
      <c r="Z19044" s="20"/>
      <c r="AG19044" s="20"/>
      <c r="AQ19044" s="19"/>
      <c r="AR19044" s="19"/>
      <c r="AS19044" s="19"/>
      <c r="AT19044" s="19"/>
      <c r="AU19044" s="19"/>
    </row>
    <row r="19045" spans="3:47">
      <c r="C19045" s="20"/>
      <c r="Z19045" s="20"/>
      <c r="AG19045" s="20"/>
      <c r="AQ19045" s="19"/>
      <c r="AR19045" s="19"/>
      <c r="AS19045" s="19"/>
      <c r="AT19045" s="19"/>
      <c r="AU19045" s="19"/>
    </row>
    <row r="19046" spans="3:47">
      <c r="C19046" s="20"/>
      <c r="Z19046" s="20"/>
      <c r="AG19046" s="20"/>
      <c r="AQ19046" s="19"/>
      <c r="AR19046" s="19"/>
      <c r="AS19046" s="19"/>
      <c r="AT19046" s="19"/>
      <c r="AU19046" s="19"/>
    </row>
    <row r="19047" spans="3:47">
      <c r="C19047" s="20"/>
      <c r="Z19047" s="20"/>
      <c r="AG19047" s="20"/>
      <c r="AQ19047" s="19"/>
      <c r="AR19047" s="19"/>
      <c r="AS19047" s="19"/>
      <c r="AT19047" s="19"/>
      <c r="AU19047" s="19"/>
    </row>
    <row r="19048" spans="3:47">
      <c r="C19048" s="20"/>
      <c r="Z19048" s="20"/>
      <c r="AG19048" s="20"/>
      <c r="AQ19048" s="19"/>
      <c r="AR19048" s="19"/>
      <c r="AS19048" s="19"/>
      <c r="AT19048" s="19"/>
      <c r="AU19048" s="19"/>
    </row>
    <row r="19049" spans="3:47">
      <c r="C19049" s="20"/>
      <c r="Z19049" s="20"/>
      <c r="AG19049" s="20"/>
      <c r="AQ19049" s="19"/>
      <c r="AR19049" s="19"/>
      <c r="AS19049" s="19"/>
      <c r="AT19049" s="19"/>
      <c r="AU19049" s="19"/>
    </row>
    <row r="19050" spans="3:47">
      <c r="C19050" s="20"/>
      <c r="Z19050" s="20"/>
      <c r="AG19050" s="20"/>
      <c r="AQ19050" s="19"/>
      <c r="AR19050" s="19"/>
      <c r="AS19050" s="19"/>
      <c r="AT19050" s="19"/>
      <c r="AU19050" s="19"/>
    </row>
    <row r="19051" spans="3:47">
      <c r="C19051" s="20"/>
      <c r="Z19051" s="20"/>
      <c r="AG19051" s="20"/>
      <c r="AQ19051" s="19"/>
      <c r="AR19051" s="19"/>
      <c r="AS19051" s="19"/>
      <c r="AT19051" s="19"/>
      <c r="AU19051" s="19"/>
    </row>
    <row r="19052" spans="3:47">
      <c r="C19052" s="20"/>
      <c r="Z19052" s="20"/>
      <c r="AG19052" s="20"/>
      <c r="AQ19052" s="19"/>
      <c r="AR19052" s="19"/>
      <c r="AS19052" s="19"/>
      <c r="AT19052" s="19"/>
      <c r="AU19052" s="19"/>
    </row>
    <row r="19053" spans="3:47">
      <c r="C19053" s="20"/>
      <c r="Z19053" s="20"/>
      <c r="AG19053" s="20"/>
      <c r="AQ19053" s="19"/>
      <c r="AR19053" s="19"/>
      <c r="AS19053" s="19"/>
      <c r="AT19053" s="19"/>
      <c r="AU19053" s="19"/>
    </row>
    <row r="19054" spans="3:47">
      <c r="C19054" s="20"/>
      <c r="Z19054" s="20"/>
      <c r="AG19054" s="20"/>
      <c r="AQ19054" s="19"/>
      <c r="AR19054" s="19"/>
      <c r="AS19054" s="19"/>
      <c r="AT19054" s="19"/>
      <c r="AU19054" s="19"/>
    </row>
    <row r="19055" spans="3:47">
      <c r="C19055" s="20"/>
      <c r="Z19055" s="20"/>
      <c r="AG19055" s="20"/>
      <c r="AQ19055" s="19"/>
      <c r="AR19055" s="19"/>
      <c r="AS19055" s="19"/>
      <c r="AT19055" s="19"/>
      <c r="AU19055" s="19"/>
    </row>
    <row r="19056" spans="3:47">
      <c r="C19056" s="20"/>
      <c r="Z19056" s="20"/>
      <c r="AG19056" s="20"/>
      <c r="AQ19056" s="19"/>
      <c r="AR19056" s="19"/>
      <c r="AS19056" s="19"/>
      <c r="AT19056" s="19"/>
      <c r="AU19056" s="19"/>
    </row>
    <row r="19057" spans="3:47">
      <c r="C19057" s="20"/>
      <c r="Z19057" s="20"/>
      <c r="AG19057" s="20"/>
      <c r="AQ19057" s="19"/>
      <c r="AR19057" s="19"/>
      <c r="AS19057" s="19"/>
      <c r="AT19057" s="19"/>
      <c r="AU19057" s="19"/>
    </row>
    <row r="19058" spans="3:47">
      <c r="C19058" s="20"/>
      <c r="Z19058" s="20"/>
      <c r="AG19058" s="20"/>
      <c r="AQ19058" s="19"/>
      <c r="AR19058" s="19"/>
      <c r="AS19058" s="19"/>
      <c r="AT19058" s="19"/>
      <c r="AU19058" s="19"/>
    </row>
    <row r="19059" spans="3:47">
      <c r="C19059" s="20"/>
      <c r="Z19059" s="20"/>
      <c r="AG19059" s="20"/>
      <c r="AQ19059" s="19"/>
      <c r="AR19059" s="19"/>
      <c r="AS19059" s="19"/>
      <c r="AT19059" s="19"/>
      <c r="AU19059" s="19"/>
    </row>
    <row r="19060" spans="3:47">
      <c r="C19060" s="20"/>
      <c r="Z19060" s="20"/>
      <c r="AG19060" s="20"/>
      <c r="AQ19060" s="19"/>
      <c r="AR19060" s="19"/>
      <c r="AS19060" s="19"/>
      <c r="AT19060" s="19"/>
      <c r="AU19060" s="19"/>
    </row>
    <row r="19061" spans="3:47">
      <c r="C19061" s="20"/>
      <c r="Z19061" s="20"/>
      <c r="AG19061" s="20"/>
      <c r="AQ19061" s="19"/>
      <c r="AR19061" s="19"/>
      <c r="AS19061" s="19"/>
      <c r="AT19061" s="19"/>
      <c r="AU19061" s="19"/>
    </row>
    <row r="19062" spans="3:47">
      <c r="C19062" s="20"/>
      <c r="Z19062" s="20"/>
      <c r="AG19062" s="20"/>
      <c r="AQ19062" s="19"/>
      <c r="AR19062" s="19"/>
      <c r="AS19062" s="19"/>
      <c r="AT19062" s="19"/>
      <c r="AU19062" s="19"/>
    </row>
    <row r="19063" spans="3:47">
      <c r="C19063" s="20"/>
      <c r="Z19063" s="20"/>
      <c r="AG19063" s="20"/>
      <c r="AQ19063" s="19"/>
      <c r="AR19063" s="19"/>
      <c r="AS19063" s="19"/>
      <c r="AT19063" s="19"/>
      <c r="AU19063" s="19"/>
    </row>
    <row r="19064" spans="3:47">
      <c r="C19064" s="20"/>
      <c r="Z19064" s="20"/>
      <c r="AG19064" s="20"/>
      <c r="AQ19064" s="19"/>
      <c r="AR19064" s="19"/>
      <c r="AS19064" s="19"/>
      <c r="AT19064" s="19"/>
      <c r="AU19064" s="19"/>
    </row>
    <row r="19065" spans="3:47">
      <c r="C19065" s="20"/>
      <c r="Z19065" s="20"/>
      <c r="AG19065" s="20"/>
      <c r="AQ19065" s="19"/>
      <c r="AR19065" s="19"/>
      <c r="AS19065" s="19"/>
      <c r="AT19065" s="19"/>
      <c r="AU19065" s="19"/>
    </row>
    <row r="19066" spans="3:47">
      <c r="C19066" s="20"/>
      <c r="Z19066" s="20"/>
      <c r="AG19066" s="20"/>
      <c r="AQ19066" s="19"/>
      <c r="AR19066" s="19"/>
      <c r="AS19066" s="19"/>
      <c r="AT19066" s="19"/>
      <c r="AU19066" s="19"/>
    </row>
    <row r="19067" spans="3:47">
      <c r="C19067" s="20"/>
      <c r="Z19067" s="20"/>
      <c r="AG19067" s="20"/>
      <c r="AQ19067" s="19"/>
      <c r="AR19067" s="19"/>
      <c r="AS19067" s="19"/>
      <c r="AT19067" s="19"/>
      <c r="AU19067" s="19"/>
    </row>
    <row r="19068" spans="3:47">
      <c r="C19068" s="20"/>
      <c r="Z19068" s="20"/>
      <c r="AG19068" s="20"/>
      <c r="AQ19068" s="19"/>
      <c r="AR19068" s="19"/>
      <c r="AS19068" s="19"/>
      <c r="AT19068" s="19"/>
      <c r="AU19068" s="19"/>
    </row>
    <row r="19069" spans="3:47">
      <c r="C19069" s="20"/>
      <c r="Z19069" s="20"/>
      <c r="AG19069" s="20"/>
      <c r="AQ19069" s="19"/>
      <c r="AR19069" s="19"/>
      <c r="AS19069" s="19"/>
      <c r="AT19069" s="19"/>
      <c r="AU19069" s="19"/>
    </row>
    <row r="19070" spans="3:47">
      <c r="C19070" s="20"/>
      <c r="Z19070" s="20"/>
      <c r="AG19070" s="20"/>
      <c r="AQ19070" s="19"/>
      <c r="AR19070" s="19"/>
      <c r="AS19070" s="19"/>
      <c r="AT19070" s="19"/>
      <c r="AU19070" s="19"/>
    </row>
    <row r="19071" spans="3:47">
      <c r="C19071" s="20"/>
      <c r="Z19071" s="20"/>
      <c r="AG19071" s="20"/>
      <c r="AQ19071" s="19"/>
      <c r="AR19071" s="19"/>
      <c r="AS19071" s="19"/>
      <c r="AT19071" s="19"/>
      <c r="AU19071" s="19"/>
    </row>
    <row r="19072" spans="3:47">
      <c r="C19072" s="20"/>
      <c r="Z19072" s="20"/>
      <c r="AG19072" s="20"/>
      <c r="AQ19072" s="19"/>
      <c r="AR19072" s="19"/>
      <c r="AS19072" s="19"/>
      <c r="AT19072" s="19"/>
      <c r="AU19072" s="19"/>
    </row>
    <row r="19073" spans="3:47">
      <c r="C19073" s="20"/>
      <c r="Z19073" s="20"/>
      <c r="AG19073" s="20"/>
      <c r="AQ19073" s="19"/>
      <c r="AR19073" s="19"/>
      <c r="AS19073" s="19"/>
      <c r="AT19073" s="19"/>
      <c r="AU19073" s="19"/>
    </row>
    <row r="19074" spans="3:47">
      <c r="C19074" s="20"/>
      <c r="Z19074" s="20"/>
      <c r="AG19074" s="20"/>
      <c r="AQ19074" s="19"/>
      <c r="AR19074" s="19"/>
      <c r="AS19074" s="19"/>
      <c r="AT19074" s="19"/>
      <c r="AU19074" s="19"/>
    </row>
    <row r="19075" spans="3:47">
      <c r="C19075" s="20"/>
      <c r="Z19075" s="20"/>
      <c r="AG19075" s="20"/>
      <c r="AQ19075" s="19"/>
      <c r="AR19075" s="19"/>
      <c r="AS19075" s="19"/>
      <c r="AT19075" s="19"/>
      <c r="AU19075" s="19"/>
    </row>
    <row r="19076" spans="3:47">
      <c r="C19076" s="20"/>
      <c r="Z19076" s="20"/>
      <c r="AG19076" s="20"/>
      <c r="AQ19076" s="19"/>
      <c r="AR19076" s="19"/>
      <c r="AS19076" s="19"/>
      <c r="AT19076" s="19"/>
      <c r="AU19076" s="19"/>
    </row>
    <row r="19077" spans="3:47">
      <c r="C19077" s="20"/>
      <c r="Z19077" s="20"/>
      <c r="AG19077" s="20"/>
      <c r="AQ19077" s="19"/>
      <c r="AR19077" s="19"/>
      <c r="AS19077" s="19"/>
      <c r="AT19077" s="19"/>
      <c r="AU19077" s="19"/>
    </row>
    <row r="19078" spans="3:47">
      <c r="C19078" s="20"/>
      <c r="Z19078" s="20"/>
      <c r="AG19078" s="20"/>
      <c r="AQ19078" s="19"/>
      <c r="AR19078" s="19"/>
      <c r="AS19078" s="19"/>
      <c r="AT19078" s="19"/>
      <c r="AU19078" s="19"/>
    </row>
    <row r="19079" spans="3:47">
      <c r="C19079" s="20"/>
      <c r="Z19079" s="20"/>
      <c r="AG19079" s="20"/>
      <c r="AQ19079" s="19"/>
      <c r="AR19079" s="19"/>
      <c r="AS19079" s="19"/>
      <c r="AT19079" s="19"/>
      <c r="AU19079" s="19"/>
    </row>
    <row r="19080" spans="3:47">
      <c r="C19080" s="20"/>
      <c r="Z19080" s="20"/>
      <c r="AG19080" s="20"/>
      <c r="AQ19080" s="19"/>
      <c r="AR19080" s="19"/>
      <c r="AS19080" s="19"/>
      <c r="AT19080" s="19"/>
      <c r="AU19080" s="19"/>
    </row>
    <row r="19081" spans="3:47">
      <c r="C19081" s="20"/>
      <c r="Z19081" s="20"/>
      <c r="AG19081" s="20"/>
      <c r="AQ19081" s="19"/>
      <c r="AR19081" s="19"/>
      <c r="AS19081" s="19"/>
      <c r="AT19081" s="19"/>
      <c r="AU19081" s="19"/>
    </row>
    <row r="19082" spans="3:47">
      <c r="C19082" s="20"/>
      <c r="Z19082" s="20"/>
      <c r="AG19082" s="20"/>
      <c r="AQ19082" s="19"/>
      <c r="AR19082" s="19"/>
      <c r="AS19082" s="19"/>
      <c r="AT19082" s="19"/>
      <c r="AU19082" s="19"/>
    </row>
    <row r="19083" spans="3:47">
      <c r="C19083" s="20"/>
      <c r="Z19083" s="20"/>
      <c r="AG19083" s="20"/>
      <c r="AQ19083" s="19"/>
      <c r="AR19083" s="19"/>
      <c r="AS19083" s="19"/>
      <c r="AT19083" s="19"/>
      <c r="AU19083" s="19"/>
    </row>
    <row r="19084" spans="3:47">
      <c r="C19084" s="20"/>
      <c r="Z19084" s="20"/>
      <c r="AG19084" s="20"/>
      <c r="AQ19084" s="19"/>
      <c r="AR19084" s="19"/>
      <c r="AS19084" s="19"/>
      <c r="AT19084" s="19"/>
      <c r="AU19084" s="19"/>
    </row>
    <row r="19085" spans="3:47">
      <c r="C19085" s="20"/>
      <c r="Z19085" s="20"/>
      <c r="AG19085" s="20"/>
      <c r="AQ19085" s="19"/>
      <c r="AR19085" s="19"/>
      <c r="AS19085" s="19"/>
      <c r="AT19085" s="19"/>
      <c r="AU19085" s="19"/>
    </row>
    <row r="19086" spans="3:47">
      <c r="C19086" s="20"/>
      <c r="Z19086" s="20"/>
      <c r="AG19086" s="20"/>
      <c r="AQ19086" s="19"/>
      <c r="AR19086" s="19"/>
      <c r="AS19086" s="19"/>
      <c r="AT19086" s="19"/>
      <c r="AU19086" s="19"/>
    </row>
    <row r="19087" spans="3:47">
      <c r="C19087" s="20"/>
      <c r="Z19087" s="20"/>
      <c r="AG19087" s="20"/>
      <c r="AQ19087" s="19"/>
      <c r="AR19087" s="19"/>
      <c r="AS19087" s="19"/>
      <c r="AT19087" s="19"/>
      <c r="AU19087" s="19"/>
    </row>
    <row r="19088" spans="3:47">
      <c r="C19088" s="20"/>
      <c r="Z19088" s="20"/>
      <c r="AG19088" s="20"/>
      <c r="AQ19088" s="19"/>
      <c r="AR19088" s="19"/>
      <c r="AS19088" s="19"/>
      <c r="AT19088" s="19"/>
      <c r="AU19088" s="19"/>
    </row>
    <row r="19089" spans="3:47">
      <c r="C19089" s="20"/>
      <c r="Z19089" s="20"/>
      <c r="AG19089" s="20"/>
      <c r="AQ19089" s="19"/>
      <c r="AR19089" s="19"/>
      <c r="AS19089" s="19"/>
      <c r="AT19089" s="19"/>
      <c r="AU19089" s="19"/>
    </row>
    <row r="19090" spans="3:47">
      <c r="C19090" s="20"/>
      <c r="Z19090" s="20"/>
      <c r="AG19090" s="20"/>
      <c r="AQ19090" s="19"/>
      <c r="AR19090" s="19"/>
      <c r="AS19090" s="19"/>
      <c r="AT19090" s="19"/>
      <c r="AU19090" s="19"/>
    </row>
    <row r="19091" spans="3:47">
      <c r="C19091" s="20"/>
      <c r="Z19091" s="20"/>
      <c r="AG19091" s="20"/>
      <c r="AQ19091" s="19"/>
      <c r="AR19091" s="19"/>
      <c r="AS19091" s="19"/>
      <c r="AT19091" s="19"/>
      <c r="AU19091" s="19"/>
    </row>
    <row r="19092" spans="3:47">
      <c r="C19092" s="20"/>
      <c r="Z19092" s="20"/>
      <c r="AG19092" s="20"/>
      <c r="AQ19092" s="19"/>
      <c r="AR19092" s="19"/>
      <c r="AS19092" s="19"/>
      <c r="AT19092" s="19"/>
      <c r="AU19092" s="19"/>
    </row>
    <row r="19093" spans="3:47">
      <c r="C19093" s="20"/>
      <c r="Z19093" s="20"/>
      <c r="AG19093" s="20"/>
      <c r="AQ19093" s="19"/>
      <c r="AR19093" s="19"/>
      <c r="AS19093" s="19"/>
      <c r="AT19093" s="19"/>
      <c r="AU19093" s="19"/>
    </row>
    <row r="19094" spans="3:47">
      <c r="C19094" s="20"/>
      <c r="Z19094" s="20"/>
      <c r="AG19094" s="20"/>
      <c r="AQ19094" s="19"/>
      <c r="AR19094" s="19"/>
      <c r="AS19094" s="19"/>
      <c r="AT19094" s="19"/>
      <c r="AU19094" s="19"/>
    </row>
    <row r="19095" spans="3:47">
      <c r="C19095" s="20"/>
      <c r="Z19095" s="20"/>
      <c r="AG19095" s="20"/>
      <c r="AQ19095" s="19"/>
      <c r="AR19095" s="19"/>
      <c r="AS19095" s="19"/>
      <c r="AT19095" s="19"/>
      <c r="AU19095" s="19"/>
    </row>
    <row r="19096" spans="3:47">
      <c r="C19096" s="20"/>
      <c r="Z19096" s="20"/>
      <c r="AG19096" s="20"/>
      <c r="AQ19096" s="19"/>
      <c r="AR19096" s="19"/>
      <c r="AS19096" s="19"/>
      <c r="AT19096" s="19"/>
      <c r="AU19096" s="19"/>
    </row>
    <row r="19097" spans="3:47">
      <c r="C19097" s="20"/>
      <c r="Z19097" s="20"/>
      <c r="AG19097" s="20"/>
      <c r="AQ19097" s="19"/>
      <c r="AR19097" s="19"/>
      <c r="AS19097" s="19"/>
      <c r="AT19097" s="19"/>
      <c r="AU19097" s="19"/>
    </row>
    <row r="19098" spans="3:47">
      <c r="C19098" s="20"/>
      <c r="Z19098" s="20"/>
      <c r="AG19098" s="20"/>
      <c r="AQ19098" s="19"/>
      <c r="AR19098" s="19"/>
      <c r="AS19098" s="19"/>
      <c r="AT19098" s="19"/>
      <c r="AU19098" s="19"/>
    </row>
    <row r="19099" spans="3:47">
      <c r="C19099" s="20"/>
      <c r="Z19099" s="20"/>
      <c r="AG19099" s="20"/>
      <c r="AQ19099" s="19"/>
      <c r="AR19099" s="19"/>
      <c r="AS19099" s="19"/>
      <c r="AT19099" s="19"/>
      <c r="AU19099" s="19"/>
    </row>
    <row r="19100" spans="3:47">
      <c r="C19100" s="20"/>
      <c r="Z19100" s="20"/>
      <c r="AG19100" s="20"/>
      <c r="AQ19100" s="19"/>
      <c r="AR19100" s="19"/>
      <c r="AS19100" s="19"/>
      <c r="AT19100" s="19"/>
      <c r="AU19100" s="19"/>
    </row>
    <row r="19101" spans="3:47">
      <c r="C19101" s="20"/>
      <c r="Z19101" s="20"/>
      <c r="AG19101" s="20"/>
      <c r="AQ19101" s="19"/>
      <c r="AR19101" s="19"/>
      <c r="AS19101" s="19"/>
      <c r="AT19101" s="19"/>
      <c r="AU19101" s="19"/>
    </row>
    <row r="19102" spans="3:47">
      <c r="C19102" s="20"/>
      <c r="Z19102" s="20"/>
      <c r="AG19102" s="20"/>
      <c r="AQ19102" s="19"/>
      <c r="AR19102" s="19"/>
      <c r="AS19102" s="19"/>
      <c r="AT19102" s="19"/>
      <c r="AU19102" s="19"/>
    </row>
    <row r="19103" spans="3:47">
      <c r="C19103" s="20"/>
      <c r="Z19103" s="20"/>
      <c r="AG19103" s="20"/>
      <c r="AQ19103" s="19"/>
      <c r="AR19103" s="19"/>
      <c r="AS19103" s="19"/>
      <c r="AT19103" s="19"/>
      <c r="AU19103" s="19"/>
    </row>
    <row r="19104" spans="3:47">
      <c r="C19104" s="20"/>
      <c r="Z19104" s="20"/>
      <c r="AG19104" s="20"/>
      <c r="AQ19104" s="19"/>
      <c r="AR19104" s="19"/>
      <c r="AS19104" s="19"/>
      <c r="AT19104" s="19"/>
      <c r="AU19104" s="19"/>
    </row>
    <row r="19105" spans="3:47">
      <c r="C19105" s="20"/>
      <c r="Z19105" s="20"/>
      <c r="AG19105" s="20"/>
      <c r="AQ19105" s="19"/>
      <c r="AR19105" s="19"/>
      <c r="AS19105" s="19"/>
      <c r="AT19105" s="19"/>
      <c r="AU19105" s="19"/>
    </row>
    <row r="19106" spans="3:47">
      <c r="C19106" s="20"/>
      <c r="Z19106" s="20"/>
      <c r="AG19106" s="20"/>
      <c r="AQ19106" s="19"/>
      <c r="AR19106" s="19"/>
      <c r="AS19106" s="19"/>
      <c r="AT19106" s="19"/>
      <c r="AU19106" s="19"/>
    </row>
    <row r="19107" spans="3:47">
      <c r="C19107" s="20"/>
      <c r="Z19107" s="20"/>
      <c r="AG19107" s="20"/>
      <c r="AQ19107" s="19"/>
      <c r="AR19107" s="19"/>
      <c r="AS19107" s="19"/>
      <c r="AT19107" s="19"/>
      <c r="AU19107" s="19"/>
    </row>
    <row r="19108" spans="3:47">
      <c r="C19108" s="20"/>
      <c r="Z19108" s="20"/>
      <c r="AG19108" s="20"/>
      <c r="AQ19108" s="19"/>
      <c r="AR19108" s="19"/>
      <c r="AS19108" s="19"/>
      <c r="AT19108" s="19"/>
      <c r="AU19108" s="19"/>
    </row>
    <row r="19109" spans="3:47">
      <c r="C19109" s="20"/>
      <c r="Z19109" s="20"/>
      <c r="AG19109" s="20"/>
      <c r="AQ19109" s="19"/>
      <c r="AR19109" s="19"/>
      <c r="AS19109" s="19"/>
      <c r="AT19109" s="19"/>
      <c r="AU19109" s="19"/>
    </row>
    <row r="19110" spans="3:47">
      <c r="C19110" s="20"/>
      <c r="Z19110" s="20"/>
      <c r="AG19110" s="20"/>
      <c r="AQ19110" s="19"/>
      <c r="AR19110" s="19"/>
      <c r="AS19110" s="19"/>
      <c r="AT19110" s="19"/>
      <c r="AU19110" s="19"/>
    </row>
    <row r="19111" spans="3:47">
      <c r="C19111" s="20"/>
      <c r="Z19111" s="20"/>
      <c r="AG19111" s="20"/>
      <c r="AQ19111" s="19"/>
      <c r="AR19111" s="19"/>
      <c r="AS19111" s="19"/>
      <c r="AT19111" s="19"/>
      <c r="AU19111" s="19"/>
    </row>
    <row r="19112" spans="3:47">
      <c r="C19112" s="20"/>
      <c r="Z19112" s="20"/>
      <c r="AG19112" s="20"/>
      <c r="AQ19112" s="19"/>
      <c r="AR19112" s="19"/>
      <c r="AS19112" s="19"/>
      <c r="AT19112" s="19"/>
      <c r="AU19112" s="19"/>
    </row>
    <row r="19113" spans="3:47">
      <c r="C19113" s="20"/>
      <c r="Z19113" s="20"/>
      <c r="AG19113" s="20"/>
      <c r="AQ19113" s="19"/>
      <c r="AR19113" s="19"/>
      <c r="AS19113" s="19"/>
      <c r="AT19113" s="19"/>
      <c r="AU19113" s="19"/>
    </row>
    <row r="19114" spans="3:47">
      <c r="C19114" s="20"/>
      <c r="Z19114" s="20"/>
      <c r="AG19114" s="20"/>
      <c r="AQ19114" s="19"/>
      <c r="AR19114" s="19"/>
      <c r="AS19114" s="19"/>
      <c r="AT19114" s="19"/>
      <c r="AU19114" s="19"/>
    </row>
    <row r="19115" spans="3:47">
      <c r="C19115" s="20"/>
      <c r="Z19115" s="20"/>
      <c r="AG19115" s="20"/>
      <c r="AQ19115" s="19"/>
      <c r="AR19115" s="19"/>
      <c r="AS19115" s="19"/>
      <c r="AT19115" s="19"/>
      <c r="AU19115" s="19"/>
    </row>
    <row r="19116" spans="3:47">
      <c r="C19116" s="20"/>
      <c r="Z19116" s="20"/>
      <c r="AG19116" s="20"/>
      <c r="AQ19116" s="19"/>
      <c r="AR19116" s="19"/>
      <c r="AS19116" s="19"/>
      <c r="AT19116" s="19"/>
      <c r="AU19116" s="19"/>
    </row>
    <row r="19117" spans="3:47">
      <c r="C19117" s="20"/>
      <c r="Z19117" s="20"/>
      <c r="AG19117" s="20"/>
      <c r="AQ19117" s="19"/>
      <c r="AR19117" s="19"/>
      <c r="AS19117" s="19"/>
      <c r="AT19117" s="19"/>
      <c r="AU19117" s="19"/>
    </row>
    <row r="19118" spans="3:47">
      <c r="C19118" s="20"/>
      <c r="Z19118" s="20"/>
      <c r="AG19118" s="20"/>
      <c r="AQ19118" s="19"/>
      <c r="AR19118" s="19"/>
      <c r="AS19118" s="19"/>
      <c r="AT19118" s="19"/>
      <c r="AU19118" s="19"/>
    </row>
    <row r="19119" spans="3:47">
      <c r="C19119" s="20"/>
      <c r="Z19119" s="20"/>
      <c r="AG19119" s="20"/>
      <c r="AQ19119" s="19"/>
      <c r="AR19119" s="19"/>
      <c r="AS19119" s="19"/>
      <c r="AT19119" s="19"/>
      <c r="AU19119" s="19"/>
    </row>
    <row r="19120" spans="3:47">
      <c r="C19120" s="20"/>
      <c r="Z19120" s="20"/>
      <c r="AG19120" s="20"/>
      <c r="AQ19120" s="19"/>
      <c r="AR19120" s="19"/>
      <c r="AS19120" s="19"/>
      <c r="AT19120" s="19"/>
      <c r="AU19120" s="19"/>
    </row>
    <row r="19121" spans="3:47">
      <c r="C19121" s="20"/>
      <c r="Z19121" s="20"/>
      <c r="AG19121" s="20"/>
      <c r="AQ19121" s="19"/>
      <c r="AR19121" s="19"/>
      <c r="AS19121" s="19"/>
      <c r="AT19121" s="19"/>
      <c r="AU19121" s="19"/>
    </row>
    <row r="19122" spans="3:47">
      <c r="C19122" s="20"/>
      <c r="Z19122" s="20"/>
      <c r="AG19122" s="20"/>
      <c r="AQ19122" s="19"/>
      <c r="AR19122" s="19"/>
      <c r="AS19122" s="19"/>
      <c r="AT19122" s="19"/>
      <c r="AU19122" s="19"/>
    </row>
    <row r="19123" spans="3:47">
      <c r="C19123" s="20"/>
      <c r="Z19123" s="20"/>
      <c r="AG19123" s="20"/>
      <c r="AQ19123" s="19"/>
      <c r="AR19123" s="19"/>
      <c r="AS19123" s="19"/>
      <c r="AT19123" s="19"/>
      <c r="AU19123" s="19"/>
    </row>
    <row r="19124" spans="3:47">
      <c r="C19124" s="20"/>
      <c r="Z19124" s="20"/>
      <c r="AG19124" s="20"/>
      <c r="AQ19124" s="19"/>
      <c r="AR19124" s="19"/>
      <c r="AS19124" s="19"/>
      <c r="AT19124" s="19"/>
      <c r="AU19124" s="19"/>
    </row>
    <row r="19125" spans="3:47">
      <c r="C19125" s="20"/>
      <c r="Z19125" s="20"/>
      <c r="AG19125" s="20"/>
      <c r="AQ19125" s="19"/>
      <c r="AR19125" s="19"/>
      <c r="AS19125" s="19"/>
      <c r="AT19125" s="19"/>
      <c r="AU19125" s="19"/>
    </row>
    <row r="19126" spans="3:47">
      <c r="C19126" s="20"/>
      <c r="Z19126" s="20"/>
      <c r="AG19126" s="20"/>
      <c r="AQ19126" s="19"/>
      <c r="AR19126" s="19"/>
      <c r="AS19126" s="19"/>
      <c r="AT19126" s="19"/>
      <c r="AU19126" s="19"/>
    </row>
    <row r="19127" spans="3:47">
      <c r="C19127" s="20"/>
      <c r="Z19127" s="20"/>
      <c r="AG19127" s="20"/>
      <c r="AQ19127" s="19"/>
      <c r="AR19127" s="19"/>
      <c r="AS19127" s="19"/>
      <c r="AT19127" s="19"/>
      <c r="AU19127" s="19"/>
    </row>
    <row r="19128" spans="3:47">
      <c r="C19128" s="20"/>
      <c r="Z19128" s="20"/>
      <c r="AG19128" s="20"/>
      <c r="AQ19128" s="19"/>
      <c r="AR19128" s="19"/>
      <c r="AS19128" s="19"/>
      <c r="AT19128" s="19"/>
      <c r="AU19128" s="19"/>
    </row>
    <row r="19129" spans="3:47">
      <c r="C19129" s="20"/>
      <c r="Z19129" s="20"/>
      <c r="AG19129" s="20"/>
      <c r="AQ19129" s="19"/>
      <c r="AR19129" s="19"/>
      <c r="AS19129" s="19"/>
      <c r="AT19129" s="19"/>
      <c r="AU19129" s="19"/>
    </row>
    <row r="19130" spans="3:47">
      <c r="C19130" s="20"/>
      <c r="Z19130" s="20"/>
      <c r="AG19130" s="20"/>
      <c r="AQ19130" s="19"/>
      <c r="AR19130" s="19"/>
      <c r="AS19130" s="19"/>
      <c r="AT19130" s="19"/>
      <c r="AU19130" s="19"/>
    </row>
    <row r="19131" spans="3:47">
      <c r="C19131" s="20"/>
      <c r="Z19131" s="20"/>
      <c r="AG19131" s="20"/>
      <c r="AQ19131" s="19"/>
      <c r="AR19131" s="19"/>
      <c r="AS19131" s="19"/>
      <c r="AT19131" s="19"/>
      <c r="AU19131" s="19"/>
    </row>
    <row r="19132" spans="3:47">
      <c r="C19132" s="20"/>
      <c r="Z19132" s="20"/>
      <c r="AG19132" s="20"/>
      <c r="AQ19132" s="19"/>
      <c r="AR19132" s="19"/>
      <c r="AS19132" s="19"/>
      <c r="AT19132" s="19"/>
      <c r="AU19132" s="19"/>
    </row>
    <row r="19133" spans="3:47">
      <c r="C19133" s="20"/>
      <c r="Z19133" s="20"/>
      <c r="AG19133" s="20"/>
      <c r="AQ19133" s="19"/>
      <c r="AR19133" s="19"/>
      <c r="AS19133" s="19"/>
      <c r="AT19133" s="19"/>
      <c r="AU19133" s="19"/>
    </row>
    <row r="19134" spans="3:47">
      <c r="C19134" s="20"/>
      <c r="Z19134" s="20"/>
      <c r="AG19134" s="20"/>
      <c r="AQ19134" s="19"/>
      <c r="AR19134" s="19"/>
      <c r="AS19134" s="19"/>
      <c r="AT19134" s="19"/>
      <c r="AU19134" s="19"/>
    </row>
    <row r="19135" spans="3:47">
      <c r="C19135" s="20"/>
      <c r="Z19135" s="20"/>
      <c r="AG19135" s="20"/>
      <c r="AQ19135" s="19"/>
      <c r="AR19135" s="19"/>
      <c r="AS19135" s="19"/>
      <c r="AT19135" s="19"/>
      <c r="AU19135" s="19"/>
    </row>
    <row r="19136" spans="3:47">
      <c r="C19136" s="20"/>
      <c r="Z19136" s="20"/>
      <c r="AG19136" s="20"/>
      <c r="AQ19136" s="19"/>
      <c r="AR19136" s="19"/>
      <c r="AS19136" s="19"/>
      <c r="AT19136" s="19"/>
      <c r="AU19136" s="19"/>
    </row>
    <row r="19137" spans="3:47">
      <c r="C19137" s="20"/>
      <c r="Z19137" s="20"/>
      <c r="AG19137" s="20"/>
      <c r="AQ19137" s="19"/>
      <c r="AR19137" s="19"/>
      <c r="AS19137" s="19"/>
      <c r="AT19137" s="19"/>
      <c r="AU19137" s="19"/>
    </row>
    <row r="19138" spans="3:47">
      <c r="C19138" s="20"/>
      <c r="Z19138" s="20"/>
      <c r="AG19138" s="20"/>
      <c r="AQ19138" s="19"/>
      <c r="AR19138" s="19"/>
      <c r="AS19138" s="19"/>
      <c r="AT19138" s="19"/>
      <c r="AU19138" s="19"/>
    </row>
    <row r="19139" spans="3:47">
      <c r="C19139" s="20"/>
      <c r="Z19139" s="20"/>
      <c r="AG19139" s="20"/>
      <c r="AQ19139" s="19"/>
      <c r="AR19139" s="19"/>
      <c r="AS19139" s="19"/>
      <c r="AT19139" s="19"/>
      <c r="AU19139" s="19"/>
    </row>
    <row r="19140" spans="3:47">
      <c r="C19140" s="20"/>
      <c r="Z19140" s="20"/>
      <c r="AG19140" s="20"/>
      <c r="AQ19140" s="19"/>
      <c r="AR19140" s="19"/>
      <c r="AS19140" s="19"/>
      <c r="AT19140" s="19"/>
      <c r="AU19140" s="19"/>
    </row>
    <row r="19141" spans="3:47">
      <c r="C19141" s="20"/>
      <c r="Z19141" s="20"/>
      <c r="AG19141" s="20"/>
      <c r="AQ19141" s="19"/>
      <c r="AR19141" s="19"/>
      <c r="AS19141" s="19"/>
      <c r="AT19141" s="19"/>
      <c r="AU19141" s="19"/>
    </row>
    <row r="19142" spans="3:47">
      <c r="C19142" s="20"/>
      <c r="Z19142" s="20"/>
      <c r="AG19142" s="20"/>
      <c r="AQ19142" s="19"/>
      <c r="AR19142" s="19"/>
      <c r="AS19142" s="19"/>
      <c r="AT19142" s="19"/>
      <c r="AU19142" s="19"/>
    </row>
    <row r="19143" spans="3:47">
      <c r="C19143" s="20"/>
      <c r="Z19143" s="20"/>
      <c r="AG19143" s="20"/>
      <c r="AQ19143" s="19"/>
      <c r="AR19143" s="19"/>
      <c r="AS19143" s="19"/>
      <c r="AT19143" s="19"/>
      <c r="AU19143" s="19"/>
    </row>
    <row r="19144" spans="3:47">
      <c r="C19144" s="20"/>
      <c r="Z19144" s="20"/>
      <c r="AG19144" s="20"/>
      <c r="AQ19144" s="19"/>
      <c r="AR19144" s="19"/>
      <c r="AS19144" s="19"/>
      <c r="AT19144" s="19"/>
      <c r="AU19144" s="19"/>
    </row>
    <row r="19145" spans="3:47">
      <c r="C19145" s="20"/>
      <c r="Z19145" s="20"/>
      <c r="AG19145" s="20"/>
      <c r="AQ19145" s="19"/>
      <c r="AR19145" s="19"/>
      <c r="AS19145" s="19"/>
      <c r="AT19145" s="19"/>
      <c r="AU19145" s="19"/>
    </row>
    <row r="19146" spans="3:47">
      <c r="C19146" s="20"/>
      <c r="Z19146" s="20"/>
      <c r="AG19146" s="20"/>
      <c r="AQ19146" s="19"/>
      <c r="AR19146" s="19"/>
      <c r="AS19146" s="19"/>
      <c r="AT19146" s="19"/>
      <c r="AU19146" s="19"/>
    </row>
    <row r="19147" spans="3:47">
      <c r="C19147" s="20"/>
      <c r="Z19147" s="20"/>
      <c r="AG19147" s="20"/>
      <c r="AQ19147" s="19"/>
      <c r="AR19147" s="19"/>
      <c r="AS19147" s="19"/>
      <c r="AT19147" s="19"/>
      <c r="AU19147" s="19"/>
    </row>
    <row r="19148" spans="3:47">
      <c r="C19148" s="20"/>
      <c r="Z19148" s="20"/>
      <c r="AG19148" s="20"/>
      <c r="AQ19148" s="19"/>
      <c r="AR19148" s="19"/>
      <c r="AS19148" s="19"/>
      <c r="AT19148" s="19"/>
      <c r="AU19148" s="19"/>
    </row>
    <row r="19149" spans="3:47">
      <c r="C19149" s="20"/>
      <c r="Z19149" s="20"/>
      <c r="AG19149" s="20"/>
      <c r="AQ19149" s="19"/>
      <c r="AR19149" s="19"/>
      <c r="AS19149" s="19"/>
      <c r="AT19149" s="19"/>
      <c r="AU19149" s="19"/>
    </row>
    <row r="19150" spans="3:47">
      <c r="C19150" s="20"/>
      <c r="Z19150" s="20"/>
      <c r="AG19150" s="20"/>
      <c r="AQ19150" s="19"/>
      <c r="AR19150" s="19"/>
      <c r="AS19150" s="19"/>
      <c r="AT19150" s="19"/>
      <c r="AU19150" s="19"/>
    </row>
    <row r="19151" spans="3:47">
      <c r="C19151" s="20"/>
      <c r="Z19151" s="20"/>
      <c r="AG19151" s="20"/>
      <c r="AQ19151" s="19"/>
      <c r="AR19151" s="19"/>
      <c r="AS19151" s="19"/>
      <c r="AT19151" s="19"/>
      <c r="AU19151" s="19"/>
    </row>
    <row r="19152" spans="3:47">
      <c r="C19152" s="20"/>
      <c r="Z19152" s="20"/>
      <c r="AG19152" s="20"/>
      <c r="AQ19152" s="19"/>
      <c r="AR19152" s="19"/>
      <c r="AS19152" s="19"/>
      <c r="AT19152" s="19"/>
      <c r="AU19152" s="19"/>
    </row>
    <row r="19153" spans="3:47">
      <c r="C19153" s="20"/>
      <c r="Z19153" s="20"/>
      <c r="AG19153" s="20"/>
      <c r="AQ19153" s="19"/>
      <c r="AR19153" s="19"/>
      <c r="AS19153" s="19"/>
      <c r="AT19153" s="19"/>
      <c r="AU19153" s="19"/>
    </row>
    <row r="19154" spans="3:47">
      <c r="C19154" s="20"/>
      <c r="Z19154" s="20"/>
      <c r="AG19154" s="20"/>
      <c r="AQ19154" s="19"/>
      <c r="AR19154" s="19"/>
      <c r="AS19154" s="19"/>
      <c r="AT19154" s="19"/>
      <c r="AU19154" s="19"/>
    </row>
    <row r="19155" spans="3:47">
      <c r="C19155" s="20"/>
      <c r="Z19155" s="20"/>
      <c r="AG19155" s="20"/>
      <c r="AQ19155" s="19"/>
      <c r="AR19155" s="19"/>
      <c r="AS19155" s="19"/>
      <c r="AT19155" s="19"/>
      <c r="AU19155" s="19"/>
    </row>
    <row r="19156" spans="3:47">
      <c r="C19156" s="20"/>
      <c r="Z19156" s="20"/>
      <c r="AG19156" s="20"/>
      <c r="AQ19156" s="19"/>
      <c r="AR19156" s="19"/>
      <c r="AS19156" s="19"/>
      <c r="AT19156" s="19"/>
      <c r="AU19156" s="19"/>
    </row>
    <row r="19157" spans="3:47">
      <c r="C19157" s="20"/>
      <c r="Z19157" s="20"/>
      <c r="AG19157" s="20"/>
      <c r="AQ19157" s="19"/>
      <c r="AR19157" s="19"/>
      <c r="AS19157" s="19"/>
      <c r="AT19157" s="19"/>
      <c r="AU19157" s="19"/>
    </row>
    <row r="19158" spans="3:47">
      <c r="C19158" s="20"/>
      <c r="Z19158" s="20"/>
      <c r="AG19158" s="20"/>
      <c r="AQ19158" s="19"/>
      <c r="AR19158" s="19"/>
      <c r="AS19158" s="19"/>
      <c r="AT19158" s="19"/>
      <c r="AU19158" s="19"/>
    </row>
    <row r="19159" spans="3:47">
      <c r="C19159" s="20"/>
      <c r="Z19159" s="20"/>
      <c r="AG19159" s="20"/>
      <c r="AQ19159" s="19"/>
      <c r="AR19159" s="19"/>
      <c r="AS19159" s="19"/>
      <c r="AT19159" s="19"/>
      <c r="AU19159" s="19"/>
    </row>
    <row r="19160" spans="3:47">
      <c r="C19160" s="20"/>
      <c r="Z19160" s="20"/>
      <c r="AG19160" s="20"/>
      <c r="AQ19160" s="19"/>
      <c r="AR19160" s="19"/>
      <c r="AS19160" s="19"/>
      <c r="AT19160" s="19"/>
      <c r="AU19160" s="19"/>
    </row>
    <row r="19161" spans="3:47">
      <c r="C19161" s="20"/>
      <c r="Z19161" s="20"/>
      <c r="AG19161" s="20"/>
      <c r="AQ19161" s="19"/>
      <c r="AR19161" s="19"/>
      <c r="AS19161" s="19"/>
      <c r="AT19161" s="19"/>
      <c r="AU19161" s="19"/>
    </row>
    <row r="19162" spans="3:47">
      <c r="C19162" s="20"/>
      <c r="Z19162" s="20"/>
      <c r="AG19162" s="20"/>
      <c r="AQ19162" s="19"/>
      <c r="AR19162" s="19"/>
      <c r="AS19162" s="19"/>
      <c r="AT19162" s="19"/>
      <c r="AU19162" s="19"/>
    </row>
    <row r="19163" spans="3:47">
      <c r="C19163" s="20"/>
      <c r="Z19163" s="20"/>
      <c r="AG19163" s="20"/>
      <c r="AQ19163" s="19"/>
      <c r="AR19163" s="19"/>
      <c r="AS19163" s="19"/>
      <c r="AT19163" s="19"/>
      <c r="AU19163" s="19"/>
    </row>
    <row r="19164" spans="3:47">
      <c r="C19164" s="20"/>
      <c r="Z19164" s="20"/>
      <c r="AG19164" s="20"/>
      <c r="AQ19164" s="19"/>
      <c r="AR19164" s="19"/>
      <c r="AS19164" s="19"/>
      <c r="AT19164" s="19"/>
      <c r="AU19164" s="19"/>
    </row>
    <row r="19165" spans="3:47">
      <c r="C19165" s="20"/>
      <c r="Z19165" s="20"/>
      <c r="AG19165" s="20"/>
      <c r="AQ19165" s="19"/>
      <c r="AR19165" s="19"/>
      <c r="AS19165" s="19"/>
      <c r="AT19165" s="19"/>
      <c r="AU19165" s="19"/>
    </row>
    <row r="19166" spans="3:47">
      <c r="C19166" s="20"/>
      <c r="Z19166" s="20"/>
      <c r="AG19166" s="20"/>
      <c r="AQ19166" s="19"/>
      <c r="AR19166" s="19"/>
      <c r="AS19166" s="19"/>
      <c r="AT19166" s="19"/>
      <c r="AU19166" s="19"/>
    </row>
    <row r="19167" spans="3:47">
      <c r="C19167" s="20"/>
      <c r="Z19167" s="20"/>
      <c r="AG19167" s="20"/>
      <c r="AQ19167" s="19"/>
      <c r="AR19167" s="19"/>
      <c r="AS19167" s="19"/>
      <c r="AT19167" s="19"/>
      <c r="AU19167" s="19"/>
    </row>
    <row r="19168" spans="3:47">
      <c r="C19168" s="20"/>
      <c r="Z19168" s="20"/>
      <c r="AG19168" s="20"/>
      <c r="AQ19168" s="19"/>
      <c r="AR19168" s="19"/>
      <c r="AS19168" s="19"/>
      <c r="AT19168" s="19"/>
      <c r="AU19168" s="19"/>
    </row>
    <row r="19169" spans="3:47">
      <c r="C19169" s="20"/>
      <c r="Z19169" s="20"/>
      <c r="AG19169" s="20"/>
      <c r="AQ19169" s="19"/>
      <c r="AR19169" s="19"/>
      <c r="AS19169" s="19"/>
      <c r="AT19169" s="19"/>
      <c r="AU19169" s="19"/>
    </row>
    <row r="19170" spans="3:47">
      <c r="C19170" s="20"/>
      <c r="Z19170" s="20"/>
      <c r="AG19170" s="20"/>
      <c r="AQ19170" s="19"/>
      <c r="AR19170" s="19"/>
      <c r="AS19170" s="19"/>
      <c r="AT19170" s="19"/>
      <c r="AU19170" s="19"/>
    </row>
    <row r="19171" spans="3:47">
      <c r="C19171" s="20"/>
      <c r="Z19171" s="20"/>
      <c r="AG19171" s="20"/>
      <c r="AQ19171" s="19"/>
      <c r="AR19171" s="19"/>
      <c r="AS19171" s="19"/>
      <c r="AT19171" s="19"/>
      <c r="AU19171" s="19"/>
    </row>
    <row r="19172" spans="3:47">
      <c r="C19172" s="20"/>
      <c r="Z19172" s="20"/>
      <c r="AG19172" s="20"/>
      <c r="AQ19172" s="19"/>
      <c r="AR19172" s="19"/>
      <c r="AS19172" s="19"/>
      <c r="AT19172" s="19"/>
      <c r="AU19172" s="19"/>
    </row>
    <row r="19173" spans="3:47">
      <c r="C19173" s="20"/>
      <c r="Z19173" s="20"/>
      <c r="AG19173" s="20"/>
      <c r="AQ19173" s="19"/>
      <c r="AR19173" s="19"/>
      <c r="AS19173" s="19"/>
      <c r="AT19173" s="19"/>
      <c r="AU19173" s="19"/>
    </row>
    <row r="19174" spans="3:47">
      <c r="C19174" s="20"/>
      <c r="Z19174" s="20"/>
      <c r="AG19174" s="20"/>
      <c r="AQ19174" s="19"/>
      <c r="AR19174" s="19"/>
      <c r="AS19174" s="19"/>
      <c r="AT19174" s="19"/>
      <c r="AU19174" s="19"/>
    </row>
    <row r="19175" spans="3:47">
      <c r="C19175" s="20"/>
      <c r="Z19175" s="20"/>
      <c r="AG19175" s="20"/>
      <c r="AQ19175" s="19"/>
      <c r="AR19175" s="19"/>
      <c r="AS19175" s="19"/>
      <c r="AT19175" s="19"/>
      <c r="AU19175" s="19"/>
    </row>
    <row r="19176" spans="3:47">
      <c r="C19176" s="20"/>
      <c r="Z19176" s="20"/>
      <c r="AG19176" s="20"/>
      <c r="AQ19176" s="19"/>
      <c r="AR19176" s="19"/>
      <c r="AS19176" s="19"/>
      <c r="AT19176" s="19"/>
      <c r="AU19176" s="19"/>
    </row>
    <row r="19177" spans="3:47">
      <c r="C19177" s="20"/>
      <c r="Z19177" s="20"/>
      <c r="AG19177" s="20"/>
      <c r="AQ19177" s="19"/>
      <c r="AR19177" s="19"/>
      <c r="AS19177" s="19"/>
      <c r="AT19177" s="19"/>
      <c r="AU19177" s="19"/>
    </row>
    <row r="19178" spans="3:47">
      <c r="C19178" s="20"/>
      <c r="Z19178" s="20"/>
      <c r="AG19178" s="20"/>
      <c r="AQ19178" s="19"/>
      <c r="AR19178" s="19"/>
      <c r="AS19178" s="19"/>
      <c r="AT19178" s="19"/>
      <c r="AU19178" s="19"/>
    </row>
    <row r="19179" spans="3:47">
      <c r="C19179" s="20"/>
      <c r="Z19179" s="20"/>
      <c r="AG19179" s="20"/>
      <c r="AQ19179" s="19"/>
      <c r="AR19179" s="19"/>
      <c r="AS19179" s="19"/>
      <c r="AT19179" s="19"/>
      <c r="AU19179" s="19"/>
    </row>
    <row r="19180" spans="3:47">
      <c r="C19180" s="20"/>
      <c r="Z19180" s="20"/>
      <c r="AG19180" s="20"/>
      <c r="AQ19180" s="19"/>
      <c r="AR19180" s="19"/>
      <c r="AS19180" s="19"/>
      <c r="AT19180" s="19"/>
      <c r="AU19180" s="19"/>
    </row>
    <row r="19181" spans="3:47">
      <c r="C19181" s="20"/>
      <c r="Z19181" s="20"/>
      <c r="AG19181" s="20"/>
      <c r="AQ19181" s="19"/>
      <c r="AR19181" s="19"/>
      <c r="AS19181" s="19"/>
      <c r="AT19181" s="19"/>
      <c r="AU19181" s="19"/>
    </row>
    <row r="19182" spans="3:47">
      <c r="C19182" s="20"/>
      <c r="Z19182" s="20"/>
      <c r="AG19182" s="20"/>
      <c r="AQ19182" s="19"/>
      <c r="AR19182" s="19"/>
      <c r="AS19182" s="19"/>
      <c r="AT19182" s="19"/>
      <c r="AU19182" s="19"/>
    </row>
    <row r="19183" spans="3:47">
      <c r="C19183" s="20"/>
      <c r="Z19183" s="20"/>
      <c r="AG19183" s="20"/>
      <c r="AQ19183" s="19"/>
      <c r="AR19183" s="19"/>
      <c r="AS19183" s="19"/>
      <c r="AT19183" s="19"/>
      <c r="AU19183" s="19"/>
    </row>
    <row r="19184" spans="3:47">
      <c r="C19184" s="20"/>
      <c r="Z19184" s="20"/>
      <c r="AG19184" s="20"/>
      <c r="AQ19184" s="19"/>
      <c r="AR19184" s="19"/>
      <c r="AS19184" s="19"/>
      <c r="AT19184" s="19"/>
      <c r="AU19184" s="19"/>
    </row>
    <row r="19185" spans="3:47">
      <c r="C19185" s="20"/>
      <c r="Z19185" s="20"/>
      <c r="AG19185" s="20"/>
      <c r="AQ19185" s="19"/>
      <c r="AR19185" s="19"/>
      <c r="AS19185" s="19"/>
      <c r="AT19185" s="19"/>
      <c r="AU19185" s="19"/>
    </row>
    <row r="19186" spans="3:47">
      <c r="C19186" s="20"/>
      <c r="Z19186" s="20"/>
      <c r="AG19186" s="20"/>
      <c r="AQ19186" s="19"/>
      <c r="AR19186" s="19"/>
      <c r="AS19186" s="19"/>
      <c r="AT19186" s="19"/>
      <c r="AU19186" s="19"/>
    </row>
    <row r="19187" spans="3:47">
      <c r="C19187" s="20"/>
      <c r="Z19187" s="20"/>
      <c r="AG19187" s="20"/>
      <c r="AQ19187" s="19"/>
      <c r="AR19187" s="19"/>
      <c r="AS19187" s="19"/>
      <c r="AT19187" s="19"/>
      <c r="AU19187" s="19"/>
    </row>
    <row r="19188" spans="3:47">
      <c r="C19188" s="20"/>
      <c r="Z19188" s="20"/>
      <c r="AG19188" s="20"/>
      <c r="AQ19188" s="19"/>
      <c r="AR19188" s="19"/>
      <c r="AS19188" s="19"/>
      <c r="AT19188" s="19"/>
      <c r="AU19188" s="19"/>
    </row>
    <row r="19189" spans="3:47">
      <c r="C19189" s="20"/>
      <c r="Z19189" s="20"/>
      <c r="AG19189" s="20"/>
      <c r="AQ19189" s="19"/>
      <c r="AR19189" s="19"/>
      <c r="AS19189" s="19"/>
      <c r="AT19189" s="19"/>
      <c r="AU19189" s="19"/>
    </row>
    <row r="19190" spans="3:47">
      <c r="C19190" s="20"/>
      <c r="Z19190" s="20"/>
      <c r="AG19190" s="20"/>
      <c r="AQ19190" s="19"/>
      <c r="AR19190" s="19"/>
      <c r="AS19190" s="19"/>
      <c r="AT19190" s="19"/>
      <c r="AU19190" s="19"/>
    </row>
    <row r="19191" spans="3:47">
      <c r="C19191" s="20"/>
      <c r="Z19191" s="20"/>
      <c r="AG19191" s="20"/>
      <c r="AQ19191" s="19"/>
      <c r="AR19191" s="19"/>
      <c r="AS19191" s="19"/>
      <c r="AT19191" s="19"/>
      <c r="AU19191" s="19"/>
    </row>
    <row r="19192" spans="3:47">
      <c r="C19192" s="20"/>
      <c r="Z19192" s="20"/>
      <c r="AG19192" s="20"/>
      <c r="AQ19192" s="19"/>
      <c r="AR19192" s="19"/>
      <c r="AS19192" s="19"/>
      <c r="AT19192" s="19"/>
      <c r="AU19192" s="19"/>
    </row>
    <row r="19193" spans="3:47">
      <c r="C19193" s="20"/>
      <c r="Z19193" s="20"/>
      <c r="AG19193" s="20"/>
      <c r="AQ19193" s="19"/>
      <c r="AR19193" s="19"/>
      <c r="AS19193" s="19"/>
      <c r="AT19193" s="19"/>
      <c r="AU19193" s="19"/>
    </row>
    <row r="19194" spans="3:47">
      <c r="C19194" s="20"/>
      <c r="Z19194" s="20"/>
      <c r="AG19194" s="20"/>
      <c r="AQ19194" s="19"/>
      <c r="AR19194" s="19"/>
      <c r="AS19194" s="19"/>
      <c r="AT19194" s="19"/>
      <c r="AU19194" s="19"/>
    </row>
    <row r="19195" spans="3:47">
      <c r="C19195" s="20"/>
      <c r="Z19195" s="20"/>
      <c r="AG19195" s="20"/>
      <c r="AQ19195" s="19"/>
      <c r="AR19195" s="19"/>
      <c r="AS19195" s="19"/>
      <c r="AT19195" s="19"/>
      <c r="AU19195" s="19"/>
    </row>
    <row r="19196" spans="3:47">
      <c r="C19196" s="20"/>
      <c r="Z19196" s="20"/>
      <c r="AG19196" s="20"/>
      <c r="AQ19196" s="19"/>
      <c r="AR19196" s="19"/>
      <c r="AS19196" s="19"/>
      <c r="AT19196" s="19"/>
      <c r="AU19196" s="19"/>
    </row>
    <row r="19197" spans="3:47">
      <c r="C19197" s="20"/>
      <c r="Z19197" s="20"/>
      <c r="AG19197" s="20"/>
      <c r="AQ19197" s="19"/>
      <c r="AR19197" s="19"/>
      <c r="AS19197" s="19"/>
      <c r="AT19197" s="19"/>
      <c r="AU19197" s="19"/>
    </row>
    <row r="19198" spans="3:47">
      <c r="C19198" s="20"/>
      <c r="Z19198" s="20"/>
      <c r="AG19198" s="20"/>
      <c r="AQ19198" s="19"/>
      <c r="AR19198" s="19"/>
      <c r="AS19198" s="19"/>
      <c r="AT19198" s="19"/>
      <c r="AU19198" s="19"/>
    </row>
    <row r="19199" spans="3:47">
      <c r="C19199" s="20"/>
      <c r="Z19199" s="20"/>
      <c r="AG19199" s="20"/>
      <c r="AQ19199" s="19"/>
      <c r="AR19199" s="19"/>
      <c r="AS19199" s="19"/>
      <c r="AT19199" s="19"/>
      <c r="AU19199" s="19"/>
    </row>
    <row r="19200" spans="3:47">
      <c r="C19200" s="20"/>
      <c r="Z19200" s="20"/>
      <c r="AG19200" s="20"/>
      <c r="AQ19200" s="19"/>
      <c r="AR19200" s="19"/>
      <c r="AS19200" s="19"/>
      <c r="AT19200" s="19"/>
      <c r="AU19200" s="19"/>
    </row>
    <row r="19201" spans="3:47">
      <c r="C19201" s="20"/>
      <c r="Z19201" s="20"/>
      <c r="AG19201" s="20"/>
      <c r="AQ19201" s="19"/>
      <c r="AR19201" s="19"/>
      <c r="AS19201" s="19"/>
      <c r="AT19201" s="19"/>
      <c r="AU19201" s="19"/>
    </row>
    <row r="19202" spans="3:47">
      <c r="C19202" s="20"/>
      <c r="Z19202" s="20"/>
      <c r="AG19202" s="20"/>
      <c r="AQ19202" s="19"/>
      <c r="AR19202" s="19"/>
      <c r="AS19202" s="19"/>
      <c r="AT19202" s="19"/>
      <c r="AU19202" s="19"/>
    </row>
    <row r="19203" spans="3:47">
      <c r="C19203" s="20"/>
      <c r="Z19203" s="20"/>
      <c r="AG19203" s="20"/>
      <c r="AQ19203" s="19"/>
      <c r="AR19203" s="19"/>
      <c r="AS19203" s="19"/>
      <c r="AT19203" s="19"/>
      <c r="AU19203" s="19"/>
    </row>
    <row r="19204" spans="3:47">
      <c r="C19204" s="20"/>
      <c r="Z19204" s="20"/>
      <c r="AG19204" s="20"/>
      <c r="AQ19204" s="19"/>
      <c r="AR19204" s="19"/>
      <c r="AS19204" s="19"/>
      <c r="AT19204" s="19"/>
      <c r="AU19204" s="19"/>
    </row>
    <row r="19205" spans="3:47">
      <c r="C19205" s="20"/>
      <c r="Z19205" s="20"/>
      <c r="AG19205" s="20"/>
      <c r="AQ19205" s="19"/>
      <c r="AR19205" s="19"/>
      <c r="AS19205" s="19"/>
      <c r="AT19205" s="19"/>
      <c r="AU19205" s="19"/>
    </row>
    <row r="19206" spans="3:47">
      <c r="C19206" s="20"/>
      <c r="Z19206" s="20"/>
      <c r="AG19206" s="20"/>
      <c r="AQ19206" s="19"/>
      <c r="AR19206" s="19"/>
      <c r="AS19206" s="19"/>
      <c r="AT19206" s="19"/>
      <c r="AU19206" s="19"/>
    </row>
    <row r="19207" spans="3:47">
      <c r="C19207" s="20"/>
      <c r="Z19207" s="20"/>
      <c r="AG19207" s="20"/>
      <c r="AQ19207" s="19"/>
      <c r="AR19207" s="19"/>
      <c r="AS19207" s="19"/>
      <c r="AT19207" s="19"/>
      <c r="AU19207" s="19"/>
    </row>
    <row r="19208" spans="3:47">
      <c r="C19208" s="20"/>
      <c r="Z19208" s="20"/>
      <c r="AG19208" s="20"/>
      <c r="AQ19208" s="19"/>
      <c r="AR19208" s="19"/>
      <c r="AS19208" s="19"/>
      <c r="AT19208" s="19"/>
      <c r="AU19208" s="19"/>
    </row>
    <row r="19209" spans="3:47">
      <c r="C19209" s="20"/>
      <c r="Z19209" s="20"/>
      <c r="AG19209" s="20"/>
      <c r="AQ19209" s="19"/>
      <c r="AR19209" s="19"/>
      <c r="AS19209" s="19"/>
      <c r="AT19209" s="19"/>
      <c r="AU19209" s="19"/>
    </row>
    <row r="19210" spans="3:47">
      <c r="C19210" s="20"/>
      <c r="Z19210" s="20"/>
      <c r="AG19210" s="20"/>
      <c r="AQ19210" s="19"/>
      <c r="AR19210" s="19"/>
      <c r="AS19210" s="19"/>
      <c r="AT19210" s="19"/>
      <c r="AU19210" s="19"/>
    </row>
    <row r="19211" spans="3:47">
      <c r="C19211" s="20"/>
      <c r="Z19211" s="20"/>
      <c r="AG19211" s="20"/>
      <c r="AQ19211" s="19"/>
      <c r="AR19211" s="19"/>
      <c r="AS19211" s="19"/>
      <c r="AT19211" s="19"/>
      <c r="AU19211" s="19"/>
    </row>
    <row r="19212" spans="3:47">
      <c r="C19212" s="20"/>
      <c r="Z19212" s="20"/>
      <c r="AG19212" s="20"/>
      <c r="AQ19212" s="19"/>
      <c r="AR19212" s="19"/>
      <c r="AS19212" s="19"/>
      <c r="AT19212" s="19"/>
      <c r="AU19212" s="19"/>
    </row>
    <row r="19213" spans="3:47">
      <c r="C19213" s="20"/>
      <c r="Z19213" s="20"/>
      <c r="AG19213" s="20"/>
      <c r="AQ19213" s="19"/>
      <c r="AR19213" s="19"/>
      <c r="AS19213" s="19"/>
      <c r="AT19213" s="19"/>
      <c r="AU19213" s="19"/>
    </row>
    <row r="19214" spans="3:47">
      <c r="C19214" s="20"/>
      <c r="Z19214" s="20"/>
      <c r="AG19214" s="20"/>
      <c r="AQ19214" s="19"/>
      <c r="AR19214" s="19"/>
      <c r="AS19214" s="19"/>
      <c r="AT19214" s="19"/>
      <c r="AU19214" s="19"/>
    </row>
    <row r="19215" spans="3:47">
      <c r="C19215" s="20"/>
      <c r="Z19215" s="20"/>
      <c r="AG19215" s="20"/>
      <c r="AQ19215" s="19"/>
      <c r="AR19215" s="19"/>
      <c r="AS19215" s="19"/>
      <c r="AT19215" s="19"/>
      <c r="AU19215" s="19"/>
    </row>
    <row r="19216" spans="3:47">
      <c r="C19216" s="20"/>
      <c r="Z19216" s="20"/>
      <c r="AG19216" s="20"/>
      <c r="AQ19216" s="19"/>
      <c r="AR19216" s="19"/>
      <c r="AS19216" s="19"/>
      <c r="AT19216" s="19"/>
      <c r="AU19216" s="19"/>
    </row>
    <row r="19217" spans="3:47">
      <c r="C19217" s="20"/>
      <c r="Z19217" s="20"/>
      <c r="AG19217" s="20"/>
      <c r="AQ19217" s="19"/>
      <c r="AR19217" s="19"/>
      <c r="AS19217" s="19"/>
      <c r="AT19217" s="19"/>
      <c r="AU19217" s="19"/>
    </row>
    <row r="19218" spans="3:47">
      <c r="C19218" s="20"/>
      <c r="Z19218" s="20"/>
      <c r="AG19218" s="20"/>
      <c r="AQ19218" s="19"/>
      <c r="AR19218" s="19"/>
      <c r="AS19218" s="19"/>
      <c r="AT19218" s="19"/>
      <c r="AU19218" s="19"/>
    </row>
    <row r="19219" spans="3:47">
      <c r="C19219" s="20"/>
      <c r="Z19219" s="20"/>
      <c r="AG19219" s="20"/>
      <c r="AQ19219" s="19"/>
      <c r="AR19219" s="19"/>
      <c r="AS19219" s="19"/>
      <c r="AT19219" s="19"/>
      <c r="AU19219" s="19"/>
    </row>
    <row r="19220" spans="3:47">
      <c r="C19220" s="20"/>
      <c r="Z19220" s="20"/>
      <c r="AG19220" s="20"/>
      <c r="AQ19220" s="19"/>
      <c r="AR19220" s="19"/>
      <c r="AS19220" s="19"/>
      <c r="AT19220" s="19"/>
      <c r="AU19220" s="19"/>
    </row>
    <row r="19221" spans="3:47">
      <c r="C19221" s="20"/>
      <c r="Z19221" s="20"/>
      <c r="AG19221" s="20"/>
      <c r="AQ19221" s="19"/>
      <c r="AR19221" s="19"/>
      <c r="AS19221" s="19"/>
      <c r="AT19221" s="19"/>
      <c r="AU19221" s="19"/>
    </row>
    <row r="19222" spans="3:47">
      <c r="C19222" s="20"/>
      <c r="Z19222" s="20"/>
      <c r="AG19222" s="20"/>
      <c r="AQ19222" s="19"/>
      <c r="AR19222" s="19"/>
      <c r="AS19222" s="19"/>
      <c r="AT19222" s="19"/>
      <c r="AU19222" s="19"/>
    </row>
    <row r="19223" spans="3:47">
      <c r="C19223" s="20"/>
      <c r="Z19223" s="20"/>
      <c r="AG19223" s="20"/>
      <c r="AQ19223" s="19"/>
      <c r="AR19223" s="19"/>
      <c r="AS19223" s="19"/>
      <c r="AT19223" s="19"/>
      <c r="AU19223" s="19"/>
    </row>
    <row r="19224" spans="3:47">
      <c r="C19224" s="20"/>
      <c r="Z19224" s="20"/>
      <c r="AG19224" s="20"/>
      <c r="AQ19224" s="19"/>
      <c r="AR19224" s="19"/>
      <c r="AS19224" s="19"/>
      <c r="AT19224" s="19"/>
      <c r="AU19224" s="19"/>
    </row>
    <row r="19225" spans="3:47">
      <c r="C19225" s="20"/>
      <c r="Z19225" s="20"/>
      <c r="AG19225" s="20"/>
      <c r="AQ19225" s="19"/>
      <c r="AR19225" s="19"/>
      <c r="AS19225" s="19"/>
      <c r="AT19225" s="19"/>
      <c r="AU19225" s="19"/>
    </row>
    <row r="19226" spans="3:47">
      <c r="C19226" s="20"/>
      <c r="Z19226" s="20"/>
      <c r="AG19226" s="20"/>
      <c r="AQ19226" s="19"/>
      <c r="AR19226" s="19"/>
      <c r="AS19226" s="19"/>
      <c r="AT19226" s="19"/>
      <c r="AU19226" s="19"/>
    </row>
    <row r="19227" spans="3:47">
      <c r="C19227" s="20"/>
      <c r="Z19227" s="20"/>
      <c r="AG19227" s="20"/>
      <c r="AQ19227" s="19"/>
      <c r="AR19227" s="19"/>
      <c r="AS19227" s="19"/>
      <c r="AT19227" s="19"/>
      <c r="AU19227" s="19"/>
    </row>
    <row r="19228" spans="3:47">
      <c r="C19228" s="20"/>
      <c r="Z19228" s="20"/>
      <c r="AG19228" s="20"/>
      <c r="AQ19228" s="19"/>
      <c r="AR19228" s="19"/>
      <c r="AS19228" s="19"/>
      <c r="AT19228" s="19"/>
      <c r="AU19228" s="19"/>
    </row>
    <row r="19229" spans="3:47">
      <c r="C19229" s="20"/>
      <c r="Z19229" s="20"/>
      <c r="AG19229" s="20"/>
      <c r="AQ19229" s="19"/>
      <c r="AR19229" s="19"/>
      <c r="AS19229" s="19"/>
      <c r="AT19229" s="19"/>
      <c r="AU19229" s="19"/>
    </row>
    <row r="19230" spans="3:47">
      <c r="C19230" s="20"/>
      <c r="Z19230" s="20"/>
      <c r="AG19230" s="20"/>
      <c r="AQ19230" s="19"/>
      <c r="AR19230" s="19"/>
      <c r="AS19230" s="19"/>
      <c r="AT19230" s="19"/>
      <c r="AU19230" s="19"/>
    </row>
    <row r="19231" spans="3:47">
      <c r="C19231" s="20"/>
      <c r="Z19231" s="20"/>
      <c r="AG19231" s="20"/>
      <c r="AQ19231" s="19"/>
      <c r="AR19231" s="19"/>
      <c r="AS19231" s="19"/>
      <c r="AT19231" s="19"/>
      <c r="AU19231" s="19"/>
    </row>
    <row r="19232" spans="3:47">
      <c r="C19232" s="20"/>
      <c r="Z19232" s="20"/>
      <c r="AG19232" s="20"/>
      <c r="AQ19232" s="19"/>
      <c r="AR19232" s="19"/>
      <c r="AS19232" s="19"/>
      <c r="AT19232" s="19"/>
      <c r="AU19232" s="19"/>
    </row>
    <row r="19233" spans="3:47">
      <c r="C19233" s="20"/>
      <c r="Z19233" s="20"/>
      <c r="AG19233" s="20"/>
      <c r="AQ19233" s="19"/>
      <c r="AR19233" s="19"/>
      <c r="AS19233" s="19"/>
      <c r="AT19233" s="19"/>
      <c r="AU19233" s="19"/>
    </row>
    <row r="19234" spans="3:47">
      <c r="C19234" s="20"/>
      <c r="Z19234" s="20"/>
      <c r="AG19234" s="20"/>
      <c r="AQ19234" s="19"/>
      <c r="AR19234" s="19"/>
      <c r="AS19234" s="19"/>
      <c r="AT19234" s="19"/>
      <c r="AU19234" s="19"/>
    </row>
    <row r="19235" spans="3:47">
      <c r="C19235" s="20"/>
      <c r="Z19235" s="20"/>
      <c r="AG19235" s="20"/>
      <c r="AQ19235" s="19"/>
      <c r="AR19235" s="19"/>
      <c r="AS19235" s="19"/>
      <c r="AT19235" s="19"/>
      <c r="AU19235" s="19"/>
    </row>
    <row r="19236" spans="3:47">
      <c r="C19236" s="20"/>
      <c r="Z19236" s="20"/>
      <c r="AG19236" s="20"/>
      <c r="AQ19236" s="19"/>
      <c r="AR19236" s="19"/>
      <c r="AS19236" s="19"/>
      <c r="AT19236" s="19"/>
      <c r="AU19236" s="19"/>
    </row>
    <row r="19237" spans="3:47">
      <c r="C19237" s="20"/>
      <c r="Z19237" s="20"/>
      <c r="AG19237" s="20"/>
      <c r="AQ19237" s="19"/>
      <c r="AR19237" s="19"/>
      <c r="AS19237" s="19"/>
      <c r="AT19237" s="19"/>
      <c r="AU19237" s="19"/>
    </row>
    <row r="19238" spans="3:47">
      <c r="C19238" s="20"/>
      <c r="Z19238" s="20"/>
      <c r="AG19238" s="20"/>
      <c r="AQ19238" s="19"/>
      <c r="AR19238" s="19"/>
      <c r="AS19238" s="19"/>
      <c r="AT19238" s="19"/>
      <c r="AU19238" s="19"/>
    </row>
    <row r="19239" spans="3:47">
      <c r="C19239" s="20"/>
      <c r="Z19239" s="20"/>
      <c r="AG19239" s="20"/>
      <c r="AQ19239" s="19"/>
      <c r="AR19239" s="19"/>
      <c r="AS19239" s="19"/>
      <c r="AT19239" s="19"/>
      <c r="AU19239" s="19"/>
    </row>
    <row r="19240" spans="3:47">
      <c r="C19240" s="20"/>
      <c r="Z19240" s="20"/>
      <c r="AG19240" s="20"/>
      <c r="AQ19240" s="19"/>
      <c r="AR19240" s="19"/>
      <c r="AS19240" s="19"/>
      <c r="AT19240" s="19"/>
      <c r="AU19240" s="19"/>
    </row>
    <row r="19241" spans="3:47">
      <c r="C19241" s="20"/>
      <c r="Z19241" s="20"/>
      <c r="AG19241" s="20"/>
      <c r="AQ19241" s="19"/>
      <c r="AR19241" s="19"/>
      <c r="AS19241" s="19"/>
      <c r="AT19241" s="19"/>
      <c r="AU19241" s="19"/>
    </row>
    <row r="19242" spans="3:47">
      <c r="C19242" s="20"/>
      <c r="Z19242" s="20"/>
      <c r="AG19242" s="20"/>
      <c r="AQ19242" s="19"/>
      <c r="AR19242" s="19"/>
      <c r="AS19242" s="19"/>
      <c r="AT19242" s="19"/>
      <c r="AU19242" s="19"/>
    </row>
    <row r="19243" spans="3:47">
      <c r="C19243" s="20"/>
      <c r="Z19243" s="20"/>
      <c r="AG19243" s="20"/>
      <c r="AQ19243" s="19"/>
      <c r="AR19243" s="19"/>
      <c r="AS19243" s="19"/>
      <c r="AT19243" s="19"/>
      <c r="AU19243" s="19"/>
    </row>
    <row r="19244" spans="3:47">
      <c r="C19244" s="20"/>
      <c r="Z19244" s="20"/>
      <c r="AG19244" s="20"/>
      <c r="AQ19244" s="19"/>
      <c r="AR19244" s="19"/>
      <c r="AS19244" s="19"/>
      <c r="AT19244" s="19"/>
      <c r="AU19244" s="19"/>
    </row>
    <row r="19245" spans="3:47">
      <c r="C19245" s="20"/>
      <c r="Z19245" s="20"/>
      <c r="AG19245" s="20"/>
      <c r="AQ19245" s="19"/>
      <c r="AR19245" s="19"/>
      <c r="AS19245" s="19"/>
      <c r="AT19245" s="19"/>
      <c r="AU19245" s="19"/>
    </row>
    <row r="19246" spans="3:47">
      <c r="C19246" s="20"/>
      <c r="Z19246" s="20"/>
      <c r="AG19246" s="20"/>
      <c r="AQ19246" s="19"/>
      <c r="AR19246" s="19"/>
      <c r="AS19246" s="19"/>
      <c r="AT19246" s="19"/>
      <c r="AU19246" s="19"/>
    </row>
    <row r="19247" spans="3:47">
      <c r="C19247" s="20"/>
      <c r="Z19247" s="20"/>
      <c r="AG19247" s="20"/>
      <c r="AQ19247" s="19"/>
      <c r="AR19247" s="19"/>
      <c r="AS19247" s="19"/>
      <c r="AT19247" s="19"/>
      <c r="AU19247" s="19"/>
    </row>
    <row r="19248" spans="3:47">
      <c r="C19248" s="20"/>
      <c r="Z19248" s="20"/>
      <c r="AG19248" s="20"/>
      <c r="AQ19248" s="19"/>
      <c r="AR19248" s="19"/>
      <c r="AS19248" s="19"/>
      <c r="AT19248" s="19"/>
      <c r="AU19248" s="19"/>
    </row>
    <row r="19249" spans="3:47">
      <c r="C19249" s="20"/>
      <c r="Z19249" s="20"/>
      <c r="AG19249" s="20"/>
      <c r="AQ19249" s="19"/>
      <c r="AR19249" s="19"/>
      <c r="AS19249" s="19"/>
      <c r="AT19249" s="19"/>
      <c r="AU19249" s="19"/>
    </row>
    <row r="19250" spans="3:47">
      <c r="C19250" s="20"/>
      <c r="Z19250" s="20"/>
      <c r="AG19250" s="20"/>
      <c r="AQ19250" s="19"/>
      <c r="AR19250" s="19"/>
      <c r="AS19250" s="19"/>
      <c r="AT19250" s="19"/>
      <c r="AU19250" s="19"/>
    </row>
    <row r="19251" spans="3:47">
      <c r="C19251" s="20"/>
      <c r="Z19251" s="20"/>
      <c r="AG19251" s="20"/>
      <c r="AQ19251" s="19"/>
      <c r="AR19251" s="19"/>
      <c r="AS19251" s="19"/>
      <c r="AT19251" s="19"/>
      <c r="AU19251" s="19"/>
    </row>
    <row r="19252" spans="3:47">
      <c r="C19252" s="20"/>
      <c r="Z19252" s="20"/>
      <c r="AG19252" s="20"/>
      <c r="AQ19252" s="19"/>
      <c r="AR19252" s="19"/>
      <c r="AS19252" s="19"/>
      <c r="AT19252" s="19"/>
      <c r="AU19252" s="19"/>
    </row>
    <row r="19253" spans="3:47">
      <c r="C19253" s="20"/>
      <c r="Z19253" s="20"/>
      <c r="AG19253" s="20"/>
      <c r="AQ19253" s="19"/>
      <c r="AR19253" s="19"/>
      <c r="AS19253" s="19"/>
      <c r="AT19253" s="19"/>
      <c r="AU19253" s="19"/>
    </row>
    <row r="19254" spans="3:47">
      <c r="C19254" s="20"/>
      <c r="Z19254" s="20"/>
      <c r="AG19254" s="20"/>
      <c r="AQ19254" s="19"/>
      <c r="AR19254" s="19"/>
      <c r="AS19254" s="19"/>
      <c r="AT19254" s="19"/>
      <c r="AU19254" s="19"/>
    </row>
    <row r="19255" spans="3:47">
      <c r="C19255" s="20"/>
      <c r="Z19255" s="20"/>
      <c r="AG19255" s="20"/>
      <c r="AQ19255" s="19"/>
      <c r="AR19255" s="19"/>
      <c r="AS19255" s="19"/>
      <c r="AT19255" s="19"/>
      <c r="AU19255" s="19"/>
    </row>
    <row r="19256" spans="3:47">
      <c r="C19256" s="20"/>
      <c r="Z19256" s="20"/>
      <c r="AG19256" s="20"/>
      <c r="AQ19256" s="19"/>
      <c r="AR19256" s="19"/>
      <c r="AS19256" s="19"/>
      <c r="AT19256" s="19"/>
      <c r="AU19256" s="19"/>
    </row>
    <row r="19257" spans="3:47">
      <c r="C19257" s="20"/>
      <c r="Z19257" s="20"/>
      <c r="AG19257" s="20"/>
      <c r="AQ19257" s="19"/>
      <c r="AR19257" s="19"/>
      <c r="AS19257" s="19"/>
      <c r="AT19257" s="19"/>
      <c r="AU19257" s="19"/>
    </row>
    <row r="19258" spans="3:47">
      <c r="C19258" s="20"/>
      <c r="Z19258" s="20"/>
      <c r="AG19258" s="20"/>
      <c r="AQ19258" s="19"/>
      <c r="AR19258" s="19"/>
      <c r="AS19258" s="19"/>
      <c r="AT19258" s="19"/>
      <c r="AU19258" s="19"/>
    </row>
    <row r="19259" spans="3:47">
      <c r="C19259" s="20"/>
      <c r="Z19259" s="20"/>
      <c r="AG19259" s="20"/>
      <c r="AQ19259" s="19"/>
      <c r="AR19259" s="19"/>
      <c r="AS19259" s="19"/>
      <c r="AT19259" s="19"/>
      <c r="AU19259" s="19"/>
    </row>
    <row r="19260" spans="3:47">
      <c r="C19260" s="20"/>
      <c r="Z19260" s="20"/>
      <c r="AG19260" s="20"/>
      <c r="AQ19260" s="19"/>
      <c r="AR19260" s="19"/>
      <c r="AS19260" s="19"/>
      <c r="AT19260" s="19"/>
      <c r="AU19260" s="19"/>
    </row>
    <row r="19261" spans="3:47">
      <c r="C19261" s="20"/>
      <c r="Z19261" s="20"/>
      <c r="AG19261" s="20"/>
      <c r="AQ19261" s="19"/>
      <c r="AR19261" s="19"/>
      <c r="AS19261" s="19"/>
      <c r="AT19261" s="19"/>
      <c r="AU19261" s="19"/>
    </row>
    <row r="19262" spans="3:47">
      <c r="C19262" s="20"/>
      <c r="Z19262" s="20"/>
      <c r="AG19262" s="20"/>
      <c r="AQ19262" s="19"/>
      <c r="AR19262" s="19"/>
      <c r="AS19262" s="19"/>
      <c r="AT19262" s="19"/>
      <c r="AU19262" s="19"/>
    </row>
    <row r="19263" spans="3:47">
      <c r="C19263" s="20"/>
      <c r="Z19263" s="20"/>
      <c r="AG19263" s="20"/>
      <c r="AQ19263" s="19"/>
      <c r="AR19263" s="19"/>
      <c r="AS19263" s="19"/>
      <c r="AT19263" s="19"/>
      <c r="AU19263" s="19"/>
    </row>
    <row r="19264" spans="3:47">
      <c r="C19264" s="20"/>
      <c r="Z19264" s="20"/>
      <c r="AG19264" s="20"/>
      <c r="AQ19264" s="19"/>
      <c r="AR19264" s="19"/>
      <c r="AS19264" s="19"/>
      <c r="AT19264" s="19"/>
      <c r="AU19264" s="19"/>
    </row>
    <row r="19265" spans="3:47">
      <c r="C19265" s="20"/>
      <c r="Z19265" s="20"/>
      <c r="AG19265" s="20"/>
      <c r="AQ19265" s="19"/>
      <c r="AR19265" s="19"/>
      <c r="AS19265" s="19"/>
      <c r="AT19265" s="19"/>
      <c r="AU19265" s="19"/>
    </row>
    <row r="19266" spans="3:47">
      <c r="C19266" s="20"/>
      <c r="Z19266" s="20"/>
      <c r="AG19266" s="20"/>
      <c r="AQ19266" s="19"/>
      <c r="AR19266" s="19"/>
      <c r="AS19266" s="19"/>
      <c r="AT19266" s="19"/>
      <c r="AU19266" s="19"/>
    </row>
    <row r="19267" spans="3:47">
      <c r="C19267" s="20"/>
      <c r="Z19267" s="20"/>
      <c r="AG19267" s="20"/>
      <c r="AQ19267" s="19"/>
      <c r="AR19267" s="19"/>
      <c r="AS19267" s="19"/>
      <c r="AT19267" s="19"/>
      <c r="AU19267" s="19"/>
    </row>
    <row r="19268" spans="3:47">
      <c r="C19268" s="20"/>
      <c r="Z19268" s="20"/>
      <c r="AG19268" s="20"/>
      <c r="AQ19268" s="19"/>
      <c r="AR19268" s="19"/>
      <c r="AS19268" s="19"/>
      <c r="AT19268" s="19"/>
      <c r="AU19268" s="19"/>
    </row>
    <row r="19269" spans="3:47">
      <c r="C19269" s="20"/>
      <c r="Z19269" s="20"/>
      <c r="AG19269" s="20"/>
      <c r="AQ19269" s="19"/>
      <c r="AR19269" s="19"/>
      <c r="AS19269" s="19"/>
      <c r="AT19269" s="19"/>
      <c r="AU19269" s="19"/>
    </row>
    <row r="19270" spans="3:47">
      <c r="C19270" s="20"/>
      <c r="Z19270" s="20"/>
      <c r="AG19270" s="20"/>
      <c r="AQ19270" s="19"/>
      <c r="AR19270" s="19"/>
      <c r="AS19270" s="19"/>
      <c r="AT19270" s="19"/>
      <c r="AU19270" s="19"/>
    </row>
    <row r="19271" spans="3:47">
      <c r="C19271" s="20"/>
      <c r="Z19271" s="20"/>
      <c r="AG19271" s="20"/>
      <c r="AQ19271" s="19"/>
      <c r="AR19271" s="19"/>
      <c r="AS19271" s="19"/>
      <c r="AT19271" s="19"/>
      <c r="AU19271" s="19"/>
    </row>
    <row r="19272" spans="3:47">
      <c r="C19272" s="20"/>
      <c r="Z19272" s="20"/>
      <c r="AG19272" s="20"/>
      <c r="AQ19272" s="19"/>
      <c r="AR19272" s="19"/>
      <c r="AS19272" s="19"/>
      <c r="AT19272" s="19"/>
      <c r="AU19272" s="19"/>
    </row>
    <row r="19273" spans="3:47">
      <c r="C19273" s="20"/>
      <c r="Z19273" s="20"/>
      <c r="AG19273" s="20"/>
      <c r="AQ19273" s="19"/>
      <c r="AR19273" s="19"/>
      <c r="AS19273" s="19"/>
      <c r="AT19273" s="19"/>
      <c r="AU19273" s="19"/>
    </row>
    <row r="19274" spans="3:47">
      <c r="C19274" s="20"/>
      <c r="Z19274" s="20"/>
      <c r="AG19274" s="20"/>
      <c r="AQ19274" s="19"/>
      <c r="AR19274" s="19"/>
      <c r="AS19274" s="19"/>
      <c r="AT19274" s="19"/>
      <c r="AU19274" s="19"/>
    </row>
    <row r="19275" spans="3:47">
      <c r="C19275" s="20"/>
      <c r="Z19275" s="20"/>
      <c r="AG19275" s="20"/>
      <c r="AQ19275" s="19"/>
      <c r="AR19275" s="19"/>
      <c r="AS19275" s="19"/>
      <c r="AT19275" s="19"/>
      <c r="AU19275" s="19"/>
    </row>
    <row r="19276" spans="3:47">
      <c r="C19276" s="20"/>
      <c r="Z19276" s="20"/>
      <c r="AG19276" s="20"/>
      <c r="AQ19276" s="19"/>
      <c r="AR19276" s="19"/>
      <c r="AS19276" s="19"/>
      <c r="AT19276" s="19"/>
      <c r="AU19276" s="19"/>
    </row>
    <row r="19277" spans="3:47">
      <c r="C19277" s="20"/>
      <c r="Z19277" s="20"/>
      <c r="AG19277" s="20"/>
      <c r="AQ19277" s="19"/>
      <c r="AR19277" s="19"/>
      <c r="AS19277" s="19"/>
      <c r="AT19277" s="19"/>
      <c r="AU19277" s="19"/>
    </row>
    <row r="19278" spans="3:47">
      <c r="C19278" s="20"/>
      <c r="Z19278" s="20"/>
      <c r="AG19278" s="20"/>
      <c r="AQ19278" s="19"/>
      <c r="AR19278" s="19"/>
      <c r="AS19278" s="19"/>
      <c r="AT19278" s="19"/>
      <c r="AU19278" s="19"/>
    </row>
    <row r="19279" spans="3:47">
      <c r="C19279" s="20"/>
      <c r="Z19279" s="20"/>
      <c r="AG19279" s="20"/>
      <c r="AQ19279" s="19"/>
      <c r="AR19279" s="19"/>
      <c r="AS19279" s="19"/>
      <c r="AT19279" s="19"/>
      <c r="AU19279" s="19"/>
    </row>
    <row r="19280" spans="3:47">
      <c r="C19280" s="20"/>
      <c r="Z19280" s="20"/>
      <c r="AG19280" s="20"/>
      <c r="AQ19280" s="19"/>
      <c r="AR19280" s="19"/>
      <c r="AS19280" s="19"/>
      <c r="AT19280" s="19"/>
      <c r="AU19280" s="19"/>
    </row>
    <row r="19281" spans="3:47">
      <c r="C19281" s="20"/>
      <c r="Z19281" s="20"/>
      <c r="AG19281" s="20"/>
      <c r="AQ19281" s="19"/>
      <c r="AR19281" s="19"/>
      <c r="AS19281" s="19"/>
      <c r="AT19281" s="19"/>
      <c r="AU19281" s="19"/>
    </row>
    <row r="19282" spans="3:47">
      <c r="C19282" s="20"/>
      <c r="Z19282" s="20"/>
      <c r="AG19282" s="20"/>
      <c r="AQ19282" s="19"/>
      <c r="AR19282" s="19"/>
      <c r="AS19282" s="19"/>
      <c r="AT19282" s="19"/>
      <c r="AU19282" s="19"/>
    </row>
    <row r="19283" spans="3:47">
      <c r="C19283" s="20"/>
      <c r="Z19283" s="20"/>
      <c r="AG19283" s="20"/>
      <c r="AQ19283" s="19"/>
      <c r="AR19283" s="19"/>
      <c r="AS19283" s="19"/>
      <c r="AT19283" s="19"/>
      <c r="AU19283" s="19"/>
    </row>
    <row r="19284" spans="3:47">
      <c r="C19284" s="20"/>
      <c r="Z19284" s="20"/>
      <c r="AG19284" s="20"/>
      <c r="AQ19284" s="19"/>
      <c r="AR19284" s="19"/>
      <c r="AS19284" s="19"/>
      <c r="AT19284" s="19"/>
      <c r="AU19284" s="19"/>
    </row>
    <row r="19285" spans="3:47">
      <c r="C19285" s="20"/>
      <c r="Z19285" s="20"/>
      <c r="AG19285" s="20"/>
      <c r="AQ19285" s="19"/>
      <c r="AR19285" s="19"/>
      <c r="AS19285" s="19"/>
      <c r="AT19285" s="19"/>
      <c r="AU19285" s="19"/>
    </row>
    <row r="19286" spans="3:47">
      <c r="C19286" s="20"/>
      <c r="Z19286" s="20"/>
      <c r="AG19286" s="20"/>
      <c r="AQ19286" s="19"/>
      <c r="AR19286" s="19"/>
      <c r="AS19286" s="19"/>
      <c r="AT19286" s="19"/>
      <c r="AU19286" s="19"/>
    </row>
    <row r="19287" spans="3:47">
      <c r="C19287" s="20"/>
      <c r="Z19287" s="20"/>
      <c r="AG19287" s="20"/>
      <c r="AQ19287" s="19"/>
      <c r="AR19287" s="19"/>
      <c r="AS19287" s="19"/>
      <c r="AT19287" s="19"/>
      <c r="AU19287" s="19"/>
    </row>
    <row r="19288" spans="3:47">
      <c r="C19288" s="20"/>
      <c r="Z19288" s="20"/>
      <c r="AG19288" s="20"/>
      <c r="AQ19288" s="19"/>
      <c r="AR19288" s="19"/>
      <c r="AS19288" s="19"/>
      <c r="AT19288" s="19"/>
      <c r="AU19288" s="19"/>
    </row>
    <row r="19289" spans="3:47">
      <c r="C19289" s="20"/>
      <c r="Z19289" s="20"/>
      <c r="AG19289" s="20"/>
      <c r="AQ19289" s="19"/>
      <c r="AR19289" s="19"/>
      <c r="AS19289" s="19"/>
      <c r="AT19289" s="19"/>
      <c r="AU19289" s="19"/>
    </row>
    <row r="19290" spans="3:47">
      <c r="C19290" s="20"/>
      <c r="Z19290" s="20"/>
      <c r="AG19290" s="20"/>
      <c r="AQ19290" s="19"/>
      <c r="AR19290" s="19"/>
      <c r="AS19290" s="19"/>
      <c r="AT19290" s="19"/>
      <c r="AU19290" s="19"/>
    </row>
    <row r="19291" spans="3:47">
      <c r="C19291" s="20"/>
      <c r="Z19291" s="20"/>
      <c r="AG19291" s="20"/>
      <c r="AQ19291" s="19"/>
      <c r="AR19291" s="19"/>
      <c r="AS19291" s="19"/>
      <c r="AT19291" s="19"/>
      <c r="AU19291" s="19"/>
    </row>
    <row r="19292" spans="3:47">
      <c r="C19292" s="20"/>
      <c r="Z19292" s="20"/>
      <c r="AG19292" s="20"/>
      <c r="AQ19292" s="19"/>
      <c r="AR19292" s="19"/>
      <c r="AS19292" s="19"/>
      <c r="AT19292" s="19"/>
      <c r="AU19292" s="19"/>
    </row>
    <row r="19293" spans="3:47">
      <c r="C19293" s="20"/>
      <c r="Z19293" s="20"/>
      <c r="AG19293" s="20"/>
      <c r="AQ19293" s="19"/>
      <c r="AR19293" s="19"/>
      <c r="AS19293" s="19"/>
      <c r="AT19293" s="19"/>
      <c r="AU19293" s="19"/>
    </row>
    <row r="19294" spans="3:47">
      <c r="C19294" s="20"/>
      <c r="Z19294" s="20"/>
      <c r="AG19294" s="20"/>
      <c r="AQ19294" s="19"/>
      <c r="AR19294" s="19"/>
      <c r="AS19294" s="19"/>
      <c r="AT19294" s="19"/>
      <c r="AU19294" s="19"/>
    </row>
    <row r="19295" spans="3:47">
      <c r="C19295" s="20"/>
      <c r="Z19295" s="20"/>
      <c r="AG19295" s="20"/>
      <c r="AQ19295" s="19"/>
      <c r="AR19295" s="19"/>
      <c r="AS19295" s="19"/>
      <c r="AT19295" s="19"/>
      <c r="AU19295" s="19"/>
    </row>
    <row r="19296" spans="3:47">
      <c r="C19296" s="20"/>
      <c r="Z19296" s="20"/>
      <c r="AG19296" s="20"/>
      <c r="AQ19296" s="19"/>
      <c r="AR19296" s="19"/>
      <c r="AS19296" s="19"/>
      <c r="AT19296" s="19"/>
      <c r="AU19296" s="19"/>
    </row>
    <row r="19297" spans="3:47">
      <c r="C19297" s="20"/>
      <c r="Z19297" s="20"/>
      <c r="AG19297" s="20"/>
      <c r="AQ19297" s="19"/>
      <c r="AR19297" s="19"/>
      <c r="AS19297" s="19"/>
      <c r="AT19297" s="19"/>
      <c r="AU19297" s="19"/>
    </row>
    <row r="19298" spans="3:47">
      <c r="C19298" s="20"/>
      <c r="Z19298" s="20"/>
      <c r="AG19298" s="20"/>
      <c r="AQ19298" s="19"/>
      <c r="AR19298" s="19"/>
      <c r="AS19298" s="19"/>
      <c r="AT19298" s="19"/>
      <c r="AU19298" s="19"/>
    </row>
    <row r="19299" spans="3:47">
      <c r="C19299" s="20"/>
      <c r="Z19299" s="20"/>
      <c r="AG19299" s="20"/>
      <c r="AQ19299" s="19"/>
      <c r="AR19299" s="19"/>
      <c r="AS19299" s="19"/>
      <c r="AT19299" s="19"/>
      <c r="AU19299" s="19"/>
    </row>
    <row r="19300" spans="3:47">
      <c r="C19300" s="20"/>
      <c r="Z19300" s="20"/>
      <c r="AG19300" s="20"/>
      <c r="AQ19300" s="19"/>
      <c r="AR19300" s="19"/>
      <c r="AS19300" s="19"/>
      <c r="AT19300" s="19"/>
      <c r="AU19300" s="19"/>
    </row>
    <row r="19301" spans="3:47">
      <c r="C19301" s="20"/>
      <c r="Z19301" s="20"/>
      <c r="AG19301" s="20"/>
      <c r="AQ19301" s="19"/>
      <c r="AR19301" s="19"/>
      <c r="AS19301" s="19"/>
      <c r="AT19301" s="19"/>
      <c r="AU19301" s="19"/>
    </row>
    <row r="19302" spans="3:47">
      <c r="C19302" s="20"/>
      <c r="Z19302" s="20"/>
      <c r="AG19302" s="20"/>
      <c r="AQ19302" s="19"/>
      <c r="AR19302" s="19"/>
      <c r="AS19302" s="19"/>
      <c r="AT19302" s="19"/>
      <c r="AU19302" s="19"/>
    </row>
    <row r="19303" spans="3:47">
      <c r="C19303" s="20"/>
      <c r="Z19303" s="20"/>
      <c r="AG19303" s="20"/>
      <c r="AQ19303" s="19"/>
      <c r="AR19303" s="19"/>
      <c r="AS19303" s="19"/>
      <c r="AT19303" s="19"/>
      <c r="AU19303" s="19"/>
    </row>
    <row r="19304" spans="3:47">
      <c r="C19304" s="20"/>
      <c r="Z19304" s="20"/>
      <c r="AG19304" s="20"/>
      <c r="AQ19304" s="19"/>
      <c r="AR19304" s="19"/>
      <c r="AS19304" s="19"/>
      <c r="AT19304" s="19"/>
      <c r="AU19304" s="19"/>
    </row>
    <row r="19305" spans="3:47">
      <c r="C19305" s="20"/>
      <c r="Z19305" s="20"/>
      <c r="AG19305" s="20"/>
      <c r="AQ19305" s="19"/>
      <c r="AR19305" s="19"/>
      <c r="AS19305" s="19"/>
      <c r="AT19305" s="19"/>
      <c r="AU19305" s="19"/>
    </row>
    <row r="19306" spans="3:47">
      <c r="C19306" s="20"/>
      <c r="Z19306" s="20"/>
      <c r="AG19306" s="20"/>
      <c r="AQ19306" s="19"/>
      <c r="AR19306" s="19"/>
      <c r="AS19306" s="19"/>
      <c r="AT19306" s="19"/>
      <c r="AU19306" s="19"/>
    </row>
    <row r="19307" spans="3:47">
      <c r="C19307" s="20"/>
      <c r="Z19307" s="20"/>
      <c r="AG19307" s="20"/>
      <c r="AQ19307" s="19"/>
      <c r="AR19307" s="19"/>
      <c r="AS19307" s="19"/>
      <c r="AT19307" s="19"/>
      <c r="AU19307" s="19"/>
    </row>
    <row r="19308" spans="3:47">
      <c r="C19308" s="20"/>
      <c r="Z19308" s="20"/>
      <c r="AG19308" s="20"/>
      <c r="AQ19308" s="19"/>
      <c r="AR19308" s="19"/>
      <c r="AS19308" s="19"/>
      <c r="AT19308" s="19"/>
      <c r="AU19308" s="19"/>
    </row>
    <row r="19309" spans="3:47">
      <c r="C19309" s="20"/>
      <c r="Z19309" s="20"/>
      <c r="AG19309" s="20"/>
      <c r="AQ19309" s="19"/>
      <c r="AR19309" s="19"/>
      <c r="AS19309" s="19"/>
      <c r="AT19309" s="19"/>
      <c r="AU19309" s="19"/>
    </row>
    <row r="19310" spans="3:47">
      <c r="C19310" s="20"/>
      <c r="Z19310" s="20"/>
      <c r="AG19310" s="20"/>
      <c r="AQ19310" s="19"/>
      <c r="AR19310" s="19"/>
      <c r="AS19310" s="19"/>
      <c r="AT19310" s="19"/>
      <c r="AU19310" s="19"/>
    </row>
    <row r="19311" spans="3:47">
      <c r="C19311" s="20"/>
      <c r="Z19311" s="20"/>
      <c r="AG19311" s="20"/>
      <c r="AQ19311" s="19"/>
      <c r="AR19311" s="19"/>
      <c r="AS19311" s="19"/>
      <c r="AT19311" s="19"/>
      <c r="AU19311" s="19"/>
    </row>
    <row r="19312" spans="3:47">
      <c r="C19312" s="20"/>
      <c r="Z19312" s="20"/>
      <c r="AG19312" s="20"/>
      <c r="AQ19312" s="19"/>
      <c r="AR19312" s="19"/>
      <c r="AS19312" s="19"/>
      <c r="AT19312" s="19"/>
      <c r="AU19312" s="19"/>
    </row>
    <row r="19313" spans="3:47">
      <c r="C19313" s="20"/>
      <c r="Z19313" s="20"/>
      <c r="AG19313" s="20"/>
      <c r="AQ19313" s="19"/>
      <c r="AR19313" s="19"/>
      <c r="AS19313" s="19"/>
      <c r="AT19313" s="19"/>
      <c r="AU19313" s="19"/>
    </row>
    <row r="19314" spans="3:47">
      <c r="C19314" s="20"/>
      <c r="Z19314" s="20"/>
      <c r="AG19314" s="20"/>
      <c r="AQ19314" s="19"/>
      <c r="AR19314" s="19"/>
      <c r="AS19314" s="19"/>
      <c r="AT19314" s="19"/>
      <c r="AU19314" s="19"/>
    </row>
    <row r="19315" spans="3:47">
      <c r="C19315" s="20"/>
      <c r="Z19315" s="20"/>
      <c r="AG19315" s="20"/>
      <c r="AQ19315" s="19"/>
      <c r="AR19315" s="19"/>
      <c r="AS19315" s="19"/>
      <c r="AT19315" s="19"/>
      <c r="AU19315" s="19"/>
    </row>
    <row r="19316" spans="3:47">
      <c r="C19316" s="20"/>
      <c r="Z19316" s="20"/>
      <c r="AG19316" s="20"/>
      <c r="AQ19316" s="19"/>
      <c r="AR19316" s="19"/>
      <c r="AS19316" s="19"/>
      <c r="AT19316" s="19"/>
      <c r="AU19316" s="19"/>
    </row>
    <row r="19317" spans="3:47">
      <c r="C19317" s="20"/>
      <c r="Z19317" s="20"/>
      <c r="AG19317" s="20"/>
      <c r="AQ19317" s="19"/>
      <c r="AR19317" s="19"/>
      <c r="AS19317" s="19"/>
      <c r="AT19317" s="19"/>
      <c r="AU19317" s="19"/>
    </row>
    <row r="19318" spans="3:47">
      <c r="C19318" s="20"/>
      <c r="Z19318" s="20"/>
      <c r="AG19318" s="20"/>
      <c r="AQ19318" s="19"/>
      <c r="AR19318" s="19"/>
      <c r="AS19318" s="19"/>
      <c r="AT19318" s="19"/>
      <c r="AU19318" s="19"/>
    </row>
    <row r="19319" spans="3:47">
      <c r="C19319" s="20"/>
      <c r="Z19319" s="20"/>
      <c r="AG19319" s="20"/>
      <c r="AQ19319" s="19"/>
      <c r="AR19319" s="19"/>
      <c r="AS19319" s="19"/>
      <c r="AT19319" s="19"/>
      <c r="AU19319" s="19"/>
    </row>
    <row r="19320" spans="3:47">
      <c r="C19320" s="20"/>
      <c r="Z19320" s="20"/>
      <c r="AG19320" s="20"/>
      <c r="AQ19320" s="19"/>
      <c r="AR19320" s="19"/>
      <c r="AS19320" s="19"/>
      <c r="AT19320" s="19"/>
      <c r="AU19320" s="19"/>
    </row>
    <row r="19321" spans="3:47">
      <c r="C19321" s="20"/>
      <c r="Z19321" s="20"/>
      <c r="AG19321" s="20"/>
      <c r="AQ19321" s="19"/>
      <c r="AR19321" s="19"/>
      <c r="AS19321" s="19"/>
      <c r="AT19321" s="19"/>
      <c r="AU19321" s="19"/>
    </row>
    <row r="19322" spans="3:47">
      <c r="C19322" s="20"/>
      <c r="Z19322" s="20"/>
      <c r="AG19322" s="20"/>
      <c r="AQ19322" s="19"/>
      <c r="AR19322" s="19"/>
      <c r="AS19322" s="19"/>
      <c r="AT19322" s="19"/>
      <c r="AU19322" s="19"/>
    </row>
    <row r="19323" spans="3:47">
      <c r="C19323" s="20"/>
      <c r="Z19323" s="20"/>
      <c r="AG19323" s="20"/>
      <c r="AQ19323" s="19"/>
      <c r="AR19323" s="19"/>
      <c r="AS19323" s="19"/>
      <c r="AT19323" s="19"/>
      <c r="AU19323" s="19"/>
    </row>
    <row r="19324" spans="3:47">
      <c r="C19324" s="20"/>
      <c r="Z19324" s="20"/>
      <c r="AG19324" s="20"/>
      <c r="AQ19324" s="19"/>
      <c r="AR19324" s="19"/>
      <c r="AS19324" s="19"/>
      <c r="AT19324" s="19"/>
      <c r="AU19324" s="19"/>
    </row>
    <row r="19325" spans="3:47">
      <c r="C19325" s="20"/>
      <c r="Z19325" s="20"/>
      <c r="AG19325" s="20"/>
      <c r="AQ19325" s="19"/>
      <c r="AR19325" s="19"/>
      <c r="AS19325" s="19"/>
      <c r="AT19325" s="19"/>
      <c r="AU19325" s="19"/>
    </row>
    <row r="19326" spans="3:47">
      <c r="C19326" s="20"/>
      <c r="Z19326" s="20"/>
      <c r="AG19326" s="20"/>
      <c r="AQ19326" s="19"/>
      <c r="AR19326" s="19"/>
      <c r="AS19326" s="19"/>
      <c r="AT19326" s="19"/>
      <c r="AU19326" s="19"/>
    </row>
    <row r="19327" spans="3:47">
      <c r="C19327" s="20"/>
      <c r="Z19327" s="20"/>
      <c r="AG19327" s="20"/>
      <c r="AQ19327" s="19"/>
      <c r="AR19327" s="19"/>
      <c r="AS19327" s="19"/>
      <c r="AT19327" s="19"/>
      <c r="AU19327" s="19"/>
    </row>
    <row r="19328" spans="3:47">
      <c r="C19328" s="20"/>
      <c r="Z19328" s="20"/>
      <c r="AG19328" s="20"/>
      <c r="AQ19328" s="19"/>
      <c r="AR19328" s="19"/>
      <c r="AS19328" s="19"/>
      <c r="AT19328" s="19"/>
      <c r="AU19328" s="19"/>
    </row>
    <row r="19329" spans="3:47">
      <c r="C19329" s="20"/>
      <c r="Z19329" s="20"/>
      <c r="AG19329" s="20"/>
      <c r="AQ19329" s="19"/>
      <c r="AR19329" s="19"/>
      <c r="AS19329" s="19"/>
      <c r="AT19329" s="19"/>
      <c r="AU19329" s="19"/>
    </row>
    <row r="19330" spans="3:47">
      <c r="C19330" s="20"/>
      <c r="Z19330" s="20"/>
      <c r="AG19330" s="20"/>
      <c r="AQ19330" s="19"/>
      <c r="AR19330" s="19"/>
      <c r="AS19330" s="19"/>
      <c r="AT19330" s="19"/>
      <c r="AU19330" s="19"/>
    </row>
    <row r="19331" spans="3:47">
      <c r="C19331" s="20"/>
      <c r="Z19331" s="20"/>
      <c r="AG19331" s="20"/>
      <c r="AQ19331" s="19"/>
      <c r="AR19331" s="19"/>
      <c r="AS19331" s="19"/>
      <c r="AT19331" s="19"/>
      <c r="AU19331" s="19"/>
    </row>
    <row r="19332" spans="3:47">
      <c r="C19332" s="20"/>
      <c r="Z19332" s="20"/>
      <c r="AG19332" s="20"/>
      <c r="AQ19332" s="19"/>
      <c r="AR19332" s="19"/>
      <c r="AS19332" s="19"/>
      <c r="AT19332" s="19"/>
      <c r="AU19332" s="19"/>
    </row>
    <row r="19333" spans="3:47">
      <c r="C19333" s="20"/>
      <c r="Z19333" s="20"/>
      <c r="AG19333" s="20"/>
      <c r="AQ19333" s="19"/>
      <c r="AR19333" s="19"/>
      <c r="AS19333" s="19"/>
      <c r="AT19333" s="19"/>
      <c r="AU19333" s="19"/>
    </row>
    <row r="19334" spans="3:47">
      <c r="C19334" s="20"/>
      <c r="Z19334" s="20"/>
      <c r="AG19334" s="20"/>
      <c r="AQ19334" s="19"/>
      <c r="AR19334" s="19"/>
      <c r="AS19334" s="19"/>
      <c r="AT19334" s="19"/>
      <c r="AU19334" s="19"/>
    </row>
    <row r="19335" spans="3:47">
      <c r="C19335" s="20"/>
      <c r="Z19335" s="20"/>
      <c r="AG19335" s="20"/>
      <c r="AQ19335" s="19"/>
      <c r="AR19335" s="19"/>
      <c r="AS19335" s="19"/>
      <c r="AT19335" s="19"/>
      <c r="AU19335" s="19"/>
    </row>
    <row r="19336" spans="3:47">
      <c r="C19336" s="20"/>
      <c r="Z19336" s="20"/>
      <c r="AG19336" s="20"/>
      <c r="AQ19336" s="19"/>
      <c r="AR19336" s="19"/>
      <c r="AS19336" s="19"/>
      <c r="AT19336" s="19"/>
      <c r="AU19336" s="19"/>
    </row>
    <row r="19337" spans="3:47">
      <c r="C19337" s="20"/>
      <c r="Z19337" s="20"/>
      <c r="AG19337" s="20"/>
      <c r="AQ19337" s="19"/>
      <c r="AR19337" s="19"/>
      <c r="AS19337" s="19"/>
      <c r="AT19337" s="19"/>
      <c r="AU19337" s="19"/>
    </row>
    <row r="19338" spans="3:47">
      <c r="C19338" s="20"/>
      <c r="Z19338" s="20"/>
      <c r="AG19338" s="20"/>
      <c r="AQ19338" s="19"/>
      <c r="AR19338" s="19"/>
      <c r="AS19338" s="19"/>
      <c r="AT19338" s="19"/>
      <c r="AU19338" s="19"/>
    </row>
    <row r="19339" spans="3:47">
      <c r="C19339" s="20"/>
      <c r="Z19339" s="20"/>
      <c r="AG19339" s="20"/>
      <c r="AQ19339" s="19"/>
      <c r="AR19339" s="19"/>
      <c r="AS19339" s="19"/>
      <c r="AT19339" s="19"/>
      <c r="AU19339" s="19"/>
    </row>
    <row r="19340" spans="3:47">
      <c r="C19340" s="20"/>
      <c r="Z19340" s="20"/>
      <c r="AG19340" s="20"/>
      <c r="AQ19340" s="19"/>
      <c r="AR19340" s="19"/>
      <c r="AS19340" s="19"/>
      <c r="AT19340" s="19"/>
      <c r="AU19340" s="19"/>
    </row>
    <row r="19341" spans="3:47">
      <c r="C19341" s="20"/>
      <c r="Z19341" s="20"/>
      <c r="AG19341" s="20"/>
      <c r="AQ19341" s="19"/>
      <c r="AR19341" s="19"/>
      <c r="AS19341" s="19"/>
      <c r="AT19341" s="19"/>
      <c r="AU19341" s="19"/>
    </row>
    <row r="19342" spans="3:47">
      <c r="C19342" s="20"/>
      <c r="Z19342" s="20"/>
      <c r="AG19342" s="20"/>
      <c r="AQ19342" s="19"/>
      <c r="AR19342" s="19"/>
      <c r="AS19342" s="19"/>
      <c r="AT19342" s="19"/>
      <c r="AU19342" s="19"/>
    </row>
    <row r="19343" spans="3:47">
      <c r="C19343" s="20"/>
      <c r="Z19343" s="20"/>
      <c r="AG19343" s="20"/>
      <c r="AQ19343" s="19"/>
      <c r="AR19343" s="19"/>
      <c r="AS19343" s="19"/>
      <c r="AT19343" s="19"/>
      <c r="AU19343" s="19"/>
    </row>
    <row r="19344" spans="3:47">
      <c r="C19344" s="20"/>
      <c r="Z19344" s="20"/>
      <c r="AG19344" s="20"/>
      <c r="AQ19344" s="19"/>
      <c r="AR19344" s="19"/>
      <c r="AS19344" s="19"/>
      <c r="AT19344" s="19"/>
      <c r="AU19344" s="19"/>
    </row>
    <row r="19345" spans="3:47">
      <c r="C19345" s="20"/>
      <c r="Z19345" s="20"/>
      <c r="AG19345" s="20"/>
      <c r="AQ19345" s="19"/>
      <c r="AR19345" s="19"/>
      <c r="AS19345" s="19"/>
      <c r="AT19345" s="19"/>
      <c r="AU19345" s="19"/>
    </row>
    <row r="19346" spans="3:47">
      <c r="C19346" s="20"/>
      <c r="Z19346" s="20"/>
      <c r="AG19346" s="20"/>
      <c r="AQ19346" s="19"/>
      <c r="AR19346" s="19"/>
      <c r="AS19346" s="19"/>
      <c r="AT19346" s="19"/>
      <c r="AU19346" s="19"/>
    </row>
    <row r="19347" spans="3:47">
      <c r="C19347" s="20"/>
      <c r="Z19347" s="20"/>
      <c r="AG19347" s="20"/>
      <c r="AQ19347" s="19"/>
      <c r="AR19347" s="19"/>
      <c r="AS19347" s="19"/>
      <c r="AT19347" s="19"/>
      <c r="AU19347" s="19"/>
    </row>
    <row r="19348" spans="3:47">
      <c r="C19348" s="20"/>
      <c r="Z19348" s="20"/>
      <c r="AG19348" s="20"/>
      <c r="AQ19348" s="19"/>
      <c r="AR19348" s="19"/>
      <c r="AS19348" s="19"/>
      <c r="AT19348" s="19"/>
      <c r="AU19348" s="19"/>
    </row>
    <row r="19349" spans="3:47">
      <c r="C19349" s="20"/>
      <c r="Z19349" s="20"/>
      <c r="AG19349" s="20"/>
      <c r="AQ19349" s="19"/>
      <c r="AR19349" s="19"/>
      <c r="AS19349" s="19"/>
      <c r="AT19349" s="19"/>
      <c r="AU19349" s="19"/>
    </row>
    <row r="19350" spans="3:47">
      <c r="C19350" s="20"/>
      <c r="Z19350" s="20"/>
      <c r="AG19350" s="20"/>
      <c r="AQ19350" s="19"/>
      <c r="AR19350" s="19"/>
      <c r="AS19350" s="19"/>
      <c r="AT19350" s="19"/>
      <c r="AU19350" s="19"/>
    </row>
    <row r="19351" spans="3:47">
      <c r="C19351" s="20"/>
      <c r="Z19351" s="20"/>
      <c r="AG19351" s="20"/>
      <c r="AQ19351" s="19"/>
      <c r="AR19351" s="19"/>
      <c r="AS19351" s="19"/>
      <c r="AT19351" s="19"/>
      <c r="AU19351" s="19"/>
    </row>
    <row r="19352" spans="3:47">
      <c r="C19352" s="20"/>
      <c r="Z19352" s="20"/>
      <c r="AG19352" s="20"/>
      <c r="AQ19352" s="19"/>
      <c r="AR19352" s="19"/>
      <c r="AS19352" s="19"/>
      <c r="AT19352" s="19"/>
      <c r="AU19352" s="19"/>
    </row>
    <row r="19353" spans="3:47">
      <c r="C19353" s="20"/>
      <c r="Z19353" s="20"/>
      <c r="AG19353" s="20"/>
      <c r="AQ19353" s="19"/>
      <c r="AR19353" s="19"/>
      <c r="AS19353" s="19"/>
      <c r="AT19353" s="19"/>
      <c r="AU19353" s="19"/>
    </row>
    <row r="19354" spans="3:47">
      <c r="C19354" s="20"/>
      <c r="Z19354" s="20"/>
      <c r="AG19354" s="20"/>
      <c r="AQ19354" s="19"/>
      <c r="AR19354" s="19"/>
      <c r="AS19354" s="19"/>
      <c r="AT19354" s="19"/>
      <c r="AU19354" s="19"/>
    </row>
    <row r="19355" spans="3:47">
      <c r="C19355" s="20"/>
      <c r="Z19355" s="20"/>
      <c r="AG19355" s="20"/>
      <c r="AQ19355" s="19"/>
      <c r="AR19355" s="19"/>
      <c r="AS19355" s="19"/>
      <c r="AT19355" s="19"/>
      <c r="AU19355" s="19"/>
    </row>
    <row r="19356" spans="3:47">
      <c r="C19356" s="20"/>
      <c r="Z19356" s="20"/>
      <c r="AG19356" s="20"/>
      <c r="AQ19356" s="19"/>
      <c r="AR19356" s="19"/>
      <c r="AS19356" s="19"/>
      <c r="AT19356" s="19"/>
      <c r="AU19356" s="19"/>
    </row>
    <row r="19357" spans="3:47">
      <c r="C19357" s="20"/>
      <c r="Z19357" s="20"/>
      <c r="AG19357" s="20"/>
      <c r="AQ19357" s="19"/>
      <c r="AR19357" s="19"/>
      <c r="AS19357" s="19"/>
      <c r="AT19357" s="19"/>
      <c r="AU19357" s="19"/>
    </row>
    <row r="19358" spans="3:47">
      <c r="C19358" s="20"/>
      <c r="Z19358" s="20"/>
      <c r="AG19358" s="20"/>
      <c r="AQ19358" s="19"/>
      <c r="AR19358" s="19"/>
      <c r="AS19358" s="19"/>
      <c r="AT19358" s="19"/>
      <c r="AU19358" s="19"/>
    </row>
    <row r="19359" spans="3:47">
      <c r="C19359" s="20"/>
      <c r="Z19359" s="20"/>
      <c r="AG19359" s="20"/>
      <c r="AQ19359" s="19"/>
      <c r="AR19359" s="19"/>
      <c r="AS19359" s="19"/>
      <c r="AT19359" s="19"/>
      <c r="AU19359" s="19"/>
    </row>
    <row r="19360" spans="3:47">
      <c r="C19360" s="20"/>
      <c r="Z19360" s="20"/>
      <c r="AG19360" s="20"/>
      <c r="AQ19360" s="19"/>
      <c r="AR19360" s="19"/>
      <c r="AS19360" s="19"/>
      <c r="AT19360" s="19"/>
      <c r="AU19360" s="19"/>
    </row>
    <row r="19361" spans="3:47">
      <c r="C19361" s="20"/>
      <c r="Z19361" s="20"/>
      <c r="AG19361" s="20"/>
      <c r="AQ19361" s="19"/>
      <c r="AR19361" s="19"/>
      <c r="AS19361" s="19"/>
      <c r="AT19361" s="19"/>
      <c r="AU19361" s="19"/>
    </row>
    <row r="19362" spans="3:47">
      <c r="C19362" s="20"/>
      <c r="Z19362" s="20"/>
      <c r="AG19362" s="20"/>
      <c r="AQ19362" s="19"/>
      <c r="AR19362" s="19"/>
      <c r="AS19362" s="19"/>
      <c r="AT19362" s="19"/>
      <c r="AU19362" s="19"/>
    </row>
    <row r="19363" spans="3:47">
      <c r="C19363" s="20"/>
      <c r="Z19363" s="20"/>
      <c r="AG19363" s="20"/>
      <c r="AQ19363" s="19"/>
      <c r="AR19363" s="19"/>
      <c r="AS19363" s="19"/>
      <c r="AT19363" s="19"/>
      <c r="AU19363" s="19"/>
    </row>
    <row r="19364" spans="3:47">
      <c r="C19364" s="20"/>
      <c r="Z19364" s="20"/>
      <c r="AG19364" s="20"/>
      <c r="AQ19364" s="19"/>
      <c r="AR19364" s="19"/>
      <c r="AS19364" s="19"/>
      <c r="AT19364" s="19"/>
      <c r="AU19364" s="19"/>
    </row>
    <row r="19365" spans="3:47">
      <c r="C19365" s="20"/>
      <c r="Z19365" s="20"/>
      <c r="AG19365" s="20"/>
      <c r="AQ19365" s="19"/>
      <c r="AR19365" s="19"/>
      <c r="AS19365" s="19"/>
      <c r="AT19365" s="19"/>
      <c r="AU19365" s="19"/>
    </row>
    <row r="19366" spans="3:47">
      <c r="C19366" s="20"/>
      <c r="Z19366" s="20"/>
      <c r="AG19366" s="20"/>
      <c r="AQ19366" s="19"/>
      <c r="AR19366" s="19"/>
      <c r="AS19366" s="19"/>
      <c r="AT19366" s="19"/>
      <c r="AU19366" s="19"/>
    </row>
    <row r="19367" spans="3:47">
      <c r="C19367" s="20"/>
      <c r="Z19367" s="20"/>
      <c r="AG19367" s="20"/>
      <c r="AQ19367" s="19"/>
      <c r="AR19367" s="19"/>
      <c r="AS19367" s="19"/>
      <c r="AT19367" s="19"/>
      <c r="AU19367" s="19"/>
    </row>
    <row r="19368" spans="3:47">
      <c r="C19368" s="20"/>
      <c r="Z19368" s="20"/>
      <c r="AG19368" s="20"/>
      <c r="AQ19368" s="19"/>
      <c r="AR19368" s="19"/>
      <c r="AS19368" s="19"/>
      <c r="AT19368" s="19"/>
      <c r="AU19368" s="19"/>
    </row>
    <row r="19369" spans="3:47">
      <c r="C19369" s="20"/>
      <c r="Z19369" s="20"/>
      <c r="AG19369" s="20"/>
      <c r="AQ19369" s="19"/>
      <c r="AR19369" s="19"/>
      <c r="AS19369" s="19"/>
      <c r="AT19369" s="19"/>
      <c r="AU19369" s="19"/>
    </row>
    <row r="19370" spans="3:47">
      <c r="C19370" s="20"/>
      <c r="Z19370" s="20"/>
      <c r="AG19370" s="20"/>
      <c r="AQ19370" s="19"/>
      <c r="AR19370" s="19"/>
      <c r="AS19370" s="19"/>
      <c r="AT19370" s="19"/>
      <c r="AU19370" s="19"/>
    </row>
    <row r="19371" spans="3:47">
      <c r="C19371" s="20"/>
      <c r="Z19371" s="20"/>
      <c r="AG19371" s="20"/>
      <c r="AQ19371" s="19"/>
      <c r="AR19371" s="19"/>
      <c r="AS19371" s="19"/>
      <c r="AT19371" s="19"/>
      <c r="AU19371" s="19"/>
    </row>
    <row r="19372" spans="3:47">
      <c r="C19372" s="20"/>
      <c r="Z19372" s="20"/>
      <c r="AG19372" s="20"/>
      <c r="AQ19372" s="19"/>
      <c r="AR19372" s="19"/>
      <c r="AS19372" s="19"/>
      <c r="AT19372" s="19"/>
      <c r="AU19372" s="19"/>
    </row>
    <row r="19373" spans="3:47">
      <c r="C19373" s="20"/>
      <c r="Z19373" s="20"/>
      <c r="AG19373" s="20"/>
      <c r="AQ19373" s="19"/>
      <c r="AR19373" s="19"/>
      <c r="AS19373" s="19"/>
      <c r="AT19373" s="19"/>
      <c r="AU19373" s="19"/>
    </row>
    <row r="19374" spans="3:47">
      <c r="C19374" s="20"/>
      <c r="Z19374" s="20"/>
      <c r="AG19374" s="20"/>
      <c r="AQ19374" s="19"/>
      <c r="AR19374" s="19"/>
      <c r="AS19374" s="19"/>
      <c r="AT19374" s="19"/>
      <c r="AU19374" s="19"/>
    </row>
    <row r="19375" spans="3:47">
      <c r="C19375" s="20"/>
      <c r="Z19375" s="20"/>
      <c r="AG19375" s="20"/>
      <c r="AQ19375" s="19"/>
      <c r="AR19375" s="19"/>
      <c r="AS19375" s="19"/>
      <c r="AT19375" s="19"/>
      <c r="AU19375" s="19"/>
    </row>
    <row r="19376" spans="3:47">
      <c r="C19376" s="20"/>
      <c r="Z19376" s="20"/>
      <c r="AG19376" s="20"/>
      <c r="AQ19376" s="19"/>
      <c r="AR19376" s="19"/>
      <c r="AS19376" s="19"/>
      <c r="AT19376" s="19"/>
      <c r="AU19376" s="19"/>
    </row>
    <row r="19377" spans="3:47">
      <c r="C19377" s="20"/>
      <c r="Z19377" s="20"/>
      <c r="AG19377" s="20"/>
      <c r="AQ19377" s="19"/>
      <c r="AR19377" s="19"/>
      <c r="AS19377" s="19"/>
      <c r="AT19377" s="19"/>
      <c r="AU19377" s="19"/>
    </row>
    <row r="19378" spans="3:47">
      <c r="C19378" s="20"/>
      <c r="Z19378" s="20"/>
      <c r="AG19378" s="20"/>
      <c r="AQ19378" s="19"/>
      <c r="AR19378" s="19"/>
      <c r="AS19378" s="19"/>
      <c r="AT19378" s="19"/>
      <c r="AU19378" s="19"/>
    </row>
    <row r="19379" spans="3:47">
      <c r="C19379" s="20"/>
      <c r="Z19379" s="20"/>
      <c r="AG19379" s="20"/>
      <c r="AQ19379" s="19"/>
      <c r="AR19379" s="19"/>
      <c r="AS19379" s="19"/>
      <c r="AT19379" s="19"/>
      <c r="AU19379" s="19"/>
    </row>
    <row r="19380" spans="3:47">
      <c r="C19380" s="20"/>
      <c r="Z19380" s="20"/>
      <c r="AG19380" s="20"/>
      <c r="AQ19380" s="19"/>
      <c r="AR19380" s="19"/>
      <c r="AS19380" s="19"/>
      <c r="AT19380" s="19"/>
      <c r="AU19380" s="19"/>
    </row>
    <row r="19381" spans="3:47">
      <c r="C19381" s="20"/>
      <c r="Z19381" s="20"/>
      <c r="AG19381" s="20"/>
      <c r="AQ19381" s="19"/>
      <c r="AR19381" s="19"/>
      <c r="AS19381" s="19"/>
      <c r="AT19381" s="19"/>
      <c r="AU19381" s="19"/>
    </row>
    <row r="19382" spans="3:47">
      <c r="C19382" s="20"/>
      <c r="Z19382" s="20"/>
      <c r="AG19382" s="20"/>
      <c r="AQ19382" s="19"/>
      <c r="AR19382" s="19"/>
      <c r="AS19382" s="19"/>
      <c r="AT19382" s="19"/>
      <c r="AU19382" s="19"/>
    </row>
    <row r="19383" spans="3:47">
      <c r="C19383" s="20"/>
      <c r="Z19383" s="20"/>
      <c r="AG19383" s="20"/>
      <c r="AQ19383" s="19"/>
      <c r="AR19383" s="19"/>
      <c r="AS19383" s="19"/>
      <c r="AT19383" s="19"/>
      <c r="AU19383" s="19"/>
    </row>
    <row r="19384" spans="3:47">
      <c r="C19384" s="20"/>
      <c r="Z19384" s="20"/>
      <c r="AG19384" s="20"/>
      <c r="AQ19384" s="19"/>
      <c r="AR19384" s="19"/>
      <c r="AS19384" s="19"/>
      <c r="AT19384" s="19"/>
      <c r="AU19384" s="19"/>
    </row>
    <row r="19385" spans="3:47">
      <c r="C19385" s="20"/>
      <c r="Z19385" s="20"/>
      <c r="AG19385" s="20"/>
      <c r="AQ19385" s="19"/>
      <c r="AR19385" s="19"/>
      <c r="AS19385" s="19"/>
      <c r="AT19385" s="19"/>
      <c r="AU19385" s="19"/>
    </row>
    <row r="19386" spans="3:47">
      <c r="C19386" s="20"/>
      <c r="Z19386" s="20"/>
      <c r="AG19386" s="20"/>
      <c r="AQ19386" s="19"/>
      <c r="AR19386" s="19"/>
      <c r="AS19386" s="19"/>
      <c r="AT19386" s="19"/>
      <c r="AU19386" s="19"/>
    </row>
    <row r="19387" spans="3:47">
      <c r="C19387" s="20"/>
      <c r="Z19387" s="20"/>
      <c r="AG19387" s="20"/>
      <c r="AQ19387" s="19"/>
      <c r="AR19387" s="19"/>
      <c r="AS19387" s="19"/>
      <c r="AT19387" s="19"/>
      <c r="AU19387" s="19"/>
    </row>
    <row r="19388" spans="3:47">
      <c r="C19388" s="20"/>
      <c r="Z19388" s="20"/>
      <c r="AG19388" s="20"/>
      <c r="AQ19388" s="19"/>
      <c r="AR19388" s="19"/>
      <c r="AS19388" s="19"/>
      <c r="AT19388" s="19"/>
      <c r="AU19388" s="19"/>
    </row>
    <row r="19389" spans="3:47">
      <c r="C19389" s="20"/>
      <c r="Z19389" s="20"/>
      <c r="AG19389" s="20"/>
      <c r="AQ19389" s="19"/>
      <c r="AR19389" s="19"/>
      <c r="AS19389" s="19"/>
      <c r="AT19389" s="19"/>
      <c r="AU19389" s="19"/>
    </row>
    <row r="19390" spans="3:47">
      <c r="C19390" s="20"/>
      <c r="Z19390" s="20"/>
      <c r="AG19390" s="20"/>
      <c r="AQ19390" s="19"/>
      <c r="AR19390" s="19"/>
      <c r="AS19390" s="19"/>
      <c r="AT19390" s="19"/>
      <c r="AU19390" s="19"/>
    </row>
    <row r="19391" spans="3:47">
      <c r="C19391" s="20"/>
      <c r="Z19391" s="20"/>
      <c r="AG19391" s="20"/>
      <c r="AQ19391" s="19"/>
      <c r="AR19391" s="19"/>
      <c r="AS19391" s="19"/>
      <c r="AT19391" s="19"/>
      <c r="AU19391" s="19"/>
    </row>
    <row r="19392" spans="3:47">
      <c r="C19392" s="20"/>
      <c r="Z19392" s="20"/>
      <c r="AG19392" s="20"/>
      <c r="AQ19392" s="19"/>
      <c r="AR19392" s="19"/>
      <c r="AS19392" s="19"/>
      <c r="AT19392" s="19"/>
      <c r="AU19392" s="19"/>
    </row>
    <row r="19393" spans="3:47">
      <c r="C19393" s="20"/>
      <c r="Z19393" s="20"/>
      <c r="AG19393" s="20"/>
      <c r="AQ19393" s="19"/>
      <c r="AR19393" s="19"/>
      <c r="AS19393" s="19"/>
      <c r="AT19393" s="19"/>
      <c r="AU19393" s="19"/>
    </row>
    <row r="19394" spans="3:47">
      <c r="C19394" s="20"/>
      <c r="Z19394" s="20"/>
      <c r="AG19394" s="20"/>
      <c r="AQ19394" s="19"/>
      <c r="AR19394" s="19"/>
      <c r="AS19394" s="19"/>
      <c r="AT19394" s="19"/>
      <c r="AU19394" s="19"/>
    </row>
    <row r="19395" spans="3:47">
      <c r="C19395" s="20"/>
      <c r="Z19395" s="20"/>
      <c r="AG19395" s="20"/>
      <c r="AQ19395" s="19"/>
      <c r="AR19395" s="19"/>
      <c r="AS19395" s="19"/>
      <c r="AT19395" s="19"/>
      <c r="AU19395" s="19"/>
    </row>
    <row r="19396" spans="3:47">
      <c r="C19396" s="20"/>
      <c r="Z19396" s="20"/>
      <c r="AG19396" s="20"/>
      <c r="AQ19396" s="19"/>
      <c r="AR19396" s="19"/>
      <c r="AS19396" s="19"/>
      <c r="AT19396" s="19"/>
      <c r="AU19396" s="19"/>
    </row>
    <row r="19397" spans="3:47">
      <c r="C19397" s="20"/>
      <c r="Z19397" s="20"/>
      <c r="AG19397" s="20"/>
      <c r="AQ19397" s="19"/>
      <c r="AR19397" s="19"/>
      <c r="AS19397" s="19"/>
      <c r="AT19397" s="19"/>
      <c r="AU19397" s="19"/>
    </row>
    <row r="19398" spans="3:47">
      <c r="C19398" s="20"/>
      <c r="Z19398" s="20"/>
      <c r="AG19398" s="20"/>
      <c r="AQ19398" s="19"/>
      <c r="AR19398" s="19"/>
      <c r="AS19398" s="19"/>
      <c r="AT19398" s="19"/>
      <c r="AU19398" s="19"/>
    </row>
    <row r="19399" spans="3:47">
      <c r="C19399" s="20"/>
      <c r="Z19399" s="20"/>
      <c r="AG19399" s="20"/>
      <c r="AQ19399" s="19"/>
      <c r="AR19399" s="19"/>
      <c r="AS19399" s="19"/>
      <c r="AT19399" s="19"/>
      <c r="AU19399" s="19"/>
    </row>
    <row r="19400" spans="3:47">
      <c r="C19400" s="20"/>
      <c r="Z19400" s="20"/>
      <c r="AG19400" s="20"/>
      <c r="AQ19400" s="19"/>
      <c r="AR19400" s="19"/>
      <c r="AS19400" s="19"/>
      <c r="AT19400" s="19"/>
      <c r="AU19400" s="19"/>
    </row>
    <row r="19401" spans="3:47">
      <c r="C19401" s="20"/>
      <c r="Z19401" s="20"/>
      <c r="AG19401" s="20"/>
      <c r="AQ19401" s="19"/>
      <c r="AR19401" s="19"/>
      <c r="AS19401" s="19"/>
      <c r="AT19401" s="19"/>
      <c r="AU19401" s="19"/>
    </row>
    <row r="19402" spans="3:47">
      <c r="C19402" s="20"/>
      <c r="Z19402" s="20"/>
      <c r="AG19402" s="20"/>
      <c r="AQ19402" s="19"/>
      <c r="AR19402" s="19"/>
      <c r="AS19402" s="19"/>
      <c r="AT19402" s="19"/>
      <c r="AU19402" s="19"/>
    </row>
    <row r="19403" spans="3:47">
      <c r="C19403" s="20"/>
      <c r="Z19403" s="20"/>
      <c r="AG19403" s="20"/>
      <c r="AQ19403" s="19"/>
      <c r="AR19403" s="19"/>
      <c r="AS19403" s="19"/>
      <c r="AT19403" s="19"/>
      <c r="AU19403" s="19"/>
    </row>
    <row r="19404" spans="3:47">
      <c r="C19404" s="20"/>
      <c r="Z19404" s="20"/>
      <c r="AG19404" s="20"/>
      <c r="AQ19404" s="19"/>
      <c r="AR19404" s="19"/>
      <c r="AS19404" s="19"/>
      <c r="AT19404" s="19"/>
      <c r="AU19404" s="19"/>
    </row>
    <row r="19405" spans="3:47">
      <c r="C19405" s="20"/>
      <c r="Z19405" s="20"/>
      <c r="AG19405" s="20"/>
      <c r="AQ19405" s="19"/>
      <c r="AR19405" s="19"/>
      <c r="AS19405" s="19"/>
      <c r="AT19405" s="19"/>
      <c r="AU19405" s="19"/>
    </row>
    <row r="19406" spans="3:47">
      <c r="C19406" s="20"/>
      <c r="Z19406" s="20"/>
      <c r="AG19406" s="20"/>
      <c r="AQ19406" s="19"/>
      <c r="AR19406" s="19"/>
      <c r="AS19406" s="19"/>
      <c r="AT19406" s="19"/>
      <c r="AU19406" s="19"/>
    </row>
    <row r="19407" spans="3:47">
      <c r="C19407" s="20"/>
      <c r="Z19407" s="20"/>
      <c r="AG19407" s="20"/>
      <c r="AQ19407" s="19"/>
      <c r="AR19407" s="19"/>
      <c r="AS19407" s="19"/>
      <c r="AT19407" s="19"/>
      <c r="AU19407" s="19"/>
    </row>
    <row r="19408" spans="3:47">
      <c r="C19408" s="20"/>
      <c r="Z19408" s="20"/>
      <c r="AG19408" s="20"/>
      <c r="AQ19408" s="19"/>
      <c r="AR19408" s="19"/>
      <c r="AS19408" s="19"/>
      <c r="AT19408" s="19"/>
      <c r="AU19408" s="19"/>
    </row>
    <row r="19409" spans="3:47">
      <c r="C19409" s="20"/>
      <c r="Z19409" s="20"/>
      <c r="AG19409" s="20"/>
      <c r="AQ19409" s="19"/>
      <c r="AR19409" s="19"/>
      <c r="AS19409" s="19"/>
      <c r="AT19409" s="19"/>
      <c r="AU19409" s="19"/>
    </row>
    <row r="19410" spans="3:47">
      <c r="C19410" s="20"/>
      <c r="Z19410" s="20"/>
      <c r="AG19410" s="20"/>
      <c r="AQ19410" s="19"/>
      <c r="AR19410" s="19"/>
      <c r="AS19410" s="19"/>
      <c r="AT19410" s="19"/>
      <c r="AU19410" s="19"/>
    </row>
    <row r="19411" spans="3:47">
      <c r="C19411" s="20"/>
      <c r="Z19411" s="20"/>
      <c r="AG19411" s="20"/>
      <c r="AQ19411" s="19"/>
      <c r="AR19411" s="19"/>
      <c r="AS19411" s="19"/>
      <c r="AT19411" s="19"/>
      <c r="AU19411" s="19"/>
    </row>
    <row r="19412" spans="3:47">
      <c r="C19412" s="20"/>
      <c r="Z19412" s="20"/>
      <c r="AG19412" s="20"/>
      <c r="AQ19412" s="19"/>
      <c r="AR19412" s="19"/>
      <c r="AS19412" s="19"/>
      <c r="AT19412" s="19"/>
      <c r="AU19412" s="19"/>
    </row>
    <row r="19413" spans="3:47">
      <c r="C19413" s="20"/>
      <c r="Z19413" s="20"/>
      <c r="AG19413" s="20"/>
      <c r="AQ19413" s="19"/>
      <c r="AR19413" s="19"/>
      <c r="AS19413" s="19"/>
      <c r="AT19413" s="19"/>
      <c r="AU19413" s="19"/>
    </row>
    <row r="19414" spans="3:47">
      <c r="C19414" s="20"/>
      <c r="Z19414" s="20"/>
      <c r="AG19414" s="20"/>
      <c r="AQ19414" s="19"/>
      <c r="AR19414" s="19"/>
      <c r="AS19414" s="19"/>
      <c r="AT19414" s="19"/>
      <c r="AU19414" s="19"/>
    </row>
    <row r="19415" spans="3:47">
      <c r="C19415" s="20"/>
      <c r="Z19415" s="20"/>
      <c r="AG19415" s="20"/>
      <c r="AQ19415" s="19"/>
      <c r="AR19415" s="19"/>
      <c r="AS19415" s="19"/>
      <c r="AT19415" s="19"/>
      <c r="AU19415" s="19"/>
    </row>
    <row r="19416" spans="3:47">
      <c r="C19416" s="20"/>
      <c r="Z19416" s="20"/>
      <c r="AG19416" s="20"/>
      <c r="AQ19416" s="19"/>
      <c r="AR19416" s="19"/>
      <c r="AS19416" s="19"/>
      <c r="AT19416" s="19"/>
      <c r="AU19416" s="19"/>
    </row>
    <row r="19417" spans="3:47">
      <c r="C19417" s="20"/>
      <c r="Z19417" s="20"/>
      <c r="AG19417" s="20"/>
      <c r="AQ19417" s="19"/>
      <c r="AR19417" s="19"/>
      <c r="AS19417" s="19"/>
      <c r="AT19417" s="19"/>
      <c r="AU19417" s="19"/>
    </row>
    <row r="19418" spans="3:47">
      <c r="C19418" s="20"/>
      <c r="Z19418" s="20"/>
      <c r="AG19418" s="20"/>
      <c r="AQ19418" s="19"/>
      <c r="AR19418" s="19"/>
      <c r="AS19418" s="19"/>
      <c r="AT19418" s="19"/>
      <c r="AU19418" s="19"/>
    </row>
    <row r="19419" spans="3:47">
      <c r="C19419" s="20"/>
      <c r="Z19419" s="20"/>
      <c r="AG19419" s="20"/>
      <c r="AQ19419" s="19"/>
      <c r="AR19419" s="19"/>
      <c r="AS19419" s="19"/>
      <c r="AT19419" s="19"/>
      <c r="AU19419" s="19"/>
    </row>
    <row r="19420" spans="3:47">
      <c r="C19420" s="20"/>
      <c r="Z19420" s="20"/>
      <c r="AG19420" s="20"/>
      <c r="AQ19420" s="19"/>
      <c r="AR19420" s="19"/>
      <c r="AS19420" s="19"/>
      <c r="AT19420" s="19"/>
      <c r="AU19420" s="19"/>
    </row>
    <row r="19421" spans="3:47">
      <c r="C19421" s="20"/>
      <c r="Z19421" s="20"/>
      <c r="AG19421" s="20"/>
      <c r="AQ19421" s="19"/>
      <c r="AR19421" s="19"/>
      <c r="AS19421" s="19"/>
      <c r="AT19421" s="19"/>
      <c r="AU19421" s="19"/>
    </row>
    <row r="19422" spans="3:47">
      <c r="C19422" s="20"/>
      <c r="Z19422" s="20"/>
      <c r="AG19422" s="20"/>
      <c r="AQ19422" s="19"/>
      <c r="AR19422" s="19"/>
      <c r="AS19422" s="19"/>
      <c r="AT19422" s="19"/>
      <c r="AU19422" s="19"/>
    </row>
    <row r="19423" spans="3:47">
      <c r="C19423" s="20"/>
      <c r="Z19423" s="20"/>
      <c r="AG19423" s="20"/>
      <c r="AQ19423" s="19"/>
      <c r="AR19423" s="19"/>
      <c r="AS19423" s="19"/>
      <c r="AT19423" s="19"/>
      <c r="AU19423" s="19"/>
    </row>
    <row r="19424" spans="3:47">
      <c r="C19424" s="20"/>
      <c r="Z19424" s="20"/>
      <c r="AG19424" s="20"/>
      <c r="AQ19424" s="19"/>
      <c r="AR19424" s="19"/>
      <c r="AS19424" s="19"/>
      <c r="AT19424" s="19"/>
      <c r="AU19424" s="19"/>
    </row>
    <row r="19425" spans="3:47">
      <c r="C19425" s="20"/>
      <c r="Z19425" s="20"/>
      <c r="AG19425" s="20"/>
      <c r="AQ19425" s="19"/>
      <c r="AR19425" s="19"/>
      <c r="AS19425" s="19"/>
      <c r="AT19425" s="19"/>
      <c r="AU19425" s="19"/>
    </row>
    <row r="19426" spans="3:47">
      <c r="C19426" s="20"/>
      <c r="Z19426" s="20"/>
      <c r="AG19426" s="20"/>
      <c r="AQ19426" s="19"/>
      <c r="AR19426" s="19"/>
      <c r="AS19426" s="19"/>
      <c r="AT19426" s="19"/>
      <c r="AU19426" s="19"/>
    </row>
    <row r="19427" spans="3:47">
      <c r="C19427" s="20"/>
      <c r="Z19427" s="20"/>
      <c r="AG19427" s="20"/>
      <c r="AQ19427" s="19"/>
      <c r="AR19427" s="19"/>
      <c r="AS19427" s="19"/>
      <c r="AT19427" s="19"/>
      <c r="AU19427" s="19"/>
    </row>
    <row r="19428" spans="3:47">
      <c r="C19428" s="20"/>
      <c r="Z19428" s="20"/>
      <c r="AG19428" s="20"/>
      <c r="AQ19428" s="19"/>
      <c r="AR19428" s="19"/>
      <c r="AS19428" s="19"/>
      <c r="AT19428" s="19"/>
      <c r="AU19428" s="19"/>
    </row>
    <row r="19429" spans="3:47">
      <c r="C19429" s="20"/>
      <c r="Z19429" s="20"/>
      <c r="AG19429" s="20"/>
      <c r="AQ19429" s="19"/>
      <c r="AR19429" s="19"/>
      <c r="AS19429" s="19"/>
      <c r="AT19429" s="19"/>
      <c r="AU19429" s="19"/>
    </row>
    <row r="19430" spans="3:47">
      <c r="C19430" s="20"/>
      <c r="Z19430" s="20"/>
      <c r="AG19430" s="20"/>
      <c r="AQ19430" s="19"/>
      <c r="AR19430" s="19"/>
      <c r="AS19430" s="19"/>
      <c r="AT19430" s="19"/>
      <c r="AU19430" s="19"/>
    </row>
    <row r="19431" spans="3:47">
      <c r="C19431" s="20"/>
      <c r="Z19431" s="20"/>
      <c r="AG19431" s="20"/>
      <c r="AQ19431" s="19"/>
      <c r="AR19431" s="19"/>
      <c r="AS19431" s="19"/>
      <c r="AT19431" s="19"/>
      <c r="AU19431" s="19"/>
    </row>
    <row r="19432" spans="3:47">
      <c r="C19432" s="20"/>
      <c r="Z19432" s="20"/>
      <c r="AG19432" s="20"/>
      <c r="AQ19432" s="19"/>
      <c r="AR19432" s="19"/>
      <c r="AS19432" s="19"/>
      <c r="AT19432" s="19"/>
      <c r="AU19432" s="19"/>
    </row>
    <row r="19433" spans="3:47">
      <c r="C19433" s="20"/>
      <c r="Z19433" s="20"/>
      <c r="AG19433" s="20"/>
      <c r="AQ19433" s="19"/>
      <c r="AR19433" s="19"/>
      <c r="AS19433" s="19"/>
      <c r="AT19433" s="19"/>
      <c r="AU19433" s="19"/>
    </row>
    <row r="19434" spans="3:47">
      <c r="C19434" s="20"/>
      <c r="Z19434" s="20"/>
      <c r="AG19434" s="20"/>
      <c r="AQ19434" s="19"/>
      <c r="AR19434" s="19"/>
      <c r="AS19434" s="19"/>
      <c r="AT19434" s="19"/>
      <c r="AU19434" s="19"/>
    </row>
    <row r="19435" spans="3:47">
      <c r="C19435" s="20"/>
      <c r="Z19435" s="20"/>
      <c r="AG19435" s="20"/>
      <c r="AQ19435" s="19"/>
      <c r="AR19435" s="19"/>
      <c r="AS19435" s="19"/>
      <c r="AT19435" s="19"/>
      <c r="AU19435" s="19"/>
    </row>
    <row r="19436" spans="3:47">
      <c r="C19436" s="20"/>
      <c r="Z19436" s="20"/>
      <c r="AG19436" s="20"/>
      <c r="AQ19436" s="19"/>
      <c r="AR19436" s="19"/>
      <c r="AS19436" s="19"/>
      <c r="AT19436" s="19"/>
      <c r="AU19436" s="19"/>
    </row>
    <row r="19437" spans="3:47">
      <c r="C19437" s="20"/>
      <c r="Z19437" s="20"/>
      <c r="AG19437" s="20"/>
      <c r="AQ19437" s="19"/>
      <c r="AR19437" s="19"/>
      <c r="AS19437" s="19"/>
      <c r="AT19437" s="19"/>
      <c r="AU19437" s="19"/>
    </row>
    <row r="19438" spans="3:47">
      <c r="C19438" s="20"/>
      <c r="Z19438" s="20"/>
      <c r="AG19438" s="20"/>
      <c r="AQ19438" s="19"/>
      <c r="AR19438" s="19"/>
      <c r="AS19438" s="19"/>
      <c r="AT19438" s="19"/>
      <c r="AU19438" s="19"/>
    </row>
    <row r="19439" spans="3:47">
      <c r="C19439" s="20"/>
      <c r="Z19439" s="20"/>
      <c r="AG19439" s="20"/>
      <c r="AQ19439" s="19"/>
      <c r="AR19439" s="19"/>
      <c r="AS19439" s="19"/>
      <c r="AT19439" s="19"/>
      <c r="AU19439" s="19"/>
    </row>
    <row r="19440" spans="3:47">
      <c r="C19440" s="20"/>
      <c r="Z19440" s="20"/>
      <c r="AG19440" s="20"/>
      <c r="AQ19440" s="19"/>
      <c r="AR19440" s="19"/>
      <c r="AS19440" s="19"/>
      <c r="AT19440" s="19"/>
      <c r="AU19440" s="19"/>
    </row>
    <row r="19441" spans="3:47">
      <c r="C19441" s="20"/>
      <c r="Z19441" s="20"/>
      <c r="AG19441" s="20"/>
      <c r="AQ19441" s="19"/>
      <c r="AR19441" s="19"/>
      <c r="AS19441" s="19"/>
      <c r="AT19441" s="19"/>
      <c r="AU19441" s="19"/>
    </row>
    <row r="19442" spans="3:47">
      <c r="C19442" s="20"/>
      <c r="Z19442" s="20"/>
      <c r="AG19442" s="20"/>
      <c r="AQ19442" s="19"/>
      <c r="AR19442" s="19"/>
      <c r="AS19442" s="19"/>
      <c r="AT19442" s="19"/>
      <c r="AU19442" s="19"/>
    </row>
    <row r="19443" spans="3:47">
      <c r="C19443" s="20"/>
      <c r="Z19443" s="20"/>
      <c r="AG19443" s="20"/>
      <c r="AQ19443" s="19"/>
      <c r="AR19443" s="19"/>
      <c r="AS19443" s="19"/>
      <c r="AT19443" s="19"/>
      <c r="AU19443" s="19"/>
    </row>
    <row r="19444" spans="3:47">
      <c r="C19444" s="20"/>
      <c r="Z19444" s="20"/>
      <c r="AG19444" s="20"/>
      <c r="AQ19444" s="19"/>
      <c r="AR19444" s="19"/>
      <c r="AS19444" s="19"/>
      <c r="AT19444" s="19"/>
      <c r="AU19444" s="19"/>
    </row>
    <row r="19445" spans="3:47">
      <c r="C19445" s="20"/>
      <c r="Z19445" s="20"/>
      <c r="AG19445" s="20"/>
      <c r="AQ19445" s="19"/>
      <c r="AR19445" s="19"/>
      <c r="AS19445" s="19"/>
      <c r="AT19445" s="19"/>
      <c r="AU19445" s="19"/>
    </row>
    <row r="19446" spans="3:47">
      <c r="C19446" s="20"/>
      <c r="Z19446" s="20"/>
      <c r="AG19446" s="20"/>
      <c r="AQ19446" s="19"/>
      <c r="AR19446" s="19"/>
      <c r="AS19446" s="19"/>
      <c r="AT19446" s="19"/>
      <c r="AU19446" s="19"/>
    </row>
    <row r="19447" spans="3:47">
      <c r="C19447" s="20"/>
      <c r="Z19447" s="20"/>
      <c r="AG19447" s="20"/>
      <c r="AQ19447" s="19"/>
      <c r="AR19447" s="19"/>
      <c r="AS19447" s="19"/>
      <c r="AT19447" s="19"/>
      <c r="AU19447" s="19"/>
    </row>
    <row r="19448" spans="3:47">
      <c r="C19448" s="20"/>
      <c r="Z19448" s="20"/>
      <c r="AG19448" s="20"/>
      <c r="AQ19448" s="19"/>
      <c r="AR19448" s="19"/>
      <c r="AS19448" s="19"/>
      <c r="AT19448" s="19"/>
      <c r="AU19448" s="19"/>
    </row>
    <row r="19449" spans="3:47">
      <c r="C19449" s="20"/>
      <c r="Z19449" s="20"/>
      <c r="AG19449" s="20"/>
      <c r="AQ19449" s="19"/>
      <c r="AR19449" s="19"/>
      <c r="AS19449" s="19"/>
      <c r="AT19449" s="19"/>
      <c r="AU19449" s="19"/>
    </row>
    <row r="19450" spans="3:47">
      <c r="C19450" s="20"/>
      <c r="Z19450" s="20"/>
      <c r="AG19450" s="20"/>
      <c r="AQ19450" s="19"/>
      <c r="AR19450" s="19"/>
      <c r="AS19450" s="19"/>
      <c r="AT19450" s="19"/>
      <c r="AU19450" s="19"/>
    </row>
    <row r="19451" spans="3:47">
      <c r="C19451" s="20"/>
      <c r="Z19451" s="20"/>
      <c r="AG19451" s="20"/>
      <c r="AQ19451" s="19"/>
      <c r="AR19451" s="19"/>
      <c r="AS19451" s="19"/>
      <c r="AT19451" s="19"/>
      <c r="AU19451" s="19"/>
    </row>
    <row r="19452" spans="3:47">
      <c r="C19452" s="20"/>
      <c r="Z19452" s="20"/>
      <c r="AG19452" s="20"/>
      <c r="AQ19452" s="19"/>
      <c r="AR19452" s="19"/>
      <c r="AS19452" s="19"/>
      <c r="AT19452" s="19"/>
      <c r="AU19452" s="19"/>
    </row>
    <row r="19453" spans="3:47">
      <c r="C19453" s="20"/>
      <c r="Z19453" s="20"/>
      <c r="AG19453" s="20"/>
      <c r="AQ19453" s="19"/>
      <c r="AR19453" s="19"/>
      <c r="AS19453" s="19"/>
      <c r="AT19453" s="19"/>
      <c r="AU19453" s="19"/>
    </row>
    <row r="19454" spans="3:47">
      <c r="C19454" s="20"/>
      <c r="Z19454" s="20"/>
      <c r="AG19454" s="20"/>
      <c r="AQ19454" s="19"/>
      <c r="AR19454" s="19"/>
      <c r="AS19454" s="19"/>
      <c r="AT19454" s="19"/>
      <c r="AU19454" s="19"/>
    </row>
    <row r="19455" spans="3:47">
      <c r="C19455" s="20"/>
      <c r="Z19455" s="20"/>
      <c r="AG19455" s="20"/>
      <c r="AQ19455" s="19"/>
      <c r="AR19455" s="19"/>
      <c r="AS19455" s="19"/>
      <c r="AT19455" s="19"/>
      <c r="AU19455" s="19"/>
    </row>
    <row r="19456" spans="3:47">
      <c r="C19456" s="20"/>
      <c r="Z19456" s="20"/>
      <c r="AG19456" s="20"/>
      <c r="AQ19456" s="19"/>
      <c r="AR19456" s="19"/>
      <c r="AS19456" s="19"/>
      <c r="AT19456" s="19"/>
      <c r="AU19456" s="19"/>
    </row>
    <row r="19457" spans="3:47">
      <c r="C19457" s="20"/>
      <c r="Z19457" s="20"/>
      <c r="AG19457" s="20"/>
      <c r="AQ19457" s="19"/>
      <c r="AR19457" s="19"/>
      <c r="AS19457" s="19"/>
      <c r="AT19457" s="19"/>
      <c r="AU19457" s="19"/>
    </row>
    <row r="19458" spans="3:47">
      <c r="C19458" s="20"/>
      <c r="Z19458" s="20"/>
      <c r="AG19458" s="20"/>
      <c r="AQ19458" s="19"/>
      <c r="AR19458" s="19"/>
      <c r="AS19458" s="19"/>
      <c r="AT19458" s="19"/>
      <c r="AU19458" s="19"/>
    </row>
    <row r="19459" spans="3:47">
      <c r="C19459" s="20"/>
      <c r="Z19459" s="20"/>
      <c r="AG19459" s="20"/>
      <c r="AQ19459" s="19"/>
      <c r="AR19459" s="19"/>
      <c r="AS19459" s="19"/>
      <c r="AT19459" s="19"/>
      <c r="AU19459" s="19"/>
    </row>
    <row r="19460" spans="3:47">
      <c r="C19460" s="20"/>
      <c r="Z19460" s="20"/>
      <c r="AG19460" s="20"/>
      <c r="AQ19460" s="19"/>
      <c r="AR19460" s="19"/>
      <c r="AS19460" s="19"/>
      <c r="AT19460" s="19"/>
      <c r="AU19460" s="19"/>
    </row>
    <row r="19461" spans="3:47">
      <c r="C19461" s="20"/>
      <c r="Z19461" s="20"/>
      <c r="AG19461" s="20"/>
      <c r="AQ19461" s="19"/>
      <c r="AR19461" s="19"/>
      <c r="AS19461" s="19"/>
      <c r="AT19461" s="19"/>
      <c r="AU19461" s="19"/>
    </row>
    <row r="19462" spans="3:47">
      <c r="C19462" s="20"/>
      <c r="Z19462" s="20"/>
      <c r="AG19462" s="20"/>
      <c r="AQ19462" s="19"/>
      <c r="AR19462" s="19"/>
      <c r="AS19462" s="19"/>
      <c r="AT19462" s="19"/>
      <c r="AU19462" s="19"/>
    </row>
    <row r="19463" spans="3:47">
      <c r="C19463" s="20"/>
      <c r="Z19463" s="20"/>
      <c r="AG19463" s="20"/>
      <c r="AQ19463" s="19"/>
      <c r="AR19463" s="19"/>
      <c r="AS19463" s="19"/>
      <c r="AT19463" s="19"/>
      <c r="AU19463" s="19"/>
    </row>
    <row r="19464" spans="3:47">
      <c r="C19464" s="20"/>
      <c r="Z19464" s="20"/>
      <c r="AG19464" s="20"/>
      <c r="AQ19464" s="19"/>
      <c r="AR19464" s="19"/>
      <c r="AS19464" s="19"/>
      <c r="AT19464" s="19"/>
      <c r="AU19464" s="19"/>
    </row>
    <row r="19465" spans="3:47">
      <c r="C19465" s="20"/>
      <c r="Z19465" s="20"/>
      <c r="AG19465" s="20"/>
      <c r="AQ19465" s="19"/>
      <c r="AR19465" s="19"/>
      <c r="AS19465" s="19"/>
      <c r="AT19465" s="19"/>
      <c r="AU19465" s="19"/>
    </row>
    <row r="19466" spans="3:47">
      <c r="C19466" s="20"/>
      <c r="Z19466" s="20"/>
      <c r="AG19466" s="20"/>
      <c r="AQ19466" s="19"/>
      <c r="AR19466" s="19"/>
      <c r="AS19466" s="19"/>
      <c r="AT19466" s="19"/>
      <c r="AU19466" s="19"/>
    </row>
    <row r="19467" spans="3:47">
      <c r="C19467" s="20"/>
      <c r="Z19467" s="20"/>
      <c r="AG19467" s="20"/>
      <c r="AQ19467" s="19"/>
      <c r="AR19467" s="19"/>
      <c r="AS19467" s="19"/>
      <c r="AT19467" s="19"/>
      <c r="AU19467" s="19"/>
    </row>
    <row r="19468" spans="3:47">
      <c r="C19468" s="20"/>
      <c r="Z19468" s="20"/>
      <c r="AG19468" s="20"/>
      <c r="AQ19468" s="19"/>
      <c r="AR19468" s="19"/>
      <c r="AS19468" s="19"/>
      <c r="AT19468" s="19"/>
      <c r="AU19468" s="19"/>
    </row>
    <row r="19469" spans="3:47">
      <c r="C19469" s="20"/>
      <c r="Z19469" s="20"/>
      <c r="AG19469" s="20"/>
      <c r="AQ19469" s="19"/>
      <c r="AR19469" s="19"/>
      <c r="AS19469" s="19"/>
      <c r="AT19469" s="19"/>
      <c r="AU19469" s="19"/>
    </row>
    <row r="19470" spans="3:47">
      <c r="C19470" s="20"/>
      <c r="Z19470" s="20"/>
      <c r="AG19470" s="20"/>
      <c r="AQ19470" s="19"/>
      <c r="AR19470" s="19"/>
      <c r="AS19470" s="19"/>
      <c r="AT19470" s="19"/>
      <c r="AU19470" s="19"/>
    </row>
    <row r="19471" spans="3:47">
      <c r="C19471" s="20"/>
      <c r="Z19471" s="20"/>
      <c r="AG19471" s="20"/>
      <c r="AQ19471" s="19"/>
      <c r="AR19471" s="19"/>
      <c r="AS19471" s="19"/>
      <c r="AT19471" s="19"/>
      <c r="AU19471" s="19"/>
    </row>
    <row r="19472" spans="3:47">
      <c r="C19472" s="20"/>
      <c r="Z19472" s="20"/>
      <c r="AG19472" s="20"/>
      <c r="AQ19472" s="19"/>
      <c r="AR19472" s="19"/>
      <c r="AS19472" s="19"/>
      <c r="AT19472" s="19"/>
      <c r="AU19472" s="19"/>
    </row>
    <row r="19473" spans="3:47">
      <c r="C19473" s="20"/>
      <c r="Z19473" s="20"/>
      <c r="AG19473" s="20"/>
      <c r="AQ19473" s="19"/>
      <c r="AR19473" s="19"/>
      <c r="AS19473" s="19"/>
      <c r="AT19473" s="19"/>
      <c r="AU19473" s="19"/>
    </row>
    <row r="19474" spans="3:47">
      <c r="C19474" s="20"/>
      <c r="Z19474" s="20"/>
      <c r="AG19474" s="20"/>
      <c r="AQ19474" s="19"/>
      <c r="AR19474" s="19"/>
      <c r="AS19474" s="19"/>
      <c r="AT19474" s="19"/>
      <c r="AU19474" s="19"/>
    </row>
    <row r="19475" spans="3:47">
      <c r="C19475" s="20"/>
      <c r="Z19475" s="20"/>
      <c r="AG19475" s="20"/>
      <c r="AQ19475" s="19"/>
      <c r="AR19475" s="19"/>
      <c r="AS19475" s="19"/>
      <c r="AT19475" s="19"/>
      <c r="AU19475" s="19"/>
    </row>
    <row r="19476" spans="3:47">
      <c r="C19476" s="20"/>
      <c r="Z19476" s="20"/>
      <c r="AG19476" s="20"/>
      <c r="AQ19476" s="19"/>
      <c r="AR19476" s="19"/>
      <c r="AS19476" s="19"/>
      <c r="AT19476" s="19"/>
      <c r="AU19476" s="19"/>
    </row>
    <row r="19477" spans="3:47">
      <c r="C19477" s="20"/>
      <c r="Z19477" s="20"/>
      <c r="AG19477" s="20"/>
      <c r="AQ19477" s="19"/>
      <c r="AR19477" s="19"/>
      <c r="AS19477" s="19"/>
      <c r="AT19477" s="19"/>
      <c r="AU19477" s="19"/>
    </row>
    <row r="19478" spans="3:47">
      <c r="C19478" s="20"/>
      <c r="Z19478" s="20"/>
      <c r="AG19478" s="20"/>
      <c r="AQ19478" s="19"/>
      <c r="AR19478" s="19"/>
      <c r="AS19478" s="19"/>
      <c r="AT19478" s="19"/>
      <c r="AU19478" s="19"/>
    </row>
    <row r="19479" spans="3:47">
      <c r="C19479" s="20"/>
      <c r="Z19479" s="20"/>
      <c r="AG19479" s="20"/>
      <c r="AQ19479" s="19"/>
      <c r="AR19479" s="19"/>
      <c r="AS19479" s="19"/>
      <c r="AT19479" s="19"/>
      <c r="AU19479" s="19"/>
    </row>
    <row r="19480" spans="3:47">
      <c r="C19480" s="20"/>
      <c r="Z19480" s="20"/>
      <c r="AG19480" s="20"/>
      <c r="AQ19480" s="19"/>
      <c r="AR19480" s="19"/>
      <c r="AS19480" s="19"/>
      <c r="AT19480" s="19"/>
      <c r="AU19480" s="19"/>
    </row>
    <row r="19481" spans="3:47">
      <c r="C19481" s="20"/>
      <c r="Z19481" s="20"/>
      <c r="AG19481" s="20"/>
      <c r="AQ19481" s="19"/>
      <c r="AR19481" s="19"/>
      <c r="AS19481" s="19"/>
      <c r="AT19481" s="19"/>
      <c r="AU19481" s="19"/>
    </row>
    <row r="19482" spans="3:47">
      <c r="C19482" s="20"/>
      <c r="Z19482" s="20"/>
      <c r="AG19482" s="20"/>
      <c r="AQ19482" s="19"/>
      <c r="AR19482" s="19"/>
      <c r="AS19482" s="19"/>
      <c r="AT19482" s="19"/>
      <c r="AU19482" s="19"/>
    </row>
    <row r="19483" spans="3:47">
      <c r="C19483" s="20"/>
      <c r="Z19483" s="20"/>
      <c r="AG19483" s="20"/>
      <c r="AQ19483" s="19"/>
      <c r="AR19483" s="19"/>
      <c r="AS19483" s="19"/>
      <c r="AT19483" s="19"/>
      <c r="AU19483" s="19"/>
    </row>
    <row r="19484" spans="3:47">
      <c r="C19484" s="20"/>
      <c r="Z19484" s="20"/>
      <c r="AG19484" s="20"/>
      <c r="AQ19484" s="19"/>
      <c r="AR19484" s="19"/>
      <c r="AS19484" s="19"/>
      <c r="AT19484" s="19"/>
      <c r="AU19484" s="19"/>
    </row>
    <row r="19485" spans="3:47">
      <c r="C19485" s="20"/>
      <c r="Z19485" s="20"/>
      <c r="AG19485" s="20"/>
      <c r="AQ19485" s="19"/>
      <c r="AR19485" s="19"/>
      <c r="AS19485" s="19"/>
      <c r="AT19485" s="19"/>
      <c r="AU19485" s="19"/>
    </row>
    <row r="19486" spans="3:47">
      <c r="C19486" s="20"/>
      <c r="Z19486" s="20"/>
      <c r="AG19486" s="20"/>
      <c r="AQ19486" s="19"/>
      <c r="AR19486" s="19"/>
      <c r="AS19486" s="19"/>
      <c r="AT19486" s="19"/>
      <c r="AU19486" s="19"/>
    </row>
    <row r="19487" spans="3:47">
      <c r="C19487" s="20"/>
      <c r="Z19487" s="20"/>
      <c r="AG19487" s="20"/>
      <c r="AQ19487" s="19"/>
      <c r="AR19487" s="19"/>
      <c r="AS19487" s="19"/>
      <c r="AT19487" s="19"/>
      <c r="AU19487" s="19"/>
    </row>
    <row r="19488" spans="3:47">
      <c r="C19488" s="20"/>
      <c r="Z19488" s="20"/>
      <c r="AG19488" s="20"/>
      <c r="AQ19488" s="19"/>
      <c r="AR19488" s="19"/>
      <c r="AS19488" s="19"/>
      <c r="AT19488" s="19"/>
      <c r="AU19488" s="19"/>
    </row>
    <row r="19489" spans="3:47">
      <c r="C19489" s="20"/>
      <c r="Z19489" s="20"/>
      <c r="AG19489" s="20"/>
      <c r="AQ19489" s="19"/>
      <c r="AR19489" s="19"/>
      <c r="AS19489" s="19"/>
      <c r="AT19489" s="19"/>
      <c r="AU19489" s="19"/>
    </row>
    <row r="19490" spans="3:47">
      <c r="C19490" s="20"/>
      <c r="Z19490" s="20"/>
      <c r="AG19490" s="20"/>
      <c r="AQ19490" s="19"/>
      <c r="AR19490" s="19"/>
      <c r="AS19490" s="19"/>
      <c r="AT19490" s="19"/>
      <c r="AU19490" s="19"/>
    </row>
    <row r="19491" spans="3:47">
      <c r="C19491" s="20"/>
      <c r="Z19491" s="20"/>
      <c r="AG19491" s="20"/>
      <c r="AQ19491" s="19"/>
      <c r="AR19491" s="19"/>
      <c r="AS19491" s="19"/>
      <c r="AT19491" s="19"/>
      <c r="AU19491" s="19"/>
    </row>
    <row r="19492" spans="3:47">
      <c r="C19492" s="20"/>
      <c r="Z19492" s="20"/>
      <c r="AG19492" s="20"/>
      <c r="AQ19492" s="19"/>
      <c r="AR19492" s="19"/>
      <c r="AS19492" s="19"/>
      <c r="AT19492" s="19"/>
      <c r="AU19492" s="19"/>
    </row>
    <row r="19493" spans="3:47">
      <c r="C19493" s="20"/>
      <c r="Z19493" s="20"/>
      <c r="AG19493" s="20"/>
      <c r="AQ19493" s="19"/>
      <c r="AR19493" s="19"/>
      <c r="AS19493" s="19"/>
      <c r="AT19493" s="19"/>
      <c r="AU19493" s="19"/>
    </row>
    <row r="19494" spans="3:47">
      <c r="C19494" s="20"/>
      <c r="Z19494" s="20"/>
      <c r="AG19494" s="20"/>
      <c r="AQ19494" s="19"/>
      <c r="AR19494" s="19"/>
      <c r="AS19494" s="19"/>
      <c r="AT19494" s="19"/>
      <c r="AU19494" s="19"/>
    </row>
    <row r="19495" spans="3:47">
      <c r="C19495" s="20"/>
      <c r="Z19495" s="20"/>
      <c r="AG19495" s="20"/>
      <c r="AQ19495" s="19"/>
      <c r="AR19495" s="19"/>
      <c r="AS19495" s="19"/>
      <c r="AT19495" s="19"/>
      <c r="AU19495" s="19"/>
    </row>
    <row r="19496" spans="3:47">
      <c r="C19496" s="20"/>
      <c r="Z19496" s="20"/>
      <c r="AG19496" s="20"/>
      <c r="AQ19496" s="19"/>
      <c r="AR19496" s="19"/>
      <c r="AS19496" s="19"/>
      <c r="AT19496" s="19"/>
      <c r="AU19496" s="19"/>
    </row>
    <row r="19497" spans="3:47">
      <c r="C19497" s="20"/>
      <c r="Z19497" s="20"/>
      <c r="AG19497" s="20"/>
      <c r="AQ19497" s="19"/>
      <c r="AR19497" s="19"/>
      <c r="AS19497" s="19"/>
      <c r="AT19497" s="19"/>
      <c r="AU19497" s="19"/>
    </row>
    <row r="19498" spans="3:47">
      <c r="C19498" s="20"/>
      <c r="Z19498" s="20"/>
      <c r="AG19498" s="20"/>
      <c r="AQ19498" s="19"/>
      <c r="AR19498" s="19"/>
      <c r="AS19498" s="19"/>
      <c r="AT19498" s="19"/>
      <c r="AU19498" s="19"/>
    </row>
    <row r="19499" spans="3:47">
      <c r="C19499" s="20"/>
      <c r="Z19499" s="20"/>
      <c r="AG19499" s="20"/>
      <c r="AQ19499" s="19"/>
      <c r="AR19499" s="19"/>
      <c r="AS19499" s="19"/>
      <c r="AT19499" s="19"/>
      <c r="AU19499" s="19"/>
    </row>
    <row r="19500" spans="3:47">
      <c r="C19500" s="20"/>
      <c r="Z19500" s="20"/>
      <c r="AG19500" s="20"/>
      <c r="AQ19500" s="19"/>
      <c r="AR19500" s="19"/>
      <c r="AS19500" s="19"/>
      <c r="AT19500" s="19"/>
      <c r="AU19500" s="19"/>
    </row>
    <row r="19501" spans="3:47">
      <c r="C19501" s="20"/>
      <c r="Z19501" s="20"/>
      <c r="AG19501" s="20"/>
      <c r="AQ19501" s="19"/>
      <c r="AR19501" s="19"/>
      <c r="AS19501" s="19"/>
      <c r="AT19501" s="19"/>
      <c r="AU19501" s="19"/>
    </row>
    <row r="19502" spans="3:47">
      <c r="C19502" s="20"/>
      <c r="Z19502" s="20"/>
      <c r="AG19502" s="20"/>
      <c r="AQ19502" s="19"/>
      <c r="AR19502" s="19"/>
      <c r="AS19502" s="19"/>
      <c r="AT19502" s="19"/>
      <c r="AU19502" s="19"/>
    </row>
    <row r="19503" spans="3:47">
      <c r="C19503" s="20"/>
      <c r="Z19503" s="20"/>
      <c r="AG19503" s="20"/>
      <c r="AQ19503" s="19"/>
      <c r="AR19503" s="19"/>
      <c r="AS19503" s="19"/>
      <c r="AT19503" s="19"/>
      <c r="AU19503" s="19"/>
    </row>
    <row r="19504" spans="3:47">
      <c r="C19504" s="20"/>
      <c r="Z19504" s="20"/>
      <c r="AG19504" s="20"/>
      <c r="AQ19504" s="19"/>
      <c r="AR19504" s="19"/>
      <c r="AS19504" s="19"/>
      <c r="AT19504" s="19"/>
      <c r="AU19504" s="19"/>
    </row>
    <row r="19505" spans="3:47">
      <c r="C19505" s="20"/>
      <c r="Z19505" s="20"/>
      <c r="AG19505" s="20"/>
      <c r="AQ19505" s="19"/>
      <c r="AR19505" s="19"/>
      <c r="AS19505" s="19"/>
      <c r="AT19505" s="19"/>
      <c r="AU19505" s="19"/>
    </row>
    <row r="19506" spans="3:47">
      <c r="C19506" s="20"/>
      <c r="Z19506" s="20"/>
      <c r="AG19506" s="20"/>
      <c r="AQ19506" s="19"/>
      <c r="AR19506" s="19"/>
      <c r="AS19506" s="19"/>
      <c r="AT19506" s="19"/>
      <c r="AU19506" s="19"/>
    </row>
    <row r="19507" spans="3:47">
      <c r="C19507" s="20"/>
      <c r="Z19507" s="20"/>
      <c r="AG19507" s="20"/>
      <c r="AQ19507" s="19"/>
      <c r="AR19507" s="19"/>
      <c r="AS19507" s="19"/>
      <c r="AT19507" s="19"/>
      <c r="AU19507" s="19"/>
    </row>
    <row r="19508" spans="3:47">
      <c r="C19508" s="20"/>
      <c r="Z19508" s="20"/>
      <c r="AG19508" s="20"/>
      <c r="AQ19508" s="19"/>
      <c r="AR19508" s="19"/>
      <c r="AS19508" s="19"/>
      <c r="AT19508" s="19"/>
      <c r="AU19508" s="19"/>
    </row>
    <row r="19509" spans="3:47">
      <c r="C19509" s="20"/>
      <c r="Z19509" s="20"/>
      <c r="AG19509" s="20"/>
      <c r="AQ19509" s="19"/>
      <c r="AR19509" s="19"/>
      <c r="AS19509" s="19"/>
      <c r="AT19509" s="19"/>
      <c r="AU19509" s="19"/>
    </row>
    <row r="19510" spans="3:47">
      <c r="C19510" s="20"/>
      <c r="Z19510" s="20"/>
      <c r="AG19510" s="20"/>
      <c r="AQ19510" s="19"/>
      <c r="AR19510" s="19"/>
      <c r="AS19510" s="19"/>
      <c r="AT19510" s="19"/>
      <c r="AU19510" s="19"/>
    </row>
    <row r="19511" spans="3:47">
      <c r="C19511" s="20"/>
      <c r="Z19511" s="20"/>
      <c r="AG19511" s="20"/>
      <c r="AQ19511" s="19"/>
      <c r="AR19511" s="19"/>
      <c r="AS19511" s="19"/>
      <c r="AT19511" s="19"/>
      <c r="AU19511" s="19"/>
    </row>
    <row r="19512" spans="3:47">
      <c r="C19512" s="20"/>
      <c r="Z19512" s="20"/>
      <c r="AG19512" s="20"/>
      <c r="AQ19512" s="19"/>
      <c r="AR19512" s="19"/>
      <c r="AS19512" s="19"/>
      <c r="AT19512" s="19"/>
      <c r="AU19512" s="19"/>
    </row>
    <row r="19513" spans="3:47">
      <c r="C19513" s="20"/>
      <c r="Z19513" s="20"/>
      <c r="AG19513" s="20"/>
      <c r="AQ19513" s="19"/>
      <c r="AR19513" s="19"/>
      <c r="AS19513" s="19"/>
      <c r="AT19513" s="19"/>
      <c r="AU19513" s="19"/>
    </row>
    <row r="19514" spans="3:47">
      <c r="C19514" s="20"/>
      <c r="Z19514" s="20"/>
      <c r="AG19514" s="20"/>
      <c r="AQ19514" s="19"/>
      <c r="AR19514" s="19"/>
      <c r="AS19514" s="19"/>
      <c r="AT19514" s="19"/>
      <c r="AU19514" s="19"/>
    </row>
    <row r="19515" spans="3:47">
      <c r="C19515" s="20"/>
      <c r="Z19515" s="20"/>
      <c r="AG19515" s="20"/>
      <c r="AQ19515" s="19"/>
      <c r="AR19515" s="19"/>
      <c r="AS19515" s="19"/>
      <c r="AT19515" s="19"/>
      <c r="AU19515" s="19"/>
    </row>
    <row r="19516" spans="3:47">
      <c r="C19516" s="20"/>
      <c r="Z19516" s="20"/>
      <c r="AG19516" s="20"/>
      <c r="AQ19516" s="19"/>
      <c r="AR19516" s="19"/>
      <c r="AS19516" s="19"/>
      <c r="AT19516" s="19"/>
      <c r="AU19516" s="19"/>
    </row>
    <row r="19517" spans="3:47">
      <c r="C19517" s="20"/>
      <c r="Z19517" s="20"/>
      <c r="AG19517" s="20"/>
      <c r="AQ19517" s="19"/>
      <c r="AR19517" s="19"/>
      <c r="AS19517" s="19"/>
      <c r="AT19517" s="19"/>
      <c r="AU19517" s="19"/>
    </row>
    <row r="19518" spans="3:47">
      <c r="C19518" s="20"/>
      <c r="Z19518" s="20"/>
      <c r="AG19518" s="20"/>
      <c r="AQ19518" s="19"/>
      <c r="AR19518" s="19"/>
      <c r="AS19518" s="19"/>
      <c r="AT19518" s="19"/>
      <c r="AU19518" s="19"/>
    </row>
    <row r="19519" spans="3:47">
      <c r="C19519" s="20"/>
      <c r="Z19519" s="20"/>
      <c r="AG19519" s="20"/>
      <c r="AQ19519" s="19"/>
      <c r="AR19519" s="19"/>
      <c r="AS19519" s="19"/>
      <c r="AT19519" s="19"/>
      <c r="AU19519" s="19"/>
    </row>
    <row r="19520" spans="3:47">
      <c r="C19520" s="20"/>
      <c r="Z19520" s="20"/>
      <c r="AG19520" s="20"/>
      <c r="AQ19520" s="19"/>
      <c r="AR19520" s="19"/>
      <c r="AS19520" s="19"/>
      <c r="AT19520" s="19"/>
      <c r="AU19520" s="19"/>
    </row>
    <row r="19521" spans="3:47">
      <c r="C19521" s="20"/>
      <c r="Z19521" s="20"/>
      <c r="AG19521" s="20"/>
      <c r="AQ19521" s="19"/>
      <c r="AR19521" s="19"/>
      <c r="AS19521" s="19"/>
      <c r="AT19521" s="19"/>
      <c r="AU19521" s="19"/>
    </row>
    <row r="19522" spans="3:47">
      <c r="C19522" s="20"/>
      <c r="Z19522" s="20"/>
      <c r="AG19522" s="20"/>
      <c r="AQ19522" s="19"/>
      <c r="AR19522" s="19"/>
      <c r="AS19522" s="19"/>
      <c r="AT19522" s="19"/>
      <c r="AU19522" s="19"/>
    </row>
    <row r="19523" spans="3:47">
      <c r="C19523" s="20"/>
      <c r="Z19523" s="20"/>
      <c r="AG19523" s="20"/>
      <c r="AQ19523" s="19"/>
      <c r="AR19523" s="19"/>
      <c r="AS19523" s="19"/>
      <c r="AT19523" s="19"/>
      <c r="AU19523" s="19"/>
    </row>
    <row r="19524" spans="3:47">
      <c r="C19524" s="20"/>
      <c r="Z19524" s="20"/>
      <c r="AG19524" s="20"/>
      <c r="AQ19524" s="19"/>
      <c r="AR19524" s="19"/>
      <c r="AS19524" s="19"/>
      <c r="AT19524" s="19"/>
      <c r="AU19524" s="19"/>
    </row>
    <row r="19525" spans="3:47">
      <c r="C19525" s="20"/>
      <c r="Z19525" s="20"/>
      <c r="AG19525" s="20"/>
      <c r="AQ19525" s="19"/>
      <c r="AR19525" s="19"/>
      <c r="AS19525" s="19"/>
      <c r="AT19525" s="19"/>
      <c r="AU19525" s="19"/>
    </row>
    <row r="19526" spans="3:47">
      <c r="C19526" s="20"/>
      <c r="Z19526" s="20"/>
      <c r="AG19526" s="20"/>
      <c r="AQ19526" s="19"/>
      <c r="AR19526" s="19"/>
      <c r="AS19526" s="19"/>
      <c r="AT19526" s="19"/>
      <c r="AU19526" s="19"/>
    </row>
    <row r="19527" spans="3:47">
      <c r="C19527" s="20"/>
      <c r="Z19527" s="20"/>
      <c r="AG19527" s="20"/>
      <c r="AQ19527" s="19"/>
      <c r="AR19527" s="19"/>
      <c r="AS19527" s="19"/>
      <c r="AT19527" s="19"/>
      <c r="AU19527" s="19"/>
    </row>
    <row r="19528" spans="3:47">
      <c r="C19528" s="20"/>
      <c r="Z19528" s="20"/>
      <c r="AG19528" s="20"/>
      <c r="AQ19528" s="19"/>
      <c r="AR19528" s="19"/>
      <c r="AS19528" s="19"/>
      <c r="AT19528" s="19"/>
      <c r="AU19528" s="19"/>
    </row>
    <row r="19529" spans="3:47">
      <c r="C19529" s="20"/>
      <c r="Z19529" s="20"/>
      <c r="AG19529" s="20"/>
      <c r="AQ19529" s="19"/>
      <c r="AR19529" s="19"/>
      <c r="AS19529" s="19"/>
      <c r="AT19529" s="19"/>
      <c r="AU19529" s="19"/>
    </row>
    <row r="19530" spans="3:47">
      <c r="C19530" s="20"/>
      <c r="Z19530" s="20"/>
      <c r="AG19530" s="20"/>
      <c r="AQ19530" s="19"/>
      <c r="AR19530" s="19"/>
      <c r="AS19530" s="19"/>
      <c r="AT19530" s="19"/>
      <c r="AU19530" s="19"/>
    </row>
    <row r="19531" spans="3:47">
      <c r="C19531" s="20"/>
      <c r="Z19531" s="20"/>
      <c r="AG19531" s="20"/>
      <c r="AQ19531" s="19"/>
      <c r="AR19531" s="19"/>
      <c r="AS19531" s="19"/>
      <c r="AT19531" s="19"/>
      <c r="AU19531" s="19"/>
    </row>
    <row r="19532" spans="3:47">
      <c r="C19532" s="20"/>
      <c r="Z19532" s="20"/>
      <c r="AG19532" s="20"/>
      <c r="AQ19532" s="19"/>
      <c r="AR19532" s="19"/>
      <c r="AS19532" s="19"/>
      <c r="AT19532" s="19"/>
      <c r="AU19532" s="19"/>
    </row>
    <row r="19533" spans="3:47">
      <c r="C19533" s="20"/>
      <c r="Z19533" s="20"/>
      <c r="AG19533" s="20"/>
      <c r="AQ19533" s="19"/>
      <c r="AR19533" s="19"/>
      <c r="AS19533" s="19"/>
      <c r="AT19533" s="19"/>
      <c r="AU19533" s="19"/>
    </row>
    <row r="19534" spans="3:47">
      <c r="C19534" s="20"/>
      <c r="Z19534" s="20"/>
      <c r="AG19534" s="20"/>
      <c r="AQ19534" s="19"/>
      <c r="AR19534" s="19"/>
      <c r="AS19534" s="19"/>
      <c r="AT19534" s="19"/>
      <c r="AU19534" s="19"/>
    </row>
    <row r="19535" spans="3:47">
      <c r="C19535" s="20"/>
      <c r="Z19535" s="20"/>
      <c r="AG19535" s="20"/>
      <c r="AQ19535" s="19"/>
      <c r="AR19535" s="19"/>
      <c r="AS19535" s="19"/>
      <c r="AT19535" s="19"/>
      <c r="AU19535" s="19"/>
    </row>
    <row r="19536" spans="3:47">
      <c r="C19536" s="20"/>
      <c r="Z19536" s="20"/>
      <c r="AG19536" s="20"/>
      <c r="AQ19536" s="19"/>
      <c r="AR19536" s="19"/>
      <c r="AS19536" s="19"/>
      <c r="AT19536" s="19"/>
      <c r="AU19536" s="19"/>
    </row>
    <row r="19537" spans="3:47">
      <c r="C19537" s="20"/>
      <c r="Z19537" s="20"/>
      <c r="AG19537" s="20"/>
      <c r="AQ19537" s="19"/>
      <c r="AR19537" s="19"/>
      <c r="AS19537" s="19"/>
      <c r="AT19537" s="19"/>
      <c r="AU19537" s="19"/>
    </row>
    <row r="19538" spans="3:47">
      <c r="C19538" s="20"/>
      <c r="Z19538" s="20"/>
      <c r="AG19538" s="20"/>
      <c r="AQ19538" s="19"/>
      <c r="AR19538" s="19"/>
      <c r="AS19538" s="19"/>
      <c r="AT19538" s="19"/>
      <c r="AU19538" s="19"/>
    </row>
    <row r="19539" spans="3:47">
      <c r="C19539" s="20"/>
      <c r="Z19539" s="20"/>
      <c r="AG19539" s="20"/>
      <c r="AQ19539" s="19"/>
      <c r="AR19539" s="19"/>
      <c r="AS19539" s="19"/>
      <c r="AT19539" s="19"/>
      <c r="AU19539" s="19"/>
    </row>
    <row r="19540" spans="3:47">
      <c r="C19540" s="20"/>
      <c r="Z19540" s="20"/>
      <c r="AG19540" s="20"/>
      <c r="AQ19540" s="19"/>
      <c r="AR19540" s="19"/>
      <c r="AS19540" s="19"/>
      <c r="AT19540" s="19"/>
      <c r="AU19540" s="19"/>
    </row>
    <row r="19541" spans="3:47">
      <c r="C19541" s="20"/>
      <c r="Z19541" s="20"/>
      <c r="AG19541" s="20"/>
      <c r="AQ19541" s="19"/>
      <c r="AR19541" s="19"/>
      <c r="AS19541" s="19"/>
      <c r="AT19541" s="19"/>
      <c r="AU19541" s="19"/>
    </row>
    <row r="19542" spans="3:47">
      <c r="C19542" s="20"/>
      <c r="Z19542" s="20"/>
      <c r="AG19542" s="20"/>
      <c r="AQ19542" s="19"/>
      <c r="AR19542" s="19"/>
      <c r="AS19542" s="19"/>
      <c r="AT19542" s="19"/>
      <c r="AU19542" s="19"/>
    </row>
    <row r="19543" spans="3:47">
      <c r="C19543" s="20"/>
      <c r="Z19543" s="20"/>
      <c r="AG19543" s="20"/>
      <c r="AQ19543" s="19"/>
      <c r="AR19543" s="19"/>
      <c r="AS19543" s="19"/>
      <c r="AT19543" s="19"/>
      <c r="AU19543" s="19"/>
    </row>
    <row r="19544" spans="3:47">
      <c r="C19544" s="20"/>
      <c r="Z19544" s="20"/>
      <c r="AG19544" s="20"/>
      <c r="AQ19544" s="19"/>
      <c r="AR19544" s="19"/>
      <c r="AS19544" s="19"/>
      <c r="AT19544" s="19"/>
      <c r="AU19544" s="19"/>
    </row>
    <row r="19545" spans="3:47">
      <c r="C19545" s="20"/>
      <c r="Z19545" s="20"/>
      <c r="AG19545" s="20"/>
      <c r="AQ19545" s="19"/>
      <c r="AR19545" s="19"/>
      <c r="AS19545" s="19"/>
      <c r="AT19545" s="19"/>
      <c r="AU19545" s="19"/>
    </row>
    <row r="19546" spans="3:47">
      <c r="C19546" s="20"/>
      <c r="Z19546" s="20"/>
      <c r="AG19546" s="20"/>
      <c r="AQ19546" s="19"/>
      <c r="AR19546" s="19"/>
      <c r="AS19546" s="19"/>
      <c r="AT19546" s="19"/>
      <c r="AU19546" s="19"/>
    </row>
    <row r="19547" spans="3:47">
      <c r="C19547" s="20"/>
      <c r="Z19547" s="20"/>
      <c r="AG19547" s="20"/>
      <c r="AQ19547" s="19"/>
      <c r="AR19547" s="19"/>
      <c r="AS19547" s="19"/>
      <c r="AT19547" s="19"/>
      <c r="AU19547" s="19"/>
    </row>
    <row r="19548" spans="3:47">
      <c r="C19548" s="20"/>
      <c r="Z19548" s="20"/>
      <c r="AG19548" s="20"/>
      <c r="AQ19548" s="19"/>
      <c r="AR19548" s="19"/>
      <c r="AS19548" s="19"/>
      <c r="AT19548" s="19"/>
      <c r="AU19548" s="19"/>
    </row>
    <row r="19549" spans="3:47">
      <c r="C19549" s="20"/>
      <c r="Z19549" s="20"/>
      <c r="AG19549" s="20"/>
      <c r="AQ19549" s="19"/>
      <c r="AR19549" s="19"/>
      <c r="AS19549" s="19"/>
      <c r="AT19549" s="19"/>
      <c r="AU19549" s="19"/>
    </row>
    <row r="19550" spans="3:47">
      <c r="C19550" s="20"/>
      <c r="Z19550" s="20"/>
      <c r="AG19550" s="20"/>
      <c r="AQ19550" s="19"/>
      <c r="AR19550" s="19"/>
      <c r="AS19550" s="19"/>
      <c r="AT19550" s="19"/>
      <c r="AU19550" s="19"/>
    </row>
    <row r="19551" spans="3:47">
      <c r="C19551" s="20"/>
      <c r="Z19551" s="20"/>
      <c r="AG19551" s="20"/>
      <c r="AQ19551" s="19"/>
      <c r="AR19551" s="19"/>
      <c r="AS19551" s="19"/>
      <c r="AT19551" s="19"/>
      <c r="AU19551" s="19"/>
    </row>
    <row r="19552" spans="3:47">
      <c r="C19552" s="20"/>
      <c r="Z19552" s="20"/>
      <c r="AG19552" s="20"/>
      <c r="AQ19552" s="19"/>
      <c r="AR19552" s="19"/>
      <c r="AS19552" s="19"/>
      <c r="AT19552" s="19"/>
      <c r="AU19552" s="19"/>
    </row>
    <row r="19553" spans="3:47">
      <c r="C19553" s="20"/>
      <c r="Z19553" s="20"/>
      <c r="AG19553" s="20"/>
      <c r="AQ19553" s="19"/>
      <c r="AR19553" s="19"/>
      <c r="AS19553" s="19"/>
      <c r="AT19553" s="19"/>
      <c r="AU19553" s="19"/>
    </row>
    <row r="19554" spans="3:47">
      <c r="C19554" s="20"/>
      <c r="Z19554" s="20"/>
      <c r="AG19554" s="20"/>
      <c r="AQ19554" s="19"/>
      <c r="AR19554" s="19"/>
      <c r="AS19554" s="19"/>
      <c r="AT19554" s="19"/>
      <c r="AU19554" s="19"/>
    </row>
    <row r="19555" spans="3:47">
      <c r="C19555" s="20"/>
      <c r="Z19555" s="20"/>
      <c r="AG19555" s="20"/>
      <c r="AQ19555" s="19"/>
      <c r="AR19555" s="19"/>
      <c r="AS19555" s="19"/>
      <c r="AT19555" s="19"/>
      <c r="AU19555" s="19"/>
    </row>
    <row r="19556" spans="3:47">
      <c r="C19556" s="20"/>
      <c r="Z19556" s="20"/>
      <c r="AG19556" s="20"/>
      <c r="AQ19556" s="19"/>
      <c r="AR19556" s="19"/>
      <c r="AS19556" s="19"/>
      <c r="AT19556" s="19"/>
      <c r="AU19556" s="19"/>
    </row>
    <row r="19557" spans="3:47">
      <c r="C19557" s="20"/>
      <c r="Z19557" s="20"/>
      <c r="AG19557" s="20"/>
      <c r="AQ19557" s="19"/>
      <c r="AR19557" s="19"/>
      <c r="AS19557" s="19"/>
      <c r="AT19557" s="19"/>
      <c r="AU19557" s="19"/>
    </row>
    <row r="19558" spans="3:47">
      <c r="C19558" s="20"/>
      <c r="Z19558" s="20"/>
      <c r="AG19558" s="20"/>
      <c r="AQ19558" s="19"/>
      <c r="AR19558" s="19"/>
      <c r="AS19558" s="19"/>
      <c r="AT19558" s="19"/>
      <c r="AU19558" s="19"/>
    </row>
    <row r="19559" spans="3:47">
      <c r="C19559" s="20"/>
      <c r="Z19559" s="20"/>
      <c r="AG19559" s="20"/>
      <c r="AQ19559" s="19"/>
      <c r="AR19559" s="19"/>
      <c r="AS19559" s="19"/>
      <c r="AT19559" s="19"/>
      <c r="AU19559" s="19"/>
    </row>
    <row r="19560" spans="3:47">
      <c r="C19560" s="20"/>
      <c r="Z19560" s="20"/>
      <c r="AG19560" s="20"/>
      <c r="AQ19560" s="19"/>
      <c r="AR19560" s="19"/>
      <c r="AS19560" s="19"/>
      <c r="AT19560" s="19"/>
      <c r="AU19560" s="19"/>
    </row>
    <row r="19561" spans="3:47">
      <c r="C19561" s="20"/>
      <c r="Z19561" s="20"/>
      <c r="AG19561" s="20"/>
      <c r="AQ19561" s="19"/>
      <c r="AR19561" s="19"/>
      <c r="AS19561" s="19"/>
      <c r="AT19561" s="19"/>
      <c r="AU19561" s="19"/>
    </row>
    <row r="19562" spans="3:47">
      <c r="C19562" s="20"/>
      <c r="Z19562" s="20"/>
      <c r="AG19562" s="20"/>
      <c r="AQ19562" s="19"/>
      <c r="AR19562" s="19"/>
      <c r="AS19562" s="19"/>
      <c r="AT19562" s="19"/>
      <c r="AU19562" s="19"/>
    </row>
    <row r="19563" spans="3:47">
      <c r="C19563" s="20"/>
      <c r="Z19563" s="20"/>
      <c r="AG19563" s="20"/>
      <c r="AQ19563" s="19"/>
      <c r="AR19563" s="19"/>
      <c r="AS19563" s="19"/>
      <c r="AT19563" s="19"/>
      <c r="AU19563" s="19"/>
    </row>
    <row r="19564" spans="3:47">
      <c r="C19564" s="20"/>
      <c r="Z19564" s="20"/>
      <c r="AG19564" s="20"/>
      <c r="AQ19564" s="19"/>
      <c r="AR19564" s="19"/>
      <c r="AS19564" s="19"/>
      <c r="AT19564" s="19"/>
      <c r="AU19564" s="19"/>
    </row>
    <row r="19565" spans="3:47">
      <c r="C19565" s="20"/>
      <c r="Z19565" s="20"/>
      <c r="AG19565" s="20"/>
      <c r="AQ19565" s="19"/>
      <c r="AR19565" s="19"/>
      <c r="AS19565" s="19"/>
      <c r="AT19565" s="19"/>
      <c r="AU19565" s="19"/>
    </row>
    <row r="19566" spans="3:47">
      <c r="C19566" s="20"/>
      <c r="Z19566" s="20"/>
      <c r="AG19566" s="20"/>
      <c r="AQ19566" s="19"/>
      <c r="AR19566" s="19"/>
      <c r="AS19566" s="19"/>
      <c r="AT19566" s="19"/>
      <c r="AU19566" s="19"/>
    </row>
    <row r="19567" spans="3:47">
      <c r="C19567" s="20"/>
      <c r="Z19567" s="20"/>
      <c r="AG19567" s="20"/>
      <c r="AQ19567" s="19"/>
      <c r="AR19567" s="19"/>
      <c r="AS19567" s="19"/>
      <c r="AT19567" s="19"/>
      <c r="AU19567" s="19"/>
    </row>
    <row r="19568" spans="3:47">
      <c r="C19568" s="20"/>
      <c r="Z19568" s="20"/>
      <c r="AG19568" s="20"/>
      <c r="AQ19568" s="19"/>
      <c r="AR19568" s="19"/>
      <c r="AS19568" s="19"/>
      <c r="AT19568" s="19"/>
      <c r="AU19568" s="19"/>
    </row>
    <row r="19569" spans="3:47">
      <c r="C19569" s="20"/>
      <c r="Z19569" s="20"/>
      <c r="AG19569" s="20"/>
      <c r="AQ19569" s="19"/>
      <c r="AR19569" s="19"/>
      <c r="AS19569" s="19"/>
      <c r="AT19569" s="19"/>
      <c r="AU19569" s="19"/>
    </row>
    <row r="19570" spans="3:47">
      <c r="C19570" s="20"/>
      <c r="Z19570" s="20"/>
      <c r="AG19570" s="20"/>
      <c r="AQ19570" s="19"/>
      <c r="AR19570" s="19"/>
      <c r="AS19570" s="19"/>
      <c r="AT19570" s="19"/>
      <c r="AU19570" s="19"/>
    </row>
    <row r="19571" spans="3:47">
      <c r="C19571" s="20"/>
      <c r="Z19571" s="20"/>
      <c r="AG19571" s="20"/>
      <c r="AQ19571" s="19"/>
      <c r="AR19571" s="19"/>
      <c r="AS19571" s="19"/>
      <c r="AT19571" s="19"/>
      <c r="AU19571" s="19"/>
    </row>
    <row r="19572" spans="3:47">
      <c r="C19572" s="20"/>
      <c r="Z19572" s="20"/>
      <c r="AG19572" s="20"/>
      <c r="AQ19572" s="19"/>
      <c r="AR19572" s="19"/>
      <c r="AS19572" s="19"/>
      <c r="AT19572" s="19"/>
      <c r="AU19572" s="19"/>
    </row>
    <row r="19573" spans="3:47">
      <c r="C19573" s="20"/>
      <c r="Z19573" s="20"/>
      <c r="AG19573" s="20"/>
      <c r="AQ19573" s="19"/>
      <c r="AR19573" s="19"/>
      <c r="AS19573" s="19"/>
      <c r="AT19573" s="19"/>
      <c r="AU19573" s="19"/>
    </row>
    <row r="19574" spans="3:47">
      <c r="C19574" s="20"/>
      <c r="Z19574" s="20"/>
      <c r="AG19574" s="20"/>
      <c r="AQ19574" s="19"/>
      <c r="AR19574" s="19"/>
      <c r="AS19574" s="19"/>
      <c r="AT19574" s="19"/>
      <c r="AU19574" s="19"/>
    </row>
    <row r="19575" spans="3:47">
      <c r="C19575" s="20"/>
      <c r="Z19575" s="20"/>
      <c r="AG19575" s="20"/>
      <c r="AQ19575" s="19"/>
      <c r="AR19575" s="19"/>
      <c r="AS19575" s="19"/>
      <c r="AT19575" s="19"/>
      <c r="AU19575" s="19"/>
    </row>
    <row r="19576" spans="3:47">
      <c r="C19576" s="20"/>
      <c r="Z19576" s="20"/>
      <c r="AG19576" s="20"/>
      <c r="AQ19576" s="19"/>
      <c r="AR19576" s="19"/>
      <c r="AS19576" s="19"/>
      <c r="AT19576" s="19"/>
      <c r="AU19576" s="19"/>
    </row>
    <row r="19577" spans="3:47">
      <c r="C19577" s="20"/>
      <c r="Z19577" s="20"/>
      <c r="AG19577" s="20"/>
      <c r="AQ19577" s="19"/>
      <c r="AR19577" s="19"/>
      <c r="AS19577" s="19"/>
      <c r="AT19577" s="19"/>
      <c r="AU19577" s="19"/>
    </row>
    <row r="19578" spans="3:47">
      <c r="C19578" s="20"/>
      <c r="Z19578" s="20"/>
      <c r="AG19578" s="20"/>
      <c r="AQ19578" s="19"/>
      <c r="AR19578" s="19"/>
      <c r="AS19578" s="19"/>
      <c r="AT19578" s="19"/>
      <c r="AU19578" s="19"/>
    </row>
    <row r="19579" spans="3:47">
      <c r="C19579" s="20"/>
      <c r="Z19579" s="20"/>
      <c r="AG19579" s="20"/>
      <c r="AQ19579" s="19"/>
      <c r="AR19579" s="19"/>
      <c r="AS19579" s="19"/>
      <c r="AT19579" s="19"/>
      <c r="AU19579" s="19"/>
    </row>
    <row r="19580" spans="3:47">
      <c r="C19580" s="20"/>
      <c r="Z19580" s="20"/>
      <c r="AG19580" s="20"/>
      <c r="AQ19580" s="19"/>
      <c r="AR19580" s="19"/>
      <c r="AS19580" s="19"/>
      <c r="AT19580" s="19"/>
      <c r="AU19580" s="19"/>
    </row>
    <row r="19581" spans="3:47">
      <c r="C19581" s="20"/>
      <c r="Z19581" s="20"/>
      <c r="AG19581" s="20"/>
      <c r="AQ19581" s="19"/>
      <c r="AR19581" s="19"/>
      <c r="AS19581" s="19"/>
      <c r="AT19581" s="19"/>
      <c r="AU19581" s="19"/>
    </row>
    <row r="19582" spans="3:47">
      <c r="C19582" s="20"/>
      <c r="Z19582" s="20"/>
      <c r="AG19582" s="20"/>
      <c r="AQ19582" s="19"/>
      <c r="AR19582" s="19"/>
      <c r="AS19582" s="19"/>
      <c r="AT19582" s="19"/>
      <c r="AU19582" s="19"/>
    </row>
    <row r="19583" spans="3:47">
      <c r="C19583" s="20"/>
      <c r="Z19583" s="20"/>
      <c r="AG19583" s="20"/>
      <c r="AQ19583" s="19"/>
      <c r="AR19583" s="19"/>
      <c r="AS19583" s="19"/>
      <c r="AT19583" s="19"/>
      <c r="AU19583" s="19"/>
    </row>
    <row r="19584" spans="3:47">
      <c r="C19584" s="20"/>
      <c r="Z19584" s="20"/>
      <c r="AG19584" s="20"/>
      <c r="AQ19584" s="19"/>
      <c r="AR19584" s="19"/>
      <c r="AS19584" s="19"/>
      <c r="AT19584" s="19"/>
      <c r="AU19584" s="19"/>
    </row>
    <row r="19585" spans="3:47">
      <c r="C19585" s="20"/>
      <c r="Z19585" s="20"/>
      <c r="AG19585" s="20"/>
      <c r="AQ19585" s="19"/>
      <c r="AR19585" s="19"/>
      <c r="AS19585" s="19"/>
      <c r="AT19585" s="19"/>
      <c r="AU19585" s="19"/>
    </row>
    <row r="19586" spans="3:47">
      <c r="C19586" s="20"/>
      <c r="Z19586" s="20"/>
      <c r="AG19586" s="20"/>
      <c r="AQ19586" s="19"/>
      <c r="AR19586" s="19"/>
      <c r="AS19586" s="19"/>
      <c r="AT19586" s="19"/>
      <c r="AU19586" s="19"/>
    </row>
    <row r="19587" spans="3:47">
      <c r="C19587" s="20"/>
      <c r="Z19587" s="20"/>
      <c r="AG19587" s="20"/>
      <c r="AQ19587" s="19"/>
      <c r="AR19587" s="19"/>
      <c r="AS19587" s="19"/>
      <c r="AT19587" s="19"/>
      <c r="AU19587" s="19"/>
    </row>
    <row r="19588" spans="3:47">
      <c r="C19588" s="20"/>
      <c r="Z19588" s="20"/>
      <c r="AG19588" s="20"/>
      <c r="AQ19588" s="19"/>
      <c r="AR19588" s="19"/>
      <c r="AS19588" s="19"/>
      <c r="AT19588" s="19"/>
      <c r="AU19588" s="19"/>
    </row>
    <row r="19589" spans="3:47">
      <c r="C19589" s="20"/>
      <c r="Z19589" s="20"/>
      <c r="AG19589" s="20"/>
      <c r="AQ19589" s="19"/>
      <c r="AR19589" s="19"/>
      <c r="AS19589" s="19"/>
      <c r="AT19589" s="19"/>
      <c r="AU19589" s="19"/>
    </row>
    <row r="19590" spans="3:47">
      <c r="C19590" s="20"/>
      <c r="Z19590" s="20"/>
      <c r="AG19590" s="20"/>
      <c r="AQ19590" s="19"/>
      <c r="AR19590" s="19"/>
      <c r="AS19590" s="19"/>
      <c r="AT19590" s="19"/>
      <c r="AU19590" s="19"/>
    </row>
    <row r="19591" spans="3:47">
      <c r="C19591" s="20"/>
      <c r="Z19591" s="20"/>
      <c r="AG19591" s="20"/>
      <c r="AQ19591" s="19"/>
      <c r="AR19591" s="19"/>
      <c r="AS19591" s="19"/>
      <c r="AT19591" s="19"/>
      <c r="AU19591" s="19"/>
    </row>
    <row r="19592" spans="3:47">
      <c r="C19592" s="20"/>
      <c r="Z19592" s="20"/>
      <c r="AG19592" s="20"/>
      <c r="AQ19592" s="19"/>
      <c r="AR19592" s="19"/>
      <c r="AS19592" s="19"/>
      <c r="AT19592" s="19"/>
      <c r="AU19592" s="19"/>
    </row>
    <row r="19593" spans="3:47">
      <c r="C19593" s="20"/>
      <c r="Z19593" s="20"/>
      <c r="AG19593" s="20"/>
      <c r="AQ19593" s="19"/>
      <c r="AR19593" s="19"/>
      <c r="AS19593" s="19"/>
      <c r="AT19593" s="19"/>
      <c r="AU19593" s="19"/>
    </row>
    <row r="19594" spans="3:47">
      <c r="C19594" s="20"/>
      <c r="Z19594" s="20"/>
      <c r="AG19594" s="20"/>
      <c r="AQ19594" s="19"/>
      <c r="AR19594" s="19"/>
      <c r="AS19594" s="19"/>
      <c r="AT19594" s="19"/>
      <c r="AU19594" s="19"/>
    </row>
    <row r="19595" spans="3:47">
      <c r="C19595" s="20"/>
      <c r="Z19595" s="20"/>
      <c r="AG19595" s="20"/>
      <c r="AQ19595" s="19"/>
      <c r="AR19595" s="19"/>
      <c r="AS19595" s="19"/>
      <c r="AT19595" s="19"/>
      <c r="AU19595" s="19"/>
    </row>
    <row r="19596" spans="3:47">
      <c r="C19596" s="20"/>
      <c r="Z19596" s="20"/>
      <c r="AG19596" s="20"/>
      <c r="AQ19596" s="19"/>
      <c r="AR19596" s="19"/>
      <c r="AS19596" s="19"/>
      <c r="AT19596" s="19"/>
      <c r="AU19596" s="19"/>
    </row>
    <row r="19597" spans="3:47">
      <c r="C19597" s="20"/>
      <c r="Z19597" s="20"/>
      <c r="AG19597" s="20"/>
      <c r="AQ19597" s="19"/>
      <c r="AR19597" s="19"/>
      <c r="AS19597" s="19"/>
      <c r="AT19597" s="19"/>
      <c r="AU19597" s="19"/>
    </row>
    <row r="19598" spans="3:47">
      <c r="C19598" s="20"/>
      <c r="Z19598" s="20"/>
      <c r="AG19598" s="20"/>
      <c r="AQ19598" s="19"/>
      <c r="AR19598" s="19"/>
      <c r="AS19598" s="19"/>
      <c r="AT19598" s="19"/>
      <c r="AU19598" s="19"/>
    </row>
    <row r="19599" spans="3:47">
      <c r="C19599" s="20"/>
      <c r="Z19599" s="20"/>
      <c r="AG19599" s="20"/>
      <c r="AQ19599" s="19"/>
      <c r="AR19599" s="19"/>
      <c r="AS19599" s="19"/>
      <c r="AT19599" s="19"/>
      <c r="AU19599" s="19"/>
    </row>
    <row r="19600" spans="3:47">
      <c r="C19600" s="20"/>
      <c r="Z19600" s="20"/>
      <c r="AG19600" s="20"/>
      <c r="AQ19600" s="19"/>
      <c r="AR19600" s="19"/>
      <c r="AS19600" s="19"/>
      <c r="AT19600" s="19"/>
      <c r="AU19600" s="19"/>
    </row>
    <row r="19601" spans="3:47">
      <c r="C19601" s="20"/>
      <c r="Z19601" s="20"/>
      <c r="AG19601" s="20"/>
      <c r="AQ19601" s="19"/>
      <c r="AR19601" s="19"/>
      <c r="AS19601" s="19"/>
      <c r="AT19601" s="19"/>
      <c r="AU19601" s="19"/>
    </row>
    <row r="19602" spans="3:47">
      <c r="C19602" s="20"/>
      <c r="Z19602" s="20"/>
      <c r="AG19602" s="20"/>
      <c r="AQ19602" s="19"/>
      <c r="AR19602" s="19"/>
      <c r="AS19602" s="19"/>
      <c r="AT19602" s="19"/>
      <c r="AU19602" s="19"/>
    </row>
    <row r="19603" spans="3:47">
      <c r="C19603" s="20"/>
      <c r="Z19603" s="20"/>
      <c r="AG19603" s="20"/>
      <c r="AQ19603" s="19"/>
      <c r="AR19603" s="19"/>
      <c r="AS19603" s="19"/>
      <c r="AT19603" s="19"/>
      <c r="AU19603" s="19"/>
    </row>
    <row r="19604" spans="3:47">
      <c r="C19604" s="20"/>
      <c r="Z19604" s="20"/>
      <c r="AG19604" s="20"/>
      <c r="AQ19604" s="19"/>
      <c r="AR19604" s="19"/>
      <c r="AS19604" s="19"/>
      <c r="AT19604" s="19"/>
      <c r="AU19604" s="19"/>
    </row>
    <row r="19605" spans="3:47">
      <c r="C19605" s="20"/>
      <c r="Z19605" s="20"/>
      <c r="AG19605" s="20"/>
      <c r="AQ19605" s="19"/>
      <c r="AR19605" s="19"/>
      <c r="AS19605" s="19"/>
      <c r="AT19605" s="19"/>
      <c r="AU19605" s="19"/>
    </row>
    <row r="19606" spans="3:47">
      <c r="C19606" s="20"/>
      <c r="Z19606" s="20"/>
      <c r="AG19606" s="20"/>
      <c r="AQ19606" s="19"/>
      <c r="AR19606" s="19"/>
      <c r="AS19606" s="19"/>
      <c r="AT19606" s="19"/>
      <c r="AU19606" s="19"/>
    </row>
    <row r="19607" spans="3:47">
      <c r="C19607" s="20"/>
      <c r="Z19607" s="20"/>
      <c r="AG19607" s="20"/>
      <c r="AQ19607" s="19"/>
      <c r="AR19607" s="19"/>
      <c r="AS19607" s="19"/>
      <c r="AT19607" s="19"/>
      <c r="AU19607" s="19"/>
    </row>
    <row r="19608" spans="3:47">
      <c r="C19608" s="20"/>
      <c r="Z19608" s="20"/>
      <c r="AG19608" s="20"/>
      <c r="AQ19608" s="19"/>
      <c r="AR19608" s="19"/>
      <c r="AS19608" s="19"/>
      <c r="AT19608" s="19"/>
      <c r="AU19608" s="19"/>
    </row>
    <row r="19609" spans="3:47">
      <c r="C19609" s="20"/>
      <c r="Z19609" s="20"/>
      <c r="AG19609" s="20"/>
      <c r="AQ19609" s="19"/>
      <c r="AR19609" s="19"/>
      <c r="AS19609" s="19"/>
      <c r="AT19609" s="19"/>
      <c r="AU19609" s="19"/>
    </row>
    <row r="19610" spans="3:47">
      <c r="C19610" s="20"/>
      <c r="Z19610" s="20"/>
      <c r="AG19610" s="20"/>
      <c r="AQ19610" s="19"/>
      <c r="AR19610" s="19"/>
      <c r="AS19610" s="19"/>
      <c r="AT19610" s="19"/>
      <c r="AU19610" s="19"/>
    </row>
    <row r="19611" spans="3:47">
      <c r="C19611" s="20"/>
      <c r="Z19611" s="20"/>
      <c r="AG19611" s="20"/>
      <c r="AQ19611" s="19"/>
      <c r="AR19611" s="19"/>
      <c r="AS19611" s="19"/>
      <c r="AT19611" s="19"/>
      <c r="AU19611" s="19"/>
    </row>
    <row r="19612" spans="3:47">
      <c r="C19612" s="20"/>
      <c r="Z19612" s="20"/>
      <c r="AG19612" s="20"/>
      <c r="AQ19612" s="19"/>
      <c r="AR19612" s="19"/>
      <c r="AS19612" s="19"/>
      <c r="AT19612" s="19"/>
      <c r="AU19612" s="19"/>
    </row>
    <row r="19613" spans="3:47">
      <c r="C19613" s="20"/>
      <c r="Z19613" s="20"/>
      <c r="AG19613" s="20"/>
      <c r="AQ19613" s="19"/>
      <c r="AR19613" s="19"/>
      <c r="AS19613" s="19"/>
      <c r="AT19613" s="19"/>
      <c r="AU19613" s="19"/>
    </row>
    <row r="19614" spans="3:47">
      <c r="C19614" s="20"/>
      <c r="Z19614" s="20"/>
      <c r="AG19614" s="20"/>
      <c r="AQ19614" s="19"/>
      <c r="AR19614" s="19"/>
      <c r="AS19614" s="19"/>
      <c r="AT19614" s="19"/>
      <c r="AU19614" s="19"/>
    </row>
    <row r="19615" spans="3:47">
      <c r="C19615" s="20"/>
      <c r="Z19615" s="20"/>
      <c r="AG19615" s="20"/>
      <c r="AQ19615" s="19"/>
      <c r="AR19615" s="19"/>
      <c r="AS19615" s="19"/>
      <c r="AT19615" s="19"/>
      <c r="AU19615" s="19"/>
    </row>
    <row r="19616" spans="3:47">
      <c r="C19616" s="20"/>
      <c r="Z19616" s="20"/>
      <c r="AG19616" s="20"/>
      <c r="AQ19616" s="19"/>
      <c r="AR19616" s="19"/>
      <c r="AS19616" s="19"/>
      <c r="AT19616" s="19"/>
      <c r="AU19616" s="19"/>
    </row>
    <row r="19617" spans="3:47">
      <c r="C19617" s="20"/>
      <c r="Z19617" s="20"/>
      <c r="AG19617" s="20"/>
      <c r="AQ19617" s="19"/>
      <c r="AR19617" s="19"/>
      <c r="AS19617" s="19"/>
      <c r="AT19617" s="19"/>
      <c r="AU19617" s="19"/>
    </row>
    <row r="19618" spans="3:47">
      <c r="C19618" s="20"/>
      <c r="Z19618" s="20"/>
      <c r="AG19618" s="20"/>
      <c r="AQ19618" s="19"/>
      <c r="AR19618" s="19"/>
      <c r="AS19618" s="19"/>
      <c r="AT19618" s="19"/>
      <c r="AU19618" s="19"/>
    </row>
    <row r="19619" spans="3:47">
      <c r="C19619" s="20"/>
      <c r="Z19619" s="20"/>
      <c r="AG19619" s="20"/>
      <c r="AQ19619" s="19"/>
      <c r="AR19619" s="19"/>
      <c r="AS19619" s="19"/>
      <c r="AT19619" s="19"/>
      <c r="AU19619" s="19"/>
    </row>
    <row r="19620" spans="3:47">
      <c r="C19620" s="20"/>
      <c r="Z19620" s="20"/>
      <c r="AG19620" s="20"/>
      <c r="AQ19620" s="19"/>
      <c r="AR19620" s="19"/>
      <c r="AS19620" s="19"/>
      <c r="AT19620" s="19"/>
      <c r="AU19620" s="19"/>
    </row>
    <row r="19621" spans="3:47">
      <c r="C19621" s="20"/>
      <c r="Z19621" s="20"/>
      <c r="AG19621" s="20"/>
      <c r="AQ19621" s="19"/>
      <c r="AR19621" s="19"/>
      <c r="AS19621" s="19"/>
      <c r="AT19621" s="19"/>
      <c r="AU19621" s="19"/>
    </row>
    <row r="19622" spans="3:47">
      <c r="C19622" s="20"/>
      <c r="Z19622" s="20"/>
      <c r="AG19622" s="20"/>
      <c r="AQ19622" s="19"/>
      <c r="AR19622" s="19"/>
      <c r="AS19622" s="19"/>
      <c r="AT19622" s="19"/>
      <c r="AU19622" s="19"/>
    </row>
    <row r="19623" spans="3:47">
      <c r="C19623" s="20"/>
      <c r="Z19623" s="20"/>
      <c r="AG19623" s="20"/>
      <c r="AQ19623" s="19"/>
      <c r="AR19623" s="19"/>
      <c r="AS19623" s="19"/>
      <c r="AT19623" s="19"/>
      <c r="AU19623" s="19"/>
    </row>
    <row r="19624" spans="3:47">
      <c r="C19624" s="20"/>
      <c r="Z19624" s="20"/>
      <c r="AG19624" s="20"/>
      <c r="AQ19624" s="19"/>
      <c r="AR19624" s="19"/>
      <c r="AS19624" s="19"/>
      <c r="AT19624" s="19"/>
      <c r="AU19624" s="19"/>
    </row>
    <row r="19625" spans="3:47">
      <c r="C19625" s="20"/>
      <c r="Z19625" s="20"/>
      <c r="AG19625" s="20"/>
      <c r="AQ19625" s="19"/>
      <c r="AR19625" s="19"/>
      <c r="AS19625" s="19"/>
      <c r="AT19625" s="19"/>
      <c r="AU19625" s="19"/>
    </row>
    <row r="19626" spans="3:47">
      <c r="C19626" s="20"/>
      <c r="Z19626" s="20"/>
      <c r="AG19626" s="20"/>
      <c r="AQ19626" s="19"/>
      <c r="AR19626" s="19"/>
      <c r="AS19626" s="19"/>
      <c r="AT19626" s="19"/>
      <c r="AU19626" s="19"/>
    </row>
    <row r="19627" spans="3:47">
      <c r="C19627" s="20"/>
      <c r="Z19627" s="20"/>
      <c r="AG19627" s="20"/>
      <c r="AQ19627" s="19"/>
      <c r="AR19627" s="19"/>
      <c r="AS19627" s="19"/>
      <c r="AT19627" s="19"/>
      <c r="AU19627" s="19"/>
    </row>
    <row r="19628" spans="3:47">
      <c r="C19628" s="20"/>
      <c r="Z19628" s="20"/>
      <c r="AG19628" s="20"/>
      <c r="AQ19628" s="19"/>
      <c r="AR19628" s="19"/>
      <c r="AS19628" s="19"/>
      <c r="AT19628" s="19"/>
      <c r="AU19628" s="19"/>
    </row>
    <row r="19629" spans="3:47">
      <c r="C19629" s="20"/>
      <c r="Z19629" s="20"/>
      <c r="AG19629" s="20"/>
      <c r="AQ19629" s="19"/>
      <c r="AR19629" s="19"/>
      <c r="AS19629" s="19"/>
      <c r="AT19629" s="19"/>
      <c r="AU19629" s="19"/>
    </row>
    <row r="19630" spans="3:47">
      <c r="C19630" s="20"/>
      <c r="Z19630" s="20"/>
      <c r="AG19630" s="20"/>
      <c r="AQ19630" s="19"/>
      <c r="AR19630" s="19"/>
      <c r="AS19630" s="19"/>
      <c r="AT19630" s="19"/>
      <c r="AU19630" s="19"/>
    </row>
    <row r="19631" spans="3:47">
      <c r="C19631" s="20"/>
      <c r="Z19631" s="20"/>
      <c r="AG19631" s="20"/>
      <c r="AQ19631" s="19"/>
      <c r="AR19631" s="19"/>
      <c r="AS19631" s="19"/>
      <c r="AT19631" s="19"/>
      <c r="AU19631" s="19"/>
    </row>
    <row r="19632" spans="3:47">
      <c r="C19632" s="20"/>
      <c r="Z19632" s="20"/>
      <c r="AG19632" s="20"/>
      <c r="AQ19632" s="19"/>
      <c r="AR19632" s="19"/>
      <c r="AS19632" s="19"/>
      <c r="AT19632" s="19"/>
      <c r="AU19632" s="19"/>
    </row>
    <row r="19633" spans="3:47">
      <c r="C19633" s="20"/>
      <c r="Z19633" s="20"/>
      <c r="AG19633" s="20"/>
      <c r="AQ19633" s="19"/>
      <c r="AR19633" s="19"/>
      <c r="AS19633" s="19"/>
      <c r="AT19633" s="19"/>
      <c r="AU19633" s="19"/>
    </row>
    <row r="19634" spans="3:47">
      <c r="C19634" s="20"/>
      <c r="Z19634" s="20"/>
      <c r="AG19634" s="20"/>
      <c r="AQ19634" s="19"/>
      <c r="AR19634" s="19"/>
      <c r="AS19634" s="19"/>
      <c r="AT19634" s="19"/>
      <c r="AU19634" s="19"/>
    </row>
    <row r="19635" spans="3:47">
      <c r="C19635" s="20"/>
      <c r="Z19635" s="20"/>
      <c r="AG19635" s="20"/>
      <c r="AQ19635" s="19"/>
      <c r="AR19635" s="19"/>
      <c r="AS19635" s="19"/>
      <c r="AT19635" s="19"/>
      <c r="AU19635" s="19"/>
    </row>
    <row r="19636" spans="3:47">
      <c r="C19636" s="20"/>
      <c r="Z19636" s="20"/>
      <c r="AG19636" s="20"/>
      <c r="AQ19636" s="19"/>
      <c r="AR19636" s="19"/>
      <c r="AS19636" s="19"/>
      <c r="AT19636" s="19"/>
      <c r="AU19636" s="19"/>
    </row>
    <row r="19637" spans="3:47">
      <c r="C19637" s="20"/>
      <c r="Z19637" s="20"/>
      <c r="AG19637" s="20"/>
      <c r="AQ19637" s="19"/>
      <c r="AR19637" s="19"/>
      <c r="AS19637" s="19"/>
      <c r="AT19637" s="19"/>
      <c r="AU19637" s="19"/>
    </row>
    <row r="19638" spans="3:47">
      <c r="C19638" s="20"/>
      <c r="Z19638" s="20"/>
      <c r="AG19638" s="20"/>
      <c r="AQ19638" s="19"/>
      <c r="AR19638" s="19"/>
      <c r="AS19638" s="19"/>
      <c r="AT19638" s="19"/>
      <c r="AU19638" s="19"/>
    </row>
    <row r="19639" spans="3:47">
      <c r="C19639" s="20"/>
      <c r="Z19639" s="20"/>
      <c r="AG19639" s="20"/>
      <c r="AQ19639" s="19"/>
      <c r="AR19639" s="19"/>
      <c r="AS19639" s="19"/>
      <c r="AT19639" s="19"/>
      <c r="AU19639" s="19"/>
    </row>
    <row r="19640" spans="3:47">
      <c r="C19640" s="20"/>
      <c r="Z19640" s="20"/>
      <c r="AG19640" s="20"/>
      <c r="AQ19640" s="19"/>
      <c r="AR19640" s="19"/>
      <c r="AS19640" s="19"/>
      <c r="AT19640" s="19"/>
      <c r="AU19640" s="19"/>
    </row>
    <row r="19641" spans="3:47">
      <c r="C19641" s="20"/>
      <c r="Z19641" s="20"/>
      <c r="AG19641" s="20"/>
      <c r="AQ19641" s="19"/>
      <c r="AR19641" s="19"/>
      <c r="AS19641" s="19"/>
      <c r="AT19641" s="19"/>
      <c r="AU19641" s="19"/>
    </row>
    <row r="19642" spans="3:47">
      <c r="C19642" s="20"/>
      <c r="Z19642" s="20"/>
      <c r="AG19642" s="20"/>
      <c r="AQ19642" s="19"/>
      <c r="AR19642" s="19"/>
      <c r="AS19642" s="19"/>
      <c r="AT19642" s="19"/>
      <c r="AU19642" s="19"/>
    </row>
    <row r="19643" spans="3:47">
      <c r="C19643" s="20"/>
      <c r="Z19643" s="20"/>
      <c r="AG19643" s="20"/>
      <c r="AQ19643" s="19"/>
      <c r="AR19643" s="19"/>
      <c r="AS19643" s="19"/>
      <c r="AT19643" s="19"/>
      <c r="AU19643" s="19"/>
    </row>
    <row r="19644" spans="3:47">
      <c r="C19644" s="20"/>
      <c r="Z19644" s="20"/>
      <c r="AG19644" s="20"/>
      <c r="AQ19644" s="19"/>
      <c r="AR19644" s="19"/>
      <c r="AS19644" s="19"/>
      <c r="AT19644" s="19"/>
      <c r="AU19644" s="19"/>
    </row>
    <row r="19645" spans="3:47">
      <c r="C19645" s="20"/>
      <c r="Z19645" s="20"/>
      <c r="AG19645" s="20"/>
      <c r="AQ19645" s="19"/>
      <c r="AR19645" s="19"/>
      <c r="AS19645" s="19"/>
      <c r="AT19645" s="19"/>
      <c r="AU19645" s="19"/>
    </row>
    <row r="19646" spans="3:47">
      <c r="C19646" s="20"/>
      <c r="Z19646" s="20"/>
      <c r="AG19646" s="20"/>
      <c r="AQ19646" s="19"/>
      <c r="AR19646" s="19"/>
      <c r="AS19646" s="19"/>
      <c r="AT19646" s="19"/>
      <c r="AU19646" s="19"/>
    </row>
    <row r="19647" spans="3:47">
      <c r="C19647" s="20"/>
      <c r="Z19647" s="20"/>
      <c r="AG19647" s="20"/>
      <c r="AQ19647" s="19"/>
      <c r="AR19647" s="19"/>
      <c r="AS19647" s="19"/>
      <c r="AT19647" s="19"/>
      <c r="AU19647" s="19"/>
    </row>
    <row r="19648" spans="3:47">
      <c r="C19648" s="20"/>
      <c r="Z19648" s="20"/>
      <c r="AG19648" s="20"/>
      <c r="AQ19648" s="19"/>
      <c r="AR19648" s="19"/>
      <c r="AS19648" s="19"/>
      <c r="AT19648" s="19"/>
      <c r="AU19648" s="19"/>
    </row>
    <row r="19649" spans="3:47">
      <c r="C19649" s="20"/>
      <c r="Z19649" s="20"/>
      <c r="AG19649" s="20"/>
      <c r="AQ19649" s="19"/>
      <c r="AR19649" s="19"/>
      <c r="AS19649" s="19"/>
      <c r="AT19649" s="19"/>
      <c r="AU19649" s="19"/>
    </row>
    <row r="19650" spans="3:47">
      <c r="C19650" s="20"/>
      <c r="Z19650" s="20"/>
      <c r="AG19650" s="20"/>
      <c r="AQ19650" s="19"/>
      <c r="AR19650" s="19"/>
      <c r="AS19650" s="19"/>
      <c r="AT19650" s="19"/>
      <c r="AU19650" s="19"/>
    </row>
    <row r="19651" spans="3:47">
      <c r="C19651" s="20"/>
      <c r="Z19651" s="20"/>
      <c r="AG19651" s="20"/>
      <c r="AQ19651" s="19"/>
      <c r="AR19651" s="19"/>
      <c r="AS19651" s="19"/>
      <c r="AT19651" s="19"/>
      <c r="AU19651" s="19"/>
    </row>
    <row r="19652" spans="3:47">
      <c r="C19652" s="20"/>
      <c r="Z19652" s="20"/>
      <c r="AG19652" s="20"/>
      <c r="AQ19652" s="19"/>
      <c r="AR19652" s="19"/>
      <c r="AS19652" s="19"/>
      <c r="AT19652" s="19"/>
      <c r="AU19652" s="19"/>
    </row>
    <row r="19653" spans="3:47">
      <c r="C19653" s="20"/>
      <c r="Z19653" s="20"/>
      <c r="AG19653" s="20"/>
      <c r="AQ19653" s="19"/>
      <c r="AR19653" s="19"/>
      <c r="AS19653" s="19"/>
      <c r="AT19653" s="19"/>
      <c r="AU19653" s="19"/>
    </row>
    <row r="19654" spans="3:47">
      <c r="C19654" s="20"/>
      <c r="Z19654" s="20"/>
      <c r="AG19654" s="20"/>
      <c r="AQ19654" s="19"/>
      <c r="AR19654" s="19"/>
      <c r="AS19654" s="19"/>
      <c r="AT19654" s="19"/>
      <c r="AU19654" s="19"/>
    </row>
    <row r="19655" spans="3:47">
      <c r="C19655" s="20"/>
      <c r="Z19655" s="20"/>
      <c r="AG19655" s="20"/>
      <c r="AQ19655" s="19"/>
      <c r="AR19655" s="19"/>
      <c r="AS19655" s="19"/>
      <c r="AT19655" s="19"/>
      <c r="AU19655" s="19"/>
    </row>
    <row r="19656" spans="3:47">
      <c r="C19656" s="20"/>
      <c r="Z19656" s="20"/>
      <c r="AG19656" s="20"/>
      <c r="AQ19656" s="19"/>
      <c r="AR19656" s="19"/>
      <c r="AS19656" s="19"/>
      <c r="AT19656" s="19"/>
      <c r="AU19656" s="19"/>
    </row>
    <row r="19657" spans="3:47">
      <c r="C19657" s="20"/>
      <c r="Z19657" s="20"/>
      <c r="AG19657" s="20"/>
      <c r="AQ19657" s="19"/>
      <c r="AR19657" s="19"/>
      <c r="AS19657" s="19"/>
      <c r="AT19657" s="19"/>
      <c r="AU19657" s="19"/>
    </row>
    <row r="19658" spans="3:47">
      <c r="C19658" s="20"/>
      <c r="Z19658" s="20"/>
      <c r="AG19658" s="20"/>
      <c r="AQ19658" s="19"/>
      <c r="AR19658" s="19"/>
      <c r="AS19658" s="19"/>
      <c r="AT19658" s="19"/>
      <c r="AU19658" s="19"/>
    </row>
    <row r="19659" spans="3:47">
      <c r="C19659" s="20"/>
      <c r="Z19659" s="20"/>
      <c r="AG19659" s="20"/>
      <c r="AQ19659" s="19"/>
      <c r="AR19659" s="19"/>
      <c r="AS19659" s="19"/>
      <c r="AT19659" s="19"/>
      <c r="AU19659" s="19"/>
    </row>
    <row r="19660" spans="3:47">
      <c r="C19660" s="20"/>
      <c r="Z19660" s="20"/>
      <c r="AG19660" s="20"/>
      <c r="AQ19660" s="19"/>
      <c r="AR19660" s="19"/>
      <c r="AS19660" s="19"/>
      <c r="AT19660" s="19"/>
      <c r="AU19660" s="19"/>
    </row>
    <row r="19661" spans="3:47">
      <c r="C19661" s="20"/>
      <c r="Z19661" s="20"/>
      <c r="AG19661" s="20"/>
      <c r="AQ19661" s="19"/>
      <c r="AR19661" s="19"/>
      <c r="AS19661" s="19"/>
      <c r="AT19661" s="19"/>
      <c r="AU19661" s="19"/>
    </row>
    <row r="19662" spans="3:47">
      <c r="C19662" s="20"/>
      <c r="Z19662" s="20"/>
      <c r="AG19662" s="20"/>
      <c r="AQ19662" s="19"/>
      <c r="AR19662" s="19"/>
      <c r="AS19662" s="19"/>
      <c r="AT19662" s="19"/>
      <c r="AU19662" s="19"/>
    </row>
    <row r="19663" spans="3:47">
      <c r="C19663" s="20"/>
      <c r="Z19663" s="20"/>
      <c r="AG19663" s="20"/>
      <c r="AQ19663" s="19"/>
      <c r="AR19663" s="19"/>
      <c r="AS19663" s="19"/>
      <c r="AT19663" s="19"/>
      <c r="AU19663" s="19"/>
    </row>
    <row r="19664" spans="3:47">
      <c r="C19664" s="20"/>
      <c r="Z19664" s="20"/>
      <c r="AG19664" s="20"/>
      <c r="AQ19664" s="19"/>
      <c r="AR19664" s="19"/>
      <c r="AS19664" s="19"/>
      <c r="AT19664" s="19"/>
      <c r="AU19664" s="19"/>
    </row>
    <row r="19665" spans="3:47">
      <c r="C19665" s="20"/>
      <c r="Z19665" s="20"/>
      <c r="AG19665" s="20"/>
      <c r="AQ19665" s="19"/>
      <c r="AR19665" s="19"/>
      <c r="AS19665" s="19"/>
      <c r="AT19665" s="19"/>
      <c r="AU19665" s="19"/>
    </row>
    <row r="19666" spans="3:47">
      <c r="C19666" s="20"/>
      <c r="Z19666" s="20"/>
      <c r="AG19666" s="20"/>
      <c r="AQ19666" s="19"/>
      <c r="AR19666" s="19"/>
      <c r="AS19666" s="19"/>
      <c r="AT19666" s="19"/>
      <c r="AU19666" s="19"/>
    </row>
    <row r="19667" spans="3:47">
      <c r="C19667" s="20"/>
      <c r="Z19667" s="20"/>
      <c r="AG19667" s="20"/>
      <c r="AQ19667" s="19"/>
      <c r="AR19667" s="19"/>
      <c r="AS19667" s="19"/>
      <c r="AT19667" s="19"/>
      <c r="AU19667" s="19"/>
    </row>
    <row r="19668" spans="3:47">
      <c r="C19668" s="20"/>
      <c r="Z19668" s="20"/>
      <c r="AG19668" s="20"/>
      <c r="AQ19668" s="19"/>
      <c r="AR19668" s="19"/>
      <c r="AS19668" s="19"/>
      <c r="AT19668" s="19"/>
      <c r="AU19668" s="19"/>
    </row>
    <row r="19669" spans="3:47">
      <c r="C19669" s="20"/>
      <c r="Z19669" s="20"/>
      <c r="AG19669" s="20"/>
      <c r="AQ19669" s="19"/>
      <c r="AR19669" s="19"/>
      <c r="AS19669" s="19"/>
      <c r="AT19669" s="19"/>
      <c r="AU19669" s="19"/>
    </row>
    <row r="19670" spans="3:47">
      <c r="C19670" s="20"/>
      <c r="Z19670" s="20"/>
      <c r="AG19670" s="20"/>
      <c r="AQ19670" s="19"/>
      <c r="AR19670" s="19"/>
      <c r="AS19670" s="19"/>
      <c r="AT19670" s="19"/>
      <c r="AU19670" s="19"/>
    </row>
    <row r="19671" spans="3:47">
      <c r="C19671" s="20"/>
      <c r="Z19671" s="20"/>
      <c r="AG19671" s="20"/>
      <c r="AQ19671" s="19"/>
      <c r="AR19671" s="19"/>
      <c r="AS19671" s="19"/>
      <c r="AT19671" s="19"/>
      <c r="AU19671" s="19"/>
    </row>
    <row r="19672" spans="3:47">
      <c r="C19672" s="20"/>
      <c r="Z19672" s="20"/>
      <c r="AG19672" s="20"/>
      <c r="AQ19672" s="19"/>
      <c r="AR19672" s="19"/>
      <c r="AS19672" s="19"/>
      <c r="AT19672" s="19"/>
      <c r="AU19672" s="19"/>
    </row>
    <row r="19673" spans="3:47">
      <c r="C19673" s="20"/>
      <c r="Z19673" s="20"/>
      <c r="AG19673" s="20"/>
      <c r="AQ19673" s="19"/>
      <c r="AR19673" s="19"/>
      <c r="AS19673" s="19"/>
      <c r="AT19673" s="19"/>
      <c r="AU19673" s="19"/>
    </row>
    <row r="19674" spans="3:47">
      <c r="C19674" s="20"/>
      <c r="Z19674" s="20"/>
      <c r="AG19674" s="20"/>
      <c r="AQ19674" s="19"/>
      <c r="AR19674" s="19"/>
      <c r="AS19674" s="19"/>
      <c r="AT19674" s="19"/>
      <c r="AU19674" s="19"/>
    </row>
    <row r="19675" spans="3:47">
      <c r="C19675" s="20"/>
      <c r="Z19675" s="20"/>
      <c r="AG19675" s="20"/>
      <c r="AQ19675" s="19"/>
      <c r="AR19675" s="19"/>
      <c r="AS19675" s="19"/>
      <c r="AT19675" s="19"/>
      <c r="AU19675" s="19"/>
    </row>
    <row r="19676" spans="3:47">
      <c r="C19676" s="20"/>
      <c r="Z19676" s="20"/>
      <c r="AG19676" s="20"/>
      <c r="AQ19676" s="19"/>
      <c r="AR19676" s="19"/>
      <c r="AS19676" s="19"/>
      <c r="AT19676" s="19"/>
      <c r="AU19676" s="19"/>
    </row>
    <row r="19677" spans="3:47">
      <c r="C19677" s="20"/>
      <c r="Z19677" s="20"/>
      <c r="AG19677" s="20"/>
      <c r="AQ19677" s="19"/>
      <c r="AR19677" s="19"/>
      <c r="AS19677" s="19"/>
      <c r="AT19677" s="19"/>
      <c r="AU19677" s="19"/>
    </row>
    <row r="19678" spans="3:47">
      <c r="C19678" s="20"/>
      <c r="Z19678" s="20"/>
      <c r="AG19678" s="20"/>
      <c r="AQ19678" s="19"/>
      <c r="AR19678" s="19"/>
      <c r="AS19678" s="19"/>
      <c r="AT19678" s="19"/>
      <c r="AU19678" s="19"/>
    </row>
    <row r="19679" spans="3:47">
      <c r="C19679" s="20"/>
      <c r="Z19679" s="20"/>
      <c r="AG19679" s="20"/>
      <c r="AQ19679" s="19"/>
      <c r="AR19679" s="19"/>
      <c r="AS19679" s="19"/>
      <c r="AT19679" s="19"/>
      <c r="AU19679" s="19"/>
    </row>
    <row r="19680" spans="3:47">
      <c r="C19680" s="20"/>
      <c r="Z19680" s="20"/>
      <c r="AG19680" s="20"/>
      <c r="AQ19680" s="19"/>
      <c r="AR19680" s="19"/>
      <c r="AS19680" s="19"/>
      <c r="AT19680" s="19"/>
      <c r="AU19680" s="19"/>
    </row>
    <row r="19681" spans="3:47">
      <c r="C19681" s="20"/>
      <c r="Z19681" s="20"/>
      <c r="AG19681" s="20"/>
      <c r="AQ19681" s="19"/>
      <c r="AR19681" s="19"/>
      <c r="AS19681" s="19"/>
      <c r="AT19681" s="19"/>
      <c r="AU19681" s="19"/>
    </row>
    <row r="19682" spans="3:47">
      <c r="C19682" s="20"/>
      <c r="Z19682" s="20"/>
      <c r="AG19682" s="20"/>
      <c r="AQ19682" s="19"/>
      <c r="AR19682" s="19"/>
      <c r="AS19682" s="19"/>
      <c r="AT19682" s="19"/>
      <c r="AU19682" s="19"/>
    </row>
    <row r="19683" spans="3:47">
      <c r="C19683" s="20"/>
      <c r="Z19683" s="20"/>
      <c r="AG19683" s="20"/>
      <c r="AQ19683" s="19"/>
      <c r="AR19683" s="19"/>
      <c r="AS19683" s="19"/>
      <c r="AT19683" s="19"/>
      <c r="AU19683" s="19"/>
    </row>
    <row r="19684" spans="3:47">
      <c r="C19684" s="20"/>
      <c r="Z19684" s="20"/>
      <c r="AG19684" s="20"/>
      <c r="AQ19684" s="19"/>
      <c r="AR19684" s="19"/>
      <c r="AS19684" s="19"/>
      <c r="AT19684" s="19"/>
      <c r="AU19684" s="19"/>
    </row>
    <row r="19685" spans="3:47">
      <c r="C19685" s="20"/>
      <c r="Z19685" s="20"/>
      <c r="AG19685" s="20"/>
      <c r="AQ19685" s="19"/>
      <c r="AR19685" s="19"/>
      <c r="AS19685" s="19"/>
      <c r="AT19685" s="19"/>
      <c r="AU19685" s="19"/>
    </row>
    <row r="19686" spans="3:47">
      <c r="C19686" s="20"/>
      <c r="Z19686" s="20"/>
      <c r="AG19686" s="20"/>
      <c r="AQ19686" s="19"/>
      <c r="AR19686" s="19"/>
      <c r="AS19686" s="19"/>
      <c r="AT19686" s="19"/>
      <c r="AU19686" s="19"/>
    </row>
    <row r="19687" spans="3:47">
      <c r="C19687" s="20"/>
      <c r="Z19687" s="20"/>
      <c r="AG19687" s="20"/>
      <c r="AQ19687" s="19"/>
      <c r="AR19687" s="19"/>
      <c r="AS19687" s="19"/>
      <c r="AT19687" s="19"/>
      <c r="AU19687" s="19"/>
    </row>
    <row r="19688" spans="3:47">
      <c r="C19688" s="20"/>
      <c r="Z19688" s="20"/>
      <c r="AG19688" s="20"/>
      <c r="AQ19688" s="19"/>
      <c r="AR19688" s="19"/>
      <c r="AS19688" s="19"/>
      <c r="AT19688" s="19"/>
      <c r="AU19688" s="19"/>
    </row>
    <row r="19689" spans="3:47">
      <c r="C19689" s="20"/>
      <c r="Z19689" s="20"/>
      <c r="AG19689" s="20"/>
      <c r="AQ19689" s="19"/>
      <c r="AR19689" s="19"/>
      <c r="AS19689" s="19"/>
      <c r="AT19689" s="19"/>
      <c r="AU19689" s="19"/>
    </row>
    <row r="19690" spans="3:47">
      <c r="C19690" s="20"/>
      <c r="Z19690" s="20"/>
      <c r="AG19690" s="20"/>
      <c r="AQ19690" s="19"/>
      <c r="AR19690" s="19"/>
      <c r="AS19690" s="19"/>
      <c r="AT19690" s="19"/>
      <c r="AU19690" s="19"/>
    </row>
    <row r="19691" spans="3:47">
      <c r="C19691" s="20"/>
      <c r="Z19691" s="20"/>
      <c r="AG19691" s="20"/>
      <c r="AQ19691" s="19"/>
      <c r="AR19691" s="19"/>
      <c r="AS19691" s="19"/>
      <c r="AT19691" s="19"/>
      <c r="AU19691" s="19"/>
    </row>
    <row r="19692" spans="3:47">
      <c r="C19692" s="20"/>
      <c r="Z19692" s="20"/>
      <c r="AG19692" s="20"/>
      <c r="AQ19692" s="19"/>
      <c r="AR19692" s="19"/>
      <c r="AS19692" s="19"/>
      <c r="AT19692" s="19"/>
      <c r="AU19692" s="19"/>
    </row>
    <row r="19693" spans="3:47">
      <c r="C19693" s="20"/>
      <c r="Z19693" s="20"/>
      <c r="AG19693" s="20"/>
      <c r="AQ19693" s="19"/>
      <c r="AR19693" s="19"/>
      <c r="AS19693" s="19"/>
      <c r="AT19693" s="19"/>
      <c r="AU19693" s="19"/>
    </row>
    <row r="19694" spans="3:47">
      <c r="C19694" s="20"/>
      <c r="Z19694" s="20"/>
      <c r="AG19694" s="20"/>
      <c r="AQ19694" s="19"/>
      <c r="AR19694" s="19"/>
      <c r="AS19694" s="19"/>
      <c r="AT19694" s="19"/>
      <c r="AU19694" s="19"/>
    </row>
    <row r="19695" spans="3:47">
      <c r="C19695" s="20"/>
      <c r="Z19695" s="20"/>
      <c r="AG19695" s="20"/>
      <c r="AQ19695" s="19"/>
      <c r="AR19695" s="19"/>
      <c r="AS19695" s="19"/>
      <c r="AT19695" s="19"/>
      <c r="AU19695" s="19"/>
    </row>
    <row r="19696" spans="3:47">
      <c r="C19696" s="20"/>
      <c r="Z19696" s="20"/>
      <c r="AG19696" s="20"/>
      <c r="AQ19696" s="19"/>
      <c r="AR19696" s="19"/>
      <c r="AS19696" s="19"/>
      <c r="AT19696" s="19"/>
      <c r="AU19696" s="19"/>
    </row>
    <row r="19697" spans="3:47">
      <c r="C19697" s="20"/>
      <c r="Z19697" s="20"/>
      <c r="AG19697" s="20"/>
      <c r="AQ19697" s="19"/>
      <c r="AR19697" s="19"/>
      <c r="AS19697" s="19"/>
      <c r="AT19697" s="19"/>
      <c r="AU19697" s="19"/>
    </row>
    <row r="19698" spans="3:47">
      <c r="C19698" s="20"/>
      <c r="Z19698" s="20"/>
      <c r="AG19698" s="20"/>
      <c r="AQ19698" s="19"/>
      <c r="AR19698" s="19"/>
      <c r="AS19698" s="19"/>
      <c r="AT19698" s="19"/>
      <c r="AU19698" s="19"/>
    </row>
    <row r="19699" spans="3:47">
      <c r="C19699" s="20"/>
      <c r="Z19699" s="20"/>
      <c r="AG19699" s="20"/>
      <c r="AQ19699" s="19"/>
      <c r="AR19699" s="19"/>
      <c r="AS19699" s="19"/>
      <c r="AT19699" s="19"/>
      <c r="AU19699" s="19"/>
    </row>
    <row r="19700" spans="3:47">
      <c r="C19700" s="20"/>
      <c r="Z19700" s="20"/>
      <c r="AG19700" s="20"/>
      <c r="AQ19700" s="19"/>
      <c r="AR19700" s="19"/>
      <c r="AS19700" s="19"/>
      <c r="AT19700" s="19"/>
      <c r="AU19700" s="19"/>
    </row>
    <row r="19701" spans="3:47">
      <c r="C19701" s="20"/>
      <c r="Z19701" s="20"/>
      <c r="AG19701" s="20"/>
      <c r="AQ19701" s="19"/>
      <c r="AR19701" s="19"/>
      <c r="AS19701" s="19"/>
      <c r="AT19701" s="19"/>
      <c r="AU19701" s="19"/>
    </row>
    <row r="19702" spans="3:47">
      <c r="C19702" s="20"/>
      <c r="Z19702" s="20"/>
      <c r="AG19702" s="20"/>
      <c r="AQ19702" s="19"/>
      <c r="AR19702" s="19"/>
      <c r="AS19702" s="19"/>
      <c r="AT19702" s="19"/>
      <c r="AU19702" s="19"/>
    </row>
    <row r="19703" spans="3:47">
      <c r="C19703" s="20"/>
      <c r="Z19703" s="20"/>
      <c r="AG19703" s="20"/>
      <c r="AQ19703" s="19"/>
      <c r="AR19703" s="19"/>
      <c r="AS19703" s="19"/>
      <c r="AT19703" s="19"/>
      <c r="AU19703" s="19"/>
    </row>
    <row r="19704" spans="3:47">
      <c r="C19704" s="20"/>
      <c r="Z19704" s="20"/>
      <c r="AG19704" s="20"/>
      <c r="AQ19704" s="19"/>
      <c r="AR19704" s="19"/>
      <c r="AS19704" s="19"/>
      <c r="AT19704" s="19"/>
      <c r="AU19704" s="19"/>
    </row>
    <row r="19705" spans="3:47">
      <c r="C19705" s="20"/>
      <c r="Z19705" s="20"/>
      <c r="AG19705" s="20"/>
      <c r="AQ19705" s="19"/>
      <c r="AR19705" s="19"/>
      <c r="AS19705" s="19"/>
      <c r="AT19705" s="19"/>
      <c r="AU19705" s="19"/>
    </row>
    <row r="19706" spans="3:47">
      <c r="C19706" s="20"/>
      <c r="Z19706" s="20"/>
      <c r="AG19706" s="20"/>
      <c r="AQ19706" s="19"/>
      <c r="AR19706" s="19"/>
      <c r="AS19706" s="19"/>
      <c r="AT19706" s="19"/>
      <c r="AU19706" s="19"/>
    </row>
    <row r="19707" spans="3:47">
      <c r="C19707" s="20"/>
      <c r="Z19707" s="20"/>
      <c r="AG19707" s="20"/>
      <c r="AQ19707" s="19"/>
      <c r="AR19707" s="19"/>
      <c r="AS19707" s="19"/>
      <c r="AT19707" s="19"/>
      <c r="AU19707" s="19"/>
    </row>
    <row r="19708" spans="3:47">
      <c r="C19708" s="20"/>
      <c r="Z19708" s="20"/>
      <c r="AG19708" s="20"/>
      <c r="AQ19708" s="19"/>
      <c r="AR19708" s="19"/>
      <c r="AS19708" s="19"/>
      <c r="AT19708" s="19"/>
      <c r="AU19708" s="19"/>
    </row>
    <row r="19709" spans="3:47">
      <c r="C19709" s="20"/>
      <c r="Z19709" s="20"/>
      <c r="AG19709" s="20"/>
      <c r="AQ19709" s="19"/>
      <c r="AR19709" s="19"/>
      <c r="AS19709" s="19"/>
      <c r="AT19709" s="19"/>
      <c r="AU19709" s="19"/>
    </row>
    <row r="19710" spans="3:47">
      <c r="C19710" s="20"/>
      <c r="Z19710" s="20"/>
      <c r="AG19710" s="20"/>
      <c r="AQ19710" s="19"/>
      <c r="AR19710" s="19"/>
      <c r="AS19710" s="19"/>
      <c r="AT19710" s="19"/>
      <c r="AU19710" s="19"/>
    </row>
    <row r="19711" spans="3:47">
      <c r="C19711" s="20"/>
      <c r="Z19711" s="20"/>
      <c r="AG19711" s="20"/>
      <c r="AQ19711" s="19"/>
      <c r="AR19711" s="19"/>
      <c r="AS19711" s="19"/>
      <c r="AT19711" s="19"/>
      <c r="AU19711" s="19"/>
    </row>
    <row r="19712" spans="3:47">
      <c r="C19712" s="20"/>
      <c r="Z19712" s="20"/>
      <c r="AG19712" s="20"/>
      <c r="AQ19712" s="19"/>
      <c r="AR19712" s="19"/>
      <c r="AS19712" s="19"/>
      <c r="AT19712" s="19"/>
      <c r="AU19712" s="19"/>
    </row>
    <row r="19713" spans="3:47">
      <c r="C19713" s="20"/>
      <c r="Z19713" s="20"/>
      <c r="AG19713" s="20"/>
      <c r="AQ19713" s="19"/>
      <c r="AR19713" s="19"/>
      <c r="AS19713" s="19"/>
      <c r="AT19713" s="19"/>
      <c r="AU19713" s="19"/>
    </row>
    <row r="19714" spans="3:47">
      <c r="C19714" s="20"/>
      <c r="Z19714" s="20"/>
      <c r="AG19714" s="20"/>
      <c r="AQ19714" s="19"/>
      <c r="AR19714" s="19"/>
      <c r="AS19714" s="19"/>
      <c r="AT19714" s="19"/>
      <c r="AU19714" s="19"/>
    </row>
    <row r="19715" spans="3:47">
      <c r="C19715" s="20"/>
      <c r="Z19715" s="20"/>
      <c r="AG19715" s="20"/>
      <c r="AQ19715" s="19"/>
      <c r="AR19715" s="19"/>
      <c r="AS19715" s="19"/>
      <c r="AT19715" s="19"/>
      <c r="AU19715" s="19"/>
    </row>
    <row r="19716" spans="3:47">
      <c r="C19716" s="20"/>
      <c r="Z19716" s="20"/>
      <c r="AG19716" s="20"/>
      <c r="AQ19716" s="19"/>
      <c r="AR19716" s="19"/>
      <c r="AS19716" s="19"/>
      <c r="AT19716" s="19"/>
      <c r="AU19716" s="19"/>
    </row>
    <row r="19717" spans="3:47">
      <c r="C19717" s="20"/>
      <c r="Z19717" s="20"/>
      <c r="AG19717" s="20"/>
      <c r="AQ19717" s="19"/>
      <c r="AR19717" s="19"/>
      <c r="AS19717" s="19"/>
      <c r="AT19717" s="19"/>
      <c r="AU19717" s="19"/>
    </row>
    <row r="19718" spans="3:47">
      <c r="C19718" s="20"/>
      <c r="Z19718" s="20"/>
      <c r="AG19718" s="20"/>
      <c r="AQ19718" s="19"/>
      <c r="AR19718" s="19"/>
      <c r="AS19718" s="19"/>
      <c r="AT19718" s="19"/>
      <c r="AU19718" s="19"/>
    </row>
    <row r="19719" spans="3:47">
      <c r="C19719" s="20"/>
      <c r="Z19719" s="20"/>
      <c r="AG19719" s="20"/>
      <c r="AQ19719" s="19"/>
      <c r="AR19719" s="19"/>
      <c r="AS19719" s="19"/>
      <c r="AT19719" s="19"/>
      <c r="AU19719" s="19"/>
    </row>
    <row r="19720" spans="3:47">
      <c r="C19720" s="20"/>
      <c r="Z19720" s="20"/>
      <c r="AG19720" s="20"/>
      <c r="AQ19720" s="19"/>
      <c r="AR19720" s="19"/>
      <c r="AS19720" s="19"/>
      <c r="AT19720" s="19"/>
      <c r="AU19720" s="19"/>
    </row>
    <row r="19721" spans="3:47">
      <c r="C19721" s="20"/>
      <c r="Z19721" s="20"/>
      <c r="AG19721" s="20"/>
      <c r="AQ19721" s="19"/>
      <c r="AR19721" s="19"/>
      <c r="AS19721" s="19"/>
      <c r="AT19721" s="19"/>
      <c r="AU19721" s="19"/>
    </row>
    <row r="19722" spans="3:47">
      <c r="C19722" s="20"/>
      <c r="Z19722" s="20"/>
      <c r="AG19722" s="20"/>
      <c r="AQ19722" s="19"/>
      <c r="AR19722" s="19"/>
      <c r="AS19722" s="19"/>
      <c r="AT19722" s="19"/>
      <c r="AU19722" s="19"/>
    </row>
    <row r="19723" spans="3:47">
      <c r="C19723" s="20"/>
      <c r="Z19723" s="20"/>
      <c r="AG19723" s="20"/>
      <c r="AQ19723" s="19"/>
      <c r="AR19723" s="19"/>
      <c r="AS19723" s="19"/>
      <c r="AT19723" s="19"/>
      <c r="AU19723" s="19"/>
    </row>
    <row r="19724" spans="3:47">
      <c r="C19724" s="20"/>
      <c r="Z19724" s="20"/>
      <c r="AG19724" s="20"/>
      <c r="AQ19724" s="19"/>
      <c r="AR19724" s="19"/>
      <c r="AS19724" s="19"/>
      <c r="AT19724" s="19"/>
      <c r="AU19724" s="19"/>
    </row>
    <row r="19725" spans="3:47">
      <c r="C19725" s="20"/>
      <c r="Z19725" s="20"/>
      <c r="AG19725" s="20"/>
      <c r="AQ19725" s="19"/>
      <c r="AR19725" s="19"/>
      <c r="AS19725" s="19"/>
      <c r="AT19725" s="19"/>
      <c r="AU19725" s="19"/>
    </row>
    <row r="19726" spans="3:47">
      <c r="C19726" s="20"/>
      <c r="Z19726" s="20"/>
      <c r="AG19726" s="20"/>
      <c r="AQ19726" s="19"/>
      <c r="AR19726" s="19"/>
      <c r="AS19726" s="19"/>
      <c r="AT19726" s="19"/>
      <c r="AU19726" s="19"/>
    </row>
    <row r="19727" spans="3:47">
      <c r="C19727" s="20"/>
      <c r="Z19727" s="20"/>
      <c r="AG19727" s="20"/>
      <c r="AQ19727" s="19"/>
      <c r="AR19727" s="19"/>
      <c r="AS19727" s="19"/>
      <c r="AT19727" s="19"/>
      <c r="AU19727" s="19"/>
    </row>
    <row r="19728" spans="3:47">
      <c r="C19728" s="20"/>
      <c r="Z19728" s="20"/>
      <c r="AG19728" s="20"/>
      <c r="AQ19728" s="19"/>
      <c r="AR19728" s="19"/>
      <c r="AS19728" s="19"/>
      <c r="AT19728" s="19"/>
      <c r="AU19728" s="19"/>
    </row>
    <row r="19729" spans="3:47">
      <c r="C19729" s="20"/>
      <c r="Z19729" s="20"/>
      <c r="AG19729" s="20"/>
      <c r="AQ19729" s="19"/>
      <c r="AR19729" s="19"/>
      <c r="AS19729" s="19"/>
      <c r="AT19729" s="19"/>
      <c r="AU19729" s="19"/>
    </row>
    <row r="19730" spans="3:47">
      <c r="C19730" s="20"/>
      <c r="Z19730" s="20"/>
      <c r="AG19730" s="20"/>
      <c r="AQ19730" s="19"/>
      <c r="AR19730" s="19"/>
      <c r="AS19730" s="19"/>
      <c r="AT19730" s="19"/>
      <c r="AU19730" s="19"/>
    </row>
    <row r="19731" spans="3:47">
      <c r="C19731" s="20"/>
      <c r="Z19731" s="20"/>
      <c r="AG19731" s="20"/>
      <c r="AQ19731" s="19"/>
      <c r="AR19731" s="19"/>
      <c r="AS19731" s="19"/>
      <c r="AT19731" s="19"/>
      <c r="AU19731" s="19"/>
    </row>
    <row r="19732" spans="3:47">
      <c r="C19732" s="20"/>
      <c r="Z19732" s="20"/>
      <c r="AG19732" s="20"/>
      <c r="AQ19732" s="19"/>
      <c r="AR19732" s="19"/>
      <c r="AS19732" s="19"/>
      <c r="AT19732" s="19"/>
      <c r="AU19732" s="19"/>
    </row>
    <row r="19733" spans="3:47">
      <c r="C19733" s="20"/>
      <c r="Z19733" s="20"/>
      <c r="AG19733" s="20"/>
      <c r="AQ19733" s="19"/>
      <c r="AR19733" s="19"/>
      <c r="AS19733" s="19"/>
      <c r="AT19733" s="19"/>
      <c r="AU19733" s="19"/>
    </row>
    <row r="19734" spans="3:47">
      <c r="C19734" s="20"/>
      <c r="Z19734" s="20"/>
      <c r="AG19734" s="20"/>
      <c r="AQ19734" s="19"/>
      <c r="AR19734" s="19"/>
      <c r="AS19734" s="19"/>
      <c r="AT19734" s="19"/>
      <c r="AU19734" s="19"/>
    </row>
    <row r="19735" spans="3:47">
      <c r="C19735" s="20"/>
      <c r="Z19735" s="20"/>
      <c r="AG19735" s="20"/>
      <c r="AQ19735" s="19"/>
      <c r="AR19735" s="19"/>
      <c r="AS19735" s="19"/>
      <c r="AT19735" s="19"/>
      <c r="AU19735" s="19"/>
    </row>
    <row r="19736" spans="3:47">
      <c r="C19736" s="20"/>
      <c r="Z19736" s="20"/>
      <c r="AG19736" s="20"/>
      <c r="AQ19736" s="19"/>
      <c r="AR19736" s="19"/>
      <c r="AS19736" s="19"/>
      <c r="AT19736" s="19"/>
      <c r="AU19736" s="19"/>
    </row>
    <row r="19737" spans="3:47">
      <c r="C19737" s="20"/>
      <c r="Z19737" s="20"/>
      <c r="AG19737" s="20"/>
      <c r="AQ19737" s="19"/>
      <c r="AR19737" s="19"/>
      <c r="AS19737" s="19"/>
      <c r="AT19737" s="19"/>
      <c r="AU19737" s="19"/>
    </row>
    <row r="19738" spans="3:47">
      <c r="C19738" s="20"/>
      <c r="Z19738" s="20"/>
      <c r="AG19738" s="20"/>
      <c r="AQ19738" s="19"/>
      <c r="AR19738" s="19"/>
      <c r="AS19738" s="19"/>
      <c r="AT19738" s="19"/>
      <c r="AU19738" s="19"/>
    </row>
    <row r="19739" spans="3:47">
      <c r="C19739" s="20"/>
      <c r="Z19739" s="20"/>
      <c r="AG19739" s="20"/>
      <c r="AQ19739" s="19"/>
      <c r="AR19739" s="19"/>
      <c r="AS19739" s="19"/>
      <c r="AT19739" s="19"/>
      <c r="AU19739" s="19"/>
    </row>
    <row r="19740" spans="3:47">
      <c r="C19740" s="20"/>
      <c r="Z19740" s="20"/>
      <c r="AG19740" s="20"/>
      <c r="AQ19740" s="19"/>
      <c r="AR19740" s="19"/>
      <c r="AS19740" s="19"/>
      <c r="AT19740" s="19"/>
      <c r="AU19740" s="19"/>
    </row>
    <row r="19741" spans="3:47">
      <c r="C19741" s="20"/>
      <c r="Z19741" s="20"/>
      <c r="AG19741" s="20"/>
      <c r="AQ19741" s="19"/>
      <c r="AR19741" s="19"/>
      <c r="AS19741" s="19"/>
      <c r="AT19741" s="19"/>
      <c r="AU19741" s="19"/>
    </row>
    <row r="19742" spans="3:47">
      <c r="C19742" s="20"/>
      <c r="Z19742" s="20"/>
      <c r="AG19742" s="20"/>
      <c r="AQ19742" s="19"/>
      <c r="AR19742" s="19"/>
      <c r="AS19742" s="19"/>
      <c r="AT19742" s="19"/>
      <c r="AU19742" s="19"/>
    </row>
    <row r="19743" spans="3:47">
      <c r="C19743" s="20"/>
      <c r="Z19743" s="20"/>
      <c r="AG19743" s="20"/>
      <c r="AQ19743" s="19"/>
      <c r="AR19743" s="19"/>
      <c r="AS19743" s="19"/>
      <c r="AT19743" s="19"/>
      <c r="AU19743" s="19"/>
    </row>
    <row r="19744" spans="3:47">
      <c r="C19744" s="20"/>
      <c r="Z19744" s="20"/>
      <c r="AG19744" s="20"/>
      <c r="AQ19744" s="19"/>
      <c r="AR19744" s="19"/>
      <c r="AS19744" s="19"/>
      <c r="AT19744" s="19"/>
      <c r="AU19744" s="19"/>
    </row>
    <row r="19745" spans="3:47">
      <c r="C19745" s="20"/>
      <c r="Z19745" s="20"/>
      <c r="AG19745" s="20"/>
      <c r="AQ19745" s="19"/>
      <c r="AR19745" s="19"/>
      <c r="AS19745" s="19"/>
      <c r="AT19745" s="19"/>
      <c r="AU19745" s="19"/>
    </row>
    <row r="19746" spans="3:47">
      <c r="C19746" s="20"/>
      <c r="Z19746" s="20"/>
      <c r="AG19746" s="20"/>
      <c r="AQ19746" s="19"/>
      <c r="AR19746" s="19"/>
      <c r="AS19746" s="19"/>
      <c r="AT19746" s="19"/>
      <c r="AU19746" s="19"/>
    </row>
    <row r="19747" spans="3:47">
      <c r="C19747" s="20"/>
      <c r="Z19747" s="20"/>
      <c r="AG19747" s="20"/>
      <c r="AQ19747" s="19"/>
      <c r="AR19747" s="19"/>
      <c r="AS19747" s="19"/>
      <c r="AT19747" s="19"/>
      <c r="AU19747" s="19"/>
    </row>
    <row r="19748" spans="3:47">
      <c r="C19748" s="20"/>
      <c r="Z19748" s="20"/>
      <c r="AG19748" s="20"/>
      <c r="AQ19748" s="19"/>
      <c r="AR19748" s="19"/>
      <c r="AS19748" s="19"/>
      <c r="AT19748" s="19"/>
      <c r="AU19748" s="19"/>
    </row>
    <row r="19749" spans="3:47">
      <c r="C19749" s="20"/>
      <c r="Z19749" s="20"/>
      <c r="AG19749" s="20"/>
      <c r="AQ19749" s="19"/>
      <c r="AR19749" s="19"/>
      <c r="AS19749" s="19"/>
      <c r="AT19749" s="19"/>
      <c r="AU19749" s="19"/>
    </row>
    <row r="19750" spans="3:47">
      <c r="C19750" s="20"/>
      <c r="Z19750" s="20"/>
      <c r="AG19750" s="20"/>
      <c r="AQ19750" s="19"/>
      <c r="AR19750" s="19"/>
      <c r="AS19750" s="19"/>
      <c r="AT19750" s="19"/>
      <c r="AU19750" s="19"/>
    </row>
    <row r="19751" spans="3:47">
      <c r="C19751" s="20"/>
      <c r="Z19751" s="20"/>
      <c r="AG19751" s="20"/>
      <c r="AQ19751" s="19"/>
      <c r="AR19751" s="19"/>
      <c r="AS19751" s="19"/>
      <c r="AT19751" s="19"/>
      <c r="AU19751" s="19"/>
    </row>
    <row r="19752" spans="3:47">
      <c r="C19752" s="20"/>
      <c r="Z19752" s="20"/>
      <c r="AG19752" s="20"/>
      <c r="AQ19752" s="19"/>
      <c r="AR19752" s="19"/>
      <c r="AS19752" s="19"/>
      <c r="AT19752" s="19"/>
      <c r="AU19752" s="19"/>
    </row>
    <row r="19753" spans="3:47">
      <c r="C19753" s="20"/>
      <c r="Z19753" s="20"/>
      <c r="AG19753" s="20"/>
      <c r="AQ19753" s="19"/>
      <c r="AR19753" s="19"/>
      <c r="AS19753" s="19"/>
      <c r="AT19753" s="19"/>
      <c r="AU19753" s="19"/>
    </row>
    <row r="19754" spans="3:47">
      <c r="C19754" s="20"/>
      <c r="Z19754" s="20"/>
      <c r="AG19754" s="20"/>
      <c r="AQ19754" s="19"/>
      <c r="AR19754" s="19"/>
      <c r="AS19754" s="19"/>
      <c r="AT19754" s="19"/>
      <c r="AU19754" s="19"/>
    </row>
    <row r="19755" spans="3:47">
      <c r="C19755" s="20"/>
      <c r="Z19755" s="20"/>
      <c r="AG19755" s="20"/>
      <c r="AQ19755" s="19"/>
      <c r="AR19755" s="19"/>
      <c r="AS19755" s="19"/>
      <c r="AT19755" s="19"/>
      <c r="AU19755" s="19"/>
    </row>
    <row r="19756" spans="3:47">
      <c r="C19756" s="20"/>
      <c r="Z19756" s="20"/>
      <c r="AG19756" s="20"/>
      <c r="AQ19756" s="19"/>
      <c r="AR19756" s="19"/>
      <c r="AS19756" s="19"/>
      <c r="AT19756" s="19"/>
      <c r="AU19756" s="19"/>
    </row>
    <row r="19757" spans="3:47">
      <c r="C19757" s="20"/>
      <c r="Z19757" s="20"/>
      <c r="AG19757" s="20"/>
      <c r="AQ19757" s="19"/>
      <c r="AR19757" s="19"/>
      <c r="AS19757" s="19"/>
      <c r="AT19757" s="19"/>
      <c r="AU19757" s="19"/>
    </row>
    <row r="19758" spans="3:47">
      <c r="C19758" s="20"/>
      <c r="Z19758" s="20"/>
      <c r="AG19758" s="20"/>
      <c r="AQ19758" s="19"/>
      <c r="AR19758" s="19"/>
      <c r="AS19758" s="19"/>
      <c r="AT19758" s="19"/>
      <c r="AU19758" s="19"/>
    </row>
    <row r="19759" spans="3:47">
      <c r="C19759" s="20"/>
      <c r="Z19759" s="20"/>
      <c r="AG19759" s="20"/>
      <c r="AQ19759" s="19"/>
      <c r="AR19759" s="19"/>
      <c r="AS19759" s="19"/>
      <c r="AT19759" s="19"/>
      <c r="AU19759" s="19"/>
    </row>
    <row r="19760" spans="3:47">
      <c r="C19760" s="20"/>
      <c r="Z19760" s="20"/>
      <c r="AG19760" s="20"/>
      <c r="AQ19760" s="19"/>
      <c r="AR19760" s="19"/>
      <c r="AS19760" s="19"/>
      <c r="AT19760" s="19"/>
      <c r="AU19760" s="19"/>
    </row>
    <row r="19761" spans="3:47">
      <c r="C19761" s="20"/>
      <c r="Z19761" s="20"/>
      <c r="AG19761" s="20"/>
      <c r="AQ19761" s="19"/>
      <c r="AR19761" s="19"/>
      <c r="AS19761" s="19"/>
      <c r="AT19761" s="19"/>
      <c r="AU19761" s="19"/>
    </row>
    <row r="19762" spans="3:47">
      <c r="C19762" s="20"/>
      <c r="Z19762" s="20"/>
      <c r="AG19762" s="20"/>
      <c r="AQ19762" s="19"/>
      <c r="AR19762" s="19"/>
      <c r="AS19762" s="19"/>
      <c r="AT19762" s="19"/>
      <c r="AU19762" s="19"/>
    </row>
    <row r="19763" spans="3:47">
      <c r="C19763" s="20"/>
      <c r="Z19763" s="20"/>
      <c r="AG19763" s="20"/>
      <c r="AQ19763" s="19"/>
      <c r="AR19763" s="19"/>
      <c r="AS19763" s="19"/>
      <c r="AT19763" s="19"/>
      <c r="AU19763" s="19"/>
    </row>
    <row r="19764" spans="3:47">
      <c r="C19764" s="20"/>
      <c r="Z19764" s="20"/>
      <c r="AG19764" s="20"/>
      <c r="AQ19764" s="19"/>
      <c r="AR19764" s="19"/>
      <c r="AS19764" s="19"/>
      <c r="AT19764" s="19"/>
      <c r="AU19764" s="19"/>
    </row>
    <row r="19765" spans="3:47">
      <c r="C19765" s="20"/>
      <c r="Z19765" s="20"/>
      <c r="AG19765" s="20"/>
      <c r="AQ19765" s="19"/>
      <c r="AR19765" s="19"/>
      <c r="AS19765" s="19"/>
      <c r="AT19765" s="19"/>
      <c r="AU19765" s="19"/>
    </row>
    <row r="19766" spans="3:47">
      <c r="C19766" s="20"/>
      <c r="Z19766" s="20"/>
      <c r="AG19766" s="20"/>
      <c r="AQ19766" s="19"/>
      <c r="AR19766" s="19"/>
      <c r="AS19766" s="19"/>
      <c r="AT19766" s="19"/>
      <c r="AU19766" s="19"/>
    </row>
    <row r="19767" spans="3:47">
      <c r="C19767" s="20"/>
      <c r="Z19767" s="20"/>
      <c r="AG19767" s="20"/>
      <c r="AQ19767" s="19"/>
      <c r="AR19767" s="19"/>
      <c r="AS19767" s="19"/>
      <c r="AT19767" s="19"/>
      <c r="AU19767" s="19"/>
    </row>
    <row r="19768" spans="3:47">
      <c r="C19768" s="20"/>
      <c r="Z19768" s="20"/>
      <c r="AG19768" s="20"/>
      <c r="AQ19768" s="19"/>
      <c r="AR19768" s="19"/>
      <c r="AS19768" s="19"/>
      <c r="AT19768" s="19"/>
      <c r="AU19768" s="19"/>
    </row>
    <row r="19769" spans="3:47">
      <c r="C19769" s="20"/>
      <c r="Z19769" s="20"/>
      <c r="AG19769" s="20"/>
      <c r="AQ19769" s="19"/>
      <c r="AR19769" s="19"/>
      <c r="AS19769" s="19"/>
      <c r="AT19769" s="19"/>
      <c r="AU19769" s="19"/>
    </row>
    <row r="19770" spans="3:47">
      <c r="C19770" s="20"/>
      <c r="Z19770" s="20"/>
      <c r="AG19770" s="20"/>
      <c r="AQ19770" s="19"/>
      <c r="AR19770" s="19"/>
      <c r="AS19770" s="19"/>
      <c r="AT19770" s="19"/>
      <c r="AU19770" s="19"/>
    </row>
    <row r="19771" spans="3:47">
      <c r="C19771" s="20"/>
      <c r="Z19771" s="20"/>
      <c r="AG19771" s="20"/>
      <c r="AQ19771" s="19"/>
      <c r="AR19771" s="19"/>
      <c r="AS19771" s="19"/>
      <c r="AT19771" s="19"/>
      <c r="AU19771" s="19"/>
    </row>
    <row r="19772" spans="3:47">
      <c r="C19772" s="20"/>
      <c r="Z19772" s="20"/>
      <c r="AG19772" s="20"/>
      <c r="AQ19772" s="19"/>
      <c r="AR19772" s="19"/>
      <c r="AS19772" s="19"/>
      <c r="AT19772" s="19"/>
      <c r="AU19772" s="19"/>
    </row>
    <row r="19773" spans="3:47">
      <c r="C19773" s="20"/>
      <c r="Z19773" s="20"/>
      <c r="AG19773" s="20"/>
      <c r="AQ19773" s="19"/>
      <c r="AR19773" s="19"/>
      <c r="AS19773" s="19"/>
      <c r="AT19773" s="19"/>
      <c r="AU19773" s="19"/>
    </row>
    <row r="19774" spans="3:47">
      <c r="C19774" s="20"/>
      <c r="Z19774" s="20"/>
      <c r="AG19774" s="20"/>
      <c r="AQ19774" s="19"/>
      <c r="AR19774" s="19"/>
      <c r="AS19774" s="19"/>
      <c r="AT19774" s="19"/>
      <c r="AU19774" s="19"/>
    </row>
    <row r="19775" spans="3:47">
      <c r="C19775" s="20"/>
      <c r="Z19775" s="20"/>
      <c r="AG19775" s="20"/>
      <c r="AQ19775" s="19"/>
      <c r="AR19775" s="19"/>
      <c r="AS19775" s="19"/>
      <c r="AT19775" s="19"/>
      <c r="AU19775" s="19"/>
    </row>
    <row r="19776" spans="3:47">
      <c r="C19776" s="20"/>
      <c r="Z19776" s="20"/>
      <c r="AG19776" s="20"/>
      <c r="AQ19776" s="19"/>
      <c r="AR19776" s="19"/>
      <c r="AS19776" s="19"/>
      <c r="AT19776" s="19"/>
      <c r="AU19776" s="19"/>
    </row>
    <row r="19777" spans="3:47">
      <c r="C19777" s="20"/>
      <c r="Z19777" s="20"/>
      <c r="AG19777" s="20"/>
      <c r="AQ19777" s="19"/>
      <c r="AR19777" s="19"/>
      <c r="AS19777" s="19"/>
      <c r="AT19777" s="19"/>
      <c r="AU19777" s="19"/>
    </row>
    <row r="19778" spans="3:47">
      <c r="C19778" s="20"/>
      <c r="Z19778" s="20"/>
      <c r="AG19778" s="20"/>
      <c r="AQ19778" s="19"/>
      <c r="AR19778" s="19"/>
      <c r="AS19778" s="19"/>
      <c r="AT19778" s="19"/>
      <c r="AU19778" s="19"/>
    </row>
    <row r="19779" spans="3:47">
      <c r="C19779" s="20"/>
      <c r="Z19779" s="20"/>
      <c r="AG19779" s="20"/>
      <c r="AQ19779" s="19"/>
      <c r="AR19779" s="19"/>
      <c r="AS19779" s="19"/>
      <c r="AT19779" s="19"/>
      <c r="AU19779" s="19"/>
    </row>
    <row r="19780" spans="3:47">
      <c r="C19780" s="20"/>
      <c r="Z19780" s="20"/>
      <c r="AG19780" s="20"/>
      <c r="AQ19780" s="19"/>
      <c r="AR19780" s="19"/>
      <c r="AS19780" s="19"/>
      <c r="AT19780" s="19"/>
      <c r="AU19780" s="19"/>
    </row>
    <row r="19781" spans="3:47">
      <c r="C19781" s="20"/>
      <c r="Z19781" s="20"/>
      <c r="AG19781" s="20"/>
      <c r="AQ19781" s="19"/>
      <c r="AR19781" s="19"/>
      <c r="AS19781" s="19"/>
      <c r="AT19781" s="19"/>
      <c r="AU19781" s="19"/>
    </row>
    <row r="19782" spans="3:47">
      <c r="C19782" s="20"/>
      <c r="Z19782" s="20"/>
      <c r="AG19782" s="20"/>
      <c r="AQ19782" s="19"/>
      <c r="AR19782" s="19"/>
      <c r="AS19782" s="19"/>
      <c r="AT19782" s="19"/>
      <c r="AU19782" s="19"/>
    </row>
    <row r="19783" spans="3:47">
      <c r="C19783" s="20"/>
      <c r="Z19783" s="20"/>
      <c r="AG19783" s="20"/>
      <c r="AQ19783" s="19"/>
      <c r="AR19783" s="19"/>
      <c r="AS19783" s="19"/>
      <c r="AT19783" s="19"/>
      <c r="AU19783" s="19"/>
    </row>
    <row r="19784" spans="3:47">
      <c r="C19784" s="20"/>
      <c r="Z19784" s="20"/>
      <c r="AG19784" s="20"/>
      <c r="AQ19784" s="19"/>
      <c r="AR19784" s="19"/>
      <c r="AS19784" s="19"/>
      <c r="AT19784" s="19"/>
      <c r="AU19784" s="19"/>
    </row>
    <row r="19785" spans="3:47">
      <c r="C19785" s="20"/>
      <c r="Z19785" s="20"/>
      <c r="AG19785" s="20"/>
      <c r="AQ19785" s="19"/>
      <c r="AR19785" s="19"/>
      <c r="AS19785" s="19"/>
      <c r="AT19785" s="19"/>
      <c r="AU19785" s="19"/>
    </row>
    <row r="19786" spans="3:47">
      <c r="C19786" s="20"/>
      <c r="Z19786" s="20"/>
      <c r="AG19786" s="20"/>
      <c r="AQ19786" s="19"/>
      <c r="AR19786" s="19"/>
      <c r="AS19786" s="19"/>
      <c r="AT19786" s="19"/>
      <c r="AU19786" s="19"/>
    </row>
    <row r="19787" spans="3:47">
      <c r="C19787" s="20"/>
      <c r="Z19787" s="20"/>
      <c r="AG19787" s="20"/>
      <c r="AQ19787" s="19"/>
      <c r="AR19787" s="19"/>
      <c r="AS19787" s="19"/>
      <c r="AT19787" s="19"/>
      <c r="AU19787" s="19"/>
    </row>
    <row r="19788" spans="3:47">
      <c r="C19788" s="20"/>
      <c r="Z19788" s="20"/>
      <c r="AG19788" s="20"/>
      <c r="AQ19788" s="19"/>
      <c r="AR19788" s="19"/>
      <c r="AS19788" s="19"/>
      <c r="AT19788" s="19"/>
      <c r="AU19788" s="19"/>
    </row>
    <row r="19789" spans="3:47">
      <c r="C19789" s="20"/>
      <c r="Z19789" s="20"/>
      <c r="AG19789" s="20"/>
      <c r="AQ19789" s="19"/>
      <c r="AR19789" s="19"/>
      <c r="AS19789" s="19"/>
      <c r="AT19789" s="19"/>
      <c r="AU19789" s="19"/>
    </row>
    <row r="19790" spans="3:47">
      <c r="C19790" s="20"/>
      <c r="Z19790" s="20"/>
      <c r="AG19790" s="20"/>
      <c r="AQ19790" s="19"/>
      <c r="AR19790" s="19"/>
      <c r="AS19790" s="19"/>
      <c r="AT19790" s="19"/>
      <c r="AU19790" s="19"/>
    </row>
    <row r="19791" spans="3:47">
      <c r="C19791" s="20"/>
      <c r="Z19791" s="20"/>
      <c r="AG19791" s="20"/>
      <c r="AQ19791" s="19"/>
      <c r="AR19791" s="19"/>
      <c r="AS19791" s="19"/>
      <c r="AT19791" s="19"/>
      <c r="AU19791" s="19"/>
    </row>
    <row r="19792" spans="3:47">
      <c r="C19792" s="20"/>
      <c r="Z19792" s="20"/>
      <c r="AG19792" s="20"/>
      <c r="AQ19792" s="19"/>
      <c r="AR19792" s="19"/>
      <c r="AS19792" s="19"/>
      <c r="AT19792" s="19"/>
      <c r="AU19792" s="19"/>
    </row>
    <row r="19793" spans="3:47">
      <c r="C19793" s="20"/>
      <c r="Z19793" s="20"/>
      <c r="AG19793" s="20"/>
      <c r="AQ19793" s="19"/>
      <c r="AR19793" s="19"/>
      <c r="AS19793" s="19"/>
      <c r="AT19793" s="19"/>
      <c r="AU19793" s="19"/>
    </row>
    <row r="19794" spans="3:47">
      <c r="C19794" s="20"/>
      <c r="Z19794" s="20"/>
      <c r="AG19794" s="20"/>
      <c r="AQ19794" s="19"/>
      <c r="AR19794" s="19"/>
      <c r="AS19794" s="19"/>
      <c r="AT19794" s="19"/>
      <c r="AU19794" s="19"/>
    </row>
    <row r="19795" spans="3:47">
      <c r="C19795" s="20"/>
      <c r="Z19795" s="20"/>
      <c r="AG19795" s="20"/>
      <c r="AQ19795" s="19"/>
      <c r="AR19795" s="19"/>
      <c r="AS19795" s="19"/>
      <c r="AT19795" s="19"/>
      <c r="AU19795" s="19"/>
    </row>
    <row r="19796" spans="3:47">
      <c r="C19796" s="20"/>
      <c r="Z19796" s="20"/>
      <c r="AG19796" s="20"/>
      <c r="AQ19796" s="19"/>
      <c r="AR19796" s="19"/>
      <c r="AS19796" s="19"/>
      <c r="AT19796" s="19"/>
      <c r="AU19796" s="19"/>
    </row>
    <row r="19797" spans="3:47">
      <c r="C19797" s="20"/>
      <c r="Z19797" s="20"/>
      <c r="AG19797" s="20"/>
      <c r="AQ19797" s="19"/>
      <c r="AR19797" s="19"/>
      <c r="AS19797" s="19"/>
      <c r="AT19797" s="19"/>
      <c r="AU19797" s="19"/>
    </row>
    <row r="19798" spans="3:47">
      <c r="C19798" s="20"/>
      <c r="Z19798" s="20"/>
      <c r="AG19798" s="20"/>
      <c r="AQ19798" s="19"/>
      <c r="AR19798" s="19"/>
      <c r="AS19798" s="19"/>
      <c r="AT19798" s="19"/>
      <c r="AU19798" s="19"/>
    </row>
    <row r="19799" spans="3:47">
      <c r="C19799" s="20"/>
      <c r="Z19799" s="20"/>
      <c r="AG19799" s="20"/>
      <c r="AQ19799" s="19"/>
      <c r="AR19799" s="19"/>
      <c r="AS19799" s="19"/>
      <c r="AT19799" s="19"/>
      <c r="AU19799" s="19"/>
    </row>
    <row r="19800" spans="3:47">
      <c r="C19800" s="20"/>
      <c r="Z19800" s="20"/>
      <c r="AG19800" s="20"/>
      <c r="AQ19800" s="19"/>
      <c r="AR19800" s="19"/>
      <c r="AS19800" s="19"/>
      <c r="AT19800" s="19"/>
      <c r="AU19800" s="19"/>
    </row>
    <row r="19801" spans="3:47">
      <c r="C19801" s="20"/>
      <c r="Z19801" s="20"/>
      <c r="AG19801" s="20"/>
      <c r="AQ19801" s="19"/>
      <c r="AR19801" s="19"/>
      <c r="AS19801" s="19"/>
      <c r="AT19801" s="19"/>
      <c r="AU19801" s="19"/>
    </row>
    <row r="19802" spans="3:47">
      <c r="C19802" s="20"/>
      <c r="Z19802" s="20"/>
      <c r="AG19802" s="20"/>
      <c r="AQ19802" s="19"/>
      <c r="AR19802" s="19"/>
      <c r="AS19802" s="19"/>
      <c r="AT19802" s="19"/>
      <c r="AU19802" s="19"/>
    </row>
    <row r="19803" spans="3:47">
      <c r="C19803" s="20"/>
      <c r="Z19803" s="20"/>
      <c r="AG19803" s="20"/>
      <c r="AQ19803" s="19"/>
      <c r="AR19803" s="19"/>
      <c r="AS19803" s="19"/>
      <c r="AT19803" s="19"/>
      <c r="AU19803" s="19"/>
    </row>
    <row r="19804" spans="3:47">
      <c r="C19804" s="20"/>
      <c r="Z19804" s="20"/>
      <c r="AG19804" s="20"/>
      <c r="AQ19804" s="19"/>
      <c r="AR19804" s="19"/>
      <c r="AS19804" s="19"/>
      <c r="AT19804" s="19"/>
      <c r="AU19804" s="19"/>
    </row>
    <row r="19805" spans="3:47">
      <c r="C19805" s="20"/>
      <c r="Z19805" s="20"/>
      <c r="AG19805" s="20"/>
      <c r="AQ19805" s="19"/>
      <c r="AR19805" s="19"/>
      <c r="AS19805" s="19"/>
      <c r="AT19805" s="19"/>
      <c r="AU19805" s="19"/>
    </row>
    <row r="19806" spans="3:47">
      <c r="C19806" s="20"/>
      <c r="Z19806" s="20"/>
      <c r="AG19806" s="20"/>
      <c r="AQ19806" s="19"/>
      <c r="AR19806" s="19"/>
      <c r="AS19806" s="19"/>
      <c r="AT19806" s="19"/>
      <c r="AU19806" s="19"/>
    </row>
    <row r="19807" spans="3:47">
      <c r="C19807" s="20"/>
      <c r="Z19807" s="20"/>
      <c r="AG19807" s="20"/>
      <c r="AQ19807" s="19"/>
      <c r="AR19807" s="19"/>
      <c r="AS19807" s="19"/>
      <c r="AT19807" s="19"/>
      <c r="AU19807" s="19"/>
    </row>
    <row r="19808" spans="3:47">
      <c r="C19808" s="20"/>
      <c r="Z19808" s="20"/>
      <c r="AG19808" s="20"/>
      <c r="AQ19808" s="19"/>
      <c r="AR19808" s="19"/>
      <c r="AS19808" s="19"/>
      <c r="AT19808" s="19"/>
      <c r="AU19808" s="19"/>
    </row>
    <row r="19809" spans="3:47">
      <c r="C19809" s="20"/>
      <c r="Z19809" s="20"/>
      <c r="AG19809" s="20"/>
      <c r="AQ19809" s="19"/>
      <c r="AR19809" s="19"/>
      <c r="AS19809" s="19"/>
      <c r="AT19809" s="19"/>
      <c r="AU19809" s="19"/>
    </row>
    <row r="19810" spans="3:47">
      <c r="C19810" s="20"/>
      <c r="Z19810" s="20"/>
      <c r="AG19810" s="20"/>
      <c r="AQ19810" s="19"/>
      <c r="AR19810" s="19"/>
      <c r="AS19810" s="19"/>
      <c r="AT19810" s="19"/>
      <c r="AU19810" s="19"/>
    </row>
    <row r="19811" spans="3:47">
      <c r="C19811" s="20"/>
      <c r="Z19811" s="20"/>
      <c r="AG19811" s="20"/>
      <c r="AQ19811" s="19"/>
      <c r="AR19811" s="19"/>
      <c r="AS19811" s="19"/>
      <c r="AT19811" s="19"/>
      <c r="AU19811" s="19"/>
    </row>
    <row r="19812" spans="3:47">
      <c r="C19812" s="20"/>
      <c r="Z19812" s="20"/>
      <c r="AG19812" s="20"/>
      <c r="AQ19812" s="19"/>
      <c r="AR19812" s="19"/>
      <c r="AS19812" s="19"/>
      <c r="AT19812" s="19"/>
      <c r="AU19812" s="19"/>
    </row>
    <row r="19813" spans="3:47">
      <c r="C19813" s="20"/>
      <c r="Z19813" s="20"/>
      <c r="AG19813" s="20"/>
      <c r="AQ19813" s="19"/>
      <c r="AR19813" s="19"/>
      <c r="AS19813" s="19"/>
      <c r="AT19813" s="19"/>
      <c r="AU19813" s="19"/>
    </row>
    <row r="19814" spans="3:47">
      <c r="C19814" s="20"/>
      <c r="Z19814" s="20"/>
      <c r="AG19814" s="20"/>
      <c r="AQ19814" s="19"/>
      <c r="AR19814" s="19"/>
      <c r="AS19814" s="19"/>
      <c r="AT19814" s="19"/>
      <c r="AU19814" s="19"/>
    </row>
    <row r="19815" spans="3:47">
      <c r="C19815" s="20"/>
      <c r="Z19815" s="20"/>
      <c r="AG19815" s="20"/>
      <c r="AQ19815" s="19"/>
      <c r="AR19815" s="19"/>
      <c r="AS19815" s="19"/>
      <c r="AT19815" s="19"/>
      <c r="AU19815" s="19"/>
    </row>
    <row r="19816" spans="3:47">
      <c r="C19816" s="20"/>
      <c r="Z19816" s="20"/>
      <c r="AG19816" s="20"/>
      <c r="AQ19816" s="19"/>
      <c r="AR19816" s="19"/>
      <c r="AS19816" s="19"/>
      <c r="AT19816" s="19"/>
      <c r="AU19816" s="19"/>
    </row>
    <row r="19817" spans="3:47">
      <c r="C19817" s="20"/>
      <c r="Z19817" s="20"/>
      <c r="AG19817" s="20"/>
      <c r="AQ19817" s="19"/>
      <c r="AR19817" s="19"/>
      <c r="AS19817" s="19"/>
      <c r="AT19817" s="19"/>
      <c r="AU19817" s="19"/>
    </row>
    <row r="19818" spans="3:47">
      <c r="C19818" s="20"/>
      <c r="Z19818" s="20"/>
      <c r="AG19818" s="20"/>
      <c r="AQ19818" s="19"/>
      <c r="AR19818" s="19"/>
      <c r="AS19818" s="19"/>
      <c r="AT19818" s="19"/>
      <c r="AU19818" s="19"/>
    </row>
    <row r="19819" spans="3:47">
      <c r="C19819" s="20"/>
      <c r="Z19819" s="20"/>
      <c r="AG19819" s="20"/>
      <c r="AQ19819" s="19"/>
      <c r="AR19819" s="19"/>
      <c r="AS19819" s="19"/>
      <c r="AT19819" s="19"/>
      <c r="AU19819" s="19"/>
    </row>
    <row r="19820" spans="3:47">
      <c r="C19820" s="20"/>
      <c r="Z19820" s="20"/>
      <c r="AG19820" s="20"/>
      <c r="AQ19820" s="19"/>
      <c r="AR19820" s="19"/>
      <c r="AS19820" s="19"/>
      <c r="AT19820" s="19"/>
      <c r="AU19820" s="19"/>
    </row>
    <row r="19821" spans="3:47">
      <c r="C19821" s="20"/>
      <c r="Z19821" s="20"/>
      <c r="AG19821" s="20"/>
      <c r="AQ19821" s="19"/>
      <c r="AR19821" s="19"/>
      <c r="AS19821" s="19"/>
      <c r="AT19821" s="19"/>
      <c r="AU19821" s="19"/>
    </row>
    <row r="19822" spans="3:47">
      <c r="C19822" s="20"/>
      <c r="Z19822" s="20"/>
      <c r="AG19822" s="20"/>
      <c r="AQ19822" s="19"/>
      <c r="AR19822" s="19"/>
      <c r="AS19822" s="19"/>
      <c r="AT19822" s="19"/>
      <c r="AU19822" s="19"/>
    </row>
    <row r="19823" spans="3:47">
      <c r="C19823" s="20"/>
      <c r="Z19823" s="20"/>
      <c r="AG19823" s="20"/>
      <c r="AQ19823" s="19"/>
      <c r="AR19823" s="19"/>
      <c r="AS19823" s="19"/>
      <c r="AT19823" s="19"/>
      <c r="AU19823" s="19"/>
    </row>
    <row r="19824" spans="3:47">
      <c r="C19824" s="20"/>
      <c r="Z19824" s="20"/>
      <c r="AG19824" s="20"/>
      <c r="AQ19824" s="19"/>
      <c r="AR19824" s="19"/>
      <c r="AS19824" s="19"/>
      <c r="AT19824" s="19"/>
      <c r="AU19824" s="19"/>
    </row>
    <row r="19825" spans="3:47">
      <c r="C19825" s="20"/>
      <c r="Z19825" s="20"/>
      <c r="AG19825" s="20"/>
      <c r="AQ19825" s="19"/>
      <c r="AR19825" s="19"/>
      <c r="AS19825" s="19"/>
      <c r="AT19825" s="19"/>
      <c r="AU19825" s="19"/>
    </row>
    <row r="19826" spans="3:47">
      <c r="C19826" s="20"/>
      <c r="Z19826" s="20"/>
      <c r="AG19826" s="20"/>
      <c r="AQ19826" s="19"/>
      <c r="AR19826" s="19"/>
      <c r="AS19826" s="19"/>
      <c r="AT19826" s="19"/>
      <c r="AU19826" s="19"/>
    </row>
    <row r="19827" spans="3:47">
      <c r="C19827" s="20"/>
      <c r="Z19827" s="20"/>
      <c r="AG19827" s="20"/>
      <c r="AQ19827" s="19"/>
      <c r="AR19827" s="19"/>
      <c r="AS19827" s="19"/>
      <c r="AT19827" s="19"/>
      <c r="AU19827" s="19"/>
    </row>
    <row r="19828" spans="3:47">
      <c r="C19828" s="20"/>
      <c r="Z19828" s="20"/>
      <c r="AG19828" s="20"/>
      <c r="AQ19828" s="19"/>
      <c r="AR19828" s="19"/>
      <c r="AS19828" s="19"/>
      <c r="AT19828" s="19"/>
      <c r="AU19828" s="19"/>
    </row>
    <row r="19829" spans="3:47">
      <c r="C19829" s="20"/>
      <c r="Z19829" s="20"/>
      <c r="AG19829" s="20"/>
      <c r="AQ19829" s="19"/>
      <c r="AR19829" s="19"/>
      <c r="AS19829" s="19"/>
      <c r="AT19829" s="19"/>
      <c r="AU19829" s="19"/>
    </row>
    <row r="19830" spans="3:47">
      <c r="C19830" s="20"/>
      <c r="Z19830" s="20"/>
      <c r="AG19830" s="20"/>
      <c r="AQ19830" s="19"/>
      <c r="AR19830" s="19"/>
      <c r="AS19830" s="19"/>
      <c r="AT19830" s="19"/>
      <c r="AU19830" s="19"/>
    </row>
    <row r="19831" spans="3:47">
      <c r="C19831" s="20"/>
      <c r="Z19831" s="20"/>
      <c r="AG19831" s="20"/>
      <c r="AQ19831" s="19"/>
      <c r="AR19831" s="19"/>
      <c r="AS19831" s="19"/>
      <c r="AT19831" s="19"/>
      <c r="AU19831" s="19"/>
    </row>
    <row r="19832" spans="3:47">
      <c r="C19832" s="20"/>
      <c r="Z19832" s="20"/>
      <c r="AG19832" s="20"/>
      <c r="AQ19832" s="19"/>
      <c r="AR19832" s="19"/>
      <c r="AS19832" s="19"/>
      <c r="AT19832" s="19"/>
      <c r="AU19832" s="19"/>
    </row>
    <row r="19833" spans="3:47">
      <c r="C19833" s="20"/>
      <c r="Z19833" s="20"/>
      <c r="AG19833" s="20"/>
      <c r="AQ19833" s="19"/>
      <c r="AR19833" s="19"/>
      <c r="AS19833" s="19"/>
      <c r="AT19833" s="19"/>
      <c r="AU19833" s="19"/>
    </row>
    <row r="19834" spans="3:47">
      <c r="C19834" s="20"/>
      <c r="Z19834" s="20"/>
      <c r="AG19834" s="20"/>
      <c r="AQ19834" s="19"/>
      <c r="AR19834" s="19"/>
      <c r="AS19834" s="19"/>
      <c r="AT19834" s="19"/>
      <c r="AU19834" s="19"/>
    </row>
    <row r="19835" spans="3:47">
      <c r="C19835" s="20"/>
      <c r="Z19835" s="20"/>
      <c r="AG19835" s="20"/>
      <c r="AQ19835" s="19"/>
      <c r="AR19835" s="19"/>
      <c r="AS19835" s="19"/>
      <c r="AT19835" s="19"/>
      <c r="AU19835" s="19"/>
    </row>
    <row r="19836" spans="3:47">
      <c r="C19836" s="20"/>
      <c r="Z19836" s="20"/>
      <c r="AG19836" s="20"/>
      <c r="AQ19836" s="19"/>
      <c r="AR19836" s="19"/>
      <c r="AS19836" s="19"/>
      <c r="AT19836" s="19"/>
      <c r="AU19836" s="19"/>
    </row>
    <row r="19837" spans="3:47">
      <c r="C19837" s="20"/>
      <c r="Z19837" s="20"/>
      <c r="AG19837" s="20"/>
      <c r="AQ19837" s="19"/>
      <c r="AR19837" s="19"/>
      <c r="AS19837" s="19"/>
      <c r="AT19837" s="19"/>
      <c r="AU19837" s="19"/>
    </row>
    <row r="19838" spans="3:47">
      <c r="C19838" s="20"/>
      <c r="Z19838" s="20"/>
      <c r="AG19838" s="20"/>
      <c r="AQ19838" s="19"/>
      <c r="AR19838" s="19"/>
      <c r="AS19838" s="19"/>
      <c r="AT19838" s="19"/>
      <c r="AU19838" s="19"/>
    </row>
    <row r="19839" spans="3:47">
      <c r="C19839" s="20"/>
      <c r="Z19839" s="20"/>
      <c r="AG19839" s="20"/>
      <c r="AQ19839" s="19"/>
      <c r="AR19839" s="19"/>
      <c r="AS19839" s="19"/>
      <c r="AT19839" s="19"/>
      <c r="AU19839" s="19"/>
    </row>
    <row r="19840" spans="3:47">
      <c r="C19840" s="20"/>
      <c r="Z19840" s="20"/>
      <c r="AG19840" s="20"/>
      <c r="AQ19840" s="19"/>
      <c r="AR19840" s="19"/>
      <c r="AS19840" s="19"/>
      <c r="AT19840" s="19"/>
      <c r="AU19840" s="19"/>
    </row>
    <row r="19841" spans="3:47">
      <c r="C19841" s="20"/>
      <c r="Z19841" s="20"/>
      <c r="AG19841" s="20"/>
      <c r="AQ19841" s="19"/>
      <c r="AR19841" s="19"/>
      <c r="AS19841" s="19"/>
      <c r="AT19841" s="19"/>
      <c r="AU19841" s="19"/>
    </row>
    <row r="19842" spans="3:47">
      <c r="C19842" s="20"/>
      <c r="Z19842" s="20"/>
      <c r="AG19842" s="20"/>
      <c r="AQ19842" s="19"/>
      <c r="AR19842" s="19"/>
      <c r="AS19842" s="19"/>
      <c r="AT19842" s="19"/>
      <c r="AU19842" s="19"/>
    </row>
    <row r="19843" spans="3:47">
      <c r="C19843" s="20"/>
      <c r="Z19843" s="20"/>
      <c r="AG19843" s="20"/>
      <c r="AQ19843" s="19"/>
      <c r="AR19843" s="19"/>
      <c r="AS19843" s="19"/>
      <c r="AT19843" s="19"/>
      <c r="AU19843" s="19"/>
    </row>
    <row r="19844" spans="3:47">
      <c r="C19844" s="20"/>
      <c r="Z19844" s="20"/>
      <c r="AG19844" s="20"/>
      <c r="AQ19844" s="19"/>
      <c r="AR19844" s="19"/>
      <c r="AS19844" s="19"/>
      <c r="AT19844" s="19"/>
      <c r="AU19844" s="19"/>
    </row>
    <row r="19845" spans="3:47">
      <c r="C19845" s="20"/>
      <c r="Z19845" s="20"/>
      <c r="AG19845" s="20"/>
      <c r="AQ19845" s="19"/>
      <c r="AR19845" s="19"/>
      <c r="AS19845" s="19"/>
      <c r="AT19845" s="19"/>
      <c r="AU19845" s="19"/>
    </row>
    <row r="19846" spans="3:47">
      <c r="C19846" s="20"/>
      <c r="Z19846" s="20"/>
      <c r="AG19846" s="20"/>
      <c r="AQ19846" s="19"/>
      <c r="AR19846" s="19"/>
      <c r="AS19846" s="19"/>
      <c r="AT19846" s="19"/>
      <c r="AU19846" s="19"/>
    </row>
    <row r="19847" spans="3:47">
      <c r="C19847" s="20"/>
      <c r="Z19847" s="20"/>
      <c r="AG19847" s="20"/>
      <c r="AQ19847" s="19"/>
      <c r="AR19847" s="19"/>
      <c r="AS19847" s="19"/>
      <c r="AT19847" s="19"/>
      <c r="AU19847" s="19"/>
    </row>
    <row r="19848" spans="3:47">
      <c r="C19848" s="20"/>
      <c r="Z19848" s="20"/>
      <c r="AG19848" s="20"/>
      <c r="AQ19848" s="19"/>
      <c r="AR19848" s="19"/>
      <c r="AS19848" s="19"/>
      <c r="AT19848" s="19"/>
      <c r="AU19848" s="19"/>
    </row>
    <row r="19849" spans="3:47">
      <c r="C19849" s="20"/>
      <c r="Z19849" s="20"/>
      <c r="AG19849" s="20"/>
      <c r="AQ19849" s="19"/>
      <c r="AR19849" s="19"/>
      <c r="AS19849" s="19"/>
      <c r="AT19849" s="19"/>
      <c r="AU19849" s="19"/>
    </row>
    <row r="19850" spans="3:47">
      <c r="C19850" s="20"/>
      <c r="Z19850" s="20"/>
      <c r="AG19850" s="20"/>
      <c r="AQ19850" s="19"/>
      <c r="AR19850" s="19"/>
      <c r="AS19850" s="19"/>
      <c r="AT19850" s="19"/>
      <c r="AU19850" s="19"/>
    </row>
    <row r="19851" spans="3:47">
      <c r="C19851" s="20"/>
      <c r="Z19851" s="20"/>
      <c r="AG19851" s="20"/>
      <c r="AQ19851" s="19"/>
      <c r="AR19851" s="19"/>
      <c r="AS19851" s="19"/>
      <c r="AT19851" s="19"/>
      <c r="AU19851" s="19"/>
    </row>
    <row r="19852" spans="3:47">
      <c r="C19852" s="20"/>
      <c r="Z19852" s="20"/>
      <c r="AG19852" s="20"/>
      <c r="AQ19852" s="19"/>
      <c r="AR19852" s="19"/>
      <c r="AS19852" s="19"/>
      <c r="AT19852" s="19"/>
      <c r="AU19852" s="19"/>
    </row>
    <row r="19853" spans="3:47">
      <c r="C19853" s="20"/>
      <c r="Z19853" s="20"/>
      <c r="AG19853" s="20"/>
      <c r="AQ19853" s="19"/>
      <c r="AR19853" s="19"/>
      <c r="AS19853" s="19"/>
      <c r="AT19853" s="19"/>
      <c r="AU19853" s="19"/>
    </row>
    <row r="19854" spans="3:47">
      <c r="C19854" s="20"/>
      <c r="Z19854" s="20"/>
      <c r="AG19854" s="20"/>
      <c r="AQ19854" s="19"/>
      <c r="AR19854" s="19"/>
      <c r="AS19854" s="19"/>
      <c r="AT19854" s="19"/>
      <c r="AU19854" s="19"/>
    </row>
    <row r="19855" spans="3:47">
      <c r="C19855" s="20"/>
      <c r="Z19855" s="20"/>
      <c r="AG19855" s="20"/>
      <c r="AQ19855" s="19"/>
      <c r="AR19855" s="19"/>
      <c r="AS19855" s="19"/>
      <c r="AT19855" s="19"/>
      <c r="AU19855" s="19"/>
    </row>
    <row r="19856" spans="3:47">
      <c r="C19856" s="20"/>
      <c r="Z19856" s="20"/>
      <c r="AG19856" s="20"/>
      <c r="AQ19856" s="19"/>
      <c r="AR19856" s="19"/>
      <c r="AS19856" s="19"/>
      <c r="AT19856" s="19"/>
      <c r="AU19856" s="19"/>
    </row>
    <row r="19857" spans="3:47">
      <c r="C19857" s="20"/>
      <c r="Z19857" s="20"/>
      <c r="AG19857" s="20"/>
      <c r="AQ19857" s="19"/>
      <c r="AR19857" s="19"/>
      <c r="AS19857" s="19"/>
      <c r="AT19857" s="19"/>
      <c r="AU19857" s="19"/>
    </row>
    <row r="19858" spans="3:47">
      <c r="C19858" s="20"/>
      <c r="Z19858" s="20"/>
      <c r="AG19858" s="20"/>
      <c r="AQ19858" s="19"/>
      <c r="AR19858" s="19"/>
      <c r="AS19858" s="19"/>
      <c r="AT19858" s="19"/>
      <c r="AU19858" s="19"/>
    </row>
    <row r="19859" spans="3:47">
      <c r="C19859" s="20"/>
      <c r="Z19859" s="20"/>
      <c r="AG19859" s="20"/>
      <c r="AQ19859" s="19"/>
      <c r="AR19859" s="19"/>
      <c r="AS19859" s="19"/>
      <c r="AT19859" s="19"/>
      <c r="AU19859" s="19"/>
    </row>
    <row r="19860" spans="3:47">
      <c r="C19860" s="20"/>
      <c r="Z19860" s="20"/>
      <c r="AG19860" s="20"/>
      <c r="AQ19860" s="19"/>
      <c r="AR19860" s="19"/>
      <c r="AS19860" s="19"/>
      <c r="AT19860" s="19"/>
      <c r="AU19860" s="19"/>
    </row>
    <row r="19861" spans="3:47">
      <c r="C19861" s="20"/>
      <c r="Z19861" s="20"/>
      <c r="AG19861" s="20"/>
      <c r="AQ19861" s="19"/>
      <c r="AR19861" s="19"/>
      <c r="AS19861" s="19"/>
      <c r="AT19861" s="19"/>
      <c r="AU19861" s="19"/>
    </row>
    <row r="19862" spans="3:47">
      <c r="C19862" s="20"/>
      <c r="Z19862" s="20"/>
      <c r="AG19862" s="20"/>
      <c r="AQ19862" s="19"/>
      <c r="AR19862" s="19"/>
      <c r="AS19862" s="19"/>
      <c r="AT19862" s="19"/>
      <c r="AU19862" s="19"/>
    </row>
    <row r="19863" spans="3:47">
      <c r="C19863" s="20"/>
      <c r="Z19863" s="20"/>
      <c r="AG19863" s="20"/>
      <c r="AQ19863" s="19"/>
      <c r="AR19863" s="19"/>
      <c r="AS19863" s="19"/>
      <c r="AT19863" s="19"/>
      <c r="AU19863" s="19"/>
    </row>
    <row r="19864" spans="3:47">
      <c r="C19864" s="20"/>
      <c r="Z19864" s="20"/>
      <c r="AG19864" s="20"/>
      <c r="AQ19864" s="19"/>
      <c r="AR19864" s="19"/>
      <c r="AS19864" s="19"/>
      <c r="AT19864" s="19"/>
      <c r="AU19864" s="19"/>
    </row>
    <row r="19865" spans="3:47">
      <c r="C19865" s="20"/>
      <c r="Z19865" s="20"/>
      <c r="AG19865" s="20"/>
      <c r="AQ19865" s="19"/>
      <c r="AR19865" s="19"/>
      <c r="AS19865" s="19"/>
      <c r="AT19865" s="19"/>
      <c r="AU19865" s="19"/>
    </row>
    <row r="19866" spans="3:47">
      <c r="C19866" s="20"/>
      <c r="Z19866" s="20"/>
      <c r="AG19866" s="20"/>
      <c r="AQ19866" s="19"/>
      <c r="AR19866" s="19"/>
      <c r="AS19866" s="19"/>
      <c r="AT19866" s="19"/>
      <c r="AU19866" s="19"/>
    </row>
    <row r="19867" spans="3:47">
      <c r="C19867" s="20"/>
      <c r="Z19867" s="20"/>
      <c r="AG19867" s="20"/>
      <c r="AQ19867" s="19"/>
      <c r="AR19867" s="19"/>
      <c r="AS19867" s="19"/>
      <c r="AT19867" s="19"/>
      <c r="AU19867" s="19"/>
    </row>
    <row r="19868" spans="3:47">
      <c r="C19868" s="20"/>
      <c r="Z19868" s="20"/>
      <c r="AG19868" s="20"/>
      <c r="AQ19868" s="19"/>
      <c r="AR19868" s="19"/>
      <c r="AS19868" s="19"/>
      <c r="AT19868" s="19"/>
      <c r="AU19868" s="19"/>
    </row>
    <row r="19869" spans="3:47">
      <c r="C19869" s="20"/>
      <c r="Z19869" s="20"/>
      <c r="AG19869" s="20"/>
      <c r="AQ19869" s="19"/>
      <c r="AR19869" s="19"/>
      <c r="AS19869" s="19"/>
      <c r="AT19869" s="19"/>
      <c r="AU19869" s="19"/>
    </row>
    <row r="19870" spans="3:47">
      <c r="C19870" s="20"/>
      <c r="Z19870" s="20"/>
      <c r="AG19870" s="20"/>
      <c r="AQ19870" s="19"/>
      <c r="AR19870" s="19"/>
      <c r="AS19870" s="19"/>
      <c r="AT19870" s="19"/>
      <c r="AU19870" s="19"/>
    </row>
    <row r="19871" spans="3:47">
      <c r="C19871" s="20"/>
      <c r="Z19871" s="20"/>
      <c r="AG19871" s="20"/>
      <c r="AQ19871" s="19"/>
      <c r="AR19871" s="19"/>
      <c r="AS19871" s="19"/>
      <c r="AT19871" s="19"/>
      <c r="AU19871" s="19"/>
    </row>
    <row r="19872" spans="3:47">
      <c r="C19872" s="20"/>
      <c r="Z19872" s="20"/>
      <c r="AG19872" s="20"/>
      <c r="AQ19872" s="19"/>
      <c r="AR19872" s="19"/>
      <c r="AS19872" s="19"/>
      <c r="AT19872" s="19"/>
      <c r="AU19872" s="19"/>
    </row>
    <row r="19873" spans="3:47">
      <c r="C19873" s="20"/>
      <c r="Z19873" s="20"/>
      <c r="AG19873" s="20"/>
      <c r="AQ19873" s="19"/>
      <c r="AR19873" s="19"/>
      <c r="AS19873" s="19"/>
      <c r="AT19873" s="19"/>
      <c r="AU19873" s="19"/>
    </row>
    <row r="19874" spans="3:47">
      <c r="C19874" s="20"/>
      <c r="Z19874" s="20"/>
      <c r="AG19874" s="20"/>
      <c r="AQ19874" s="19"/>
      <c r="AR19874" s="19"/>
      <c r="AS19874" s="19"/>
      <c r="AT19874" s="19"/>
      <c r="AU19874" s="19"/>
    </row>
    <row r="19875" spans="3:47">
      <c r="C19875" s="20"/>
      <c r="Z19875" s="20"/>
      <c r="AG19875" s="20"/>
      <c r="AQ19875" s="19"/>
      <c r="AR19875" s="19"/>
      <c r="AS19875" s="19"/>
      <c r="AT19875" s="19"/>
      <c r="AU19875" s="19"/>
    </row>
    <row r="19876" spans="3:47">
      <c r="C19876" s="20"/>
      <c r="Z19876" s="20"/>
      <c r="AG19876" s="20"/>
      <c r="AQ19876" s="19"/>
      <c r="AR19876" s="19"/>
      <c r="AS19876" s="19"/>
      <c r="AT19876" s="19"/>
      <c r="AU19876" s="19"/>
    </row>
    <row r="19877" spans="3:47">
      <c r="C19877" s="20"/>
      <c r="Z19877" s="20"/>
      <c r="AG19877" s="20"/>
      <c r="AQ19877" s="19"/>
      <c r="AR19877" s="19"/>
      <c r="AS19877" s="19"/>
      <c r="AT19877" s="19"/>
      <c r="AU19877" s="19"/>
    </row>
    <row r="19878" spans="3:47">
      <c r="C19878" s="20"/>
      <c r="Z19878" s="20"/>
      <c r="AG19878" s="20"/>
      <c r="AQ19878" s="19"/>
      <c r="AR19878" s="19"/>
      <c r="AS19878" s="19"/>
      <c r="AT19878" s="19"/>
      <c r="AU19878" s="19"/>
    </row>
    <row r="19879" spans="3:47">
      <c r="C19879" s="20"/>
      <c r="Z19879" s="20"/>
      <c r="AG19879" s="20"/>
      <c r="AQ19879" s="19"/>
      <c r="AR19879" s="19"/>
      <c r="AS19879" s="19"/>
      <c r="AT19879" s="19"/>
      <c r="AU19879" s="19"/>
    </row>
    <row r="19880" spans="3:47">
      <c r="C19880" s="20"/>
      <c r="Z19880" s="20"/>
      <c r="AG19880" s="20"/>
      <c r="AQ19880" s="19"/>
      <c r="AR19880" s="19"/>
      <c r="AS19880" s="19"/>
      <c r="AT19880" s="19"/>
      <c r="AU19880" s="19"/>
    </row>
    <row r="19881" spans="3:47">
      <c r="C19881" s="20"/>
      <c r="Z19881" s="20"/>
      <c r="AG19881" s="20"/>
      <c r="AQ19881" s="19"/>
      <c r="AR19881" s="19"/>
      <c r="AS19881" s="19"/>
      <c r="AT19881" s="19"/>
      <c r="AU19881" s="19"/>
    </row>
    <row r="19882" spans="3:47">
      <c r="C19882" s="20"/>
      <c r="Z19882" s="20"/>
      <c r="AG19882" s="20"/>
      <c r="AQ19882" s="19"/>
      <c r="AR19882" s="19"/>
      <c r="AS19882" s="19"/>
      <c r="AT19882" s="19"/>
      <c r="AU19882" s="19"/>
    </row>
    <row r="19883" spans="3:47">
      <c r="C19883" s="20"/>
      <c r="Z19883" s="20"/>
      <c r="AG19883" s="20"/>
      <c r="AQ19883" s="19"/>
      <c r="AR19883" s="19"/>
      <c r="AS19883" s="19"/>
      <c r="AT19883" s="19"/>
      <c r="AU19883" s="19"/>
    </row>
    <row r="19884" spans="3:47">
      <c r="C19884" s="20"/>
      <c r="Z19884" s="20"/>
      <c r="AG19884" s="20"/>
      <c r="AQ19884" s="19"/>
      <c r="AR19884" s="19"/>
      <c r="AS19884" s="19"/>
      <c r="AT19884" s="19"/>
      <c r="AU19884" s="19"/>
    </row>
    <row r="19885" spans="3:47">
      <c r="C19885" s="20"/>
      <c r="Z19885" s="20"/>
      <c r="AG19885" s="20"/>
      <c r="AQ19885" s="19"/>
      <c r="AR19885" s="19"/>
      <c r="AS19885" s="19"/>
      <c r="AT19885" s="19"/>
      <c r="AU19885" s="19"/>
    </row>
    <row r="19886" spans="3:47">
      <c r="C19886" s="20"/>
      <c r="Z19886" s="20"/>
      <c r="AG19886" s="20"/>
      <c r="AQ19886" s="19"/>
      <c r="AR19886" s="19"/>
      <c r="AS19886" s="19"/>
      <c r="AT19886" s="19"/>
      <c r="AU19886" s="19"/>
    </row>
    <row r="19887" spans="3:47">
      <c r="C19887" s="20"/>
      <c r="Z19887" s="20"/>
      <c r="AG19887" s="20"/>
      <c r="AQ19887" s="19"/>
      <c r="AR19887" s="19"/>
      <c r="AS19887" s="19"/>
      <c r="AT19887" s="19"/>
      <c r="AU19887" s="19"/>
    </row>
    <row r="19888" spans="3:47">
      <c r="C19888" s="20"/>
      <c r="Z19888" s="20"/>
      <c r="AG19888" s="20"/>
      <c r="AQ19888" s="19"/>
      <c r="AR19888" s="19"/>
      <c r="AS19888" s="19"/>
      <c r="AT19888" s="19"/>
      <c r="AU19888" s="19"/>
    </row>
    <row r="19889" spans="3:47">
      <c r="C19889" s="20"/>
      <c r="Z19889" s="20"/>
      <c r="AG19889" s="20"/>
      <c r="AQ19889" s="19"/>
      <c r="AR19889" s="19"/>
      <c r="AS19889" s="19"/>
      <c r="AT19889" s="19"/>
      <c r="AU19889" s="19"/>
    </row>
    <row r="19890" spans="3:47">
      <c r="C19890" s="20"/>
      <c r="Z19890" s="20"/>
      <c r="AG19890" s="20"/>
      <c r="AQ19890" s="19"/>
      <c r="AR19890" s="19"/>
      <c r="AS19890" s="19"/>
      <c r="AT19890" s="19"/>
      <c r="AU19890" s="19"/>
    </row>
    <row r="19891" spans="3:47">
      <c r="C19891" s="20"/>
      <c r="Z19891" s="20"/>
      <c r="AG19891" s="20"/>
      <c r="AQ19891" s="19"/>
      <c r="AR19891" s="19"/>
      <c r="AS19891" s="19"/>
      <c r="AT19891" s="19"/>
      <c r="AU19891" s="19"/>
    </row>
    <row r="19892" spans="3:47">
      <c r="C19892" s="20"/>
      <c r="Z19892" s="20"/>
      <c r="AG19892" s="20"/>
      <c r="AQ19892" s="19"/>
      <c r="AR19892" s="19"/>
      <c r="AS19892" s="19"/>
      <c r="AT19892" s="19"/>
      <c r="AU19892" s="19"/>
    </row>
    <row r="19893" spans="3:47">
      <c r="C19893" s="20"/>
      <c r="Z19893" s="20"/>
      <c r="AG19893" s="20"/>
      <c r="AQ19893" s="19"/>
      <c r="AR19893" s="19"/>
      <c r="AS19893" s="19"/>
      <c r="AT19893" s="19"/>
      <c r="AU19893" s="19"/>
    </row>
    <row r="19894" spans="3:47">
      <c r="C19894" s="20"/>
      <c r="Z19894" s="20"/>
      <c r="AG19894" s="20"/>
      <c r="AQ19894" s="19"/>
      <c r="AR19894" s="19"/>
      <c r="AS19894" s="19"/>
      <c r="AT19894" s="19"/>
      <c r="AU19894" s="19"/>
    </row>
    <row r="19895" spans="3:47">
      <c r="C19895" s="20"/>
      <c r="Z19895" s="20"/>
      <c r="AG19895" s="20"/>
      <c r="AQ19895" s="19"/>
      <c r="AR19895" s="19"/>
      <c r="AS19895" s="19"/>
      <c r="AT19895" s="19"/>
      <c r="AU19895" s="19"/>
    </row>
    <row r="19896" spans="3:47">
      <c r="C19896" s="20"/>
      <c r="Z19896" s="20"/>
      <c r="AG19896" s="20"/>
      <c r="AQ19896" s="19"/>
      <c r="AR19896" s="19"/>
      <c r="AS19896" s="19"/>
      <c r="AT19896" s="19"/>
      <c r="AU19896" s="19"/>
    </row>
    <row r="19897" spans="3:47">
      <c r="C19897" s="20"/>
      <c r="Z19897" s="20"/>
      <c r="AG19897" s="20"/>
      <c r="AQ19897" s="19"/>
      <c r="AR19897" s="19"/>
      <c r="AS19897" s="19"/>
      <c r="AT19897" s="19"/>
      <c r="AU19897" s="19"/>
    </row>
    <row r="19898" spans="3:47">
      <c r="C19898" s="20"/>
      <c r="Z19898" s="20"/>
      <c r="AG19898" s="20"/>
      <c r="AQ19898" s="19"/>
      <c r="AR19898" s="19"/>
      <c r="AS19898" s="19"/>
      <c r="AT19898" s="19"/>
      <c r="AU19898" s="19"/>
    </row>
    <row r="19899" spans="3:47">
      <c r="C19899" s="20"/>
      <c r="Z19899" s="20"/>
      <c r="AG19899" s="20"/>
      <c r="AQ19899" s="19"/>
      <c r="AR19899" s="19"/>
      <c r="AS19899" s="19"/>
      <c r="AT19899" s="19"/>
      <c r="AU19899" s="19"/>
    </row>
    <row r="19900" spans="3:47">
      <c r="C19900" s="20"/>
      <c r="Z19900" s="20"/>
      <c r="AG19900" s="20"/>
      <c r="AQ19900" s="19"/>
      <c r="AR19900" s="19"/>
      <c r="AS19900" s="19"/>
      <c r="AT19900" s="19"/>
      <c r="AU19900" s="19"/>
    </row>
    <row r="19901" spans="3:47">
      <c r="C19901" s="20"/>
      <c r="Z19901" s="20"/>
      <c r="AG19901" s="20"/>
      <c r="AQ19901" s="19"/>
      <c r="AR19901" s="19"/>
      <c r="AS19901" s="19"/>
      <c r="AT19901" s="19"/>
      <c r="AU19901" s="19"/>
    </row>
    <row r="19902" spans="3:47">
      <c r="C19902" s="20"/>
      <c r="Z19902" s="20"/>
      <c r="AG19902" s="20"/>
      <c r="AQ19902" s="19"/>
      <c r="AR19902" s="19"/>
      <c r="AS19902" s="19"/>
      <c r="AT19902" s="19"/>
      <c r="AU19902" s="19"/>
    </row>
    <row r="19903" spans="3:47">
      <c r="C19903" s="20"/>
      <c r="Z19903" s="20"/>
      <c r="AG19903" s="20"/>
      <c r="AQ19903" s="19"/>
      <c r="AR19903" s="19"/>
      <c r="AS19903" s="19"/>
      <c r="AT19903" s="19"/>
      <c r="AU19903" s="19"/>
    </row>
    <row r="19904" spans="3:47">
      <c r="C19904" s="20"/>
      <c r="Z19904" s="20"/>
      <c r="AG19904" s="20"/>
      <c r="AQ19904" s="19"/>
      <c r="AR19904" s="19"/>
      <c r="AS19904" s="19"/>
      <c r="AT19904" s="19"/>
      <c r="AU19904" s="19"/>
    </row>
    <row r="19905" spans="3:47">
      <c r="C19905" s="20"/>
      <c r="Z19905" s="20"/>
      <c r="AG19905" s="20"/>
      <c r="AQ19905" s="19"/>
      <c r="AR19905" s="19"/>
      <c r="AS19905" s="19"/>
      <c r="AT19905" s="19"/>
      <c r="AU19905" s="19"/>
    </row>
    <row r="19906" spans="3:47">
      <c r="C19906" s="20"/>
      <c r="Z19906" s="20"/>
      <c r="AG19906" s="20"/>
      <c r="AQ19906" s="19"/>
      <c r="AR19906" s="19"/>
      <c r="AS19906" s="19"/>
      <c r="AT19906" s="19"/>
      <c r="AU19906" s="19"/>
    </row>
    <row r="19907" spans="3:47">
      <c r="C19907" s="20"/>
      <c r="Z19907" s="20"/>
      <c r="AG19907" s="20"/>
      <c r="AQ19907" s="19"/>
      <c r="AR19907" s="19"/>
      <c r="AS19907" s="19"/>
      <c r="AT19907" s="19"/>
      <c r="AU19907" s="19"/>
    </row>
    <row r="19908" spans="3:47">
      <c r="C19908" s="20"/>
      <c r="Z19908" s="20"/>
      <c r="AG19908" s="20"/>
      <c r="AQ19908" s="19"/>
      <c r="AR19908" s="19"/>
      <c r="AS19908" s="19"/>
      <c r="AT19908" s="19"/>
      <c r="AU19908" s="19"/>
    </row>
    <row r="19909" spans="3:47">
      <c r="C19909" s="20"/>
      <c r="Z19909" s="20"/>
      <c r="AG19909" s="20"/>
      <c r="AQ19909" s="19"/>
      <c r="AR19909" s="19"/>
      <c r="AS19909" s="19"/>
      <c r="AT19909" s="19"/>
      <c r="AU19909" s="19"/>
    </row>
    <row r="19910" spans="3:47">
      <c r="C19910" s="20"/>
      <c r="Z19910" s="20"/>
      <c r="AG19910" s="20"/>
      <c r="AQ19910" s="19"/>
      <c r="AR19910" s="19"/>
      <c r="AS19910" s="19"/>
      <c r="AT19910" s="19"/>
      <c r="AU19910" s="19"/>
    </row>
    <row r="19911" spans="3:47">
      <c r="C19911" s="20"/>
      <c r="Z19911" s="20"/>
      <c r="AG19911" s="20"/>
      <c r="AQ19911" s="19"/>
      <c r="AR19911" s="19"/>
      <c r="AS19911" s="19"/>
      <c r="AT19911" s="19"/>
      <c r="AU19911" s="19"/>
    </row>
    <row r="19912" spans="3:47">
      <c r="C19912" s="20"/>
      <c r="Z19912" s="20"/>
      <c r="AG19912" s="20"/>
      <c r="AQ19912" s="19"/>
      <c r="AR19912" s="19"/>
      <c r="AS19912" s="19"/>
      <c r="AT19912" s="19"/>
      <c r="AU19912" s="19"/>
    </row>
    <row r="19913" spans="3:47">
      <c r="C19913" s="20"/>
      <c r="Z19913" s="20"/>
      <c r="AG19913" s="20"/>
      <c r="AQ19913" s="19"/>
      <c r="AR19913" s="19"/>
      <c r="AS19913" s="19"/>
      <c r="AT19913" s="19"/>
      <c r="AU19913" s="19"/>
    </row>
    <row r="19914" spans="3:47">
      <c r="C19914" s="20"/>
      <c r="Z19914" s="20"/>
      <c r="AG19914" s="20"/>
      <c r="AQ19914" s="19"/>
      <c r="AR19914" s="19"/>
      <c r="AS19914" s="19"/>
      <c r="AT19914" s="19"/>
      <c r="AU19914" s="19"/>
    </row>
    <row r="19915" spans="3:47">
      <c r="C19915" s="20"/>
      <c r="Z19915" s="20"/>
      <c r="AG19915" s="20"/>
      <c r="AQ19915" s="19"/>
      <c r="AR19915" s="19"/>
      <c r="AS19915" s="19"/>
      <c r="AT19915" s="19"/>
      <c r="AU19915" s="19"/>
    </row>
    <row r="19916" spans="3:47">
      <c r="C19916" s="20"/>
      <c r="Z19916" s="20"/>
      <c r="AG19916" s="20"/>
      <c r="AQ19916" s="19"/>
      <c r="AR19916" s="19"/>
      <c r="AS19916" s="19"/>
      <c r="AT19916" s="19"/>
      <c r="AU19916" s="19"/>
    </row>
    <row r="19917" spans="3:47">
      <c r="C19917" s="20"/>
      <c r="Z19917" s="20"/>
      <c r="AG19917" s="20"/>
      <c r="AQ19917" s="19"/>
      <c r="AR19917" s="19"/>
      <c r="AS19917" s="19"/>
      <c r="AT19917" s="19"/>
      <c r="AU19917" s="19"/>
    </row>
    <row r="19918" spans="3:47">
      <c r="C19918" s="20"/>
      <c r="Z19918" s="20"/>
      <c r="AG19918" s="20"/>
      <c r="AQ19918" s="19"/>
      <c r="AR19918" s="19"/>
      <c r="AS19918" s="19"/>
      <c r="AT19918" s="19"/>
      <c r="AU19918" s="19"/>
    </row>
    <row r="19919" spans="3:47">
      <c r="C19919" s="20"/>
      <c r="Z19919" s="20"/>
      <c r="AG19919" s="20"/>
      <c r="AQ19919" s="19"/>
      <c r="AR19919" s="19"/>
      <c r="AS19919" s="19"/>
      <c r="AT19919" s="19"/>
      <c r="AU19919" s="19"/>
    </row>
    <row r="19920" spans="3:47">
      <c r="C19920" s="20"/>
      <c r="Z19920" s="20"/>
      <c r="AG19920" s="20"/>
      <c r="AQ19920" s="19"/>
      <c r="AR19920" s="19"/>
      <c r="AS19920" s="19"/>
      <c r="AT19920" s="19"/>
      <c r="AU19920" s="19"/>
    </row>
    <row r="19921" spans="3:47">
      <c r="C19921" s="20"/>
      <c r="Z19921" s="20"/>
      <c r="AG19921" s="20"/>
      <c r="AQ19921" s="19"/>
      <c r="AR19921" s="19"/>
      <c r="AS19921" s="19"/>
      <c r="AT19921" s="19"/>
      <c r="AU19921" s="19"/>
    </row>
    <row r="19922" spans="3:47">
      <c r="C19922" s="20"/>
      <c r="Z19922" s="20"/>
      <c r="AG19922" s="20"/>
      <c r="AQ19922" s="19"/>
      <c r="AR19922" s="19"/>
      <c r="AS19922" s="19"/>
      <c r="AT19922" s="19"/>
      <c r="AU19922" s="19"/>
    </row>
    <row r="19923" spans="3:47">
      <c r="C19923" s="20"/>
      <c r="Z19923" s="20"/>
      <c r="AG19923" s="20"/>
      <c r="AQ19923" s="19"/>
      <c r="AR19923" s="19"/>
      <c r="AS19923" s="19"/>
      <c r="AT19923" s="19"/>
      <c r="AU19923" s="19"/>
    </row>
    <row r="19924" spans="3:47">
      <c r="C19924" s="20"/>
      <c r="Z19924" s="20"/>
      <c r="AG19924" s="20"/>
      <c r="AQ19924" s="19"/>
      <c r="AR19924" s="19"/>
      <c r="AS19924" s="19"/>
      <c r="AT19924" s="19"/>
      <c r="AU19924" s="19"/>
    </row>
    <row r="19925" spans="3:47">
      <c r="C19925" s="20"/>
      <c r="Z19925" s="20"/>
      <c r="AG19925" s="20"/>
      <c r="AQ19925" s="19"/>
      <c r="AR19925" s="19"/>
      <c r="AS19925" s="19"/>
      <c r="AT19925" s="19"/>
      <c r="AU19925" s="19"/>
    </row>
    <row r="19926" spans="3:47">
      <c r="C19926" s="20"/>
      <c r="Z19926" s="20"/>
      <c r="AG19926" s="20"/>
      <c r="AQ19926" s="19"/>
      <c r="AR19926" s="19"/>
      <c r="AS19926" s="19"/>
      <c r="AT19926" s="19"/>
      <c r="AU19926" s="19"/>
    </row>
    <row r="19927" spans="3:47">
      <c r="C19927" s="20"/>
      <c r="Z19927" s="20"/>
      <c r="AG19927" s="20"/>
      <c r="AQ19927" s="19"/>
      <c r="AR19927" s="19"/>
      <c r="AS19927" s="19"/>
      <c r="AT19927" s="19"/>
      <c r="AU19927" s="19"/>
    </row>
    <row r="19928" spans="3:47">
      <c r="C19928" s="20"/>
      <c r="Z19928" s="20"/>
      <c r="AG19928" s="20"/>
      <c r="AQ19928" s="19"/>
      <c r="AR19928" s="19"/>
      <c r="AS19928" s="19"/>
      <c r="AT19928" s="19"/>
      <c r="AU19928" s="19"/>
    </row>
    <row r="19929" spans="3:47">
      <c r="C19929" s="20"/>
      <c r="Z19929" s="20"/>
      <c r="AG19929" s="20"/>
      <c r="AQ19929" s="19"/>
      <c r="AR19929" s="19"/>
      <c r="AS19929" s="19"/>
      <c r="AT19929" s="19"/>
      <c r="AU19929" s="19"/>
    </row>
    <row r="19930" spans="3:47">
      <c r="C19930" s="20"/>
      <c r="Z19930" s="20"/>
      <c r="AG19930" s="20"/>
      <c r="AQ19930" s="19"/>
      <c r="AR19930" s="19"/>
      <c r="AS19930" s="19"/>
      <c r="AT19930" s="19"/>
      <c r="AU19930" s="19"/>
    </row>
    <row r="19931" spans="3:47">
      <c r="C19931" s="20"/>
      <c r="Z19931" s="20"/>
      <c r="AG19931" s="20"/>
      <c r="AQ19931" s="19"/>
      <c r="AR19931" s="19"/>
      <c r="AS19931" s="19"/>
      <c r="AT19931" s="19"/>
      <c r="AU19931" s="19"/>
    </row>
    <row r="19932" spans="3:47">
      <c r="C19932" s="20"/>
      <c r="Z19932" s="20"/>
      <c r="AG19932" s="20"/>
      <c r="AQ19932" s="19"/>
      <c r="AR19932" s="19"/>
      <c r="AS19932" s="19"/>
      <c r="AT19932" s="19"/>
      <c r="AU19932" s="19"/>
    </row>
    <row r="19933" spans="3:47">
      <c r="C19933" s="20"/>
      <c r="Z19933" s="20"/>
      <c r="AG19933" s="20"/>
      <c r="AQ19933" s="19"/>
      <c r="AR19933" s="19"/>
      <c r="AS19933" s="19"/>
      <c r="AT19933" s="19"/>
      <c r="AU19933" s="19"/>
    </row>
    <row r="19934" spans="3:47">
      <c r="C19934" s="20"/>
      <c r="Z19934" s="20"/>
      <c r="AG19934" s="20"/>
      <c r="AQ19934" s="19"/>
      <c r="AR19934" s="19"/>
      <c r="AS19934" s="19"/>
      <c r="AT19934" s="19"/>
      <c r="AU19934" s="19"/>
    </row>
    <row r="19935" spans="3:47">
      <c r="C19935" s="20"/>
      <c r="Z19935" s="20"/>
      <c r="AG19935" s="20"/>
      <c r="AQ19935" s="19"/>
      <c r="AR19935" s="19"/>
      <c r="AS19935" s="19"/>
      <c r="AT19935" s="19"/>
      <c r="AU19935" s="19"/>
    </row>
    <row r="19936" spans="3:47">
      <c r="C19936" s="20"/>
      <c r="Z19936" s="20"/>
      <c r="AG19936" s="20"/>
      <c r="AQ19936" s="19"/>
      <c r="AR19936" s="19"/>
      <c r="AS19936" s="19"/>
      <c r="AT19936" s="19"/>
      <c r="AU19936" s="19"/>
    </row>
    <row r="19937" spans="3:47">
      <c r="C19937" s="20"/>
      <c r="Z19937" s="20"/>
      <c r="AG19937" s="20"/>
      <c r="AQ19937" s="19"/>
      <c r="AR19937" s="19"/>
      <c r="AS19937" s="19"/>
      <c r="AT19937" s="19"/>
      <c r="AU19937" s="19"/>
    </row>
    <row r="19938" spans="3:47">
      <c r="C19938" s="20"/>
      <c r="Z19938" s="20"/>
      <c r="AG19938" s="20"/>
      <c r="AQ19938" s="19"/>
      <c r="AR19938" s="19"/>
      <c r="AS19938" s="19"/>
      <c r="AT19938" s="19"/>
      <c r="AU19938" s="19"/>
    </row>
    <row r="19939" spans="3:47">
      <c r="C19939" s="20"/>
      <c r="Z19939" s="20"/>
      <c r="AG19939" s="20"/>
      <c r="AQ19939" s="19"/>
      <c r="AR19939" s="19"/>
      <c r="AS19939" s="19"/>
      <c r="AT19939" s="19"/>
      <c r="AU19939" s="19"/>
    </row>
    <row r="19940" spans="3:47">
      <c r="C19940" s="20"/>
      <c r="Z19940" s="20"/>
      <c r="AG19940" s="20"/>
      <c r="AQ19940" s="19"/>
      <c r="AR19940" s="19"/>
      <c r="AS19940" s="19"/>
      <c r="AT19940" s="19"/>
      <c r="AU19940" s="19"/>
    </row>
    <row r="19941" spans="3:47">
      <c r="C19941" s="20"/>
      <c r="Z19941" s="20"/>
      <c r="AG19941" s="20"/>
      <c r="AQ19941" s="19"/>
      <c r="AR19941" s="19"/>
      <c r="AS19941" s="19"/>
      <c r="AT19941" s="19"/>
      <c r="AU19941" s="19"/>
    </row>
    <row r="19942" spans="3:47">
      <c r="C19942" s="20"/>
      <c r="Z19942" s="20"/>
      <c r="AG19942" s="20"/>
      <c r="AQ19942" s="19"/>
      <c r="AR19942" s="19"/>
      <c r="AS19942" s="19"/>
      <c r="AT19942" s="19"/>
      <c r="AU19942" s="19"/>
    </row>
    <row r="19943" spans="3:47">
      <c r="C19943" s="20"/>
      <c r="Z19943" s="20"/>
      <c r="AG19943" s="20"/>
      <c r="AQ19943" s="19"/>
      <c r="AR19943" s="19"/>
      <c r="AS19943" s="19"/>
      <c r="AT19943" s="19"/>
      <c r="AU19943" s="19"/>
    </row>
    <row r="19944" spans="3:47">
      <c r="C19944" s="20"/>
      <c r="Z19944" s="20"/>
      <c r="AG19944" s="20"/>
      <c r="AQ19944" s="19"/>
      <c r="AR19944" s="19"/>
      <c r="AS19944" s="19"/>
      <c r="AT19944" s="19"/>
      <c r="AU19944" s="19"/>
    </row>
    <row r="19945" spans="3:47">
      <c r="C19945" s="20"/>
      <c r="Z19945" s="20"/>
      <c r="AG19945" s="20"/>
      <c r="AQ19945" s="19"/>
      <c r="AR19945" s="19"/>
      <c r="AS19945" s="19"/>
      <c r="AT19945" s="19"/>
      <c r="AU19945" s="19"/>
    </row>
    <row r="19946" spans="3:47">
      <c r="C19946" s="20"/>
      <c r="Z19946" s="20"/>
      <c r="AG19946" s="20"/>
      <c r="AQ19946" s="19"/>
      <c r="AR19946" s="19"/>
      <c r="AS19946" s="19"/>
      <c r="AT19946" s="19"/>
      <c r="AU19946" s="19"/>
    </row>
    <row r="19947" spans="3:47">
      <c r="C19947" s="20"/>
      <c r="Z19947" s="20"/>
      <c r="AG19947" s="20"/>
      <c r="AQ19947" s="19"/>
      <c r="AR19947" s="19"/>
      <c r="AS19947" s="19"/>
      <c r="AT19947" s="19"/>
      <c r="AU19947" s="19"/>
    </row>
    <row r="19948" spans="3:47">
      <c r="C19948" s="20"/>
      <c r="Z19948" s="20"/>
      <c r="AG19948" s="20"/>
      <c r="AQ19948" s="19"/>
      <c r="AR19948" s="19"/>
      <c r="AS19948" s="19"/>
      <c r="AT19948" s="19"/>
      <c r="AU19948" s="19"/>
    </row>
    <row r="19949" spans="3:47">
      <c r="C19949" s="20"/>
      <c r="Z19949" s="20"/>
      <c r="AG19949" s="20"/>
      <c r="AQ19949" s="19"/>
      <c r="AR19949" s="19"/>
      <c r="AS19949" s="19"/>
      <c r="AT19949" s="19"/>
      <c r="AU19949" s="19"/>
    </row>
    <row r="19950" spans="3:47">
      <c r="C19950" s="20"/>
      <c r="Z19950" s="20"/>
      <c r="AG19950" s="20"/>
      <c r="AQ19950" s="19"/>
      <c r="AR19950" s="19"/>
      <c r="AS19950" s="19"/>
      <c r="AT19950" s="19"/>
      <c r="AU19950" s="19"/>
    </row>
    <row r="19951" spans="3:47">
      <c r="C19951" s="20"/>
      <c r="Z19951" s="20"/>
      <c r="AG19951" s="20"/>
      <c r="AQ19951" s="19"/>
      <c r="AR19951" s="19"/>
      <c r="AS19951" s="19"/>
      <c r="AT19951" s="19"/>
      <c r="AU19951" s="19"/>
    </row>
    <row r="19952" spans="3:47">
      <c r="C19952" s="20"/>
      <c r="Z19952" s="20"/>
      <c r="AG19952" s="20"/>
      <c r="AQ19952" s="19"/>
      <c r="AR19952" s="19"/>
      <c r="AS19952" s="19"/>
      <c r="AT19952" s="19"/>
      <c r="AU19952" s="19"/>
    </row>
    <row r="19953" spans="3:47">
      <c r="C19953" s="20"/>
      <c r="Z19953" s="20"/>
      <c r="AG19953" s="20"/>
      <c r="AQ19953" s="19"/>
      <c r="AR19953" s="19"/>
      <c r="AS19953" s="19"/>
      <c r="AT19953" s="19"/>
      <c r="AU19953" s="19"/>
    </row>
    <row r="19954" spans="3:47">
      <c r="C19954" s="20"/>
      <c r="Z19954" s="20"/>
      <c r="AG19954" s="20"/>
      <c r="AQ19954" s="19"/>
      <c r="AR19954" s="19"/>
      <c r="AS19954" s="19"/>
      <c r="AT19954" s="19"/>
      <c r="AU19954" s="19"/>
    </row>
    <row r="19955" spans="3:47">
      <c r="C19955" s="20"/>
      <c r="Z19955" s="20"/>
      <c r="AG19955" s="20"/>
      <c r="AQ19955" s="19"/>
      <c r="AR19955" s="19"/>
      <c r="AS19955" s="19"/>
      <c r="AT19955" s="19"/>
      <c r="AU19955" s="19"/>
    </row>
    <row r="19956" spans="3:47">
      <c r="C19956" s="20"/>
      <c r="Z19956" s="20"/>
      <c r="AG19956" s="20"/>
      <c r="AQ19956" s="19"/>
      <c r="AR19956" s="19"/>
      <c r="AS19956" s="19"/>
      <c r="AT19956" s="19"/>
      <c r="AU19956" s="19"/>
    </row>
    <row r="19957" spans="3:47">
      <c r="C19957" s="20"/>
      <c r="Z19957" s="20"/>
      <c r="AG19957" s="20"/>
      <c r="AQ19957" s="19"/>
      <c r="AR19957" s="19"/>
      <c r="AS19957" s="19"/>
      <c r="AT19957" s="19"/>
      <c r="AU19957" s="19"/>
    </row>
    <row r="19958" spans="3:47">
      <c r="C19958" s="20"/>
      <c r="Z19958" s="20"/>
      <c r="AG19958" s="20"/>
      <c r="AQ19958" s="19"/>
      <c r="AR19958" s="19"/>
      <c r="AS19958" s="19"/>
      <c r="AT19958" s="19"/>
      <c r="AU19958" s="19"/>
    </row>
    <row r="19959" spans="3:47">
      <c r="C19959" s="20"/>
      <c r="Z19959" s="20"/>
      <c r="AG19959" s="20"/>
      <c r="AQ19959" s="19"/>
      <c r="AR19959" s="19"/>
      <c r="AS19959" s="19"/>
      <c r="AT19959" s="19"/>
      <c r="AU19959" s="19"/>
    </row>
    <row r="19960" spans="3:47">
      <c r="C19960" s="20"/>
      <c r="Z19960" s="20"/>
      <c r="AG19960" s="20"/>
      <c r="AQ19960" s="19"/>
      <c r="AR19960" s="19"/>
      <c r="AS19960" s="19"/>
      <c r="AT19960" s="19"/>
      <c r="AU19960" s="19"/>
    </row>
    <row r="19961" spans="3:47">
      <c r="C19961" s="20"/>
      <c r="Z19961" s="20"/>
      <c r="AG19961" s="20"/>
      <c r="AQ19961" s="19"/>
      <c r="AR19961" s="19"/>
      <c r="AS19961" s="19"/>
      <c r="AT19961" s="19"/>
      <c r="AU19961" s="19"/>
    </row>
    <row r="19962" spans="3:47">
      <c r="C19962" s="20"/>
      <c r="Z19962" s="20"/>
      <c r="AG19962" s="20"/>
      <c r="AQ19962" s="19"/>
      <c r="AR19962" s="19"/>
      <c r="AS19962" s="19"/>
      <c r="AT19962" s="19"/>
      <c r="AU19962" s="19"/>
    </row>
    <row r="19963" spans="3:47">
      <c r="C19963" s="20"/>
      <c r="Z19963" s="20"/>
      <c r="AG19963" s="20"/>
      <c r="AQ19963" s="19"/>
      <c r="AR19963" s="19"/>
      <c r="AS19963" s="19"/>
      <c r="AT19963" s="19"/>
      <c r="AU19963" s="19"/>
    </row>
    <row r="19964" spans="3:47">
      <c r="C19964" s="20"/>
      <c r="Z19964" s="20"/>
      <c r="AG19964" s="20"/>
      <c r="AQ19964" s="19"/>
      <c r="AR19964" s="19"/>
      <c r="AS19964" s="19"/>
      <c r="AT19964" s="19"/>
      <c r="AU19964" s="19"/>
    </row>
    <row r="19965" spans="3:47">
      <c r="C19965" s="20"/>
      <c r="Z19965" s="20"/>
      <c r="AG19965" s="20"/>
      <c r="AQ19965" s="19"/>
      <c r="AR19965" s="19"/>
      <c r="AS19965" s="19"/>
      <c r="AT19965" s="19"/>
      <c r="AU19965" s="19"/>
    </row>
    <row r="19966" spans="3:47">
      <c r="C19966" s="20"/>
      <c r="Z19966" s="20"/>
      <c r="AG19966" s="20"/>
      <c r="AQ19966" s="19"/>
      <c r="AR19966" s="19"/>
      <c r="AS19966" s="19"/>
      <c r="AT19966" s="19"/>
      <c r="AU19966" s="19"/>
    </row>
    <row r="19967" spans="3:47">
      <c r="C19967" s="20"/>
      <c r="Z19967" s="20"/>
      <c r="AG19967" s="20"/>
      <c r="AQ19967" s="19"/>
      <c r="AR19967" s="19"/>
      <c r="AS19967" s="19"/>
      <c r="AT19967" s="19"/>
      <c r="AU19967" s="19"/>
    </row>
    <row r="19968" spans="3:47">
      <c r="C19968" s="20"/>
      <c r="Z19968" s="20"/>
      <c r="AG19968" s="20"/>
      <c r="AQ19968" s="19"/>
      <c r="AR19968" s="19"/>
      <c r="AS19968" s="19"/>
      <c r="AT19968" s="19"/>
      <c r="AU19968" s="19"/>
    </row>
    <row r="19969" spans="3:47">
      <c r="C19969" s="20"/>
      <c r="Z19969" s="20"/>
      <c r="AG19969" s="20"/>
      <c r="AQ19969" s="19"/>
      <c r="AR19969" s="19"/>
      <c r="AS19969" s="19"/>
      <c r="AT19969" s="19"/>
      <c r="AU19969" s="19"/>
    </row>
    <row r="19970" spans="3:47">
      <c r="C19970" s="20"/>
      <c r="Z19970" s="20"/>
      <c r="AG19970" s="20"/>
      <c r="AQ19970" s="19"/>
      <c r="AR19970" s="19"/>
      <c r="AS19970" s="19"/>
      <c r="AT19970" s="19"/>
      <c r="AU19970" s="19"/>
    </row>
    <row r="19971" spans="3:47">
      <c r="C19971" s="20"/>
      <c r="Z19971" s="20"/>
      <c r="AG19971" s="20"/>
      <c r="AQ19971" s="19"/>
      <c r="AR19971" s="19"/>
      <c r="AS19971" s="19"/>
      <c r="AT19971" s="19"/>
      <c r="AU19971" s="19"/>
    </row>
    <row r="19972" spans="3:47">
      <c r="C19972" s="20"/>
      <c r="Z19972" s="20"/>
      <c r="AG19972" s="20"/>
      <c r="AQ19972" s="19"/>
      <c r="AR19972" s="19"/>
      <c r="AS19972" s="19"/>
      <c r="AT19972" s="19"/>
      <c r="AU19972" s="19"/>
    </row>
    <row r="19973" spans="3:47">
      <c r="C19973" s="20"/>
      <c r="Z19973" s="20"/>
      <c r="AG19973" s="20"/>
      <c r="AQ19973" s="19"/>
      <c r="AR19973" s="19"/>
      <c r="AS19973" s="19"/>
      <c r="AT19973" s="19"/>
      <c r="AU19973" s="19"/>
    </row>
    <row r="19974" spans="3:47">
      <c r="C19974" s="20"/>
      <c r="Z19974" s="20"/>
      <c r="AG19974" s="20"/>
      <c r="AQ19974" s="19"/>
      <c r="AR19974" s="19"/>
      <c r="AS19974" s="19"/>
      <c r="AT19974" s="19"/>
      <c r="AU19974" s="19"/>
    </row>
    <row r="19975" spans="3:47">
      <c r="C19975" s="20"/>
      <c r="Z19975" s="20"/>
      <c r="AG19975" s="20"/>
      <c r="AQ19975" s="19"/>
      <c r="AR19975" s="19"/>
      <c r="AS19975" s="19"/>
      <c r="AT19975" s="19"/>
      <c r="AU19975" s="19"/>
    </row>
    <row r="19976" spans="3:47">
      <c r="C19976" s="20"/>
      <c r="Z19976" s="20"/>
      <c r="AG19976" s="20"/>
      <c r="AQ19976" s="19"/>
      <c r="AR19976" s="19"/>
      <c r="AS19976" s="19"/>
      <c r="AT19976" s="19"/>
      <c r="AU19976" s="19"/>
    </row>
    <row r="19977" spans="3:47">
      <c r="C19977" s="20"/>
      <c r="Z19977" s="20"/>
      <c r="AG19977" s="20"/>
      <c r="AQ19977" s="19"/>
      <c r="AR19977" s="19"/>
      <c r="AS19977" s="19"/>
      <c r="AT19977" s="19"/>
      <c r="AU19977" s="19"/>
    </row>
    <row r="19978" spans="3:47">
      <c r="C19978" s="20"/>
      <c r="Z19978" s="20"/>
      <c r="AG19978" s="20"/>
      <c r="AQ19978" s="19"/>
      <c r="AR19978" s="19"/>
      <c r="AS19978" s="19"/>
      <c r="AT19978" s="19"/>
      <c r="AU19978" s="19"/>
    </row>
    <row r="19979" spans="3:47">
      <c r="C19979" s="20"/>
      <c r="Z19979" s="20"/>
      <c r="AG19979" s="20"/>
      <c r="AQ19979" s="19"/>
      <c r="AR19979" s="19"/>
      <c r="AS19979" s="19"/>
      <c r="AT19979" s="19"/>
      <c r="AU19979" s="19"/>
    </row>
    <row r="19980" spans="3:47">
      <c r="C19980" s="20"/>
      <c r="Z19980" s="20"/>
      <c r="AG19980" s="20"/>
      <c r="AQ19980" s="19"/>
      <c r="AR19980" s="19"/>
      <c r="AS19980" s="19"/>
      <c r="AT19980" s="19"/>
      <c r="AU19980" s="19"/>
    </row>
    <row r="19981" spans="3:47">
      <c r="C19981" s="20"/>
      <c r="Z19981" s="20"/>
      <c r="AG19981" s="20"/>
      <c r="AQ19981" s="19"/>
      <c r="AR19981" s="19"/>
      <c r="AS19981" s="19"/>
      <c r="AT19981" s="19"/>
      <c r="AU19981" s="19"/>
    </row>
    <row r="19982" spans="3:47">
      <c r="C19982" s="20"/>
      <c r="Z19982" s="20"/>
      <c r="AG19982" s="20"/>
      <c r="AQ19982" s="19"/>
      <c r="AR19982" s="19"/>
      <c r="AS19982" s="19"/>
      <c r="AT19982" s="19"/>
      <c r="AU19982" s="19"/>
    </row>
    <row r="19983" spans="3:47">
      <c r="C19983" s="20"/>
      <c r="Z19983" s="20"/>
      <c r="AG19983" s="20"/>
      <c r="AQ19983" s="19"/>
      <c r="AR19983" s="19"/>
      <c r="AS19983" s="19"/>
      <c r="AT19983" s="19"/>
      <c r="AU19983" s="19"/>
    </row>
    <row r="19984" spans="3:47">
      <c r="C19984" s="20"/>
      <c r="Z19984" s="20"/>
      <c r="AG19984" s="20"/>
      <c r="AQ19984" s="19"/>
      <c r="AR19984" s="19"/>
      <c r="AS19984" s="19"/>
      <c r="AT19984" s="19"/>
      <c r="AU19984" s="19"/>
    </row>
    <row r="19985" spans="3:47">
      <c r="C19985" s="20"/>
      <c r="Z19985" s="20"/>
      <c r="AG19985" s="20"/>
      <c r="AQ19985" s="19"/>
      <c r="AR19985" s="19"/>
      <c r="AS19985" s="19"/>
      <c r="AT19985" s="19"/>
      <c r="AU19985" s="19"/>
    </row>
    <row r="19986" spans="3:47">
      <c r="C19986" s="20"/>
      <c r="Z19986" s="20"/>
      <c r="AG19986" s="20"/>
      <c r="AQ19986" s="19"/>
      <c r="AR19986" s="19"/>
      <c r="AS19986" s="19"/>
      <c r="AT19986" s="19"/>
      <c r="AU19986" s="19"/>
    </row>
    <row r="19987" spans="3:47">
      <c r="C19987" s="20"/>
      <c r="Z19987" s="20"/>
      <c r="AG19987" s="20"/>
      <c r="AQ19987" s="19"/>
      <c r="AR19987" s="19"/>
      <c r="AS19987" s="19"/>
      <c r="AT19987" s="19"/>
      <c r="AU19987" s="19"/>
    </row>
    <row r="19988" spans="3:47">
      <c r="C19988" s="20"/>
      <c r="Z19988" s="20"/>
      <c r="AG19988" s="20"/>
      <c r="AQ19988" s="19"/>
      <c r="AR19988" s="19"/>
      <c r="AS19988" s="19"/>
      <c r="AT19988" s="19"/>
      <c r="AU19988" s="19"/>
    </row>
    <row r="19989" spans="3:47">
      <c r="C19989" s="20"/>
      <c r="Z19989" s="20"/>
      <c r="AG19989" s="20"/>
      <c r="AQ19989" s="19"/>
      <c r="AR19989" s="19"/>
      <c r="AS19989" s="19"/>
      <c r="AT19989" s="19"/>
      <c r="AU19989" s="19"/>
    </row>
    <row r="19990" spans="3:47">
      <c r="C19990" s="20"/>
      <c r="Z19990" s="20"/>
      <c r="AG19990" s="20"/>
      <c r="AQ19990" s="19"/>
      <c r="AR19990" s="19"/>
      <c r="AS19990" s="19"/>
      <c r="AT19990" s="19"/>
      <c r="AU19990" s="19"/>
    </row>
    <row r="19991" spans="3:47">
      <c r="C19991" s="20"/>
      <c r="Z19991" s="20"/>
      <c r="AG19991" s="20"/>
      <c r="AQ19991" s="19"/>
      <c r="AR19991" s="19"/>
      <c r="AS19991" s="19"/>
      <c r="AT19991" s="19"/>
      <c r="AU19991" s="19"/>
    </row>
    <row r="19992" spans="3:47">
      <c r="C19992" s="20"/>
      <c r="Z19992" s="20"/>
      <c r="AG19992" s="20"/>
      <c r="AQ19992" s="19"/>
      <c r="AR19992" s="19"/>
      <c r="AS19992" s="19"/>
      <c r="AT19992" s="19"/>
      <c r="AU19992" s="19"/>
    </row>
    <row r="19993" spans="3:47">
      <c r="C19993" s="20"/>
      <c r="Z19993" s="20"/>
      <c r="AG19993" s="20"/>
      <c r="AQ19993" s="19"/>
      <c r="AR19993" s="19"/>
      <c r="AS19993" s="19"/>
      <c r="AT19993" s="19"/>
      <c r="AU19993" s="19"/>
    </row>
    <row r="19994" spans="3:47">
      <c r="C19994" s="20"/>
      <c r="Z19994" s="20"/>
      <c r="AG19994" s="20"/>
      <c r="AQ19994" s="19"/>
      <c r="AR19994" s="19"/>
      <c r="AS19994" s="19"/>
      <c r="AT19994" s="19"/>
      <c r="AU19994" s="19"/>
    </row>
    <row r="19995" spans="3:47">
      <c r="C19995" s="20"/>
      <c r="Z19995" s="20"/>
      <c r="AG19995" s="20"/>
      <c r="AQ19995" s="19"/>
      <c r="AR19995" s="19"/>
      <c r="AS19995" s="19"/>
      <c r="AT19995" s="19"/>
      <c r="AU19995" s="19"/>
    </row>
    <row r="19996" spans="3:47">
      <c r="C19996" s="20"/>
      <c r="Z19996" s="20"/>
      <c r="AG19996" s="20"/>
      <c r="AQ19996" s="19"/>
      <c r="AR19996" s="19"/>
      <c r="AS19996" s="19"/>
      <c r="AT19996" s="19"/>
      <c r="AU19996" s="19"/>
    </row>
    <row r="19997" spans="3:47">
      <c r="C19997" s="20"/>
      <c r="Z19997" s="20"/>
      <c r="AG19997" s="20"/>
      <c r="AQ19997" s="19"/>
      <c r="AR19997" s="19"/>
      <c r="AS19997" s="19"/>
      <c r="AT19997" s="19"/>
      <c r="AU19997" s="19"/>
    </row>
    <row r="19998" spans="3:47">
      <c r="C19998" s="20"/>
      <c r="Z19998" s="20"/>
      <c r="AG19998" s="20"/>
      <c r="AQ19998" s="19"/>
      <c r="AR19998" s="19"/>
      <c r="AS19998" s="19"/>
      <c r="AT19998" s="19"/>
      <c r="AU19998" s="19"/>
    </row>
    <row r="19999" spans="3:47">
      <c r="C19999" s="20"/>
      <c r="Z19999" s="20"/>
      <c r="AG19999" s="20"/>
      <c r="AQ19999" s="19"/>
      <c r="AR19999" s="19"/>
      <c r="AS19999" s="19"/>
      <c r="AT19999" s="19"/>
      <c r="AU19999" s="19"/>
    </row>
    <row r="20000" spans="3:47">
      <c r="C20000" s="20"/>
      <c r="Z20000" s="20"/>
      <c r="AG20000" s="20"/>
      <c r="AQ20000" s="19"/>
      <c r="AR20000" s="19"/>
      <c r="AS20000" s="19"/>
      <c r="AT20000" s="19"/>
      <c r="AU20000" s="19"/>
    </row>
    <row r="20001" spans="3:47">
      <c r="C20001" s="20"/>
      <c r="Z20001" s="20"/>
      <c r="AG20001" s="20"/>
      <c r="AQ20001" s="19"/>
      <c r="AR20001" s="19"/>
      <c r="AS20001" s="19"/>
      <c r="AT20001" s="19"/>
      <c r="AU20001" s="19"/>
    </row>
    <row r="20002" spans="3:47">
      <c r="C20002" s="20"/>
      <c r="Z20002" s="20"/>
      <c r="AG20002" s="20"/>
      <c r="AQ20002" s="19"/>
      <c r="AR20002" s="19"/>
      <c r="AS20002" s="19"/>
      <c r="AT20002" s="19"/>
      <c r="AU20002" s="19"/>
    </row>
    <row r="20003" spans="3:47">
      <c r="C20003" s="20"/>
      <c r="Z20003" s="20"/>
      <c r="AG20003" s="20"/>
      <c r="AQ20003" s="19"/>
      <c r="AR20003" s="19"/>
      <c r="AS20003" s="19"/>
      <c r="AT20003" s="19"/>
      <c r="AU20003" s="19"/>
    </row>
    <row r="20004" spans="3:47">
      <c r="C20004" s="20"/>
      <c r="Z20004" s="20"/>
      <c r="AG20004" s="20"/>
      <c r="AQ20004" s="19"/>
      <c r="AR20004" s="19"/>
      <c r="AS20004" s="19"/>
      <c r="AT20004" s="19"/>
      <c r="AU20004" s="19"/>
    </row>
    <row r="20005" spans="3:47">
      <c r="C20005" s="20"/>
      <c r="Z20005" s="20"/>
      <c r="AG20005" s="20"/>
      <c r="AQ20005" s="19"/>
      <c r="AR20005" s="19"/>
      <c r="AS20005" s="19"/>
      <c r="AT20005" s="19"/>
      <c r="AU20005" s="19"/>
    </row>
    <row r="20006" spans="3:47">
      <c r="C20006" s="20"/>
      <c r="Z20006" s="20"/>
      <c r="AG20006" s="20"/>
      <c r="AQ20006" s="19"/>
      <c r="AR20006" s="19"/>
      <c r="AS20006" s="19"/>
      <c r="AT20006" s="19"/>
      <c r="AU20006" s="19"/>
    </row>
    <row r="20007" spans="3:47">
      <c r="C20007" s="20"/>
      <c r="Z20007" s="20"/>
      <c r="AG20007" s="20"/>
      <c r="AQ20007" s="19"/>
      <c r="AR20007" s="19"/>
      <c r="AS20007" s="19"/>
      <c r="AT20007" s="19"/>
      <c r="AU20007" s="19"/>
    </row>
    <row r="20008" spans="3:47">
      <c r="C20008" s="20"/>
      <c r="Z20008" s="20"/>
      <c r="AG20008" s="20"/>
      <c r="AQ20008" s="19"/>
      <c r="AR20008" s="19"/>
      <c r="AS20008" s="19"/>
      <c r="AT20008" s="19"/>
      <c r="AU20008" s="19"/>
    </row>
    <row r="20009" spans="3:47">
      <c r="C20009" s="20"/>
      <c r="Z20009" s="20"/>
      <c r="AG20009" s="20"/>
      <c r="AQ20009" s="19"/>
      <c r="AR20009" s="19"/>
      <c r="AS20009" s="19"/>
      <c r="AT20009" s="19"/>
      <c r="AU20009" s="19"/>
    </row>
    <row r="20010" spans="3:47">
      <c r="C20010" s="20"/>
      <c r="Z20010" s="20"/>
      <c r="AG20010" s="20"/>
      <c r="AQ20010" s="19"/>
      <c r="AR20010" s="19"/>
      <c r="AS20010" s="19"/>
      <c r="AT20010" s="19"/>
      <c r="AU20010" s="19"/>
    </row>
    <row r="20011" spans="3:47">
      <c r="C20011" s="20"/>
      <c r="Z20011" s="20"/>
      <c r="AG20011" s="20"/>
      <c r="AQ20011" s="19"/>
      <c r="AR20011" s="19"/>
      <c r="AS20011" s="19"/>
      <c r="AT20011" s="19"/>
      <c r="AU20011" s="19"/>
    </row>
    <row r="20012" spans="3:47">
      <c r="C20012" s="20"/>
      <c r="Z20012" s="20"/>
      <c r="AG20012" s="20"/>
      <c r="AQ20012" s="19"/>
      <c r="AR20012" s="19"/>
      <c r="AS20012" s="19"/>
      <c r="AT20012" s="19"/>
      <c r="AU20012" s="19"/>
    </row>
    <row r="20013" spans="3:47">
      <c r="C20013" s="20"/>
      <c r="Z20013" s="20"/>
      <c r="AG20013" s="20"/>
      <c r="AQ20013" s="19"/>
      <c r="AR20013" s="19"/>
      <c r="AS20013" s="19"/>
      <c r="AT20013" s="19"/>
      <c r="AU20013" s="19"/>
    </row>
    <row r="20014" spans="3:47">
      <c r="C20014" s="20"/>
      <c r="Z20014" s="20"/>
      <c r="AG20014" s="20"/>
      <c r="AQ20014" s="19"/>
      <c r="AR20014" s="19"/>
      <c r="AS20014" s="19"/>
      <c r="AT20014" s="19"/>
      <c r="AU20014" s="19"/>
    </row>
    <row r="20015" spans="3:47">
      <c r="C20015" s="20"/>
      <c r="Z20015" s="20"/>
      <c r="AG20015" s="20"/>
      <c r="AQ20015" s="19"/>
      <c r="AR20015" s="19"/>
      <c r="AS20015" s="19"/>
      <c r="AT20015" s="19"/>
      <c r="AU20015" s="19"/>
    </row>
    <row r="20016" spans="3:47">
      <c r="C20016" s="20"/>
      <c r="Z20016" s="20"/>
      <c r="AG20016" s="20"/>
      <c r="AQ20016" s="19"/>
      <c r="AR20016" s="19"/>
      <c r="AS20016" s="19"/>
      <c r="AT20016" s="19"/>
      <c r="AU20016" s="19"/>
    </row>
    <row r="20017" spans="3:47">
      <c r="C20017" s="20"/>
      <c r="Z20017" s="20"/>
      <c r="AG20017" s="20"/>
      <c r="AQ20017" s="19"/>
      <c r="AR20017" s="19"/>
      <c r="AS20017" s="19"/>
      <c r="AT20017" s="19"/>
      <c r="AU20017" s="19"/>
    </row>
    <row r="20018" spans="3:47">
      <c r="C20018" s="20"/>
      <c r="Z20018" s="20"/>
      <c r="AG20018" s="20"/>
      <c r="AQ20018" s="19"/>
      <c r="AR20018" s="19"/>
      <c r="AS20018" s="19"/>
      <c r="AT20018" s="19"/>
      <c r="AU20018" s="19"/>
    </row>
    <row r="20019" spans="3:47">
      <c r="C20019" s="20"/>
      <c r="Z20019" s="20"/>
      <c r="AG20019" s="20"/>
      <c r="AQ20019" s="19"/>
      <c r="AR20019" s="19"/>
      <c r="AS20019" s="19"/>
      <c r="AT20019" s="19"/>
      <c r="AU20019" s="19"/>
    </row>
    <row r="20020" spans="3:47">
      <c r="C20020" s="20"/>
      <c r="Z20020" s="20"/>
      <c r="AG20020" s="20"/>
      <c r="AQ20020" s="19"/>
      <c r="AR20020" s="19"/>
      <c r="AS20020" s="19"/>
      <c r="AT20020" s="19"/>
      <c r="AU20020" s="19"/>
    </row>
    <row r="20021" spans="3:47">
      <c r="C20021" s="20"/>
      <c r="Z20021" s="20"/>
      <c r="AG20021" s="20"/>
      <c r="AQ20021" s="19"/>
      <c r="AR20021" s="19"/>
      <c r="AS20021" s="19"/>
      <c r="AT20021" s="19"/>
      <c r="AU20021" s="19"/>
    </row>
    <row r="20022" spans="3:47">
      <c r="C20022" s="20"/>
      <c r="Z20022" s="20"/>
      <c r="AG20022" s="20"/>
      <c r="AQ20022" s="19"/>
      <c r="AR20022" s="19"/>
      <c r="AS20022" s="19"/>
      <c r="AT20022" s="19"/>
      <c r="AU20022" s="19"/>
    </row>
    <row r="20023" spans="3:47">
      <c r="C20023" s="20"/>
      <c r="Z20023" s="20"/>
      <c r="AG20023" s="20"/>
      <c r="AQ20023" s="19"/>
      <c r="AR20023" s="19"/>
      <c r="AS20023" s="19"/>
      <c r="AT20023" s="19"/>
      <c r="AU20023" s="19"/>
    </row>
    <row r="20024" spans="3:47">
      <c r="C20024" s="20"/>
      <c r="Z20024" s="20"/>
      <c r="AG20024" s="20"/>
      <c r="AQ20024" s="19"/>
      <c r="AR20024" s="19"/>
      <c r="AS20024" s="19"/>
      <c r="AT20024" s="19"/>
      <c r="AU20024" s="19"/>
    </row>
    <row r="20025" spans="3:47">
      <c r="C20025" s="20"/>
      <c r="Z20025" s="20"/>
      <c r="AG20025" s="20"/>
      <c r="AQ20025" s="19"/>
      <c r="AR20025" s="19"/>
      <c r="AS20025" s="19"/>
      <c r="AT20025" s="19"/>
      <c r="AU20025" s="19"/>
    </row>
    <row r="20026" spans="3:47">
      <c r="C20026" s="20"/>
      <c r="Z20026" s="20"/>
      <c r="AG20026" s="20"/>
      <c r="AQ20026" s="19"/>
      <c r="AR20026" s="19"/>
      <c r="AS20026" s="19"/>
      <c r="AT20026" s="19"/>
      <c r="AU20026" s="19"/>
    </row>
    <row r="20027" spans="3:47">
      <c r="C20027" s="20"/>
      <c r="Z20027" s="20"/>
      <c r="AG20027" s="20"/>
      <c r="AQ20027" s="19"/>
      <c r="AR20027" s="19"/>
      <c r="AS20027" s="19"/>
      <c r="AT20027" s="19"/>
      <c r="AU20027" s="19"/>
    </row>
    <row r="20028" spans="3:47">
      <c r="C20028" s="20"/>
      <c r="Z20028" s="20"/>
      <c r="AG20028" s="20"/>
      <c r="AQ20028" s="19"/>
      <c r="AR20028" s="19"/>
      <c r="AS20028" s="19"/>
      <c r="AT20028" s="19"/>
      <c r="AU20028" s="19"/>
    </row>
    <row r="20029" spans="3:47">
      <c r="C20029" s="20"/>
      <c r="Z20029" s="20"/>
      <c r="AG20029" s="20"/>
      <c r="AQ20029" s="19"/>
      <c r="AR20029" s="19"/>
      <c r="AS20029" s="19"/>
      <c r="AT20029" s="19"/>
      <c r="AU20029" s="19"/>
    </row>
    <row r="20030" spans="3:47">
      <c r="C20030" s="20"/>
      <c r="Z20030" s="20"/>
      <c r="AG20030" s="20"/>
      <c r="AQ20030" s="19"/>
      <c r="AR20030" s="19"/>
      <c r="AS20030" s="19"/>
      <c r="AT20030" s="19"/>
      <c r="AU20030" s="19"/>
    </row>
    <row r="20031" spans="3:47">
      <c r="C20031" s="20"/>
      <c r="Z20031" s="20"/>
      <c r="AG20031" s="20"/>
      <c r="AQ20031" s="19"/>
      <c r="AR20031" s="19"/>
      <c r="AS20031" s="19"/>
      <c r="AT20031" s="19"/>
      <c r="AU20031" s="19"/>
    </row>
    <row r="20032" spans="3:47">
      <c r="C20032" s="20"/>
      <c r="Z20032" s="20"/>
      <c r="AG20032" s="20"/>
      <c r="AQ20032" s="19"/>
      <c r="AR20032" s="19"/>
      <c r="AS20032" s="19"/>
      <c r="AT20032" s="19"/>
      <c r="AU20032" s="19"/>
    </row>
    <row r="20033" spans="3:47">
      <c r="C20033" s="20"/>
      <c r="Z20033" s="20"/>
      <c r="AG20033" s="20"/>
      <c r="AQ20033" s="19"/>
      <c r="AR20033" s="19"/>
      <c r="AS20033" s="19"/>
      <c r="AT20033" s="19"/>
      <c r="AU20033" s="19"/>
    </row>
    <row r="20034" spans="3:47">
      <c r="C20034" s="20"/>
      <c r="Z20034" s="20"/>
      <c r="AG20034" s="20"/>
      <c r="AQ20034" s="19"/>
      <c r="AR20034" s="19"/>
      <c r="AS20034" s="19"/>
      <c r="AT20034" s="19"/>
      <c r="AU20034" s="19"/>
    </row>
    <row r="20035" spans="3:47">
      <c r="C20035" s="20"/>
      <c r="Z20035" s="20"/>
      <c r="AG20035" s="20"/>
      <c r="AQ20035" s="19"/>
      <c r="AR20035" s="19"/>
      <c r="AS20035" s="19"/>
      <c r="AT20035" s="19"/>
      <c r="AU20035" s="19"/>
    </row>
    <row r="20036" spans="3:47">
      <c r="C20036" s="20"/>
      <c r="Z20036" s="20"/>
      <c r="AG20036" s="20"/>
      <c r="AQ20036" s="19"/>
      <c r="AR20036" s="19"/>
      <c r="AS20036" s="19"/>
      <c r="AT20036" s="19"/>
      <c r="AU20036" s="19"/>
    </row>
    <row r="20037" spans="3:47">
      <c r="C20037" s="20"/>
      <c r="Z20037" s="20"/>
      <c r="AG20037" s="20"/>
      <c r="AQ20037" s="19"/>
      <c r="AR20037" s="19"/>
      <c r="AS20037" s="19"/>
      <c r="AT20037" s="19"/>
      <c r="AU20037" s="19"/>
    </row>
    <row r="20038" spans="3:47">
      <c r="C20038" s="20"/>
      <c r="Z20038" s="20"/>
      <c r="AG20038" s="20"/>
      <c r="AQ20038" s="19"/>
      <c r="AR20038" s="19"/>
      <c r="AS20038" s="19"/>
      <c r="AT20038" s="19"/>
      <c r="AU20038" s="19"/>
    </row>
    <row r="20039" spans="3:47">
      <c r="C20039" s="20"/>
      <c r="Z20039" s="20"/>
      <c r="AG20039" s="20"/>
      <c r="AQ20039" s="19"/>
      <c r="AR20039" s="19"/>
      <c r="AS20039" s="19"/>
      <c r="AT20039" s="19"/>
      <c r="AU20039" s="19"/>
    </row>
    <row r="20040" spans="3:47">
      <c r="C20040" s="20"/>
      <c r="Z20040" s="20"/>
      <c r="AG20040" s="20"/>
      <c r="AQ20040" s="19"/>
      <c r="AR20040" s="19"/>
      <c r="AS20040" s="19"/>
      <c r="AT20040" s="19"/>
      <c r="AU20040" s="19"/>
    </row>
    <row r="20041" spans="3:47">
      <c r="C20041" s="20"/>
      <c r="Z20041" s="20"/>
      <c r="AG20041" s="20"/>
      <c r="AQ20041" s="19"/>
      <c r="AR20041" s="19"/>
      <c r="AS20041" s="19"/>
      <c r="AT20041" s="19"/>
      <c r="AU20041" s="19"/>
    </row>
    <row r="20042" spans="3:47">
      <c r="C20042" s="20"/>
      <c r="Z20042" s="20"/>
      <c r="AG20042" s="20"/>
      <c r="AQ20042" s="19"/>
      <c r="AR20042" s="19"/>
      <c r="AS20042" s="19"/>
      <c r="AT20042" s="19"/>
      <c r="AU20042" s="19"/>
    </row>
    <row r="20043" spans="3:47">
      <c r="C20043" s="20"/>
      <c r="Z20043" s="20"/>
      <c r="AG20043" s="20"/>
      <c r="AQ20043" s="19"/>
      <c r="AR20043" s="19"/>
      <c r="AS20043" s="19"/>
      <c r="AT20043" s="19"/>
      <c r="AU20043" s="19"/>
    </row>
    <row r="20044" spans="3:47">
      <c r="C20044" s="20"/>
      <c r="Z20044" s="20"/>
      <c r="AG20044" s="20"/>
      <c r="AQ20044" s="19"/>
      <c r="AR20044" s="19"/>
      <c r="AS20044" s="19"/>
      <c r="AT20044" s="19"/>
      <c r="AU20044" s="19"/>
    </row>
    <row r="20045" spans="3:47">
      <c r="C20045" s="20"/>
      <c r="Z20045" s="20"/>
      <c r="AG20045" s="20"/>
      <c r="AQ20045" s="19"/>
      <c r="AR20045" s="19"/>
      <c r="AS20045" s="19"/>
      <c r="AT20045" s="19"/>
      <c r="AU20045" s="19"/>
    </row>
    <row r="20046" spans="3:47">
      <c r="C20046" s="20"/>
      <c r="Z20046" s="20"/>
      <c r="AG20046" s="20"/>
      <c r="AQ20046" s="19"/>
      <c r="AR20046" s="19"/>
      <c r="AS20046" s="19"/>
      <c r="AT20046" s="19"/>
      <c r="AU20046" s="19"/>
    </row>
    <row r="20047" spans="3:47">
      <c r="C20047" s="20"/>
      <c r="Z20047" s="20"/>
      <c r="AG20047" s="20"/>
      <c r="AQ20047" s="19"/>
      <c r="AR20047" s="19"/>
      <c r="AS20047" s="19"/>
      <c r="AT20047" s="19"/>
      <c r="AU20047" s="19"/>
    </row>
    <row r="20048" spans="3:47">
      <c r="C20048" s="20"/>
      <c r="Z20048" s="20"/>
      <c r="AG20048" s="20"/>
      <c r="AQ20048" s="19"/>
      <c r="AR20048" s="19"/>
      <c r="AS20048" s="19"/>
      <c r="AT20048" s="19"/>
      <c r="AU20048" s="19"/>
    </row>
    <row r="20049" spans="3:47">
      <c r="C20049" s="20"/>
      <c r="Z20049" s="20"/>
      <c r="AG20049" s="20"/>
      <c r="AQ20049" s="19"/>
      <c r="AR20049" s="19"/>
      <c r="AS20049" s="19"/>
      <c r="AT20049" s="19"/>
      <c r="AU20049" s="19"/>
    </row>
    <row r="20050" spans="3:47">
      <c r="C20050" s="20"/>
      <c r="Z20050" s="20"/>
      <c r="AG20050" s="20"/>
      <c r="AQ20050" s="19"/>
      <c r="AR20050" s="19"/>
      <c r="AS20050" s="19"/>
      <c r="AT20050" s="19"/>
      <c r="AU20050" s="19"/>
    </row>
    <row r="20051" spans="3:47">
      <c r="C20051" s="20"/>
      <c r="Z20051" s="20"/>
      <c r="AG20051" s="20"/>
      <c r="AQ20051" s="19"/>
      <c r="AR20051" s="19"/>
      <c r="AS20051" s="19"/>
      <c r="AT20051" s="19"/>
      <c r="AU20051" s="19"/>
    </row>
    <row r="20052" spans="3:47">
      <c r="C20052" s="20"/>
      <c r="Z20052" s="20"/>
      <c r="AG20052" s="20"/>
      <c r="AQ20052" s="19"/>
      <c r="AR20052" s="19"/>
      <c r="AS20052" s="19"/>
      <c r="AT20052" s="19"/>
      <c r="AU20052" s="19"/>
    </row>
    <row r="20053" spans="3:47">
      <c r="C20053" s="20"/>
      <c r="Z20053" s="20"/>
      <c r="AG20053" s="20"/>
      <c r="AQ20053" s="19"/>
      <c r="AR20053" s="19"/>
      <c r="AS20053" s="19"/>
      <c r="AT20053" s="19"/>
      <c r="AU20053" s="19"/>
    </row>
    <row r="20054" spans="3:47">
      <c r="C20054" s="20"/>
      <c r="Z20054" s="20"/>
      <c r="AG20054" s="20"/>
      <c r="AQ20054" s="19"/>
      <c r="AR20054" s="19"/>
      <c r="AS20054" s="19"/>
      <c r="AT20054" s="19"/>
      <c r="AU20054" s="19"/>
    </row>
    <row r="20055" spans="3:47">
      <c r="C20055" s="20"/>
      <c r="Z20055" s="20"/>
      <c r="AG20055" s="20"/>
      <c r="AQ20055" s="19"/>
      <c r="AR20055" s="19"/>
      <c r="AS20055" s="19"/>
      <c r="AT20055" s="19"/>
      <c r="AU20055" s="19"/>
    </row>
    <row r="20056" spans="3:47">
      <c r="C20056" s="20"/>
      <c r="Z20056" s="20"/>
      <c r="AG20056" s="20"/>
      <c r="AQ20056" s="19"/>
      <c r="AR20056" s="19"/>
      <c r="AS20056" s="19"/>
      <c r="AT20056" s="19"/>
      <c r="AU20056" s="19"/>
    </row>
    <row r="20057" spans="3:47">
      <c r="C20057" s="20"/>
      <c r="Z20057" s="20"/>
      <c r="AG20057" s="20"/>
      <c r="AQ20057" s="19"/>
      <c r="AR20057" s="19"/>
      <c r="AS20057" s="19"/>
      <c r="AT20057" s="19"/>
      <c r="AU20057" s="19"/>
    </row>
    <row r="20058" spans="3:47">
      <c r="C20058" s="20"/>
      <c r="Z20058" s="20"/>
      <c r="AG20058" s="20"/>
      <c r="AQ20058" s="19"/>
      <c r="AR20058" s="19"/>
      <c r="AS20058" s="19"/>
      <c r="AT20058" s="19"/>
      <c r="AU20058" s="19"/>
    </row>
    <row r="20059" spans="3:47">
      <c r="C20059" s="20"/>
      <c r="Z20059" s="20"/>
      <c r="AG20059" s="20"/>
      <c r="AQ20059" s="19"/>
      <c r="AR20059" s="19"/>
      <c r="AS20059" s="19"/>
      <c r="AT20059" s="19"/>
      <c r="AU20059" s="19"/>
    </row>
    <row r="20060" spans="3:47">
      <c r="C20060" s="20"/>
      <c r="Z20060" s="20"/>
      <c r="AG20060" s="20"/>
      <c r="AQ20060" s="19"/>
      <c r="AR20060" s="19"/>
      <c r="AS20060" s="19"/>
      <c r="AT20060" s="19"/>
      <c r="AU20060" s="19"/>
    </row>
    <row r="20061" spans="3:47">
      <c r="C20061" s="20"/>
      <c r="Z20061" s="20"/>
      <c r="AG20061" s="20"/>
      <c r="AQ20061" s="19"/>
      <c r="AR20061" s="19"/>
      <c r="AS20061" s="19"/>
      <c r="AT20061" s="19"/>
      <c r="AU20061" s="19"/>
    </row>
    <row r="20062" spans="3:47">
      <c r="C20062" s="20"/>
      <c r="Z20062" s="20"/>
      <c r="AG20062" s="20"/>
      <c r="AQ20062" s="19"/>
      <c r="AR20062" s="19"/>
      <c r="AS20062" s="19"/>
      <c r="AT20062" s="19"/>
      <c r="AU20062" s="19"/>
    </row>
    <row r="20063" spans="3:47">
      <c r="C20063" s="20"/>
      <c r="Z20063" s="20"/>
      <c r="AG20063" s="20"/>
      <c r="AQ20063" s="19"/>
      <c r="AR20063" s="19"/>
      <c r="AS20063" s="19"/>
      <c r="AT20063" s="19"/>
      <c r="AU20063" s="19"/>
    </row>
    <row r="20064" spans="3:47">
      <c r="C20064" s="20"/>
      <c r="Z20064" s="20"/>
      <c r="AG20064" s="20"/>
      <c r="AQ20064" s="19"/>
      <c r="AR20064" s="19"/>
      <c r="AS20064" s="19"/>
      <c r="AT20064" s="19"/>
      <c r="AU20064" s="19"/>
    </row>
    <row r="20065" spans="3:47">
      <c r="C20065" s="20"/>
      <c r="Z20065" s="20"/>
      <c r="AG20065" s="20"/>
      <c r="AQ20065" s="19"/>
      <c r="AR20065" s="19"/>
      <c r="AS20065" s="19"/>
      <c r="AT20065" s="19"/>
      <c r="AU20065" s="19"/>
    </row>
    <row r="20066" spans="3:47">
      <c r="C20066" s="20"/>
      <c r="Z20066" s="20"/>
      <c r="AG20066" s="20"/>
      <c r="AQ20066" s="19"/>
      <c r="AR20066" s="19"/>
      <c r="AS20066" s="19"/>
      <c r="AT20066" s="19"/>
      <c r="AU20066" s="19"/>
    </row>
    <row r="20067" spans="3:47">
      <c r="C20067" s="20"/>
      <c r="Z20067" s="20"/>
      <c r="AG20067" s="20"/>
      <c r="AQ20067" s="19"/>
      <c r="AR20067" s="19"/>
      <c r="AS20067" s="19"/>
      <c r="AT20067" s="19"/>
      <c r="AU20067" s="19"/>
    </row>
    <row r="20068" spans="3:47">
      <c r="C20068" s="20"/>
      <c r="Z20068" s="20"/>
      <c r="AG20068" s="20"/>
      <c r="AQ20068" s="19"/>
      <c r="AR20068" s="19"/>
      <c r="AS20068" s="19"/>
      <c r="AT20068" s="19"/>
      <c r="AU20068" s="19"/>
    </row>
    <row r="20069" spans="3:47">
      <c r="C20069" s="20"/>
      <c r="Z20069" s="20"/>
      <c r="AG20069" s="20"/>
      <c r="AQ20069" s="19"/>
      <c r="AR20069" s="19"/>
      <c r="AS20069" s="19"/>
      <c r="AT20069" s="19"/>
      <c r="AU20069" s="19"/>
    </row>
    <row r="20070" spans="3:47">
      <c r="C20070" s="20"/>
      <c r="Z20070" s="20"/>
      <c r="AG20070" s="20"/>
      <c r="AQ20070" s="19"/>
      <c r="AR20070" s="19"/>
      <c r="AS20070" s="19"/>
      <c r="AT20070" s="19"/>
      <c r="AU20070" s="19"/>
    </row>
    <row r="20071" spans="3:47">
      <c r="C20071" s="20"/>
      <c r="Z20071" s="20"/>
      <c r="AG20071" s="20"/>
      <c r="AQ20071" s="19"/>
      <c r="AR20071" s="19"/>
      <c r="AS20071" s="19"/>
      <c r="AT20071" s="19"/>
      <c r="AU20071" s="19"/>
    </row>
    <row r="20072" spans="3:47">
      <c r="C20072" s="20"/>
      <c r="Z20072" s="20"/>
      <c r="AG20072" s="20"/>
      <c r="AQ20072" s="19"/>
      <c r="AR20072" s="19"/>
      <c r="AS20072" s="19"/>
      <c r="AT20072" s="19"/>
      <c r="AU20072" s="19"/>
    </row>
    <row r="20073" spans="3:47">
      <c r="C20073" s="20"/>
      <c r="Z20073" s="20"/>
      <c r="AG20073" s="20"/>
      <c r="AQ20073" s="19"/>
      <c r="AR20073" s="19"/>
      <c r="AS20073" s="19"/>
      <c r="AT20073" s="19"/>
      <c r="AU20073" s="19"/>
    </row>
    <row r="20074" spans="3:47">
      <c r="C20074" s="20"/>
      <c r="Z20074" s="20"/>
      <c r="AG20074" s="20"/>
      <c r="AQ20074" s="19"/>
      <c r="AR20074" s="19"/>
      <c r="AS20074" s="19"/>
      <c r="AT20074" s="19"/>
      <c r="AU20074" s="19"/>
    </row>
    <row r="20075" spans="3:47">
      <c r="C20075" s="20"/>
      <c r="Z20075" s="20"/>
      <c r="AG20075" s="20"/>
      <c r="AQ20075" s="19"/>
      <c r="AR20075" s="19"/>
      <c r="AS20075" s="19"/>
      <c r="AT20075" s="19"/>
      <c r="AU20075" s="19"/>
    </row>
    <row r="20076" spans="3:47">
      <c r="C20076" s="20"/>
      <c r="Z20076" s="20"/>
      <c r="AG20076" s="20"/>
      <c r="AQ20076" s="19"/>
      <c r="AR20076" s="19"/>
      <c r="AS20076" s="19"/>
      <c r="AT20076" s="19"/>
      <c r="AU20076" s="19"/>
    </row>
    <row r="20077" spans="3:47">
      <c r="C20077" s="20"/>
      <c r="Z20077" s="20"/>
      <c r="AG20077" s="20"/>
      <c r="AQ20077" s="19"/>
      <c r="AR20077" s="19"/>
      <c r="AS20077" s="19"/>
      <c r="AT20077" s="19"/>
      <c r="AU20077" s="19"/>
    </row>
    <row r="20078" spans="3:47">
      <c r="C20078" s="20"/>
      <c r="Z20078" s="20"/>
      <c r="AG20078" s="20"/>
      <c r="AQ20078" s="19"/>
      <c r="AR20078" s="19"/>
      <c r="AS20078" s="19"/>
      <c r="AT20078" s="19"/>
      <c r="AU20078" s="19"/>
    </row>
    <row r="20079" spans="3:47">
      <c r="C20079" s="20"/>
      <c r="Z20079" s="20"/>
      <c r="AG20079" s="20"/>
      <c r="AQ20079" s="19"/>
      <c r="AR20079" s="19"/>
      <c r="AS20079" s="19"/>
      <c r="AT20079" s="19"/>
      <c r="AU20079" s="19"/>
    </row>
    <row r="20080" spans="3:47">
      <c r="C20080" s="20"/>
      <c r="Z20080" s="20"/>
      <c r="AG20080" s="20"/>
      <c r="AQ20080" s="19"/>
      <c r="AR20080" s="19"/>
      <c r="AS20080" s="19"/>
      <c r="AT20080" s="19"/>
      <c r="AU20080" s="19"/>
    </row>
    <row r="20081" spans="3:47">
      <c r="C20081" s="20"/>
      <c r="Z20081" s="20"/>
      <c r="AG20081" s="20"/>
      <c r="AQ20081" s="19"/>
      <c r="AR20081" s="19"/>
      <c r="AS20081" s="19"/>
      <c r="AT20081" s="19"/>
      <c r="AU20081" s="19"/>
    </row>
    <row r="20082" spans="3:47">
      <c r="C20082" s="20"/>
      <c r="Z20082" s="20"/>
      <c r="AG20082" s="20"/>
      <c r="AQ20082" s="19"/>
      <c r="AR20082" s="19"/>
      <c r="AS20082" s="19"/>
      <c r="AT20082" s="19"/>
      <c r="AU20082" s="19"/>
    </row>
    <row r="20083" spans="3:47">
      <c r="C20083" s="20"/>
      <c r="Z20083" s="20"/>
      <c r="AG20083" s="20"/>
      <c r="AQ20083" s="19"/>
      <c r="AR20083" s="19"/>
      <c r="AS20083" s="19"/>
      <c r="AT20083" s="19"/>
      <c r="AU20083" s="19"/>
    </row>
    <row r="20084" spans="3:47">
      <c r="C20084" s="20"/>
      <c r="Z20084" s="20"/>
      <c r="AG20084" s="20"/>
      <c r="AQ20084" s="19"/>
      <c r="AR20084" s="19"/>
      <c r="AS20084" s="19"/>
      <c r="AT20084" s="19"/>
      <c r="AU20084" s="19"/>
    </row>
    <row r="20085" spans="3:47">
      <c r="C20085" s="20"/>
      <c r="Z20085" s="20"/>
      <c r="AG20085" s="20"/>
      <c r="AQ20085" s="19"/>
      <c r="AR20085" s="19"/>
      <c r="AS20085" s="19"/>
      <c r="AT20085" s="19"/>
      <c r="AU20085" s="19"/>
    </row>
    <row r="20086" spans="3:47">
      <c r="C20086" s="20"/>
      <c r="Z20086" s="20"/>
      <c r="AG20086" s="20"/>
      <c r="AQ20086" s="19"/>
      <c r="AR20086" s="19"/>
      <c r="AS20086" s="19"/>
      <c r="AT20086" s="19"/>
      <c r="AU20086" s="19"/>
    </row>
    <row r="20087" spans="3:47">
      <c r="C20087" s="20"/>
      <c r="Z20087" s="20"/>
      <c r="AG20087" s="20"/>
      <c r="AQ20087" s="19"/>
      <c r="AR20087" s="19"/>
      <c r="AS20087" s="19"/>
      <c r="AT20087" s="19"/>
      <c r="AU20087" s="19"/>
    </row>
    <row r="20088" spans="3:47">
      <c r="C20088" s="20"/>
      <c r="Z20088" s="20"/>
      <c r="AG20088" s="20"/>
      <c r="AQ20088" s="19"/>
      <c r="AR20088" s="19"/>
      <c r="AS20088" s="19"/>
      <c r="AT20088" s="19"/>
      <c r="AU20088" s="19"/>
    </row>
    <row r="20089" spans="3:47">
      <c r="C20089" s="20"/>
      <c r="Z20089" s="20"/>
      <c r="AG20089" s="20"/>
      <c r="AQ20089" s="19"/>
      <c r="AR20089" s="19"/>
      <c r="AS20089" s="19"/>
      <c r="AT20089" s="19"/>
      <c r="AU20089" s="19"/>
    </row>
    <row r="20090" spans="3:47">
      <c r="C20090" s="20"/>
      <c r="Z20090" s="20"/>
      <c r="AG20090" s="20"/>
      <c r="AQ20090" s="19"/>
      <c r="AR20090" s="19"/>
      <c r="AS20090" s="19"/>
      <c r="AT20090" s="19"/>
      <c r="AU20090" s="19"/>
    </row>
    <row r="20091" spans="3:47">
      <c r="C20091" s="20"/>
      <c r="Z20091" s="20"/>
      <c r="AG20091" s="20"/>
      <c r="AQ20091" s="19"/>
      <c r="AR20091" s="19"/>
      <c r="AS20091" s="19"/>
      <c r="AT20091" s="19"/>
      <c r="AU20091" s="19"/>
    </row>
    <row r="20092" spans="3:47">
      <c r="C20092" s="20"/>
      <c r="Z20092" s="20"/>
      <c r="AG20092" s="20"/>
      <c r="AQ20092" s="19"/>
      <c r="AR20092" s="19"/>
      <c r="AS20092" s="19"/>
      <c r="AT20092" s="19"/>
      <c r="AU20092" s="19"/>
    </row>
    <row r="20093" spans="3:47">
      <c r="C20093" s="20"/>
      <c r="Z20093" s="20"/>
      <c r="AG20093" s="20"/>
      <c r="AQ20093" s="19"/>
      <c r="AR20093" s="19"/>
      <c r="AS20093" s="19"/>
      <c r="AT20093" s="19"/>
      <c r="AU20093" s="19"/>
    </row>
    <row r="20094" spans="3:47">
      <c r="C20094" s="20"/>
      <c r="Z20094" s="20"/>
      <c r="AG20094" s="20"/>
      <c r="AQ20094" s="19"/>
      <c r="AR20094" s="19"/>
      <c r="AS20094" s="19"/>
      <c r="AT20094" s="19"/>
      <c r="AU20094" s="19"/>
    </row>
    <row r="20095" spans="3:47">
      <c r="C20095" s="20"/>
      <c r="Z20095" s="20"/>
      <c r="AG20095" s="20"/>
      <c r="AQ20095" s="19"/>
      <c r="AR20095" s="19"/>
      <c r="AS20095" s="19"/>
      <c r="AT20095" s="19"/>
      <c r="AU20095" s="19"/>
    </row>
    <row r="20096" spans="3:47">
      <c r="C20096" s="20"/>
      <c r="Z20096" s="20"/>
      <c r="AG20096" s="20"/>
      <c r="AQ20096" s="19"/>
      <c r="AR20096" s="19"/>
      <c r="AS20096" s="19"/>
      <c r="AT20096" s="19"/>
      <c r="AU20096" s="19"/>
    </row>
    <row r="20097" spans="3:47">
      <c r="C20097" s="20"/>
      <c r="Z20097" s="20"/>
      <c r="AG20097" s="20"/>
      <c r="AQ20097" s="19"/>
      <c r="AR20097" s="19"/>
      <c r="AS20097" s="19"/>
      <c r="AT20097" s="19"/>
      <c r="AU20097" s="19"/>
    </row>
    <row r="20098" spans="3:47">
      <c r="C20098" s="20"/>
      <c r="Z20098" s="20"/>
      <c r="AG20098" s="20"/>
      <c r="AQ20098" s="19"/>
      <c r="AR20098" s="19"/>
      <c r="AS20098" s="19"/>
      <c r="AT20098" s="19"/>
      <c r="AU20098" s="19"/>
    </row>
    <row r="20099" spans="3:47">
      <c r="C20099" s="20"/>
      <c r="Z20099" s="20"/>
      <c r="AG20099" s="20"/>
      <c r="AQ20099" s="19"/>
      <c r="AR20099" s="19"/>
      <c r="AS20099" s="19"/>
      <c r="AT20099" s="19"/>
      <c r="AU20099" s="19"/>
    </row>
    <row r="20100" spans="3:47">
      <c r="C20100" s="20"/>
      <c r="Z20100" s="20"/>
      <c r="AG20100" s="20"/>
      <c r="AQ20100" s="19"/>
      <c r="AR20100" s="19"/>
      <c r="AS20100" s="19"/>
      <c r="AT20100" s="19"/>
      <c r="AU20100" s="19"/>
    </row>
    <row r="20101" spans="3:47">
      <c r="C20101" s="20"/>
      <c r="Z20101" s="20"/>
      <c r="AG20101" s="20"/>
      <c r="AQ20101" s="19"/>
      <c r="AR20101" s="19"/>
      <c r="AS20101" s="19"/>
      <c r="AT20101" s="19"/>
      <c r="AU20101" s="19"/>
    </row>
    <row r="20102" spans="3:47">
      <c r="C20102" s="20"/>
      <c r="Z20102" s="20"/>
      <c r="AG20102" s="20"/>
      <c r="AQ20102" s="19"/>
      <c r="AR20102" s="19"/>
      <c r="AS20102" s="19"/>
      <c r="AT20102" s="19"/>
      <c r="AU20102" s="19"/>
    </row>
    <row r="20103" spans="3:47">
      <c r="C20103" s="20"/>
      <c r="Z20103" s="20"/>
      <c r="AG20103" s="20"/>
      <c r="AQ20103" s="19"/>
      <c r="AR20103" s="19"/>
      <c r="AS20103" s="19"/>
      <c r="AT20103" s="19"/>
      <c r="AU20103" s="19"/>
    </row>
    <row r="20104" spans="3:47">
      <c r="C20104" s="20"/>
      <c r="Z20104" s="20"/>
      <c r="AG20104" s="20"/>
      <c r="AQ20104" s="19"/>
      <c r="AR20104" s="19"/>
      <c r="AS20104" s="19"/>
      <c r="AT20104" s="19"/>
      <c r="AU20104" s="19"/>
    </row>
    <row r="20105" spans="3:47">
      <c r="C20105" s="20"/>
      <c r="Z20105" s="20"/>
      <c r="AG20105" s="20"/>
      <c r="AQ20105" s="19"/>
      <c r="AR20105" s="19"/>
      <c r="AS20105" s="19"/>
      <c r="AT20105" s="19"/>
      <c r="AU20105" s="19"/>
    </row>
    <row r="20106" spans="3:47">
      <c r="C20106" s="20"/>
      <c r="Z20106" s="20"/>
      <c r="AG20106" s="20"/>
      <c r="AQ20106" s="19"/>
      <c r="AR20106" s="19"/>
      <c r="AS20106" s="19"/>
      <c r="AT20106" s="19"/>
      <c r="AU20106" s="19"/>
    </row>
    <row r="20107" spans="3:47">
      <c r="C20107" s="20"/>
      <c r="Z20107" s="20"/>
      <c r="AG20107" s="20"/>
      <c r="AQ20107" s="19"/>
      <c r="AR20107" s="19"/>
      <c r="AS20107" s="19"/>
      <c r="AT20107" s="19"/>
      <c r="AU20107" s="19"/>
    </row>
    <row r="20108" spans="3:47">
      <c r="C20108" s="20"/>
      <c r="Z20108" s="20"/>
      <c r="AG20108" s="20"/>
      <c r="AQ20108" s="19"/>
      <c r="AR20108" s="19"/>
      <c r="AS20108" s="19"/>
      <c r="AT20108" s="19"/>
      <c r="AU20108" s="19"/>
    </row>
    <row r="20109" spans="3:47">
      <c r="C20109" s="20"/>
      <c r="Z20109" s="20"/>
      <c r="AG20109" s="20"/>
      <c r="AQ20109" s="19"/>
      <c r="AR20109" s="19"/>
      <c r="AS20109" s="19"/>
      <c r="AT20109" s="19"/>
      <c r="AU20109" s="19"/>
    </row>
    <row r="20110" spans="3:47">
      <c r="C20110" s="20"/>
      <c r="Z20110" s="20"/>
      <c r="AG20110" s="20"/>
      <c r="AQ20110" s="19"/>
      <c r="AR20110" s="19"/>
      <c r="AS20110" s="19"/>
      <c r="AT20110" s="19"/>
      <c r="AU20110" s="19"/>
    </row>
    <row r="20111" spans="3:47">
      <c r="C20111" s="20"/>
      <c r="Z20111" s="20"/>
      <c r="AG20111" s="20"/>
      <c r="AQ20111" s="19"/>
      <c r="AR20111" s="19"/>
      <c r="AS20111" s="19"/>
      <c r="AT20111" s="19"/>
      <c r="AU20111" s="19"/>
    </row>
    <row r="20112" spans="3:47">
      <c r="C20112" s="20"/>
      <c r="Z20112" s="20"/>
      <c r="AG20112" s="20"/>
      <c r="AQ20112" s="19"/>
      <c r="AR20112" s="19"/>
      <c r="AS20112" s="19"/>
      <c r="AT20112" s="19"/>
      <c r="AU20112" s="19"/>
    </row>
    <row r="20113" spans="3:47">
      <c r="C20113" s="20"/>
      <c r="Z20113" s="20"/>
      <c r="AG20113" s="20"/>
      <c r="AQ20113" s="19"/>
      <c r="AR20113" s="19"/>
      <c r="AS20113" s="19"/>
      <c r="AT20113" s="19"/>
      <c r="AU20113" s="19"/>
    </row>
    <row r="20114" spans="3:47">
      <c r="C20114" s="20"/>
      <c r="Z20114" s="20"/>
      <c r="AG20114" s="20"/>
      <c r="AQ20114" s="19"/>
      <c r="AR20114" s="19"/>
      <c r="AS20114" s="19"/>
      <c r="AT20114" s="19"/>
      <c r="AU20114" s="19"/>
    </row>
    <row r="20115" spans="3:47">
      <c r="C20115" s="20"/>
      <c r="Z20115" s="20"/>
      <c r="AG20115" s="20"/>
      <c r="AQ20115" s="19"/>
      <c r="AR20115" s="19"/>
      <c r="AS20115" s="19"/>
      <c r="AT20115" s="19"/>
      <c r="AU20115" s="19"/>
    </row>
    <row r="20116" spans="3:47">
      <c r="C20116" s="20"/>
      <c r="Z20116" s="20"/>
      <c r="AG20116" s="20"/>
      <c r="AQ20116" s="19"/>
      <c r="AR20116" s="19"/>
      <c r="AS20116" s="19"/>
      <c r="AT20116" s="19"/>
      <c r="AU20116" s="19"/>
    </row>
    <row r="20117" spans="3:47">
      <c r="C20117" s="20"/>
      <c r="Z20117" s="20"/>
      <c r="AG20117" s="20"/>
      <c r="AQ20117" s="19"/>
      <c r="AR20117" s="19"/>
      <c r="AS20117" s="19"/>
      <c r="AT20117" s="19"/>
      <c r="AU20117" s="19"/>
    </row>
    <row r="20118" spans="3:47">
      <c r="C20118" s="20"/>
      <c r="Z20118" s="20"/>
      <c r="AG20118" s="20"/>
      <c r="AQ20118" s="19"/>
      <c r="AR20118" s="19"/>
      <c r="AS20118" s="19"/>
      <c r="AT20118" s="19"/>
      <c r="AU20118" s="19"/>
    </row>
    <row r="20119" spans="3:47">
      <c r="C20119" s="20"/>
      <c r="Z20119" s="20"/>
      <c r="AG20119" s="20"/>
      <c r="AQ20119" s="19"/>
      <c r="AR20119" s="19"/>
      <c r="AS20119" s="19"/>
      <c r="AT20119" s="19"/>
      <c r="AU20119" s="19"/>
    </row>
    <row r="20120" spans="3:47">
      <c r="C20120" s="20"/>
      <c r="Z20120" s="20"/>
      <c r="AG20120" s="20"/>
      <c r="AQ20120" s="19"/>
      <c r="AR20120" s="19"/>
      <c r="AS20120" s="19"/>
      <c r="AT20120" s="19"/>
      <c r="AU20120" s="19"/>
    </row>
    <row r="20121" spans="3:47">
      <c r="C20121" s="20"/>
      <c r="Z20121" s="20"/>
      <c r="AG20121" s="20"/>
      <c r="AQ20121" s="19"/>
      <c r="AR20121" s="19"/>
      <c r="AS20121" s="19"/>
      <c r="AT20121" s="19"/>
      <c r="AU20121" s="19"/>
    </row>
    <row r="20122" spans="3:47">
      <c r="C20122" s="20"/>
      <c r="Z20122" s="20"/>
      <c r="AG20122" s="20"/>
      <c r="AQ20122" s="19"/>
      <c r="AR20122" s="19"/>
      <c r="AS20122" s="19"/>
      <c r="AT20122" s="19"/>
      <c r="AU20122" s="19"/>
    </row>
    <row r="20123" spans="3:47">
      <c r="C20123" s="20"/>
      <c r="Z20123" s="20"/>
      <c r="AG20123" s="20"/>
      <c r="AQ20123" s="19"/>
      <c r="AR20123" s="19"/>
      <c r="AS20123" s="19"/>
      <c r="AT20123" s="19"/>
      <c r="AU20123" s="19"/>
    </row>
    <row r="20124" spans="3:47">
      <c r="C20124" s="20"/>
      <c r="Z20124" s="20"/>
      <c r="AG20124" s="20"/>
      <c r="AQ20124" s="19"/>
      <c r="AR20124" s="19"/>
      <c r="AS20124" s="19"/>
      <c r="AT20124" s="19"/>
      <c r="AU20124" s="19"/>
    </row>
    <row r="20125" spans="3:47">
      <c r="C20125" s="20"/>
      <c r="Z20125" s="20"/>
      <c r="AG20125" s="20"/>
      <c r="AQ20125" s="19"/>
      <c r="AR20125" s="19"/>
      <c r="AS20125" s="19"/>
      <c r="AT20125" s="19"/>
      <c r="AU20125" s="19"/>
    </row>
    <row r="20126" spans="3:47">
      <c r="C20126" s="20"/>
      <c r="Z20126" s="20"/>
      <c r="AG20126" s="20"/>
      <c r="AQ20126" s="19"/>
      <c r="AR20126" s="19"/>
      <c r="AS20126" s="19"/>
      <c r="AT20126" s="19"/>
      <c r="AU20126" s="19"/>
    </row>
    <row r="20127" spans="3:47">
      <c r="C20127" s="20"/>
      <c r="Z20127" s="20"/>
      <c r="AG20127" s="20"/>
      <c r="AQ20127" s="19"/>
      <c r="AR20127" s="19"/>
      <c r="AS20127" s="19"/>
      <c r="AT20127" s="19"/>
      <c r="AU20127" s="19"/>
    </row>
    <row r="20128" spans="3:47">
      <c r="C20128" s="20"/>
      <c r="Z20128" s="20"/>
      <c r="AG20128" s="20"/>
      <c r="AQ20128" s="19"/>
      <c r="AR20128" s="19"/>
      <c r="AS20128" s="19"/>
      <c r="AT20128" s="19"/>
      <c r="AU20128" s="19"/>
    </row>
    <row r="20129" spans="3:47">
      <c r="C20129" s="20"/>
      <c r="Z20129" s="20"/>
      <c r="AG20129" s="20"/>
      <c r="AQ20129" s="19"/>
      <c r="AR20129" s="19"/>
      <c r="AS20129" s="19"/>
      <c r="AT20129" s="19"/>
      <c r="AU20129" s="19"/>
    </row>
    <row r="20130" spans="3:47">
      <c r="C20130" s="20"/>
      <c r="Z20130" s="20"/>
      <c r="AG20130" s="20"/>
      <c r="AQ20130" s="19"/>
      <c r="AR20130" s="19"/>
      <c r="AS20130" s="19"/>
      <c r="AT20130" s="19"/>
      <c r="AU20130" s="19"/>
    </row>
    <row r="20131" spans="3:47">
      <c r="C20131" s="20"/>
      <c r="Z20131" s="20"/>
      <c r="AG20131" s="20"/>
      <c r="AQ20131" s="19"/>
      <c r="AR20131" s="19"/>
      <c r="AS20131" s="19"/>
      <c r="AT20131" s="19"/>
      <c r="AU20131" s="19"/>
    </row>
    <row r="20132" spans="3:47">
      <c r="C20132" s="20"/>
      <c r="Z20132" s="20"/>
      <c r="AG20132" s="20"/>
      <c r="AQ20132" s="19"/>
      <c r="AR20132" s="19"/>
      <c r="AS20132" s="19"/>
      <c r="AT20132" s="19"/>
      <c r="AU20132" s="19"/>
    </row>
    <row r="20133" spans="3:47">
      <c r="C20133" s="20"/>
      <c r="Z20133" s="20"/>
      <c r="AG20133" s="20"/>
      <c r="AQ20133" s="19"/>
      <c r="AR20133" s="19"/>
      <c r="AS20133" s="19"/>
      <c r="AT20133" s="19"/>
      <c r="AU20133" s="19"/>
    </row>
    <row r="20134" spans="3:47">
      <c r="C20134" s="20"/>
      <c r="Z20134" s="20"/>
      <c r="AG20134" s="20"/>
      <c r="AQ20134" s="19"/>
      <c r="AR20134" s="19"/>
      <c r="AS20134" s="19"/>
      <c r="AT20134" s="19"/>
      <c r="AU20134" s="19"/>
    </row>
    <row r="20135" spans="3:47">
      <c r="C20135" s="20"/>
      <c r="Z20135" s="20"/>
      <c r="AG20135" s="20"/>
      <c r="AQ20135" s="19"/>
      <c r="AR20135" s="19"/>
      <c r="AS20135" s="19"/>
      <c r="AT20135" s="19"/>
      <c r="AU20135" s="19"/>
    </row>
    <row r="20136" spans="3:47">
      <c r="C20136" s="20"/>
      <c r="Z20136" s="20"/>
      <c r="AG20136" s="20"/>
      <c r="AQ20136" s="19"/>
      <c r="AR20136" s="19"/>
      <c r="AS20136" s="19"/>
      <c r="AT20136" s="19"/>
      <c r="AU20136" s="19"/>
    </row>
    <row r="20137" spans="3:47">
      <c r="C20137" s="20"/>
      <c r="Z20137" s="20"/>
      <c r="AG20137" s="20"/>
      <c r="AQ20137" s="19"/>
      <c r="AR20137" s="19"/>
      <c r="AS20137" s="19"/>
      <c r="AT20137" s="19"/>
      <c r="AU20137" s="19"/>
    </row>
    <row r="20138" spans="3:47">
      <c r="C20138" s="20"/>
      <c r="Z20138" s="20"/>
      <c r="AG20138" s="20"/>
      <c r="AQ20138" s="19"/>
      <c r="AR20138" s="19"/>
      <c r="AS20138" s="19"/>
      <c r="AT20138" s="19"/>
      <c r="AU20138" s="19"/>
    </row>
    <row r="20139" spans="3:47">
      <c r="C20139" s="20"/>
      <c r="Z20139" s="20"/>
      <c r="AG20139" s="20"/>
      <c r="AQ20139" s="19"/>
      <c r="AR20139" s="19"/>
      <c r="AS20139" s="19"/>
      <c r="AT20139" s="19"/>
      <c r="AU20139" s="19"/>
    </row>
    <row r="20140" spans="3:47">
      <c r="C20140" s="20"/>
      <c r="Z20140" s="20"/>
      <c r="AG20140" s="20"/>
      <c r="AQ20140" s="19"/>
      <c r="AR20140" s="19"/>
      <c r="AS20140" s="19"/>
      <c r="AT20140" s="19"/>
      <c r="AU20140" s="19"/>
    </row>
    <row r="20141" spans="3:47">
      <c r="C20141" s="20"/>
      <c r="Z20141" s="20"/>
      <c r="AG20141" s="20"/>
      <c r="AQ20141" s="19"/>
      <c r="AR20141" s="19"/>
      <c r="AS20141" s="19"/>
      <c r="AT20141" s="19"/>
      <c r="AU20141" s="19"/>
    </row>
    <row r="20142" spans="3:47">
      <c r="C20142" s="20"/>
      <c r="Z20142" s="20"/>
      <c r="AG20142" s="20"/>
      <c r="AQ20142" s="19"/>
      <c r="AR20142" s="19"/>
      <c r="AS20142" s="19"/>
      <c r="AT20142" s="19"/>
      <c r="AU20142" s="19"/>
    </row>
    <row r="20143" spans="3:47">
      <c r="C20143" s="20"/>
      <c r="Z20143" s="20"/>
      <c r="AG20143" s="20"/>
      <c r="AQ20143" s="19"/>
      <c r="AR20143" s="19"/>
      <c r="AS20143" s="19"/>
      <c r="AT20143" s="19"/>
      <c r="AU20143" s="19"/>
    </row>
    <row r="20144" spans="3:47">
      <c r="C20144" s="20"/>
      <c r="Z20144" s="20"/>
      <c r="AG20144" s="20"/>
      <c r="AQ20144" s="19"/>
      <c r="AR20144" s="19"/>
      <c r="AS20144" s="19"/>
      <c r="AT20144" s="19"/>
      <c r="AU20144" s="19"/>
    </row>
    <row r="20145" spans="3:47">
      <c r="C20145" s="20"/>
      <c r="Z20145" s="20"/>
      <c r="AG20145" s="20"/>
      <c r="AQ20145" s="19"/>
      <c r="AR20145" s="19"/>
      <c r="AS20145" s="19"/>
      <c r="AT20145" s="19"/>
      <c r="AU20145" s="19"/>
    </row>
    <row r="20146" spans="3:47">
      <c r="C20146" s="20"/>
      <c r="Z20146" s="20"/>
      <c r="AG20146" s="20"/>
      <c r="AQ20146" s="19"/>
      <c r="AR20146" s="19"/>
      <c r="AS20146" s="19"/>
      <c r="AT20146" s="19"/>
      <c r="AU20146" s="19"/>
    </row>
    <row r="20147" spans="3:47">
      <c r="C20147" s="20"/>
      <c r="Z20147" s="20"/>
      <c r="AG20147" s="20"/>
      <c r="AQ20147" s="19"/>
      <c r="AR20147" s="19"/>
      <c r="AS20147" s="19"/>
      <c r="AT20147" s="19"/>
      <c r="AU20147" s="19"/>
    </row>
    <row r="20148" spans="3:47">
      <c r="C20148" s="20"/>
      <c r="Z20148" s="20"/>
      <c r="AG20148" s="20"/>
      <c r="AQ20148" s="19"/>
      <c r="AR20148" s="19"/>
      <c r="AS20148" s="19"/>
      <c r="AT20148" s="19"/>
      <c r="AU20148" s="19"/>
    </row>
    <row r="20149" spans="3:47">
      <c r="C20149" s="20"/>
      <c r="Z20149" s="20"/>
      <c r="AG20149" s="20"/>
      <c r="AQ20149" s="19"/>
      <c r="AR20149" s="19"/>
      <c r="AS20149" s="19"/>
      <c r="AT20149" s="19"/>
      <c r="AU20149" s="19"/>
    </row>
    <row r="20150" spans="3:47">
      <c r="C20150" s="20"/>
      <c r="Z20150" s="20"/>
      <c r="AG20150" s="20"/>
      <c r="AQ20150" s="19"/>
      <c r="AR20150" s="19"/>
      <c r="AS20150" s="19"/>
      <c r="AT20150" s="19"/>
      <c r="AU20150" s="19"/>
    </row>
    <row r="20151" spans="3:47">
      <c r="C20151" s="20"/>
      <c r="Z20151" s="20"/>
      <c r="AG20151" s="20"/>
      <c r="AQ20151" s="19"/>
      <c r="AR20151" s="19"/>
      <c r="AS20151" s="19"/>
      <c r="AT20151" s="19"/>
      <c r="AU20151" s="19"/>
    </row>
    <row r="20152" spans="3:47">
      <c r="C20152" s="20"/>
      <c r="Z20152" s="20"/>
      <c r="AG20152" s="20"/>
      <c r="AQ20152" s="19"/>
      <c r="AR20152" s="19"/>
      <c r="AS20152" s="19"/>
      <c r="AT20152" s="19"/>
      <c r="AU20152" s="19"/>
    </row>
    <row r="20153" spans="3:47">
      <c r="C20153" s="20"/>
      <c r="Z20153" s="20"/>
      <c r="AG20153" s="20"/>
      <c r="AQ20153" s="19"/>
      <c r="AR20153" s="19"/>
      <c r="AS20153" s="19"/>
      <c r="AT20153" s="19"/>
      <c r="AU20153" s="19"/>
    </row>
    <row r="20154" spans="3:47">
      <c r="C20154" s="20"/>
      <c r="Z20154" s="20"/>
      <c r="AG20154" s="20"/>
      <c r="AQ20154" s="19"/>
      <c r="AR20154" s="19"/>
      <c r="AS20154" s="19"/>
      <c r="AT20154" s="19"/>
      <c r="AU20154" s="19"/>
    </row>
    <row r="20155" spans="3:47">
      <c r="C20155" s="20"/>
      <c r="Z20155" s="20"/>
      <c r="AG20155" s="20"/>
      <c r="AQ20155" s="19"/>
      <c r="AR20155" s="19"/>
      <c r="AS20155" s="19"/>
      <c r="AT20155" s="19"/>
      <c r="AU20155" s="19"/>
    </row>
    <row r="20156" spans="3:47">
      <c r="C20156" s="20"/>
      <c r="Z20156" s="20"/>
      <c r="AG20156" s="20"/>
      <c r="AQ20156" s="19"/>
      <c r="AR20156" s="19"/>
      <c r="AS20156" s="19"/>
      <c r="AT20156" s="19"/>
      <c r="AU20156" s="19"/>
    </row>
    <row r="20157" spans="3:47">
      <c r="C20157" s="20"/>
      <c r="Z20157" s="20"/>
      <c r="AG20157" s="20"/>
      <c r="AQ20157" s="19"/>
      <c r="AR20157" s="19"/>
      <c r="AS20157" s="19"/>
      <c r="AT20157" s="19"/>
      <c r="AU20157" s="19"/>
    </row>
    <row r="20158" spans="3:47">
      <c r="C20158" s="20"/>
      <c r="Z20158" s="20"/>
      <c r="AG20158" s="20"/>
      <c r="AQ20158" s="19"/>
      <c r="AR20158" s="19"/>
      <c r="AS20158" s="19"/>
      <c r="AT20158" s="19"/>
      <c r="AU20158" s="19"/>
    </row>
    <row r="20159" spans="3:47">
      <c r="C20159" s="20"/>
      <c r="Z20159" s="20"/>
      <c r="AG20159" s="20"/>
      <c r="AQ20159" s="19"/>
      <c r="AR20159" s="19"/>
      <c r="AS20159" s="19"/>
      <c r="AT20159" s="19"/>
      <c r="AU20159" s="19"/>
    </row>
    <row r="20160" spans="3:47">
      <c r="C20160" s="20"/>
      <c r="Z20160" s="20"/>
      <c r="AG20160" s="20"/>
      <c r="AQ20160" s="19"/>
      <c r="AR20160" s="19"/>
      <c r="AS20160" s="19"/>
      <c r="AT20160" s="19"/>
      <c r="AU20160" s="19"/>
    </row>
    <row r="20161" spans="3:47">
      <c r="C20161" s="20"/>
      <c r="Z20161" s="20"/>
      <c r="AG20161" s="20"/>
      <c r="AQ20161" s="19"/>
      <c r="AR20161" s="19"/>
      <c r="AS20161" s="19"/>
      <c r="AT20161" s="19"/>
      <c r="AU20161" s="19"/>
    </row>
    <row r="20162" spans="3:47">
      <c r="C20162" s="20"/>
      <c r="Z20162" s="20"/>
      <c r="AG20162" s="20"/>
      <c r="AQ20162" s="19"/>
      <c r="AR20162" s="19"/>
      <c r="AS20162" s="19"/>
      <c r="AT20162" s="19"/>
      <c r="AU20162" s="19"/>
    </row>
    <row r="20163" spans="3:47">
      <c r="C20163" s="20"/>
      <c r="Z20163" s="20"/>
      <c r="AG20163" s="20"/>
      <c r="AQ20163" s="19"/>
      <c r="AR20163" s="19"/>
      <c r="AS20163" s="19"/>
      <c r="AT20163" s="19"/>
      <c r="AU20163" s="19"/>
    </row>
    <row r="20164" spans="3:47">
      <c r="C20164" s="20"/>
      <c r="Z20164" s="20"/>
      <c r="AG20164" s="20"/>
      <c r="AQ20164" s="19"/>
      <c r="AR20164" s="19"/>
      <c r="AS20164" s="19"/>
      <c r="AT20164" s="19"/>
      <c r="AU20164" s="19"/>
    </row>
    <row r="20165" spans="3:47">
      <c r="C20165" s="20"/>
      <c r="Z20165" s="20"/>
      <c r="AG20165" s="20"/>
      <c r="AQ20165" s="19"/>
      <c r="AR20165" s="19"/>
      <c r="AS20165" s="19"/>
      <c r="AT20165" s="19"/>
      <c r="AU20165" s="19"/>
    </row>
    <row r="20166" spans="3:47">
      <c r="C20166" s="20"/>
      <c r="Z20166" s="20"/>
      <c r="AG20166" s="20"/>
      <c r="AQ20166" s="19"/>
      <c r="AR20166" s="19"/>
      <c r="AS20166" s="19"/>
      <c r="AT20166" s="19"/>
      <c r="AU20166" s="19"/>
    </row>
    <row r="20167" spans="3:47">
      <c r="C20167" s="20"/>
      <c r="Z20167" s="20"/>
      <c r="AG20167" s="20"/>
      <c r="AQ20167" s="19"/>
      <c r="AR20167" s="19"/>
      <c r="AS20167" s="19"/>
      <c r="AT20167" s="19"/>
      <c r="AU20167" s="19"/>
    </row>
    <row r="20168" spans="3:47">
      <c r="C20168" s="20"/>
      <c r="Z20168" s="20"/>
      <c r="AG20168" s="20"/>
      <c r="AQ20168" s="19"/>
      <c r="AR20168" s="19"/>
      <c r="AS20168" s="19"/>
      <c r="AT20168" s="19"/>
      <c r="AU20168" s="19"/>
    </row>
    <row r="20169" spans="3:47">
      <c r="C20169" s="20"/>
      <c r="Z20169" s="20"/>
      <c r="AG20169" s="20"/>
      <c r="AQ20169" s="19"/>
      <c r="AR20169" s="19"/>
      <c r="AS20169" s="19"/>
      <c r="AT20169" s="19"/>
      <c r="AU20169" s="19"/>
    </row>
    <row r="20170" spans="3:47">
      <c r="C20170" s="20"/>
      <c r="Z20170" s="20"/>
      <c r="AG20170" s="20"/>
      <c r="AQ20170" s="19"/>
      <c r="AR20170" s="19"/>
      <c r="AS20170" s="19"/>
      <c r="AT20170" s="19"/>
      <c r="AU20170" s="19"/>
    </row>
    <row r="20171" spans="3:47">
      <c r="C20171" s="20"/>
      <c r="Z20171" s="20"/>
      <c r="AG20171" s="20"/>
      <c r="AQ20171" s="19"/>
      <c r="AR20171" s="19"/>
      <c r="AS20171" s="19"/>
      <c r="AT20171" s="19"/>
      <c r="AU20171" s="19"/>
    </row>
    <row r="20172" spans="3:47">
      <c r="C20172" s="20"/>
      <c r="Z20172" s="20"/>
      <c r="AG20172" s="20"/>
      <c r="AQ20172" s="19"/>
      <c r="AR20172" s="19"/>
      <c r="AS20172" s="19"/>
      <c r="AT20172" s="19"/>
      <c r="AU20172" s="19"/>
    </row>
    <row r="20173" spans="3:47">
      <c r="C20173" s="20"/>
      <c r="Z20173" s="20"/>
      <c r="AG20173" s="20"/>
      <c r="AQ20173" s="19"/>
      <c r="AR20173" s="19"/>
      <c r="AS20173" s="19"/>
      <c r="AT20173" s="19"/>
      <c r="AU20173" s="19"/>
    </row>
    <row r="20174" spans="3:47">
      <c r="C20174" s="20"/>
      <c r="Z20174" s="20"/>
      <c r="AG20174" s="20"/>
      <c r="AQ20174" s="19"/>
      <c r="AR20174" s="19"/>
      <c r="AS20174" s="19"/>
      <c r="AT20174" s="19"/>
      <c r="AU20174" s="19"/>
    </row>
    <row r="20175" spans="3:47">
      <c r="C20175" s="20"/>
      <c r="Z20175" s="20"/>
      <c r="AG20175" s="20"/>
      <c r="AQ20175" s="19"/>
      <c r="AR20175" s="19"/>
      <c r="AS20175" s="19"/>
      <c r="AT20175" s="19"/>
      <c r="AU20175" s="19"/>
    </row>
    <row r="20176" spans="3:47">
      <c r="C20176" s="20"/>
      <c r="Z20176" s="20"/>
      <c r="AG20176" s="20"/>
      <c r="AQ20176" s="19"/>
      <c r="AR20176" s="19"/>
      <c r="AS20176" s="19"/>
      <c r="AT20176" s="19"/>
      <c r="AU20176" s="19"/>
    </row>
    <row r="20177" spans="3:47">
      <c r="C20177" s="20"/>
      <c r="Z20177" s="20"/>
      <c r="AG20177" s="20"/>
      <c r="AQ20177" s="19"/>
      <c r="AR20177" s="19"/>
      <c r="AS20177" s="19"/>
      <c r="AT20177" s="19"/>
      <c r="AU20177" s="19"/>
    </row>
    <row r="20178" spans="3:47">
      <c r="C20178" s="20"/>
      <c r="Z20178" s="20"/>
      <c r="AG20178" s="20"/>
      <c r="AQ20178" s="19"/>
      <c r="AR20178" s="19"/>
      <c r="AS20178" s="19"/>
      <c r="AT20178" s="19"/>
      <c r="AU20178" s="19"/>
    </row>
    <row r="20179" spans="3:47">
      <c r="C20179" s="20"/>
      <c r="Z20179" s="20"/>
      <c r="AG20179" s="20"/>
      <c r="AQ20179" s="19"/>
      <c r="AR20179" s="19"/>
      <c r="AS20179" s="19"/>
      <c r="AT20179" s="19"/>
      <c r="AU20179" s="19"/>
    </row>
    <row r="20180" spans="3:47">
      <c r="C20180" s="20"/>
      <c r="Z20180" s="20"/>
      <c r="AG20180" s="20"/>
      <c r="AQ20180" s="19"/>
      <c r="AR20180" s="19"/>
      <c r="AS20180" s="19"/>
      <c r="AT20180" s="19"/>
      <c r="AU20180" s="19"/>
    </row>
    <row r="20181" spans="3:47">
      <c r="C20181" s="20"/>
      <c r="Z20181" s="20"/>
      <c r="AG20181" s="20"/>
      <c r="AQ20181" s="19"/>
      <c r="AR20181" s="19"/>
      <c r="AS20181" s="19"/>
      <c r="AT20181" s="19"/>
      <c r="AU20181" s="19"/>
    </row>
    <row r="20182" spans="3:47">
      <c r="C20182" s="20"/>
      <c r="Z20182" s="20"/>
      <c r="AG20182" s="20"/>
      <c r="AQ20182" s="19"/>
      <c r="AR20182" s="19"/>
      <c r="AS20182" s="19"/>
      <c r="AT20182" s="19"/>
      <c r="AU20182" s="19"/>
    </row>
    <row r="20183" spans="3:47">
      <c r="C20183" s="20"/>
      <c r="Z20183" s="20"/>
      <c r="AG20183" s="20"/>
      <c r="AQ20183" s="19"/>
      <c r="AR20183" s="19"/>
      <c r="AS20183" s="19"/>
      <c r="AT20183" s="19"/>
      <c r="AU20183" s="19"/>
    </row>
    <row r="20184" spans="3:47">
      <c r="C20184" s="20"/>
      <c r="Z20184" s="20"/>
      <c r="AG20184" s="20"/>
      <c r="AQ20184" s="19"/>
      <c r="AR20184" s="19"/>
      <c r="AS20184" s="19"/>
      <c r="AT20184" s="19"/>
      <c r="AU20184" s="19"/>
    </row>
    <row r="20185" spans="3:47">
      <c r="C20185" s="20"/>
      <c r="Z20185" s="20"/>
      <c r="AG20185" s="20"/>
      <c r="AQ20185" s="19"/>
      <c r="AR20185" s="19"/>
      <c r="AS20185" s="19"/>
      <c r="AT20185" s="19"/>
      <c r="AU20185" s="19"/>
    </row>
    <row r="20186" spans="3:47">
      <c r="C20186" s="20"/>
      <c r="Z20186" s="20"/>
      <c r="AG20186" s="20"/>
      <c r="AQ20186" s="19"/>
      <c r="AR20186" s="19"/>
      <c r="AS20186" s="19"/>
      <c r="AT20186" s="19"/>
      <c r="AU20186" s="19"/>
    </row>
    <row r="20187" spans="3:47">
      <c r="C20187" s="20"/>
      <c r="Z20187" s="20"/>
      <c r="AG20187" s="20"/>
      <c r="AQ20187" s="19"/>
      <c r="AR20187" s="19"/>
      <c r="AS20187" s="19"/>
      <c r="AT20187" s="19"/>
      <c r="AU20187" s="19"/>
    </row>
    <row r="20188" spans="3:47">
      <c r="C20188" s="20"/>
      <c r="Z20188" s="20"/>
      <c r="AG20188" s="20"/>
      <c r="AQ20188" s="19"/>
      <c r="AR20188" s="19"/>
      <c r="AS20188" s="19"/>
      <c r="AT20188" s="19"/>
      <c r="AU20188" s="19"/>
    </row>
    <row r="20189" spans="3:47">
      <c r="C20189" s="20"/>
      <c r="Z20189" s="20"/>
      <c r="AG20189" s="20"/>
      <c r="AQ20189" s="19"/>
      <c r="AR20189" s="19"/>
      <c r="AS20189" s="19"/>
      <c r="AT20189" s="19"/>
      <c r="AU20189" s="19"/>
    </row>
    <row r="20190" spans="3:47">
      <c r="C20190" s="20"/>
      <c r="Z20190" s="20"/>
      <c r="AG20190" s="20"/>
      <c r="AQ20190" s="19"/>
      <c r="AR20190" s="19"/>
      <c r="AS20190" s="19"/>
      <c r="AT20190" s="19"/>
      <c r="AU20190" s="19"/>
    </row>
    <row r="20191" spans="3:47">
      <c r="C20191" s="20"/>
      <c r="Z20191" s="20"/>
      <c r="AG20191" s="20"/>
      <c r="AQ20191" s="19"/>
      <c r="AR20191" s="19"/>
      <c r="AS20191" s="19"/>
      <c r="AT20191" s="19"/>
      <c r="AU20191" s="19"/>
    </row>
    <row r="20192" spans="3:47">
      <c r="C20192" s="20"/>
      <c r="Z20192" s="20"/>
      <c r="AG20192" s="20"/>
      <c r="AQ20192" s="19"/>
      <c r="AR20192" s="19"/>
      <c r="AS20192" s="19"/>
      <c r="AT20192" s="19"/>
      <c r="AU20192" s="19"/>
    </row>
    <row r="20193" spans="3:47">
      <c r="C20193" s="20"/>
      <c r="Z20193" s="20"/>
      <c r="AG20193" s="20"/>
      <c r="AQ20193" s="19"/>
      <c r="AR20193" s="19"/>
      <c r="AS20193" s="19"/>
      <c r="AT20193" s="19"/>
      <c r="AU20193" s="19"/>
    </row>
    <row r="20194" spans="3:47">
      <c r="C20194" s="20"/>
      <c r="Z20194" s="20"/>
      <c r="AG20194" s="20"/>
      <c r="AQ20194" s="19"/>
      <c r="AR20194" s="19"/>
      <c r="AS20194" s="19"/>
      <c r="AT20194" s="19"/>
      <c r="AU20194" s="19"/>
    </row>
    <row r="20195" spans="3:47">
      <c r="C20195" s="20"/>
      <c r="Z20195" s="20"/>
      <c r="AG20195" s="20"/>
      <c r="AQ20195" s="19"/>
      <c r="AR20195" s="19"/>
      <c r="AS20195" s="19"/>
      <c r="AT20195" s="19"/>
      <c r="AU20195" s="19"/>
    </row>
    <row r="20196" spans="3:47">
      <c r="C20196" s="20"/>
      <c r="Z20196" s="20"/>
      <c r="AG20196" s="20"/>
      <c r="AQ20196" s="19"/>
      <c r="AR20196" s="19"/>
      <c r="AS20196" s="19"/>
      <c r="AT20196" s="19"/>
      <c r="AU20196" s="19"/>
    </row>
    <row r="20197" spans="3:47">
      <c r="C20197" s="20"/>
      <c r="Z20197" s="20"/>
      <c r="AG20197" s="20"/>
      <c r="AQ20197" s="19"/>
      <c r="AR20197" s="19"/>
      <c r="AS20197" s="19"/>
      <c r="AT20197" s="19"/>
      <c r="AU20197" s="19"/>
    </row>
    <row r="20198" spans="3:47">
      <c r="C20198" s="20"/>
      <c r="Z20198" s="20"/>
      <c r="AG20198" s="20"/>
      <c r="AQ20198" s="19"/>
      <c r="AR20198" s="19"/>
      <c r="AS20198" s="19"/>
      <c r="AT20198" s="19"/>
      <c r="AU20198" s="19"/>
    </row>
    <row r="20199" spans="3:47">
      <c r="C20199" s="20"/>
      <c r="Z20199" s="20"/>
      <c r="AG20199" s="20"/>
      <c r="AQ20199" s="19"/>
      <c r="AR20199" s="19"/>
      <c r="AS20199" s="19"/>
      <c r="AT20199" s="19"/>
      <c r="AU20199" s="19"/>
    </row>
    <row r="20200" spans="3:47">
      <c r="C20200" s="20"/>
      <c r="Z20200" s="20"/>
      <c r="AG20200" s="20"/>
      <c r="AQ20200" s="19"/>
      <c r="AR20200" s="19"/>
      <c r="AS20200" s="19"/>
      <c r="AT20200" s="19"/>
      <c r="AU20200" s="19"/>
    </row>
    <row r="20201" spans="3:47">
      <c r="C20201" s="20"/>
      <c r="Z20201" s="20"/>
      <c r="AG20201" s="20"/>
      <c r="AQ20201" s="19"/>
      <c r="AR20201" s="19"/>
      <c r="AS20201" s="19"/>
      <c r="AT20201" s="19"/>
      <c r="AU20201" s="19"/>
    </row>
    <row r="20202" spans="3:47">
      <c r="C20202" s="20"/>
      <c r="Z20202" s="20"/>
      <c r="AG20202" s="20"/>
      <c r="AQ20202" s="19"/>
      <c r="AR20202" s="19"/>
      <c r="AS20202" s="19"/>
      <c r="AT20202" s="19"/>
      <c r="AU20202" s="19"/>
    </row>
    <row r="20203" spans="3:47">
      <c r="C20203" s="20"/>
      <c r="Z20203" s="20"/>
      <c r="AG20203" s="20"/>
      <c r="AQ20203" s="19"/>
      <c r="AR20203" s="19"/>
      <c r="AS20203" s="19"/>
      <c r="AT20203" s="19"/>
      <c r="AU20203" s="19"/>
    </row>
    <row r="20204" spans="3:47">
      <c r="C20204" s="20"/>
      <c r="Z20204" s="20"/>
      <c r="AG20204" s="20"/>
      <c r="AQ20204" s="19"/>
      <c r="AR20204" s="19"/>
      <c r="AS20204" s="19"/>
      <c r="AT20204" s="19"/>
      <c r="AU20204" s="19"/>
    </row>
    <row r="20205" spans="3:47">
      <c r="C20205" s="20"/>
      <c r="Z20205" s="20"/>
      <c r="AG20205" s="20"/>
      <c r="AQ20205" s="19"/>
      <c r="AR20205" s="19"/>
      <c r="AS20205" s="19"/>
      <c r="AT20205" s="19"/>
      <c r="AU20205" s="19"/>
    </row>
    <row r="20206" spans="3:47">
      <c r="C20206" s="20"/>
      <c r="Z20206" s="20"/>
      <c r="AG20206" s="20"/>
      <c r="AQ20206" s="19"/>
      <c r="AR20206" s="19"/>
      <c r="AS20206" s="19"/>
      <c r="AT20206" s="19"/>
      <c r="AU20206" s="19"/>
    </row>
    <row r="20207" spans="3:47">
      <c r="C20207" s="20"/>
      <c r="Z20207" s="20"/>
      <c r="AG20207" s="20"/>
      <c r="AQ20207" s="19"/>
      <c r="AR20207" s="19"/>
      <c r="AS20207" s="19"/>
      <c r="AT20207" s="19"/>
      <c r="AU20207" s="19"/>
    </row>
    <row r="20208" spans="3:47">
      <c r="C20208" s="20"/>
      <c r="Z20208" s="20"/>
      <c r="AG20208" s="20"/>
      <c r="AQ20208" s="19"/>
      <c r="AR20208" s="19"/>
      <c r="AS20208" s="19"/>
      <c r="AT20208" s="19"/>
      <c r="AU20208" s="19"/>
    </row>
    <row r="20209" spans="3:47">
      <c r="C20209" s="20"/>
      <c r="Z20209" s="20"/>
      <c r="AG20209" s="20"/>
      <c r="AQ20209" s="19"/>
      <c r="AR20209" s="19"/>
      <c r="AS20209" s="19"/>
      <c r="AT20209" s="19"/>
      <c r="AU20209" s="19"/>
    </row>
    <row r="20210" spans="3:47">
      <c r="C20210" s="20"/>
      <c r="Z20210" s="20"/>
      <c r="AG20210" s="20"/>
      <c r="AQ20210" s="19"/>
      <c r="AR20210" s="19"/>
      <c r="AS20210" s="19"/>
      <c r="AT20210" s="19"/>
      <c r="AU20210" s="19"/>
    </row>
    <row r="20211" spans="3:47">
      <c r="C20211" s="20"/>
      <c r="Z20211" s="20"/>
      <c r="AG20211" s="20"/>
      <c r="AQ20211" s="19"/>
      <c r="AR20211" s="19"/>
      <c r="AS20211" s="19"/>
      <c r="AT20211" s="19"/>
      <c r="AU20211" s="19"/>
    </row>
    <row r="20212" spans="3:47">
      <c r="C20212" s="20"/>
      <c r="Z20212" s="20"/>
      <c r="AG20212" s="20"/>
      <c r="AQ20212" s="19"/>
      <c r="AR20212" s="19"/>
      <c r="AS20212" s="19"/>
      <c r="AT20212" s="19"/>
      <c r="AU20212" s="19"/>
    </row>
    <row r="20213" spans="3:47">
      <c r="C20213" s="20"/>
      <c r="Z20213" s="20"/>
      <c r="AG20213" s="20"/>
      <c r="AQ20213" s="19"/>
      <c r="AR20213" s="19"/>
      <c r="AS20213" s="19"/>
      <c r="AT20213" s="19"/>
      <c r="AU20213" s="19"/>
    </row>
    <row r="20214" spans="3:47">
      <c r="C20214" s="20"/>
      <c r="Z20214" s="20"/>
      <c r="AG20214" s="20"/>
      <c r="AQ20214" s="19"/>
      <c r="AR20214" s="19"/>
      <c r="AS20214" s="19"/>
      <c r="AT20214" s="19"/>
      <c r="AU20214" s="19"/>
    </row>
    <row r="20215" spans="3:47">
      <c r="C20215" s="20"/>
      <c r="Z20215" s="20"/>
      <c r="AG20215" s="20"/>
      <c r="AQ20215" s="19"/>
      <c r="AR20215" s="19"/>
      <c r="AS20215" s="19"/>
      <c r="AT20215" s="19"/>
      <c r="AU20215" s="19"/>
    </row>
    <row r="20216" spans="3:47">
      <c r="C20216" s="20"/>
      <c r="Z20216" s="20"/>
      <c r="AG20216" s="20"/>
      <c r="AQ20216" s="19"/>
      <c r="AR20216" s="19"/>
      <c r="AS20216" s="19"/>
      <c r="AT20216" s="19"/>
      <c r="AU20216" s="19"/>
    </row>
    <row r="20217" spans="3:47">
      <c r="C20217" s="20"/>
      <c r="Z20217" s="20"/>
      <c r="AG20217" s="20"/>
      <c r="AQ20217" s="19"/>
      <c r="AR20217" s="19"/>
      <c r="AS20217" s="19"/>
      <c r="AT20217" s="19"/>
      <c r="AU20217" s="19"/>
    </row>
    <row r="20218" spans="3:47">
      <c r="C20218" s="20"/>
      <c r="Z20218" s="20"/>
      <c r="AG20218" s="20"/>
      <c r="AQ20218" s="19"/>
      <c r="AR20218" s="19"/>
      <c r="AS20218" s="19"/>
      <c r="AT20218" s="19"/>
      <c r="AU20218" s="19"/>
    </row>
    <row r="20219" spans="3:47">
      <c r="C20219" s="20"/>
      <c r="Z20219" s="20"/>
      <c r="AG20219" s="20"/>
      <c r="AQ20219" s="19"/>
      <c r="AR20219" s="19"/>
      <c r="AS20219" s="19"/>
      <c r="AT20219" s="19"/>
      <c r="AU20219" s="19"/>
    </row>
    <row r="20220" spans="3:47">
      <c r="C20220" s="20"/>
      <c r="Z20220" s="20"/>
      <c r="AG20220" s="20"/>
      <c r="AQ20220" s="19"/>
      <c r="AR20220" s="19"/>
      <c r="AS20220" s="19"/>
      <c r="AT20220" s="19"/>
      <c r="AU20220" s="19"/>
    </row>
    <row r="20221" spans="3:47">
      <c r="C20221" s="20"/>
      <c r="Z20221" s="20"/>
      <c r="AG20221" s="20"/>
      <c r="AQ20221" s="19"/>
      <c r="AR20221" s="19"/>
      <c r="AS20221" s="19"/>
      <c r="AT20221" s="19"/>
      <c r="AU20221" s="19"/>
    </row>
    <row r="20222" spans="3:47">
      <c r="C20222" s="20"/>
      <c r="Z20222" s="20"/>
      <c r="AG20222" s="20"/>
      <c r="AQ20222" s="19"/>
      <c r="AR20222" s="19"/>
      <c r="AS20222" s="19"/>
      <c r="AT20222" s="19"/>
      <c r="AU20222" s="19"/>
    </row>
    <row r="20223" spans="3:47">
      <c r="C20223" s="20"/>
      <c r="Z20223" s="20"/>
      <c r="AG20223" s="20"/>
      <c r="AQ20223" s="19"/>
      <c r="AR20223" s="19"/>
      <c r="AS20223" s="19"/>
      <c r="AT20223" s="19"/>
      <c r="AU20223" s="19"/>
    </row>
    <row r="20224" spans="3:47">
      <c r="C20224" s="20"/>
      <c r="Z20224" s="20"/>
      <c r="AG20224" s="20"/>
      <c r="AQ20224" s="19"/>
      <c r="AR20224" s="19"/>
      <c r="AS20224" s="19"/>
      <c r="AT20224" s="19"/>
      <c r="AU20224" s="19"/>
    </row>
    <row r="20225" spans="3:47">
      <c r="C20225" s="20"/>
      <c r="Z20225" s="20"/>
      <c r="AG20225" s="20"/>
      <c r="AQ20225" s="19"/>
      <c r="AR20225" s="19"/>
      <c r="AS20225" s="19"/>
      <c r="AT20225" s="19"/>
      <c r="AU20225" s="19"/>
    </row>
    <row r="20226" spans="3:47">
      <c r="C20226" s="20"/>
      <c r="Z20226" s="20"/>
      <c r="AG20226" s="20"/>
      <c r="AQ20226" s="19"/>
      <c r="AR20226" s="19"/>
      <c r="AS20226" s="19"/>
      <c r="AT20226" s="19"/>
      <c r="AU20226" s="19"/>
    </row>
    <row r="20227" spans="3:47">
      <c r="C20227" s="20"/>
      <c r="Z20227" s="20"/>
      <c r="AG20227" s="20"/>
      <c r="AQ20227" s="19"/>
      <c r="AR20227" s="19"/>
      <c r="AS20227" s="19"/>
      <c r="AT20227" s="19"/>
      <c r="AU20227" s="19"/>
    </row>
    <row r="20228" spans="3:47">
      <c r="C20228" s="20"/>
      <c r="Z20228" s="20"/>
      <c r="AG20228" s="20"/>
      <c r="AQ20228" s="19"/>
      <c r="AR20228" s="19"/>
      <c r="AS20228" s="19"/>
      <c r="AT20228" s="19"/>
      <c r="AU20228" s="19"/>
    </row>
    <row r="20229" spans="3:47">
      <c r="C20229" s="20"/>
      <c r="Z20229" s="20"/>
      <c r="AG20229" s="20"/>
      <c r="AQ20229" s="19"/>
      <c r="AR20229" s="19"/>
      <c r="AS20229" s="19"/>
      <c r="AT20229" s="19"/>
      <c r="AU20229" s="19"/>
    </row>
    <row r="20230" spans="3:47">
      <c r="C20230" s="20"/>
      <c r="Z20230" s="20"/>
      <c r="AG20230" s="20"/>
      <c r="AQ20230" s="19"/>
      <c r="AR20230" s="19"/>
      <c r="AS20230" s="19"/>
      <c r="AT20230" s="19"/>
      <c r="AU20230" s="19"/>
    </row>
    <row r="20231" spans="3:47">
      <c r="C20231" s="20"/>
      <c r="Z20231" s="20"/>
      <c r="AG20231" s="20"/>
      <c r="AQ20231" s="19"/>
      <c r="AR20231" s="19"/>
      <c r="AS20231" s="19"/>
      <c r="AT20231" s="19"/>
      <c r="AU20231" s="19"/>
    </row>
    <row r="20232" spans="3:47">
      <c r="C20232" s="20"/>
      <c r="Z20232" s="20"/>
      <c r="AG20232" s="20"/>
      <c r="AQ20232" s="19"/>
      <c r="AR20232" s="19"/>
      <c r="AS20232" s="19"/>
      <c r="AT20232" s="19"/>
      <c r="AU20232" s="19"/>
    </row>
    <row r="20233" spans="3:47">
      <c r="C20233" s="20"/>
      <c r="Z20233" s="20"/>
      <c r="AG20233" s="20"/>
      <c r="AQ20233" s="19"/>
      <c r="AR20233" s="19"/>
      <c r="AS20233" s="19"/>
      <c r="AT20233" s="19"/>
      <c r="AU20233" s="19"/>
    </row>
    <row r="20234" spans="3:47">
      <c r="C20234" s="20"/>
      <c r="Z20234" s="20"/>
      <c r="AG20234" s="20"/>
      <c r="AQ20234" s="19"/>
      <c r="AR20234" s="19"/>
      <c r="AS20234" s="19"/>
      <c r="AT20234" s="19"/>
      <c r="AU20234" s="19"/>
    </row>
    <row r="20235" spans="3:47">
      <c r="C20235" s="20"/>
      <c r="Z20235" s="20"/>
      <c r="AG20235" s="20"/>
      <c r="AQ20235" s="19"/>
      <c r="AR20235" s="19"/>
      <c r="AS20235" s="19"/>
      <c r="AT20235" s="19"/>
      <c r="AU20235" s="19"/>
    </row>
    <row r="20236" spans="3:47">
      <c r="C20236" s="20"/>
      <c r="Z20236" s="20"/>
      <c r="AG20236" s="20"/>
      <c r="AQ20236" s="19"/>
      <c r="AR20236" s="19"/>
      <c r="AS20236" s="19"/>
      <c r="AT20236" s="19"/>
      <c r="AU20236" s="19"/>
    </row>
    <row r="20237" spans="3:47">
      <c r="C20237" s="20"/>
      <c r="Z20237" s="20"/>
      <c r="AG20237" s="20"/>
      <c r="AQ20237" s="19"/>
      <c r="AR20237" s="19"/>
      <c r="AS20237" s="19"/>
      <c r="AT20237" s="19"/>
      <c r="AU20237" s="19"/>
    </row>
    <row r="20238" spans="3:47">
      <c r="C20238" s="20"/>
      <c r="Z20238" s="20"/>
      <c r="AG20238" s="20"/>
      <c r="AQ20238" s="19"/>
      <c r="AR20238" s="19"/>
      <c r="AS20238" s="19"/>
      <c r="AT20238" s="19"/>
      <c r="AU20238" s="19"/>
    </row>
    <row r="20239" spans="3:47">
      <c r="C20239" s="20"/>
      <c r="Z20239" s="20"/>
      <c r="AG20239" s="20"/>
      <c r="AQ20239" s="19"/>
      <c r="AR20239" s="19"/>
      <c r="AS20239" s="19"/>
      <c r="AT20239" s="19"/>
      <c r="AU20239" s="19"/>
    </row>
    <row r="20240" spans="3:47">
      <c r="C20240" s="20"/>
      <c r="Z20240" s="20"/>
      <c r="AG20240" s="20"/>
      <c r="AQ20240" s="19"/>
      <c r="AR20240" s="19"/>
      <c r="AS20240" s="19"/>
      <c r="AT20240" s="19"/>
      <c r="AU20240" s="19"/>
    </row>
    <row r="20241" spans="3:47">
      <c r="C20241" s="20"/>
      <c r="Z20241" s="20"/>
      <c r="AG20241" s="20"/>
      <c r="AQ20241" s="19"/>
      <c r="AR20241" s="19"/>
      <c r="AS20241" s="19"/>
      <c r="AT20241" s="19"/>
      <c r="AU20241" s="19"/>
    </row>
    <row r="20242" spans="3:47">
      <c r="C20242" s="20"/>
      <c r="Z20242" s="20"/>
      <c r="AG20242" s="20"/>
      <c r="AQ20242" s="19"/>
      <c r="AR20242" s="19"/>
      <c r="AS20242" s="19"/>
      <c r="AT20242" s="19"/>
      <c r="AU20242" s="19"/>
    </row>
    <row r="20243" spans="3:47">
      <c r="C20243" s="20"/>
      <c r="Z20243" s="20"/>
      <c r="AG20243" s="20"/>
      <c r="AQ20243" s="19"/>
      <c r="AR20243" s="19"/>
      <c r="AS20243" s="19"/>
      <c r="AT20243" s="19"/>
      <c r="AU20243" s="19"/>
    </row>
    <row r="20244" spans="3:47">
      <c r="C20244" s="20"/>
      <c r="Z20244" s="20"/>
      <c r="AG20244" s="20"/>
      <c r="AQ20244" s="19"/>
      <c r="AR20244" s="19"/>
      <c r="AS20244" s="19"/>
      <c r="AT20244" s="19"/>
      <c r="AU20244" s="19"/>
    </row>
    <row r="20245" spans="3:47">
      <c r="C20245" s="20"/>
      <c r="Z20245" s="20"/>
      <c r="AG20245" s="20"/>
      <c r="AQ20245" s="19"/>
      <c r="AR20245" s="19"/>
      <c r="AS20245" s="19"/>
      <c r="AT20245" s="19"/>
      <c r="AU20245" s="19"/>
    </row>
    <row r="20246" spans="3:47">
      <c r="C20246" s="20"/>
      <c r="Z20246" s="20"/>
      <c r="AG20246" s="20"/>
      <c r="AQ20246" s="19"/>
      <c r="AR20246" s="19"/>
      <c r="AS20246" s="19"/>
      <c r="AT20246" s="19"/>
      <c r="AU20246" s="19"/>
    </row>
    <row r="20247" spans="3:47">
      <c r="C20247" s="20"/>
      <c r="Z20247" s="20"/>
      <c r="AG20247" s="20"/>
      <c r="AQ20247" s="19"/>
      <c r="AR20247" s="19"/>
      <c r="AS20247" s="19"/>
      <c r="AT20247" s="19"/>
      <c r="AU20247" s="19"/>
    </row>
    <row r="20248" spans="3:47">
      <c r="C20248" s="20"/>
      <c r="Z20248" s="20"/>
      <c r="AG20248" s="20"/>
      <c r="AQ20248" s="19"/>
      <c r="AR20248" s="19"/>
      <c r="AS20248" s="19"/>
      <c r="AT20248" s="19"/>
      <c r="AU20248" s="19"/>
    </row>
    <row r="20249" spans="3:47">
      <c r="C20249" s="20"/>
      <c r="Z20249" s="20"/>
      <c r="AG20249" s="20"/>
      <c r="AQ20249" s="19"/>
      <c r="AR20249" s="19"/>
      <c r="AS20249" s="19"/>
      <c r="AT20249" s="19"/>
      <c r="AU20249" s="19"/>
    </row>
    <row r="20250" spans="3:47">
      <c r="C20250" s="20"/>
      <c r="Z20250" s="20"/>
      <c r="AG20250" s="20"/>
      <c r="AQ20250" s="19"/>
      <c r="AR20250" s="19"/>
      <c r="AS20250" s="19"/>
      <c r="AT20250" s="19"/>
      <c r="AU20250" s="19"/>
    </row>
    <row r="20251" spans="3:47">
      <c r="C20251" s="20"/>
      <c r="Z20251" s="20"/>
      <c r="AG20251" s="20"/>
      <c r="AQ20251" s="19"/>
      <c r="AR20251" s="19"/>
      <c r="AS20251" s="19"/>
      <c r="AT20251" s="19"/>
      <c r="AU20251" s="19"/>
    </row>
    <row r="20252" spans="3:47">
      <c r="C20252" s="20"/>
      <c r="Z20252" s="20"/>
      <c r="AG20252" s="20"/>
      <c r="AQ20252" s="19"/>
      <c r="AR20252" s="19"/>
      <c r="AS20252" s="19"/>
      <c r="AT20252" s="19"/>
      <c r="AU20252" s="19"/>
    </row>
    <row r="20253" spans="3:47">
      <c r="C20253" s="20"/>
      <c r="Z20253" s="20"/>
      <c r="AG20253" s="20"/>
      <c r="AQ20253" s="19"/>
      <c r="AR20253" s="19"/>
      <c r="AS20253" s="19"/>
      <c r="AT20253" s="19"/>
      <c r="AU20253" s="19"/>
    </row>
    <row r="20254" spans="3:47">
      <c r="C20254" s="20"/>
      <c r="Z20254" s="20"/>
      <c r="AG20254" s="20"/>
      <c r="AQ20254" s="19"/>
      <c r="AR20254" s="19"/>
      <c r="AS20254" s="19"/>
      <c r="AT20254" s="19"/>
      <c r="AU20254" s="19"/>
    </row>
    <row r="20255" spans="3:47">
      <c r="C20255" s="20"/>
      <c r="Z20255" s="20"/>
      <c r="AG20255" s="20"/>
      <c r="AQ20255" s="19"/>
      <c r="AR20255" s="19"/>
      <c r="AS20255" s="19"/>
      <c r="AT20255" s="19"/>
      <c r="AU20255" s="19"/>
    </row>
    <row r="20256" spans="3:47">
      <c r="C20256" s="20"/>
      <c r="Z20256" s="20"/>
      <c r="AG20256" s="20"/>
      <c r="AQ20256" s="19"/>
      <c r="AR20256" s="19"/>
      <c r="AS20256" s="19"/>
      <c r="AT20256" s="19"/>
      <c r="AU20256" s="19"/>
    </row>
    <row r="20257" spans="3:47">
      <c r="C20257" s="20"/>
      <c r="Z20257" s="20"/>
      <c r="AG20257" s="20"/>
      <c r="AQ20257" s="19"/>
      <c r="AR20257" s="19"/>
      <c r="AS20257" s="19"/>
      <c r="AT20257" s="19"/>
      <c r="AU20257" s="19"/>
    </row>
    <row r="20258" spans="3:47">
      <c r="C20258" s="20"/>
      <c r="Z20258" s="20"/>
      <c r="AG20258" s="20"/>
      <c r="AQ20258" s="19"/>
      <c r="AR20258" s="19"/>
      <c r="AS20258" s="19"/>
      <c r="AT20258" s="19"/>
      <c r="AU20258" s="19"/>
    </row>
    <row r="20259" spans="3:47">
      <c r="C20259" s="20"/>
      <c r="Z20259" s="20"/>
      <c r="AG20259" s="20"/>
      <c r="AQ20259" s="19"/>
      <c r="AR20259" s="19"/>
      <c r="AS20259" s="19"/>
      <c r="AT20259" s="19"/>
      <c r="AU20259" s="19"/>
    </row>
    <row r="20260" spans="3:47">
      <c r="C20260" s="20"/>
      <c r="Z20260" s="20"/>
      <c r="AG20260" s="20"/>
      <c r="AQ20260" s="19"/>
      <c r="AR20260" s="19"/>
      <c r="AS20260" s="19"/>
      <c r="AT20260" s="19"/>
      <c r="AU20260" s="19"/>
    </row>
    <row r="20261" spans="3:47">
      <c r="C20261" s="20"/>
      <c r="Z20261" s="20"/>
      <c r="AG20261" s="20"/>
      <c r="AQ20261" s="19"/>
      <c r="AR20261" s="19"/>
      <c r="AS20261" s="19"/>
      <c r="AT20261" s="19"/>
      <c r="AU20261" s="19"/>
    </row>
    <row r="20262" spans="3:47">
      <c r="C20262" s="20"/>
      <c r="Z20262" s="20"/>
      <c r="AG20262" s="20"/>
      <c r="AQ20262" s="19"/>
      <c r="AR20262" s="19"/>
      <c r="AS20262" s="19"/>
      <c r="AT20262" s="19"/>
      <c r="AU20262" s="19"/>
    </row>
    <row r="20263" spans="3:47">
      <c r="C20263" s="20"/>
      <c r="Z20263" s="20"/>
      <c r="AG20263" s="20"/>
      <c r="AQ20263" s="19"/>
      <c r="AR20263" s="19"/>
      <c r="AS20263" s="19"/>
      <c r="AT20263" s="19"/>
      <c r="AU20263" s="19"/>
    </row>
    <row r="20264" spans="3:47">
      <c r="C20264" s="20"/>
      <c r="Z20264" s="20"/>
      <c r="AG20264" s="20"/>
      <c r="AQ20264" s="19"/>
      <c r="AR20264" s="19"/>
      <c r="AS20264" s="19"/>
      <c r="AT20264" s="19"/>
      <c r="AU20264" s="19"/>
    </row>
    <row r="20265" spans="3:47">
      <c r="C20265" s="20"/>
      <c r="Z20265" s="20"/>
      <c r="AG20265" s="20"/>
      <c r="AQ20265" s="19"/>
      <c r="AR20265" s="19"/>
      <c r="AS20265" s="19"/>
      <c r="AT20265" s="19"/>
      <c r="AU20265" s="19"/>
    </row>
    <row r="20266" spans="3:47">
      <c r="C20266" s="20"/>
      <c r="Z20266" s="20"/>
      <c r="AG20266" s="20"/>
      <c r="AQ20266" s="19"/>
      <c r="AR20266" s="19"/>
      <c r="AS20266" s="19"/>
      <c r="AT20266" s="19"/>
      <c r="AU20266" s="19"/>
    </row>
    <row r="20267" spans="3:47">
      <c r="C20267" s="20"/>
      <c r="Z20267" s="20"/>
      <c r="AG20267" s="20"/>
      <c r="AQ20267" s="19"/>
      <c r="AR20267" s="19"/>
      <c r="AS20267" s="19"/>
      <c r="AT20267" s="19"/>
      <c r="AU20267" s="19"/>
    </row>
    <row r="20268" spans="3:47">
      <c r="C20268" s="20"/>
      <c r="Z20268" s="20"/>
      <c r="AG20268" s="20"/>
      <c r="AQ20268" s="19"/>
      <c r="AR20268" s="19"/>
      <c r="AS20268" s="19"/>
      <c r="AT20268" s="19"/>
      <c r="AU20268" s="19"/>
    </row>
    <row r="20269" spans="3:47">
      <c r="C20269" s="20"/>
      <c r="Z20269" s="20"/>
      <c r="AG20269" s="20"/>
      <c r="AQ20269" s="19"/>
      <c r="AR20269" s="19"/>
      <c r="AS20269" s="19"/>
      <c r="AT20269" s="19"/>
      <c r="AU20269" s="19"/>
    </row>
    <row r="20270" spans="3:47">
      <c r="C20270" s="20"/>
      <c r="Z20270" s="20"/>
      <c r="AG20270" s="20"/>
      <c r="AQ20270" s="19"/>
      <c r="AR20270" s="19"/>
      <c r="AS20270" s="19"/>
      <c r="AT20270" s="19"/>
      <c r="AU20270" s="19"/>
    </row>
    <row r="20271" spans="3:47">
      <c r="C20271" s="20"/>
      <c r="Z20271" s="20"/>
      <c r="AG20271" s="20"/>
      <c r="AQ20271" s="19"/>
      <c r="AR20271" s="19"/>
      <c r="AS20271" s="19"/>
      <c r="AT20271" s="19"/>
      <c r="AU20271" s="19"/>
    </row>
    <row r="20272" spans="3:47">
      <c r="C20272" s="20"/>
      <c r="Z20272" s="20"/>
      <c r="AG20272" s="20"/>
      <c r="AQ20272" s="19"/>
      <c r="AR20272" s="19"/>
      <c r="AS20272" s="19"/>
      <c r="AT20272" s="19"/>
      <c r="AU20272" s="19"/>
    </row>
    <row r="20273" spans="3:47">
      <c r="C20273" s="20"/>
      <c r="Z20273" s="20"/>
      <c r="AG20273" s="20"/>
      <c r="AQ20273" s="19"/>
      <c r="AR20273" s="19"/>
      <c r="AS20273" s="19"/>
      <c r="AT20273" s="19"/>
      <c r="AU20273" s="19"/>
    </row>
    <row r="20274" spans="3:47">
      <c r="C20274" s="20"/>
      <c r="Z20274" s="20"/>
      <c r="AG20274" s="20"/>
      <c r="AQ20274" s="19"/>
      <c r="AR20274" s="19"/>
      <c r="AS20274" s="19"/>
      <c r="AT20274" s="19"/>
      <c r="AU20274" s="19"/>
    </row>
    <row r="20275" spans="3:47">
      <c r="C20275" s="20"/>
      <c r="Z20275" s="20"/>
      <c r="AG20275" s="20"/>
      <c r="AQ20275" s="19"/>
      <c r="AR20275" s="19"/>
      <c r="AS20275" s="19"/>
      <c r="AT20275" s="19"/>
      <c r="AU20275" s="19"/>
    </row>
    <row r="20276" spans="3:47">
      <c r="C20276" s="20"/>
      <c r="Z20276" s="20"/>
      <c r="AG20276" s="20"/>
      <c r="AQ20276" s="19"/>
      <c r="AR20276" s="19"/>
      <c r="AS20276" s="19"/>
      <c r="AT20276" s="19"/>
      <c r="AU20276" s="19"/>
    </row>
    <row r="20277" spans="3:47">
      <c r="C20277" s="20"/>
      <c r="Z20277" s="20"/>
      <c r="AG20277" s="20"/>
      <c r="AQ20277" s="19"/>
      <c r="AR20277" s="19"/>
      <c r="AS20277" s="19"/>
      <c r="AT20277" s="19"/>
      <c r="AU20277" s="19"/>
    </row>
    <row r="20278" spans="3:47">
      <c r="C20278" s="20"/>
      <c r="Z20278" s="20"/>
      <c r="AG20278" s="20"/>
      <c r="AQ20278" s="19"/>
      <c r="AR20278" s="19"/>
      <c r="AS20278" s="19"/>
      <c r="AT20278" s="19"/>
      <c r="AU20278" s="19"/>
    </row>
    <row r="20279" spans="3:47">
      <c r="C20279" s="20"/>
      <c r="Z20279" s="20"/>
      <c r="AG20279" s="20"/>
      <c r="AQ20279" s="19"/>
      <c r="AR20279" s="19"/>
      <c r="AS20279" s="19"/>
      <c r="AT20279" s="19"/>
      <c r="AU20279" s="19"/>
    </row>
    <row r="20280" spans="3:47">
      <c r="C20280" s="20"/>
      <c r="Z20280" s="20"/>
      <c r="AG20280" s="20"/>
      <c r="AQ20280" s="19"/>
      <c r="AR20280" s="19"/>
      <c r="AS20280" s="19"/>
      <c r="AT20280" s="19"/>
      <c r="AU20280" s="19"/>
    </row>
    <row r="20281" spans="3:47">
      <c r="C20281" s="20"/>
      <c r="Z20281" s="20"/>
      <c r="AG20281" s="20"/>
      <c r="AQ20281" s="19"/>
      <c r="AR20281" s="19"/>
      <c r="AS20281" s="19"/>
      <c r="AT20281" s="19"/>
      <c r="AU20281" s="19"/>
    </row>
    <row r="20282" spans="3:47">
      <c r="C20282" s="20"/>
      <c r="Z20282" s="20"/>
      <c r="AG20282" s="20"/>
      <c r="AQ20282" s="19"/>
      <c r="AR20282" s="19"/>
      <c r="AS20282" s="19"/>
      <c r="AT20282" s="19"/>
      <c r="AU20282" s="19"/>
    </row>
    <row r="20283" spans="3:47">
      <c r="C20283" s="20"/>
      <c r="Z20283" s="20"/>
      <c r="AG20283" s="20"/>
      <c r="AQ20283" s="19"/>
      <c r="AR20283" s="19"/>
      <c r="AS20283" s="19"/>
      <c r="AT20283" s="19"/>
      <c r="AU20283" s="19"/>
    </row>
    <row r="20284" spans="3:47">
      <c r="C20284" s="20"/>
      <c r="Z20284" s="20"/>
      <c r="AG20284" s="20"/>
      <c r="AQ20284" s="19"/>
      <c r="AR20284" s="19"/>
      <c r="AS20284" s="19"/>
      <c r="AT20284" s="19"/>
      <c r="AU20284" s="19"/>
    </row>
    <row r="20285" spans="3:47">
      <c r="C20285" s="20"/>
      <c r="Z20285" s="20"/>
      <c r="AG20285" s="20"/>
      <c r="AQ20285" s="19"/>
      <c r="AR20285" s="19"/>
      <c r="AS20285" s="19"/>
      <c r="AT20285" s="19"/>
      <c r="AU20285" s="19"/>
    </row>
    <row r="20286" spans="3:47">
      <c r="C20286" s="20"/>
      <c r="Z20286" s="20"/>
      <c r="AG20286" s="20"/>
      <c r="AQ20286" s="19"/>
      <c r="AR20286" s="19"/>
      <c r="AS20286" s="19"/>
      <c r="AT20286" s="19"/>
      <c r="AU20286" s="19"/>
    </row>
    <row r="20287" spans="3:47">
      <c r="C20287" s="20"/>
      <c r="Z20287" s="20"/>
      <c r="AG20287" s="20"/>
      <c r="AQ20287" s="19"/>
      <c r="AR20287" s="19"/>
      <c r="AS20287" s="19"/>
      <c r="AT20287" s="19"/>
      <c r="AU20287" s="19"/>
    </row>
    <row r="20288" spans="3:47">
      <c r="C20288" s="20"/>
      <c r="Z20288" s="20"/>
      <c r="AG20288" s="20"/>
      <c r="AQ20288" s="19"/>
      <c r="AR20288" s="19"/>
      <c r="AS20288" s="19"/>
      <c r="AT20288" s="19"/>
      <c r="AU20288" s="19"/>
    </row>
    <row r="20289" spans="3:47">
      <c r="C20289" s="20"/>
      <c r="Z20289" s="20"/>
      <c r="AG20289" s="20"/>
      <c r="AQ20289" s="19"/>
      <c r="AR20289" s="19"/>
      <c r="AS20289" s="19"/>
      <c r="AT20289" s="19"/>
      <c r="AU20289" s="19"/>
    </row>
    <row r="20290" spans="3:47">
      <c r="C20290" s="20"/>
      <c r="Z20290" s="20"/>
      <c r="AG20290" s="20"/>
      <c r="AQ20290" s="19"/>
      <c r="AR20290" s="19"/>
      <c r="AS20290" s="19"/>
      <c r="AT20290" s="19"/>
      <c r="AU20290" s="19"/>
    </row>
    <row r="20291" spans="3:47">
      <c r="C20291" s="20"/>
      <c r="Z20291" s="20"/>
      <c r="AG20291" s="20"/>
      <c r="AQ20291" s="19"/>
      <c r="AR20291" s="19"/>
      <c r="AS20291" s="19"/>
      <c r="AT20291" s="19"/>
      <c r="AU20291" s="19"/>
    </row>
    <row r="20292" spans="3:47">
      <c r="C20292" s="20"/>
      <c r="Z20292" s="20"/>
      <c r="AG20292" s="20"/>
      <c r="AQ20292" s="19"/>
      <c r="AR20292" s="19"/>
      <c r="AS20292" s="19"/>
      <c r="AT20292" s="19"/>
      <c r="AU20292" s="19"/>
    </row>
    <row r="20293" spans="3:47">
      <c r="C20293" s="20"/>
      <c r="Z20293" s="20"/>
      <c r="AG20293" s="20"/>
      <c r="AQ20293" s="19"/>
      <c r="AR20293" s="19"/>
      <c r="AS20293" s="19"/>
      <c r="AT20293" s="19"/>
      <c r="AU20293" s="19"/>
    </row>
    <row r="20294" spans="3:47">
      <c r="C20294" s="20"/>
      <c r="Z20294" s="20"/>
      <c r="AG20294" s="20"/>
      <c r="AQ20294" s="19"/>
      <c r="AR20294" s="19"/>
      <c r="AS20294" s="19"/>
      <c r="AT20294" s="19"/>
      <c r="AU20294" s="19"/>
    </row>
    <row r="20295" spans="3:47">
      <c r="C20295" s="20"/>
      <c r="Z20295" s="20"/>
      <c r="AG20295" s="20"/>
      <c r="AQ20295" s="19"/>
      <c r="AR20295" s="19"/>
      <c r="AS20295" s="19"/>
      <c r="AT20295" s="19"/>
      <c r="AU20295" s="19"/>
    </row>
    <row r="20296" spans="3:47">
      <c r="C20296" s="20"/>
      <c r="Z20296" s="20"/>
      <c r="AG20296" s="20"/>
      <c r="AQ20296" s="19"/>
      <c r="AR20296" s="19"/>
      <c r="AS20296" s="19"/>
      <c r="AT20296" s="19"/>
      <c r="AU20296" s="19"/>
    </row>
    <row r="20297" spans="3:47">
      <c r="C20297" s="20"/>
      <c r="Z20297" s="20"/>
      <c r="AG20297" s="20"/>
      <c r="AQ20297" s="19"/>
      <c r="AR20297" s="19"/>
      <c r="AS20297" s="19"/>
      <c r="AT20297" s="19"/>
      <c r="AU20297" s="19"/>
    </row>
    <row r="20298" spans="3:47">
      <c r="C20298" s="20"/>
      <c r="Z20298" s="20"/>
      <c r="AG20298" s="20"/>
      <c r="AQ20298" s="19"/>
      <c r="AR20298" s="19"/>
      <c r="AS20298" s="19"/>
      <c r="AT20298" s="19"/>
      <c r="AU20298" s="19"/>
    </row>
    <row r="20299" spans="3:47">
      <c r="C20299" s="20"/>
      <c r="Z20299" s="20"/>
      <c r="AG20299" s="20"/>
      <c r="AQ20299" s="19"/>
      <c r="AR20299" s="19"/>
      <c r="AS20299" s="19"/>
      <c r="AT20299" s="19"/>
      <c r="AU20299" s="19"/>
    </row>
    <row r="20300" spans="3:47">
      <c r="C20300" s="20"/>
      <c r="Z20300" s="20"/>
      <c r="AG20300" s="20"/>
      <c r="AQ20300" s="19"/>
      <c r="AR20300" s="19"/>
      <c r="AS20300" s="19"/>
      <c r="AT20300" s="19"/>
      <c r="AU20300" s="19"/>
    </row>
    <row r="20301" spans="3:47">
      <c r="C20301" s="20"/>
      <c r="Z20301" s="20"/>
      <c r="AG20301" s="20"/>
      <c r="AQ20301" s="19"/>
      <c r="AR20301" s="19"/>
      <c r="AS20301" s="19"/>
      <c r="AT20301" s="19"/>
      <c r="AU20301" s="19"/>
    </row>
    <row r="20302" spans="3:47">
      <c r="C20302" s="20"/>
      <c r="Z20302" s="20"/>
      <c r="AG20302" s="20"/>
      <c r="AQ20302" s="19"/>
      <c r="AR20302" s="19"/>
      <c r="AS20302" s="19"/>
      <c r="AT20302" s="19"/>
      <c r="AU20302" s="19"/>
    </row>
    <row r="20303" spans="3:47">
      <c r="C20303" s="20"/>
      <c r="Z20303" s="20"/>
      <c r="AG20303" s="20"/>
      <c r="AQ20303" s="19"/>
      <c r="AR20303" s="19"/>
      <c r="AS20303" s="19"/>
      <c r="AT20303" s="19"/>
      <c r="AU20303" s="19"/>
    </row>
    <row r="20304" spans="3:47">
      <c r="C20304" s="20"/>
      <c r="Z20304" s="20"/>
      <c r="AG20304" s="20"/>
      <c r="AQ20304" s="19"/>
      <c r="AR20304" s="19"/>
      <c r="AS20304" s="19"/>
      <c r="AT20304" s="19"/>
      <c r="AU20304" s="19"/>
    </row>
    <row r="20305" spans="3:47">
      <c r="C20305" s="20"/>
      <c r="Z20305" s="20"/>
      <c r="AG20305" s="20"/>
      <c r="AQ20305" s="19"/>
      <c r="AR20305" s="19"/>
      <c r="AS20305" s="19"/>
      <c r="AT20305" s="19"/>
      <c r="AU20305" s="19"/>
    </row>
    <row r="20306" spans="3:47">
      <c r="C20306" s="20"/>
      <c r="Z20306" s="20"/>
      <c r="AG20306" s="20"/>
      <c r="AQ20306" s="19"/>
      <c r="AR20306" s="19"/>
      <c r="AS20306" s="19"/>
      <c r="AT20306" s="19"/>
      <c r="AU20306" s="19"/>
    </row>
    <row r="20307" spans="3:47">
      <c r="C20307" s="20"/>
      <c r="Z20307" s="20"/>
      <c r="AG20307" s="20"/>
      <c r="AQ20307" s="19"/>
      <c r="AR20307" s="19"/>
      <c r="AS20307" s="19"/>
      <c r="AT20307" s="19"/>
      <c r="AU20307" s="19"/>
    </row>
    <row r="20308" spans="3:47">
      <c r="C20308" s="20"/>
      <c r="Z20308" s="20"/>
      <c r="AG20308" s="20"/>
      <c r="AQ20308" s="19"/>
      <c r="AR20308" s="19"/>
      <c r="AS20308" s="19"/>
      <c r="AT20308" s="19"/>
      <c r="AU20308" s="19"/>
    </row>
    <row r="20309" spans="3:47">
      <c r="C20309" s="20"/>
      <c r="Z20309" s="20"/>
      <c r="AG20309" s="20"/>
      <c r="AQ20309" s="19"/>
      <c r="AR20309" s="19"/>
      <c r="AS20309" s="19"/>
      <c r="AT20309" s="19"/>
      <c r="AU20309" s="19"/>
    </row>
    <row r="20310" spans="3:47">
      <c r="C20310" s="20"/>
      <c r="Z20310" s="20"/>
      <c r="AG20310" s="20"/>
      <c r="AQ20310" s="19"/>
      <c r="AR20310" s="19"/>
      <c r="AS20310" s="19"/>
      <c r="AT20310" s="19"/>
      <c r="AU20310" s="19"/>
    </row>
    <row r="20311" spans="3:47">
      <c r="C20311" s="20"/>
      <c r="Z20311" s="20"/>
      <c r="AG20311" s="20"/>
      <c r="AQ20311" s="19"/>
      <c r="AR20311" s="19"/>
      <c r="AS20311" s="19"/>
      <c r="AT20311" s="19"/>
      <c r="AU20311" s="19"/>
    </row>
    <row r="20312" spans="3:47">
      <c r="C20312" s="20"/>
      <c r="Z20312" s="20"/>
      <c r="AG20312" s="20"/>
      <c r="AQ20312" s="19"/>
      <c r="AR20312" s="19"/>
      <c r="AS20312" s="19"/>
      <c r="AT20312" s="19"/>
      <c r="AU20312" s="19"/>
    </row>
    <row r="20313" spans="3:47">
      <c r="C20313" s="20"/>
      <c r="Z20313" s="20"/>
      <c r="AG20313" s="20"/>
      <c r="AQ20313" s="19"/>
      <c r="AR20313" s="19"/>
      <c r="AS20313" s="19"/>
      <c r="AT20313" s="19"/>
      <c r="AU20313" s="19"/>
    </row>
    <row r="20314" spans="3:47">
      <c r="C20314" s="20"/>
      <c r="Z20314" s="20"/>
      <c r="AG20314" s="20"/>
      <c r="AQ20314" s="19"/>
      <c r="AR20314" s="19"/>
      <c r="AS20314" s="19"/>
      <c r="AT20314" s="19"/>
      <c r="AU20314" s="19"/>
    </row>
    <row r="20315" spans="3:47">
      <c r="C20315" s="20"/>
      <c r="Z20315" s="20"/>
      <c r="AG20315" s="20"/>
      <c r="AQ20315" s="19"/>
      <c r="AR20315" s="19"/>
      <c r="AS20315" s="19"/>
      <c r="AT20315" s="19"/>
      <c r="AU20315" s="19"/>
    </row>
    <row r="20316" spans="3:47">
      <c r="C20316" s="20"/>
      <c r="Z20316" s="20"/>
      <c r="AG20316" s="20"/>
      <c r="AQ20316" s="19"/>
      <c r="AR20316" s="19"/>
      <c r="AS20316" s="19"/>
      <c r="AT20316" s="19"/>
      <c r="AU20316" s="19"/>
    </row>
    <row r="20317" spans="3:47">
      <c r="C20317" s="20"/>
      <c r="Z20317" s="20"/>
      <c r="AG20317" s="20"/>
      <c r="AQ20317" s="19"/>
      <c r="AR20317" s="19"/>
      <c r="AS20317" s="19"/>
      <c r="AT20317" s="19"/>
      <c r="AU20317" s="19"/>
    </row>
    <row r="20318" spans="3:47">
      <c r="C20318" s="20"/>
      <c r="Z20318" s="20"/>
      <c r="AG20318" s="20"/>
      <c r="AQ20318" s="19"/>
      <c r="AR20318" s="19"/>
      <c r="AS20318" s="19"/>
      <c r="AT20318" s="19"/>
      <c r="AU20318" s="19"/>
    </row>
    <row r="20319" spans="3:47">
      <c r="C20319" s="20"/>
      <c r="Z20319" s="20"/>
      <c r="AG20319" s="20"/>
      <c r="AQ20319" s="19"/>
      <c r="AR20319" s="19"/>
      <c r="AS20319" s="19"/>
      <c r="AT20319" s="19"/>
      <c r="AU20319" s="19"/>
    </row>
    <row r="20320" spans="3:47">
      <c r="C20320" s="20"/>
      <c r="Z20320" s="20"/>
      <c r="AG20320" s="20"/>
      <c r="AQ20320" s="19"/>
      <c r="AR20320" s="19"/>
      <c r="AS20320" s="19"/>
      <c r="AT20320" s="19"/>
      <c r="AU20320" s="19"/>
    </row>
    <row r="20321" spans="3:47">
      <c r="C20321" s="20"/>
      <c r="Z20321" s="20"/>
      <c r="AG20321" s="20"/>
      <c r="AQ20321" s="19"/>
      <c r="AR20321" s="19"/>
      <c r="AS20321" s="19"/>
      <c r="AT20321" s="19"/>
      <c r="AU20321" s="19"/>
    </row>
    <row r="20322" spans="3:47">
      <c r="C20322" s="20"/>
      <c r="Z20322" s="20"/>
      <c r="AG20322" s="20"/>
      <c r="AQ20322" s="19"/>
      <c r="AR20322" s="19"/>
      <c r="AS20322" s="19"/>
      <c r="AT20322" s="19"/>
      <c r="AU20322" s="19"/>
    </row>
    <row r="20323" spans="3:47">
      <c r="C20323" s="20"/>
      <c r="Z20323" s="20"/>
      <c r="AG20323" s="20"/>
      <c r="AQ20323" s="19"/>
      <c r="AR20323" s="19"/>
      <c r="AS20323" s="19"/>
      <c r="AT20323" s="19"/>
      <c r="AU20323" s="19"/>
    </row>
    <row r="20324" spans="3:47">
      <c r="C20324" s="20"/>
      <c r="Z20324" s="20"/>
      <c r="AG20324" s="20"/>
      <c r="AQ20324" s="19"/>
      <c r="AR20324" s="19"/>
      <c r="AS20324" s="19"/>
      <c r="AT20324" s="19"/>
      <c r="AU20324" s="19"/>
    </row>
    <row r="20325" spans="3:47">
      <c r="C20325" s="20"/>
      <c r="Z20325" s="20"/>
      <c r="AG20325" s="20"/>
      <c r="AQ20325" s="19"/>
      <c r="AR20325" s="19"/>
      <c r="AS20325" s="19"/>
      <c r="AT20325" s="19"/>
      <c r="AU20325" s="19"/>
    </row>
    <row r="20326" spans="3:47">
      <c r="C20326" s="20"/>
      <c r="Z20326" s="20"/>
      <c r="AG20326" s="20"/>
      <c r="AQ20326" s="19"/>
      <c r="AR20326" s="19"/>
      <c r="AS20326" s="19"/>
      <c r="AT20326" s="19"/>
      <c r="AU20326" s="19"/>
    </row>
    <row r="20327" spans="3:47">
      <c r="C20327" s="20"/>
      <c r="Z20327" s="20"/>
      <c r="AG20327" s="20"/>
      <c r="AQ20327" s="19"/>
      <c r="AR20327" s="19"/>
      <c r="AS20327" s="19"/>
      <c r="AT20327" s="19"/>
      <c r="AU20327" s="19"/>
    </row>
    <row r="20328" spans="3:47">
      <c r="C20328" s="20"/>
      <c r="Z20328" s="20"/>
      <c r="AG20328" s="20"/>
      <c r="AQ20328" s="19"/>
      <c r="AR20328" s="19"/>
      <c r="AS20328" s="19"/>
      <c r="AT20328" s="19"/>
      <c r="AU20328" s="19"/>
    </row>
    <row r="20329" spans="3:47">
      <c r="C20329" s="20"/>
      <c r="Z20329" s="20"/>
      <c r="AG20329" s="20"/>
      <c r="AQ20329" s="19"/>
      <c r="AR20329" s="19"/>
      <c r="AS20329" s="19"/>
      <c r="AT20329" s="19"/>
      <c r="AU20329" s="19"/>
    </row>
    <row r="20330" spans="3:47">
      <c r="C20330" s="20"/>
      <c r="Z20330" s="20"/>
      <c r="AG20330" s="20"/>
      <c r="AQ20330" s="19"/>
      <c r="AR20330" s="19"/>
      <c r="AS20330" s="19"/>
      <c r="AT20330" s="19"/>
      <c r="AU20330" s="19"/>
    </row>
    <row r="20331" spans="3:47">
      <c r="C20331" s="20"/>
      <c r="Z20331" s="20"/>
      <c r="AG20331" s="20"/>
      <c r="AQ20331" s="19"/>
      <c r="AR20331" s="19"/>
      <c r="AS20331" s="19"/>
      <c r="AT20331" s="19"/>
      <c r="AU20331" s="19"/>
    </row>
    <row r="20332" spans="3:47">
      <c r="C20332" s="20"/>
      <c r="Z20332" s="20"/>
      <c r="AG20332" s="20"/>
      <c r="AQ20332" s="19"/>
      <c r="AR20332" s="19"/>
      <c r="AS20332" s="19"/>
      <c r="AT20332" s="19"/>
      <c r="AU20332" s="19"/>
    </row>
    <row r="20333" spans="3:47">
      <c r="C20333" s="20"/>
      <c r="Z20333" s="20"/>
      <c r="AG20333" s="20"/>
      <c r="AQ20333" s="19"/>
      <c r="AR20333" s="19"/>
      <c r="AS20333" s="19"/>
      <c r="AT20333" s="19"/>
      <c r="AU20333" s="19"/>
    </row>
    <row r="20334" spans="3:47">
      <c r="C20334" s="20"/>
      <c r="Z20334" s="20"/>
      <c r="AG20334" s="20"/>
      <c r="AQ20334" s="19"/>
      <c r="AR20334" s="19"/>
      <c r="AS20334" s="19"/>
      <c r="AT20334" s="19"/>
      <c r="AU20334" s="19"/>
    </row>
    <row r="20335" spans="3:47">
      <c r="C20335" s="20"/>
      <c r="Z20335" s="20"/>
      <c r="AG20335" s="20"/>
      <c r="AQ20335" s="19"/>
      <c r="AR20335" s="19"/>
      <c r="AS20335" s="19"/>
      <c r="AT20335" s="19"/>
      <c r="AU20335" s="19"/>
    </row>
    <row r="20336" spans="3:47">
      <c r="C20336" s="20"/>
      <c r="Z20336" s="20"/>
      <c r="AG20336" s="20"/>
      <c r="AQ20336" s="19"/>
      <c r="AR20336" s="19"/>
      <c r="AS20336" s="19"/>
      <c r="AT20336" s="19"/>
      <c r="AU20336" s="19"/>
    </row>
    <row r="20337" spans="3:47">
      <c r="C20337" s="20"/>
      <c r="Z20337" s="20"/>
      <c r="AG20337" s="20"/>
      <c r="AQ20337" s="19"/>
      <c r="AR20337" s="19"/>
      <c r="AS20337" s="19"/>
      <c r="AT20337" s="19"/>
      <c r="AU20337" s="19"/>
    </row>
    <row r="20338" spans="3:47">
      <c r="C20338" s="20"/>
      <c r="Z20338" s="20"/>
      <c r="AG20338" s="20"/>
      <c r="AQ20338" s="19"/>
      <c r="AR20338" s="19"/>
      <c r="AS20338" s="19"/>
      <c r="AT20338" s="19"/>
      <c r="AU20338" s="19"/>
    </row>
    <row r="20339" spans="3:47">
      <c r="C20339" s="20"/>
      <c r="Z20339" s="20"/>
      <c r="AG20339" s="20"/>
      <c r="AQ20339" s="19"/>
      <c r="AR20339" s="19"/>
      <c r="AS20339" s="19"/>
      <c r="AT20339" s="19"/>
      <c r="AU20339" s="19"/>
    </row>
    <row r="20340" spans="3:47">
      <c r="C20340" s="20"/>
      <c r="Z20340" s="20"/>
      <c r="AG20340" s="20"/>
      <c r="AQ20340" s="19"/>
      <c r="AR20340" s="19"/>
      <c r="AS20340" s="19"/>
      <c r="AT20340" s="19"/>
      <c r="AU20340" s="19"/>
    </row>
    <row r="20341" spans="3:47">
      <c r="C20341" s="20"/>
      <c r="Z20341" s="20"/>
      <c r="AG20341" s="20"/>
      <c r="AQ20341" s="19"/>
      <c r="AR20341" s="19"/>
      <c r="AS20341" s="19"/>
      <c r="AT20341" s="19"/>
      <c r="AU20341" s="19"/>
    </row>
    <row r="20342" spans="3:47">
      <c r="C20342" s="20"/>
      <c r="Z20342" s="20"/>
      <c r="AG20342" s="20"/>
      <c r="AQ20342" s="19"/>
      <c r="AR20342" s="19"/>
      <c r="AS20342" s="19"/>
      <c r="AT20342" s="19"/>
      <c r="AU20342" s="19"/>
    </row>
    <row r="20343" spans="3:47">
      <c r="C20343" s="20"/>
      <c r="Z20343" s="20"/>
      <c r="AG20343" s="20"/>
      <c r="AQ20343" s="19"/>
      <c r="AR20343" s="19"/>
      <c r="AS20343" s="19"/>
      <c r="AT20343" s="19"/>
      <c r="AU20343" s="19"/>
    </row>
    <row r="20344" spans="3:47">
      <c r="C20344" s="20"/>
      <c r="Z20344" s="20"/>
      <c r="AG20344" s="20"/>
      <c r="AQ20344" s="19"/>
      <c r="AR20344" s="19"/>
      <c r="AS20344" s="19"/>
      <c r="AT20344" s="19"/>
      <c r="AU20344" s="19"/>
    </row>
    <row r="20345" spans="3:47">
      <c r="C20345" s="20"/>
      <c r="Z20345" s="20"/>
      <c r="AG20345" s="20"/>
      <c r="AQ20345" s="19"/>
      <c r="AR20345" s="19"/>
      <c r="AS20345" s="19"/>
      <c r="AT20345" s="19"/>
      <c r="AU20345" s="19"/>
    </row>
    <row r="20346" spans="3:47">
      <c r="C20346" s="20"/>
      <c r="Z20346" s="20"/>
      <c r="AG20346" s="20"/>
      <c r="AQ20346" s="19"/>
      <c r="AR20346" s="19"/>
      <c r="AS20346" s="19"/>
      <c r="AT20346" s="19"/>
      <c r="AU20346" s="19"/>
    </row>
    <row r="20347" spans="3:47">
      <c r="C20347" s="20"/>
      <c r="Z20347" s="20"/>
      <c r="AG20347" s="20"/>
      <c r="AQ20347" s="19"/>
      <c r="AR20347" s="19"/>
      <c r="AS20347" s="19"/>
      <c r="AT20347" s="19"/>
      <c r="AU20347" s="19"/>
    </row>
    <row r="20348" spans="3:47">
      <c r="C20348" s="20"/>
      <c r="Z20348" s="20"/>
      <c r="AG20348" s="20"/>
      <c r="AQ20348" s="19"/>
      <c r="AR20348" s="19"/>
      <c r="AS20348" s="19"/>
      <c r="AT20348" s="19"/>
      <c r="AU20348" s="19"/>
    </row>
    <row r="20349" spans="3:47">
      <c r="C20349" s="20"/>
      <c r="Z20349" s="20"/>
      <c r="AG20349" s="20"/>
      <c r="AQ20349" s="19"/>
      <c r="AR20349" s="19"/>
      <c r="AS20349" s="19"/>
      <c r="AT20349" s="19"/>
      <c r="AU20349" s="19"/>
    </row>
    <row r="20350" spans="3:47">
      <c r="C20350" s="20"/>
      <c r="Z20350" s="20"/>
      <c r="AG20350" s="20"/>
      <c r="AQ20350" s="19"/>
      <c r="AR20350" s="19"/>
      <c r="AS20350" s="19"/>
      <c r="AT20350" s="19"/>
      <c r="AU20350" s="19"/>
    </row>
    <row r="20351" spans="3:47">
      <c r="C20351" s="20"/>
      <c r="Z20351" s="20"/>
      <c r="AG20351" s="20"/>
      <c r="AQ20351" s="19"/>
      <c r="AR20351" s="19"/>
      <c r="AS20351" s="19"/>
      <c r="AT20351" s="19"/>
      <c r="AU20351" s="19"/>
    </row>
    <row r="20352" spans="3:47">
      <c r="C20352" s="20"/>
      <c r="Z20352" s="20"/>
      <c r="AG20352" s="20"/>
      <c r="AQ20352" s="19"/>
      <c r="AR20352" s="19"/>
      <c r="AS20352" s="19"/>
      <c r="AT20352" s="19"/>
      <c r="AU20352" s="19"/>
    </row>
    <row r="20353" spans="3:47">
      <c r="C20353" s="20"/>
      <c r="Z20353" s="20"/>
      <c r="AG20353" s="20"/>
      <c r="AQ20353" s="19"/>
      <c r="AR20353" s="19"/>
      <c r="AS20353" s="19"/>
      <c r="AT20353" s="19"/>
      <c r="AU20353" s="19"/>
    </row>
    <row r="20354" spans="3:47">
      <c r="C20354" s="20"/>
      <c r="Z20354" s="20"/>
      <c r="AG20354" s="20"/>
      <c r="AQ20354" s="19"/>
      <c r="AR20354" s="19"/>
      <c r="AS20354" s="19"/>
      <c r="AT20354" s="19"/>
      <c r="AU20354" s="19"/>
    </row>
    <row r="20355" spans="3:47">
      <c r="C20355" s="20"/>
      <c r="Z20355" s="20"/>
      <c r="AG20355" s="20"/>
      <c r="AQ20355" s="19"/>
      <c r="AR20355" s="19"/>
      <c r="AS20355" s="19"/>
      <c r="AT20355" s="19"/>
      <c r="AU20355" s="19"/>
    </row>
    <row r="20356" spans="3:47">
      <c r="C20356" s="20"/>
      <c r="Z20356" s="20"/>
      <c r="AG20356" s="20"/>
      <c r="AQ20356" s="19"/>
      <c r="AR20356" s="19"/>
      <c r="AS20356" s="19"/>
      <c r="AT20356" s="19"/>
      <c r="AU20356" s="19"/>
    </row>
    <row r="20357" spans="3:47">
      <c r="C20357" s="20"/>
      <c r="Z20357" s="20"/>
      <c r="AG20357" s="20"/>
      <c r="AQ20357" s="19"/>
      <c r="AR20357" s="19"/>
      <c r="AS20357" s="19"/>
      <c r="AT20357" s="19"/>
      <c r="AU20357" s="19"/>
    </row>
    <row r="20358" spans="3:47">
      <c r="C20358" s="20"/>
      <c r="Z20358" s="20"/>
      <c r="AG20358" s="20"/>
      <c r="AQ20358" s="19"/>
      <c r="AR20358" s="19"/>
      <c r="AS20358" s="19"/>
      <c r="AT20358" s="19"/>
      <c r="AU20358" s="19"/>
    </row>
    <row r="20359" spans="3:47">
      <c r="C20359" s="20"/>
      <c r="Z20359" s="20"/>
      <c r="AG20359" s="20"/>
      <c r="AQ20359" s="19"/>
      <c r="AR20359" s="19"/>
      <c r="AS20359" s="19"/>
      <c r="AT20359" s="19"/>
      <c r="AU20359" s="19"/>
    </row>
    <row r="20360" spans="3:47">
      <c r="C20360" s="20"/>
      <c r="Z20360" s="20"/>
      <c r="AG20360" s="20"/>
      <c r="AQ20360" s="19"/>
      <c r="AR20360" s="19"/>
      <c r="AS20360" s="19"/>
      <c r="AT20360" s="19"/>
      <c r="AU20360" s="19"/>
    </row>
    <row r="20361" spans="3:47">
      <c r="C20361" s="20"/>
      <c r="Z20361" s="20"/>
      <c r="AG20361" s="20"/>
      <c r="AQ20361" s="19"/>
      <c r="AR20361" s="19"/>
      <c r="AS20361" s="19"/>
      <c r="AT20361" s="19"/>
      <c r="AU20361" s="19"/>
    </row>
    <row r="20362" spans="3:47">
      <c r="C20362" s="20"/>
      <c r="Z20362" s="20"/>
      <c r="AG20362" s="20"/>
      <c r="AQ20362" s="19"/>
      <c r="AR20362" s="19"/>
      <c r="AS20362" s="19"/>
      <c r="AT20362" s="19"/>
      <c r="AU20362" s="19"/>
    </row>
    <row r="20363" spans="3:47">
      <c r="C20363" s="20"/>
      <c r="Z20363" s="20"/>
      <c r="AG20363" s="20"/>
      <c r="AQ20363" s="19"/>
      <c r="AR20363" s="19"/>
      <c r="AS20363" s="19"/>
      <c r="AT20363" s="19"/>
      <c r="AU20363" s="19"/>
    </row>
    <row r="20364" spans="3:47">
      <c r="C20364" s="20"/>
      <c r="Z20364" s="20"/>
      <c r="AG20364" s="20"/>
      <c r="AQ20364" s="19"/>
      <c r="AR20364" s="19"/>
      <c r="AS20364" s="19"/>
      <c r="AT20364" s="19"/>
      <c r="AU20364" s="19"/>
    </row>
    <row r="20365" spans="3:47">
      <c r="C20365" s="20"/>
      <c r="Z20365" s="20"/>
      <c r="AG20365" s="20"/>
      <c r="AQ20365" s="19"/>
      <c r="AR20365" s="19"/>
      <c r="AS20365" s="19"/>
      <c r="AT20365" s="19"/>
      <c r="AU20365" s="19"/>
    </row>
    <row r="20366" spans="3:47">
      <c r="C20366" s="20"/>
      <c r="Z20366" s="20"/>
      <c r="AG20366" s="20"/>
      <c r="AQ20366" s="19"/>
      <c r="AR20366" s="19"/>
      <c r="AS20366" s="19"/>
      <c r="AT20366" s="19"/>
      <c r="AU20366" s="19"/>
    </row>
    <row r="20367" spans="3:47">
      <c r="C20367" s="20"/>
      <c r="Z20367" s="20"/>
      <c r="AG20367" s="20"/>
      <c r="AQ20367" s="19"/>
      <c r="AR20367" s="19"/>
      <c r="AS20367" s="19"/>
      <c r="AT20367" s="19"/>
      <c r="AU20367" s="19"/>
    </row>
    <row r="20368" spans="3:47">
      <c r="C20368" s="20"/>
      <c r="Z20368" s="20"/>
      <c r="AG20368" s="20"/>
      <c r="AQ20368" s="19"/>
      <c r="AR20368" s="19"/>
      <c r="AS20368" s="19"/>
      <c r="AT20368" s="19"/>
      <c r="AU20368" s="19"/>
    </row>
    <row r="20369" spans="3:47">
      <c r="C20369" s="20"/>
      <c r="Z20369" s="20"/>
      <c r="AG20369" s="20"/>
      <c r="AQ20369" s="19"/>
      <c r="AR20369" s="19"/>
      <c r="AS20369" s="19"/>
      <c r="AT20369" s="19"/>
      <c r="AU20369" s="19"/>
    </row>
    <row r="20370" spans="3:47">
      <c r="C20370" s="20"/>
      <c r="Z20370" s="20"/>
      <c r="AG20370" s="20"/>
      <c r="AQ20370" s="19"/>
      <c r="AR20370" s="19"/>
      <c r="AS20370" s="19"/>
      <c r="AT20370" s="19"/>
      <c r="AU20370" s="19"/>
    </row>
    <row r="20371" spans="3:47">
      <c r="C20371" s="20"/>
      <c r="Z20371" s="20"/>
      <c r="AG20371" s="20"/>
      <c r="AQ20371" s="19"/>
      <c r="AR20371" s="19"/>
      <c r="AS20371" s="19"/>
      <c r="AT20371" s="19"/>
      <c r="AU20371" s="19"/>
    </row>
    <row r="20372" spans="3:47">
      <c r="C20372" s="20"/>
      <c r="Z20372" s="20"/>
      <c r="AG20372" s="20"/>
      <c r="AQ20372" s="19"/>
      <c r="AR20372" s="19"/>
      <c r="AS20372" s="19"/>
      <c r="AT20372" s="19"/>
      <c r="AU20372" s="19"/>
    </row>
    <row r="20373" spans="3:47">
      <c r="C20373" s="20"/>
      <c r="Z20373" s="20"/>
      <c r="AG20373" s="20"/>
      <c r="AQ20373" s="19"/>
      <c r="AR20373" s="19"/>
      <c r="AS20373" s="19"/>
      <c r="AT20373" s="19"/>
      <c r="AU20373" s="19"/>
    </row>
    <row r="20374" spans="3:47">
      <c r="C20374" s="20"/>
      <c r="Z20374" s="20"/>
      <c r="AG20374" s="20"/>
      <c r="AQ20374" s="19"/>
      <c r="AR20374" s="19"/>
      <c r="AS20374" s="19"/>
      <c r="AT20374" s="19"/>
      <c r="AU20374" s="19"/>
    </row>
    <row r="20375" spans="3:47">
      <c r="C20375" s="20"/>
      <c r="Z20375" s="20"/>
      <c r="AG20375" s="20"/>
      <c r="AQ20375" s="19"/>
      <c r="AR20375" s="19"/>
      <c r="AS20375" s="19"/>
      <c r="AT20375" s="19"/>
      <c r="AU20375" s="19"/>
    </row>
    <row r="20376" spans="3:47">
      <c r="C20376" s="20"/>
      <c r="Z20376" s="20"/>
      <c r="AG20376" s="20"/>
      <c r="AQ20376" s="19"/>
      <c r="AR20376" s="19"/>
      <c r="AS20376" s="19"/>
      <c r="AT20376" s="19"/>
      <c r="AU20376" s="19"/>
    </row>
    <row r="20377" spans="3:47">
      <c r="C20377" s="20"/>
      <c r="Z20377" s="20"/>
      <c r="AG20377" s="20"/>
      <c r="AQ20377" s="19"/>
      <c r="AR20377" s="19"/>
      <c r="AS20377" s="19"/>
      <c r="AT20377" s="19"/>
      <c r="AU20377" s="19"/>
    </row>
    <row r="20378" spans="3:47">
      <c r="C20378" s="20"/>
      <c r="Z20378" s="20"/>
      <c r="AG20378" s="20"/>
      <c r="AQ20378" s="19"/>
      <c r="AR20378" s="19"/>
      <c r="AS20378" s="19"/>
      <c r="AT20378" s="19"/>
      <c r="AU20378" s="19"/>
    </row>
    <row r="20379" spans="3:47">
      <c r="C20379" s="20"/>
      <c r="Z20379" s="20"/>
      <c r="AG20379" s="20"/>
      <c r="AQ20379" s="19"/>
      <c r="AR20379" s="19"/>
      <c r="AS20379" s="19"/>
      <c r="AT20379" s="19"/>
      <c r="AU20379" s="19"/>
    </row>
    <row r="20380" spans="3:47">
      <c r="C20380" s="20"/>
      <c r="Z20380" s="20"/>
      <c r="AG20380" s="20"/>
      <c r="AQ20380" s="19"/>
      <c r="AR20380" s="19"/>
      <c r="AS20380" s="19"/>
      <c r="AT20380" s="19"/>
      <c r="AU20380" s="19"/>
    </row>
    <row r="20381" spans="3:47">
      <c r="C20381" s="20"/>
      <c r="Z20381" s="20"/>
      <c r="AG20381" s="20"/>
      <c r="AQ20381" s="19"/>
      <c r="AR20381" s="19"/>
      <c r="AS20381" s="19"/>
      <c r="AT20381" s="19"/>
      <c r="AU20381" s="19"/>
    </row>
    <row r="20382" spans="3:47">
      <c r="C20382" s="20"/>
      <c r="Z20382" s="20"/>
      <c r="AG20382" s="20"/>
      <c r="AQ20382" s="19"/>
      <c r="AR20382" s="19"/>
      <c r="AS20382" s="19"/>
      <c r="AT20382" s="19"/>
      <c r="AU20382" s="19"/>
    </row>
    <row r="20383" spans="3:47">
      <c r="C20383" s="20"/>
      <c r="Z20383" s="20"/>
      <c r="AG20383" s="20"/>
      <c r="AQ20383" s="19"/>
      <c r="AR20383" s="19"/>
      <c r="AS20383" s="19"/>
      <c r="AT20383" s="19"/>
      <c r="AU20383" s="19"/>
    </row>
    <row r="20384" spans="3:47">
      <c r="C20384" s="20"/>
      <c r="Z20384" s="20"/>
      <c r="AG20384" s="20"/>
      <c r="AQ20384" s="19"/>
      <c r="AR20384" s="19"/>
      <c r="AS20384" s="19"/>
      <c r="AT20384" s="19"/>
      <c r="AU20384" s="19"/>
    </row>
    <row r="20385" spans="3:47">
      <c r="C20385" s="20"/>
      <c r="Z20385" s="20"/>
      <c r="AG20385" s="20"/>
      <c r="AQ20385" s="19"/>
      <c r="AR20385" s="19"/>
      <c r="AS20385" s="19"/>
      <c r="AT20385" s="19"/>
      <c r="AU20385" s="19"/>
    </row>
    <row r="20386" spans="3:47">
      <c r="C20386" s="20"/>
      <c r="Z20386" s="20"/>
      <c r="AG20386" s="20"/>
      <c r="AQ20386" s="19"/>
      <c r="AR20386" s="19"/>
      <c r="AS20386" s="19"/>
      <c r="AT20386" s="19"/>
      <c r="AU20386" s="19"/>
    </row>
    <row r="20387" spans="3:47">
      <c r="C20387" s="20"/>
      <c r="Z20387" s="20"/>
      <c r="AG20387" s="20"/>
      <c r="AQ20387" s="19"/>
      <c r="AR20387" s="19"/>
      <c r="AS20387" s="19"/>
      <c r="AT20387" s="19"/>
      <c r="AU20387" s="19"/>
    </row>
    <row r="20388" spans="3:47">
      <c r="C20388" s="20"/>
      <c r="Z20388" s="20"/>
      <c r="AG20388" s="20"/>
      <c r="AQ20388" s="19"/>
      <c r="AR20388" s="19"/>
      <c r="AS20388" s="19"/>
      <c r="AT20388" s="19"/>
      <c r="AU20388" s="19"/>
    </row>
    <row r="20389" spans="3:47">
      <c r="C20389" s="20"/>
      <c r="Z20389" s="20"/>
      <c r="AG20389" s="20"/>
      <c r="AQ20389" s="19"/>
      <c r="AR20389" s="19"/>
      <c r="AS20389" s="19"/>
      <c r="AT20389" s="19"/>
      <c r="AU20389" s="19"/>
    </row>
    <row r="20390" spans="3:47">
      <c r="C20390" s="20"/>
      <c r="Z20390" s="20"/>
      <c r="AG20390" s="20"/>
      <c r="AQ20390" s="19"/>
      <c r="AR20390" s="19"/>
      <c r="AS20390" s="19"/>
      <c r="AT20390" s="19"/>
      <c r="AU20390" s="19"/>
    </row>
    <row r="20391" spans="3:47">
      <c r="C20391" s="20"/>
      <c r="Z20391" s="20"/>
      <c r="AG20391" s="20"/>
      <c r="AQ20391" s="19"/>
      <c r="AR20391" s="19"/>
      <c r="AS20391" s="19"/>
      <c r="AT20391" s="19"/>
      <c r="AU20391" s="19"/>
    </row>
    <row r="20392" spans="3:47">
      <c r="C20392" s="20"/>
      <c r="Z20392" s="20"/>
      <c r="AG20392" s="20"/>
      <c r="AQ20392" s="19"/>
      <c r="AR20392" s="19"/>
      <c r="AS20392" s="19"/>
      <c r="AT20392" s="19"/>
      <c r="AU20392" s="19"/>
    </row>
    <row r="20393" spans="3:47">
      <c r="C20393" s="20"/>
      <c r="Z20393" s="20"/>
      <c r="AG20393" s="20"/>
      <c r="AQ20393" s="19"/>
      <c r="AR20393" s="19"/>
      <c r="AS20393" s="19"/>
      <c r="AT20393" s="19"/>
      <c r="AU20393" s="19"/>
    </row>
    <row r="20394" spans="3:47">
      <c r="C20394" s="20"/>
      <c r="Z20394" s="20"/>
      <c r="AG20394" s="20"/>
      <c r="AQ20394" s="19"/>
      <c r="AR20394" s="19"/>
      <c r="AS20394" s="19"/>
      <c r="AT20394" s="19"/>
      <c r="AU20394" s="19"/>
    </row>
    <row r="20395" spans="3:47">
      <c r="C20395" s="20"/>
      <c r="Z20395" s="20"/>
      <c r="AG20395" s="20"/>
      <c r="AQ20395" s="19"/>
      <c r="AR20395" s="19"/>
      <c r="AS20395" s="19"/>
      <c r="AT20395" s="19"/>
      <c r="AU20395" s="19"/>
    </row>
    <row r="20396" spans="3:47">
      <c r="C20396" s="20"/>
      <c r="Z20396" s="20"/>
      <c r="AG20396" s="20"/>
      <c r="AQ20396" s="19"/>
      <c r="AR20396" s="19"/>
      <c r="AS20396" s="19"/>
      <c r="AT20396" s="19"/>
      <c r="AU20396" s="19"/>
    </row>
    <row r="20397" spans="3:47">
      <c r="C20397" s="20"/>
      <c r="Z20397" s="20"/>
      <c r="AG20397" s="20"/>
      <c r="AQ20397" s="19"/>
      <c r="AR20397" s="19"/>
      <c r="AS20397" s="19"/>
      <c r="AT20397" s="19"/>
      <c r="AU20397" s="19"/>
    </row>
    <row r="20398" spans="3:47">
      <c r="C20398" s="20"/>
      <c r="Z20398" s="20"/>
      <c r="AG20398" s="20"/>
      <c r="AQ20398" s="19"/>
      <c r="AR20398" s="19"/>
      <c r="AS20398" s="19"/>
      <c r="AT20398" s="19"/>
      <c r="AU20398" s="19"/>
    </row>
    <row r="20399" spans="3:47">
      <c r="C20399" s="20"/>
      <c r="Z20399" s="20"/>
      <c r="AG20399" s="20"/>
      <c r="AQ20399" s="19"/>
      <c r="AR20399" s="19"/>
      <c r="AS20399" s="19"/>
      <c r="AT20399" s="19"/>
      <c r="AU20399" s="19"/>
    </row>
    <row r="20400" spans="3:47">
      <c r="C20400" s="20"/>
      <c r="Z20400" s="20"/>
      <c r="AG20400" s="20"/>
      <c r="AQ20400" s="19"/>
      <c r="AR20400" s="19"/>
      <c r="AS20400" s="19"/>
      <c r="AT20400" s="19"/>
      <c r="AU20400" s="19"/>
    </row>
    <row r="20401" spans="3:47">
      <c r="C20401" s="20"/>
      <c r="Z20401" s="20"/>
      <c r="AG20401" s="20"/>
      <c r="AQ20401" s="19"/>
      <c r="AR20401" s="19"/>
      <c r="AS20401" s="19"/>
      <c r="AT20401" s="19"/>
      <c r="AU20401" s="19"/>
    </row>
    <row r="20402" spans="3:47">
      <c r="C20402" s="20"/>
      <c r="Z20402" s="20"/>
      <c r="AG20402" s="20"/>
      <c r="AQ20402" s="19"/>
      <c r="AR20402" s="19"/>
      <c r="AS20402" s="19"/>
      <c r="AT20402" s="19"/>
      <c r="AU20402" s="19"/>
    </row>
    <row r="20403" spans="3:47">
      <c r="C20403" s="20"/>
      <c r="Z20403" s="20"/>
      <c r="AG20403" s="20"/>
      <c r="AQ20403" s="19"/>
      <c r="AR20403" s="19"/>
      <c r="AS20403" s="19"/>
      <c r="AT20403" s="19"/>
      <c r="AU20403" s="19"/>
    </row>
    <row r="20404" spans="3:47">
      <c r="C20404" s="20"/>
      <c r="Z20404" s="20"/>
      <c r="AG20404" s="20"/>
      <c r="AQ20404" s="19"/>
      <c r="AR20404" s="19"/>
      <c r="AS20404" s="19"/>
      <c r="AT20404" s="19"/>
      <c r="AU20404" s="19"/>
    </row>
    <row r="20405" spans="3:47">
      <c r="C20405" s="20"/>
      <c r="Z20405" s="20"/>
      <c r="AG20405" s="20"/>
      <c r="AQ20405" s="19"/>
      <c r="AR20405" s="19"/>
      <c r="AS20405" s="19"/>
      <c r="AT20405" s="19"/>
      <c r="AU20405" s="19"/>
    </row>
    <row r="20406" spans="3:47">
      <c r="C20406" s="20"/>
      <c r="Z20406" s="20"/>
      <c r="AG20406" s="20"/>
      <c r="AQ20406" s="19"/>
      <c r="AR20406" s="19"/>
      <c r="AS20406" s="19"/>
      <c r="AT20406" s="19"/>
      <c r="AU20406" s="19"/>
    </row>
    <row r="20407" spans="3:47">
      <c r="C20407" s="20"/>
      <c r="Z20407" s="20"/>
      <c r="AG20407" s="20"/>
      <c r="AQ20407" s="19"/>
      <c r="AR20407" s="19"/>
      <c r="AS20407" s="19"/>
      <c r="AT20407" s="19"/>
      <c r="AU20407" s="19"/>
    </row>
    <row r="20408" spans="3:47">
      <c r="C20408" s="20"/>
      <c r="Z20408" s="20"/>
      <c r="AG20408" s="20"/>
      <c r="AQ20408" s="19"/>
      <c r="AR20408" s="19"/>
      <c r="AS20408" s="19"/>
      <c r="AT20408" s="19"/>
      <c r="AU20408" s="19"/>
    </row>
    <row r="20409" spans="3:47">
      <c r="C20409" s="20"/>
      <c r="Z20409" s="20"/>
      <c r="AG20409" s="20"/>
      <c r="AQ20409" s="19"/>
      <c r="AR20409" s="19"/>
      <c r="AS20409" s="19"/>
      <c r="AT20409" s="19"/>
      <c r="AU20409" s="19"/>
    </row>
    <row r="20410" spans="3:47">
      <c r="C20410" s="20"/>
      <c r="Z20410" s="20"/>
      <c r="AG20410" s="20"/>
      <c r="AQ20410" s="19"/>
      <c r="AR20410" s="19"/>
      <c r="AS20410" s="19"/>
      <c r="AT20410" s="19"/>
      <c r="AU20410" s="19"/>
    </row>
    <row r="20411" spans="3:47">
      <c r="C20411" s="20"/>
      <c r="Z20411" s="20"/>
      <c r="AG20411" s="20"/>
      <c r="AQ20411" s="19"/>
      <c r="AR20411" s="19"/>
      <c r="AS20411" s="19"/>
      <c r="AT20411" s="19"/>
      <c r="AU20411" s="19"/>
    </row>
    <row r="20412" spans="3:47">
      <c r="C20412" s="20"/>
      <c r="Z20412" s="20"/>
      <c r="AG20412" s="20"/>
      <c r="AQ20412" s="19"/>
      <c r="AR20412" s="19"/>
      <c r="AS20412" s="19"/>
      <c r="AT20412" s="19"/>
      <c r="AU20412" s="19"/>
    </row>
    <row r="20413" spans="3:47">
      <c r="C20413" s="20"/>
      <c r="Z20413" s="20"/>
      <c r="AG20413" s="20"/>
      <c r="AQ20413" s="19"/>
      <c r="AR20413" s="19"/>
      <c r="AS20413" s="19"/>
      <c r="AT20413" s="19"/>
      <c r="AU20413" s="19"/>
    </row>
    <row r="20414" spans="3:47">
      <c r="C20414" s="20"/>
      <c r="Z20414" s="20"/>
      <c r="AG20414" s="20"/>
      <c r="AQ20414" s="19"/>
      <c r="AR20414" s="19"/>
      <c r="AS20414" s="19"/>
      <c r="AT20414" s="19"/>
      <c r="AU20414" s="19"/>
    </row>
    <row r="20415" spans="3:47">
      <c r="C20415" s="20"/>
      <c r="Z20415" s="20"/>
      <c r="AG20415" s="20"/>
      <c r="AQ20415" s="19"/>
      <c r="AR20415" s="19"/>
      <c r="AS20415" s="19"/>
      <c r="AT20415" s="19"/>
      <c r="AU20415" s="19"/>
    </row>
    <row r="20416" spans="3:47">
      <c r="C20416" s="20"/>
      <c r="Z20416" s="20"/>
      <c r="AG20416" s="20"/>
      <c r="AQ20416" s="19"/>
      <c r="AR20416" s="19"/>
      <c r="AS20416" s="19"/>
      <c r="AT20416" s="19"/>
      <c r="AU20416" s="19"/>
    </row>
    <row r="20417" spans="3:47">
      <c r="C20417" s="20"/>
      <c r="Z20417" s="20"/>
      <c r="AG20417" s="20"/>
      <c r="AQ20417" s="19"/>
      <c r="AR20417" s="19"/>
      <c r="AS20417" s="19"/>
      <c r="AT20417" s="19"/>
      <c r="AU20417" s="19"/>
    </row>
    <row r="20418" spans="3:47">
      <c r="C20418" s="20"/>
      <c r="Z20418" s="20"/>
      <c r="AG20418" s="20"/>
      <c r="AQ20418" s="19"/>
      <c r="AR20418" s="19"/>
      <c r="AS20418" s="19"/>
      <c r="AT20418" s="19"/>
      <c r="AU20418" s="19"/>
    </row>
    <row r="20419" spans="3:47">
      <c r="C20419" s="20"/>
      <c r="Z20419" s="20"/>
      <c r="AG20419" s="20"/>
      <c r="AQ20419" s="19"/>
      <c r="AR20419" s="19"/>
      <c r="AS20419" s="19"/>
      <c r="AT20419" s="19"/>
      <c r="AU20419" s="19"/>
    </row>
    <row r="20420" spans="3:47">
      <c r="C20420" s="20"/>
      <c r="Z20420" s="20"/>
      <c r="AG20420" s="20"/>
      <c r="AQ20420" s="19"/>
      <c r="AR20420" s="19"/>
      <c r="AS20420" s="19"/>
      <c r="AT20420" s="19"/>
      <c r="AU20420" s="19"/>
    </row>
    <row r="20421" spans="3:47">
      <c r="C20421" s="20"/>
      <c r="Z20421" s="20"/>
      <c r="AG20421" s="20"/>
      <c r="AQ20421" s="19"/>
      <c r="AR20421" s="19"/>
      <c r="AS20421" s="19"/>
      <c r="AT20421" s="19"/>
      <c r="AU20421" s="19"/>
    </row>
    <row r="20422" spans="3:47">
      <c r="C20422" s="20"/>
      <c r="Z20422" s="20"/>
      <c r="AG20422" s="20"/>
      <c r="AQ20422" s="19"/>
      <c r="AR20422" s="19"/>
      <c r="AS20422" s="19"/>
      <c r="AT20422" s="19"/>
      <c r="AU20422" s="19"/>
    </row>
    <row r="20423" spans="3:47">
      <c r="C20423" s="20"/>
      <c r="Z20423" s="20"/>
      <c r="AG20423" s="20"/>
      <c r="AQ20423" s="19"/>
      <c r="AR20423" s="19"/>
      <c r="AS20423" s="19"/>
      <c r="AT20423" s="19"/>
      <c r="AU20423" s="19"/>
    </row>
    <row r="20424" spans="3:47">
      <c r="C20424" s="20"/>
      <c r="Z20424" s="20"/>
      <c r="AG20424" s="20"/>
      <c r="AQ20424" s="19"/>
      <c r="AR20424" s="19"/>
      <c r="AS20424" s="19"/>
      <c r="AT20424" s="19"/>
      <c r="AU20424" s="19"/>
    </row>
    <row r="20425" spans="3:47">
      <c r="C20425" s="20"/>
      <c r="Z20425" s="20"/>
      <c r="AG20425" s="20"/>
      <c r="AQ20425" s="19"/>
      <c r="AR20425" s="19"/>
      <c r="AS20425" s="19"/>
      <c r="AT20425" s="19"/>
      <c r="AU20425" s="19"/>
    </row>
    <row r="20426" spans="3:47">
      <c r="C20426" s="20"/>
      <c r="Z20426" s="20"/>
      <c r="AG20426" s="20"/>
      <c r="AQ20426" s="19"/>
      <c r="AR20426" s="19"/>
      <c r="AS20426" s="19"/>
      <c r="AT20426" s="19"/>
      <c r="AU20426" s="19"/>
    </row>
    <row r="20427" spans="3:47">
      <c r="C20427" s="20"/>
      <c r="Z20427" s="20"/>
      <c r="AG20427" s="20"/>
      <c r="AQ20427" s="19"/>
      <c r="AR20427" s="19"/>
      <c r="AS20427" s="19"/>
      <c r="AT20427" s="19"/>
      <c r="AU20427" s="19"/>
    </row>
    <row r="20428" spans="3:47">
      <c r="C20428" s="20"/>
      <c r="Z20428" s="20"/>
      <c r="AG20428" s="20"/>
      <c r="AQ20428" s="19"/>
      <c r="AR20428" s="19"/>
      <c r="AS20428" s="19"/>
      <c r="AT20428" s="19"/>
      <c r="AU20428" s="19"/>
    </row>
    <row r="20429" spans="3:47">
      <c r="C20429" s="20"/>
      <c r="Z20429" s="20"/>
      <c r="AG20429" s="20"/>
      <c r="AQ20429" s="19"/>
      <c r="AR20429" s="19"/>
      <c r="AS20429" s="19"/>
      <c r="AT20429" s="19"/>
      <c r="AU20429" s="19"/>
    </row>
    <row r="20430" spans="3:47">
      <c r="C20430" s="20"/>
      <c r="Z20430" s="20"/>
      <c r="AG20430" s="20"/>
      <c r="AQ20430" s="19"/>
      <c r="AR20430" s="19"/>
      <c r="AS20430" s="19"/>
      <c r="AT20430" s="19"/>
      <c r="AU20430" s="19"/>
    </row>
    <row r="20431" spans="3:47">
      <c r="C20431" s="20"/>
      <c r="Z20431" s="20"/>
      <c r="AG20431" s="20"/>
      <c r="AQ20431" s="19"/>
      <c r="AR20431" s="19"/>
      <c r="AS20431" s="19"/>
      <c r="AT20431" s="19"/>
      <c r="AU20431" s="19"/>
    </row>
    <row r="20432" spans="3:47">
      <c r="C20432" s="20"/>
      <c r="Z20432" s="20"/>
      <c r="AG20432" s="20"/>
      <c r="AQ20432" s="19"/>
      <c r="AR20432" s="19"/>
      <c r="AS20432" s="19"/>
      <c r="AT20432" s="19"/>
      <c r="AU20432" s="19"/>
    </row>
    <row r="20433" spans="3:47">
      <c r="C20433" s="20"/>
      <c r="Z20433" s="20"/>
      <c r="AG20433" s="20"/>
      <c r="AQ20433" s="19"/>
      <c r="AR20433" s="19"/>
      <c r="AS20433" s="19"/>
      <c r="AT20433" s="19"/>
      <c r="AU20433" s="19"/>
    </row>
    <row r="20434" spans="3:47">
      <c r="C20434" s="20"/>
      <c r="Z20434" s="20"/>
      <c r="AG20434" s="20"/>
      <c r="AQ20434" s="19"/>
      <c r="AR20434" s="19"/>
      <c r="AS20434" s="19"/>
      <c r="AT20434" s="19"/>
      <c r="AU20434" s="19"/>
    </row>
    <row r="20435" spans="3:47">
      <c r="C20435" s="20"/>
      <c r="Z20435" s="20"/>
      <c r="AG20435" s="20"/>
      <c r="AQ20435" s="19"/>
      <c r="AR20435" s="19"/>
      <c r="AS20435" s="19"/>
      <c r="AT20435" s="19"/>
      <c r="AU20435" s="19"/>
    </row>
    <row r="20436" spans="3:47">
      <c r="C20436" s="20"/>
      <c r="Z20436" s="20"/>
      <c r="AG20436" s="20"/>
      <c r="AQ20436" s="19"/>
      <c r="AR20436" s="19"/>
      <c r="AS20436" s="19"/>
      <c r="AT20436" s="19"/>
      <c r="AU20436" s="19"/>
    </row>
    <row r="20437" spans="3:47">
      <c r="C20437" s="20"/>
      <c r="Z20437" s="20"/>
      <c r="AG20437" s="20"/>
      <c r="AQ20437" s="19"/>
      <c r="AR20437" s="19"/>
      <c r="AS20437" s="19"/>
      <c r="AT20437" s="19"/>
      <c r="AU20437" s="19"/>
    </row>
    <row r="20438" spans="3:47">
      <c r="C20438" s="20"/>
      <c r="Z20438" s="20"/>
      <c r="AG20438" s="20"/>
      <c r="AQ20438" s="19"/>
      <c r="AR20438" s="19"/>
      <c r="AS20438" s="19"/>
      <c r="AT20438" s="19"/>
      <c r="AU20438" s="19"/>
    </row>
    <row r="20439" spans="3:47">
      <c r="C20439" s="20"/>
      <c r="Z20439" s="20"/>
      <c r="AG20439" s="20"/>
      <c r="AQ20439" s="19"/>
      <c r="AR20439" s="19"/>
      <c r="AS20439" s="19"/>
      <c r="AT20439" s="19"/>
      <c r="AU20439" s="19"/>
    </row>
    <row r="20440" spans="3:47">
      <c r="C20440" s="20"/>
      <c r="Z20440" s="20"/>
      <c r="AG20440" s="20"/>
      <c r="AQ20440" s="19"/>
      <c r="AR20440" s="19"/>
      <c r="AS20440" s="19"/>
      <c r="AT20440" s="19"/>
      <c r="AU20440" s="19"/>
    </row>
    <row r="20441" spans="3:47">
      <c r="C20441" s="20"/>
      <c r="Z20441" s="20"/>
      <c r="AG20441" s="20"/>
      <c r="AQ20441" s="19"/>
      <c r="AR20441" s="19"/>
      <c r="AS20441" s="19"/>
      <c r="AT20441" s="19"/>
      <c r="AU20441" s="19"/>
    </row>
    <row r="20442" spans="3:47">
      <c r="C20442" s="20"/>
      <c r="Z20442" s="20"/>
      <c r="AG20442" s="20"/>
      <c r="AQ20442" s="19"/>
      <c r="AR20442" s="19"/>
      <c r="AS20442" s="19"/>
      <c r="AT20442" s="19"/>
      <c r="AU20442" s="19"/>
    </row>
    <row r="20443" spans="3:47">
      <c r="C20443" s="20"/>
      <c r="Z20443" s="20"/>
      <c r="AG20443" s="20"/>
      <c r="AQ20443" s="19"/>
      <c r="AR20443" s="19"/>
      <c r="AS20443" s="19"/>
      <c r="AT20443" s="19"/>
      <c r="AU20443" s="19"/>
    </row>
    <row r="20444" spans="3:47">
      <c r="C20444" s="20"/>
      <c r="Z20444" s="20"/>
      <c r="AG20444" s="20"/>
      <c r="AQ20444" s="19"/>
      <c r="AR20444" s="19"/>
      <c r="AS20444" s="19"/>
      <c r="AT20444" s="19"/>
      <c r="AU20444" s="19"/>
    </row>
    <row r="20445" spans="3:47">
      <c r="C20445" s="20"/>
      <c r="Z20445" s="20"/>
      <c r="AG20445" s="20"/>
      <c r="AQ20445" s="19"/>
      <c r="AR20445" s="19"/>
      <c r="AS20445" s="19"/>
      <c r="AT20445" s="19"/>
      <c r="AU20445" s="19"/>
    </row>
    <row r="20446" spans="3:47">
      <c r="C20446" s="20"/>
      <c r="Z20446" s="20"/>
      <c r="AG20446" s="20"/>
      <c r="AQ20446" s="19"/>
      <c r="AR20446" s="19"/>
      <c r="AS20446" s="19"/>
      <c r="AT20446" s="19"/>
      <c r="AU20446" s="19"/>
    </row>
    <row r="20447" spans="3:47">
      <c r="C20447" s="20"/>
      <c r="Z20447" s="20"/>
      <c r="AG20447" s="20"/>
      <c r="AQ20447" s="19"/>
      <c r="AR20447" s="19"/>
      <c r="AS20447" s="19"/>
      <c r="AT20447" s="19"/>
      <c r="AU20447" s="19"/>
    </row>
    <row r="20448" spans="3:47">
      <c r="C20448" s="20"/>
      <c r="Z20448" s="20"/>
      <c r="AG20448" s="20"/>
      <c r="AQ20448" s="19"/>
      <c r="AR20448" s="19"/>
      <c r="AS20448" s="19"/>
      <c r="AT20448" s="19"/>
      <c r="AU20448" s="19"/>
    </row>
    <row r="20449" spans="3:47">
      <c r="C20449" s="20"/>
      <c r="Z20449" s="20"/>
      <c r="AG20449" s="20"/>
      <c r="AQ20449" s="19"/>
      <c r="AR20449" s="19"/>
      <c r="AS20449" s="19"/>
      <c r="AT20449" s="19"/>
      <c r="AU20449" s="19"/>
    </row>
    <row r="20450" spans="3:47">
      <c r="C20450" s="20"/>
      <c r="Z20450" s="20"/>
      <c r="AG20450" s="20"/>
      <c r="AQ20450" s="19"/>
      <c r="AR20450" s="19"/>
      <c r="AS20450" s="19"/>
      <c r="AT20450" s="19"/>
      <c r="AU20450" s="19"/>
    </row>
    <row r="20451" spans="3:47">
      <c r="C20451" s="20"/>
      <c r="Z20451" s="20"/>
      <c r="AG20451" s="20"/>
      <c r="AQ20451" s="19"/>
      <c r="AR20451" s="19"/>
      <c r="AS20451" s="19"/>
      <c r="AT20451" s="19"/>
      <c r="AU20451" s="19"/>
    </row>
    <row r="20452" spans="3:47">
      <c r="C20452" s="20"/>
      <c r="Z20452" s="20"/>
      <c r="AG20452" s="20"/>
      <c r="AQ20452" s="19"/>
      <c r="AR20452" s="19"/>
      <c r="AS20452" s="19"/>
      <c r="AT20452" s="19"/>
      <c r="AU20452" s="19"/>
    </row>
    <row r="20453" spans="3:47">
      <c r="C20453" s="20"/>
      <c r="Z20453" s="20"/>
      <c r="AG20453" s="20"/>
      <c r="AQ20453" s="19"/>
      <c r="AR20453" s="19"/>
      <c r="AS20453" s="19"/>
      <c r="AT20453" s="19"/>
      <c r="AU20453" s="19"/>
    </row>
    <row r="20454" spans="3:47">
      <c r="C20454" s="20"/>
      <c r="Z20454" s="20"/>
      <c r="AG20454" s="20"/>
      <c r="AQ20454" s="19"/>
      <c r="AR20454" s="19"/>
      <c r="AS20454" s="19"/>
      <c r="AT20454" s="19"/>
      <c r="AU20454" s="19"/>
    </row>
    <row r="20455" spans="3:47">
      <c r="C20455" s="20"/>
      <c r="Z20455" s="20"/>
      <c r="AG20455" s="20"/>
      <c r="AQ20455" s="19"/>
      <c r="AR20455" s="19"/>
      <c r="AS20455" s="19"/>
      <c r="AT20455" s="19"/>
      <c r="AU20455" s="19"/>
    </row>
    <row r="20456" spans="3:47">
      <c r="C20456" s="20"/>
      <c r="Z20456" s="20"/>
      <c r="AG20456" s="20"/>
      <c r="AQ20456" s="19"/>
      <c r="AR20456" s="19"/>
      <c r="AS20456" s="19"/>
      <c r="AT20456" s="19"/>
      <c r="AU20456" s="19"/>
    </row>
    <row r="20457" spans="3:47">
      <c r="C20457" s="20"/>
      <c r="Z20457" s="20"/>
      <c r="AG20457" s="20"/>
      <c r="AQ20457" s="19"/>
      <c r="AR20457" s="19"/>
      <c r="AS20457" s="19"/>
      <c r="AT20457" s="19"/>
      <c r="AU20457" s="19"/>
    </row>
    <row r="20458" spans="3:47">
      <c r="C20458" s="20"/>
      <c r="Z20458" s="20"/>
      <c r="AG20458" s="20"/>
      <c r="AQ20458" s="19"/>
      <c r="AR20458" s="19"/>
      <c r="AS20458" s="19"/>
      <c r="AT20458" s="19"/>
      <c r="AU20458" s="19"/>
    </row>
    <row r="20459" spans="3:47">
      <c r="C20459" s="20"/>
      <c r="Z20459" s="20"/>
      <c r="AG20459" s="20"/>
      <c r="AQ20459" s="19"/>
      <c r="AR20459" s="19"/>
      <c r="AS20459" s="19"/>
      <c r="AT20459" s="19"/>
      <c r="AU20459" s="19"/>
    </row>
    <row r="20460" spans="3:47">
      <c r="C20460" s="20"/>
      <c r="Z20460" s="20"/>
      <c r="AG20460" s="20"/>
      <c r="AQ20460" s="19"/>
      <c r="AR20460" s="19"/>
      <c r="AS20460" s="19"/>
      <c r="AT20460" s="19"/>
      <c r="AU20460" s="19"/>
    </row>
    <row r="20461" spans="3:47">
      <c r="C20461" s="20"/>
      <c r="Z20461" s="20"/>
      <c r="AG20461" s="20"/>
      <c r="AQ20461" s="19"/>
      <c r="AR20461" s="19"/>
      <c r="AS20461" s="19"/>
      <c r="AT20461" s="19"/>
      <c r="AU20461" s="19"/>
    </row>
    <row r="20462" spans="3:47">
      <c r="C20462" s="20"/>
      <c r="Z20462" s="20"/>
      <c r="AG20462" s="20"/>
      <c r="AQ20462" s="19"/>
      <c r="AR20462" s="19"/>
      <c r="AS20462" s="19"/>
      <c r="AT20462" s="19"/>
      <c r="AU20462" s="19"/>
    </row>
    <row r="20463" spans="3:47">
      <c r="C20463" s="20"/>
      <c r="Z20463" s="20"/>
      <c r="AG20463" s="20"/>
      <c r="AQ20463" s="19"/>
      <c r="AR20463" s="19"/>
      <c r="AS20463" s="19"/>
      <c r="AT20463" s="19"/>
      <c r="AU20463" s="19"/>
    </row>
    <row r="20464" spans="3:47">
      <c r="C20464" s="20"/>
      <c r="Z20464" s="20"/>
      <c r="AG20464" s="20"/>
      <c r="AQ20464" s="19"/>
      <c r="AR20464" s="19"/>
      <c r="AS20464" s="19"/>
      <c r="AT20464" s="19"/>
      <c r="AU20464" s="19"/>
    </row>
    <row r="20465" spans="3:47">
      <c r="C20465" s="20"/>
      <c r="Z20465" s="20"/>
      <c r="AG20465" s="20"/>
      <c r="AQ20465" s="19"/>
      <c r="AR20465" s="19"/>
      <c r="AS20465" s="19"/>
      <c r="AT20465" s="19"/>
      <c r="AU20465" s="19"/>
    </row>
    <row r="20466" spans="3:47">
      <c r="C20466" s="20"/>
      <c r="Z20466" s="20"/>
      <c r="AG20466" s="20"/>
      <c r="AQ20466" s="19"/>
      <c r="AR20466" s="19"/>
      <c r="AS20466" s="19"/>
      <c r="AT20466" s="19"/>
      <c r="AU20466" s="19"/>
    </row>
    <row r="20467" spans="3:47">
      <c r="C20467" s="20"/>
      <c r="Z20467" s="20"/>
      <c r="AG20467" s="20"/>
      <c r="AQ20467" s="19"/>
      <c r="AR20467" s="19"/>
      <c r="AS20467" s="19"/>
      <c r="AT20467" s="19"/>
      <c r="AU20467" s="19"/>
    </row>
    <row r="20468" spans="3:47">
      <c r="C20468" s="20"/>
      <c r="Z20468" s="20"/>
      <c r="AG20468" s="20"/>
      <c r="AQ20468" s="19"/>
      <c r="AR20468" s="19"/>
      <c r="AS20468" s="19"/>
      <c r="AT20468" s="19"/>
      <c r="AU20468" s="19"/>
    </row>
    <row r="20469" spans="3:47">
      <c r="C20469" s="20"/>
      <c r="Z20469" s="20"/>
      <c r="AG20469" s="20"/>
      <c r="AQ20469" s="19"/>
      <c r="AR20469" s="19"/>
      <c r="AS20469" s="19"/>
      <c r="AT20469" s="19"/>
      <c r="AU20469" s="19"/>
    </row>
    <row r="20470" spans="3:47">
      <c r="C20470" s="20"/>
      <c r="Z20470" s="20"/>
      <c r="AG20470" s="20"/>
      <c r="AQ20470" s="19"/>
      <c r="AR20470" s="19"/>
      <c r="AS20470" s="19"/>
      <c r="AT20470" s="19"/>
      <c r="AU20470" s="19"/>
    </row>
    <row r="20471" spans="3:47">
      <c r="C20471" s="20"/>
      <c r="Z20471" s="20"/>
      <c r="AG20471" s="20"/>
      <c r="AQ20471" s="19"/>
      <c r="AR20471" s="19"/>
      <c r="AS20471" s="19"/>
      <c r="AT20471" s="19"/>
      <c r="AU20471" s="19"/>
    </row>
    <row r="20472" spans="3:47">
      <c r="C20472" s="20"/>
      <c r="Z20472" s="20"/>
      <c r="AG20472" s="20"/>
      <c r="AQ20472" s="19"/>
      <c r="AR20472" s="19"/>
      <c r="AS20472" s="19"/>
      <c r="AT20472" s="19"/>
      <c r="AU20472" s="19"/>
    </row>
    <row r="20473" spans="3:47">
      <c r="C20473" s="20"/>
      <c r="Z20473" s="20"/>
      <c r="AG20473" s="20"/>
      <c r="AQ20473" s="19"/>
      <c r="AR20473" s="19"/>
      <c r="AS20473" s="19"/>
      <c r="AT20473" s="19"/>
      <c r="AU20473" s="19"/>
    </row>
    <row r="20474" spans="3:47">
      <c r="C20474" s="20"/>
      <c r="Z20474" s="20"/>
      <c r="AG20474" s="20"/>
      <c r="AQ20474" s="19"/>
      <c r="AR20474" s="19"/>
      <c r="AS20474" s="19"/>
      <c r="AT20474" s="19"/>
      <c r="AU20474" s="19"/>
    </row>
    <row r="20475" spans="3:47">
      <c r="C20475" s="20"/>
      <c r="Z20475" s="20"/>
      <c r="AG20475" s="20"/>
      <c r="AQ20475" s="19"/>
      <c r="AR20475" s="19"/>
      <c r="AS20475" s="19"/>
      <c r="AT20475" s="19"/>
      <c r="AU20475" s="19"/>
    </row>
    <row r="20476" spans="3:47">
      <c r="C20476" s="20"/>
      <c r="Z20476" s="20"/>
      <c r="AG20476" s="20"/>
      <c r="AQ20476" s="19"/>
      <c r="AR20476" s="19"/>
      <c r="AS20476" s="19"/>
      <c r="AT20476" s="19"/>
      <c r="AU20476" s="19"/>
    </row>
    <row r="20477" spans="3:47">
      <c r="C20477" s="20"/>
      <c r="Z20477" s="20"/>
      <c r="AG20477" s="20"/>
      <c r="AQ20477" s="19"/>
      <c r="AR20477" s="19"/>
      <c r="AS20477" s="19"/>
      <c r="AT20477" s="19"/>
      <c r="AU20477" s="19"/>
    </row>
    <row r="20478" spans="3:47">
      <c r="C20478" s="20"/>
      <c r="Z20478" s="20"/>
      <c r="AG20478" s="20"/>
      <c r="AQ20478" s="19"/>
      <c r="AR20478" s="19"/>
      <c r="AS20478" s="19"/>
      <c r="AT20478" s="19"/>
      <c r="AU20478" s="19"/>
    </row>
    <row r="20479" spans="3:47">
      <c r="C20479" s="20"/>
      <c r="Z20479" s="20"/>
      <c r="AG20479" s="20"/>
      <c r="AQ20479" s="19"/>
      <c r="AR20479" s="19"/>
      <c r="AS20479" s="19"/>
      <c r="AT20479" s="19"/>
      <c r="AU20479" s="19"/>
    </row>
    <row r="20480" spans="3:47">
      <c r="C20480" s="20"/>
      <c r="Z20480" s="20"/>
      <c r="AG20480" s="20"/>
      <c r="AQ20480" s="19"/>
      <c r="AR20480" s="19"/>
      <c r="AS20480" s="19"/>
      <c r="AT20480" s="19"/>
      <c r="AU20480" s="19"/>
    </row>
    <row r="20481" spans="3:47">
      <c r="C20481" s="20"/>
      <c r="Z20481" s="20"/>
      <c r="AG20481" s="20"/>
      <c r="AQ20481" s="19"/>
      <c r="AR20481" s="19"/>
      <c r="AS20481" s="19"/>
      <c r="AT20481" s="19"/>
      <c r="AU20481" s="19"/>
    </row>
    <row r="20482" spans="3:47">
      <c r="C20482" s="20"/>
      <c r="Z20482" s="20"/>
      <c r="AG20482" s="20"/>
      <c r="AQ20482" s="19"/>
      <c r="AR20482" s="19"/>
      <c r="AS20482" s="19"/>
      <c r="AT20482" s="19"/>
      <c r="AU20482" s="19"/>
    </row>
    <row r="20483" spans="3:47">
      <c r="C20483" s="20"/>
      <c r="Z20483" s="20"/>
      <c r="AG20483" s="20"/>
      <c r="AQ20483" s="19"/>
      <c r="AR20483" s="19"/>
      <c r="AS20483" s="19"/>
      <c r="AT20483" s="19"/>
      <c r="AU20483" s="19"/>
    </row>
    <row r="20484" spans="3:47">
      <c r="C20484" s="20"/>
      <c r="Z20484" s="20"/>
      <c r="AG20484" s="20"/>
      <c r="AQ20484" s="19"/>
      <c r="AR20484" s="19"/>
      <c r="AS20484" s="19"/>
      <c r="AT20484" s="19"/>
      <c r="AU20484" s="19"/>
    </row>
    <row r="20485" spans="3:47">
      <c r="C20485" s="20"/>
      <c r="Z20485" s="20"/>
      <c r="AG20485" s="20"/>
      <c r="AQ20485" s="19"/>
      <c r="AR20485" s="19"/>
      <c r="AS20485" s="19"/>
      <c r="AT20485" s="19"/>
      <c r="AU20485" s="19"/>
    </row>
    <row r="20486" spans="3:47">
      <c r="C20486" s="20"/>
      <c r="Z20486" s="20"/>
      <c r="AG20486" s="20"/>
      <c r="AQ20486" s="19"/>
      <c r="AR20486" s="19"/>
      <c r="AS20486" s="19"/>
      <c r="AT20486" s="19"/>
      <c r="AU20486" s="19"/>
    </row>
    <row r="20487" spans="3:47">
      <c r="C20487" s="20"/>
      <c r="Z20487" s="20"/>
      <c r="AG20487" s="20"/>
      <c r="AQ20487" s="19"/>
      <c r="AR20487" s="19"/>
      <c r="AS20487" s="19"/>
      <c r="AT20487" s="19"/>
      <c r="AU20487" s="19"/>
    </row>
    <row r="20488" spans="3:47">
      <c r="C20488" s="20"/>
      <c r="Z20488" s="20"/>
      <c r="AG20488" s="20"/>
      <c r="AQ20488" s="19"/>
      <c r="AR20488" s="19"/>
      <c r="AS20488" s="19"/>
      <c r="AT20488" s="19"/>
      <c r="AU20488" s="19"/>
    </row>
    <row r="20489" spans="3:47">
      <c r="C20489" s="20"/>
      <c r="Z20489" s="20"/>
      <c r="AG20489" s="20"/>
      <c r="AQ20489" s="19"/>
      <c r="AR20489" s="19"/>
      <c r="AS20489" s="19"/>
      <c r="AT20489" s="19"/>
      <c r="AU20489" s="19"/>
    </row>
    <row r="20490" spans="3:47">
      <c r="C20490" s="20"/>
      <c r="Z20490" s="20"/>
      <c r="AG20490" s="20"/>
      <c r="AQ20490" s="19"/>
      <c r="AR20490" s="19"/>
      <c r="AS20490" s="19"/>
      <c r="AT20490" s="19"/>
      <c r="AU20490" s="19"/>
    </row>
    <row r="20491" spans="3:47">
      <c r="C20491" s="20"/>
      <c r="Z20491" s="20"/>
      <c r="AG20491" s="20"/>
      <c r="AQ20491" s="19"/>
      <c r="AR20491" s="19"/>
      <c r="AS20491" s="19"/>
      <c r="AT20491" s="19"/>
      <c r="AU20491" s="19"/>
    </row>
    <row r="20492" spans="3:47">
      <c r="C20492" s="20"/>
      <c r="Z20492" s="20"/>
      <c r="AG20492" s="20"/>
      <c r="AQ20492" s="19"/>
      <c r="AR20492" s="19"/>
      <c r="AS20492" s="19"/>
      <c r="AT20492" s="19"/>
      <c r="AU20492" s="19"/>
    </row>
    <row r="20493" spans="3:47">
      <c r="C20493" s="20"/>
      <c r="Z20493" s="20"/>
      <c r="AG20493" s="20"/>
      <c r="AQ20493" s="19"/>
      <c r="AR20493" s="19"/>
      <c r="AS20493" s="19"/>
      <c r="AT20493" s="19"/>
      <c r="AU20493" s="19"/>
    </row>
    <row r="20494" spans="3:47">
      <c r="C20494" s="20"/>
      <c r="Z20494" s="20"/>
      <c r="AG20494" s="20"/>
      <c r="AQ20494" s="19"/>
      <c r="AR20494" s="19"/>
      <c r="AS20494" s="19"/>
      <c r="AT20494" s="19"/>
      <c r="AU20494" s="19"/>
    </row>
    <row r="20495" spans="3:47">
      <c r="C20495" s="20"/>
      <c r="Z20495" s="20"/>
      <c r="AG20495" s="20"/>
      <c r="AQ20495" s="19"/>
      <c r="AR20495" s="19"/>
      <c r="AS20495" s="19"/>
      <c r="AT20495" s="19"/>
      <c r="AU20495" s="19"/>
    </row>
    <row r="20496" spans="3:47">
      <c r="C20496" s="20"/>
      <c r="Z20496" s="20"/>
      <c r="AG20496" s="20"/>
      <c r="AQ20496" s="19"/>
      <c r="AR20496" s="19"/>
      <c r="AS20496" s="19"/>
      <c r="AT20496" s="19"/>
      <c r="AU20496" s="19"/>
    </row>
    <row r="20497" spans="3:47">
      <c r="C20497" s="20"/>
      <c r="Z20497" s="20"/>
      <c r="AG20497" s="20"/>
      <c r="AQ20497" s="19"/>
      <c r="AR20497" s="19"/>
      <c r="AS20497" s="19"/>
      <c r="AT20497" s="19"/>
      <c r="AU20497" s="19"/>
    </row>
    <row r="20498" spans="3:47">
      <c r="C20498" s="20"/>
      <c r="Z20498" s="20"/>
      <c r="AG20498" s="20"/>
      <c r="AQ20498" s="19"/>
      <c r="AR20498" s="19"/>
      <c r="AS20498" s="19"/>
      <c r="AT20498" s="19"/>
      <c r="AU20498" s="19"/>
    </row>
    <row r="20499" spans="3:47">
      <c r="C20499" s="20"/>
      <c r="Z20499" s="20"/>
      <c r="AG20499" s="20"/>
      <c r="AQ20499" s="19"/>
      <c r="AR20499" s="19"/>
      <c r="AS20499" s="19"/>
      <c r="AT20499" s="19"/>
      <c r="AU20499" s="19"/>
    </row>
    <row r="20500" spans="3:47">
      <c r="C20500" s="20"/>
      <c r="Z20500" s="20"/>
      <c r="AG20500" s="20"/>
      <c r="AQ20500" s="19"/>
      <c r="AR20500" s="19"/>
      <c r="AS20500" s="19"/>
      <c r="AT20500" s="19"/>
      <c r="AU20500" s="19"/>
    </row>
    <row r="20501" spans="3:47">
      <c r="C20501" s="20"/>
      <c r="Z20501" s="20"/>
      <c r="AG20501" s="20"/>
      <c r="AQ20501" s="19"/>
      <c r="AR20501" s="19"/>
      <c r="AS20501" s="19"/>
      <c r="AT20501" s="19"/>
      <c r="AU20501" s="19"/>
    </row>
    <row r="20502" spans="3:47">
      <c r="C20502" s="20"/>
      <c r="Z20502" s="20"/>
      <c r="AG20502" s="20"/>
      <c r="AQ20502" s="19"/>
      <c r="AR20502" s="19"/>
      <c r="AS20502" s="19"/>
      <c r="AT20502" s="19"/>
      <c r="AU20502" s="19"/>
    </row>
    <row r="20503" spans="3:47">
      <c r="C20503" s="20"/>
      <c r="Z20503" s="20"/>
      <c r="AG20503" s="20"/>
      <c r="AQ20503" s="19"/>
      <c r="AR20503" s="19"/>
      <c r="AS20503" s="19"/>
      <c r="AT20503" s="19"/>
      <c r="AU20503" s="19"/>
    </row>
    <row r="20504" spans="3:47">
      <c r="C20504" s="20"/>
      <c r="Z20504" s="20"/>
      <c r="AG20504" s="20"/>
      <c r="AQ20504" s="19"/>
      <c r="AR20504" s="19"/>
      <c r="AS20504" s="19"/>
      <c r="AT20504" s="19"/>
      <c r="AU20504" s="19"/>
    </row>
    <row r="20505" spans="3:47">
      <c r="C20505" s="20"/>
      <c r="Z20505" s="20"/>
      <c r="AG20505" s="20"/>
      <c r="AQ20505" s="19"/>
      <c r="AR20505" s="19"/>
      <c r="AS20505" s="19"/>
      <c r="AT20505" s="19"/>
      <c r="AU20505" s="19"/>
    </row>
    <row r="20506" spans="3:47">
      <c r="C20506" s="20"/>
      <c r="Z20506" s="20"/>
      <c r="AG20506" s="20"/>
      <c r="AQ20506" s="19"/>
      <c r="AR20506" s="19"/>
      <c r="AS20506" s="19"/>
      <c r="AT20506" s="19"/>
      <c r="AU20506" s="19"/>
    </row>
    <row r="20507" spans="3:47">
      <c r="C20507" s="20"/>
      <c r="Z20507" s="20"/>
      <c r="AG20507" s="20"/>
      <c r="AQ20507" s="19"/>
      <c r="AR20507" s="19"/>
      <c r="AS20507" s="19"/>
      <c r="AT20507" s="19"/>
      <c r="AU20507" s="19"/>
    </row>
    <row r="20508" spans="3:47">
      <c r="C20508" s="20"/>
      <c r="Z20508" s="20"/>
      <c r="AG20508" s="20"/>
      <c r="AQ20508" s="19"/>
      <c r="AR20508" s="19"/>
      <c r="AS20508" s="19"/>
      <c r="AT20508" s="19"/>
      <c r="AU20508" s="19"/>
    </row>
    <row r="20509" spans="3:47">
      <c r="C20509" s="20"/>
      <c r="Z20509" s="20"/>
      <c r="AG20509" s="20"/>
      <c r="AQ20509" s="19"/>
      <c r="AR20509" s="19"/>
      <c r="AS20509" s="19"/>
      <c r="AT20509" s="19"/>
      <c r="AU20509" s="19"/>
    </row>
    <row r="20510" spans="3:47">
      <c r="C20510" s="20"/>
      <c r="Z20510" s="20"/>
      <c r="AG20510" s="20"/>
      <c r="AQ20510" s="19"/>
      <c r="AR20510" s="19"/>
      <c r="AS20510" s="19"/>
      <c r="AT20510" s="19"/>
      <c r="AU20510" s="19"/>
    </row>
    <row r="20511" spans="3:47">
      <c r="C20511" s="20"/>
      <c r="Z20511" s="20"/>
      <c r="AG20511" s="20"/>
      <c r="AQ20511" s="19"/>
      <c r="AR20511" s="19"/>
      <c r="AS20511" s="19"/>
      <c r="AT20511" s="19"/>
      <c r="AU20511" s="19"/>
    </row>
    <row r="20512" spans="3:47">
      <c r="C20512" s="20"/>
      <c r="Z20512" s="20"/>
      <c r="AG20512" s="20"/>
      <c r="AQ20512" s="19"/>
      <c r="AR20512" s="19"/>
      <c r="AS20512" s="19"/>
      <c r="AT20512" s="19"/>
      <c r="AU20512" s="19"/>
    </row>
    <row r="20513" spans="3:47">
      <c r="C20513" s="20"/>
      <c r="Z20513" s="20"/>
      <c r="AG20513" s="20"/>
      <c r="AQ20513" s="19"/>
      <c r="AR20513" s="19"/>
      <c r="AS20513" s="19"/>
      <c r="AT20513" s="19"/>
      <c r="AU20513" s="19"/>
    </row>
    <row r="20514" spans="3:47">
      <c r="C20514" s="20"/>
      <c r="Z20514" s="20"/>
      <c r="AG20514" s="20"/>
      <c r="AQ20514" s="19"/>
      <c r="AR20514" s="19"/>
      <c r="AS20514" s="19"/>
      <c r="AT20514" s="19"/>
      <c r="AU20514" s="19"/>
    </row>
    <row r="20515" spans="3:47">
      <c r="C20515" s="20"/>
      <c r="Z20515" s="20"/>
      <c r="AG20515" s="20"/>
      <c r="AQ20515" s="19"/>
      <c r="AR20515" s="19"/>
      <c r="AS20515" s="19"/>
      <c r="AT20515" s="19"/>
      <c r="AU20515" s="19"/>
    </row>
    <row r="20516" spans="3:47">
      <c r="C20516" s="20"/>
      <c r="Z20516" s="20"/>
      <c r="AG20516" s="20"/>
      <c r="AQ20516" s="19"/>
      <c r="AR20516" s="19"/>
      <c r="AS20516" s="19"/>
      <c r="AT20516" s="19"/>
      <c r="AU20516" s="19"/>
    </row>
    <row r="20517" spans="3:47">
      <c r="C20517" s="20"/>
      <c r="Z20517" s="20"/>
      <c r="AG20517" s="20"/>
      <c r="AQ20517" s="19"/>
      <c r="AR20517" s="19"/>
      <c r="AS20517" s="19"/>
      <c r="AT20517" s="19"/>
      <c r="AU20517" s="19"/>
    </row>
    <row r="20518" spans="3:47">
      <c r="C20518" s="20"/>
      <c r="Z20518" s="20"/>
      <c r="AG20518" s="20"/>
      <c r="AQ20518" s="19"/>
      <c r="AR20518" s="19"/>
      <c r="AS20518" s="19"/>
      <c r="AT20518" s="19"/>
      <c r="AU20518" s="19"/>
    </row>
    <row r="20519" spans="3:47">
      <c r="C20519" s="20"/>
      <c r="Z20519" s="20"/>
      <c r="AG20519" s="20"/>
      <c r="AQ20519" s="19"/>
      <c r="AR20519" s="19"/>
      <c r="AS20519" s="19"/>
      <c r="AT20519" s="19"/>
      <c r="AU20519" s="19"/>
    </row>
    <row r="20520" spans="3:47">
      <c r="C20520" s="20"/>
      <c r="Z20520" s="20"/>
      <c r="AG20520" s="20"/>
      <c r="AQ20520" s="19"/>
      <c r="AR20520" s="19"/>
      <c r="AS20520" s="19"/>
      <c r="AT20520" s="19"/>
      <c r="AU20520" s="19"/>
    </row>
    <row r="20521" spans="3:47">
      <c r="C20521" s="20"/>
      <c r="Z20521" s="20"/>
      <c r="AG20521" s="20"/>
      <c r="AQ20521" s="19"/>
      <c r="AR20521" s="19"/>
      <c r="AS20521" s="19"/>
      <c r="AT20521" s="19"/>
      <c r="AU20521" s="19"/>
    </row>
    <row r="20522" spans="3:47">
      <c r="C20522" s="20"/>
      <c r="Z20522" s="20"/>
      <c r="AG20522" s="20"/>
      <c r="AQ20522" s="19"/>
      <c r="AR20522" s="19"/>
      <c r="AS20522" s="19"/>
      <c r="AT20522" s="19"/>
      <c r="AU20522" s="19"/>
    </row>
    <row r="20523" spans="3:47">
      <c r="C20523" s="20"/>
      <c r="Z20523" s="20"/>
      <c r="AG20523" s="20"/>
      <c r="AQ20523" s="19"/>
      <c r="AR20523" s="19"/>
      <c r="AS20523" s="19"/>
      <c r="AT20523" s="19"/>
      <c r="AU20523" s="19"/>
    </row>
    <row r="20524" spans="3:47">
      <c r="C20524" s="20"/>
      <c r="Z20524" s="20"/>
      <c r="AG20524" s="20"/>
      <c r="AQ20524" s="19"/>
      <c r="AR20524" s="19"/>
      <c r="AS20524" s="19"/>
      <c r="AT20524" s="19"/>
      <c r="AU20524" s="19"/>
    </row>
    <row r="20525" spans="3:47">
      <c r="C20525" s="20"/>
      <c r="Z20525" s="20"/>
      <c r="AG20525" s="20"/>
      <c r="AQ20525" s="19"/>
      <c r="AR20525" s="19"/>
      <c r="AS20525" s="19"/>
      <c r="AT20525" s="19"/>
      <c r="AU20525" s="19"/>
    </row>
    <row r="20526" spans="3:47">
      <c r="C20526" s="20"/>
      <c r="Z20526" s="20"/>
      <c r="AG20526" s="20"/>
      <c r="AQ20526" s="19"/>
      <c r="AR20526" s="19"/>
      <c r="AS20526" s="19"/>
      <c r="AT20526" s="19"/>
      <c r="AU20526" s="19"/>
    </row>
    <row r="20527" spans="3:47">
      <c r="C20527" s="20"/>
      <c r="Z20527" s="20"/>
      <c r="AG20527" s="20"/>
      <c r="AQ20527" s="19"/>
      <c r="AR20527" s="19"/>
      <c r="AS20527" s="19"/>
      <c r="AT20527" s="19"/>
      <c r="AU20527" s="19"/>
    </row>
    <row r="20528" spans="3:47">
      <c r="C20528" s="20"/>
      <c r="Z20528" s="20"/>
      <c r="AG20528" s="20"/>
      <c r="AQ20528" s="19"/>
      <c r="AR20528" s="19"/>
      <c r="AS20528" s="19"/>
      <c r="AT20528" s="19"/>
      <c r="AU20528" s="19"/>
    </row>
    <row r="20529" spans="3:47">
      <c r="C20529" s="20"/>
      <c r="Z20529" s="20"/>
      <c r="AG20529" s="20"/>
      <c r="AQ20529" s="19"/>
      <c r="AR20529" s="19"/>
      <c r="AS20529" s="19"/>
      <c r="AT20529" s="19"/>
      <c r="AU20529" s="19"/>
    </row>
    <row r="20530" spans="3:47">
      <c r="C20530" s="20"/>
      <c r="Z20530" s="20"/>
      <c r="AG20530" s="20"/>
      <c r="AQ20530" s="19"/>
      <c r="AR20530" s="19"/>
      <c r="AS20530" s="19"/>
      <c r="AT20530" s="19"/>
      <c r="AU20530" s="19"/>
    </row>
    <row r="20531" spans="3:47">
      <c r="C20531" s="20"/>
      <c r="Z20531" s="20"/>
      <c r="AG20531" s="20"/>
      <c r="AQ20531" s="19"/>
      <c r="AR20531" s="19"/>
      <c r="AS20531" s="19"/>
      <c r="AT20531" s="19"/>
      <c r="AU20531" s="19"/>
    </row>
    <row r="20532" spans="3:47">
      <c r="C20532" s="20"/>
      <c r="Z20532" s="20"/>
      <c r="AG20532" s="20"/>
      <c r="AQ20532" s="19"/>
      <c r="AR20532" s="19"/>
      <c r="AS20532" s="19"/>
      <c r="AT20532" s="19"/>
      <c r="AU20532" s="19"/>
    </row>
    <row r="20533" spans="3:47">
      <c r="C20533" s="20"/>
      <c r="Z20533" s="20"/>
      <c r="AG20533" s="20"/>
      <c r="AQ20533" s="19"/>
      <c r="AR20533" s="19"/>
      <c r="AS20533" s="19"/>
      <c r="AT20533" s="19"/>
      <c r="AU20533" s="19"/>
    </row>
    <row r="20534" spans="3:47">
      <c r="C20534" s="20"/>
      <c r="Z20534" s="20"/>
      <c r="AG20534" s="20"/>
      <c r="AQ20534" s="19"/>
      <c r="AR20534" s="19"/>
      <c r="AS20534" s="19"/>
      <c r="AT20534" s="19"/>
      <c r="AU20534" s="19"/>
    </row>
    <row r="20535" spans="3:47">
      <c r="C20535" s="20"/>
      <c r="Z20535" s="20"/>
      <c r="AG20535" s="20"/>
      <c r="AQ20535" s="19"/>
      <c r="AR20535" s="19"/>
      <c r="AS20535" s="19"/>
      <c r="AT20535" s="19"/>
      <c r="AU20535" s="19"/>
    </row>
    <row r="20536" spans="3:47">
      <c r="C20536" s="20"/>
      <c r="Z20536" s="20"/>
      <c r="AG20536" s="20"/>
      <c r="AQ20536" s="19"/>
      <c r="AR20536" s="19"/>
      <c r="AS20536" s="19"/>
      <c r="AT20536" s="19"/>
      <c r="AU20536" s="19"/>
    </row>
    <row r="20537" spans="3:47">
      <c r="C20537" s="20"/>
      <c r="Z20537" s="20"/>
      <c r="AG20537" s="20"/>
      <c r="AQ20537" s="19"/>
      <c r="AR20537" s="19"/>
      <c r="AS20537" s="19"/>
      <c r="AT20537" s="19"/>
      <c r="AU20537" s="19"/>
    </row>
    <row r="20538" spans="3:47">
      <c r="C20538" s="20"/>
      <c r="Z20538" s="20"/>
      <c r="AG20538" s="20"/>
      <c r="AQ20538" s="19"/>
      <c r="AR20538" s="19"/>
      <c r="AS20538" s="19"/>
      <c r="AT20538" s="19"/>
      <c r="AU20538" s="19"/>
    </row>
    <row r="20539" spans="3:47">
      <c r="C20539" s="20"/>
      <c r="Z20539" s="20"/>
      <c r="AG20539" s="20"/>
      <c r="AQ20539" s="19"/>
      <c r="AR20539" s="19"/>
      <c r="AS20539" s="19"/>
      <c r="AT20539" s="19"/>
      <c r="AU20539" s="19"/>
    </row>
    <row r="20540" spans="3:47">
      <c r="C20540" s="20"/>
      <c r="Z20540" s="20"/>
      <c r="AG20540" s="20"/>
      <c r="AQ20540" s="19"/>
      <c r="AR20540" s="19"/>
      <c r="AS20540" s="19"/>
      <c r="AT20540" s="19"/>
      <c r="AU20540" s="19"/>
    </row>
    <row r="20541" spans="3:47">
      <c r="C20541" s="20"/>
      <c r="Z20541" s="20"/>
      <c r="AG20541" s="20"/>
      <c r="AQ20541" s="19"/>
      <c r="AR20541" s="19"/>
      <c r="AS20541" s="19"/>
      <c r="AT20541" s="19"/>
      <c r="AU20541" s="19"/>
    </row>
    <row r="20542" spans="3:47">
      <c r="C20542" s="20"/>
      <c r="Z20542" s="20"/>
      <c r="AG20542" s="20"/>
      <c r="AQ20542" s="19"/>
      <c r="AR20542" s="19"/>
      <c r="AS20542" s="19"/>
      <c r="AT20542" s="19"/>
      <c r="AU20542" s="19"/>
    </row>
    <row r="20543" spans="3:47">
      <c r="C20543" s="20"/>
      <c r="Z20543" s="20"/>
      <c r="AG20543" s="20"/>
      <c r="AQ20543" s="19"/>
      <c r="AR20543" s="19"/>
      <c r="AS20543" s="19"/>
      <c r="AT20543" s="19"/>
      <c r="AU20543" s="19"/>
    </row>
    <row r="20544" spans="3:47">
      <c r="C20544" s="20"/>
      <c r="Z20544" s="20"/>
      <c r="AG20544" s="20"/>
      <c r="AQ20544" s="19"/>
      <c r="AR20544" s="19"/>
      <c r="AS20544" s="19"/>
      <c r="AT20544" s="19"/>
      <c r="AU20544" s="19"/>
    </row>
    <row r="20545" spans="3:47">
      <c r="C20545" s="20"/>
      <c r="Z20545" s="20"/>
      <c r="AG20545" s="20"/>
      <c r="AQ20545" s="19"/>
      <c r="AR20545" s="19"/>
      <c r="AS20545" s="19"/>
      <c r="AT20545" s="19"/>
      <c r="AU20545" s="19"/>
    </row>
    <row r="20546" spans="3:47">
      <c r="C20546" s="20"/>
      <c r="Z20546" s="20"/>
      <c r="AG20546" s="20"/>
      <c r="AQ20546" s="19"/>
      <c r="AR20546" s="19"/>
      <c r="AS20546" s="19"/>
      <c r="AT20546" s="19"/>
      <c r="AU20546" s="19"/>
    </row>
    <row r="20547" spans="3:47">
      <c r="C20547" s="20"/>
      <c r="Z20547" s="20"/>
      <c r="AG20547" s="20"/>
      <c r="AQ20547" s="19"/>
      <c r="AR20547" s="19"/>
      <c r="AS20547" s="19"/>
      <c r="AT20547" s="19"/>
      <c r="AU20547" s="19"/>
    </row>
    <row r="20548" spans="3:47">
      <c r="C20548" s="20"/>
      <c r="Z20548" s="20"/>
      <c r="AG20548" s="20"/>
      <c r="AQ20548" s="19"/>
      <c r="AR20548" s="19"/>
      <c r="AS20548" s="19"/>
      <c r="AT20548" s="19"/>
      <c r="AU20548" s="19"/>
    </row>
    <row r="20549" spans="3:47">
      <c r="C20549" s="20"/>
      <c r="Z20549" s="20"/>
      <c r="AG20549" s="20"/>
      <c r="AQ20549" s="19"/>
      <c r="AR20549" s="19"/>
      <c r="AS20549" s="19"/>
      <c r="AT20549" s="19"/>
      <c r="AU20549" s="19"/>
    </row>
    <row r="20550" spans="3:47">
      <c r="C20550" s="20"/>
      <c r="Z20550" s="20"/>
      <c r="AG20550" s="20"/>
      <c r="AQ20550" s="19"/>
      <c r="AR20550" s="19"/>
      <c r="AS20550" s="19"/>
      <c r="AT20550" s="19"/>
      <c r="AU20550" s="19"/>
    </row>
    <row r="20551" spans="3:47">
      <c r="C20551" s="20"/>
      <c r="Z20551" s="20"/>
      <c r="AG20551" s="20"/>
      <c r="AQ20551" s="19"/>
      <c r="AR20551" s="19"/>
      <c r="AS20551" s="19"/>
      <c r="AT20551" s="19"/>
      <c r="AU20551" s="19"/>
    </row>
    <row r="20552" spans="3:47">
      <c r="C20552" s="20"/>
      <c r="Z20552" s="20"/>
      <c r="AG20552" s="20"/>
      <c r="AQ20552" s="19"/>
      <c r="AR20552" s="19"/>
      <c r="AS20552" s="19"/>
      <c r="AT20552" s="19"/>
      <c r="AU20552" s="19"/>
    </row>
    <row r="20553" spans="3:47">
      <c r="C20553" s="20"/>
      <c r="Z20553" s="20"/>
      <c r="AG20553" s="20"/>
      <c r="AQ20553" s="19"/>
      <c r="AR20553" s="19"/>
      <c r="AS20553" s="19"/>
      <c r="AT20553" s="19"/>
      <c r="AU20553" s="19"/>
    </row>
    <row r="20554" spans="3:47">
      <c r="C20554" s="20"/>
      <c r="Z20554" s="20"/>
      <c r="AG20554" s="20"/>
      <c r="AQ20554" s="19"/>
      <c r="AR20554" s="19"/>
      <c r="AS20554" s="19"/>
      <c r="AT20554" s="19"/>
      <c r="AU20554" s="19"/>
    </row>
    <row r="20555" spans="3:47">
      <c r="C20555" s="20"/>
      <c r="Z20555" s="20"/>
      <c r="AG20555" s="20"/>
      <c r="AQ20555" s="19"/>
      <c r="AR20555" s="19"/>
      <c r="AS20555" s="19"/>
      <c r="AT20555" s="19"/>
      <c r="AU20555" s="19"/>
    </row>
    <row r="20556" spans="3:47">
      <c r="C20556" s="20"/>
      <c r="Z20556" s="20"/>
      <c r="AG20556" s="20"/>
      <c r="AQ20556" s="19"/>
      <c r="AR20556" s="19"/>
      <c r="AS20556" s="19"/>
      <c r="AT20556" s="19"/>
      <c r="AU20556" s="19"/>
    </row>
    <row r="20557" spans="3:47">
      <c r="C20557" s="20"/>
      <c r="Z20557" s="20"/>
      <c r="AG20557" s="20"/>
      <c r="AQ20557" s="19"/>
      <c r="AR20557" s="19"/>
      <c r="AS20557" s="19"/>
      <c r="AT20557" s="19"/>
      <c r="AU20557" s="19"/>
    </row>
    <row r="20558" spans="3:47">
      <c r="C20558" s="20"/>
      <c r="Z20558" s="20"/>
      <c r="AG20558" s="20"/>
      <c r="AQ20558" s="19"/>
      <c r="AR20558" s="19"/>
      <c r="AS20558" s="19"/>
      <c r="AT20558" s="19"/>
      <c r="AU20558" s="19"/>
    </row>
    <row r="20559" spans="3:47">
      <c r="C20559" s="20"/>
      <c r="Z20559" s="20"/>
      <c r="AG20559" s="20"/>
      <c r="AQ20559" s="19"/>
      <c r="AR20559" s="19"/>
      <c r="AS20559" s="19"/>
      <c r="AT20559" s="19"/>
      <c r="AU20559" s="19"/>
    </row>
    <row r="20560" spans="3:47">
      <c r="C20560" s="20"/>
      <c r="Z20560" s="20"/>
      <c r="AG20560" s="20"/>
      <c r="AQ20560" s="19"/>
      <c r="AR20560" s="19"/>
      <c r="AS20560" s="19"/>
      <c r="AT20560" s="19"/>
      <c r="AU20560" s="19"/>
    </row>
    <row r="20561" spans="3:47">
      <c r="C20561" s="20"/>
      <c r="Z20561" s="20"/>
      <c r="AG20561" s="20"/>
      <c r="AQ20561" s="19"/>
      <c r="AR20561" s="19"/>
      <c r="AS20561" s="19"/>
      <c r="AT20561" s="19"/>
      <c r="AU20561" s="19"/>
    </row>
    <row r="20562" spans="3:47">
      <c r="C20562" s="20"/>
      <c r="Z20562" s="20"/>
      <c r="AG20562" s="20"/>
      <c r="AQ20562" s="19"/>
      <c r="AR20562" s="19"/>
      <c r="AS20562" s="19"/>
      <c r="AT20562" s="19"/>
      <c r="AU20562" s="19"/>
    </row>
    <row r="20563" spans="3:47">
      <c r="C20563" s="20"/>
      <c r="Z20563" s="20"/>
      <c r="AG20563" s="20"/>
      <c r="AQ20563" s="19"/>
      <c r="AR20563" s="19"/>
      <c r="AS20563" s="19"/>
      <c r="AT20563" s="19"/>
      <c r="AU20563" s="19"/>
    </row>
    <row r="20564" spans="3:47">
      <c r="C20564" s="20"/>
      <c r="Z20564" s="20"/>
      <c r="AG20564" s="20"/>
      <c r="AQ20564" s="19"/>
      <c r="AR20564" s="19"/>
      <c r="AS20564" s="19"/>
      <c r="AT20564" s="19"/>
      <c r="AU20564" s="19"/>
    </row>
    <row r="20565" spans="3:47">
      <c r="C20565" s="20"/>
      <c r="Z20565" s="20"/>
      <c r="AG20565" s="20"/>
      <c r="AQ20565" s="19"/>
      <c r="AR20565" s="19"/>
      <c r="AS20565" s="19"/>
      <c r="AT20565" s="19"/>
      <c r="AU20565" s="19"/>
    </row>
    <row r="20566" spans="3:47">
      <c r="C20566" s="20"/>
      <c r="Z20566" s="20"/>
      <c r="AG20566" s="20"/>
      <c r="AQ20566" s="19"/>
      <c r="AR20566" s="19"/>
      <c r="AS20566" s="19"/>
      <c r="AT20566" s="19"/>
      <c r="AU20566" s="19"/>
    </row>
    <row r="20567" spans="3:47">
      <c r="C20567" s="20"/>
      <c r="Z20567" s="20"/>
      <c r="AG20567" s="20"/>
      <c r="AQ20567" s="19"/>
      <c r="AR20567" s="19"/>
      <c r="AS20567" s="19"/>
      <c r="AT20567" s="19"/>
      <c r="AU20567" s="19"/>
    </row>
    <row r="20568" spans="3:47">
      <c r="C20568" s="20"/>
      <c r="Z20568" s="20"/>
      <c r="AG20568" s="20"/>
      <c r="AQ20568" s="19"/>
      <c r="AR20568" s="19"/>
      <c r="AS20568" s="19"/>
      <c r="AT20568" s="19"/>
      <c r="AU20568" s="19"/>
    </row>
    <row r="20569" spans="3:47">
      <c r="C20569" s="20"/>
      <c r="Z20569" s="20"/>
      <c r="AG20569" s="20"/>
      <c r="AQ20569" s="19"/>
      <c r="AR20569" s="19"/>
      <c r="AS20569" s="19"/>
      <c r="AT20569" s="19"/>
      <c r="AU20569" s="19"/>
    </row>
    <row r="20570" spans="3:47">
      <c r="C20570" s="20"/>
      <c r="Z20570" s="20"/>
      <c r="AG20570" s="20"/>
      <c r="AQ20570" s="19"/>
      <c r="AR20570" s="19"/>
      <c r="AS20570" s="19"/>
      <c r="AT20570" s="19"/>
      <c r="AU20570" s="19"/>
    </row>
    <row r="20571" spans="3:47">
      <c r="C20571" s="20"/>
      <c r="Z20571" s="20"/>
      <c r="AG20571" s="20"/>
      <c r="AQ20571" s="19"/>
      <c r="AR20571" s="19"/>
      <c r="AS20571" s="19"/>
      <c r="AT20571" s="19"/>
      <c r="AU20571" s="19"/>
    </row>
    <row r="20572" spans="3:47">
      <c r="C20572" s="20"/>
      <c r="Z20572" s="20"/>
      <c r="AG20572" s="20"/>
      <c r="AQ20572" s="19"/>
      <c r="AR20572" s="19"/>
      <c r="AS20572" s="19"/>
      <c r="AT20572" s="19"/>
      <c r="AU20572" s="19"/>
    </row>
    <row r="20573" spans="3:47">
      <c r="C20573" s="20"/>
      <c r="Z20573" s="20"/>
      <c r="AG20573" s="20"/>
      <c r="AQ20573" s="19"/>
      <c r="AR20573" s="19"/>
      <c r="AS20573" s="19"/>
      <c r="AT20573" s="19"/>
      <c r="AU20573" s="19"/>
    </row>
    <row r="20574" spans="3:47">
      <c r="C20574" s="20"/>
      <c r="Z20574" s="20"/>
      <c r="AG20574" s="20"/>
      <c r="AQ20574" s="19"/>
      <c r="AR20574" s="19"/>
      <c r="AS20574" s="19"/>
      <c r="AT20574" s="19"/>
      <c r="AU20574" s="19"/>
    </row>
    <row r="20575" spans="3:47">
      <c r="C20575" s="20"/>
      <c r="Z20575" s="20"/>
      <c r="AG20575" s="20"/>
      <c r="AQ20575" s="19"/>
      <c r="AR20575" s="19"/>
      <c r="AS20575" s="19"/>
      <c r="AT20575" s="19"/>
      <c r="AU20575" s="19"/>
    </row>
    <row r="20576" spans="3:47">
      <c r="C20576" s="20"/>
      <c r="Z20576" s="20"/>
      <c r="AG20576" s="20"/>
      <c r="AQ20576" s="19"/>
      <c r="AR20576" s="19"/>
      <c r="AS20576" s="19"/>
      <c r="AT20576" s="19"/>
      <c r="AU20576" s="19"/>
    </row>
    <row r="20577" spans="3:47">
      <c r="C20577" s="20"/>
      <c r="Z20577" s="20"/>
      <c r="AG20577" s="20"/>
      <c r="AQ20577" s="19"/>
      <c r="AR20577" s="19"/>
      <c r="AS20577" s="19"/>
      <c r="AT20577" s="19"/>
      <c r="AU20577" s="19"/>
    </row>
    <row r="20578" spans="3:47">
      <c r="C20578" s="20"/>
      <c r="Z20578" s="20"/>
      <c r="AG20578" s="20"/>
      <c r="AQ20578" s="19"/>
      <c r="AR20578" s="19"/>
      <c r="AS20578" s="19"/>
      <c r="AT20578" s="19"/>
      <c r="AU20578" s="19"/>
    </row>
    <row r="20579" spans="3:47">
      <c r="C20579" s="20"/>
      <c r="Z20579" s="20"/>
      <c r="AG20579" s="20"/>
      <c r="AQ20579" s="19"/>
      <c r="AR20579" s="19"/>
      <c r="AS20579" s="19"/>
      <c r="AT20579" s="19"/>
      <c r="AU20579" s="19"/>
    </row>
    <row r="20580" spans="3:47">
      <c r="C20580" s="20"/>
      <c r="Z20580" s="20"/>
      <c r="AG20580" s="20"/>
      <c r="AQ20580" s="19"/>
      <c r="AR20580" s="19"/>
      <c r="AS20580" s="19"/>
      <c r="AT20580" s="19"/>
      <c r="AU20580" s="19"/>
    </row>
    <row r="20581" spans="3:47">
      <c r="C20581" s="20"/>
      <c r="Z20581" s="20"/>
      <c r="AG20581" s="20"/>
      <c r="AQ20581" s="19"/>
      <c r="AR20581" s="19"/>
      <c r="AS20581" s="19"/>
      <c r="AT20581" s="19"/>
      <c r="AU20581" s="19"/>
    </row>
    <row r="20582" spans="3:47">
      <c r="C20582" s="20"/>
      <c r="Z20582" s="20"/>
      <c r="AG20582" s="20"/>
      <c r="AQ20582" s="19"/>
      <c r="AR20582" s="19"/>
      <c r="AS20582" s="19"/>
      <c r="AT20582" s="19"/>
      <c r="AU20582" s="19"/>
    </row>
    <row r="20583" spans="3:47">
      <c r="C20583" s="20"/>
      <c r="Z20583" s="20"/>
      <c r="AG20583" s="20"/>
      <c r="AQ20583" s="19"/>
      <c r="AR20583" s="19"/>
      <c r="AS20583" s="19"/>
      <c r="AT20583" s="19"/>
      <c r="AU20583" s="19"/>
    </row>
    <row r="20584" spans="3:47">
      <c r="C20584" s="20"/>
      <c r="Z20584" s="20"/>
      <c r="AG20584" s="20"/>
      <c r="AQ20584" s="19"/>
      <c r="AR20584" s="19"/>
      <c r="AS20584" s="19"/>
      <c r="AT20584" s="19"/>
      <c r="AU20584" s="19"/>
    </row>
    <row r="20585" spans="3:47">
      <c r="C20585" s="20"/>
      <c r="Z20585" s="20"/>
      <c r="AG20585" s="20"/>
      <c r="AQ20585" s="19"/>
      <c r="AR20585" s="19"/>
      <c r="AS20585" s="19"/>
      <c r="AT20585" s="19"/>
      <c r="AU20585" s="19"/>
    </row>
    <row r="20586" spans="3:47">
      <c r="C20586" s="20"/>
      <c r="Z20586" s="20"/>
      <c r="AG20586" s="20"/>
      <c r="AQ20586" s="19"/>
      <c r="AR20586" s="19"/>
      <c r="AS20586" s="19"/>
      <c r="AT20586" s="19"/>
      <c r="AU20586" s="19"/>
    </row>
    <row r="20587" spans="3:47">
      <c r="C20587" s="20"/>
      <c r="Z20587" s="20"/>
      <c r="AG20587" s="20"/>
      <c r="AQ20587" s="19"/>
      <c r="AR20587" s="19"/>
      <c r="AS20587" s="19"/>
      <c r="AT20587" s="19"/>
      <c r="AU20587" s="19"/>
    </row>
    <row r="20588" spans="3:47">
      <c r="C20588" s="20"/>
      <c r="Z20588" s="20"/>
      <c r="AG20588" s="20"/>
      <c r="AQ20588" s="19"/>
      <c r="AR20588" s="19"/>
      <c r="AS20588" s="19"/>
      <c r="AT20588" s="19"/>
      <c r="AU20588" s="19"/>
    </row>
    <row r="20589" spans="3:47">
      <c r="C20589" s="20"/>
      <c r="Z20589" s="20"/>
      <c r="AG20589" s="20"/>
      <c r="AQ20589" s="19"/>
      <c r="AR20589" s="19"/>
      <c r="AS20589" s="19"/>
      <c r="AT20589" s="19"/>
      <c r="AU20589" s="19"/>
    </row>
    <row r="20590" spans="3:47">
      <c r="C20590" s="20"/>
      <c r="Z20590" s="20"/>
      <c r="AG20590" s="20"/>
      <c r="AQ20590" s="19"/>
      <c r="AR20590" s="19"/>
      <c r="AS20590" s="19"/>
      <c r="AT20590" s="19"/>
      <c r="AU20590" s="19"/>
    </row>
    <row r="20591" spans="3:47">
      <c r="C20591" s="20"/>
      <c r="Z20591" s="20"/>
      <c r="AG20591" s="20"/>
      <c r="AQ20591" s="19"/>
      <c r="AR20591" s="19"/>
      <c r="AS20591" s="19"/>
      <c r="AT20591" s="19"/>
      <c r="AU20591" s="19"/>
    </row>
    <row r="20592" spans="3:47">
      <c r="C20592" s="20"/>
      <c r="Z20592" s="20"/>
      <c r="AG20592" s="20"/>
      <c r="AQ20592" s="19"/>
      <c r="AR20592" s="19"/>
      <c r="AS20592" s="19"/>
      <c r="AT20592" s="19"/>
      <c r="AU20592" s="19"/>
    </row>
    <row r="20593" spans="3:47">
      <c r="C20593" s="20"/>
      <c r="Z20593" s="20"/>
      <c r="AG20593" s="20"/>
      <c r="AQ20593" s="19"/>
      <c r="AR20593" s="19"/>
      <c r="AS20593" s="19"/>
      <c r="AT20593" s="19"/>
      <c r="AU20593" s="19"/>
    </row>
    <row r="20594" spans="3:47">
      <c r="C20594" s="20"/>
      <c r="Z20594" s="20"/>
      <c r="AG20594" s="20"/>
      <c r="AQ20594" s="19"/>
      <c r="AR20594" s="19"/>
      <c r="AS20594" s="19"/>
      <c r="AT20594" s="19"/>
      <c r="AU20594" s="19"/>
    </row>
    <row r="20595" spans="3:47">
      <c r="C20595" s="20"/>
      <c r="Z20595" s="20"/>
      <c r="AG20595" s="20"/>
      <c r="AQ20595" s="19"/>
      <c r="AR20595" s="19"/>
      <c r="AS20595" s="19"/>
      <c r="AT20595" s="19"/>
      <c r="AU20595" s="19"/>
    </row>
    <row r="20596" spans="3:47">
      <c r="C20596" s="20"/>
      <c r="Z20596" s="20"/>
      <c r="AG20596" s="20"/>
      <c r="AQ20596" s="19"/>
      <c r="AR20596" s="19"/>
      <c r="AS20596" s="19"/>
      <c r="AT20596" s="19"/>
      <c r="AU20596" s="19"/>
    </row>
    <row r="20597" spans="3:47">
      <c r="C20597" s="20"/>
      <c r="Z20597" s="20"/>
      <c r="AG20597" s="20"/>
      <c r="AQ20597" s="19"/>
      <c r="AR20597" s="19"/>
      <c r="AS20597" s="19"/>
      <c r="AT20597" s="19"/>
      <c r="AU20597" s="19"/>
    </row>
    <row r="20598" spans="3:47">
      <c r="C20598" s="20"/>
      <c r="Z20598" s="20"/>
      <c r="AG20598" s="20"/>
      <c r="AQ20598" s="19"/>
      <c r="AR20598" s="19"/>
      <c r="AS20598" s="19"/>
      <c r="AT20598" s="19"/>
      <c r="AU20598" s="19"/>
    </row>
    <row r="20599" spans="3:47">
      <c r="C20599" s="20"/>
      <c r="Z20599" s="20"/>
      <c r="AG20599" s="20"/>
      <c r="AQ20599" s="19"/>
      <c r="AR20599" s="19"/>
      <c r="AS20599" s="19"/>
      <c r="AT20599" s="19"/>
      <c r="AU20599" s="19"/>
    </row>
    <row r="20600" spans="3:47">
      <c r="C20600" s="20"/>
      <c r="Z20600" s="20"/>
      <c r="AG20600" s="20"/>
      <c r="AQ20600" s="19"/>
      <c r="AR20600" s="19"/>
      <c r="AS20600" s="19"/>
      <c r="AT20600" s="19"/>
      <c r="AU20600" s="19"/>
    </row>
    <row r="20601" spans="3:47">
      <c r="C20601" s="20"/>
      <c r="Z20601" s="20"/>
      <c r="AG20601" s="20"/>
      <c r="AQ20601" s="19"/>
      <c r="AR20601" s="19"/>
      <c r="AS20601" s="19"/>
      <c r="AT20601" s="19"/>
      <c r="AU20601" s="19"/>
    </row>
    <row r="20602" spans="3:47">
      <c r="C20602" s="20"/>
      <c r="Z20602" s="20"/>
      <c r="AG20602" s="20"/>
      <c r="AQ20602" s="19"/>
      <c r="AR20602" s="19"/>
      <c r="AS20602" s="19"/>
      <c r="AT20602" s="19"/>
      <c r="AU20602" s="19"/>
    </row>
    <row r="20603" spans="3:47">
      <c r="C20603" s="20"/>
      <c r="Z20603" s="20"/>
      <c r="AG20603" s="20"/>
      <c r="AQ20603" s="19"/>
      <c r="AR20603" s="19"/>
      <c r="AS20603" s="19"/>
      <c r="AT20603" s="19"/>
      <c r="AU20603" s="19"/>
    </row>
    <row r="20604" spans="3:47">
      <c r="C20604" s="20"/>
      <c r="Z20604" s="20"/>
      <c r="AG20604" s="20"/>
      <c r="AQ20604" s="19"/>
      <c r="AR20604" s="19"/>
      <c r="AS20604" s="19"/>
      <c r="AT20604" s="19"/>
      <c r="AU20604" s="19"/>
    </row>
    <row r="20605" spans="3:47">
      <c r="C20605" s="20"/>
      <c r="Z20605" s="20"/>
      <c r="AG20605" s="20"/>
      <c r="AQ20605" s="19"/>
      <c r="AR20605" s="19"/>
      <c r="AS20605" s="19"/>
      <c r="AT20605" s="19"/>
      <c r="AU20605" s="19"/>
    </row>
    <row r="20606" spans="3:47">
      <c r="C20606" s="20"/>
      <c r="Z20606" s="20"/>
      <c r="AG20606" s="20"/>
      <c r="AQ20606" s="19"/>
      <c r="AR20606" s="19"/>
      <c r="AS20606" s="19"/>
      <c r="AT20606" s="19"/>
      <c r="AU20606" s="19"/>
    </row>
    <row r="20607" spans="3:47">
      <c r="C20607" s="20"/>
      <c r="Z20607" s="20"/>
      <c r="AG20607" s="20"/>
      <c r="AQ20607" s="19"/>
      <c r="AR20607" s="19"/>
      <c r="AS20607" s="19"/>
      <c r="AT20607" s="19"/>
      <c r="AU20607" s="19"/>
    </row>
    <row r="20608" spans="3:47">
      <c r="C20608" s="20"/>
      <c r="Z20608" s="20"/>
      <c r="AG20608" s="20"/>
      <c r="AQ20608" s="19"/>
      <c r="AR20608" s="19"/>
      <c r="AS20608" s="19"/>
      <c r="AT20608" s="19"/>
      <c r="AU20608" s="19"/>
    </row>
    <row r="20609" spans="3:47">
      <c r="C20609" s="20"/>
      <c r="Z20609" s="20"/>
      <c r="AG20609" s="20"/>
      <c r="AQ20609" s="19"/>
      <c r="AR20609" s="19"/>
      <c r="AS20609" s="19"/>
      <c r="AT20609" s="19"/>
      <c r="AU20609" s="19"/>
    </row>
    <row r="20610" spans="3:47">
      <c r="C20610" s="20"/>
      <c r="Z20610" s="20"/>
      <c r="AG20610" s="20"/>
      <c r="AQ20610" s="19"/>
      <c r="AR20610" s="19"/>
      <c r="AS20610" s="19"/>
      <c r="AT20610" s="19"/>
      <c r="AU20610" s="19"/>
    </row>
    <row r="20611" spans="3:47">
      <c r="C20611" s="20"/>
      <c r="Z20611" s="20"/>
      <c r="AG20611" s="20"/>
      <c r="AQ20611" s="19"/>
      <c r="AR20611" s="19"/>
      <c r="AS20611" s="19"/>
      <c r="AT20611" s="19"/>
      <c r="AU20611" s="19"/>
    </row>
    <row r="20612" spans="3:47">
      <c r="C20612" s="20"/>
      <c r="Z20612" s="20"/>
      <c r="AG20612" s="20"/>
      <c r="AQ20612" s="19"/>
      <c r="AR20612" s="19"/>
      <c r="AS20612" s="19"/>
      <c r="AT20612" s="19"/>
      <c r="AU20612" s="19"/>
    </row>
    <row r="20613" spans="3:47">
      <c r="C20613" s="20"/>
      <c r="Z20613" s="20"/>
      <c r="AG20613" s="20"/>
      <c r="AQ20613" s="19"/>
      <c r="AR20613" s="19"/>
      <c r="AS20613" s="19"/>
      <c r="AT20613" s="19"/>
      <c r="AU20613" s="19"/>
    </row>
    <row r="20614" spans="3:47">
      <c r="C20614" s="20"/>
      <c r="Z20614" s="20"/>
      <c r="AG20614" s="20"/>
      <c r="AQ20614" s="19"/>
      <c r="AR20614" s="19"/>
      <c r="AS20614" s="19"/>
      <c r="AT20614" s="19"/>
      <c r="AU20614" s="19"/>
    </row>
    <row r="20615" spans="3:47">
      <c r="C20615" s="20"/>
      <c r="Z20615" s="20"/>
      <c r="AG20615" s="20"/>
      <c r="AQ20615" s="19"/>
      <c r="AR20615" s="19"/>
      <c r="AS20615" s="19"/>
      <c r="AT20615" s="19"/>
      <c r="AU20615" s="19"/>
    </row>
    <row r="20616" spans="3:47">
      <c r="C20616" s="20"/>
      <c r="Z20616" s="20"/>
      <c r="AG20616" s="20"/>
      <c r="AQ20616" s="19"/>
      <c r="AR20616" s="19"/>
      <c r="AS20616" s="19"/>
      <c r="AT20616" s="19"/>
      <c r="AU20616" s="19"/>
    </row>
    <row r="20617" spans="3:47">
      <c r="C20617" s="20"/>
      <c r="Z20617" s="20"/>
      <c r="AG20617" s="20"/>
      <c r="AQ20617" s="19"/>
      <c r="AR20617" s="19"/>
      <c r="AS20617" s="19"/>
      <c r="AT20617" s="19"/>
      <c r="AU20617" s="19"/>
    </row>
    <row r="20618" spans="3:47">
      <c r="C20618" s="20"/>
      <c r="Z20618" s="20"/>
      <c r="AG20618" s="20"/>
      <c r="AQ20618" s="19"/>
      <c r="AR20618" s="19"/>
      <c r="AS20618" s="19"/>
      <c r="AT20618" s="19"/>
      <c r="AU20618" s="19"/>
    </row>
    <row r="20619" spans="3:47">
      <c r="C20619" s="20"/>
      <c r="Z20619" s="20"/>
      <c r="AG20619" s="20"/>
      <c r="AQ20619" s="19"/>
      <c r="AR20619" s="19"/>
      <c r="AS20619" s="19"/>
      <c r="AT20619" s="19"/>
      <c r="AU20619" s="19"/>
    </row>
    <row r="20620" spans="3:47">
      <c r="C20620" s="20"/>
      <c r="Z20620" s="20"/>
      <c r="AG20620" s="20"/>
      <c r="AQ20620" s="19"/>
      <c r="AR20620" s="19"/>
      <c r="AS20620" s="19"/>
      <c r="AT20620" s="19"/>
      <c r="AU20620" s="19"/>
    </row>
    <row r="20621" spans="3:47">
      <c r="C20621" s="20"/>
      <c r="Z20621" s="20"/>
      <c r="AG20621" s="20"/>
      <c r="AQ20621" s="19"/>
      <c r="AR20621" s="19"/>
      <c r="AS20621" s="19"/>
      <c r="AT20621" s="19"/>
      <c r="AU20621" s="19"/>
    </row>
    <row r="20622" spans="3:47">
      <c r="C20622" s="20"/>
      <c r="Z20622" s="20"/>
      <c r="AG20622" s="20"/>
      <c r="AQ20622" s="19"/>
      <c r="AR20622" s="19"/>
      <c r="AS20622" s="19"/>
      <c r="AT20622" s="19"/>
      <c r="AU20622" s="19"/>
    </row>
    <row r="20623" spans="3:47">
      <c r="C20623" s="20"/>
      <c r="Z20623" s="20"/>
      <c r="AG20623" s="20"/>
      <c r="AQ20623" s="19"/>
      <c r="AR20623" s="19"/>
      <c r="AS20623" s="19"/>
      <c r="AT20623" s="19"/>
      <c r="AU20623" s="19"/>
    </row>
    <row r="20624" spans="3:47">
      <c r="C20624" s="20"/>
      <c r="Z20624" s="20"/>
      <c r="AG20624" s="20"/>
      <c r="AQ20624" s="19"/>
      <c r="AR20624" s="19"/>
      <c r="AS20624" s="19"/>
      <c r="AT20624" s="19"/>
      <c r="AU20624" s="19"/>
    </row>
    <row r="20625" spans="3:47">
      <c r="C20625" s="20"/>
      <c r="Z20625" s="20"/>
      <c r="AG20625" s="20"/>
      <c r="AQ20625" s="19"/>
      <c r="AR20625" s="19"/>
      <c r="AS20625" s="19"/>
      <c r="AT20625" s="19"/>
      <c r="AU20625" s="19"/>
    </row>
    <row r="20626" spans="3:47">
      <c r="C20626" s="20"/>
      <c r="Z20626" s="20"/>
      <c r="AG20626" s="20"/>
      <c r="AQ20626" s="19"/>
      <c r="AR20626" s="19"/>
      <c r="AS20626" s="19"/>
      <c r="AT20626" s="19"/>
      <c r="AU20626" s="19"/>
    </row>
    <row r="20627" spans="3:47">
      <c r="C20627" s="20"/>
      <c r="Z20627" s="20"/>
      <c r="AG20627" s="20"/>
      <c r="AQ20627" s="19"/>
      <c r="AR20627" s="19"/>
      <c r="AS20627" s="19"/>
      <c r="AT20627" s="19"/>
      <c r="AU20627" s="19"/>
    </row>
    <row r="20628" spans="3:47">
      <c r="C20628" s="20"/>
      <c r="Z20628" s="20"/>
      <c r="AG20628" s="20"/>
      <c r="AQ20628" s="19"/>
      <c r="AR20628" s="19"/>
      <c r="AS20628" s="19"/>
      <c r="AT20628" s="19"/>
      <c r="AU20628" s="19"/>
    </row>
    <row r="20629" spans="3:47">
      <c r="C20629" s="20"/>
      <c r="Z20629" s="20"/>
      <c r="AG20629" s="20"/>
      <c r="AQ20629" s="19"/>
      <c r="AR20629" s="19"/>
      <c r="AS20629" s="19"/>
      <c r="AT20629" s="19"/>
      <c r="AU20629" s="19"/>
    </row>
    <row r="20630" spans="3:47">
      <c r="C20630" s="20"/>
      <c r="Z20630" s="20"/>
      <c r="AG20630" s="20"/>
      <c r="AQ20630" s="19"/>
      <c r="AR20630" s="19"/>
      <c r="AS20630" s="19"/>
      <c r="AT20630" s="19"/>
      <c r="AU20630" s="19"/>
    </row>
    <row r="20631" spans="3:47">
      <c r="C20631" s="20"/>
      <c r="Z20631" s="20"/>
      <c r="AG20631" s="20"/>
      <c r="AQ20631" s="19"/>
      <c r="AR20631" s="19"/>
      <c r="AS20631" s="19"/>
      <c r="AT20631" s="19"/>
      <c r="AU20631" s="19"/>
    </row>
    <row r="20632" spans="3:47">
      <c r="C20632" s="20"/>
      <c r="Z20632" s="20"/>
      <c r="AG20632" s="20"/>
      <c r="AQ20632" s="19"/>
      <c r="AR20632" s="19"/>
      <c r="AS20632" s="19"/>
      <c r="AT20632" s="19"/>
      <c r="AU20632" s="19"/>
    </row>
    <row r="20633" spans="3:47">
      <c r="C20633" s="20"/>
      <c r="Z20633" s="20"/>
      <c r="AG20633" s="20"/>
      <c r="AQ20633" s="19"/>
      <c r="AR20633" s="19"/>
      <c r="AS20633" s="19"/>
      <c r="AT20633" s="19"/>
      <c r="AU20633" s="19"/>
    </row>
    <row r="20634" spans="3:47">
      <c r="C20634" s="20"/>
      <c r="Z20634" s="20"/>
      <c r="AG20634" s="20"/>
      <c r="AQ20634" s="19"/>
      <c r="AR20634" s="19"/>
      <c r="AS20634" s="19"/>
      <c r="AT20634" s="19"/>
      <c r="AU20634" s="19"/>
    </row>
    <row r="20635" spans="3:47">
      <c r="C20635" s="20"/>
      <c r="Z20635" s="20"/>
      <c r="AG20635" s="20"/>
      <c r="AQ20635" s="19"/>
      <c r="AR20635" s="19"/>
      <c r="AS20635" s="19"/>
      <c r="AT20635" s="19"/>
      <c r="AU20635" s="19"/>
    </row>
    <row r="20636" spans="3:47">
      <c r="C20636" s="20"/>
      <c r="Z20636" s="20"/>
      <c r="AG20636" s="20"/>
      <c r="AQ20636" s="19"/>
      <c r="AR20636" s="19"/>
      <c r="AS20636" s="19"/>
      <c r="AT20636" s="19"/>
      <c r="AU20636" s="19"/>
    </row>
    <row r="20637" spans="3:47">
      <c r="C20637" s="20"/>
      <c r="Z20637" s="20"/>
      <c r="AG20637" s="20"/>
      <c r="AQ20637" s="19"/>
      <c r="AR20637" s="19"/>
      <c r="AS20637" s="19"/>
      <c r="AT20637" s="19"/>
      <c r="AU20637" s="19"/>
    </row>
    <row r="20638" spans="3:47">
      <c r="C20638" s="20"/>
      <c r="Z20638" s="20"/>
      <c r="AG20638" s="20"/>
      <c r="AQ20638" s="19"/>
      <c r="AR20638" s="19"/>
      <c r="AS20638" s="19"/>
      <c r="AT20638" s="19"/>
      <c r="AU20638" s="19"/>
    </row>
    <row r="20639" spans="3:47">
      <c r="C20639" s="20"/>
      <c r="Z20639" s="20"/>
      <c r="AG20639" s="20"/>
      <c r="AQ20639" s="19"/>
      <c r="AR20639" s="19"/>
      <c r="AS20639" s="19"/>
      <c r="AT20639" s="19"/>
      <c r="AU20639" s="19"/>
    </row>
    <row r="20640" spans="3:47">
      <c r="C20640" s="20"/>
      <c r="Z20640" s="20"/>
      <c r="AG20640" s="20"/>
      <c r="AQ20640" s="19"/>
      <c r="AR20640" s="19"/>
      <c r="AS20640" s="19"/>
      <c r="AT20640" s="19"/>
      <c r="AU20640" s="19"/>
    </row>
    <row r="20641" spans="3:47">
      <c r="C20641" s="20"/>
      <c r="Z20641" s="20"/>
      <c r="AG20641" s="20"/>
      <c r="AQ20641" s="19"/>
      <c r="AR20641" s="19"/>
      <c r="AS20641" s="19"/>
      <c r="AT20641" s="19"/>
      <c r="AU20641" s="19"/>
    </row>
    <row r="20642" spans="3:47">
      <c r="C20642" s="20"/>
      <c r="Z20642" s="20"/>
      <c r="AG20642" s="20"/>
      <c r="AQ20642" s="19"/>
      <c r="AR20642" s="19"/>
      <c r="AS20642" s="19"/>
      <c r="AT20642" s="19"/>
      <c r="AU20642" s="19"/>
    </row>
    <row r="20643" spans="3:47">
      <c r="C20643" s="20"/>
      <c r="Z20643" s="20"/>
      <c r="AG20643" s="20"/>
      <c r="AQ20643" s="19"/>
      <c r="AR20643" s="19"/>
      <c r="AS20643" s="19"/>
      <c r="AT20643" s="19"/>
      <c r="AU20643" s="19"/>
    </row>
    <row r="20644" spans="3:47">
      <c r="C20644" s="20"/>
      <c r="Z20644" s="20"/>
      <c r="AG20644" s="20"/>
      <c r="AQ20644" s="19"/>
      <c r="AR20644" s="19"/>
      <c r="AS20644" s="19"/>
      <c r="AT20644" s="19"/>
      <c r="AU20644" s="19"/>
    </row>
    <row r="20645" spans="3:47">
      <c r="C20645" s="20"/>
      <c r="Z20645" s="20"/>
      <c r="AG20645" s="20"/>
      <c r="AQ20645" s="19"/>
      <c r="AR20645" s="19"/>
      <c r="AS20645" s="19"/>
      <c r="AT20645" s="19"/>
      <c r="AU20645" s="19"/>
    </row>
    <row r="20646" spans="3:47">
      <c r="C20646" s="20"/>
      <c r="Z20646" s="20"/>
      <c r="AG20646" s="20"/>
      <c r="AQ20646" s="19"/>
      <c r="AR20646" s="19"/>
      <c r="AS20646" s="19"/>
      <c r="AT20646" s="19"/>
      <c r="AU20646" s="19"/>
    </row>
    <row r="20647" spans="3:47">
      <c r="C20647" s="20"/>
      <c r="Z20647" s="20"/>
      <c r="AG20647" s="20"/>
      <c r="AQ20647" s="19"/>
      <c r="AR20647" s="19"/>
      <c r="AS20647" s="19"/>
      <c r="AT20647" s="19"/>
      <c r="AU20647" s="19"/>
    </row>
    <row r="20648" spans="3:47">
      <c r="C20648" s="20"/>
      <c r="Z20648" s="20"/>
      <c r="AG20648" s="20"/>
      <c r="AQ20648" s="19"/>
      <c r="AR20648" s="19"/>
      <c r="AS20648" s="19"/>
      <c r="AT20648" s="19"/>
      <c r="AU20648" s="19"/>
    </row>
    <row r="20649" spans="3:47">
      <c r="C20649" s="20"/>
      <c r="Z20649" s="20"/>
      <c r="AG20649" s="20"/>
      <c r="AQ20649" s="19"/>
      <c r="AR20649" s="19"/>
      <c r="AS20649" s="19"/>
      <c r="AT20649" s="19"/>
      <c r="AU20649" s="19"/>
    </row>
    <row r="20650" spans="3:47">
      <c r="C20650" s="20"/>
      <c r="Z20650" s="20"/>
      <c r="AG20650" s="20"/>
      <c r="AQ20650" s="19"/>
      <c r="AR20650" s="19"/>
      <c r="AS20650" s="19"/>
      <c r="AT20650" s="19"/>
      <c r="AU20650" s="19"/>
    </row>
    <row r="20651" spans="3:47">
      <c r="C20651" s="20"/>
      <c r="Z20651" s="20"/>
      <c r="AG20651" s="20"/>
      <c r="AQ20651" s="19"/>
      <c r="AR20651" s="19"/>
      <c r="AS20651" s="19"/>
      <c r="AT20651" s="19"/>
      <c r="AU20651" s="19"/>
    </row>
    <row r="20652" spans="3:47">
      <c r="C20652" s="20"/>
      <c r="Z20652" s="20"/>
      <c r="AG20652" s="20"/>
      <c r="AQ20652" s="19"/>
      <c r="AR20652" s="19"/>
      <c r="AS20652" s="19"/>
      <c r="AT20652" s="19"/>
      <c r="AU20652" s="19"/>
    </row>
    <row r="20653" spans="3:47">
      <c r="C20653" s="20"/>
      <c r="Z20653" s="20"/>
      <c r="AG20653" s="20"/>
      <c r="AQ20653" s="19"/>
      <c r="AR20653" s="19"/>
      <c r="AS20653" s="19"/>
      <c r="AT20653" s="19"/>
      <c r="AU20653" s="19"/>
    </row>
    <row r="20654" spans="3:47">
      <c r="C20654" s="20"/>
      <c r="Z20654" s="20"/>
      <c r="AG20654" s="20"/>
      <c r="AQ20654" s="19"/>
      <c r="AR20654" s="19"/>
      <c r="AS20654" s="19"/>
      <c r="AT20654" s="19"/>
      <c r="AU20654" s="19"/>
    </row>
    <row r="20655" spans="3:47">
      <c r="C20655" s="20"/>
      <c r="Z20655" s="20"/>
      <c r="AG20655" s="20"/>
      <c r="AQ20655" s="19"/>
      <c r="AR20655" s="19"/>
      <c r="AS20655" s="19"/>
      <c r="AT20655" s="19"/>
      <c r="AU20655" s="19"/>
    </row>
    <row r="20656" spans="3:47">
      <c r="C20656" s="20"/>
      <c r="Z20656" s="20"/>
      <c r="AG20656" s="20"/>
      <c r="AQ20656" s="19"/>
      <c r="AR20656" s="19"/>
      <c r="AS20656" s="19"/>
      <c r="AT20656" s="19"/>
      <c r="AU20656" s="19"/>
    </row>
    <row r="20657" spans="3:47">
      <c r="C20657" s="20"/>
      <c r="Z20657" s="20"/>
      <c r="AG20657" s="20"/>
      <c r="AQ20657" s="19"/>
      <c r="AR20657" s="19"/>
      <c r="AS20657" s="19"/>
      <c r="AT20657" s="19"/>
      <c r="AU20657" s="19"/>
    </row>
    <row r="20658" spans="3:47">
      <c r="C20658" s="20"/>
      <c r="Z20658" s="20"/>
      <c r="AG20658" s="20"/>
      <c r="AQ20658" s="19"/>
      <c r="AR20658" s="19"/>
      <c r="AS20658" s="19"/>
      <c r="AT20658" s="19"/>
      <c r="AU20658" s="19"/>
    </row>
    <row r="20659" spans="3:47">
      <c r="C20659" s="20"/>
      <c r="Z20659" s="20"/>
      <c r="AG20659" s="20"/>
      <c r="AQ20659" s="19"/>
      <c r="AR20659" s="19"/>
      <c r="AS20659" s="19"/>
      <c r="AT20659" s="19"/>
      <c r="AU20659" s="19"/>
    </row>
    <row r="20660" spans="3:47">
      <c r="C20660" s="20"/>
      <c r="Z20660" s="20"/>
      <c r="AG20660" s="20"/>
      <c r="AQ20660" s="19"/>
      <c r="AR20660" s="19"/>
      <c r="AS20660" s="19"/>
      <c r="AT20660" s="19"/>
      <c r="AU20660" s="19"/>
    </row>
    <row r="20661" spans="3:47">
      <c r="C20661" s="20"/>
      <c r="Z20661" s="20"/>
      <c r="AG20661" s="20"/>
      <c r="AQ20661" s="19"/>
      <c r="AR20661" s="19"/>
      <c r="AS20661" s="19"/>
      <c r="AT20661" s="19"/>
      <c r="AU20661" s="19"/>
    </row>
    <row r="20662" spans="3:47">
      <c r="C20662" s="20"/>
      <c r="Z20662" s="20"/>
      <c r="AG20662" s="20"/>
      <c r="AQ20662" s="19"/>
      <c r="AR20662" s="19"/>
      <c r="AS20662" s="19"/>
      <c r="AT20662" s="19"/>
      <c r="AU20662" s="19"/>
    </row>
    <row r="20663" spans="3:47">
      <c r="C20663" s="20"/>
      <c r="Z20663" s="20"/>
      <c r="AG20663" s="20"/>
      <c r="AQ20663" s="19"/>
      <c r="AR20663" s="19"/>
      <c r="AS20663" s="19"/>
      <c r="AT20663" s="19"/>
      <c r="AU20663" s="19"/>
    </row>
    <row r="20664" spans="3:47">
      <c r="C20664" s="20"/>
      <c r="Z20664" s="20"/>
      <c r="AG20664" s="20"/>
      <c r="AQ20664" s="19"/>
      <c r="AR20664" s="19"/>
      <c r="AS20664" s="19"/>
      <c r="AT20664" s="19"/>
      <c r="AU20664" s="19"/>
    </row>
    <row r="20665" spans="3:47">
      <c r="C20665" s="20"/>
      <c r="Z20665" s="20"/>
      <c r="AG20665" s="20"/>
      <c r="AQ20665" s="19"/>
      <c r="AR20665" s="19"/>
      <c r="AS20665" s="19"/>
      <c r="AT20665" s="19"/>
      <c r="AU20665" s="19"/>
    </row>
    <row r="20666" spans="3:47">
      <c r="C20666" s="20"/>
      <c r="Z20666" s="20"/>
      <c r="AG20666" s="20"/>
      <c r="AQ20666" s="19"/>
      <c r="AR20666" s="19"/>
      <c r="AS20666" s="19"/>
      <c r="AT20666" s="19"/>
      <c r="AU20666" s="19"/>
    </row>
    <row r="20667" spans="3:47">
      <c r="C20667" s="20"/>
      <c r="Z20667" s="20"/>
      <c r="AG20667" s="20"/>
      <c r="AQ20667" s="19"/>
      <c r="AR20667" s="19"/>
      <c r="AS20667" s="19"/>
      <c r="AT20667" s="19"/>
      <c r="AU20667" s="19"/>
    </row>
    <row r="20668" spans="3:47">
      <c r="C20668" s="20"/>
      <c r="Z20668" s="20"/>
      <c r="AG20668" s="20"/>
      <c r="AQ20668" s="19"/>
      <c r="AR20668" s="19"/>
      <c r="AS20668" s="19"/>
      <c r="AT20668" s="19"/>
      <c r="AU20668" s="19"/>
    </row>
    <row r="20669" spans="3:47">
      <c r="C20669" s="20"/>
      <c r="Z20669" s="20"/>
      <c r="AG20669" s="20"/>
      <c r="AQ20669" s="19"/>
      <c r="AR20669" s="19"/>
      <c r="AS20669" s="19"/>
      <c r="AT20669" s="19"/>
      <c r="AU20669" s="19"/>
    </row>
    <row r="20670" spans="3:47">
      <c r="C20670" s="20"/>
      <c r="Z20670" s="20"/>
      <c r="AG20670" s="20"/>
      <c r="AQ20670" s="19"/>
      <c r="AR20670" s="19"/>
      <c r="AS20670" s="19"/>
      <c r="AT20670" s="19"/>
      <c r="AU20670" s="19"/>
    </row>
    <row r="20671" spans="3:47">
      <c r="C20671" s="20"/>
      <c r="Z20671" s="20"/>
      <c r="AG20671" s="20"/>
      <c r="AQ20671" s="19"/>
      <c r="AR20671" s="19"/>
      <c r="AS20671" s="19"/>
      <c r="AT20671" s="19"/>
      <c r="AU20671" s="19"/>
    </row>
    <row r="20672" spans="3:47">
      <c r="C20672" s="20"/>
      <c r="Z20672" s="20"/>
      <c r="AG20672" s="20"/>
      <c r="AQ20672" s="19"/>
      <c r="AR20672" s="19"/>
      <c r="AS20672" s="19"/>
      <c r="AT20672" s="19"/>
      <c r="AU20672" s="19"/>
    </row>
    <row r="20673" spans="3:47">
      <c r="C20673" s="20"/>
      <c r="Z20673" s="20"/>
      <c r="AG20673" s="20"/>
      <c r="AQ20673" s="19"/>
      <c r="AR20673" s="19"/>
      <c r="AS20673" s="19"/>
      <c r="AT20673" s="19"/>
      <c r="AU20673" s="19"/>
    </row>
    <row r="20674" spans="3:47">
      <c r="C20674" s="20"/>
      <c r="Z20674" s="20"/>
      <c r="AG20674" s="20"/>
      <c r="AQ20674" s="19"/>
      <c r="AR20674" s="19"/>
      <c r="AS20674" s="19"/>
      <c r="AT20674" s="19"/>
      <c r="AU20674" s="19"/>
    </row>
    <row r="20675" spans="3:47">
      <c r="C20675" s="20"/>
      <c r="Z20675" s="20"/>
      <c r="AG20675" s="20"/>
      <c r="AQ20675" s="19"/>
      <c r="AR20675" s="19"/>
      <c r="AS20675" s="19"/>
      <c r="AT20675" s="19"/>
      <c r="AU20675" s="19"/>
    </row>
    <row r="20676" spans="3:47">
      <c r="C20676" s="20"/>
      <c r="Z20676" s="20"/>
      <c r="AG20676" s="20"/>
      <c r="AQ20676" s="19"/>
      <c r="AR20676" s="19"/>
      <c r="AS20676" s="19"/>
      <c r="AT20676" s="19"/>
      <c r="AU20676" s="19"/>
    </row>
    <row r="20677" spans="3:47">
      <c r="C20677" s="20"/>
      <c r="Z20677" s="20"/>
      <c r="AG20677" s="20"/>
      <c r="AQ20677" s="19"/>
      <c r="AR20677" s="19"/>
      <c r="AS20677" s="19"/>
      <c r="AT20677" s="19"/>
      <c r="AU20677" s="19"/>
    </row>
    <row r="20678" spans="3:47">
      <c r="C20678" s="20"/>
      <c r="Z20678" s="20"/>
      <c r="AG20678" s="20"/>
      <c r="AQ20678" s="19"/>
      <c r="AR20678" s="19"/>
      <c r="AS20678" s="19"/>
      <c r="AT20678" s="19"/>
      <c r="AU20678" s="19"/>
    </row>
    <row r="20679" spans="3:47">
      <c r="C20679" s="20"/>
      <c r="Z20679" s="20"/>
      <c r="AG20679" s="20"/>
      <c r="AQ20679" s="19"/>
      <c r="AR20679" s="19"/>
      <c r="AS20679" s="19"/>
      <c r="AT20679" s="19"/>
      <c r="AU20679" s="19"/>
    </row>
    <row r="20680" spans="3:47">
      <c r="C20680" s="20"/>
      <c r="Z20680" s="20"/>
      <c r="AG20680" s="20"/>
      <c r="AQ20680" s="19"/>
      <c r="AR20680" s="19"/>
      <c r="AS20680" s="19"/>
      <c r="AT20680" s="19"/>
      <c r="AU20680" s="19"/>
    </row>
    <row r="20681" spans="3:47">
      <c r="C20681" s="20"/>
      <c r="Z20681" s="20"/>
      <c r="AG20681" s="20"/>
      <c r="AQ20681" s="19"/>
      <c r="AR20681" s="19"/>
      <c r="AS20681" s="19"/>
      <c r="AT20681" s="19"/>
      <c r="AU20681" s="19"/>
    </row>
    <row r="20682" spans="3:47">
      <c r="C20682" s="20"/>
      <c r="Z20682" s="20"/>
      <c r="AG20682" s="20"/>
      <c r="AQ20682" s="19"/>
      <c r="AR20682" s="19"/>
      <c r="AS20682" s="19"/>
      <c r="AT20682" s="19"/>
      <c r="AU20682" s="19"/>
    </row>
    <row r="20683" spans="3:47">
      <c r="C20683" s="20"/>
      <c r="Z20683" s="20"/>
      <c r="AG20683" s="20"/>
      <c r="AQ20683" s="19"/>
      <c r="AR20683" s="19"/>
      <c r="AS20683" s="19"/>
      <c r="AT20683" s="19"/>
      <c r="AU20683" s="19"/>
    </row>
    <row r="20684" spans="3:47">
      <c r="C20684" s="20"/>
      <c r="Z20684" s="20"/>
      <c r="AG20684" s="20"/>
      <c r="AQ20684" s="19"/>
      <c r="AR20684" s="19"/>
      <c r="AS20684" s="19"/>
      <c r="AT20684" s="19"/>
      <c r="AU20684" s="19"/>
    </row>
    <row r="20685" spans="3:47">
      <c r="C20685" s="20"/>
      <c r="Z20685" s="20"/>
      <c r="AG20685" s="20"/>
      <c r="AQ20685" s="19"/>
      <c r="AR20685" s="19"/>
      <c r="AS20685" s="19"/>
      <c r="AT20685" s="19"/>
      <c r="AU20685" s="19"/>
    </row>
    <row r="20686" spans="3:47">
      <c r="C20686" s="20"/>
      <c r="Z20686" s="20"/>
      <c r="AG20686" s="20"/>
      <c r="AQ20686" s="19"/>
      <c r="AR20686" s="19"/>
      <c r="AS20686" s="19"/>
      <c r="AT20686" s="19"/>
      <c r="AU20686" s="19"/>
    </row>
    <row r="20687" spans="3:47">
      <c r="C20687" s="20"/>
      <c r="Z20687" s="20"/>
      <c r="AG20687" s="20"/>
      <c r="AQ20687" s="19"/>
      <c r="AR20687" s="19"/>
      <c r="AS20687" s="19"/>
      <c r="AT20687" s="19"/>
      <c r="AU20687" s="19"/>
    </row>
    <row r="20688" spans="3:47">
      <c r="C20688" s="20"/>
      <c r="Z20688" s="20"/>
      <c r="AG20688" s="20"/>
      <c r="AQ20688" s="19"/>
      <c r="AR20688" s="19"/>
      <c r="AS20688" s="19"/>
      <c r="AT20688" s="19"/>
      <c r="AU20688" s="19"/>
    </row>
    <row r="20689" spans="3:47">
      <c r="C20689" s="20"/>
      <c r="Z20689" s="20"/>
      <c r="AG20689" s="20"/>
      <c r="AQ20689" s="19"/>
      <c r="AR20689" s="19"/>
      <c r="AS20689" s="19"/>
      <c r="AT20689" s="19"/>
      <c r="AU20689" s="19"/>
    </row>
    <row r="20690" spans="3:47">
      <c r="C20690" s="20"/>
      <c r="Z20690" s="20"/>
      <c r="AG20690" s="20"/>
      <c r="AQ20690" s="19"/>
      <c r="AR20690" s="19"/>
      <c r="AS20690" s="19"/>
      <c r="AT20690" s="19"/>
      <c r="AU20690" s="19"/>
    </row>
    <row r="20691" spans="3:47">
      <c r="C20691" s="20"/>
      <c r="Z20691" s="20"/>
      <c r="AG20691" s="20"/>
      <c r="AQ20691" s="19"/>
      <c r="AR20691" s="19"/>
      <c r="AS20691" s="19"/>
      <c r="AT20691" s="19"/>
      <c r="AU20691" s="19"/>
    </row>
    <row r="20692" spans="3:47">
      <c r="C20692" s="20"/>
      <c r="Z20692" s="20"/>
      <c r="AG20692" s="20"/>
      <c r="AQ20692" s="19"/>
      <c r="AR20692" s="19"/>
      <c r="AS20692" s="19"/>
      <c r="AT20692" s="19"/>
      <c r="AU20692" s="19"/>
    </row>
    <row r="20693" spans="3:47">
      <c r="C20693" s="20"/>
      <c r="Z20693" s="20"/>
      <c r="AG20693" s="20"/>
      <c r="AQ20693" s="19"/>
      <c r="AR20693" s="19"/>
      <c r="AS20693" s="19"/>
      <c r="AT20693" s="19"/>
      <c r="AU20693" s="19"/>
    </row>
    <row r="20694" spans="3:47">
      <c r="C20694" s="20"/>
      <c r="Z20694" s="20"/>
      <c r="AG20694" s="20"/>
      <c r="AQ20694" s="19"/>
      <c r="AR20694" s="19"/>
      <c r="AS20694" s="19"/>
      <c r="AT20694" s="19"/>
      <c r="AU20694" s="19"/>
    </row>
    <row r="20695" spans="3:47">
      <c r="C20695" s="20"/>
      <c r="Z20695" s="20"/>
      <c r="AG20695" s="20"/>
      <c r="AQ20695" s="19"/>
      <c r="AR20695" s="19"/>
      <c r="AS20695" s="19"/>
      <c r="AT20695" s="19"/>
      <c r="AU20695" s="19"/>
    </row>
    <row r="20696" spans="3:47">
      <c r="C20696" s="20"/>
      <c r="Z20696" s="20"/>
      <c r="AG20696" s="20"/>
      <c r="AQ20696" s="19"/>
      <c r="AR20696" s="19"/>
      <c r="AS20696" s="19"/>
      <c r="AT20696" s="19"/>
      <c r="AU20696" s="19"/>
    </row>
    <row r="20697" spans="3:47">
      <c r="C20697" s="20"/>
      <c r="Z20697" s="20"/>
      <c r="AG20697" s="20"/>
      <c r="AQ20697" s="19"/>
      <c r="AR20697" s="19"/>
      <c r="AS20697" s="19"/>
      <c r="AT20697" s="19"/>
      <c r="AU20697" s="19"/>
    </row>
    <row r="20698" spans="3:47">
      <c r="C20698" s="20"/>
      <c r="Z20698" s="20"/>
      <c r="AG20698" s="20"/>
      <c r="AQ20698" s="19"/>
      <c r="AR20698" s="19"/>
      <c r="AS20698" s="19"/>
      <c r="AT20698" s="19"/>
      <c r="AU20698" s="19"/>
    </row>
    <row r="20699" spans="3:47">
      <c r="C20699" s="20"/>
      <c r="Z20699" s="20"/>
      <c r="AG20699" s="20"/>
      <c r="AQ20699" s="19"/>
      <c r="AR20699" s="19"/>
      <c r="AS20699" s="19"/>
      <c r="AT20699" s="19"/>
      <c r="AU20699" s="19"/>
    </row>
    <row r="20700" spans="3:47">
      <c r="C20700" s="20"/>
      <c r="Z20700" s="20"/>
      <c r="AG20700" s="20"/>
      <c r="AQ20700" s="19"/>
      <c r="AR20700" s="19"/>
      <c r="AS20700" s="19"/>
      <c r="AT20700" s="19"/>
      <c r="AU20700" s="19"/>
    </row>
    <row r="20701" spans="3:47">
      <c r="C20701" s="20"/>
      <c r="Z20701" s="20"/>
      <c r="AG20701" s="20"/>
      <c r="AQ20701" s="19"/>
      <c r="AR20701" s="19"/>
      <c r="AS20701" s="19"/>
      <c r="AT20701" s="19"/>
      <c r="AU20701" s="19"/>
    </row>
    <row r="20702" spans="3:47">
      <c r="C20702" s="20"/>
      <c r="Z20702" s="20"/>
      <c r="AG20702" s="20"/>
      <c r="AQ20702" s="19"/>
      <c r="AR20702" s="19"/>
      <c r="AS20702" s="19"/>
      <c r="AT20702" s="19"/>
      <c r="AU20702" s="19"/>
    </row>
    <row r="20703" spans="3:47">
      <c r="C20703" s="20"/>
      <c r="Z20703" s="20"/>
      <c r="AG20703" s="20"/>
      <c r="AQ20703" s="19"/>
      <c r="AR20703" s="19"/>
      <c r="AS20703" s="19"/>
      <c r="AT20703" s="19"/>
      <c r="AU20703" s="19"/>
    </row>
    <row r="20704" spans="3:47">
      <c r="C20704" s="20"/>
      <c r="Z20704" s="20"/>
      <c r="AG20704" s="20"/>
      <c r="AQ20704" s="19"/>
      <c r="AR20704" s="19"/>
      <c r="AS20704" s="19"/>
      <c r="AT20704" s="19"/>
      <c r="AU20704" s="19"/>
    </row>
    <row r="20705" spans="3:47">
      <c r="C20705" s="20"/>
      <c r="Z20705" s="20"/>
      <c r="AG20705" s="20"/>
      <c r="AQ20705" s="19"/>
      <c r="AR20705" s="19"/>
      <c r="AS20705" s="19"/>
      <c r="AT20705" s="19"/>
      <c r="AU20705" s="19"/>
    </row>
    <row r="20706" spans="3:47">
      <c r="C20706" s="20"/>
      <c r="Z20706" s="20"/>
      <c r="AG20706" s="20"/>
      <c r="AQ20706" s="19"/>
      <c r="AR20706" s="19"/>
      <c r="AS20706" s="19"/>
      <c r="AT20706" s="19"/>
      <c r="AU20706" s="19"/>
    </row>
    <row r="20707" spans="3:47">
      <c r="C20707" s="20"/>
      <c r="Z20707" s="20"/>
      <c r="AG20707" s="20"/>
      <c r="AQ20707" s="19"/>
      <c r="AR20707" s="19"/>
      <c r="AS20707" s="19"/>
      <c r="AT20707" s="19"/>
      <c r="AU20707" s="19"/>
    </row>
    <row r="20708" spans="3:47">
      <c r="C20708" s="20"/>
      <c r="Z20708" s="20"/>
      <c r="AG20708" s="20"/>
      <c r="AQ20708" s="19"/>
      <c r="AR20708" s="19"/>
      <c r="AS20708" s="19"/>
      <c r="AT20708" s="19"/>
      <c r="AU20708" s="19"/>
    </row>
    <row r="20709" spans="3:47">
      <c r="C20709" s="20"/>
      <c r="Z20709" s="20"/>
      <c r="AG20709" s="20"/>
      <c r="AQ20709" s="19"/>
      <c r="AR20709" s="19"/>
      <c r="AS20709" s="19"/>
      <c r="AT20709" s="19"/>
      <c r="AU20709" s="19"/>
    </row>
    <row r="20710" spans="3:47">
      <c r="C20710" s="20"/>
      <c r="Z20710" s="20"/>
      <c r="AG20710" s="20"/>
      <c r="AQ20710" s="19"/>
      <c r="AR20710" s="19"/>
      <c r="AS20710" s="19"/>
      <c r="AT20710" s="19"/>
      <c r="AU20710" s="19"/>
    </row>
    <row r="20711" spans="3:47">
      <c r="C20711" s="20"/>
      <c r="Z20711" s="20"/>
      <c r="AG20711" s="20"/>
      <c r="AQ20711" s="19"/>
      <c r="AR20711" s="19"/>
      <c r="AS20711" s="19"/>
      <c r="AT20711" s="19"/>
      <c r="AU20711" s="19"/>
    </row>
    <row r="20712" spans="3:47">
      <c r="C20712" s="20"/>
      <c r="Z20712" s="20"/>
      <c r="AG20712" s="20"/>
      <c r="AQ20712" s="19"/>
      <c r="AR20712" s="19"/>
      <c r="AS20712" s="19"/>
      <c r="AT20712" s="19"/>
      <c r="AU20712" s="19"/>
    </row>
    <row r="20713" spans="3:47">
      <c r="C20713" s="20"/>
      <c r="Z20713" s="20"/>
      <c r="AG20713" s="20"/>
      <c r="AQ20713" s="19"/>
      <c r="AR20713" s="19"/>
      <c r="AS20713" s="19"/>
      <c r="AT20713" s="19"/>
      <c r="AU20713" s="19"/>
    </row>
    <row r="20714" spans="3:47">
      <c r="C20714" s="20"/>
      <c r="Z20714" s="20"/>
      <c r="AG20714" s="20"/>
      <c r="AQ20714" s="19"/>
      <c r="AR20714" s="19"/>
      <c r="AS20714" s="19"/>
      <c r="AT20714" s="19"/>
      <c r="AU20714" s="19"/>
    </row>
    <row r="20715" spans="3:47">
      <c r="C20715" s="20"/>
      <c r="Z20715" s="20"/>
      <c r="AG20715" s="20"/>
      <c r="AQ20715" s="19"/>
      <c r="AR20715" s="19"/>
      <c r="AS20715" s="19"/>
      <c r="AT20715" s="19"/>
      <c r="AU20715" s="19"/>
    </row>
    <row r="20716" spans="3:47">
      <c r="C20716" s="20"/>
      <c r="Z20716" s="20"/>
      <c r="AG20716" s="20"/>
      <c r="AQ20716" s="19"/>
      <c r="AR20716" s="19"/>
      <c r="AS20716" s="19"/>
      <c r="AT20716" s="19"/>
      <c r="AU20716" s="19"/>
    </row>
    <row r="20717" spans="3:47">
      <c r="C20717" s="20"/>
      <c r="Z20717" s="20"/>
      <c r="AG20717" s="20"/>
      <c r="AQ20717" s="19"/>
      <c r="AR20717" s="19"/>
      <c r="AS20717" s="19"/>
      <c r="AT20717" s="19"/>
      <c r="AU20717" s="19"/>
    </row>
    <row r="20718" spans="3:47">
      <c r="C20718" s="20"/>
      <c r="Z20718" s="20"/>
      <c r="AG20718" s="20"/>
      <c r="AQ20718" s="19"/>
      <c r="AR20718" s="19"/>
      <c r="AS20718" s="19"/>
      <c r="AT20718" s="19"/>
      <c r="AU20718" s="19"/>
    </row>
    <row r="20719" spans="3:47">
      <c r="C20719" s="20"/>
      <c r="Z20719" s="20"/>
      <c r="AG20719" s="20"/>
      <c r="AQ20719" s="19"/>
      <c r="AR20719" s="19"/>
      <c r="AS20719" s="19"/>
      <c r="AT20719" s="19"/>
      <c r="AU20719" s="19"/>
    </row>
    <row r="20720" spans="3:47">
      <c r="C20720" s="20"/>
      <c r="Z20720" s="20"/>
      <c r="AG20720" s="20"/>
      <c r="AQ20720" s="19"/>
      <c r="AR20720" s="19"/>
      <c r="AS20720" s="19"/>
      <c r="AT20720" s="19"/>
      <c r="AU20720" s="19"/>
    </row>
    <row r="20721" spans="3:47">
      <c r="C20721" s="20"/>
      <c r="Z20721" s="20"/>
      <c r="AG20721" s="20"/>
      <c r="AQ20721" s="19"/>
      <c r="AR20721" s="19"/>
      <c r="AS20721" s="19"/>
      <c r="AT20721" s="19"/>
      <c r="AU20721" s="19"/>
    </row>
    <row r="20722" spans="3:47">
      <c r="C20722" s="20"/>
      <c r="Z20722" s="20"/>
      <c r="AG20722" s="20"/>
      <c r="AQ20722" s="19"/>
      <c r="AR20722" s="19"/>
      <c r="AS20722" s="19"/>
      <c r="AT20722" s="19"/>
      <c r="AU20722" s="19"/>
    </row>
    <row r="20723" spans="3:47">
      <c r="C20723" s="20"/>
      <c r="Z20723" s="20"/>
      <c r="AG20723" s="20"/>
      <c r="AQ20723" s="19"/>
      <c r="AR20723" s="19"/>
      <c r="AS20723" s="19"/>
      <c r="AT20723" s="19"/>
      <c r="AU20723" s="19"/>
    </row>
    <row r="20724" spans="3:47">
      <c r="C20724" s="20"/>
      <c r="Z20724" s="20"/>
      <c r="AG20724" s="20"/>
      <c r="AQ20724" s="19"/>
      <c r="AR20724" s="19"/>
      <c r="AS20724" s="19"/>
      <c r="AT20724" s="19"/>
      <c r="AU20724" s="19"/>
    </row>
    <row r="20725" spans="3:47">
      <c r="C20725" s="20"/>
      <c r="Z20725" s="20"/>
      <c r="AG20725" s="20"/>
      <c r="AQ20725" s="19"/>
      <c r="AR20725" s="19"/>
      <c r="AS20725" s="19"/>
      <c r="AT20725" s="19"/>
      <c r="AU20725" s="19"/>
    </row>
    <row r="20726" spans="3:47">
      <c r="C20726" s="20"/>
      <c r="Z20726" s="20"/>
      <c r="AG20726" s="20"/>
      <c r="AQ20726" s="19"/>
      <c r="AR20726" s="19"/>
      <c r="AS20726" s="19"/>
      <c r="AT20726" s="19"/>
      <c r="AU20726" s="19"/>
    </row>
    <row r="20727" spans="3:47">
      <c r="C20727" s="20"/>
      <c r="Z20727" s="20"/>
      <c r="AG20727" s="20"/>
      <c r="AQ20727" s="19"/>
      <c r="AR20727" s="19"/>
      <c r="AS20727" s="19"/>
      <c r="AT20727" s="19"/>
      <c r="AU20727" s="19"/>
    </row>
    <row r="20728" spans="3:47">
      <c r="C20728" s="20"/>
      <c r="Z20728" s="20"/>
      <c r="AG20728" s="20"/>
      <c r="AQ20728" s="19"/>
      <c r="AR20728" s="19"/>
      <c r="AS20728" s="19"/>
      <c r="AT20728" s="19"/>
      <c r="AU20728" s="19"/>
    </row>
    <row r="20729" spans="3:47">
      <c r="C20729" s="20"/>
      <c r="Z20729" s="20"/>
      <c r="AG20729" s="20"/>
      <c r="AQ20729" s="19"/>
      <c r="AR20729" s="19"/>
      <c r="AS20729" s="19"/>
      <c r="AT20729" s="19"/>
      <c r="AU20729" s="19"/>
    </row>
    <row r="20730" spans="3:47">
      <c r="C20730" s="20"/>
      <c r="Z20730" s="20"/>
      <c r="AG20730" s="20"/>
      <c r="AQ20730" s="19"/>
      <c r="AR20730" s="19"/>
      <c r="AS20730" s="19"/>
      <c r="AT20730" s="19"/>
      <c r="AU20730" s="19"/>
    </row>
    <row r="20731" spans="3:47">
      <c r="C20731" s="20"/>
      <c r="Z20731" s="20"/>
      <c r="AG20731" s="20"/>
      <c r="AQ20731" s="19"/>
      <c r="AR20731" s="19"/>
      <c r="AS20731" s="19"/>
      <c r="AT20731" s="19"/>
      <c r="AU20731" s="19"/>
    </row>
    <row r="20732" spans="3:47">
      <c r="C20732" s="20"/>
      <c r="Z20732" s="20"/>
      <c r="AG20732" s="20"/>
      <c r="AQ20732" s="19"/>
      <c r="AR20732" s="19"/>
      <c r="AS20732" s="19"/>
      <c r="AT20732" s="19"/>
      <c r="AU20732" s="19"/>
    </row>
    <row r="20733" spans="3:47">
      <c r="C20733" s="20"/>
      <c r="Z20733" s="20"/>
      <c r="AG20733" s="20"/>
      <c r="AQ20733" s="19"/>
      <c r="AR20733" s="19"/>
      <c r="AS20733" s="19"/>
      <c r="AT20733" s="19"/>
      <c r="AU20733" s="19"/>
    </row>
    <row r="20734" spans="3:47">
      <c r="C20734" s="20"/>
      <c r="Z20734" s="20"/>
      <c r="AG20734" s="20"/>
      <c r="AQ20734" s="19"/>
      <c r="AR20734" s="19"/>
      <c r="AS20734" s="19"/>
      <c r="AT20734" s="19"/>
      <c r="AU20734" s="19"/>
    </row>
    <row r="20735" spans="3:47">
      <c r="C20735" s="20"/>
      <c r="Z20735" s="20"/>
      <c r="AG20735" s="20"/>
      <c r="AQ20735" s="19"/>
      <c r="AR20735" s="19"/>
      <c r="AS20735" s="19"/>
      <c r="AT20735" s="19"/>
      <c r="AU20735" s="19"/>
    </row>
    <row r="20736" spans="3:47">
      <c r="C20736" s="20"/>
      <c r="Z20736" s="20"/>
      <c r="AG20736" s="20"/>
      <c r="AQ20736" s="19"/>
      <c r="AR20736" s="19"/>
      <c r="AS20736" s="19"/>
      <c r="AT20736" s="19"/>
      <c r="AU20736" s="19"/>
    </row>
    <row r="20737" spans="3:47">
      <c r="C20737" s="20"/>
      <c r="Z20737" s="20"/>
      <c r="AG20737" s="20"/>
      <c r="AQ20737" s="19"/>
      <c r="AR20737" s="19"/>
      <c r="AS20737" s="19"/>
      <c r="AT20737" s="19"/>
      <c r="AU20737" s="19"/>
    </row>
    <row r="20738" spans="3:47">
      <c r="C20738" s="20"/>
      <c r="Z20738" s="20"/>
      <c r="AG20738" s="20"/>
      <c r="AQ20738" s="19"/>
      <c r="AR20738" s="19"/>
      <c r="AS20738" s="19"/>
      <c r="AT20738" s="19"/>
      <c r="AU20738" s="19"/>
    </row>
    <row r="20739" spans="3:47">
      <c r="C20739" s="20"/>
      <c r="Z20739" s="20"/>
      <c r="AG20739" s="20"/>
      <c r="AQ20739" s="19"/>
      <c r="AR20739" s="19"/>
      <c r="AS20739" s="19"/>
      <c r="AT20739" s="19"/>
      <c r="AU20739" s="19"/>
    </row>
    <row r="20740" spans="3:47">
      <c r="C20740" s="20"/>
      <c r="Z20740" s="20"/>
      <c r="AG20740" s="20"/>
      <c r="AQ20740" s="19"/>
      <c r="AR20740" s="19"/>
      <c r="AS20740" s="19"/>
      <c r="AT20740" s="19"/>
      <c r="AU20740" s="19"/>
    </row>
    <row r="20741" spans="3:47">
      <c r="C20741" s="20"/>
      <c r="Z20741" s="20"/>
      <c r="AG20741" s="20"/>
      <c r="AQ20741" s="19"/>
      <c r="AR20741" s="19"/>
      <c r="AS20741" s="19"/>
      <c r="AT20741" s="19"/>
      <c r="AU20741" s="19"/>
    </row>
    <row r="20742" spans="3:47">
      <c r="C20742" s="20"/>
      <c r="Z20742" s="20"/>
      <c r="AG20742" s="20"/>
      <c r="AQ20742" s="19"/>
      <c r="AR20742" s="19"/>
      <c r="AS20742" s="19"/>
      <c r="AT20742" s="19"/>
      <c r="AU20742" s="19"/>
    </row>
    <row r="20743" spans="3:47">
      <c r="C20743" s="20"/>
      <c r="Z20743" s="20"/>
      <c r="AG20743" s="20"/>
      <c r="AQ20743" s="19"/>
      <c r="AR20743" s="19"/>
      <c r="AS20743" s="19"/>
      <c r="AT20743" s="19"/>
      <c r="AU20743" s="19"/>
    </row>
    <row r="20744" spans="3:47">
      <c r="C20744" s="20"/>
      <c r="Z20744" s="20"/>
      <c r="AG20744" s="20"/>
      <c r="AQ20744" s="19"/>
      <c r="AR20744" s="19"/>
      <c r="AS20744" s="19"/>
      <c r="AT20744" s="19"/>
      <c r="AU20744" s="19"/>
    </row>
    <row r="20745" spans="3:47">
      <c r="C20745" s="20"/>
      <c r="Z20745" s="20"/>
      <c r="AG20745" s="20"/>
      <c r="AQ20745" s="19"/>
      <c r="AR20745" s="19"/>
      <c r="AS20745" s="19"/>
      <c r="AT20745" s="19"/>
      <c r="AU20745" s="19"/>
    </row>
    <row r="20746" spans="3:47">
      <c r="C20746" s="20"/>
      <c r="Z20746" s="20"/>
      <c r="AG20746" s="20"/>
      <c r="AQ20746" s="19"/>
      <c r="AR20746" s="19"/>
      <c r="AS20746" s="19"/>
      <c r="AT20746" s="19"/>
      <c r="AU20746" s="19"/>
    </row>
    <row r="20747" spans="3:47">
      <c r="C20747" s="20"/>
      <c r="Z20747" s="20"/>
      <c r="AG20747" s="20"/>
      <c r="AQ20747" s="19"/>
      <c r="AR20747" s="19"/>
      <c r="AS20747" s="19"/>
      <c r="AT20747" s="19"/>
      <c r="AU20747" s="19"/>
    </row>
    <row r="20748" spans="3:47">
      <c r="C20748" s="20"/>
      <c r="Z20748" s="20"/>
      <c r="AG20748" s="20"/>
      <c r="AQ20748" s="19"/>
      <c r="AR20748" s="19"/>
      <c r="AS20748" s="19"/>
      <c r="AT20748" s="19"/>
      <c r="AU20748" s="19"/>
    </row>
    <row r="20749" spans="3:47">
      <c r="C20749" s="20"/>
      <c r="Z20749" s="20"/>
      <c r="AG20749" s="20"/>
      <c r="AQ20749" s="19"/>
      <c r="AR20749" s="19"/>
      <c r="AS20749" s="19"/>
      <c r="AT20749" s="19"/>
      <c r="AU20749" s="19"/>
    </row>
    <row r="20750" spans="3:47">
      <c r="C20750" s="20"/>
      <c r="Z20750" s="20"/>
      <c r="AG20750" s="20"/>
      <c r="AQ20750" s="19"/>
      <c r="AR20750" s="19"/>
      <c r="AS20750" s="19"/>
      <c r="AT20750" s="19"/>
      <c r="AU20750" s="19"/>
    </row>
    <row r="20751" spans="3:47">
      <c r="C20751" s="20"/>
      <c r="Z20751" s="20"/>
      <c r="AG20751" s="20"/>
      <c r="AQ20751" s="19"/>
      <c r="AR20751" s="19"/>
      <c r="AS20751" s="19"/>
      <c r="AT20751" s="19"/>
      <c r="AU20751" s="19"/>
    </row>
    <row r="20752" spans="3:47">
      <c r="C20752" s="20"/>
      <c r="Z20752" s="20"/>
      <c r="AG20752" s="20"/>
      <c r="AQ20752" s="19"/>
      <c r="AR20752" s="19"/>
      <c r="AS20752" s="19"/>
      <c r="AT20752" s="19"/>
      <c r="AU20752" s="19"/>
    </row>
    <row r="20753" spans="3:47">
      <c r="C20753" s="20"/>
      <c r="Z20753" s="20"/>
      <c r="AG20753" s="20"/>
      <c r="AQ20753" s="19"/>
      <c r="AR20753" s="19"/>
      <c r="AS20753" s="19"/>
      <c r="AT20753" s="19"/>
      <c r="AU20753" s="19"/>
    </row>
    <row r="20754" spans="3:47">
      <c r="C20754" s="20"/>
      <c r="Z20754" s="20"/>
      <c r="AG20754" s="20"/>
      <c r="AQ20754" s="19"/>
      <c r="AR20754" s="19"/>
      <c r="AS20754" s="19"/>
      <c r="AT20754" s="19"/>
      <c r="AU20754" s="19"/>
    </row>
    <row r="20755" spans="3:47">
      <c r="C20755" s="20"/>
      <c r="Z20755" s="20"/>
      <c r="AG20755" s="20"/>
      <c r="AQ20755" s="19"/>
      <c r="AR20755" s="19"/>
      <c r="AS20755" s="19"/>
      <c r="AT20755" s="19"/>
      <c r="AU20755" s="19"/>
    </row>
    <row r="20756" spans="3:47">
      <c r="C20756" s="20"/>
      <c r="Z20756" s="20"/>
      <c r="AG20756" s="20"/>
      <c r="AQ20756" s="19"/>
      <c r="AR20756" s="19"/>
      <c r="AS20756" s="19"/>
      <c r="AT20756" s="19"/>
      <c r="AU20756" s="19"/>
    </row>
    <row r="20757" spans="3:47">
      <c r="C20757" s="20"/>
      <c r="Z20757" s="20"/>
      <c r="AG20757" s="20"/>
      <c r="AQ20757" s="19"/>
      <c r="AR20757" s="19"/>
      <c r="AS20757" s="19"/>
      <c r="AT20757" s="19"/>
      <c r="AU20757" s="19"/>
    </row>
    <row r="20758" spans="3:47">
      <c r="C20758" s="20"/>
      <c r="Z20758" s="20"/>
      <c r="AG20758" s="20"/>
      <c r="AQ20758" s="19"/>
      <c r="AR20758" s="19"/>
      <c r="AS20758" s="19"/>
      <c r="AT20758" s="19"/>
      <c r="AU20758" s="19"/>
    </row>
    <row r="20759" spans="3:47">
      <c r="C20759" s="20"/>
      <c r="Z20759" s="20"/>
      <c r="AG20759" s="20"/>
      <c r="AQ20759" s="19"/>
      <c r="AR20759" s="19"/>
      <c r="AS20759" s="19"/>
      <c r="AT20759" s="19"/>
      <c r="AU20759" s="19"/>
    </row>
    <row r="20760" spans="3:47">
      <c r="C20760" s="20"/>
      <c r="Z20760" s="20"/>
      <c r="AG20760" s="20"/>
      <c r="AQ20760" s="19"/>
      <c r="AR20760" s="19"/>
      <c r="AS20760" s="19"/>
      <c r="AT20760" s="19"/>
      <c r="AU20760" s="19"/>
    </row>
    <row r="20761" spans="3:47">
      <c r="C20761" s="20"/>
      <c r="Z20761" s="20"/>
      <c r="AG20761" s="20"/>
      <c r="AQ20761" s="19"/>
      <c r="AR20761" s="19"/>
      <c r="AS20761" s="19"/>
      <c r="AT20761" s="19"/>
      <c r="AU20761" s="19"/>
    </row>
    <row r="20762" spans="3:47">
      <c r="C20762" s="20"/>
      <c r="Z20762" s="20"/>
      <c r="AG20762" s="20"/>
      <c r="AQ20762" s="19"/>
      <c r="AR20762" s="19"/>
      <c r="AS20762" s="19"/>
      <c r="AT20762" s="19"/>
      <c r="AU20762" s="19"/>
    </row>
    <row r="20763" spans="3:47">
      <c r="C20763" s="20"/>
      <c r="Z20763" s="20"/>
      <c r="AG20763" s="20"/>
      <c r="AQ20763" s="19"/>
      <c r="AR20763" s="19"/>
      <c r="AS20763" s="19"/>
      <c r="AT20763" s="19"/>
      <c r="AU20763" s="19"/>
    </row>
    <row r="20764" spans="3:47">
      <c r="C20764" s="20"/>
      <c r="Z20764" s="20"/>
      <c r="AG20764" s="20"/>
      <c r="AQ20764" s="19"/>
      <c r="AR20764" s="19"/>
      <c r="AS20764" s="19"/>
      <c r="AT20764" s="19"/>
      <c r="AU20764" s="19"/>
    </row>
    <row r="20765" spans="3:47">
      <c r="C20765" s="20"/>
      <c r="Z20765" s="20"/>
      <c r="AG20765" s="20"/>
      <c r="AQ20765" s="19"/>
      <c r="AR20765" s="19"/>
      <c r="AS20765" s="19"/>
      <c r="AT20765" s="19"/>
      <c r="AU20765" s="19"/>
    </row>
    <row r="20766" spans="3:47">
      <c r="C20766" s="20"/>
      <c r="Z20766" s="20"/>
      <c r="AG20766" s="20"/>
      <c r="AQ20766" s="19"/>
      <c r="AR20766" s="19"/>
      <c r="AS20766" s="19"/>
      <c r="AT20766" s="19"/>
      <c r="AU20766" s="19"/>
    </row>
    <row r="20767" spans="3:47">
      <c r="C20767" s="20"/>
      <c r="Z20767" s="20"/>
      <c r="AG20767" s="20"/>
      <c r="AQ20767" s="19"/>
      <c r="AR20767" s="19"/>
      <c r="AS20767" s="19"/>
      <c r="AT20767" s="19"/>
      <c r="AU20767" s="19"/>
    </row>
    <row r="20768" spans="3:47">
      <c r="C20768" s="20"/>
      <c r="Z20768" s="20"/>
      <c r="AG20768" s="20"/>
      <c r="AQ20768" s="19"/>
      <c r="AR20768" s="19"/>
      <c r="AS20768" s="19"/>
      <c r="AT20768" s="19"/>
      <c r="AU20768" s="19"/>
    </row>
    <row r="20769" spans="3:47">
      <c r="C20769" s="20"/>
      <c r="Z20769" s="20"/>
      <c r="AG20769" s="20"/>
      <c r="AQ20769" s="19"/>
      <c r="AR20769" s="19"/>
      <c r="AS20769" s="19"/>
      <c r="AT20769" s="19"/>
      <c r="AU20769" s="19"/>
    </row>
    <row r="20770" spans="3:47">
      <c r="C20770" s="20"/>
      <c r="Z20770" s="20"/>
      <c r="AG20770" s="20"/>
      <c r="AQ20770" s="19"/>
      <c r="AR20770" s="19"/>
      <c r="AS20770" s="19"/>
      <c r="AT20770" s="19"/>
      <c r="AU20770" s="19"/>
    </row>
    <row r="20771" spans="3:47">
      <c r="C20771" s="20"/>
      <c r="Z20771" s="20"/>
      <c r="AG20771" s="20"/>
      <c r="AQ20771" s="19"/>
      <c r="AR20771" s="19"/>
      <c r="AS20771" s="19"/>
      <c r="AT20771" s="19"/>
      <c r="AU20771" s="19"/>
    </row>
    <row r="20772" spans="3:47">
      <c r="C20772" s="20"/>
      <c r="Z20772" s="20"/>
      <c r="AG20772" s="20"/>
      <c r="AQ20772" s="19"/>
      <c r="AR20772" s="19"/>
      <c r="AS20772" s="19"/>
      <c r="AT20772" s="19"/>
      <c r="AU20772" s="19"/>
    </row>
    <row r="20773" spans="3:47">
      <c r="C20773" s="20"/>
      <c r="Z20773" s="20"/>
      <c r="AG20773" s="20"/>
      <c r="AQ20773" s="19"/>
      <c r="AR20773" s="19"/>
      <c r="AS20773" s="19"/>
      <c r="AT20773" s="19"/>
      <c r="AU20773" s="19"/>
    </row>
    <row r="20774" spans="3:47">
      <c r="C20774" s="20"/>
      <c r="Z20774" s="20"/>
      <c r="AG20774" s="20"/>
      <c r="AQ20774" s="19"/>
      <c r="AR20774" s="19"/>
      <c r="AS20774" s="19"/>
      <c r="AT20774" s="19"/>
      <c r="AU20774" s="19"/>
    </row>
    <row r="20775" spans="3:47">
      <c r="C20775" s="20"/>
      <c r="Z20775" s="20"/>
      <c r="AG20775" s="20"/>
      <c r="AQ20775" s="19"/>
      <c r="AR20775" s="19"/>
      <c r="AS20775" s="19"/>
      <c r="AT20775" s="19"/>
      <c r="AU20775" s="19"/>
    </row>
    <row r="20776" spans="3:47">
      <c r="C20776" s="20"/>
      <c r="Z20776" s="20"/>
      <c r="AG20776" s="20"/>
      <c r="AQ20776" s="19"/>
      <c r="AR20776" s="19"/>
      <c r="AS20776" s="19"/>
      <c r="AT20776" s="19"/>
      <c r="AU20776" s="19"/>
    </row>
    <row r="20777" spans="3:47">
      <c r="C20777" s="20"/>
      <c r="Z20777" s="20"/>
      <c r="AG20777" s="20"/>
      <c r="AQ20777" s="19"/>
      <c r="AR20777" s="19"/>
      <c r="AS20777" s="19"/>
      <c r="AT20777" s="19"/>
      <c r="AU20777" s="19"/>
    </row>
    <row r="20778" spans="3:47">
      <c r="C20778" s="20"/>
      <c r="Z20778" s="20"/>
      <c r="AG20778" s="20"/>
      <c r="AQ20778" s="19"/>
      <c r="AR20778" s="19"/>
      <c r="AS20778" s="19"/>
      <c r="AT20778" s="19"/>
      <c r="AU20778" s="19"/>
    </row>
    <row r="20779" spans="3:47">
      <c r="C20779" s="20"/>
      <c r="Z20779" s="20"/>
      <c r="AG20779" s="20"/>
      <c r="AQ20779" s="19"/>
      <c r="AR20779" s="19"/>
      <c r="AS20779" s="19"/>
      <c r="AT20779" s="19"/>
      <c r="AU20779" s="19"/>
    </row>
    <row r="20780" spans="3:47">
      <c r="C20780" s="20"/>
      <c r="Z20780" s="20"/>
      <c r="AG20780" s="20"/>
      <c r="AQ20780" s="19"/>
      <c r="AR20780" s="19"/>
      <c r="AS20780" s="19"/>
      <c r="AT20780" s="19"/>
      <c r="AU20780" s="19"/>
    </row>
    <row r="20781" spans="3:47">
      <c r="C20781" s="20"/>
      <c r="Z20781" s="20"/>
      <c r="AG20781" s="20"/>
      <c r="AQ20781" s="19"/>
      <c r="AR20781" s="19"/>
      <c r="AS20781" s="19"/>
      <c r="AT20781" s="19"/>
      <c r="AU20781" s="19"/>
    </row>
    <row r="20782" spans="3:47">
      <c r="C20782" s="20"/>
      <c r="Z20782" s="20"/>
      <c r="AG20782" s="20"/>
      <c r="AQ20782" s="19"/>
      <c r="AR20782" s="19"/>
      <c r="AS20782" s="19"/>
      <c r="AT20782" s="19"/>
      <c r="AU20782" s="19"/>
    </row>
    <row r="20783" spans="3:47">
      <c r="C20783" s="20"/>
      <c r="Z20783" s="20"/>
      <c r="AG20783" s="20"/>
      <c r="AQ20783" s="19"/>
      <c r="AR20783" s="19"/>
      <c r="AS20783" s="19"/>
      <c r="AT20783" s="19"/>
      <c r="AU20783" s="19"/>
    </row>
    <row r="20784" spans="3:47">
      <c r="C20784" s="20"/>
      <c r="Z20784" s="20"/>
      <c r="AG20784" s="20"/>
      <c r="AQ20784" s="19"/>
      <c r="AR20784" s="19"/>
      <c r="AS20784" s="19"/>
      <c r="AT20784" s="19"/>
      <c r="AU20784" s="19"/>
    </row>
    <row r="20785" spans="3:47">
      <c r="C20785" s="20"/>
      <c r="Z20785" s="20"/>
      <c r="AG20785" s="20"/>
      <c r="AQ20785" s="19"/>
      <c r="AR20785" s="19"/>
      <c r="AS20785" s="19"/>
      <c r="AT20785" s="19"/>
      <c r="AU20785" s="19"/>
    </row>
    <row r="20786" spans="3:47">
      <c r="C20786" s="20"/>
      <c r="Z20786" s="20"/>
      <c r="AG20786" s="20"/>
      <c r="AQ20786" s="19"/>
      <c r="AR20786" s="19"/>
      <c r="AS20786" s="19"/>
      <c r="AT20786" s="19"/>
      <c r="AU20786" s="19"/>
    </row>
    <row r="20787" spans="3:47">
      <c r="C20787" s="20"/>
      <c r="Z20787" s="20"/>
      <c r="AG20787" s="20"/>
      <c r="AQ20787" s="19"/>
      <c r="AR20787" s="19"/>
      <c r="AS20787" s="19"/>
      <c r="AT20787" s="19"/>
      <c r="AU20787" s="19"/>
    </row>
    <row r="20788" spans="3:47">
      <c r="C20788" s="20"/>
      <c r="Z20788" s="20"/>
      <c r="AG20788" s="20"/>
      <c r="AQ20788" s="19"/>
      <c r="AR20788" s="19"/>
      <c r="AS20788" s="19"/>
      <c r="AT20788" s="19"/>
      <c r="AU20788" s="19"/>
    </row>
    <row r="20789" spans="3:47">
      <c r="C20789" s="20"/>
      <c r="Z20789" s="20"/>
      <c r="AG20789" s="20"/>
      <c r="AQ20789" s="19"/>
      <c r="AR20789" s="19"/>
      <c r="AS20789" s="19"/>
      <c r="AT20789" s="19"/>
      <c r="AU20789" s="19"/>
    </row>
    <row r="20790" spans="3:47">
      <c r="C20790" s="20"/>
      <c r="Z20790" s="20"/>
      <c r="AG20790" s="20"/>
      <c r="AQ20790" s="19"/>
      <c r="AR20790" s="19"/>
      <c r="AS20790" s="19"/>
      <c r="AT20790" s="19"/>
      <c r="AU20790" s="19"/>
    </row>
    <row r="20791" spans="3:47">
      <c r="C20791" s="20"/>
      <c r="Z20791" s="20"/>
      <c r="AG20791" s="20"/>
      <c r="AQ20791" s="19"/>
      <c r="AR20791" s="19"/>
      <c r="AS20791" s="19"/>
      <c r="AT20791" s="19"/>
      <c r="AU20791" s="19"/>
    </row>
    <row r="20792" spans="3:47">
      <c r="C20792" s="20"/>
      <c r="Z20792" s="20"/>
      <c r="AG20792" s="20"/>
      <c r="AQ20792" s="19"/>
      <c r="AR20792" s="19"/>
      <c r="AS20792" s="19"/>
      <c r="AT20792" s="19"/>
      <c r="AU20792" s="19"/>
    </row>
    <row r="20793" spans="3:47">
      <c r="C20793" s="20"/>
      <c r="Z20793" s="20"/>
      <c r="AG20793" s="20"/>
      <c r="AQ20793" s="19"/>
      <c r="AR20793" s="19"/>
      <c r="AS20793" s="19"/>
      <c r="AT20793" s="19"/>
      <c r="AU20793" s="19"/>
    </row>
    <row r="20794" spans="3:47">
      <c r="C20794" s="20"/>
      <c r="Z20794" s="20"/>
      <c r="AG20794" s="20"/>
      <c r="AQ20794" s="19"/>
      <c r="AR20794" s="19"/>
      <c r="AS20794" s="19"/>
      <c r="AT20794" s="19"/>
      <c r="AU20794" s="19"/>
    </row>
    <row r="20795" spans="3:47">
      <c r="C20795" s="20"/>
      <c r="Z20795" s="20"/>
      <c r="AG20795" s="20"/>
      <c r="AQ20795" s="19"/>
      <c r="AR20795" s="19"/>
      <c r="AS20795" s="19"/>
      <c r="AT20795" s="19"/>
      <c r="AU20795" s="19"/>
    </row>
    <row r="20796" spans="3:47">
      <c r="C20796" s="20"/>
      <c r="Z20796" s="20"/>
      <c r="AG20796" s="20"/>
      <c r="AQ20796" s="19"/>
      <c r="AR20796" s="19"/>
      <c r="AS20796" s="19"/>
      <c r="AT20796" s="19"/>
      <c r="AU20796" s="19"/>
    </row>
    <row r="20797" spans="3:47">
      <c r="C20797" s="20"/>
      <c r="Z20797" s="20"/>
      <c r="AG20797" s="20"/>
      <c r="AQ20797" s="19"/>
      <c r="AR20797" s="19"/>
      <c r="AS20797" s="19"/>
      <c r="AT20797" s="19"/>
      <c r="AU20797" s="19"/>
    </row>
    <row r="20798" spans="3:47">
      <c r="C20798" s="20"/>
      <c r="Z20798" s="20"/>
      <c r="AG20798" s="20"/>
      <c r="AQ20798" s="19"/>
      <c r="AR20798" s="19"/>
      <c r="AS20798" s="19"/>
      <c r="AT20798" s="19"/>
      <c r="AU20798" s="19"/>
    </row>
    <row r="20799" spans="3:47">
      <c r="C20799" s="20"/>
      <c r="Z20799" s="20"/>
      <c r="AG20799" s="20"/>
      <c r="AQ20799" s="19"/>
      <c r="AR20799" s="19"/>
      <c r="AS20799" s="19"/>
      <c r="AT20799" s="19"/>
      <c r="AU20799" s="19"/>
    </row>
    <row r="20800" spans="3:47">
      <c r="C20800" s="20"/>
      <c r="Z20800" s="20"/>
      <c r="AG20800" s="20"/>
      <c r="AQ20800" s="19"/>
      <c r="AR20800" s="19"/>
      <c r="AS20800" s="19"/>
      <c r="AT20800" s="19"/>
      <c r="AU20800" s="19"/>
    </row>
    <row r="20801" spans="3:47">
      <c r="C20801" s="20"/>
      <c r="Z20801" s="20"/>
      <c r="AG20801" s="20"/>
      <c r="AQ20801" s="19"/>
      <c r="AR20801" s="19"/>
      <c r="AS20801" s="19"/>
      <c r="AT20801" s="19"/>
      <c r="AU20801" s="19"/>
    </row>
    <row r="20802" spans="3:47">
      <c r="C20802" s="20"/>
      <c r="Z20802" s="20"/>
      <c r="AG20802" s="20"/>
      <c r="AQ20802" s="19"/>
      <c r="AR20802" s="19"/>
      <c r="AS20802" s="19"/>
      <c r="AT20802" s="19"/>
      <c r="AU20802" s="19"/>
    </row>
    <row r="20803" spans="3:47">
      <c r="C20803" s="20"/>
      <c r="Z20803" s="20"/>
      <c r="AG20803" s="20"/>
      <c r="AQ20803" s="19"/>
      <c r="AR20803" s="19"/>
      <c r="AS20803" s="19"/>
      <c r="AT20803" s="19"/>
      <c r="AU20803" s="19"/>
    </row>
    <row r="20804" spans="3:47">
      <c r="C20804" s="20"/>
      <c r="Z20804" s="20"/>
      <c r="AG20804" s="20"/>
      <c r="AQ20804" s="19"/>
      <c r="AR20804" s="19"/>
      <c r="AS20804" s="19"/>
      <c r="AT20804" s="19"/>
      <c r="AU20804" s="19"/>
    </row>
    <row r="20805" spans="3:47">
      <c r="C20805" s="20"/>
      <c r="Z20805" s="20"/>
      <c r="AG20805" s="20"/>
      <c r="AQ20805" s="19"/>
      <c r="AR20805" s="19"/>
      <c r="AS20805" s="19"/>
      <c r="AT20805" s="19"/>
      <c r="AU20805" s="19"/>
    </row>
    <row r="20806" spans="3:47">
      <c r="C20806" s="20"/>
      <c r="Z20806" s="20"/>
      <c r="AG20806" s="20"/>
      <c r="AQ20806" s="19"/>
      <c r="AR20806" s="19"/>
      <c r="AS20806" s="19"/>
      <c r="AT20806" s="19"/>
      <c r="AU20806" s="19"/>
    </row>
    <row r="20807" spans="3:47">
      <c r="C20807" s="20"/>
      <c r="Z20807" s="20"/>
      <c r="AG20807" s="20"/>
      <c r="AQ20807" s="19"/>
      <c r="AR20807" s="19"/>
      <c r="AS20807" s="19"/>
      <c r="AT20807" s="19"/>
      <c r="AU20807" s="19"/>
    </row>
    <row r="20808" spans="3:47">
      <c r="C20808" s="20"/>
      <c r="Z20808" s="20"/>
      <c r="AG20808" s="20"/>
      <c r="AQ20808" s="19"/>
      <c r="AR20808" s="19"/>
      <c r="AS20808" s="19"/>
      <c r="AT20808" s="19"/>
      <c r="AU20808" s="19"/>
    </row>
    <row r="20809" spans="3:47">
      <c r="C20809" s="20"/>
      <c r="Z20809" s="20"/>
      <c r="AG20809" s="20"/>
      <c r="AQ20809" s="19"/>
      <c r="AR20809" s="19"/>
      <c r="AS20809" s="19"/>
      <c r="AT20809" s="19"/>
      <c r="AU20809" s="19"/>
    </row>
    <row r="20810" spans="3:47">
      <c r="C20810" s="20"/>
      <c r="Z20810" s="20"/>
      <c r="AG20810" s="20"/>
      <c r="AQ20810" s="19"/>
      <c r="AR20810" s="19"/>
      <c r="AS20810" s="19"/>
      <c r="AT20810" s="19"/>
      <c r="AU20810" s="19"/>
    </row>
    <row r="20811" spans="3:47">
      <c r="C20811" s="20"/>
      <c r="Z20811" s="20"/>
      <c r="AG20811" s="20"/>
      <c r="AQ20811" s="19"/>
      <c r="AR20811" s="19"/>
      <c r="AS20811" s="19"/>
      <c r="AT20811" s="19"/>
      <c r="AU20811" s="19"/>
    </row>
    <row r="20812" spans="3:47">
      <c r="C20812" s="20"/>
      <c r="Z20812" s="20"/>
      <c r="AG20812" s="20"/>
      <c r="AQ20812" s="19"/>
      <c r="AR20812" s="19"/>
      <c r="AS20812" s="19"/>
      <c r="AT20812" s="19"/>
      <c r="AU20812" s="19"/>
    </row>
    <row r="20813" spans="3:47">
      <c r="C20813" s="20"/>
      <c r="Z20813" s="20"/>
      <c r="AG20813" s="20"/>
      <c r="AQ20813" s="19"/>
      <c r="AR20813" s="19"/>
      <c r="AS20813" s="19"/>
      <c r="AT20813" s="19"/>
      <c r="AU20813" s="19"/>
    </row>
    <row r="20814" spans="3:47">
      <c r="C20814" s="20"/>
      <c r="Z20814" s="20"/>
      <c r="AG20814" s="20"/>
      <c r="AQ20814" s="19"/>
      <c r="AR20814" s="19"/>
      <c r="AS20814" s="19"/>
      <c r="AT20814" s="19"/>
      <c r="AU20814" s="19"/>
    </row>
    <row r="20815" spans="3:47">
      <c r="C20815" s="20"/>
      <c r="Z20815" s="20"/>
      <c r="AG20815" s="20"/>
      <c r="AQ20815" s="19"/>
      <c r="AR20815" s="19"/>
      <c r="AS20815" s="19"/>
      <c r="AT20815" s="19"/>
      <c r="AU20815" s="19"/>
    </row>
    <row r="20816" spans="3:47">
      <c r="C20816" s="20"/>
      <c r="Z20816" s="20"/>
      <c r="AG20816" s="20"/>
      <c r="AQ20816" s="19"/>
      <c r="AR20816" s="19"/>
      <c r="AS20816" s="19"/>
      <c r="AT20816" s="19"/>
      <c r="AU20816" s="19"/>
    </row>
    <row r="20817" spans="3:47">
      <c r="C20817" s="20"/>
      <c r="Z20817" s="20"/>
      <c r="AG20817" s="20"/>
      <c r="AQ20817" s="19"/>
      <c r="AR20817" s="19"/>
      <c r="AS20817" s="19"/>
      <c r="AT20817" s="19"/>
      <c r="AU20817" s="19"/>
    </row>
    <row r="20818" spans="3:47">
      <c r="C20818" s="20"/>
      <c r="Z20818" s="20"/>
      <c r="AG20818" s="20"/>
      <c r="AQ20818" s="19"/>
      <c r="AR20818" s="19"/>
      <c r="AS20818" s="19"/>
      <c r="AT20818" s="19"/>
      <c r="AU20818" s="19"/>
    </row>
    <row r="20819" spans="3:47">
      <c r="C20819" s="20"/>
      <c r="Z20819" s="20"/>
      <c r="AG20819" s="20"/>
      <c r="AQ20819" s="19"/>
      <c r="AR20819" s="19"/>
      <c r="AS20819" s="19"/>
      <c r="AT20819" s="19"/>
      <c r="AU20819" s="19"/>
    </row>
    <row r="20820" spans="3:47">
      <c r="C20820" s="20"/>
      <c r="Z20820" s="20"/>
      <c r="AG20820" s="20"/>
      <c r="AQ20820" s="19"/>
      <c r="AR20820" s="19"/>
      <c r="AS20820" s="19"/>
      <c r="AT20820" s="19"/>
      <c r="AU20820" s="19"/>
    </row>
    <row r="20821" spans="3:47">
      <c r="C20821" s="20"/>
      <c r="Z20821" s="20"/>
      <c r="AG20821" s="20"/>
      <c r="AQ20821" s="19"/>
      <c r="AR20821" s="19"/>
      <c r="AS20821" s="19"/>
      <c r="AT20821" s="19"/>
      <c r="AU20821" s="19"/>
    </row>
    <row r="20822" spans="3:47">
      <c r="C20822" s="20"/>
      <c r="Z20822" s="20"/>
      <c r="AG20822" s="20"/>
      <c r="AQ20822" s="19"/>
      <c r="AR20822" s="19"/>
      <c r="AS20822" s="19"/>
      <c r="AT20822" s="19"/>
      <c r="AU20822" s="19"/>
    </row>
    <row r="20823" spans="3:47">
      <c r="C20823" s="20"/>
      <c r="Z20823" s="20"/>
      <c r="AG20823" s="20"/>
      <c r="AQ20823" s="19"/>
      <c r="AR20823" s="19"/>
      <c r="AS20823" s="19"/>
      <c r="AT20823" s="19"/>
      <c r="AU20823" s="19"/>
    </row>
    <row r="20824" spans="3:47">
      <c r="C20824" s="20"/>
      <c r="Z20824" s="20"/>
      <c r="AG20824" s="20"/>
      <c r="AQ20824" s="19"/>
      <c r="AR20824" s="19"/>
      <c r="AS20824" s="19"/>
      <c r="AT20824" s="19"/>
      <c r="AU20824" s="19"/>
    </row>
    <row r="20825" spans="3:47">
      <c r="C20825" s="20"/>
      <c r="Z20825" s="20"/>
      <c r="AG20825" s="20"/>
      <c r="AQ20825" s="19"/>
      <c r="AR20825" s="19"/>
      <c r="AS20825" s="19"/>
      <c r="AT20825" s="19"/>
      <c r="AU20825" s="19"/>
    </row>
    <row r="20826" spans="3:47">
      <c r="C20826" s="20"/>
      <c r="Z20826" s="20"/>
      <c r="AG20826" s="20"/>
      <c r="AQ20826" s="19"/>
      <c r="AR20826" s="19"/>
      <c r="AS20826" s="19"/>
      <c r="AT20826" s="19"/>
      <c r="AU20826" s="19"/>
    </row>
    <row r="20827" spans="3:47">
      <c r="C20827" s="20"/>
      <c r="Z20827" s="20"/>
      <c r="AG20827" s="20"/>
      <c r="AQ20827" s="19"/>
      <c r="AR20827" s="19"/>
      <c r="AS20827" s="19"/>
      <c r="AT20827" s="19"/>
      <c r="AU20827" s="19"/>
    </row>
    <row r="20828" spans="3:47">
      <c r="C20828" s="20"/>
      <c r="Z20828" s="20"/>
      <c r="AG20828" s="20"/>
      <c r="AQ20828" s="19"/>
      <c r="AR20828" s="19"/>
      <c r="AS20828" s="19"/>
      <c r="AT20828" s="19"/>
      <c r="AU20828" s="19"/>
    </row>
    <row r="20829" spans="3:47">
      <c r="C20829" s="20"/>
      <c r="Z20829" s="20"/>
      <c r="AG20829" s="20"/>
      <c r="AQ20829" s="19"/>
      <c r="AR20829" s="19"/>
      <c r="AS20829" s="19"/>
      <c r="AT20829" s="19"/>
      <c r="AU20829" s="19"/>
    </row>
    <row r="20830" spans="3:47">
      <c r="C20830" s="20"/>
      <c r="Z20830" s="20"/>
      <c r="AG20830" s="20"/>
      <c r="AQ20830" s="19"/>
      <c r="AR20830" s="19"/>
      <c r="AS20830" s="19"/>
      <c r="AT20830" s="19"/>
      <c r="AU20830" s="19"/>
    </row>
    <row r="20831" spans="3:47">
      <c r="C20831" s="20"/>
      <c r="Z20831" s="20"/>
      <c r="AG20831" s="20"/>
      <c r="AQ20831" s="19"/>
      <c r="AR20831" s="19"/>
      <c r="AS20831" s="19"/>
      <c r="AT20831" s="19"/>
      <c r="AU20831" s="19"/>
    </row>
    <row r="20832" spans="3:47">
      <c r="C20832" s="20"/>
      <c r="Z20832" s="20"/>
      <c r="AG20832" s="20"/>
      <c r="AQ20832" s="19"/>
      <c r="AR20832" s="19"/>
      <c r="AS20832" s="19"/>
      <c r="AT20832" s="19"/>
      <c r="AU20832" s="19"/>
    </row>
    <row r="20833" spans="3:47">
      <c r="C20833" s="20"/>
      <c r="Z20833" s="20"/>
      <c r="AG20833" s="20"/>
      <c r="AQ20833" s="19"/>
      <c r="AR20833" s="19"/>
      <c r="AS20833" s="19"/>
      <c r="AT20833" s="19"/>
      <c r="AU20833" s="19"/>
    </row>
    <row r="20834" spans="3:47">
      <c r="C20834" s="20"/>
      <c r="Z20834" s="20"/>
      <c r="AG20834" s="20"/>
      <c r="AQ20834" s="19"/>
      <c r="AR20834" s="19"/>
      <c r="AS20834" s="19"/>
      <c r="AT20834" s="19"/>
      <c r="AU20834" s="19"/>
    </row>
    <row r="20835" spans="3:47">
      <c r="C20835" s="20"/>
      <c r="Z20835" s="20"/>
      <c r="AG20835" s="20"/>
      <c r="AQ20835" s="19"/>
      <c r="AR20835" s="19"/>
      <c r="AS20835" s="19"/>
      <c r="AT20835" s="19"/>
      <c r="AU20835" s="19"/>
    </row>
    <row r="20836" spans="3:47">
      <c r="C20836" s="20"/>
      <c r="Z20836" s="20"/>
      <c r="AG20836" s="20"/>
      <c r="AQ20836" s="19"/>
      <c r="AR20836" s="19"/>
      <c r="AS20836" s="19"/>
      <c r="AT20836" s="19"/>
      <c r="AU20836" s="19"/>
    </row>
    <row r="20837" spans="3:47">
      <c r="C20837" s="20"/>
      <c r="Z20837" s="20"/>
      <c r="AG20837" s="20"/>
      <c r="AQ20837" s="19"/>
      <c r="AR20837" s="19"/>
      <c r="AS20837" s="19"/>
      <c r="AT20837" s="19"/>
      <c r="AU20837" s="19"/>
    </row>
    <row r="20838" spans="3:47">
      <c r="C20838" s="20"/>
      <c r="Z20838" s="20"/>
      <c r="AG20838" s="20"/>
      <c r="AQ20838" s="19"/>
      <c r="AR20838" s="19"/>
      <c r="AS20838" s="19"/>
      <c r="AT20838" s="19"/>
      <c r="AU20838" s="19"/>
    </row>
    <row r="20839" spans="3:47">
      <c r="C20839" s="20"/>
      <c r="Z20839" s="20"/>
      <c r="AG20839" s="20"/>
      <c r="AQ20839" s="19"/>
      <c r="AR20839" s="19"/>
      <c r="AS20839" s="19"/>
      <c r="AT20839" s="19"/>
      <c r="AU20839" s="19"/>
    </row>
    <row r="20840" spans="3:47">
      <c r="C20840" s="20"/>
      <c r="Z20840" s="20"/>
      <c r="AG20840" s="20"/>
      <c r="AQ20840" s="19"/>
      <c r="AR20840" s="19"/>
      <c r="AS20840" s="19"/>
      <c r="AT20840" s="19"/>
      <c r="AU20840" s="19"/>
    </row>
    <row r="20841" spans="3:47">
      <c r="C20841" s="20"/>
      <c r="Z20841" s="20"/>
      <c r="AG20841" s="20"/>
      <c r="AQ20841" s="19"/>
      <c r="AR20841" s="19"/>
      <c r="AS20841" s="19"/>
      <c r="AT20841" s="19"/>
      <c r="AU20841" s="19"/>
    </row>
    <row r="20842" spans="3:47">
      <c r="C20842" s="20"/>
      <c r="Z20842" s="20"/>
      <c r="AG20842" s="20"/>
      <c r="AQ20842" s="19"/>
      <c r="AR20842" s="19"/>
      <c r="AS20842" s="19"/>
      <c r="AT20842" s="19"/>
      <c r="AU20842" s="19"/>
    </row>
    <row r="20843" spans="3:47">
      <c r="C20843" s="20"/>
      <c r="Z20843" s="20"/>
      <c r="AG20843" s="20"/>
      <c r="AQ20843" s="19"/>
      <c r="AR20843" s="19"/>
      <c r="AS20843" s="19"/>
      <c r="AT20843" s="19"/>
      <c r="AU20843" s="19"/>
    </row>
    <row r="20844" spans="3:47">
      <c r="C20844" s="20"/>
      <c r="Z20844" s="20"/>
      <c r="AG20844" s="20"/>
      <c r="AQ20844" s="19"/>
      <c r="AR20844" s="19"/>
      <c r="AS20844" s="19"/>
      <c r="AT20844" s="19"/>
      <c r="AU20844" s="19"/>
    </row>
    <row r="20845" spans="3:47">
      <c r="C20845" s="20"/>
      <c r="Z20845" s="20"/>
      <c r="AG20845" s="20"/>
      <c r="AQ20845" s="19"/>
      <c r="AR20845" s="19"/>
      <c r="AS20845" s="19"/>
      <c r="AT20845" s="19"/>
      <c r="AU20845" s="19"/>
    </row>
    <row r="20846" spans="3:47">
      <c r="C20846" s="20"/>
      <c r="Z20846" s="20"/>
      <c r="AG20846" s="20"/>
      <c r="AQ20846" s="19"/>
      <c r="AR20846" s="19"/>
      <c r="AS20846" s="19"/>
      <c r="AT20846" s="19"/>
      <c r="AU20846" s="19"/>
    </row>
    <row r="20847" spans="3:47">
      <c r="C20847" s="20"/>
      <c r="Z20847" s="20"/>
      <c r="AG20847" s="20"/>
      <c r="AQ20847" s="19"/>
      <c r="AR20847" s="19"/>
      <c r="AS20847" s="19"/>
      <c r="AT20847" s="19"/>
      <c r="AU20847" s="19"/>
    </row>
    <row r="20848" spans="3:47">
      <c r="C20848" s="20"/>
      <c r="Z20848" s="20"/>
      <c r="AG20848" s="20"/>
      <c r="AQ20848" s="19"/>
      <c r="AR20848" s="19"/>
      <c r="AS20848" s="19"/>
      <c r="AT20848" s="19"/>
      <c r="AU20848" s="19"/>
    </row>
    <row r="20849" spans="3:47">
      <c r="C20849" s="20"/>
      <c r="Z20849" s="20"/>
      <c r="AG20849" s="20"/>
      <c r="AQ20849" s="19"/>
      <c r="AR20849" s="19"/>
      <c r="AS20849" s="19"/>
      <c r="AT20849" s="19"/>
      <c r="AU20849" s="19"/>
    </row>
    <row r="20850" spans="3:47">
      <c r="C20850" s="20"/>
      <c r="Z20850" s="20"/>
      <c r="AG20850" s="20"/>
      <c r="AQ20850" s="19"/>
      <c r="AR20850" s="19"/>
      <c r="AS20850" s="19"/>
      <c r="AT20850" s="19"/>
      <c r="AU20850" s="19"/>
    </row>
    <row r="20851" spans="3:47">
      <c r="C20851" s="20"/>
      <c r="Z20851" s="20"/>
      <c r="AG20851" s="20"/>
      <c r="AQ20851" s="19"/>
      <c r="AR20851" s="19"/>
      <c r="AS20851" s="19"/>
      <c r="AT20851" s="19"/>
      <c r="AU20851" s="19"/>
    </row>
    <row r="20852" spans="3:47">
      <c r="C20852" s="20"/>
      <c r="Z20852" s="20"/>
      <c r="AG20852" s="20"/>
      <c r="AQ20852" s="19"/>
      <c r="AR20852" s="19"/>
      <c r="AS20852" s="19"/>
      <c r="AT20852" s="19"/>
      <c r="AU20852" s="19"/>
    </row>
    <row r="20853" spans="3:47">
      <c r="C20853" s="20"/>
      <c r="Z20853" s="20"/>
      <c r="AG20853" s="20"/>
      <c r="AQ20853" s="19"/>
      <c r="AR20853" s="19"/>
      <c r="AS20853" s="19"/>
      <c r="AT20853" s="19"/>
      <c r="AU20853" s="19"/>
    </row>
    <row r="20854" spans="3:47">
      <c r="C20854" s="20"/>
      <c r="Z20854" s="20"/>
      <c r="AG20854" s="20"/>
      <c r="AQ20854" s="19"/>
      <c r="AR20854" s="19"/>
      <c r="AS20854" s="19"/>
      <c r="AT20854" s="19"/>
      <c r="AU20854" s="19"/>
    </row>
    <row r="20855" spans="3:47">
      <c r="C20855" s="20"/>
      <c r="Z20855" s="20"/>
      <c r="AG20855" s="20"/>
      <c r="AQ20855" s="19"/>
      <c r="AR20855" s="19"/>
      <c r="AS20855" s="19"/>
      <c r="AT20855" s="19"/>
      <c r="AU20855" s="19"/>
    </row>
    <row r="20856" spans="3:47">
      <c r="C20856" s="20"/>
      <c r="Z20856" s="20"/>
      <c r="AG20856" s="20"/>
      <c r="AQ20856" s="19"/>
      <c r="AR20856" s="19"/>
      <c r="AS20856" s="19"/>
      <c r="AT20856" s="19"/>
      <c r="AU20856" s="19"/>
    </row>
    <row r="20857" spans="3:47">
      <c r="C20857" s="20"/>
      <c r="Z20857" s="20"/>
      <c r="AG20857" s="20"/>
      <c r="AQ20857" s="19"/>
      <c r="AR20857" s="19"/>
      <c r="AS20857" s="19"/>
      <c r="AT20857" s="19"/>
      <c r="AU20857" s="19"/>
    </row>
    <row r="20858" spans="3:47">
      <c r="C20858" s="20"/>
      <c r="Z20858" s="20"/>
      <c r="AG20858" s="20"/>
      <c r="AQ20858" s="19"/>
      <c r="AR20858" s="19"/>
      <c r="AS20858" s="19"/>
      <c r="AT20858" s="19"/>
      <c r="AU20858" s="19"/>
    </row>
    <row r="20859" spans="3:47">
      <c r="C20859" s="20"/>
      <c r="Z20859" s="20"/>
      <c r="AG20859" s="20"/>
      <c r="AQ20859" s="19"/>
      <c r="AR20859" s="19"/>
      <c r="AS20859" s="19"/>
      <c r="AT20859" s="19"/>
      <c r="AU20859" s="19"/>
    </row>
    <row r="20860" spans="3:47">
      <c r="C20860" s="20"/>
      <c r="Z20860" s="20"/>
      <c r="AG20860" s="20"/>
      <c r="AQ20860" s="19"/>
      <c r="AR20860" s="19"/>
      <c r="AS20860" s="19"/>
      <c r="AT20860" s="19"/>
      <c r="AU20860" s="19"/>
    </row>
    <row r="20861" spans="3:47">
      <c r="C20861" s="20"/>
      <c r="Z20861" s="20"/>
      <c r="AG20861" s="20"/>
      <c r="AQ20861" s="19"/>
      <c r="AR20861" s="19"/>
      <c r="AS20861" s="19"/>
      <c r="AT20861" s="19"/>
      <c r="AU20861" s="19"/>
    </row>
    <row r="20862" spans="3:47">
      <c r="C20862" s="20"/>
      <c r="Z20862" s="20"/>
      <c r="AG20862" s="20"/>
      <c r="AQ20862" s="19"/>
      <c r="AR20862" s="19"/>
      <c r="AS20862" s="19"/>
      <c r="AT20862" s="19"/>
      <c r="AU20862" s="19"/>
    </row>
    <row r="20863" spans="3:47">
      <c r="C20863" s="20"/>
      <c r="Z20863" s="20"/>
      <c r="AG20863" s="20"/>
      <c r="AQ20863" s="19"/>
      <c r="AR20863" s="19"/>
      <c r="AS20863" s="19"/>
      <c r="AT20863" s="19"/>
      <c r="AU20863" s="19"/>
    </row>
    <row r="20864" spans="3:47">
      <c r="C20864" s="20"/>
      <c r="Z20864" s="20"/>
      <c r="AG20864" s="20"/>
      <c r="AQ20864" s="19"/>
      <c r="AR20864" s="19"/>
      <c r="AS20864" s="19"/>
      <c r="AT20864" s="19"/>
      <c r="AU20864" s="19"/>
    </row>
    <row r="20865" spans="3:47">
      <c r="C20865" s="20"/>
      <c r="Z20865" s="20"/>
      <c r="AG20865" s="20"/>
      <c r="AQ20865" s="19"/>
      <c r="AR20865" s="19"/>
      <c r="AS20865" s="19"/>
      <c r="AT20865" s="19"/>
      <c r="AU20865" s="19"/>
    </row>
    <row r="20866" spans="3:47">
      <c r="C20866" s="20"/>
      <c r="Z20866" s="20"/>
      <c r="AG20866" s="20"/>
      <c r="AQ20866" s="19"/>
      <c r="AR20866" s="19"/>
      <c r="AS20866" s="19"/>
      <c r="AT20866" s="19"/>
      <c r="AU20866" s="19"/>
    </row>
    <row r="20867" spans="3:47">
      <c r="C20867" s="20"/>
      <c r="Z20867" s="20"/>
      <c r="AG20867" s="20"/>
      <c r="AQ20867" s="19"/>
      <c r="AR20867" s="19"/>
      <c r="AS20867" s="19"/>
      <c r="AT20867" s="19"/>
      <c r="AU20867" s="19"/>
    </row>
    <row r="20868" spans="3:47">
      <c r="C20868" s="20"/>
      <c r="Z20868" s="20"/>
      <c r="AG20868" s="20"/>
      <c r="AQ20868" s="19"/>
      <c r="AR20868" s="19"/>
      <c r="AS20868" s="19"/>
      <c r="AT20868" s="19"/>
      <c r="AU20868" s="19"/>
    </row>
    <row r="20869" spans="3:47">
      <c r="C20869" s="20"/>
      <c r="Z20869" s="20"/>
      <c r="AG20869" s="20"/>
      <c r="AQ20869" s="19"/>
      <c r="AR20869" s="19"/>
      <c r="AS20869" s="19"/>
      <c r="AT20869" s="19"/>
      <c r="AU20869" s="19"/>
    </row>
    <row r="20870" spans="3:47">
      <c r="C20870" s="20"/>
      <c r="Z20870" s="20"/>
      <c r="AG20870" s="20"/>
      <c r="AQ20870" s="19"/>
      <c r="AR20870" s="19"/>
      <c r="AS20870" s="19"/>
      <c r="AT20870" s="19"/>
      <c r="AU20870" s="19"/>
    </row>
    <row r="20871" spans="3:47">
      <c r="C20871" s="20"/>
      <c r="Z20871" s="20"/>
      <c r="AG20871" s="20"/>
      <c r="AQ20871" s="19"/>
      <c r="AR20871" s="19"/>
      <c r="AS20871" s="19"/>
      <c r="AT20871" s="19"/>
      <c r="AU20871" s="19"/>
    </row>
    <row r="20872" spans="3:47">
      <c r="C20872" s="20"/>
      <c r="Z20872" s="20"/>
      <c r="AG20872" s="20"/>
      <c r="AQ20872" s="19"/>
      <c r="AR20872" s="19"/>
      <c r="AS20872" s="19"/>
      <c r="AT20872" s="19"/>
      <c r="AU20872" s="19"/>
    </row>
    <row r="20873" spans="3:47">
      <c r="C20873" s="20"/>
      <c r="Z20873" s="20"/>
      <c r="AG20873" s="20"/>
      <c r="AQ20873" s="19"/>
      <c r="AR20873" s="19"/>
      <c r="AS20873" s="19"/>
      <c r="AT20873" s="19"/>
      <c r="AU20873" s="19"/>
    </row>
    <row r="20874" spans="3:47">
      <c r="C20874" s="20"/>
      <c r="Z20874" s="20"/>
      <c r="AG20874" s="20"/>
      <c r="AQ20874" s="19"/>
      <c r="AR20874" s="19"/>
      <c r="AS20874" s="19"/>
      <c r="AT20874" s="19"/>
      <c r="AU20874" s="19"/>
    </row>
    <row r="20875" spans="3:47">
      <c r="C20875" s="20"/>
      <c r="Z20875" s="20"/>
      <c r="AG20875" s="20"/>
      <c r="AQ20875" s="19"/>
      <c r="AR20875" s="19"/>
      <c r="AS20875" s="19"/>
      <c r="AT20875" s="19"/>
      <c r="AU20875" s="19"/>
    </row>
    <row r="20876" spans="3:47">
      <c r="C20876" s="20"/>
      <c r="Z20876" s="20"/>
      <c r="AG20876" s="20"/>
      <c r="AQ20876" s="19"/>
      <c r="AR20876" s="19"/>
      <c r="AS20876" s="19"/>
      <c r="AT20876" s="19"/>
      <c r="AU20876" s="19"/>
    </row>
    <row r="20877" spans="3:47">
      <c r="C20877" s="20"/>
      <c r="Z20877" s="20"/>
      <c r="AG20877" s="20"/>
      <c r="AQ20877" s="19"/>
      <c r="AR20877" s="19"/>
      <c r="AS20877" s="19"/>
      <c r="AT20877" s="19"/>
      <c r="AU20877" s="19"/>
    </row>
    <row r="20878" spans="3:47">
      <c r="C20878" s="20"/>
      <c r="Z20878" s="20"/>
      <c r="AG20878" s="20"/>
      <c r="AQ20878" s="19"/>
      <c r="AR20878" s="19"/>
      <c r="AS20878" s="19"/>
      <c r="AT20878" s="19"/>
      <c r="AU20878" s="19"/>
    </row>
    <row r="20879" spans="3:47">
      <c r="C20879" s="20"/>
      <c r="Z20879" s="20"/>
      <c r="AG20879" s="20"/>
      <c r="AQ20879" s="19"/>
      <c r="AR20879" s="19"/>
      <c r="AS20879" s="19"/>
      <c r="AT20879" s="19"/>
      <c r="AU20879" s="19"/>
    </row>
    <row r="20880" spans="3:47">
      <c r="C20880" s="20"/>
      <c r="Z20880" s="20"/>
      <c r="AG20880" s="20"/>
      <c r="AQ20880" s="19"/>
      <c r="AR20880" s="19"/>
      <c r="AS20880" s="19"/>
      <c r="AT20880" s="19"/>
      <c r="AU20880" s="19"/>
    </row>
    <row r="20881" spans="3:47">
      <c r="C20881" s="20"/>
      <c r="Z20881" s="20"/>
      <c r="AG20881" s="20"/>
      <c r="AQ20881" s="19"/>
      <c r="AR20881" s="19"/>
      <c r="AS20881" s="19"/>
      <c r="AT20881" s="19"/>
      <c r="AU20881" s="19"/>
    </row>
    <row r="20882" spans="3:47">
      <c r="C20882" s="20"/>
      <c r="Z20882" s="20"/>
      <c r="AG20882" s="20"/>
      <c r="AQ20882" s="19"/>
      <c r="AR20882" s="19"/>
      <c r="AS20882" s="19"/>
      <c r="AT20882" s="19"/>
      <c r="AU20882" s="19"/>
    </row>
    <row r="20883" spans="3:47">
      <c r="C20883" s="20"/>
      <c r="Z20883" s="20"/>
      <c r="AG20883" s="20"/>
      <c r="AQ20883" s="19"/>
      <c r="AR20883" s="19"/>
      <c r="AS20883" s="19"/>
      <c r="AT20883" s="19"/>
      <c r="AU20883" s="19"/>
    </row>
    <row r="20884" spans="3:47">
      <c r="C20884" s="20"/>
      <c r="Z20884" s="20"/>
      <c r="AG20884" s="20"/>
      <c r="AQ20884" s="19"/>
      <c r="AR20884" s="19"/>
      <c r="AS20884" s="19"/>
      <c r="AT20884" s="19"/>
      <c r="AU20884" s="19"/>
    </row>
    <row r="20885" spans="3:47">
      <c r="C20885" s="20"/>
      <c r="Z20885" s="20"/>
      <c r="AG20885" s="20"/>
      <c r="AQ20885" s="19"/>
      <c r="AR20885" s="19"/>
      <c r="AS20885" s="19"/>
      <c r="AT20885" s="19"/>
      <c r="AU20885" s="19"/>
    </row>
    <row r="20886" spans="3:47">
      <c r="C20886" s="20"/>
      <c r="Z20886" s="20"/>
      <c r="AG20886" s="20"/>
      <c r="AQ20886" s="19"/>
      <c r="AR20886" s="19"/>
      <c r="AS20886" s="19"/>
      <c r="AT20886" s="19"/>
      <c r="AU20886" s="19"/>
    </row>
    <row r="20887" spans="3:47">
      <c r="C20887" s="20"/>
      <c r="Z20887" s="20"/>
      <c r="AG20887" s="20"/>
      <c r="AQ20887" s="19"/>
      <c r="AR20887" s="19"/>
      <c r="AS20887" s="19"/>
      <c r="AT20887" s="19"/>
      <c r="AU20887" s="19"/>
    </row>
    <row r="20888" spans="3:47">
      <c r="C20888" s="20"/>
      <c r="Z20888" s="20"/>
      <c r="AG20888" s="20"/>
      <c r="AQ20888" s="19"/>
      <c r="AR20888" s="19"/>
      <c r="AS20888" s="19"/>
      <c r="AT20888" s="19"/>
      <c r="AU20888" s="19"/>
    </row>
    <row r="20889" spans="3:47">
      <c r="C20889" s="20"/>
      <c r="Z20889" s="20"/>
      <c r="AG20889" s="20"/>
      <c r="AQ20889" s="19"/>
      <c r="AR20889" s="19"/>
      <c r="AS20889" s="19"/>
      <c r="AT20889" s="19"/>
      <c r="AU20889" s="19"/>
    </row>
    <row r="20890" spans="3:47">
      <c r="C20890" s="20"/>
      <c r="Z20890" s="20"/>
      <c r="AG20890" s="20"/>
      <c r="AQ20890" s="19"/>
      <c r="AR20890" s="19"/>
      <c r="AS20890" s="19"/>
      <c r="AT20890" s="19"/>
      <c r="AU20890" s="19"/>
    </row>
    <row r="20891" spans="3:47">
      <c r="C20891" s="20"/>
      <c r="Z20891" s="20"/>
      <c r="AG20891" s="20"/>
      <c r="AQ20891" s="19"/>
      <c r="AR20891" s="19"/>
      <c r="AS20891" s="19"/>
      <c r="AT20891" s="19"/>
      <c r="AU20891" s="19"/>
    </row>
    <row r="20892" spans="3:47">
      <c r="C20892" s="20"/>
      <c r="Z20892" s="20"/>
      <c r="AG20892" s="20"/>
      <c r="AQ20892" s="19"/>
      <c r="AR20892" s="19"/>
      <c r="AS20892" s="19"/>
      <c r="AT20892" s="19"/>
      <c r="AU20892" s="19"/>
    </row>
    <row r="20893" spans="3:47">
      <c r="C20893" s="20"/>
      <c r="Z20893" s="20"/>
      <c r="AG20893" s="20"/>
      <c r="AQ20893" s="19"/>
      <c r="AR20893" s="19"/>
      <c r="AS20893" s="19"/>
      <c r="AT20893" s="19"/>
      <c r="AU20893" s="19"/>
    </row>
    <row r="20894" spans="3:47">
      <c r="C20894" s="20"/>
      <c r="Z20894" s="20"/>
      <c r="AG20894" s="20"/>
      <c r="AQ20894" s="19"/>
      <c r="AR20894" s="19"/>
      <c r="AS20894" s="19"/>
      <c r="AT20894" s="19"/>
      <c r="AU20894" s="19"/>
    </row>
    <row r="20895" spans="3:47">
      <c r="C20895" s="20"/>
      <c r="Z20895" s="20"/>
      <c r="AG20895" s="20"/>
      <c r="AQ20895" s="19"/>
      <c r="AR20895" s="19"/>
      <c r="AS20895" s="19"/>
      <c r="AT20895" s="19"/>
      <c r="AU20895" s="19"/>
    </row>
    <row r="20896" spans="3:47">
      <c r="C20896" s="20"/>
      <c r="Z20896" s="20"/>
      <c r="AG20896" s="20"/>
      <c r="AQ20896" s="19"/>
      <c r="AR20896" s="19"/>
      <c r="AS20896" s="19"/>
      <c r="AT20896" s="19"/>
      <c r="AU20896" s="19"/>
    </row>
    <row r="20897" spans="3:47">
      <c r="C20897" s="20"/>
      <c r="Z20897" s="20"/>
      <c r="AG20897" s="20"/>
      <c r="AQ20897" s="19"/>
      <c r="AR20897" s="19"/>
      <c r="AS20897" s="19"/>
      <c r="AT20897" s="19"/>
      <c r="AU20897" s="19"/>
    </row>
    <row r="20898" spans="3:47">
      <c r="C20898" s="20"/>
      <c r="Z20898" s="20"/>
      <c r="AG20898" s="20"/>
      <c r="AQ20898" s="19"/>
      <c r="AR20898" s="19"/>
      <c r="AS20898" s="19"/>
      <c r="AT20898" s="19"/>
      <c r="AU20898" s="19"/>
    </row>
    <row r="20899" spans="3:47">
      <c r="C20899" s="20"/>
      <c r="Z20899" s="20"/>
      <c r="AG20899" s="20"/>
      <c r="AQ20899" s="19"/>
      <c r="AR20899" s="19"/>
      <c r="AS20899" s="19"/>
      <c r="AT20899" s="19"/>
      <c r="AU20899" s="19"/>
    </row>
    <row r="20900" spans="3:47">
      <c r="C20900" s="20"/>
      <c r="Z20900" s="20"/>
      <c r="AG20900" s="20"/>
      <c r="AQ20900" s="19"/>
      <c r="AR20900" s="19"/>
      <c r="AS20900" s="19"/>
      <c r="AT20900" s="19"/>
      <c r="AU20900" s="19"/>
    </row>
    <row r="20901" spans="3:47">
      <c r="C20901" s="20"/>
      <c r="Z20901" s="20"/>
      <c r="AG20901" s="20"/>
      <c r="AQ20901" s="19"/>
      <c r="AR20901" s="19"/>
      <c r="AS20901" s="19"/>
      <c r="AT20901" s="19"/>
      <c r="AU20901" s="19"/>
    </row>
    <row r="20902" spans="3:47">
      <c r="C20902" s="20"/>
      <c r="Z20902" s="20"/>
      <c r="AG20902" s="20"/>
      <c r="AQ20902" s="19"/>
      <c r="AR20902" s="19"/>
      <c r="AS20902" s="19"/>
      <c r="AT20902" s="19"/>
      <c r="AU20902" s="19"/>
    </row>
    <row r="20903" spans="3:47">
      <c r="C20903" s="20"/>
      <c r="Z20903" s="20"/>
      <c r="AG20903" s="20"/>
      <c r="AQ20903" s="19"/>
      <c r="AR20903" s="19"/>
      <c r="AS20903" s="19"/>
      <c r="AT20903" s="19"/>
      <c r="AU20903" s="19"/>
    </row>
    <row r="20904" spans="3:47">
      <c r="C20904" s="20"/>
      <c r="Z20904" s="20"/>
      <c r="AG20904" s="20"/>
      <c r="AQ20904" s="19"/>
      <c r="AR20904" s="19"/>
      <c r="AS20904" s="19"/>
      <c r="AT20904" s="19"/>
      <c r="AU20904" s="19"/>
    </row>
    <row r="20905" spans="3:47">
      <c r="C20905" s="20"/>
      <c r="Z20905" s="20"/>
      <c r="AG20905" s="20"/>
      <c r="AQ20905" s="19"/>
      <c r="AR20905" s="19"/>
      <c r="AS20905" s="19"/>
      <c r="AT20905" s="19"/>
      <c r="AU20905" s="19"/>
    </row>
    <row r="20906" spans="3:47">
      <c r="C20906" s="20"/>
      <c r="Z20906" s="20"/>
      <c r="AG20906" s="20"/>
      <c r="AQ20906" s="19"/>
      <c r="AR20906" s="19"/>
      <c r="AS20906" s="19"/>
      <c r="AT20906" s="19"/>
      <c r="AU20906" s="19"/>
    </row>
    <row r="20907" spans="3:47">
      <c r="C20907" s="20"/>
      <c r="Z20907" s="20"/>
      <c r="AG20907" s="20"/>
      <c r="AQ20907" s="19"/>
      <c r="AR20907" s="19"/>
      <c r="AS20907" s="19"/>
      <c r="AT20907" s="19"/>
      <c r="AU20907" s="19"/>
    </row>
    <row r="20908" spans="3:47">
      <c r="C20908" s="20"/>
      <c r="Z20908" s="20"/>
      <c r="AG20908" s="20"/>
      <c r="AQ20908" s="19"/>
      <c r="AR20908" s="19"/>
      <c r="AS20908" s="19"/>
      <c r="AT20908" s="19"/>
      <c r="AU20908" s="19"/>
    </row>
    <row r="20909" spans="3:47">
      <c r="C20909" s="20"/>
      <c r="Z20909" s="20"/>
      <c r="AG20909" s="20"/>
      <c r="AQ20909" s="19"/>
      <c r="AR20909" s="19"/>
      <c r="AS20909" s="19"/>
      <c r="AT20909" s="19"/>
      <c r="AU20909" s="19"/>
    </row>
    <row r="20910" spans="3:47">
      <c r="C20910" s="20"/>
      <c r="Z20910" s="20"/>
      <c r="AG20910" s="20"/>
      <c r="AQ20910" s="19"/>
      <c r="AR20910" s="19"/>
      <c r="AS20910" s="19"/>
      <c r="AT20910" s="19"/>
      <c r="AU20910" s="19"/>
    </row>
    <row r="20911" spans="3:47">
      <c r="C20911" s="20"/>
      <c r="Z20911" s="20"/>
      <c r="AG20911" s="20"/>
      <c r="AQ20911" s="19"/>
      <c r="AR20911" s="19"/>
      <c r="AS20911" s="19"/>
      <c r="AT20911" s="19"/>
      <c r="AU20911" s="19"/>
    </row>
    <row r="20912" spans="3:47">
      <c r="C20912" s="20"/>
      <c r="Z20912" s="20"/>
      <c r="AG20912" s="20"/>
      <c r="AQ20912" s="19"/>
      <c r="AR20912" s="19"/>
      <c r="AS20912" s="19"/>
      <c r="AT20912" s="19"/>
      <c r="AU20912" s="19"/>
    </row>
    <row r="20913" spans="3:47">
      <c r="C20913" s="20"/>
      <c r="Z20913" s="20"/>
      <c r="AG20913" s="20"/>
      <c r="AQ20913" s="19"/>
      <c r="AR20913" s="19"/>
      <c r="AS20913" s="19"/>
      <c r="AT20913" s="19"/>
      <c r="AU20913" s="19"/>
    </row>
    <row r="20914" spans="3:47">
      <c r="C20914" s="20"/>
      <c r="Z20914" s="20"/>
      <c r="AG20914" s="20"/>
      <c r="AQ20914" s="19"/>
      <c r="AR20914" s="19"/>
      <c r="AS20914" s="19"/>
      <c r="AT20914" s="19"/>
      <c r="AU20914" s="19"/>
    </row>
    <row r="20915" spans="3:47">
      <c r="C20915" s="20"/>
      <c r="Z20915" s="20"/>
      <c r="AG20915" s="20"/>
      <c r="AQ20915" s="19"/>
      <c r="AR20915" s="19"/>
      <c r="AS20915" s="19"/>
      <c r="AT20915" s="19"/>
      <c r="AU20915" s="19"/>
    </row>
    <row r="20916" spans="3:47">
      <c r="C20916" s="20"/>
      <c r="Z20916" s="20"/>
      <c r="AG20916" s="20"/>
      <c r="AQ20916" s="19"/>
      <c r="AR20916" s="19"/>
      <c r="AS20916" s="19"/>
      <c r="AT20916" s="19"/>
      <c r="AU20916" s="19"/>
    </row>
    <row r="20917" spans="3:47">
      <c r="C20917" s="20"/>
      <c r="Z20917" s="20"/>
      <c r="AG20917" s="20"/>
      <c r="AQ20917" s="19"/>
      <c r="AR20917" s="19"/>
      <c r="AS20917" s="19"/>
      <c r="AT20917" s="19"/>
      <c r="AU20917" s="19"/>
    </row>
    <row r="20918" spans="3:47">
      <c r="C20918" s="20"/>
      <c r="Z20918" s="20"/>
      <c r="AG20918" s="20"/>
      <c r="AQ20918" s="19"/>
      <c r="AR20918" s="19"/>
      <c r="AS20918" s="19"/>
      <c r="AT20918" s="19"/>
      <c r="AU20918" s="19"/>
    </row>
    <row r="20919" spans="3:47">
      <c r="C20919" s="20"/>
      <c r="Z20919" s="20"/>
      <c r="AG20919" s="20"/>
      <c r="AQ20919" s="19"/>
      <c r="AR20919" s="19"/>
      <c r="AS20919" s="19"/>
      <c r="AT20919" s="19"/>
      <c r="AU20919" s="19"/>
    </row>
    <row r="20920" spans="3:47">
      <c r="C20920" s="20"/>
      <c r="Z20920" s="20"/>
      <c r="AG20920" s="20"/>
      <c r="AQ20920" s="19"/>
      <c r="AR20920" s="19"/>
      <c r="AS20920" s="19"/>
      <c r="AT20920" s="19"/>
      <c r="AU20920" s="19"/>
    </row>
    <row r="20921" spans="3:47">
      <c r="C20921" s="20"/>
      <c r="Z20921" s="20"/>
      <c r="AG20921" s="20"/>
      <c r="AQ20921" s="19"/>
      <c r="AR20921" s="19"/>
      <c r="AS20921" s="19"/>
      <c r="AT20921" s="19"/>
      <c r="AU20921" s="19"/>
    </row>
    <row r="20922" spans="3:47">
      <c r="C20922" s="20"/>
      <c r="Z20922" s="20"/>
      <c r="AG20922" s="20"/>
      <c r="AQ20922" s="19"/>
      <c r="AR20922" s="19"/>
      <c r="AS20922" s="19"/>
      <c r="AT20922" s="19"/>
      <c r="AU20922" s="19"/>
    </row>
    <row r="20923" spans="3:47">
      <c r="C20923" s="20"/>
      <c r="Z20923" s="20"/>
      <c r="AG20923" s="20"/>
      <c r="AQ20923" s="19"/>
      <c r="AR20923" s="19"/>
      <c r="AS20923" s="19"/>
      <c r="AT20923" s="19"/>
      <c r="AU20923" s="19"/>
    </row>
    <row r="20924" spans="3:47">
      <c r="C20924" s="20"/>
      <c r="Z20924" s="20"/>
      <c r="AG20924" s="20"/>
      <c r="AQ20924" s="19"/>
      <c r="AR20924" s="19"/>
      <c r="AS20924" s="19"/>
      <c r="AT20924" s="19"/>
      <c r="AU20924" s="19"/>
    </row>
    <row r="20925" spans="3:47">
      <c r="C20925" s="20"/>
      <c r="Z20925" s="20"/>
      <c r="AG20925" s="20"/>
      <c r="AQ20925" s="19"/>
      <c r="AR20925" s="19"/>
      <c r="AS20925" s="19"/>
      <c r="AT20925" s="19"/>
      <c r="AU20925" s="19"/>
    </row>
    <row r="20926" spans="3:47">
      <c r="C20926" s="20"/>
      <c r="Z20926" s="20"/>
      <c r="AG20926" s="20"/>
      <c r="AQ20926" s="19"/>
      <c r="AR20926" s="19"/>
      <c r="AS20926" s="19"/>
      <c r="AT20926" s="19"/>
      <c r="AU20926" s="19"/>
    </row>
    <row r="20927" spans="3:47">
      <c r="C20927" s="20"/>
      <c r="Z20927" s="20"/>
      <c r="AG20927" s="20"/>
      <c r="AQ20927" s="19"/>
      <c r="AR20927" s="19"/>
      <c r="AS20927" s="19"/>
      <c r="AT20927" s="19"/>
      <c r="AU20927" s="19"/>
    </row>
    <row r="20928" spans="3:47">
      <c r="C20928" s="20"/>
      <c r="Z20928" s="20"/>
      <c r="AG20928" s="20"/>
      <c r="AQ20928" s="19"/>
      <c r="AR20928" s="19"/>
      <c r="AS20928" s="19"/>
      <c r="AT20928" s="19"/>
      <c r="AU20928" s="19"/>
    </row>
    <row r="20929" spans="3:47">
      <c r="C20929" s="20"/>
      <c r="Z20929" s="20"/>
      <c r="AG20929" s="20"/>
      <c r="AQ20929" s="19"/>
      <c r="AR20929" s="19"/>
      <c r="AS20929" s="19"/>
      <c r="AT20929" s="19"/>
      <c r="AU20929" s="19"/>
    </row>
    <row r="20930" spans="3:47">
      <c r="C20930" s="20"/>
      <c r="Z20930" s="20"/>
      <c r="AG20930" s="20"/>
      <c r="AQ20930" s="19"/>
      <c r="AR20930" s="19"/>
      <c r="AS20930" s="19"/>
      <c r="AT20930" s="19"/>
      <c r="AU20930" s="19"/>
    </row>
    <row r="20931" spans="3:47">
      <c r="C20931" s="20"/>
      <c r="Z20931" s="20"/>
      <c r="AG20931" s="20"/>
      <c r="AQ20931" s="19"/>
      <c r="AR20931" s="19"/>
      <c r="AS20931" s="19"/>
      <c r="AT20931" s="19"/>
      <c r="AU20931" s="19"/>
    </row>
    <row r="20932" spans="3:47">
      <c r="C20932" s="20"/>
      <c r="Z20932" s="20"/>
      <c r="AG20932" s="20"/>
      <c r="AQ20932" s="19"/>
      <c r="AR20932" s="19"/>
      <c r="AS20932" s="19"/>
      <c r="AT20932" s="19"/>
      <c r="AU20932" s="19"/>
    </row>
    <row r="20933" spans="3:47">
      <c r="C20933" s="20"/>
      <c r="Z20933" s="20"/>
      <c r="AG20933" s="20"/>
      <c r="AQ20933" s="19"/>
      <c r="AR20933" s="19"/>
      <c r="AS20933" s="19"/>
      <c r="AT20933" s="19"/>
      <c r="AU20933" s="19"/>
    </row>
    <row r="20934" spans="3:47">
      <c r="C20934" s="20"/>
      <c r="Z20934" s="20"/>
      <c r="AG20934" s="20"/>
      <c r="AQ20934" s="19"/>
      <c r="AR20934" s="19"/>
      <c r="AS20934" s="19"/>
      <c r="AT20934" s="19"/>
      <c r="AU20934" s="19"/>
    </row>
    <row r="20935" spans="3:47">
      <c r="C20935" s="20"/>
      <c r="Z20935" s="20"/>
      <c r="AG20935" s="20"/>
      <c r="AQ20935" s="19"/>
      <c r="AR20935" s="19"/>
      <c r="AS20935" s="19"/>
      <c r="AT20935" s="19"/>
      <c r="AU20935" s="19"/>
    </row>
    <row r="20936" spans="3:47">
      <c r="C20936" s="20"/>
      <c r="Z20936" s="20"/>
      <c r="AG20936" s="20"/>
      <c r="AQ20936" s="19"/>
      <c r="AR20936" s="19"/>
      <c r="AS20936" s="19"/>
      <c r="AT20936" s="19"/>
      <c r="AU20936" s="19"/>
    </row>
    <row r="20937" spans="3:47">
      <c r="C20937" s="20"/>
      <c r="Z20937" s="20"/>
      <c r="AG20937" s="20"/>
      <c r="AQ20937" s="19"/>
      <c r="AR20937" s="19"/>
      <c r="AS20937" s="19"/>
      <c r="AT20937" s="19"/>
      <c r="AU20937" s="19"/>
    </row>
    <row r="20938" spans="3:47">
      <c r="C20938" s="20"/>
      <c r="Z20938" s="20"/>
      <c r="AG20938" s="20"/>
      <c r="AQ20938" s="19"/>
      <c r="AR20938" s="19"/>
      <c r="AS20938" s="19"/>
      <c r="AT20938" s="19"/>
      <c r="AU20938" s="19"/>
    </row>
    <row r="20939" spans="3:47">
      <c r="C20939" s="20"/>
      <c r="Z20939" s="20"/>
      <c r="AG20939" s="20"/>
      <c r="AQ20939" s="19"/>
      <c r="AR20939" s="19"/>
      <c r="AS20939" s="19"/>
      <c r="AT20939" s="19"/>
      <c r="AU20939" s="19"/>
    </row>
    <row r="20940" spans="3:47">
      <c r="C20940" s="20"/>
      <c r="Z20940" s="20"/>
      <c r="AG20940" s="20"/>
      <c r="AQ20940" s="19"/>
      <c r="AR20940" s="19"/>
      <c r="AS20940" s="19"/>
      <c r="AT20940" s="19"/>
      <c r="AU20940" s="19"/>
    </row>
    <row r="20941" spans="3:47">
      <c r="C20941" s="20"/>
      <c r="Z20941" s="20"/>
      <c r="AG20941" s="20"/>
      <c r="AQ20941" s="19"/>
      <c r="AR20941" s="19"/>
      <c r="AS20941" s="19"/>
      <c r="AT20941" s="19"/>
      <c r="AU20941" s="19"/>
    </row>
    <row r="20942" spans="3:47">
      <c r="C20942" s="20"/>
      <c r="Z20942" s="20"/>
      <c r="AG20942" s="20"/>
      <c r="AQ20942" s="19"/>
      <c r="AR20942" s="19"/>
      <c r="AS20942" s="19"/>
      <c r="AT20942" s="19"/>
      <c r="AU20942" s="19"/>
    </row>
    <row r="20943" spans="3:47">
      <c r="C20943" s="20"/>
      <c r="Z20943" s="20"/>
      <c r="AG20943" s="20"/>
      <c r="AQ20943" s="19"/>
      <c r="AR20943" s="19"/>
      <c r="AS20943" s="19"/>
      <c r="AT20943" s="19"/>
      <c r="AU20943" s="19"/>
    </row>
    <row r="20944" spans="3:47">
      <c r="C20944" s="20"/>
      <c r="Z20944" s="20"/>
      <c r="AG20944" s="20"/>
      <c r="AQ20944" s="19"/>
      <c r="AR20944" s="19"/>
      <c r="AS20944" s="19"/>
      <c r="AT20944" s="19"/>
      <c r="AU20944" s="19"/>
    </row>
    <row r="20945" spans="3:47">
      <c r="C20945" s="20"/>
      <c r="Z20945" s="20"/>
      <c r="AG20945" s="20"/>
      <c r="AQ20945" s="19"/>
      <c r="AR20945" s="19"/>
      <c r="AS20945" s="19"/>
      <c r="AT20945" s="19"/>
      <c r="AU20945" s="19"/>
    </row>
    <row r="20946" spans="3:47">
      <c r="C20946" s="20"/>
      <c r="Z20946" s="20"/>
      <c r="AG20946" s="20"/>
      <c r="AQ20946" s="19"/>
      <c r="AR20946" s="19"/>
      <c r="AS20946" s="19"/>
      <c r="AT20946" s="19"/>
      <c r="AU20946" s="19"/>
    </row>
    <row r="20947" spans="3:47">
      <c r="C20947" s="20"/>
      <c r="Z20947" s="20"/>
      <c r="AG20947" s="20"/>
      <c r="AQ20947" s="19"/>
      <c r="AR20947" s="19"/>
      <c r="AS20947" s="19"/>
      <c r="AT20947" s="19"/>
      <c r="AU20947" s="19"/>
    </row>
    <row r="20948" spans="3:47">
      <c r="C20948" s="20"/>
      <c r="Z20948" s="20"/>
      <c r="AG20948" s="20"/>
      <c r="AQ20948" s="19"/>
      <c r="AR20948" s="19"/>
      <c r="AS20948" s="19"/>
      <c r="AT20948" s="19"/>
      <c r="AU20948" s="19"/>
    </row>
    <row r="20949" spans="3:47">
      <c r="C20949" s="20"/>
      <c r="Z20949" s="20"/>
      <c r="AG20949" s="20"/>
      <c r="AQ20949" s="19"/>
      <c r="AR20949" s="19"/>
      <c r="AS20949" s="19"/>
      <c r="AT20949" s="19"/>
      <c r="AU20949" s="19"/>
    </row>
    <row r="20950" spans="3:47">
      <c r="C20950" s="20"/>
      <c r="Z20950" s="20"/>
      <c r="AG20950" s="20"/>
      <c r="AQ20950" s="19"/>
      <c r="AR20950" s="19"/>
      <c r="AS20950" s="19"/>
      <c r="AT20950" s="19"/>
      <c r="AU20950" s="19"/>
    </row>
    <row r="20951" spans="3:47">
      <c r="C20951" s="20"/>
      <c r="Z20951" s="20"/>
      <c r="AG20951" s="20"/>
      <c r="AQ20951" s="19"/>
      <c r="AR20951" s="19"/>
      <c r="AS20951" s="19"/>
      <c r="AT20951" s="19"/>
      <c r="AU20951" s="19"/>
    </row>
    <row r="20952" spans="3:47">
      <c r="C20952" s="20"/>
      <c r="Z20952" s="20"/>
      <c r="AG20952" s="20"/>
      <c r="AQ20952" s="19"/>
      <c r="AR20952" s="19"/>
      <c r="AS20952" s="19"/>
      <c r="AT20952" s="19"/>
      <c r="AU20952" s="19"/>
    </row>
    <row r="20953" spans="3:47">
      <c r="C20953" s="20"/>
      <c r="Z20953" s="20"/>
      <c r="AG20953" s="20"/>
      <c r="AQ20953" s="19"/>
      <c r="AR20953" s="19"/>
      <c r="AS20953" s="19"/>
      <c r="AT20953" s="19"/>
      <c r="AU20953" s="19"/>
    </row>
    <row r="20954" spans="3:47">
      <c r="C20954" s="20"/>
      <c r="Z20954" s="20"/>
      <c r="AG20954" s="20"/>
      <c r="AQ20954" s="19"/>
      <c r="AR20954" s="19"/>
      <c r="AS20954" s="19"/>
      <c r="AT20954" s="19"/>
      <c r="AU20954" s="19"/>
    </row>
    <row r="20955" spans="3:47">
      <c r="C20955" s="20"/>
      <c r="Z20955" s="20"/>
      <c r="AG20955" s="20"/>
      <c r="AQ20955" s="19"/>
      <c r="AR20955" s="19"/>
      <c r="AS20955" s="19"/>
      <c r="AT20955" s="19"/>
      <c r="AU20955" s="19"/>
    </row>
    <row r="20956" spans="3:47">
      <c r="C20956" s="20"/>
      <c r="Z20956" s="20"/>
      <c r="AG20956" s="20"/>
      <c r="AQ20956" s="19"/>
      <c r="AR20956" s="19"/>
      <c r="AS20956" s="19"/>
      <c r="AT20956" s="19"/>
      <c r="AU20956" s="19"/>
    </row>
    <row r="20957" spans="3:47">
      <c r="C20957" s="20"/>
      <c r="Z20957" s="20"/>
      <c r="AG20957" s="20"/>
      <c r="AQ20957" s="19"/>
      <c r="AR20957" s="19"/>
      <c r="AS20957" s="19"/>
      <c r="AT20957" s="19"/>
      <c r="AU20957" s="19"/>
    </row>
    <row r="20958" spans="3:47">
      <c r="C20958" s="20"/>
      <c r="Z20958" s="20"/>
      <c r="AG20958" s="20"/>
      <c r="AQ20958" s="19"/>
      <c r="AR20958" s="19"/>
      <c r="AS20958" s="19"/>
      <c r="AT20958" s="19"/>
      <c r="AU20958" s="19"/>
    </row>
    <row r="20959" spans="3:47">
      <c r="C20959" s="20"/>
      <c r="Z20959" s="20"/>
      <c r="AG20959" s="20"/>
      <c r="AQ20959" s="19"/>
      <c r="AR20959" s="19"/>
      <c r="AS20959" s="19"/>
      <c r="AT20959" s="19"/>
      <c r="AU20959" s="19"/>
    </row>
    <row r="20960" spans="3:47">
      <c r="C20960" s="20"/>
      <c r="Z20960" s="20"/>
      <c r="AG20960" s="20"/>
      <c r="AQ20960" s="19"/>
      <c r="AR20960" s="19"/>
      <c r="AS20960" s="19"/>
      <c r="AT20960" s="19"/>
      <c r="AU20960" s="19"/>
    </row>
    <row r="20961" spans="3:47">
      <c r="C20961" s="20"/>
      <c r="Z20961" s="20"/>
      <c r="AG20961" s="20"/>
      <c r="AQ20961" s="19"/>
      <c r="AR20961" s="19"/>
      <c r="AS20961" s="19"/>
      <c r="AT20961" s="19"/>
      <c r="AU20961" s="19"/>
    </row>
    <row r="20962" spans="3:47">
      <c r="C20962" s="20"/>
      <c r="Z20962" s="20"/>
      <c r="AG20962" s="20"/>
      <c r="AQ20962" s="19"/>
      <c r="AR20962" s="19"/>
      <c r="AS20962" s="19"/>
      <c r="AT20962" s="19"/>
      <c r="AU20962" s="19"/>
    </row>
    <row r="20963" spans="3:47">
      <c r="C20963" s="20"/>
      <c r="Z20963" s="20"/>
      <c r="AG20963" s="20"/>
      <c r="AQ20963" s="19"/>
      <c r="AR20963" s="19"/>
      <c r="AS20963" s="19"/>
      <c r="AT20963" s="19"/>
      <c r="AU20963" s="19"/>
    </row>
    <row r="20964" spans="3:47">
      <c r="C20964" s="20"/>
      <c r="Z20964" s="20"/>
      <c r="AG20964" s="20"/>
      <c r="AQ20964" s="19"/>
      <c r="AR20964" s="19"/>
      <c r="AS20964" s="19"/>
      <c r="AT20964" s="19"/>
      <c r="AU20964" s="19"/>
    </row>
    <row r="20965" spans="3:47">
      <c r="C20965" s="20"/>
      <c r="Z20965" s="20"/>
      <c r="AG20965" s="20"/>
      <c r="AQ20965" s="19"/>
      <c r="AR20965" s="19"/>
      <c r="AS20965" s="19"/>
      <c r="AT20965" s="19"/>
      <c r="AU20965" s="19"/>
    </row>
    <row r="20966" spans="3:47">
      <c r="C20966" s="20"/>
      <c r="Z20966" s="20"/>
      <c r="AG20966" s="20"/>
      <c r="AQ20966" s="19"/>
      <c r="AR20966" s="19"/>
      <c r="AS20966" s="19"/>
      <c r="AT20966" s="19"/>
      <c r="AU20966" s="19"/>
    </row>
    <row r="20967" spans="3:47">
      <c r="C20967" s="20"/>
      <c r="Z20967" s="20"/>
      <c r="AG20967" s="20"/>
      <c r="AQ20967" s="19"/>
      <c r="AR20967" s="19"/>
      <c r="AS20967" s="19"/>
      <c r="AT20967" s="19"/>
      <c r="AU20967" s="19"/>
    </row>
    <row r="20968" spans="3:47">
      <c r="C20968" s="20"/>
      <c r="Z20968" s="20"/>
      <c r="AG20968" s="20"/>
      <c r="AQ20968" s="19"/>
      <c r="AR20968" s="19"/>
      <c r="AS20968" s="19"/>
      <c r="AT20968" s="19"/>
      <c r="AU20968" s="19"/>
    </row>
    <row r="20969" spans="3:47">
      <c r="C20969" s="20"/>
      <c r="Z20969" s="20"/>
      <c r="AG20969" s="20"/>
      <c r="AQ20969" s="19"/>
      <c r="AR20969" s="19"/>
      <c r="AS20969" s="19"/>
      <c r="AT20969" s="19"/>
      <c r="AU20969" s="19"/>
    </row>
    <row r="20970" spans="3:47">
      <c r="C20970" s="20"/>
      <c r="Z20970" s="20"/>
      <c r="AG20970" s="20"/>
      <c r="AQ20970" s="19"/>
      <c r="AR20970" s="19"/>
      <c r="AS20970" s="19"/>
      <c r="AT20970" s="19"/>
      <c r="AU20970" s="19"/>
    </row>
    <row r="20971" spans="3:47">
      <c r="C20971" s="20"/>
      <c r="Z20971" s="20"/>
      <c r="AG20971" s="20"/>
      <c r="AQ20971" s="19"/>
      <c r="AR20971" s="19"/>
      <c r="AS20971" s="19"/>
      <c r="AT20971" s="19"/>
      <c r="AU20971" s="19"/>
    </row>
    <row r="20972" spans="3:47">
      <c r="C20972" s="20"/>
      <c r="Z20972" s="20"/>
      <c r="AG20972" s="20"/>
      <c r="AQ20972" s="19"/>
      <c r="AR20972" s="19"/>
      <c r="AS20972" s="19"/>
      <c r="AT20972" s="19"/>
      <c r="AU20972" s="19"/>
    </row>
    <row r="20973" spans="3:47">
      <c r="C20973" s="20"/>
      <c r="Z20973" s="20"/>
      <c r="AG20973" s="20"/>
      <c r="AQ20973" s="19"/>
      <c r="AR20973" s="19"/>
      <c r="AS20973" s="19"/>
      <c r="AT20973" s="19"/>
      <c r="AU20973" s="19"/>
    </row>
    <row r="20974" spans="3:47">
      <c r="C20974" s="20"/>
      <c r="Z20974" s="20"/>
      <c r="AG20974" s="20"/>
      <c r="AQ20974" s="19"/>
      <c r="AR20974" s="19"/>
      <c r="AS20974" s="19"/>
      <c r="AT20974" s="19"/>
      <c r="AU20974" s="19"/>
    </row>
    <row r="20975" spans="3:47">
      <c r="C20975" s="20"/>
      <c r="Z20975" s="20"/>
      <c r="AG20975" s="20"/>
      <c r="AQ20975" s="19"/>
      <c r="AR20975" s="19"/>
      <c r="AS20975" s="19"/>
      <c r="AT20975" s="19"/>
      <c r="AU20975" s="19"/>
    </row>
    <row r="20976" spans="3:47">
      <c r="C20976" s="20"/>
      <c r="Z20976" s="20"/>
      <c r="AG20976" s="20"/>
      <c r="AQ20976" s="19"/>
      <c r="AR20976" s="19"/>
      <c r="AS20976" s="19"/>
      <c r="AT20976" s="19"/>
      <c r="AU20976" s="19"/>
    </row>
    <row r="20977" spans="3:47">
      <c r="C20977" s="20"/>
      <c r="Z20977" s="20"/>
      <c r="AG20977" s="20"/>
      <c r="AQ20977" s="19"/>
      <c r="AR20977" s="19"/>
      <c r="AS20977" s="19"/>
      <c r="AT20977" s="19"/>
      <c r="AU20977" s="19"/>
    </row>
    <row r="20978" spans="3:47">
      <c r="C20978" s="20"/>
      <c r="Z20978" s="20"/>
      <c r="AG20978" s="20"/>
      <c r="AQ20978" s="19"/>
      <c r="AR20978" s="19"/>
      <c r="AS20978" s="19"/>
      <c r="AT20978" s="19"/>
      <c r="AU20978" s="19"/>
    </row>
    <row r="20979" spans="3:47">
      <c r="C20979" s="20"/>
      <c r="Z20979" s="20"/>
      <c r="AG20979" s="20"/>
      <c r="AQ20979" s="19"/>
      <c r="AR20979" s="19"/>
      <c r="AS20979" s="19"/>
      <c r="AT20979" s="19"/>
      <c r="AU20979" s="19"/>
    </row>
    <row r="20980" spans="3:47">
      <c r="C20980" s="20"/>
      <c r="Z20980" s="20"/>
      <c r="AG20980" s="20"/>
      <c r="AQ20980" s="19"/>
      <c r="AR20980" s="19"/>
      <c r="AS20980" s="19"/>
      <c r="AT20980" s="19"/>
      <c r="AU20980" s="19"/>
    </row>
    <row r="20981" spans="3:47">
      <c r="C20981" s="20"/>
      <c r="Z20981" s="20"/>
      <c r="AG20981" s="20"/>
      <c r="AQ20981" s="19"/>
      <c r="AR20981" s="19"/>
      <c r="AS20981" s="19"/>
      <c r="AT20981" s="19"/>
      <c r="AU20981" s="19"/>
    </row>
    <row r="20982" spans="3:47">
      <c r="C20982" s="20"/>
      <c r="Z20982" s="20"/>
      <c r="AG20982" s="20"/>
      <c r="AQ20982" s="19"/>
      <c r="AR20982" s="19"/>
      <c r="AS20982" s="19"/>
      <c r="AT20982" s="19"/>
      <c r="AU20982" s="19"/>
    </row>
    <row r="20983" spans="3:47">
      <c r="C20983" s="20"/>
      <c r="Z20983" s="20"/>
      <c r="AG20983" s="20"/>
      <c r="AQ20983" s="19"/>
      <c r="AR20983" s="19"/>
      <c r="AS20983" s="19"/>
      <c r="AT20983" s="19"/>
      <c r="AU20983" s="19"/>
    </row>
    <row r="20984" spans="3:47">
      <c r="C20984" s="20"/>
      <c r="Z20984" s="20"/>
      <c r="AG20984" s="20"/>
      <c r="AQ20984" s="19"/>
      <c r="AR20984" s="19"/>
      <c r="AS20984" s="19"/>
      <c r="AT20984" s="19"/>
      <c r="AU20984" s="19"/>
    </row>
    <row r="20985" spans="3:47">
      <c r="C20985" s="20"/>
      <c r="Z20985" s="20"/>
      <c r="AG20985" s="20"/>
      <c r="AQ20985" s="19"/>
      <c r="AR20985" s="19"/>
      <c r="AS20985" s="19"/>
      <c r="AT20985" s="19"/>
      <c r="AU20985" s="19"/>
    </row>
    <row r="20986" spans="3:47">
      <c r="C20986" s="20"/>
      <c r="Z20986" s="20"/>
      <c r="AG20986" s="20"/>
      <c r="AQ20986" s="19"/>
      <c r="AR20986" s="19"/>
      <c r="AS20986" s="19"/>
      <c r="AT20986" s="19"/>
      <c r="AU20986" s="19"/>
    </row>
    <row r="20987" spans="3:47">
      <c r="C20987" s="20"/>
      <c r="Z20987" s="20"/>
      <c r="AG20987" s="20"/>
      <c r="AQ20987" s="19"/>
      <c r="AR20987" s="19"/>
      <c r="AS20987" s="19"/>
      <c r="AT20987" s="19"/>
      <c r="AU20987" s="19"/>
    </row>
    <row r="20988" spans="3:47">
      <c r="C20988" s="20"/>
      <c r="Z20988" s="20"/>
      <c r="AG20988" s="20"/>
      <c r="AQ20988" s="19"/>
      <c r="AR20988" s="19"/>
      <c r="AS20988" s="19"/>
      <c r="AT20988" s="19"/>
      <c r="AU20988" s="19"/>
    </row>
    <row r="20989" spans="3:47">
      <c r="C20989" s="20"/>
      <c r="Z20989" s="20"/>
      <c r="AG20989" s="20"/>
      <c r="AQ20989" s="19"/>
      <c r="AR20989" s="19"/>
      <c r="AS20989" s="19"/>
      <c r="AT20989" s="19"/>
      <c r="AU20989" s="19"/>
    </row>
    <row r="20990" spans="3:47">
      <c r="C20990" s="20"/>
      <c r="Z20990" s="20"/>
      <c r="AG20990" s="20"/>
      <c r="AQ20990" s="19"/>
      <c r="AR20990" s="19"/>
      <c r="AS20990" s="19"/>
      <c r="AT20990" s="19"/>
      <c r="AU20990" s="19"/>
    </row>
    <row r="20991" spans="3:47">
      <c r="C20991" s="20"/>
      <c r="Z20991" s="20"/>
      <c r="AG20991" s="20"/>
      <c r="AQ20991" s="19"/>
      <c r="AR20991" s="19"/>
      <c r="AS20991" s="19"/>
      <c r="AT20991" s="19"/>
      <c r="AU20991" s="19"/>
    </row>
    <row r="20992" spans="3:47">
      <c r="C20992" s="20"/>
      <c r="Z20992" s="20"/>
      <c r="AG20992" s="20"/>
      <c r="AQ20992" s="19"/>
      <c r="AR20992" s="19"/>
      <c r="AS20992" s="19"/>
      <c r="AT20992" s="19"/>
      <c r="AU20992" s="19"/>
    </row>
    <row r="20993" spans="3:47">
      <c r="C20993" s="20"/>
      <c r="Z20993" s="20"/>
      <c r="AG20993" s="20"/>
      <c r="AQ20993" s="19"/>
      <c r="AR20993" s="19"/>
      <c r="AS20993" s="19"/>
      <c r="AT20993" s="19"/>
      <c r="AU20993" s="19"/>
    </row>
    <row r="20994" spans="3:47">
      <c r="C20994" s="20"/>
      <c r="Z20994" s="20"/>
      <c r="AG20994" s="20"/>
      <c r="AQ20994" s="19"/>
      <c r="AR20994" s="19"/>
      <c r="AS20994" s="19"/>
      <c r="AT20994" s="19"/>
      <c r="AU20994" s="19"/>
    </row>
    <row r="20995" spans="3:47">
      <c r="C20995" s="20"/>
      <c r="Z20995" s="20"/>
      <c r="AG20995" s="20"/>
      <c r="AQ20995" s="19"/>
      <c r="AR20995" s="19"/>
      <c r="AS20995" s="19"/>
      <c r="AT20995" s="19"/>
      <c r="AU20995" s="19"/>
    </row>
    <row r="20996" spans="3:47">
      <c r="C20996" s="20"/>
      <c r="Z20996" s="20"/>
      <c r="AG20996" s="20"/>
      <c r="AQ20996" s="19"/>
      <c r="AR20996" s="19"/>
      <c r="AS20996" s="19"/>
      <c r="AT20996" s="19"/>
      <c r="AU20996" s="19"/>
    </row>
    <row r="20997" spans="3:47">
      <c r="C20997" s="20"/>
      <c r="Z20997" s="20"/>
      <c r="AG20997" s="20"/>
      <c r="AQ20997" s="19"/>
      <c r="AR20997" s="19"/>
      <c r="AS20997" s="19"/>
      <c r="AT20997" s="19"/>
      <c r="AU20997" s="19"/>
    </row>
    <row r="20998" spans="3:47">
      <c r="C20998" s="20"/>
      <c r="Z20998" s="20"/>
      <c r="AG20998" s="20"/>
      <c r="AQ20998" s="19"/>
      <c r="AR20998" s="19"/>
      <c r="AS20998" s="19"/>
      <c r="AT20998" s="19"/>
      <c r="AU20998" s="19"/>
    </row>
    <row r="20999" spans="3:47">
      <c r="C20999" s="20"/>
      <c r="Z20999" s="20"/>
      <c r="AG20999" s="20"/>
      <c r="AQ20999" s="19"/>
      <c r="AR20999" s="19"/>
      <c r="AS20999" s="19"/>
      <c r="AT20999" s="19"/>
      <c r="AU20999" s="19"/>
    </row>
    <row r="21000" spans="3:47">
      <c r="C21000" s="20"/>
      <c r="Z21000" s="20"/>
      <c r="AG21000" s="20"/>
      <c r="AQ21000" s="19"/>
      <c r="AR21000" s="19"/>
      <c r="AS21000" s="19"/>
      <c r="AT21000" s="19"/>
      <c r="AU21000" s="19"/>
    </row>
    <row r="21001" spans="3:47">
      <c r="C21001" s="20"/>
      <c r="Z21001" s="20"/>
      <c r="AG21001" s="20"/>
      <c r="AQ21001" s="19"/>
      <c r="AR21001" s="19"/>
      <c r="AS21001" s="19"/>
      <c r="AT21001" s="19"/>
      <c r="AU21001" s="19"/>
    </row>
    <row r="21002" spans="3:47">
      <c r="C21002" s="20"/>
      <c r="Z21002" s="20"/>
      <c r="AG21002" s="20"/>
      <c r="AQ21002" s="19"/>
      <c r="AR21002" s="19"/>
      <c r="AS21002" s="19"/>
      <c r="AT21002" s="19"/>
      <c r="AU21002" s="19"/>
    </row>
    <row r="21003" spans="3:47">
      <c r="C21003" s="20"/>
      <c r="Z21003" s="20"/>
      <c r="AG21003" s="20"/>
      <c r="AQ21003" s="19"/>
      <c r="AR21003" s="19"/>
      <c r="AS21003" s="19"/>
      <c r="AT21003" s="19"/>
      <c r="AU21003" s="19"/>
    </row>
    <row r="21004" spans="3:47">
      <c r="C21004" s="20"/>
      <c r="Z21004" s="20"/>
      <c r="AG21004" s="20"/>
      <c r="AQ21004" s="19"/>
      <c r="AR21004" s="19"/>
      <c r="AS21004" s="19"/>
      <c r="AT21004" s="19"/>
      <c r="AU21004" s="19"/>
    </row>
    <row r="21005" spans="3:47">
      <c r="C21005" s="20"/>
      <c r="Z21005" s="20"/>
      <c r="AG21005" s="20"/>
      <c r="AQ21005" s="19"/>
      <c r="AR21005" s="19"/>
      <c r="AS21005" s="19"/>
      <c r="AT21005" s="19"/>
      <c r="AU21005" s="19"/>
    </row>
    <row r="21006" spans="3:47">
      <c r="C21006" s="20"/>
      <c r="Z21006" s="20"/>
      <c r="AG21006" s="20"/>
      <c r="AQ21006" s="19"/>
      <c r="AR21006" s="19"/>
      <c r="AS21006" s="19"/>
      <c r="AT21006" s="19"/>
      <c r="AU21006" s="19"/>
    </row>
    <row r="21007" spans="3:47">
      <c r="C21007" s="20"/>
      <c r="Z21007" s="20"/>
      <c r="AG21007" s="20"/>
      <c r="AQ21007" s="19"/>
      <c r="AR21007" s="19"/>
      <c r="AS21007" s="19"/>
      <c r="AT21007" s="19"/>
      <c r="AU21007" s="19"/>
    </row>
    <row r="21008" spans="3:47">
      <c r="C21008" s="20"/>
      <c r="Z21008" s="20"/>
      <c r="AG21008" s="20"/>
      <c r="AQ21008" s="19"/>
      <c r="AR21008" s="19"/>
      <c r="AS21008" s="19"/>
      <c r="AT21008" s="19"/>
      <c r="AU21008" s="19"/>
    </row>
    <row r="21009" spans="3:47">
      <c r="C21009" s="20"/>
      <c r="Z21009" s="20"/>
      <c r="AG21009" s="20"/>
      <c r="AQ21009" s="19"/>
      <c r="AR21009" s="19"/>
      <c r="AS21009" s="19"/>
      <c r="AT21009" s="19"/>
      <c r="AU21009" s="19"/>
    </row>
    <row r="21010" spans="3:47">
      <c r="C21010" s="20"/>
      <c r="Z21010" s="20"/>
      <c r="AG21010" s="20"/>
      <c r="AQ21010" s="19"/>
      <c r="AR21010" s="19"/>
      <c r="AS21010" s="19"/>
      <c r="AT21010" s="19"/>
      <c r="AU21010" s="19"/>
    </row>
    <row r="21011" spans="3:47">
      <c r="C21011" s="20"/>
      <c r="Z21011" s="20"/>
      <c r="AG21011" s="20"/>
      <c r="AQ21011" s="19"/>
      <c r="AR21011" s="19"/>
      <c r="AS21011" s="19"/>
      <c r="AT21011" s="19"/>
      <c r="AU21011" s="19"/>
    </row>
    <row r="21012" spans="3:47">
      <c r="C21012" s="20"/>
      <c r="Z21012" s="20"/>
      <c r="AG21012" s="20"/>
      <c r="AQ21012" s="19"/>
      <c r="AR21012" s="19"/>
      <c r="AS21012" s="19"/>
      <c r="AT21012" s="19"/>
      <c r="AU21012" s="19"/>
    </row>
    <row r="21013" spans="3:47">
      <c r="C21013" s="20"/>
      <c r="Z21013" s="20"/>
      <c r="AG21013" s="20"/>
      <c r="AQ21013" s="19"/>
      <c r="AR21013" s="19"/>
      <c r="AS21013" s="19"/>
      <c r="AT21013" s="19"/>
      <c r="AU21013" s="19"/>
    </row>
    <row r="21014" spans="3:47">
      <c r="C21014" s="20"/>
      <c r="Z21014" s="20"/>
      <c r="AG21014" s="20"/>
      <c r="AQ21014" s="19"/>
      <c r="AR21014" s="19"/>
      <c r="AS21014" s="19"/>
      <c r="AT21014" s="19"/>
      <c r="AU21014" s="19"/>
    </row>
    <row r="21015" spans="3:47">
      <c r="C21015" s="20"/>
      <c r="Z21015" s="20"/>
      <c r="AG21015" s="20"/>
      <c r="AQ21015" s="19"/>
      <c r="AR21015" s="19"/>
      <c r="AS21015" s="19"/>
      <c r="AT21015" s="19"/>
      <c r="AU21015" s="19"/>
    </row>
    <row r="21016" spans="3:47">
      <c r="C21016" s="20"/>
      <c r="Z21016" s="20"/>
      <c r="AG21016" s="20"/>
      <c r="AQ21016" s="19"/>
      <c r="AR21016" s="19"/>
      <c r="AS21016" s="19"/>
      <c r="AT21016" s="19"/>
      <c r="AU21016" s="19"/>
    </row>
    <row r="21017" spans="3:47">
      <c r="C21017" s="20"/>
      <c r="Z21017" s="20"/>
      <c r="AG21017" s="20"/>
      <c r="AQ21017" s="19"/>
      <c r="AR21017" s="19"/>
      <c r="AS21017" s="19"/>
      <c r="AT21017" s="19"/>
      <c r="AU21017" s="19"/>
    </row>
    <row r="21018" spans="3:47">
      <c r="C21018" s="20"/>
      <c r="Z21018" s="20"/>
      <c r="AG21018" s="20"/>
      <c r="AQ21018" s="19"/>
      <c r="AR21018" s="19"/>
      <c r="AS21018" s="19"/>
      <c r="AT21018" s="19"/>
      <c r="AU21018" s="19"/>
    </row>
    <row r="21019" spans="3:47">
      <c r="C21019" s="20"/>
      <c r="Z21019" s="20"/>
      <c r="AG21019" s="20"/>
      <c r="AQ21019" s="19"/>
      <c r="AR21019" s="19"/>
      <c r="AS21019" s="19"/>
      <c r="AT21019" s="19"/>
      <c r="AU21019" s="19"/>
    </row>
    <row r="21020" spans="3:47">
      <c r="C21020" s="20"/>
      <c r="Z21020" s="20"/>
      <c r="AG21020" s="20"/>
      <c r="AQ21020" s="19"/>
      <c r="AR21020" s="19"/>
      <c r="AS21020" s="19"/>
      <c r="AT21020" s="19"/>
      <c r="AU21020" s="19"/>
    </row>
    <row r="21021" spans="3:47">
      <c r="C21021" s="20"/>
      <c r="Z21021" s="20"/>
      <c r="AG21021" s="20"/>
      <c r="AQ21021" s="19"/>
      <c r="AR21021" s="19"/>
      <c r="AS21021" s="19"/>
      <c r="AT21021" s="19"/>
      <c r="AU21021" s="19"/>
    </row>
    <row r="21022" spans="3:47">
      <c r="C21022" s="20"/>
      <c r="Z21022" s="20"/>
      <c r="AG21022" s="20"/>
      <c r="AQ21022" s="19"/>
      <c r="AR21022" s="19"/>
      <c r="AS21022" s="19"/>
      <c r="AT21022" s="19"/>
      <c r="AU21022" s="19"/>
    </row>
    <row r="21023" spans="3:47">
      <c r="C21023" s="20"/>
      <c r="Z21023" s="20"/>
      <c r="AG21023" s="20"/>
      <c r="AQ21023" s="19"/>
      <c r="AR21023" s="19"/>
      <c r="AS21023" s="19"/>
      <c r="AT21023" s="19"/>
      <c r="AU21023" s="19"/>
    </row>
    <row r="21024" spans="3:47">
      <c r="C21024" s="20"/>
      <c r="Z21024" s="20"/>
      <c r="AG21024" s="20"/>
      <c r="AQ21024" s="19"/>
      <c r="AR21024" s="19"/>
      <c r="AS21024" s="19"/>
      <c r="AT21024" s="19"/>
      <c r="AU21024" s="19"/>
    </row>
    <row r="21025" spans="3:47">
      <c r="C21025" s="20"/>
      <c r="Z21025" s="20"/>
      <c r="AG21025" s="20"/>
      <c r="AQ21025" s="19"/>
      <c r="AR21025" s="19"/>
      <c r="AS21025" s="19"/>
      <c r="AT21025" s="19"/>
      <c r="AU21025" s="19"/>
    </row>
    <row r="21026" spans="3:47">
      <c r="C21026" s="20"/>
      <c r="Z21026" s="20"/>
      <c r="AG21026" s="20"/>
      <c r="AQ21026" s="19"/>
      <c r="AR21026" s="19"/>
      <c r="AS21026" s="19"/>
      <c r="AT21026" s="19"/>
      <c r="AU21026" s="19"/>
    </row>
    <row r="21027" spans="3:47">
      <c r="C21027" s="20"/>
      <c r="Z21027" s="20"/>
      <c r="AG21027" s="20"/>
      <c r="AQ21027" s="19"/>
      <c r="AR21027" s="19"/>
      <c r="AS21027" s="19"/>
      <c r="AT21027" s="19"/>
      <c r="AU21027" s="19"/>
    </row>
    <row r="21028" spans="3:47">
      <c r="C21028" s="20"/>
      <c r="Z21028" s="20"/>
      <c r="AG21028" s="20"/>
      <c r="AQ21028" s="19"/>
      <c r="AR21028" s="19"/>
      <c r="AS21028" s="19"/>
      <c r="AT21028" s="19"/>
      <c r="AU21028" s="19"/>
    </row>
    <row r="21029" spans="3:47">
      <c r="C21029" s="20"/>
      <c r="Z21029" s="20"/>
      <c r="AG21029" s="20"/>
      <c r="AQ21029" s="19"/>
      <c r="AR21029" s="19"/>
      <c r="AS21029" s="19"/>
      <c r="AT21029" s="19"/>
      <c r="AU21029" s="19"/>
    </row>
    <row r="21030" spans="3:47">
      <c r="C21030" s="20"/>
      <c r="Z21030" s="20"/>
      <c r="AG21030" s="20"/>
      <c r="AQ21030" s="19"/>
      <c r="AR21030" s="19"/>
      <c r="AS21030" s="19"/>
      <c r="AT21030" s="19"/>
      <c r="AU21030" s="19"/>
    </row>
    <row r="21031" spans="3:47">
      <c r="C21031" s="20"/>
      <c r="Z21031" s="20"/>
      <c r="AG21031" s="20"/>
      <c r="AQ21031" s="19"/>
      <c r="AR21031" s="19"/>
      <c r="AS21031" s="19"/>
      <c r="AT21031" s="19"/>
      <c r="AU21031" s="19"/>
    </row>
    <row r="21032" spans="3:47">
      <c r="C21032" s="20"/>
      <c r="Z21032" s="20"/>
      <c r="AG21032" s="20"/>
      <c r="AQ21032" s="19"/>
      <c r="AR21032" s="19"/>
      <c r="AS21032" s="19"/>
      <c r="AT21032" s="19"/>
      <c r="AU21032" s="19"/>
    </row>
    <row r="21033" spans="3:47">
      <c r="C21033" s="20"/>
      <c r="Z21033" s="20"/>
      <c r="AG21033" s="20"/>
      <c r="AQ21033" s="19"/>
      <c r="AR21033" s="19"/>
      <c r="AS21033" s="19"/>
      <c r="AT21033" s="19"/>
      <c r="AU21033" s="19"/>
    </row>
    <row r="21034" spans="3:47">
      <c r="C21034" s="20"/>
      <c r="Z21034" s="20"/>
      <c r="AG21034" s="20"/>
      <c r="AQ21034" s="19"/>
      <c r="AR21034" s="19"/>
      <c r="AS21034" s="19"/>
      <c r="AT21034" s="19"/>
      <c r="AU21034" s="19"/>
    </row>
    <row r="21035" spans="3:47">
      <c r="C21035" s="20"/>
      <c r="Z21035" s="20"/>
      <c r="AG21035" s="20"/>
      <c r="AQ21035" s="19"/>
      <c r="AR21035" s="19"/>
      <c r="AS21035" s="19"/>
      <c r="AT21035" s="19"/>
      <c r="AU21035" s="19"/>
    </row>
    <row r="21036" spans="3:47">
      <c r="C21036" s="20"/>
      <c r="Z21036" s="20"/>
      <c r="AG21036" s="20"/>
      <c r="AQ21036" s="19"/>
      <c r="AR21036" s="19"/>
      <c r="AS21036" s="19"/>
      <c r="AT21036" s="19"/>
      <c r="AU21036" s="19"/>
    </row>
    <row r="21037" spans="3:47">
      <c r="C21037" s="20"/>
      <c r="Z21037" s="20"/>
      <c r="AG21037" s="20"/>
      <c r="AQ21037" s="19"/>
      <c r="AR21037" s="19"/>
      <c r="AS21037" s="19"/>
      <c r="AT21037" s="19"/>
      <c r="AU21037" s="19"/>
    </row>
    <row r="21038" spans="3:47">
      <c r="C21038" s="20"/>
      <c r="Z21038" s="20"/>
      <c r="AG21038" s="20"/>
      <c r="AQ21038" s="19"/>
      <c r="AR21038" s="19"/>
      <c r="AS21038" s="19"/>
      <c r="AT21038" s="19"/>
      <c r="AU21038" s="19"/>
    </row>
    <row r="21039" spans="3:47">
      <c r="C21039" s="20"/>
      <c r="Z21039" s="20"/>
      <c r="AG21039" s="20"/>
      <c r="AQ21039" s="19"/>
      <c r="AR21039" s="19"/>
      <c r="AS21039" s="19"/>
      <c r="AT21039" s="19"/>
      <c r="AU21039" s="19"/>
    </row>
    <row r="21040" spans="3:47">
      <c r="C21040" s="20"/>
      <c r="Z21040" s="20"/>
      <c r="AG21040" s="20"/>
      <c r="AQ21040" s="19"/>
      <c r="AR21040" s="19"/>
      <c r="AS21040" s="19"/>
      <c r="AT21040" s="19"/>
      <c r="AU21040" s="19"/>
    </row>
    <row r="21041" spans="3:47">
      <c r="C21041" s="20"/>
      <c r="Z21041" s="20"/>
      <c r="AG21041" s="20"/>
      <c r="AQ21041" s="19"/>
      <c r="AR21041" s="19"/>
      <c r="AS21041" s="19"/>
      <c r="AT21041" s="19"/>
      <c r="AU21041" s="19"/>
    </row>
    <row r="21042" spans="3:47">
      <c r="C21042" s="20"/>
      <c r="Z21042" s="20"/>
      <c r="AG21042" s="20"/>
      <c r="AQ21042" s="19"/>
      <c r="AR21042" s="19"/>
      <c r="AS21042" s="19"/>
      <c r="AT21042" s="19"/>
      <c r="AU21042" s="19"/>
    </row>
    <row r="21043" spans="3:47">
      <c r="C21043" s="20"/>
      <c r="Z21043" s="20"/>
      <c r="AG21043" s="20"/>
      <c r="AQ21043" s="19"/>
      <c r="AR21043" s="19"/>
      <c r="AS21043" s="19"/>
      <c r="AT21043" s="19"/>
      <c r="AU21043" s="19"/>
    </row>
    <row r="21044" spans="3:47">
      <c r="C21044" s="20"/>
      <c r="Z21044" s="20"/>
      <c r="AG21044" s="20"/>
      <c r="AQ21044" s="19"/>
      <c r="AR21044" s="19"/>
      <c r="AS21044" s="19"/>
      <c r="AT21044" s="19"/>
      <c r="AU21044" s="19"/>
    </row>
    <row r="21045" spans="3:47">
      <c r="C21045" s="20"/>
      <c r="Z21045" s="20"/>
      <c r="AG21045" s="20"/>
      <c r="AQ21045" s="19"/>
      <c r="AR21045" s="19"/>
      <c r="AS21045" s="19"/>
      <c r="AT21045" s="19"/>
      <c r="AU21045" s="19"/>
    </row>
    <row r="21046" spans="3:47">
      <c r="C21046" s="20"/>
      <c r="Z21046" s="20"/>
      <c r="AG21046" s="20"/>
      <c r="AQ21046" s="19"/>
      <c r="AR21046" s="19"/>
      <c r="AS21046" s="19"/>
      <c r="AT21046" s="19"/>
      <c r="AU21046" s="19"/>
    </row>
    <row r="21047" spans="3:47">
      <c r="C21047" s="20"/>
      <c r="Z21047" s="20"/>
      <c r="AG21047" s="20"/>
      <c r="AQ21047" s="19"/>
      <c r="AR21047" s="19"/>
      <c r="AS21047" s="19"/>
      <c r="AT21047" s="19"/>
      <c r="AU21047" s="19"/>
    </row>
    <row r="21048" spans="3:47">
      <c r="C21048" s="20"/>
      <c r="Z21048" s="20"/>
      <c r="AG21048" s="20"/>
      <c r="AQ21048" s="19"/>
      <c r="AR21048" s="19"/>
      <c r="AS21048" s="19"/>
      <c r="AT21048" s="19"/>
      <c r="AU21048" s="19"/>
    </row>
    <row r="21049" spans="3:47">
      <c r="C21049" s="20"/>
      <c r="Z21049" s="20"/>
      <c r="AG21049" s="20"/>
      <c r="AQ21049" s="19"/>
      <c r="AR21049" s="19"/>
      <c r="AS21049" s="19"/>
      <c r="AT21049" s="19"/>
      <c r="AU21049" s="19"/>
    </row>
    <row r="21050" spans="3:47">
      <c r="C21050" s="20"/>
      <c r="Z21050" s="20"/>
      <c r="AG21050" s="20"/>
      <c r="AQ21050" s="19"/>
      <c r="AR21050" s="19"/>
      <c r="AS21050" s="19"/>
      <c r="AT21050" s="19"/>
      <c r="AU21050" s="19"/>
    </row>
    <row r="21051" spans="3:47">
      <c r="C21051" s="20"/>
      <c r="Z21051" s="20"/>
      <c r="AG21051" s="20"/>
      <c r="AQ21051" s="19"/>
      <c r="AR21051" s="19"/>
      <c r="AS21051" s="19"/>
      <c r="AT21051" s="19"/>
      <c r="AU21051" s="19"/>
    </row>
    <row r="21052" spans="3:47">
      <c r="C21052" s="20"/>
      <c r="Z21052" s="20"/>
      <c r="AG21052" s="20"/>
      <c r="AQ21052" s="19"/>
      <c r="AR21052" s="19"/>
      <c r="AS21052" s="19"/>
      <c r="AT21052" s="19"/>
      <c r="AU21052" s="19"/>
    </row>
    <row r="21053" spans="3:47">
      <c r="C21053" s="20"/>
      <c r="Z21053" s="20"/>
      <c r="AG21053" s="20"/>
      <c r="AQ21053" s="19"/>
      <c r="AR21053" s="19"/>
      <c r="AS21053" s="19"/>
      <c r="AT21053" s="19"/>
      <c r="AU21053" s="19"/>
    </row>
    <row r="21054" spans="3:47">
      <c r="C21054" s="20"/>
      <c r="Z21054" s="20"/>
      <c r="AG21054" s="20"/>
      <c r="AQ21054" s="19"/>
      <c r="AR21054" s="19"/>
      <c r="AS21054" s="19"/>
      <c r="AT21054" s="19"/>
      <c r="AU21054" s="19"/>
    </row>
    <row r="21055" spans="3:47">
      <c r="C21055" s="20"/>
      <c r="Z21055" s="20"/>
      <c r="AG21055" s="20"/>
      <c r="AQ21055" s="19"/>
      <c r="AR21055" s="19"/>
      <c r="AS21055" s="19"/>
      <c r="AT21055" s="19"/>
      <c r="AU21055" s="19"/>
    </row>
    <row r="21056" spans="3:47">
      <c r="C21056" s="20"/>
      <c r="Z21056" s="20"/>
      <c r="AG21056" s="20"/>
      <c r="AQ21056" s="19"/>
      <c r="AR21056" s="19"/>
      <c r="AS21056" s="19"/>
      <c r="AT21056" s="19"/>
      <c r="AU21056" s="19"/>
    </row>
    <row r="21057" spans="3:47">
      <c r="C21057" s="20"/>
      <c r="Z21057" s="20"/>
      <c r="AG21057" s="20"/>
      <c r="AQ21057" s="19"/>
      <c r="AR21057" s="19"/>
      <c r="AS21057" s="19"/>
      <c r="AT21057" s="19"/>
      <c r="AU21057" s="19"/>
    </row>
    <row r="21058" spans="3:47">
      <c r="C21058" s="20"/>
      <c r="Z21058" s="20"/>
      <c r="AG21058" s="20"/>
      <c r="AQ21058" s="19"/>
      <c r="AR21058" s="19"/>
      <c r="AS21058" s="19"/>
      <c r="AT21058" s="19"/>
      <c r="AU21058" s="19"/>
    </row>
    <row r="21059" spans="3:47">
      <c r="C21059" s="20"/>
      <c r="Z21059" s="20"/>
      <c r="AG21059" s="20"/>
      <c r="AQ21059" s="19"/>
      <c r="AR21059" s="19"/>
      <c r="AS21059" s="19"/>
      <c r="AT21059" s="19"/>
      <c r="AU21059" s="19"/>
    </row>
    <row r="21060" spans="3:47">
      <c r="C21060" s="20"/>
      <c r="Z21060" s="20"/>
      <c r="AG21060" s="20"/>
      <c r="AQ21060" s="19"/>
      <c r="AR21060" s="19"/>
      <c r="AS21060" s="19"/>
      <c r="AT21060" s="19"/>
      <c r="AU21060" s="19"/>
    </row>
    <row r="21061" spans="3:47">
      <c r="C21061" s="20"/>
      <c r="Z21061" s="20"/>
      <c r="AG21061" s="20"/>
      <c r="AQ21061" s="19"/>
      <c r="AR21061" s="19"/>
      <c r="AS21061" s="19"/>
      <c r="AT21061" s="19"/>
      <c r="AU21061" s="19"/>
    </row>
    <row r="21062" spans="3:47">
      <c r="C21062" s="20"/>
      <c r="Z21062" s="20"/>
      <c r="AG21062" s="20"/>
      <c r="AQ21062" s="19"/>
      <c r="AR21062" s="19"/>
      <c r="AS21062" s="19"/>
      <c r="AT21062" s="19"/>
      <c r="AU21062" s="19"/>
    </row>
    <row r="21063" spans="3:47">
      <c r="C21063" s="20"/>
      <c r="Z21063" s="20"/>
      <c r="AG21063" s="20"/>
      <c r="AQ21063" s="19"/>
      <c r="AR21063" s="19"/>
      <c r="AS21063" s="19"/>
      <c r="AT21063" s="19"/>
      <c r="AU21063" s="19"/>
    </row>
    <row r="21064" spans="3:47">
      <c r="C21064" s="20"/>
      <c r="Z21064" s="20"/>
      <c r="AG21064" s="20"/>
      <c r="AQ21064" s="19"/>
      <c r="AR21064" s="19"/>
      <c r="AS21064" s="19"/>
      <c r="AT21064" s="19"/>
      <c r="AU21064" s="19"/>
    </row>
    <row r="21065" spans="3:47">
      <c r="C21065" s="20"/>
      <c r="Z21065" s="20"/>
      <c r="AG21065" s="20"/>
      <c r="AQ21065" s="19"/>
      <c r="AR21065" s="19"/>
      <c r="AS21065" s="19"/>
      <c r="AT21065" s="19"/>
      <c r="AU21065" s="19"/>
    </row>
    <row r="21066" spans="3:47">
      <c r="C21066" s="20"/>
      <c r="Z21066" s="20"/>
      <c r="AG21066" s="20"/>
      <c r="AQ21066" s="19"/>
      <c r="AR21066" s="19"/>
      <c r="AS21066" s="19"/>
      <c r="AT21066" s="19"/>
      <c r="AU21066" s="19"/>
    </row>
    <row r="21067" spans="3:47">
      <c r="C21067" s="20"/>
      <c r="Z21067" s="20"/>
      <c r="AG21067" s="20"/>
      <c r="AQ21067" s="19"/>
      <c r="AR21067" s="19"/>
      <c r="AS21067" s="19"/>
      <c r="AT21067" s="19"/>
      <c r="AU21067" s="19"/>
    </row>
    <row r="21068" spans="3:47">
      <c r="C21068" s="20"/>
      <c r="Z21068" s="20"/>
      <c r="AG21068" s="20"/>
      <c r="AQ21068" s="19"/>
      <c r="AR21068" s="19"/>
      <c r="AS21068" s="19"/>
      <c r="AT21068" s="19"/>
      <c r="AU21068" s="19"/>
    </row>
    <row r="21069" spans="3:47">
      <c r="C21069" s="20"/>
      <c r="Z21069" s="20"/>
      <c r="AG21069" s="20"/>
      <c r="AQ21069" s="19"/>
      <c r="AR21069" s="19"/>
      <c r="AS21069" s="19"/>
      <c r="AT21069" s="19"/>
      <c r="AU21069" s="19"/>
    </row>
    <row r="21070" spans="3:47">
      <c r="C21070" s="20"/>
      <c r="Z21070" s="20"/>
      <c r="AG21070" s="20"/>
      <c r="AQ21070" s="19"/>
      <c r="AR21070" s="19"/>
      <c r="AS21070" s="19"/>
      <c r="AT21070" s="19"/>
      <c r="AU21070" s="19"/>
    </row>
    <row r="21071" spans="3:47">
      <c r="C21071" s="20"/>
      <c r="Z21071" s="20"/>
      <c r="AG21071" s="20"/>
      <c r="AQ21071" s="19"/>
      <c r="AR21071" s="19"/>
      <c r="AS21071" s="19"/>
      <c r="AT21071" s="19"/>
      <c r="AU21071" s="19"/>
    </row>
    <row r="21072" spans="3:47">
      <c r="C21072" s="20"/>
      <c r="Z21072" s="20"/>
      <c r="AG21072" s="20"/>
      <c r="AQ21072" s="19"/>
      <c r="AR21072" s="19"/>
      <c r="AS21072" s="19"/>
      <c r="AT21072" s="19"/>
      <c r="AU21072" s="19"/>
    </row>
    <row r="21073" spans="3:47">
      <c r="C21073" s="20"/>
      <c r="Z21073" s="20"/>
      <c r="AG21073" s="20"/>
      <c r="AQ21073" s="19"/>
      <c r="AR21073" s="19"/>
      <c r="AS21073" s="19"/>
      <c r="AT21073" s="19"/>
      <c r="AU21073" s="19"/>
    </row>
    <row r="21074" spans="3:47">
      <c r="C21074" s="20"/>
      <c r="Z21074" s="20"/>
      <c r="AG21074" s="20"/>
      <c r="AQ21074" s="19"/>
      <c r="AR21074" s="19"/>
      <c r="AS21074" s="19"/>
      <c r="AT21074" s="19"/>
      <c r="AU21074" s="19"/>
    </row>
    <row r="21075" spans="3:47">
      <c r="C21075" s="20"/>
      <c r="Z21075" s="20"/>
      <c r="AG21075" s="20"/>
      <c r="AQ21075" s="19"/>
      <c r="AR21075" s="19"/>
      <c r="AS21075" s="19"/>
      <c r="AT21075" s="19"/>
      <c r="AU21075" s="19"/>
    </row>
    <row r="21076" spans="3:47">
      <c r="C21076" s="20"/>
      <c r="Z21076" s="20"/>
      <c r="AG21076" s="20"/>
      <c r="AQ21076" s="19"/>
      <c r="AR21076" s="19"/>
      <c r="AS21076" s="19"/>
      <c r="AT21076" s="19"/>
      <c r="AU21076" s="19"/>
    </row>
    <row r="21077" spans="3:47">
      <c r="C21077" s="20"/>
      <c r="Z21077" s="20"/>
      <c r="AG21077" s="20"/>
      <c r="AQ21077" s="19"/>
      <c r="AR21077" s="19"/>
      <c r="AS21077" s="19"/>
      <c r="AT21077" s="19"/>
      <c r="AU21077" s="19"/>
    </row>
    <row r="21078" spans="3:47">
      <c r="C21078" s="20"/>
      <c r="Z21078" s="20"/>
      <c r="AG21078" s="20"/>
      <c r="AQ21078" s="19"/>
      <c r="AR21078" s="19"/>
      <c r="AS21078" s="19"/>
      <c r="AT21078" s="19"/>
      <c r="AU21078" s="19"/>
    </row>
    <row r="21079" spans="3:47">
      <c r="C21079" s="20"/>
      <c r="Z21079" s="20"/>
      <c r="AG21079" s="20"/>
      <c r="AQ21079" s="19"/>
      <c r="AR21079" s="19"/>
      <c r="AS21079" s="19"/>
      <c r="AT21079" s="19"/>
      <c r="AU21079" s="19"/>
    </row>
    <row r="21080" spans="3:47">
      <c r="C21080" s="20"/>
      <c r="Z21080" s="20"/>
      <c r="AG21080" s="20"/>
      <c r="AQ21080" s="19"/>
      <c r="AR21080" s="19"/>
      <c r="AS21080" s="19"/>
      <c r="AT21080" s="19"/>
      <c r="AU21080" s="19"/>
    </row>
    <row r="21081" spans="3:47">
      <c r="C21081" s="20"/>
      <c r="Z21081" s="20"/>
      <c r="AG21081" s="20"/>
      <c r="AQ21081" s="19"/>
      <c r="AR21081" s="19"/>
      <c r="AS21081" s="19"/>
      <c r="AT21081" s="19"/>
      <c r="AU21081" s="19"/>
    </row>
    <row r="21082" spans="3:47">
      <c r="C21082" s="20"/>
      <c r="Z21082" s="20"/>
      <c r="AG21082" s="20"/>
      <c r="AQ21082" s="19"/>
      <c r="AR21082" s="19"/>
      <c r="AS21082" s="19"/>
      <c r="AT21082" s="19"/>
      <c r="AU21082" s="19"/>
    </row>
    <row r="21083" spans="3:47">
      <c r="C21083" s="20"/>
      <c r="Z21083" s="20"/>
      <c r="AG21083" s="20"/>
      <c r="AQ21083" s="19"/>
      <c r="AR21083" s="19"/>
      <c r="AS21083" s="19"/>
      <c r="AT21083" s="19"/>
      <c r="AU21083" s="19"/>
    </row>
    <row r="21084" spans="3:47">
      <c r="C21084" s="20"/>
      <c r="Z21084" s="20"/>
      <c r="AG21084" s="20"/>
      <c r="AQ21084" s="19"/>
      <c r="AR21084" s="19"/>
      <c r="AS21084" s="19"/>
      <c r="AT21084" s="19"/>
      <c r="AU21084" s="19"/>
    </row>
    <row r="21085" spans="3:47">
      <c r="C21085" s="20"/>
      <c r="Z21085" s="20"/>
      <c r="AG21085" s="20"/>
      <c r="AQ21085" s="19"/>
      <c r="AR21085" s="19"/>
      <c r="AS21085" s="19"/>
      <c r="AT21085" s="19"/>
      <c r="AU21085" s="19"/>
    </row>
    <row r="21086" spans="3:47">
      <c r="C21086" s="20"/>
      <c r="Z21086" s="20"/>
      <c r="AG21086" s="20"/>
      <c r="AQ21086" s="19"/>
      <c r="AR21086" s="19"/>
      <c r="AS21086" s="19"/>
      <c r="AT21086" s="19"/>
      <c r="AU21086" s="19"/>
    </row>
    <row r="21087" spans="3:47">
      <c r="C21087" s="20"/>
      <c r="Z21087" s="20"/>
      <c r="AG21087" s="20"/>
      <c r="AQ21087" s="19"/>
      <c r="AR21087" s="19"/>
      <c r="AS21087" s="19"/>
      <c r="AT21087" s="19"/>
      <c r="AU21087" s="19"/>
    </row>
    <row r="21088" spans="3:47">
      <c r="C21088" s="20"/>
      <c r="Z21088" s="20"/>
      <c r="AG21088" s="20"/>
      <c r="AQ21088" s="19"/>
      <c r="AR21088" s="19"/>
      <c r="AS21088" s="19"/>
      <c r="AT21088" s="19"/>
      <c r="AU21088" s="19"/>
    </row>
    <row r="21089" spans="3:47">
      <c r="C21089" s="20"/>
      <c r="Z21089" s="20"/>
      <c r="AG21089" s="20"/>
      <c r="AQ21089" s="19"/>
      <c r="AR21089" s="19"/>
      <c r="AS21089" s="19"/>
      <c r="AT21089" s="19"/>
      <c r="AU21089" s="19"/>
    </row>
    <row r="21090" spans="3:47">
      <c r="C21090" s="20"/>
      <c r="Z21090" s="20"/>
      <c r="AG21090" s="20"/>
      <c r="AQ21090" s="19"/>
      <c r="AR21090" s="19"/>
      <c r="AS21090" s="19"/>
      <c r="AT21090" s="19"/>
      <c r="AU21090" s="19"/>
    </row>
    <row r="21091" spans="3:47">
      <c r="C21091" s="20"/>
      <c r="Z21091" s="20"/>
      <c r="AG21091" s="20"/>
      <c r="AQ21091" s="19"/>
      <c r="AR21091" s="19"/>
      <c r="AS21091" s="19"/>
      <c r="AT21091" s="19"/>
      <c r="AU21091" s="19"/>
    </row>
    <row r="21092" spans="3:47">
      <c r="C21092" s="20"/>
      <c r="Z21092" s="20"/>
      <c r="AG21092" s="20"/>
      <c r="AQ21092" s="19"/>
      <c r="AR21092" s="19"/>
      <c r="AS21092" s="19"/>
      <c r="AT21092" s="19"/>
      <c r="AU21092" s="19"/>
    </row>
    <row r="21093" spans="3:47">
      <c r="C21093" s="20"/>
      <c r="Z21093" s="20"/>
      <c r="AG21093" s="20"/>
      <c r="AQ21093" s="19"/>
      <c r="AR21093" s="19"/>
      <c r="AS21093" s="19"/>
      <c r="AT21093" s="19"/>
      <c r="AU21093" s="19"/>
    </row>
    <row r="21094" spans="3:47">
      <c r="C21094" s="20"/>
      <c r="Z21094" s="20"/>
      <c r="AG21094" s="20"/>
      <c r="AQ21094" s="19"/>
      <c r="AR21094" s="19"/>
      <c r="AS21094" s="19"/>
      <c r="AT21094" s="19"/>
      <c r="AU21094" s="19"/>
    </row>
    <row r="21095" spans="3:47">
      <c r="C21095" s="20"/>
      <c r="Z21095" s="20"/>
      <c r="AG21095" s="20"/>
      <c r="AQ21095" s="19"/>
      <c r="AR21095" s="19"/>
      <c r="AS21095" s="19"/>
      <c r="AT21095" s="19"/>
      <c r="AU21095" s="19"/>
    </row>
    <row r="21096" spans="3:47">
      <c r="C21096" s="20"/>
      <c r="Z21096" s="20"/>
      <c r="AG21096" s="20"/>
      <c r="AQ21096" s="19"/>
      <c r="AR21096" s="19"/>
      <c r="AS21096" s="19"/>
      <c r="AT21096" s="19"/>
      <c r="AU21096" s="19"/>
    </row>
    <row r="21097" spans="3:47">
      <c r="C21097" s="20"/>
      <c r="Z21097" s="20"/>
      <c r="AG21097" s="20"/>
      <c r="AQ21097" s="19"/>
      <c r="AR21097" s="19"/>
      <c r="AS21097" s="19"/>
      <c r="AT21097" s="19"/>
      <c r="AU21097" s="19"/>
    </row>
    <row r="21098" spans="3:47">
      <c r="C21098" s="20"/>
      <c r="Z21098" s="20"/>
      <c r="AG21098" s="20"/>
      <c r="AQ21098" s="19"/>
      <c r="AR21098" s="19"/>
      <c r="AS21098" s="19"/>
      <c r="AT21098" s="19"/>
      <c r="AU21098" s="19"/>
    </row>
    <row r="21099" spans="3:47">
      <c r="C21099" s="20"/>
      <c r="Z21099" s="20"/>
      <c r="AG21099" s="20"/>
      <c r="AQ21099" s="19"/>
      <c r="AR21099" s="19"/>
      <c r="AS21099" s="19"/>
      <c r="AT21099" s="19"/>
      <c r="AU21099" s="19"/>
    </row>
    <row r="21100" spans="3:47">
      <c r="C21100" s="20"/>
      <c r="Z21100" s="20"/>
      <c r="AG21100" s="20"/>
      <c r="AQ21100" s="19"/>
      <c r="AR21100" s="19"/>
      <c r="AS21100" s="19"/>
      <c r="AT21100" s="19"/>
      <c r="AU21100" s="19"/>
    </row>
    <row r="21101" spans="3:47">
      <c r="C21101" s="20"/>
      <c r="Z21101" s="20"/>
      <c r="AG21101" s="20"/>
      <c r="AQ21101" s="19"/>
      <c r="AR21101" s="19"/>
      <c r="AS21101" s="19"/>
      <c r="AT21101" s="19"/>
      <c r="AU21101" s="19"/>
    </row>
    <row r="21102" spans="3:47">
      <c r="C21102" s="20"/>
      <c r="Z21102" s="20"/>
      <c r="AG21102" s="20"/>
      <c r="AQ21102" s="19"/>
      <c r="AR21102" s="19"/>
      <c r="AS21102" s="19"/>
      <c r="AT21102" s="19"/>
      <c r="AU21102" s="19"/>
    </row>
    <row r="21103" spans="3:47">
      <c r="C21103" s="20"/>
      <c r="Z21103" s="20"/>
      <c r="AG21103" s="20"/>
      <c r="AQ21103" s="19"/>
      <c r="AR21103" s="19"/>
      <c r="AS21103" s="19"/>
      <c r="AT21103" s="19"/>
      <c r="AU21103" s="19"/>
    </row>
    <row r="21104" spans="3:47">
      <c r="C21104" s="20"/>
      <c r="Z21104" s="20"/>
      <c r="AG21104" s="20"/>
      <c r="AQ21104" s="19"/>
      <c r="AR21104" s="19"/>
      <c r="AS21104" s="19"/>
      <c r="AT21104" s="19"/>
      <c r="AU21104" s="19"/>
    </row>
    <row r="21105" spans="3:47">
      <c r="C21105" s="20"/>
      <c r="Z21105" s="20"/>
      <c r="AG21105" s="20"/>
      <c r="AQ21105" s="19"/>
      <c r="AR21105" s="19"/>
      <c r="AS21105" s="19"/>
      <c r="AT21105" s="19"/>
      <c r="AU21105" s="19"/>
    </row>
    <row r="21106" spans="3:47">
      <c r="C21106" s="20"/>
      <c r="Z21106" s="20"/>
      <c r="AG21106" s="20"/>
      <c r="AQ21106" s="19"/>
      <c r="AR21106" s="19"/>
      <c r="AS21106" s="19"/>
      <c r="AT21106" s="19"/>
      <c r="AU21106" s="19"/>
    </row>
    <row r="21107" spans="3:47">
      <c r="C21107" s="20"/>
      <c r="Z21107" s="20"/>
      <c r="AG21107" s="20"/>
      <c r="AQ21107" s="19"/>
      <c r="AR21107" s="19"/>
      <c r="AS21107" s="19"/>
      <c r="AT21107" s="19"/>
      <c r="AU21107" s="19"/>
    </row>
    <row r="21108" spans="3:47">
      <c r="C21108" s="20"/>
      <c r="Z21108" s="20"/>
      <c r="AG21108" s="20"/>
      <c r="AQ21108" s="19"/>
      <c r="AR21108" s="19"/>
      <c r="AS21108" s="19"/>
      <c r="AT21108" s="19"/>
      <c r="AU21108" s="19"/>
    </row>
    <row r="21109" spans="3:47">
      <c r="C21109" s="20"/>
      <c r="Z21109" s="20"/>
      <c r="AG21109" s="20"/>
      <c r="AQ21109" s="19"/>
      <c r="AR21109" s="19"/>
      <c r="AS21109" s="19"/>
      <c r="AT21109" s="19"/>
      <c r="AU21109" s="19"/>
    </row>
    <row r="21110" spans="3:47">
      <c r="C21110" s="20"/>
      <c r="Z21110" s="20"/>
      <c r="AG21110" s="20"/>
      <c r="AQ21110" s="19"/>
      <c r="AR21110" s="19"/>
      <c r="AS21110" s="19"/>
      <c r="AT21110" s="19"/>
      <c r="AU21110" s="19"/>
    </row>
    <row r="21111" spans="3:47">
      <c r="C21111" s="20"/>
      <c r="Z21111" s="20"/>
      <c r="AG21111" s="20"/>
      <c r="AQ21111" s="19"/>
      <c r="AR21111" s="19"/>
      <c r="AS21111" s="19"/>
      <c r="AT21111" s="19"/>
      <c r="AU21111" s="19"/>
    </row>
    <row r="21112" spans="3:47">
      <c r="C21112" s="20"/>
      <c r="Z21112" s="20"/>
      <c r="AG21112" s="20"/>
      <c r="AQ21112" s="19"/>
      <c r="AR21112" s="19"/>
      <c r="AS21112" s="19"/>
      <c r="AT21112" s="19"/>
      <c r="AU21112" s="19"/>
    </row>
    <row r="21113" spans="3:47">
      <c r="C21113" s="20"/>
      <c r="Z21113" s="20"/>
      <c r="AG21113" s="20"/>
      <c r="AQ21113" s="19"/>
      <c r="AR21113" s="19"/>
      <c r="AS21113" s="19"/>
      <c r="AT21113" s="19"/>
      <c r="AU21113" s="19"/>
    </row>
    <row r="21114" spans="3:47">
      <c r="C21114" s="20"/>
      <c r="Z21114" s="20"/>
      <c r="AG21114" s="20"/>
      <c r="AQ21114" s="19"/>
      <c r="AR21114" s="19"/>
      <c r="AS21114" s="19"/>
      <c r="AT21114" s="19"/>
      <c r="AU21114" s="19"/>
    </row>
    <row r="21115" spans="3:47">
      <c r="C21115" s="20"/>
      <c r="Z21115" s="20"/>
      <c r="AG21115" s="20"/>
      <c r="AQ21115" s="19"/>
      <c r="AR21115" s="19"/>
      <c r="AS21115" s="19"/>
      <c r="AT21115" s="19"/>
      <c r="AU21115" s="19"/>
    </row>
    <row r="21116" spans="3:47">
      <c r="C21116" s="20"/>
      <c r="Z21116" s="20"/>
      <c r="AG21116" s="20"/>
      <c r="AQ21116" s="19"/>
      <c r="AR21116" s="19"/>
      <c r="AS21116" s="19"/>
      <c r="AT21116" s="19"/>
      <c r="AU21116" s="19"/>
    </row>
    <row r="21117" spans="3:47">
      <c r="C21117" s="20"/>
      <c r="Z21117" s="20"/>
      <c r="AG21117" s="20"/>
      <c r="AQ21117" s="19"/>
      <c r="AR21117" s="19"/>
      <c r="AS21117" s="19"/>
      <c r="AT21117" s="19"/>
      <c r="AU21117" s="19"/>
    </row>
    <row r="21118" spans="3:47">
      <c r="C21118" s="20"/>
      <c r="Z21118" s="20"/>
      <c r="AG21118" s="20"/>
      <c r="AQ21118" s="19"/>
      <c r="AR21118" s="19"/>
      <c r="AS21118" s="19"/>
      <c r="AT21118" s="19"/>
      <c r="AU21118" s="19"/>
    </row>
    <row r="21119" spans="3:47">
      <c r="C21119" s="20"/>
      <c r="Z21119" s="20"/>
      <c r="AG21119" s="20"/>
      <c r="AQ21119" s="19"/>
      <c r="AR21119" s="19"/>
      <c r="AS21119" s="19"/>
      <c r="AT21119" s="19"/>
      <c r="AU21119" s="19"/>
    </row>
    <row r="21120" spans="3:47">
      <c r="C21120" s="20"/>
      <c r="Z21120" s="20"/>
      <c r="AG21120" s="20"/>
      <c r="AQ21120" s="19"/>
      <c r="AR21120" s="19"/>
      <c r="AS21120" s="19"/>
      <c r="AT21120" s="19"/>
      <c r="AU21120" s="19"/>
    </row>
    <row r="21121" spans="3:47">
      <c r="C21121" s="20"/>
      <c r="Z21121" s="20"/>
      <c r="AG21121" s="20"/>
      <c r="AQ21121" s="19"/>
      <c r="AR21121" s="19"/>
      <c r="AS21121" s="19"/>
      <c r="AT21121" s="19"/>
      <c r="AU21121" s="19"/>
    </row>
    <row r="21122" spans="3:47">
      <c r="C21122" s="20"/>
      <c r="Z21122" s="20"/>
      <c r="AG21122" s="20"/>
      <c r="AQ21122" s="19"/>
      <c r="AR21122" s="19"/>
      <c r="AS21122" s="19"/>
      <c r="AT21122" s="19"/>
      <c r="AU21122" s="19"/>
    </row>
    <row r="21123" spans="3:47">
      <c r="C21123" s="20"/>
      <c r="Z21123" s="20"/>
      <c r="AG21123" s="20"/>
      <c r="AQ21123" s="19"/>
      <c r="AR21123" s="19"/>
      <c r="AS21123" s="19"/>
      <c r="AT21123" s="19"/>
      <c r="AU21123" s="19"/>
    </row>
    <row r="21124" spans="3:47">
      <c r="C21124" s="20"/>
      <c r="Z21124" s="20"/>
      <c r="AG21124" s="20"/>
      <c r="AQ21124" s="19"/>
      <c r="AR21124" s="19"/>
      <c r="AS21124" s="19"/>
      <c r="AT21124" s="19"/>
      <c r="AU21124" s="19"/>
    </row>
    <row r="21125" spans="3:47">
      <c r="C21125" s="20"/>
      <c r="Z21125" s="20"/>
      <c r="AG21125" s="20"/>
      <c r="AQ21125" s="19"/>
      <c r="AR21125" s="19"/>
      <c r="AS21125" s="19"/>
      <c r="AT21125" s="19"/>
      <c r="AU21125" s="19"/>
    </row>
    <row r="21126" spans="3:47">
      <c r="C21126" s="20"/>
      <c r="Z21126" s="20"/>
      <c r="AG21126" s="20"/>
      <c r="AQ21126" s="19"/>
      <c r="AR21126" s="19"/>
      <c r="AS21126" s="19"/>
      <c r="AT21126" s="19"/>
      <c r="AU21126" s="19"/>
    </row>
    <row r="21127" spans="3:47">
      <c r="C21127" s="20"/>
      <c r="Z21127" s="20"/>
      <c r="AG21127" s="20"/>
      <c r="AQ21127" s="19"/>
      <c r="AR21127" s="19"/>
      <c r="AS21127" s="19"/>
      <c r="AT21127" s="19"/>
      <c r="AU21127" s="19"/>
    </row>
    <row r="21128" spans="3:47">
      <c r="C21128" s="20"/>
      <c r="Z21128" s="20"/>
      <c r="AG21128" s="20"/>
      <c r="AQ21128" s="19"/>
      <c r="AR21128" s="19"/>
      <c r="AS21128" s="19"/>
      <c r="AT21128" s="19"/>
      <c r="AU21128" s="19"/>
    </row>
    <row r="21129" spans="3:47">
      <c r="C21129" s="20"/>
      <c r="Z21129" s="20"/>
      <c r="AG21129" s="20"/>
      <c r="AQ21129" s="19"/>
      <c r="AR21129" s="19"/>
      <c r="AS21129" s="19"/>
      <c r="AT21129" s="19"/>
      <c r="AU21129" s="19"/>
    </row>
    <row r="21130" spans="3:47">
      <c r="C21130" s="20"/>
      <c r="Z21130" s="20"/>
      <c r="AG21130" s="20"/>
      <c r="AQ21130" s="19"/>
      <c r="AR21130" s="19"/>
      <c r="AS21130" s="19"/>
      <c r="AT21130" s="19"/>
      <c r="AU21130" s="19"/>
    </row>
    <row r="21131" spans="3:47">
      <c r="C21131" s="20"/>
      <c r="Z21131" s="20"/>
      <c r="AG21131" s="20"/>
      <c r="AQ21131" s="19"/>
      <c r="AR21131" s="19"/>
      <c r="AS21131" s="19"/>
      <c r="AT21131" s="19"/>
      <c r="AU21131" s="19"/>
    </row>
    <row r="21132" spans="3:47">
      <c r="C21132" s="20"/>
      <c r="Z21132" s="20"/>
      <c r="AG21132" s="20"/>
      <c r="AQ21132" s="19"/>
      <c r="AR21132" s="19"/>
      <c r="AS21132" s="19"/>
      <c r="AT21132" s="19"/>
      <c r="AU21132" s="19"/>
    </row>
    <row r="21133" spans="3:47">
      <c r="C21133" s="20"/>
      <c r="Z21133" s="20"/>
      <c r="AG21133" s="20"/>
      <c r="AQ21133" s="19"/>
      <c r="AR21133" s="19"/>
      <c r="AS21133" s="19"/>
      <c r="AT21133" s="19"/>
      <c r="AU21133" s="19"/>
    </row>
    <row r="21134" spans="3:47">
      <c r="C21134" s="20"/>
      <c r="Z21134" s="20"/>
      <c r="AG21134" s="20"/>
      <c r="AQ21134" s="19"/>
      <c r="AR21134" s="19"/>
      <c r="AS21134" s="19"/>
      <c r="AT21134" s="19"/>
      <c r="AU21134" s="19"/>
    </row>
    <row r="21135" spans="3:47">
      <c r="C21135" s="20"/>
      <c r="Z21135" s="20"/>
      <c r="AG21135" s="20"/>
      <c r="AQ21135" s="19"/>
      <c r="AR21135" s="19"/>
      <c r="AS21135" s="19"/>
      <c r="AT21135" s="19"/>
      <c r="AU21135" s="19"/>
    </row>
    <row r="21136" spans="3:47">
      <c r="C21136" s="20"/>
      <c r="Z21136" s="20"/>
      <c r="AG21136" s="20"/>
      <c r="AQ21136" s="19"/>
      <c r="AR21136" s="19"/>
      <c r="AS21136" s="19"/>
      <c r="AT21136" s="19"/>
      <c r="AU21136" s="19"/>
    </row>
    <row r="21137" spans="3:47">
      <c r="C21137" s="20"/>
      <c r="Z21137" s="20"/>
      <c r="AG21137" s="20"/>
      <c r="AQ21137" s="19"/>
      <c r="AR21137" s="19"/>
      <c r="AS21137" s="19"/>
      <c r="AT21137" s="19"/>
      <c r="AU21137" s="19"/>
    </row>
    <row r="21138" spans="3:47">
      <c r="C21138" s="20"/>
      <c r="Z21138" s="20"/>
      <c r="AG21138" s="20"/>
      <c r="AQ21138" s="19"/>
      <c r="AR21138" s="19"/>
      <c r="AS21138" s="19"/>
      <c r="AT21138" s="19"/>
      <c r="AU21138" s="19"/>
    </row>
    <row r="21139" spans="3:47">
      <c r="C21139" s="20"/>
      <c r="Z21139" s="20"/>
      <c r="AG21139" s="20"/>
      <c r="AQ21139" s="19"/>
      <c r="AR21139" s="19"/>
      <c r="AS21139" s="19"/>
      <c r="AT21139" s="19"/>
      <c r="AU21139" s="19"/>
    </row>
    <row r="21140" spans="3:47">
      <c r="C21140" s="20"/>
      <c r="Z21140" s="20"/>
      <c r="AG21140" s="20"/>
      <c r="AQ21140" s="19"/>
      <c r="AR21140" s="19"/>
      <c r="AS21140" s="19"/>
      <c r="AT21140" s="19"/>
      <c r="AU21140" s="19"/>
    </row>
    <row r="21141" spans="3:47">
      <c r="C21141" s="20"/>
      <c r="Z21141" s="20"/>
      <c r="AG21141" s="20"/>
      <c r="AQ21141" s="19"/>
      <c r="AR21141" s="19"/>
      <c r="AS21141" s="19"/>
      <c r="AT21141" s="19"/>
      <c r="AU21141" s="19"/>
    </row>
    <row r="21142" spans="3:47">
      <c r="C21142" s="20"/>
      <c r="Z21142" s="20"/>
      <c r="AG21142" s="20"/>
      <c r="AQ21142" s="19"/>
      <c r="AR21142" s="19"/>
      <c r="AS21142" s="19"/>
      <c r="AT21142" s="19"/>
      <c r="AU21142" s="19"/>
    </row>
    <row r="21143" spans="3:47">
      <c r="C21143" s="20"/>
      <c r="Z21143" s="20"/>
      <c r="AG21143" s="20"/>
      <c r="AQ21143" s="19"/>
      <c r="AR21143" s="19"/>
      <c r="AS21143" s="19"/>
      <c r="AT21143" s="19"/>
      <c r="AU21143" s="19"/>
    </row>
    <row r="21144" spans="3:47">
      <c r="C21144" s="20"/>
      <c r="Z21144" s="20"/>
      <c r="AG21144" s="20"/>
      <c r="AQ21144" s="19"/>
      <c r="AR21144" s="19"/>
      <c r="AS21144" s="19"/>
      <c r="AT21144" s="19"/>
      <c r="AU21144" s="19"/>
    </row>
    <row r="21145" spans="3:47">
      <c r="C21145" s="20"/>
      <c r="Z21145" s="20"/>
      <c r="AG21145" s="20"/>
      <c r="AQ21145" s="19"/>
      <c r="AR21145" s="19"/>
      <c r="AS21145" s="19"/>
      <c r="AT21145" s="19"/>
      <c r="AU21145" s="19"/>
    </row>
    <row r="21146" spans="3:47">
      <c r="C21146" s="20"/>
      <c r="Z21146" s="20"/>
      <c r="AG21146" s="20"/>
      <c r="AQ21146" s="19"/>
      <c r="AR21146" s="19"/>
      <c r="AS21146" s="19"/>
      <c r="AT21146" s="19"/>
      <c r="AU21146" s="19"/>
    </row>
    <row r="21147" spans="3:47">
      <c r="C21147" s="20"/>
      <c r="Z21147" s="20"/>
      <c r="AG21147" s="20"/>
      <c r="AQ21147" s="19"/>
      <c r="AR21147" s="19"/>
      <c r="AS21147" s="19"/>
      <c r="AT21147" s="19"/>
      <c r="AU21147" s="19"/>
    </row>
    <row r="21148" spans="3:47">
      <c r="C21148" s="20"/>
      <c r="Z21148" s="20"/>
      <c r="AG21148" s="20"/>
      <c r="AQ21148" s="19"/>
      <c r="AR21148" s="19"/>
      <c r="AS21148" s="19"/>
      <c r="AT21148" s="19"/>
      <c r="AU21148" s="19"/>
    </row>
    <row r="21149" spans="3:47">
      <c r="C21149" s="20"/>
      <c r="Z21149" s="20"/>
      <c r="AG21149" s="20"/>
      <c r="AQ21149" s="19"/>
      <c r="AR21149" s="19"/>
      <c r="AS21149" s="19"/>
      <c r="AT21149" s="19"/>
      <c r="AU21149" s="19"/>
    </row>
    <row r="21150" spans="3:47">
      <c r="C21150" s="20"/>
      <c r="Z21150" s="20"/>
      <c r="AG21150" s="20"/>
      <c r="AQ21150" s="19"/>
      <c r="AR21150" s="19"/>
      <c r="AS21150" s="19"/>
      <c r="AT21150" s="19"/>
      <c r="AU21150" s="19"/>
    </row>
    <row r="21151" spans="3:47">
      <c r="C21151" s="20"/>
      <c r="Z21151" s="20"/>
      <c r="AG21151" s="20"/>
      <c r="AQ21151" s="19"/>
      <c r="AR21151" s="19"/>
      <c r="AS21151" s="19"/>
      <c r="AT21151" s="19"/>
      <c r="AU21151" s="19"/>
    </row>
    <row r="21152" spans="3:47">
      <c r="C21152" s="20"/>
      <c r="Z21152" s="20"/>
      <c r="AG21152" s="20"/>
      <c r="AQ21152" s="19"/>
      <c r="AR21152" s="19"/>
      <c r="AS21152" s="19"/>
      <c r="AT21152" s="19"/>
      <c r="AU21152" s="19"/>
    </row>
    <row r="21153" spans="3:47">
      <c r="C21153" s="20"/>
      <c r="Z21153" s="20"/>
      <c r="AG21153" s="20"/>
      <c r="AQ21153" s="19"/>
      <c r="AR21153" s="19"/>
      <c r="AS21153" s="19"/>
      <c r="AT21153" s="19"/>
      <c r="AU21153" s="19"/>
    </row>
    <row r="21154" spans="3:47">
      <c r="C21154" s="20"/>
      <c r="Z21154" s="20"/>
      <c r="AG21154" s="20"/>
      <c r="AQ21154" s="19"/>
      <c r="AR21154" s="19"/>
      <c r="AS21154" s="19"/>
      <c r="AT21154" s="19"/>
      <c r="AU21154" s="19"/>
    </row>
    <row r="21155" spans="3:47">
      <c r="C21155" s="20"/>
      <c r="Z21155" s="20"/>
      <c r="AG21155" s="20"/>
      <c r="AQ21155" s="19"/>
      <c r="AR21155" s="19"/>
      <c r="AS21155" s="19"/>
      <c r="AT21155" s="19"/>
      <c r="AU21155" s="19"/>
    </row>
    <row r="21156" spans="3:47">
      <c r="C21156" s="20"/>
      <c r="Z21156" s="20"/>
      <c r="AG21156" s="20"/>
      <c r="AQ21156" s="19"/>
      <c r="AR21156" s="19"/>
      <c r="AS21156" s="19"/>
      <c r="AT21156" s="19"/>
      <c r="AU21156" s="19"/>
    </row>
    <row r="21157" spans="3:47">
      <c r="C21157" s="20"/>
      <c r="Z21157" s="20"/>
      <c r="AG21157" s="20"/>
      <c r="AQ21157" s="19"/>
      <c r="AR21157" s="19"/>
      <c r="AS21157" s="19"/>
      <c r="AT21157" s="19"/>
      <c r="AU21157" s="19"/>
    </row>
    <row r="21158" spans="3:47">
      <c r="C21158" s="20"/>
      <c r="Z21158" s="20"/>
      <c r="AG21158" s="20"/>
      <c r="AQ21158" s="19"/>
      <c r="AR21158" s="19"/>
      <c r="AS21158" s="19"/>
      <c r="AT21158" s="19"/>
      <c r="AU21158" s="19"/>
    </row>
    <row r="21159" spans="3:47">
      <c r="C21159" s="20"/>
      <c r="Z21159" s="20"/>
      <c r="AG21159" s="20"/>
      <c r="AQ21159" s="19"/>
      <c r="AR21159" s="19"/>
      <c r="AS21159" s="19"/>
      <c r="AT21159" s="19"/>
      <c r="AU21159" s="19"/>
    </row>
    <row r="21160" spans="3:47">
      <c r="C21160" s="20"/>
      <c r="Z21160" s="20"/>
      <c r="AG21160" s="20"/>
      <c r="AQ21160" s="19"/>
      <c r="AR21160" s="19"/>
      <c r="AS21160" s="19"/>
      <c r="AT21160" s="19"/>
      <c r="AU21160" s="19"/>
    </row>
    <row r="21161" spans="3:47">
      <c r="C21161" s="20"/>
      <c r="Z21161" s="20"/>
      <c r="AG21161" s="20"/>
      <c r="AQ21161" s="19"/>
      <c r="AR21161" s="19"/>
      <c r="AS21161" s="19"/>
      <c r="AT21161" s="19"/>
      <c r="AU21161" s="19"/>
    </row>
    <row r="21162" spans="3:47">
      <c r="C21162" s="20"/>
      <c r="Z21162" s="20"/>
      <c r="AG21162" s="20"/>
      <c r="AQ21162" s="19"/>
      <c r="AR21162" s="19"/>
      <c r="AS21162" s="19"/>
      <c r="AT21162" s="19"/>
      <c r="AU21162" s="19"/>
    </row>
    <row r="21163" spans="3:47">
      <c r="C21163" s="20"/>
      <c r="Z21163" s="20"/>
      <c r="AG21163" s="20"/>
      <c r="AQ21163" s="19"/>
      <c r="AR21163" s="19"/>
      <c r="AS21163" s="19"/>
      <c r="AT21163" s="19"/>
      <c r="AU21163" s="19"/>
    </row>
    <row r="21164" spans="3:47">
      <c r="C21164" s="20"/>
      <c r="Z21164" s="20"/>
      <c r="AG21164" s="20"/>
      <c r="AQ21164" s="19"/>
      <c r="AR21164" s="19"/>
      <c r="AS21164" s="19"/>
      <c r="AT21164" s="19"/>
      <c r="AU21164" s="19"/>
    </row>
    <row r="21165" spans="3:47">
      <c r="C21165" s="20"/>
      <c r="Z21165" s="20"/>
      <c r="AG21165" s="20"/>
      <c r="AQ21165" s="19"/>
      <c r="AR21165" s="19"/>
      <c r="AS21165" s="19"/>
      <c r="AT21165" s="19"/>
      <c r="AU21165" s="19"/>
    </row>
    <row r="21166" spans="3:47">
      <c r="C21166" s="20"/>
      <c r="Z21166" s="20"/>
      <c r="AG21166" s="20"/>
      <c r="AQ21166" s="19"/>
      <c r="AR21166" s="19"/>
      <c r="AS21166" s="19"/>
      <c r="AT21166" s="19"/>
      <c r="AU21166" s="19"/>
    </row>
    <row r="21167" spans="3:47">
      <c r="C21167" s="20"/>
      <c r="Z21167" s="20"/>
      <c r="AG21167" s="20"/>
      <c r="AQ21167" s="19"/>
      <c r="AR21167" s="19"/>
      <c r="AS21167" s="19"/>
      <c r="AT21167" s="19"/>
      <c r="AU21167" s="19"/>
    </row>
    <row r="21168" spans="3:47">
      <c r="C21168" s="20"/>
      <c r="Z21168" s="20"/>
      <c r="AG21168" s="20"/>
      <c r="AQ21168" s="19"/>
      <c r="AR21168" s="19"/>
      <c r="AS21168" s="19"/>
      <c r="AT21168" s="19"/>
      <c r="AU21168" s="19"/>
    </row>
    <row r="21169" spans="3:47">
      <c r="C21169" s="20"/>
      <c r="Z21169" s="20"/>
      <c r="AG21169" s="20"/>
      <c r="AQ21169" s="19"/>
      <c r="AR21169" s="19"/>
      <c r="AS21169" s="19"/>
      <c r="AT21169" s="19"/>
      <c r="AU21169" s="19"/>
    </row>
    <row r="21170" spans="3:47">
      <c r="C21170" s="20"/>
      <c r="Z21170" s="20"/>
      <c r="AG21170" s="20"/>
      <c r="AQ21170" s="19"/>
      <c r="AR21170" s="19"/>
      <c r="AS21170" s="19"/>
      <c r="AT21170" s="19"/>
      <c r="AU21170" s="19"/>
    </row>
    <row r="21171" spans="3:47">
      <c r="C21171" s="20"/>
      <c r="Z21171" s="20"/>
      <c r="AG21171" s="20"/>
      <c r="AQ21171" s="19"/>
      <c r="AR21171" s="19"/>
      <c r="AS21171" s="19"/>
      <c r="AT21171" s="19"/>
      <c r="AU21171" s="19"/>
    </row>
    <row r="21172" spans="3:47">
      <c r="C21172" s="20"/>
      <c r="Z21172" s="20"/>
      <c r="AG21172" s="20"/>
      <c r="AQ21172" s="19"/>
      <c r="AR21172" s="19"/>
      <c r="AS21172" s="19"/>
      <c r="AT21172" s="19"/>
      <c r="AU21172" s="19"/>
    </row>
    <row r="21173" spans="3:47">
      <c r="C21173" s="20"/>
      <c r="Z21173" s="20"/>
      <c r="AG21173" s="20"/>
      <c r="AQ21173" s="19"/>
      <c r="AR21173" s="19"/>
      <c r="AS21173" s="19"/>
      <c r="AT21173" s="19"/>
      <c r="AU21173" s="19"/>
    </row>
    <row r="21174" spans="3:47">
      <c r="C21174" s="20"/>
      <c r="Z21174" s="20"/>
      <c r="AG21174" s="20"/>
      <c r="AQ21174" s="19"/>
      <c r="AR21174" s="19"/>
      <c r="AS21174" s="19"/>
      <c r="AT21174" s="19"/>
      <c r="AU21174" s="19"/>
    </row>
    <row r="21175" spans="3:47">
      <c r="C21175" s="20"/>
      <c r="Z21175" s="20"/>
      <c r="AG21175" s="20"/>
      <c r="AQ21175" s="19"/>
      <c r="AR21175" s="19"/>
      <c r="AS21175" s="19"/>
      <c r="AT21175" s="19"/>
      <c r="AU21175" s="19"/>
    </row>
    <row r="21176" spans="3:47">
      <c r="C21176" s="20"/>
      <c r="Z21176" s="20"/>
      <c r="AG21176" s="20"/>
      <c r="AQ21176" s="19"/>
      <c r="AR21176" s="19"/>
      <c r="AS21176" s="19"/>
      <c r="AT21176" s="19"/>
      <c r="AU21176" s="19"/>
    </row>
    <row r="21177" spans="3:47">
      <c r="C21177" s="20"/>
      <c r="Z21177" s="20"/>
      <c r="AG21177" s="20"/>
      <c r="AQ21177" s="19"/>
      <c r="AR21177" s="19"/>
      <c r="AS21177" s="19"/>
      <c r="AT21177" s="19"/>
      <c r="AU21177" s="19"/>
    </row>
    <row r="21178" spans="3:47">
      <c r="C21178" s="20"/>
      <c r="Z21178" s="20"/>
      <c r="AG21178" s="20"/>
      <c r="AQ21178" s="19"/>
      <c r="AR21178" s="19"/>
      <c r="AS21178" s="19"/>
      <c r="AT21178" s="19"/>
      <c r="AU21178" s="19"/>
    </row>
    <row r="21179" spans="3:47">
      <c r="C21179" s="20"/>
      <c r="Z21179" s="20"/>
      <c r="AG21179" s="20"/>
      <c r="AQ21179" s="19"/>
      <c r="AR21179" s="19"/>
      <c r="AS21179" s="19"/>
      <c r="AT21179" s="19"/>
      <c r="AU21179" s="19"/>
    </row>
    <row r="21180" spans="3:47">
      <c r="C21180" s="20"/>
      <c r="Z21180" s="20"/>
      <c r="AG21180" s="20"/>
      <c r="AQ21180" s="19"/>
      <c r="AR21180" s="19"/>
      <c r="AS21180" s="19"/>
      <c r="AT21180" s="19"/>
      <c r="AU21180" s="19"/>
    </row>
    <row r="21181" spans="3:47">
      <c r="C21181" s="20"/>
      <c r="Z21181" s="20"/>
      <c r="AG21181" s="20"/>
      <c r="AQ21181" s="19"/>
      <c r="AR21181" s="19"/>
      <c r="AS21181" s="19"/>
      <c r="AT21181" s="19"/>
      <c r="AU21181" s="19"/>
    </row>
    <row r="21182" spans="3:47">
      <c r="C21182" s="20"/>
      <c r="Z21182" s="20"/>
      <c r="AG21182" s="20"/>
      <c r="AQ21182" s="19"/>
      <c r="AR21182" s="19"/>
      <c r="AS21182" s="19"/>
      <c r="AT21182" s="19"/>
      <c r="AU21182" s="19"/>
    </row>
    <row r="21183" spans="3:47">
      <c r="C21183" s="20"/>
      <c r="Z21183" s="20"/>
      <c r="AG21183" s="20"/>
      <c r="AQ21183" s="19"/>
      <c r="AR21183" s="19"/>
      <c r="AS21183" s="19"/>
      <c r="AT21183" s="19"/>
      <c r="AU21183" s="19"/>
    </row>
    <row r="21184" spans="3:47">
      <c r="C21184" s="20"/>
      <c r="Z21184" s="20"/>
      <c r="AG21184" s="20"/>
      <c r="AQ21184" s="19"/>
      <c r="AR21184" s="19"/>
      <c r="AS21184" s="19"/>
      <c r="AT21184" s="19"/>
      <c r="AU21184" s="19"/>
    </row>
    <row r="21185" spans="3:47">
      <c r="C21185" s="20"/>
      <c r="Z21185" s="20"/>
      <c r="AG21185" s="20"/>
      <c r="AQ21185" s="19"/>
      <c r="AR21185" s="19"/>
      <c r="AS21185" s="19"/>
      <c r="AT21185" s="19"/>
      <c r="AU21185" s="19"/>
    </row>
    <row r="21186" spans="3:47">
      <c r="C21186" s="20"/>
      <c r="Z21186" s="20"/>
      <c r="AG21186" s="20"/>
      <c r="AQ21186" s="19"/>
      <c r="AR21186" s="19"/>
      <c r="AS21186" s="19"/>
      <c r="AT21186" s="19"/>
      <c r="AU21186" s="19"/>
    </row>
    <row r="21187" spans="3:47">
      <c r="C21187" s="20"/>
      <c r="Z21187" s="20"/>
      <c r="AG21187" s="20"/>
      <c r="AQ21187" s="19"/>
      <c r="AR21187" s="19"/>
      <c r="AS21187" s="19"/>
      <c r="AT21187" s="19"/>
      <c r="AU21187" s="19"/>
    </row>
    <row r="21188" spans="3:47">
      <c r="C21188" s="20"/>
      <c r="Z21188" s="20"/>
      <c r="AG21188" s="20"/>
      <c r="AQ21188" s="19"/>
      <c r="AR21188" s="19"/>
      <c r="AS21188" s="19"/>
      <c r="AT21188" s="19"/>
      <c r="AU21188" s="19"/>
    </row>
    <row r="21189" spans="3:47">
      <c r="C21189" s="20"/>
      <c r="Z21189" s="20"/>
      <c r="AG21189" s="20"/>
      <c r="AQ21189" s="19"/>
      <c r="AR21189" s="19"/>
      <c r="AS21189" s="19"/>
      <c r="AT21189" s="19"/>
      <c r="AU21189" s="19"/>
    </row>
    <row r="21190" spans="3:47">
      <c r="C21190" s="20"/>
      <c r="Z21190" s="20"/>
      <c r="AG21190" s="20"/>
      <c r="AQ21190" s="19"/>
      <c r="AR21190" s="19"/>
      <c r="AS21190" s="19"/>
      <c r="AT21190" s="19"/>
      <c r="AU21190" s="19"/>
    </row>
    <row r="21191" spans="3:47">
      <c r="C21191" s="20"/>
      <c r="Z21191" s="20"/>
      <c r="AG21191" s="20"/>
      <c r="AQ21191" s="19"/>
      <c r="AR21191" s="19"/>
      <c r="AS21191" s="19"/>
      <c r="AT21191" s="19"/>
      <c r="AU21191" s="19"/>
    </row>
    <row r="21192" spans="3:47">
      <c r="C21192" s="20"/>
      <c r="Z21192" s="20"/>
      <c r="AG21192" s="20"/>
      <c r="AQ21192" s="19"/>
      <c r="AR21192" s="19"/>
      <c r="AS21192" s="19"/>
      <c r="AT21192" s="19"/>
      <c r="AU21192" s="19"/>
    </row>
    <row r="21193" spans="3:47">
      <c r="C21193" s="20"/>
      <c r="Z21193" s="20"/>
      <c r="AG21193" s="20"/>
      <c r="AQ21193" s="19"/>
      <c r="AR21193" s="19"/>
      <c r="AS21193" s="19"/>
      <c r="AT21193" s="19"/>
      <c r="AU21193" s="19"/>
    </row>
    <row r="21194" spans="3:47">
      <c r="C21194" s="20"/>
      <c r="Z21194" s="20"/>
      <c r="AG21194" s="20"/>
      <c r="AQ21194" s="19"/>
      <c r="AR21194" s="19"/>
      <c r="AS21194" s="19"/>
      <c r="AT21194" s="19"/>
      <c r="AU21194" s="19"/>
    </row>
    <row r="21195" spans="3:47">
      <c r="C21195" s="20"/>
      <c r="Z21195" s="20"/>
      <c r="AG21195" s="20"/>
      <c r="AQ21195" s="19"/>
      <c r="AR21195" s="19"/>
      <c r="AS21195" s="19"/>
      <c r="AT21195" s="19"/>
      <c r="AU21195" s="19"/>
    </row>
    <row r="21196" spans="3:47">
      <c r="C21196" s="20"/>
      <c r="Z21196" s="20"/>
      <c r="AG21196" s="20"/>
      <c r="AQ21196" s="19"/>
      <c r="AR21196" s="19"/>
      <c r="AS21196" s="19"/>
      <c r="AT21196" s="19"/>
      <c r="AU21196" s="19"/>
    </row>
    <row r="21197" spans="3:47">
      <c r="C21197" s="20"/>
      <c r="Z21197" s="20"/>
      <c r="AG21197" s="20"/>
      <c r="AQ21197" s="19"/>
      <c r="AR21197" s="19"/>
      <c r="AS21197" s="19"/>
      <c r="AT21197" s="19"/>
      <c r="AU21197" s="19"/>
    </row>
    <row r="21198" spans="3:47">
      <c r="C21198" s="20"/>
      <c r="Z21198" s="20"/>
      <c r="AG21198" s="20"/>
      <c r="AQ21198" s="19"/>
      <c r="AR21198" s="19"/>
      <c r="AS21198" s="19"/>
      <c r="AT21198" s="19"/>
      <c r="AU21198" s="19"/>
    </row>
    <row r="21199" spans="3:47">
      <c r="C21199" s="20"/>
      <c r="Z21199" s="20"/>
      <c r="AG21199" s="20"/>
      <c r="AQ21199" s="19"/>
      <c r="AR21199" s="19"/>
      <c r="AS21199" s="19"/>
      <c r="AT21199" s="19"/>
      <c r="AU21199" s="19"/>
    </row>
    <row r="21200" spans="3:47">
      <c r="C21200" s="20"/>
      <c r="Z21200" s="20"/>
      <c r="AG21200" s="20"/>
      <c r="AQ21200" s="19"/>
      <c r="AR21200" s="19"/>
      <c r="AS21200" s="19"/>
      <c r="AT21200" s="19"/>
      <c r="AU21200" s="19"/>
    </row>
    <row r="21201" spans="3:47">
      <c r="C21201" s="20"/>
      <c r="Z21201" s="20"/>
      <c r="AG21201" s="20"/>
      <c r="AQ21201" s="19"/>
      <c r="AR21201" s="19"/>
      <c r="AS21201" s="19"/>
      <c r="AT21201" s="19"/>
      <c r="AU21201" s="19"/>
    </row>
    <row r="21202" spans="3:47">
      <c r="C21202" s="20"/>
      <c r="Z21202" s="20"/>
      <c r="AG21202" s="20"/>
      <c r="AQ21202" s="19"/>
      <c r="AR21202" s="19"/>
      <c r="AS21202" s="19"/>
      <c r="AT21202" s="19"/>
      <c r="AU21202" s="19"/>
    </row>
    <row r="21203" spans="3:47">
      <c r="C21203" s="20"/>
      <c r="Z21203" s="20"/>
      <c r="AG21203" s="20"/>
      <c r="AQ21203" s="19"/>
      <c r="AR21203" s="19"/>
      <c r="AS21203" s="19"/>
      <c r="AT21203" s="19"/>
      <c r="AU21203" s="19"/>
    </row>
    <row r="21204" spans="3:47">
      <c r="C21204" s="20"/>
      <c r="Z21204" s="20"/>
      <c r="AG21204" s="20"/>
      <c r="AQ21204" s="19"/>
      <c r="AR21204" s="19"/>
      <c r="AS21204" s="19"/>
      <c r="AT21204" s="19"/>
      <c r="AU21204" s="19"/>
    </row>
    <row r="21205" spans="3:47">
      <c r="C21205" s="20"/>
      <c r="Z21205" s="20"/>
      <c r="AG21205" s="20"/>
      <c r="AQ21205" s="19"/>
      <c r="AR21205" s="19"/>
      <c r="AS21205" s="19"/>
      <c r="AT21205" s="19"/>
      <c r="AU21205" s="19"/>
    </row>
    <row r="21206" spans="3:47">
      <c r="C21206" s="20"/>
      <c r="Z21206" s="20"/>
      <c r="AG21206" s="20"/>
      <c r="AQ21206" s="19"/>
      <c r="AR21206" s="19"/>
      <c r="AS21206" s="19"/>
      <c r="AT21206" s="19"/>
      <c r="AU21206" s="19"/>
    </row>
    <row r="21207" spans="3:47">
      <c r="C21207" s="20"/>
      <c r="Z21207" s="20"/>
      <c r="AG21207" s="20"/>
      <c r="AQ21207" s="19"/>
      <c r="AR21207" s="19"/>
      <c r="AS21207" s="19"/>
      <c r="AT21207" s="19"/>
      <c r="AU21207" s="19"/>
    </row>
    <row r="21208" spans="3:47">
      <c r="C21208" s="20"/>
      <c r="Z21208" s="20"/>
      <c r="AG21208" s="20"/>
      <c r="AQ21208" s="19"/>
      <c r="AR21208" s="19"/>
      <c r="AS21208" s="19"/>
      <c r="AT21208" s="19"/>
      <c r="AU21208" s="19"/>
    </row>
    <row r="21209" spans="3:47">
      <c r="C21209" s="20"/>
      <c r="Z21209" s="20"/>
      <c r="AG21209" s="20"/>
      <c r="AQ21209" s="19"/>
      <c r="AR21209" s="19"/>
      <c r="AS21209" s="19"/>
      <c r="AT21209" s="19"/>
      <c r="AU21209" s="19"/>
    </row>
    <row r="21210" spans="3:47">
      <c r="C21210" s="20"/>
      <c r="Z21210" s="20"/>
      <c r="AG21210" s="20"/>
      <c r="AQ21210" s="19"/>
      <c r="AR21210" s="19"/>
      <c r="AS21210" s="19"/>
      <c r="AT21210" s="19"/>
      <c r="AU21210" s="19"/>
    </row>
    <row r="21211" spans="3:47">
      <c r="C21211" s="20"/>
      <c r="Z21211" s="20"/>
      <c r="AG21211" s="20"/>
      <c r="AQ21211" s="19"/>
      <c r="AR21211" s="19"/>
      <c r="AS21211" s="19"/>
      <c r="AT21211" s="19"/>
      <c r="AU21211" s="19"/>
    </row>
    <row r="21212" spans="3:47">
      <c r="C21212" s="20"/>
      <c r="Z21212" s="20"/>
      <c r="AG21212" s="20"/>
      <c r="AQ21212" s="19"/>
      <c r="AR21212" s="19"/>
      <c r="AS21212" s="19"/>
      <c r="AT21212" s="19"/>
      <c r="AU21212" s="19"/>
    </row>
    <row r="21213" spans="3:47">
      <c r="C21213" s="20"/>
      <c r="Z21213" s="20"/>
      <c r="AG21213" s="20"/>
      <c r="AQ21213" s="19"/>
      <c r="AR21213" s="19"/>
      <c r="AS21213" s="19"/>
      <c r="AT21213" s="19"/>
      <c r="AU21213" s="19"/>
    </row>
    <row r="21214" spans="3:47">
      <c r="C21214" s="20"/>
      <c r="Z21214" s="20"/>
      <c r="AG21214" s="20"/>
      <c r="AQ21214" s="19"/>
      <c r="AR21214" s="19"/>
      <c r="AS21214" s="19"/>
      <c r="AT21214" s="19"/>
      <c r="AU21214" s="19"/>
    </row>
    <row r="21215" spans="3:47">
      <c r="C21215" s="20"/>
      <c r="Z21215" s="20"/>
      <c r="AG21215" s="20"/>
      <c r="AQ21215" s="19"/>
      <c r="AR21215" s="19"/>
      <c r="AS21215" s="19"/>
      <c r="AT21215" s="19"/>
      <c r="AU21215" s="19"/>
    </row>
    <row r="21216" spans="3:47">
      <c r="C21216" s="20"/>
      <c r="Z21216" s="20"/>
      <c r="AG21216" s="20"/>
      <c r="AQ21216" s="19"/>
      <c r="AR21216" s="19"/>
      <c r="AS21216" s="19"/>
      <c r="AT21216" s="19"/>
      <c r="AU21216" s="19"/>
    </row>
    <row r="21217" spans="3:47">
      <c r="C21217" s="20"/>
      <c r="Z21217" s="20"/>
      <c r="AG21217" s="20"/>
      <c r="AQ21217" s="19"/>
      <c r="AR21217" s="19"/>
      <c r="AS21217" s="19"/>
      <c r="AT21217" s="19"/>
      <c r="AU21217" s="19"/>
    </row>
    <row r="21218" spans="3:47">
      <c r="C21218" s="20"/>
      <c r="Z21218" s="20"/>
      <c r="AG21218" s="20"/>
      <c r="AQ21218" s="19"/>
      <c r="AR21218" s="19"/>
      <c r="AS21218" s="19"/>
      <c r="AT21218" s="19"/>
      <c r="AU21218" s="19"/>
    </row>
    <row r="21219" spans="3:47">
      <c r="C21219" s="20"/>
      <c r="Z21219" s="20"/>
      <c r="AG21219" s="20"/>
      <c r="AQ21219" s="19"/>
      <c r="AR21219" s="19"/>
      <c r="AS21219" s="19"/>
      <c r="AT21219" s="19"/>
      <c r="AU21219" s="19"/>
    </row>
    <row r="21220" spans="3:47">
      <c r="C21220" s="20"/>
      <c r="Z21220" s="20"/>
      <c r="AG21220" s="20"/>
      <c r="AQ21220" s="19"/>
      <c r="AR21220" s="19"/>
      <c r="AS21220" s="19"/>
      <c r="AT21220" s="19"/>
      <c r="AU21220" s="19"/>
    </row>
    <row r="21221" spans="3:47">
      <c r="C21221" s="20"/>
      <c r="Z21221" s="20"/>
      <c r="AG21221" s="20"/>
      <c r="AQ21221" s="19"/>
      <c r="AR21221" s="19"/>
      <c r="AS21221" s="19"/>
      <c r="AT21221" s="19"/>
      <c r="AU21221" s="19"/>
    </row>
    <row r="21222" spans="3:47">
      <c r="C21222" s="20"/>
      <c r="Z21222" s="20"/>
      <c r="AG21222" s="20"/>
      <c r="AQ21222" s="19"/>
      <c r="AR21222" s="19"/>
      <c r="AS21222" s="19"/>
      <c r="AT21222" s="19"/>
      <c r="AU21222" s="19"/>
    </row>
    <row r="21223" spans="3:47">
      <c r="C21223" s="20"/>
      <c r="Z21223" s="20"/>
      <c r="AG21223" s="20"/>
      <c r="AQ21223" s="19"/>
      <c r="AR21223" s="19"/>
      <c r="AS21223" s="19"/>
      <c r="AT21223" s="19"/>
      <c r="AU21223" s="19"/>
    </row>
    <row r="21224" spans="3:47">
      <c r="C21224" s="20"/>
      <c r="Z21224" s="20"/>
      <c r="AG21224" s="20"/>
      <c r="AQ21224" s="19"/>
      <c r="AR21224" s="19"/>
      <c r="AS21224" s="19"/>
      <c r="AT21224" s="19"/>
      <c r="AU21224" s="19"/>
    </row>
    <row r="21225" spans="3:47">
      <c r="C21225" s="20"/>
      <c r="Z21225" s="20"/>
      <c r="AG21225" s="20"/>
      <c r="AQ21225" s="19"/>
      <c r="AR21225" s="19"/>
      <c r="AS21225" s="19"/>
      <c r="AT21225" s="19"/>
      <c r="AU21225" s="19"/>
    </row>
    <row r="21226" spans="3:47">
      <c r="C21226" s="20"/>
      <c r="Z21226" s="20"/>
      <c r="AG21226" s="20"/>
      <c r="AQ21226" s="19"/>
      <c r="AR21226" s="19"/>
      <c r="AS21226" s="19"/>
      <c r="AT21226" s="19"/>
      <c r="AU21226" s="19"/>
    </row>
    <row r="21227" spans="3:47">
      <c r="C21227" s="20"/>
      <c r="Z21227" s="20"/>
      <c r="AG21227" s="20"/>
      <c r="AQ21227" s="19"/>
      <c r="AR21227" s="19"/>
      <c r="AS21227" s="19"/>
      <c r="AT21227" s="19"/>
      <c r="AU21227" s="19"/>
    </row>
    <row r="21228" spans="3:47">
      <c r="C21228" s="20"/>
      <c r="Z21228" s="20"/>
      <c r="AG21228" s="20"/>
      <c r="AQ21228" s="19"/>
      <c r="AR21228" s="19"/>
      <c r="AS21228" s="19"/>
      <c r="AT21228" s="19"/>
      <c r="AU21228" s="19"/>
    </row>
    <row r="21229" spans="3:47">
      <c r="C21229" s="20"/>
      <c r="Z21229" s="20"/>
      <c r="AG21229" s="20"/>
      <c r="AQ21229" s="19"/>
      <c r="AR21229" s="19"/>
      <c r="AS21229" s="19"/>
      <c r="AT21229" s="19"/>
      <c r="AU21229" s="19"/>
    </row>
    <row r="21230" spans="3:47">
      <c r="C21230" s="20"/>
      <c r="Z21230" s="20"/>
      <c r="AG21230" s="20"/>
      <c r="AQ21230" s="19"/>
      <c r="AR21230" s="19"/>
      <c r="AS21230" s="19"/>
      <c r="AT21230" s="19"/>
      <c r="AU21230" s="19"/>
    </row>
    <row r="21231" spans="3:47">
      <c r="C21231" s="20"/>
      <c r="Z21231" s="20"/>
      <c r="AG21231" s="20"/>
      <c r="AQ21231" s="19"/>
      <c r="AR21231" s="19"/>
      <c r="AS21231" s="19"/>
      <c r="AT21231" s="19"/>
      <c r="AU21231" s="19"/>
    </row>
    <row r="21232" spans="3:47">
      <c r="C21232" s="20"/>
      <c r="Z21232" s="20"/>
      <c r="AG21232" s="20"/>
      <c r="AQ21232" s="19"/>
      <c r="AR21232" s="19"/>
      <c r="AS21232" s="19"/>
      <c r="AT21232" s="19"/>
      <c r="AU21232" s="19"/>
    </row>
    <row r="21233" spans="3:47">
      <c r="C21233" s="20"/>
      <c r="Z21233" s="20"/>
      <c r="AG21233" s="20"/>
      <c r="AQ21233" s="19"/>
      <c r="AR21233" s="19"/>
      <c r="AS21233" s="19"/>
      <c r="AT21233" s="19"/>
      <c r="AU21233" s="19"/>
    </row>
    <row r="21234" spans="3:47">
      <c r="C21234" s="20"/>
      <c r="Z21234" s="20"/>
      <c r="AG21234" s="20"/>
      <c r="AQ21234" s="19"/>
      <c r="AR21234" s="19"/>
      <c r="AS21234" s="19"/>
      <c r="AT21234" s="19"/>
      <c r="AU21234" s="19"/>
    </row>
    <row r="21235" spans="3:47">
      <c r="C21235" s="20"/>
      <c r="Z21235" s="20"/>
      <c r="AG21235" s="20"/>
      <c r="AQ21235" s="19"/>
      <c r="AR21235" s="19"/>
      <c r="AS21235" s="19"/>
      <c r="AT21235" s="19"/>
      <c r="AU21235" s="19"/>
    </row>
    <row r="21236" spans="3:47">
      <c r="C21236" s="20"/>
      <c r="Z21236" s="20"/>
      <c r="AG21236" s="20"/>
      <c r="AQ21236" s="19"/>
      <c r="AR21236" s="19"/>
      <c r="AS21236" s="19"/>
      <c r="AT21236" s="19"/>
      <c r="AU21236" s="19"/>
    </row>
    <row r="21237" spans="3:47">
      <c r="C21237" s="20"/>
      <c r="Z21237" s="20"/>
      <c r="AG21237" s="20"/>
      <c r="AQ21237" s="19"/>
      <c r="AR21237" s="19"/>
      <c r="AS21237" s="19"/>
      <c r="AT21237" s="19"/>
      <c r="AU21237" s="19"/>
    </row>
    <row r="21238" spans="3:47">
      <c r="C21238" s="20"/>
      <c r="Z21238" s="20"/>
      <c r="AG21238" s="20"/>
      <c r="AQ21238" s="19"/>
      <c r="AR21238" s="19"/>
      <c r="AS21238" s="19"/>
      <c r="AT21238" s="19"/>
      <c r="AU21238" s="19"/>
    </row>
    <row r="21239" spans="3:47">
      <c r="C21239" s="20"/>
      <c r="Z21239" s="20"/>
      <c r="AG21239" s="20"/>
      <c r="AQ21239" s="19"/>
      <c r="AR21239" s="19"/>
      <c r="AS21239" s="19"/>
      <c r="AT21239" s="19"/>
      <c r="AU21239" s="19"/>
    </row>
    <row r="21240" spans="3:47">
      <c r="C21240" s="20"/>
      <c r="Z21240" s="20"/>
      <c r="AG21240" s="20"/>
      <c r="AQ21240" s="19"/>
      <c r="AR21240" s="19"/>
      <c r="AS21240" s="19"/>
      <c r="AT21240" s="19"/>
      <c r="AU21240" s="19"/>
    </row>
    <row r="21241" spans="3:47">
      <c r="C21241" s="20"/>
      <c r="Z21241" s="20"/>
      <c r="AG21241" s="20"/>
      <c r="AQ21241" s="19"/>
      <c r="AR21241" s="19"/>
      <c r="AS21241" s="19"/>
      <c r="AT21241" s="19"/>
      <c r="AU21241" s="19"/>
    </row>
    <row r="21242" spans="3:47">
      <c r="C21242" s="20"/>
      <c r="Z21242" s="20"/>
      <c r="AG21242" s="20"/>
      <c r="AQ21242" s="19"/>
      <c r="AR21242" s="19"/>
      <c r="AS21242" s="19"/>
      <c r="AT21242" s="19"/>
      <c r="AU21242" s="19"/>
    </row>
    <row r="21243" spans="3:47">
      <c r="C21243" s="20"/>
      <c r="Z21243" s="20"/>
      <c r="AG21243" s="20"/>
      <c r="AQ21243" s="19"/>
      <c r="AR21243" s="19"/>
      <c r="AS21243" s="19"/>
      <c r="AT21243" s="19"/>
      <c r="AU21243" s="19"/>
    </row>
    <row r="21244" spans="3:47">
      <c r="C21244" s="20"/>
      <c r="Z21244" s="20"/>
      <c r="AG21244" s="20"/>
      <c r="AQ21244" s="19"/>
      <c r="AR21244" s="19"/>
      <c r="AS21244" s="19"/>
      <c r="AT21244" s="19"/>
      <c r="AU21244" s="19"/>
    </row>
    <row r="21245" spans="3:47">
      <c r="C21245" s="20"/>
      <c r="Z21245" s="20"/>
      <c r="AG21245" s="20"/>
      <c r="AQ21245" s="19"/>
      <c r="AR21245" s="19"/>
      <c r="AS21245" s="19"/>
      <c r="AT21245" s="19"/>
      <c r="AU21245" s="19"/>
    </row>
    <row r="21246" spans="3:47">
      <c r="C21246" s="20"/>
      <c r="Z21246" s="20"/>
      <c r="AG21246" s="20"/>
      <c r="AQ21246" s="19"/>
      <c r="AR21246" s="19"/>
      <c r="AS21246" s="19"/>
      <c r="AT21246" s="19"/>
      <c r="AU21246" s="19"/>
    </row>
    <row r="21247" spans="3:47">
      <c r="C21247" s="20"/>
      <c r="Z21247" s="20"/>
      <c r="AG21247" s="20"/>
      <c r="AQ21247" s="19"/>
      <c r="AR21247" s="19"/>
      <c r="AS21247" s="19"/>
      <c r="AT21247" s="19"/>
      <c r="AU21247" s="19"/>
    </row>
    <row r="21248" spans="3:47">
      <c r="C21248" s="20"/>
      <c r="Z21248" s="20"/>
      <c r="AG21248" s="20"/>
      <c r="AQ21248" s="19"/>
      <c r="AR21248" s="19"/>
      <c r="AS21248" s="19"/>
      <c r="AT21248" s="19"/>
      <c r="AU21248" s="19"/>
    </row>
    <row r="21249" spans="3:47">
      <c r="C21249" s="20"/>
      <c r="Z21249" s="20"/>
      <c r="AG21249" s="20"/>
      <c r="AQ21249" s="19"/>
      <c r="AR21249" s="19"/>
      <c r="AS21249" s="19"/>
      <c r="AT21249" s="19"/>
      <c r="AU21249" s="19"/>
    </row>
    <row r="21250" spans="3:47">
      <c r="C21250" s="20"/>
      <c r="Z21250" s="20"/>
      <c r="AG21250" s="20"/>
      <c r="AQ21250" s="19"/>
      <c r="AR21250" s="19"/>
      <c r="AS21250" s="19"/>
      <c r="AT21250" s="19"/>
      <c r="AU21250" s="19"/>
    </row>
    <row r="21251" spans="3:47">
      <c r="C21251" s="20"/>
      <c r="Z21251" s="20"/>
      <c r="AG21251" s="20"/>
      <c r="AQ21251" s="19"/>
      <c r="AR21251" s="19"/>
      <c r="AS21251" s="19"/>
      <c r="AT21251" s="19"/>
      <c r="AU21251" s="19"/>
    </row>
    <row r="21252" spans="3:47">
      <c r="C21252" s="20"/>
      <c r="Z21252" s="20"/>
      <c r="AG21252" s="20"/>
      <c r="AQ21252" s="19"/>
      <c r="AR21252" s="19"/>
      <c r="AS21252" s="19"/>
      <c r="AT21252" s="19"/>
      <c r="AU21252" s="19"/>
    </row>
    <row r="21253" spans="3:47">
      <c r="C21253" s="20"/>
      <c r="Z21253" s="20"/>
      <c r="AG21253" s="20"/>
      <c r="AQ21253" s="19"/>
      <c r="AR21253" s="19"/>
      <c r="AS21253" s="19"/>
      <c r="AT21253" s="19"/>
      <c r="AU21253" s="19"/>
    </row>
    <row r="21254" spans="3:47">
      <c r="C21254" s="20"/>
      <c r="Z21254" s="20"/>
      <c r="AG21254" s="20"/>
      <c r="AQ21254" s="19"/>
      <c r="AR21254" s="19"/>
      <c r="AS21254" s="19"/>
      <c r="AT21254" s="19"/>
      <c r="AU21254" s="19"/>
    </row>
    <row r="21255" spans="3:47">
      <c r="C21255" s="20"/>
      <c r="Z21255" s="20"/>
      <c r="AG21255" s="20"/>
      <c r="AQ21255" s="19"/>
      <c r="AR21255" s="19"/>
      <c r="AS21255" s="19"/>
      <c r="AT21255" s="19"/>
      <c r="AU21255" s="19"/>
    </row>
    <row r="21256" spans="3:47">
      <c r="C21256" s="20"/>
      <c r="Z21256" s="20"/>
      <c r="AG21256" s="20"/>
      <c r="AQ21256" s="19"/>
      <c r="AR21256" s="19"/>
      <c r="AS21256" s="19"/>
      <c r="AT21256" s="19"/>
      <c r="AU21256" s="19"/>
    </row>
    <row r="21257" spans="3:47">
      <c r="C21257" s="20"/>
      <c r="Z21257" s="20"/>
      <c r="AG21257" s="20"/>
      <c r="AQ21257" s="19"/>
      <c r="AR21257" s="19"/>
      <c r="AS21257" s="19"/>
      <c r="AT21257" s="19"/>
      <c r="AU21257" s="19"/>
    </row>
    <row r="21258" spans="3:47">
      <c r="C21258" s="20"/>
      <c r="Z21258" s="20"/>
      <c r="AG21258" s="20"/>
      <c r="AQ21258" s="19"/>
      <c r="AR21258" s="19"/>
      <c r="AS21258" s="19"/>
      <c r="AT21258" s="19"/>
      <c r="AU21258" s="19"/>
    </row>
    <row r="21259" spans="3:47">
      <c r="C21259" s="20"/>
      <c r="Z21259" s="20"/>
      <c r="AG21259" s="20"/>
      <c r="AQ21259" s="19"/>
      <c r="AR21259" s="19"/>
      <c r="AS21259" s="19"/>
      <c r="AT21259" s="19"/>
      <c r="AU21259" s="19"/>
    </row>
    <row r="21260" spans="3:47">
      <c r="C21260" s="20"/>
      <c r="Z21260" s="20"/>
      <c r="AG21260" s="20"/>
      <c r="AQ21260" s="19"/>
      <c r="AR21260" s="19"/>
      <c r="AS21260" s="19"/>
      <c r="AT21260" s="19"/>
      <c r="AU21260" s="19"/>
    </row>
    <row r="21261" spans="3:47">
      <c r="C21261" s="20"/>
      <c r="Z21261" s="20"/>
      <c r="AG21261" s="20"/>
      <c r="AQ21261" s="19"/>
      <c r="AR21261" s="19"/>
      <c r="AS21261" s="19"/>
      <c r="AT21261" s="19"/>
      <c r="AU21261" s="19"/>
    </row>
    <row r="21262" spans="3:47">
      <c r="C21262" s="20"/>
      <c r="Z21262" s="20"/>
      <c r="AG21262" s="20"/>
      <c r="AQ21262" s="19"/>
      <c r="AR21262" s="19"/>
      <c r="AS21262" s="19"/>
      <c r="AT21262" s="19"/>
      <c r="AU21262" s="19"/>
    </row>
    <row r="21263" spans="3:47">
      <c r="C21263" s="20"/>
      <c r="Z21263" s="20"/>
      <c r="AG21263" s="20"/>
      <c r="AQ21263" s="19"/>
      <c r="AR21263" s="19"/>
      <c r="AS21263" s="19"/>
      <c r="AT21263" s="19"/>
      <c r="AU21263" s="19"/>
    </row>
    <row r="21264" spans="3:47">
      <c r="C21264" s="20"/>
      <c r="Z21264" s="20"/>
      <c r="AG21264" s="20"/>
      <c r="AQ21264" s="19"/>
      <c r="AR21264" s="19"/>
      <c r="AS21264" s="19"/>
      <c r="AT21264" s="19"/>
      <c r="AU21264" s="19"/>
    </row>
    <row r="21265" spans="3:47">
      <c r="C21265" s="20"/>
      <c r="Z21265" s="20"/>
      <c r="AG21265" s="20"/>
      <c r="AQ21265" s="19"/>
      <c r="AR21265" s="19"/>
      <c r="AS21265" s="19"/>
      <c r="AT21265" s="19"/>
      <c r="AU21265" s="19"/>
    </row>
    <row r="21266" spans="3:47">
      <c r="C21266" s="20"/>
      <c r="Z21266" s="20"/>
      <c r="AG21266" s="20"/>
      <c r="AQ21266" s="19"/>
      <c r="AR21266" s="19"/>
      <c r="AS21266" s="19"/>
      <c r="AT21266" s="19"/>
      <c r="AU21266" s="19"/>
    </row>
    <row r="21267" spans="3:47">
      <c r="C21267" s="20"/>
      <c r="Z21267" s="20"/>
      <c r="AG21267" s="20"/>
      <c r="AQ21267" s="19"/>
      <c r="AR21267" s="19"/>
      <c r="AS21267" s="19"/>
      <c r="AT21267" s="19"/>
      <c r="AU21267" s="19"/>
    </row>
    <row r="21268" spans="3:47">
      <c r="C21268" s="20"/>
      <c r="Z21268" s="20"/>
      <c r="AG21268" s="20"/>
      <c r="AQ21268" s="19"/>
      <c r="AR21268" s="19"/>
      <c r="AS21268" s="19"/>
      <c r="AT21268" s="19"/>
      <c r="AU21268" s="19"/>
    </row>
    <row r="21269" spans="3:47">
      <c r="C21269" s="20"/>
      <c r="Z21269" s="20"/>
      <c r="AG21269" s="20"/>
      <c r="AQ21269" s="19"/>
      <c r="AR21269" s="19"/>
      <c r="AS21269" s="19"/>
      <c r="AT21269" s="19"/>
      <c r="AU21269" s="19"/>
    </row>
    <row r="21270" spans="3:47">
      <c r="C21270" s="20"/>
      <c r="Z21270" s="20"/>
      <c r="AG21270" s="20"/>
      <c r="AQ21270" s="19"/>
      <c r="AR21270" s="19"/>
      <c r="AS21270" s="19"/>
      <c r="AT21270" s="19"/>
      <c r="AU21270" s="19"/>
    </row>
    <row r="21271" spans="3:47">
      <c r="C21271" s="20"/>
      <c r="Z21271" s="20"/>
      <c r="AG21271" s="20"/>
      <c r="AQ21271" s="19"/>
      <c r="AR21271" s="19"/>
      <c r="AS21271" s="19"/>
      <c r="AT21271" s="19"/>
      <c r="AU21271" s="19"/>
    </row>
    <row r="21272" spans="3:47">
      <c r="C21272" s="20"/>
      <c r="Z21272" s="20"/>
      <c r="AG21272" s="20"/>
      <c r="AQ21272" s="19"/>
      <c r="AR21272" s="19"/>
      <c r="AS21272" s="19"/>
      <c r="AT21272" s="19"/>
      <c r="AU21272" s="19"/>
    </row>
    <row r="21273" spans="3:47">
      <c r="C21273" s="20"/>
      <c r="Z21273" s="20"/>
      <c r="AG21273" s="20"/>
      <c r="AQ21273" s="19"/>
      <c r="AR21273" s="19"/>
      <c r="AS21273" s="19"/>
      <c r="AT21273" s="19"/>
      <c r="AU21273" s="19"/>
    </row>
    <row r="21274" spans="3:47">
      <c r="C21274" s="20"/>
      <c r="Z21274" s="20"/>
      <c r="AG21274" s="20"/>
      <c r="AQ21274" s="19"/>
      <c r="AR21274" s="19"/>
      <c r="AS21274" s="19"/>
      <c r="AT21274" s="19"/>
      <c r="AU21274" s="19"/>
    </row>
    <row r="21275" spans="3:47">
      <c r="C21275" s="20"/>
      <c r="Z21275" s="20"/>
      <c r="AG21275" s="20"/>
      <c r="AQ21275" s="19"/>
      <c r="AR21275" s="19"/>
      <c r="AS21275" s="19"/>
      <c r="AT21275" s="19"/>
      <c r="AU21275" s="19"/>
    </row>
    <row r="21276" spans="3:47">
      <c r="C21276" s="20"/>
      <c r="Z21276" s="20"/>
      <c r="AG21276" s="20"/>
      <c r="AQ21276" s="19"/>
      <c r="AR21276" s="19"/>
      <c r="AS21276" s="19"/>
      <c r="AT21276" s="19"/>
      <c r="AU21276" s="19"/>
    </row>
    <row r="21277" spans="3:47">
      <c r="C21277" s="20"/>
      <c r="Z21277" s="20"/>
      <c r="AG21277" s="20"/>
      <c r="AQ21277" s="19"/>
      <c r="AR21277" s="19"/>
      <c r="AS21277" s="19"/>
      <c r="AT21277" s="19"/>
      <c r="AU21277" s="19"/>
    </row>
    <row r="21278" spans="3:47">
      <c r="C21278" s="20"/>
      <c r="Z21278" s="20"/>
      <c r="AG21278" s="20"/>
      <c r="AQ21278" s="19"/>
      <c r="AR21278" s="19"/>
      <c r="AS21278" s="19"/>
      <c r="AT21278" s="19"/>
      <c r="AU21278" s="19"/>
    </row>
    <row r="21279" spans="3:47">
      <c r="C21279" s="20"/>
      <c r="Z21279" s="20"/>
      <c r="AG21279" s="20"/>
      <c r="AQ21279" s="19"/>
      <c r="AR21279" s="19"/>
      <c r="AS21279" s="19"/>
      <c r="AT21279" s="19"/>
      <c r="AU21279" s="19"/>
    </row>
    <row r="21280" spans="3:47">
      <c r="C21280" s="20"/>
      <c r="Z21280" s="20"/>
      <c r="AG21280" s="20"/>
      <c r="AQ21280" s="19"/>
      <c r="AR21280" s="19"/>
      <c r="AS21280" s="19"/>
      <c r="AT21280" s="19"/>
      <c r="AU21280" s="19"/>
    </row>
    <row r="21281" spans="3:47">
      <c r="C21281" s="20"/>
      <c r="Z21281" s="20"/>
      <c r="AG21281" s="20"/>
      <c r="AQ21281" s="19"/>
      <c r="AR21281" s="19"/>
      <c r="AS21281" s="19"/>
      <c r="AT21281" s="19"/>
      <c r="AU21281" s="19"/>
    </row>
    <row r="21282" spans="3:47">
      <c r="C21282" s="20"/>
      <c r="Z21282" s="20"/>
      <c r="AG21282" s="20"/>
      <c r="AQ21282" s="19"/>
      <c r="AR21282" s="19"/>
      <c r="AS21282" s="19"/>
      <c r="AT21282" s="19"/>
      <c r="AU21282" s="19"/>
    </row>
    <row r="21283" spans="3:47">
      <c r="C21283" s="20"/>
      <c r="Z21283" s="20"/>
      <c r="AG21283" s="20"/>
      <c r="AQ21283" s="19"/>
      <c r="AR21283" s="19"/>
      <c r="AS21283" s="19"/>
      <c r="AT21283" s="19"/>
      <c r="AU21283" s="19"/>
    </row>
    <row r="21284" spans="3:47">
      <c r="C21284" s="20"/>
      <c r="Z21284" s="20"/>
      <c r="AG21284" s="20"/>
      <c r="AQ21284" s="19"/>
      <c r="AR21284" s="19"/>
      <c r="AS21284" s="19"/>
      <c r="AT21284" s="19"/>
      <c r="AU21284" s="19"/>
    </row>
    <row r="21285" spans="3:47">
      <c r="C21285" s="20"/>
      <c r="Z21285" s="20"/>
      <c r="AG21285" s="20"/>
      <c r="AQ21285" s="19"/>
      <c r="AR21285" s="19"/>
      <c r="AS21285" s="19"/>
      <c r="AT21285" s="19"/>
      <c r="AU21285" s="19"/>
    </row>
    <row r="21286" spans="3:47">
      <c r="C21286" s="20"/>
      <c r="Z21286" s="20"/>
      <c r="AG21286" s="20"/>
      <c r="AQ21286" s="19"/>
      <c r="AR21286" s="19"/>
      <c r="AS21286" s="19"/>
      <c r="AT21286" s="19"/>
      <c r="AU21286" s="19"/>
    </row>
    <row r="21287" spans="3:47">
      <c r="C21287" s="20"/>
      <c r="Z21287" s="20"/>
      <c r="AG21287" s="20"/>
      <c r="AQ21287" s="19"/>
      <c r="AR21287" s="19"/>
      <c r="AS21287" s="19"/>
      <c r="AT21287" s="19"/>
      <c r="AU21287" s="19"/>
    </row>
    <row r="21288" spans="3:47">
      <c r="C21288" s="20"/>
      <c r="Z21288" s="20"/>
      <c r="AG21288" s="20"/>
      <c r="AQ21288" s="19"/>
      <c r="AR21288" s="19"/>
      <c r="AS21288" s="19"/>
      <c r="AT21288" s="19"/>
      <c r="AU21288" s="19"/>
    </row>
    <row r="21289" spans="3:47">
      <c r="C21289" s="20"/>
      <c r="Z21289" s="20"/>
      <c r="AG21289" s="20"/>
      <c r="AQ21289" s="19"/>
      <c r="AR21289" s="19"/>
      <c r="AS21289" s="19"/>
      <c r="AT21289" s="19"/>
      <c r="AU21289" s="19"/>
    </row>
    <row r="21290" spans="3:47">
      <c r="C21290" s="20"/>
      <c r="Z21290" s="20"/>
      <c r="AG21290" s="20"/>
      <c r="AQ21290" s="19"/>
      <c r="AR21290" s="19"/>
      <c r="AS21290" s="19"/>
      <c r="AT21290" s="19"/>
      <c r="AU21290" s="19"/>
    </row>
    <row r="21291" spans="3:47">
      <c r="C21291" s="20"/>
      <c r="Z21291" s="20"/>
      <c r="AG21291" s="20"/>
      <c r="AQ21291" s="19"/>
      <c r="AR21291" s="19"/>
      <c r="AS21291" s="19"/>
      <c r="AT21291" s="19"/>
      <c r="AU21291" s="19"/>
    </row>
    <row r="21292" spans="3:47">
      <c r="C21292" s="20"/>
      <c r="Z21292" s="20"/>
      <c r="AG21292" s="20"/>
      <c r="AQ21292" s="19"/>
      <c r="AR21292" s="19"/>
      <c r="AS21292" s="19"/>
      <c r="AT21292" s="19"/>
      <c r="AU21292" s="19"/>
    </row>
    <row r="21293" spans="3:47">
      <c r="C21293" s="20"/>
      <c r="Z21293" s="20"/>
      <c r="AG21293" s="20"/>
      <c r="AQ21293" s="19"/>
      <c r="AR21293" s="19"/>
      <c r="AS21293" s="19"/>
      <c r="AT21293" s="19"/>
      <c r="AU21293" s="19"/>
    </row>
    <row r="21294" spans="3:47">
      <c r="C21294" s="20"/>
      <c r="Z21294" s="20"/>
      <c r="AG21294" s="20"/>
      <c r="AQ21294" s="19"/>
      <c r="AR21294" s="19"/>
      <c r="AS21294" s="19"/>
      <c r="AT21294" s="19"/>
      <c r="AU21294" s="19"/>
    </row>
    <row r="21295" spans="3:47">
      <c r="C21295" s="20"/>
      <c r="Z21295" s="20"/>
      <c r="AG21295" s="20"/>
      <c r="AQ21295" s="19"/>
      <c r="AR21295" s="19"/>
      <c r="AS21295" s="19"/>
      <c r="AT21295" s="19"/>
      <c r="AU21295" s="19"/>
    </row>
    <row r="21296" spans="3:47">
      <c r="C21296" s="20"/>
      <c r="Z21296" s="20"/>
      <c r="AG21296" s="20"/>
      <c r="AQ21296" s="19"/>
      <c r="AR21296" s="19"/>
      <c r="AS21296" s="19"/>
      <c r="AT21296" s="19"/>
      <c r="AU21296" s="19"/>
    </row>
    <row r="21297" spans="3:47">
      <c r="C21297" s="20"/>
      <c r="Z21297" s="20"/>
      <c r="AG21297" s="20"/>
      <c r="AQ21297" s="19"/>
      <c r="AR21297" s="19"/>
      <c r="AS21297" s="19"/>
      <c r="AT21297" s="19"/>
      <c r="AU21297" s="19"/>
    </row>
    <row r="21298" spans="3:47">
      <c r="C21298" s="20"/>
      <c r="Z21298" s="20"/>
      <c r="AG21298" s="20"/>
      <c r="AQ21298" s="19"/>
      <c r="AR21298" s="19"/>
      <c r="AS21298" s="19"/>
      <c r="AT21298" s="19"/>
      <c r="AU21298" s="19"/>
    </row>
    <row r="21299" spans="3:47">
      <c r="C21299" s="20"/>
      <c r="Z21299" s="20"/>
      <c r="AG21299" s="20"/>
      <c r="AQ21299" s="19"/>
      <c r="AR21299" s="19"/>
      <c r="AS21299" s="19"/>
      <c r="AT21299" s="19"/>
      <c r="AU21299" s="19"/>
    </row>
    <row r="21300" spans="3:47">
      <c r="C21300" s="20"/>
      <c r="Z21300" s="20"/>
      <c r="AG21300" s="20"/>
      <c r="AQ21300" s="19"/>
      <c r="AR21300" s="19"/>
      <c r="AS21300" s="19"/>
      <c r="AT21300" s="19"/>
      <c r="AU21300" s="19"/>
    </row>
    <row r="21301" spans="3:47">
      <c r="C21301" s="20"/>
      <c r="Z21301" s="20"/>
      <c r="AG21301" s="20"/>
      <c r="AQ21301" s="19"/>
      <c r="AR21301" s="19"/>
      <c r="AS21301" s="19"/>
      <c r="AT21301" s="19"/>
      <c r="AU21301" s="19"/>
    </row>
    <row r="21302" spans="3:47">
      <c r="C21302" s="20"/>
      <c r="Z21302" s="20"/>
      <c r="AG21302" s="20"/>
      <c r="AQ21302" s="19"/>
      <c r="AR21302" s="19"/>
      <c r="AS21302" s="19"/>
      <c r="AT21302" s="19"/>
      <c r="AU21302" s="19"/>
    </row>
    <row r="21303" spans="3:47">
      <c r="C21303" s="20"/>
      <c r="Z21303" s="20"/>
      <c r="AG21303" s="20"/>
      <c r="AQ21303" s="19"/>
      <c r="AR21303" s="19"/>
      <c r="AS21303" s="19"/>
      <c r="AT21303" s="19"/>
      <c r="AU21303" s="19"/>
    </row>
    <row r="21304" spans="3:47">
      <c r="C21304" s="20"/>
      <c r="Z21304" s="20"/>
      <c r="AG21304" s="20"/>
      <c r="AQ21304" s="19"/>
      <c r="AR21304" s="19"/>
      <c r="AS21304" s="19"/>
      <c r="AT21304" s="19"/>
      <c r="AU21304" s="19"/>
    </row>
    <row r="21305" spans="3:47">
      <c r="C21305" s="20"/>
      <c r="Z21305" s="20"/>
      <c r="AG21305" s="20"/>
      <c r="AQ21305" s="19"/>
      <c r="AR21305" s="19"/>
      <c r="AS21305" s="19"/>
      <c r="AT21305" s="19"/>
      <c r="AU21305" s="19"/>
    </row>
    <row r="21306" spans="3:47">
      <c r="C21306" s="20"/>
      <c r="Z21306" s="20"/>
      <c r="AG21306" s="20"/>
      <c r="AQ21306" s="19"/>
      <c r="AR21306" s="19"/>
      <c r="AS21306" s="19"/>
      <c r="AT21306" s="19"/>
      <c r="AU21306" s="19"/>
    </row>
    <row r="21307" spans="3:47">
      <c r="C21307" s="20"/>
      <c r="Z21307" s="20"/>
      <c r="AG21307" s="20"/>
      <c r="AQ21307" s="19"/>
      <c r="AR21307" s="19"/>
      <c r="AS21307" s="19"/>
      <c r="AT21307" s="19"/>
      <c r="AU21307" s="19"/>
    </row>
    <row r="21308" spans="3:47">
      <c r="C21308" s="20"/>
      <c r="Z21308" s="20"/>
      <c r="AG21308" s="20"/>
      <c r="AQ21308" s="19"/>
      <c r="AR21308" s="19"/>
      <c r="AS21308" s="19"/>
      <c r="AT21308" s="19"/>
      <c r="AU21308" s="19"/>
    </row>
    <row r="21309" spans="3:47">
      <c r="C21309" s="20"/>
      <c r="Z21309" s="20"/>
      <c r="AG21309" s="20"/>
      <c r="AQ21309" s="19"/>
      <c r="AR21309" s="19"/>
      <c r="AS21309" s="19"/>
      <c r="AT21309" s="19"/>
      <c r="AU21309" s="19"/>
    </row>
    <row r="21310" spans="3:47">
      <c r="C21310" s="20"/>
      <c r="Z21310" s="20"/>
      <c r="AG21310" s="20"/>
      <c r="AQ21310" s="19"/>
      <c r="AR21310" s="19"/>
      <c r="AS21310" s="19"/>
      <c r="AT21310" s="19"/>
      <c r="AU21310" s="19"/>
    </row>
    <row r="21311" spans="3:47">
      <c r="C21311" s="20"/>
      <c r="Z21311" s="20"/>
      <c r="AG21311" s="20"/>
      <c r="AQ21311" s="19"/>
      <c r="AR21311" s="19"/>
      <c r="AS21311" s="19"/>
      <c r="AT21311" s="19"/>
      <c r="AU21311" s="19"/>
    </row>
    <row r="21312" spans="3:47">
      <c r="C21312" s="20"/>
      <c r="Z21312" s="20"/>
      <c r="AG21312" s="20"/>
      <c r="AQ21312" s="19"/>
      <c r="AR21312" s="19"/>
      <c r="AS21312" s="19"/>
      <c r="AT21312" s="19"/>
      <c r="AU21312" s="19"/>
    </row>
    <row r="21313" spans="3:47">
      <c r="C21313" s="20"/>
      <c r="Z21313" s="20"/>
      <c r="AG21313" s="20"/>
      <c r="AQ21313" s="19"/>
      <c r="AR21313" s="19"/>
      <c r="AS21313" s="19"/>
      <c r="AT21313" s="19"/>
      <c r="AU21313" s="19"/>
    </row>
    <row r="21314" spans="3:47">
      <c r="C21314" s="20"/>
      <c r="Z21314" s="20"/>
      <c r="AG21314" s="20"/>
      <c r="AQ21314" s="19"/>
      <c r="AR21314" s="19"/>
      <c r="AS21314" s="19"/>
      <c r="AT21314" s="19"/>
      <c r="AU21314" s="19"/>
    </row>
    <row r="21315" spans="3:47">
      <c r="C21315" s="20"/>
      <c r="Z21315" s="20"/>
      <c r="AG21315" s="20"/>
      <c r="AQ21315" s="19"/>
      <c r="AR21315" s="19"/>
      <c r="AS21315" s="19"/>
      <c r="AT21315" s="19"/>
      <c r="AU21315" s="19"/>
    </row>
    <row r="21316" spans="3:47">
      <c r="C21316" s="20"/>
      <c r="Z21316" s="20"/>
      <c r="AG21316" s="20"/>
      <c r="AQ21316" s="19"/>
      <c r="AR21316" s="19"/>
      <c r="AS21316" s="19"/>
      <c r="AT21316" s="19"/>
      <c r="AU21316" s="19"/>
    </row>
    <row r="21317" spans="3:47">
      <c r="C21317" s="20"/>
      <c r="Z21317" s="20"/>
      <c r="AG21317" s="20"/>
      <c r="AQ21317" s="19"/>
      <c r="AR21317" s="19"/>
      <c r="AS21317" s="19"/>
      <c r="AT21317" s="19"/>
      <c r="AU21317" s="19"/>
    </row>
    <row r="21318" spans="3:47">
      <c r="C21318" s="20"/>
      <c r="Z21318" s="20"/>
      <c r="AG21318" s="20"/>
      <c r="AQ21318" s="19"/>
      <c r="AR21318" s="19"/>
      <c r="AS21318" s="19"/>
      <c r="AT21318" s="19"/>
      <c r="AU21318" s="19"/>
    </row>
    <row r="21319" spans="3:47">
      <c r="C21319" s="20"/>
      <c r="Z21319" s="20"/>
      <c r="AG21319" s="20"/>
      <c r="AQ21319" s="19"/>
      <c r="AR21319" s="19"/>
      <c r="AS21319" s="19"/>
      <c r="AT21319" s="19"/>
      <c r="AU21319" s="19"/>
    </row>
    <row r="21320" spans="3:47">
      <c r="C21320" s="20"/>
      <c r="Z21320" s="20"/>
      <c r="AG21320" s="20"/>
      <c r="AQ21320" s="19"/>
      <c r="AR21320" s="19"/>
      <c r="AS21320" s="19"/>
      <c r="AT21320" s="19"/>
      <c r="AU21320" s="19"/>
    </row>
    <row r="21321" spans="3:47">
      <c r="C21321" s="20"/>
      <c r="Z21321" s="20"/>
      <c r="AG21321" s="20"/>
      <c r="AQ21321" s="19"/>
      <c r="AR21321" s="19"/>
      <c r="AS21321" s="19"/>
      <c r="AT21321" s="19"/>
      <c r="AU21321" s="19"/>
    </row>
    <row r="21322" spans="3:47">
      <c r="C21322" s="20"/>
      <c r="Z21322" s="20"/>
      <c r="AG21322" s="20"/>
      <c r="AQ21322" s="19"/>
      <c r="AR21322" s="19"/>
      <c r="AS21322" s="19"/>
      <c r="AT21322" s="19"/>
      <c r="AU21322" s="19"/>
    </row>
    <row r="21323" spans="3:47">
      <c r="C21323" s="20"/>
      <c r="Z21323" s="20"/>
      <c r="AG21323" s="20"/>
      <c r="AQ21323" s="19"/>
      <c r="AR21323" s="19"/>
      <c r="AS21323" s="19"/>
      <c r="AT21323" s="19"/>
      <c r="AU21323" s="19"/>
    </row>
    <row r="21324" spans="3:47">
      <c r="C21324" s="20"/>
      <c r="Z21324" s="20"/>
      <c r="AG21324" s="20"/>
      <c r="AQ21324" s="19"/>
      <c r="AR21324" s="19"/>
      <c r="AS21324" s="19"/>
      <c r="AT21324" s="19"/>
      <c r="AU21324" s="19"/>
    </row>
    <row r="21325" spans="3:47">
      <c r="C21325" s="20"/>
      <c r="Z21325" s="20"/>
      <c r="AG21325" s="20"/>
      <c r="AQ21325" s="19"/>
      <c r="AR21325" s="19"/>
      <c r="AS21325" s="19"/>
      <c r="AT21325" s="19"/>
      <c r="AU21325" s="19"/>
    </row>
    <row r="21326" spans="3:47">
      <c r="C21326" s="20"/>
      <c r="Z21326" s="20"/>
      <c r="AG21326" s="20"/>
      <c r="AQ21326" s="19"/>
      <c r="AR21326" s="19"/>
      <c r="AS21326" s="19"/>
      <c r="AT21326" s="19"/>
      <c r="AU21326" s="19"/>
    </row>
    <row r="21327" spans="3:47">
      <c r="C21327" s="20"/>
      <c r="Z21327" s="20"/>
      <c r="AG21327" s="20"/>
      <c r="AQ21327" s="19"/>
      <c r="AR21327" s="19"/>
      <c r="AS21327" s="19"/>
      <c r="AT21327" s="19"/>
      <c r="AU21327" s="19"/>
    </row>
    <row r="21328" spans="3:47">
      <c r="C21328" s="20"/>
      <c r="Z21328" s="20"/>
      <c r="AG21328" s="20"/>
      <c r="AQ21328" s="19"/>
      <c r="AR21328" s="19"/>
      <c r="AS21328" s="19"/>
      <c r="AT21328" s="19"/>
      <c r="AU21328" s="19"/>
    </row>
    <row r="21329" spans="3:47">
      <c r="C21329" s="20"/>
      <c r="Z21329" s="20"/>
      <c r="AG21329" s="20"/>
      <c r="AQ21329" s="19"/>
      <c r="AR21329" s="19"/>
      <c r="AS21329" s="19"/>
      <c r="AT21329" s="19"/>
      <c r="AU21329" s="19"/>
    </row>
    <row r="21330" spans="3:47">
      <c r="C21330" s="20"/>
      <c r="Z21330" s="20"/>
      <c r="AG21330" s="20"/>
      <c r="AQ21330" s="19"/>
      <c r="AR21330" s="19"/>
      <c r="AS21330" s="19"/>
      <c r="AT21330" s="19"/>
      <c r="AU21330" s="19"/>
    </row>
    <row r="21331" spans="3:47">
      <c r="C21331" s="20"/>
      <c r="Z21331" s="20"/>
      <c r="AG21331" s="20"/>
      <c r="AQ21331" s="19"/>
      <c r="AR21331" s="19"/>
      <c r="AS21331" s="19"/>
      <c r="AT21331" s="19"/>
      <c r="AU21331" s="19"/>
    </row>
    <row r="21332" spans="3:47">
      <c r="C21332" s="20"/>
      <c r="Z21332" s="20"/>
      <c r="AG21332" s="20"/>
      <c r="AQ21332" s="19"/>
      <c r="AR21332" s="19"/>
      <c r="AS21332" s="19"/>
      <c r="AT21332" s="19"/>
      <c r="AU21332" s="19"/>
    </row>
    <row r="21333" spans="3:47">
      <c r="C21333" s="20"/>
      <c r="Z21333" s="20"/>
      <c r="AG21333" s="20"/>
      <c r="AQ21333" s="19"/>
      <c r="AR21333" s="19"/>
      <c r="AS21333" s="19"/>
      <c r="AT21333" s="19"/>
      <c r="AU21333" s="19"/>
    </row>
    <row r="21334" spans="3:47">
      <c r="C21334" s="20"/>
      <c r="Z21334" s="20"/>
      <c r="AG21334" s="20"/>
      <c r="AQ21334" s="19"/>
      <c r="AR21334" s="19"/>
      <c r="AS21334" s="19"/>
      <c r="AT21334" s="19"/>
      <c r="AU21334" s="19"/>
    </row>
    <row r="21335" spans="3:47">
      <c r="C21335" s="20"/>
      <c r="Z21335" s="20"/>
      <c r="AG21335" s="20"/>
      <c r="AQ21335" s="19"/>
      <c r="AR21335" s="19"/>
      <c r="AS21335" s="19"/>
      <c r="AT21335" s="19"/>
      <c r="AU21335" s="19"/>
    </row>
    <row r="21336" spans="3:47">
      <c r="C21336" s="20"/>
      <c r="Z21336" s="20"/>
      <c r="AG21336" s="20"/>
      <c r="AQ21336" s="19"/>
      <c r="AR21336" s="19"/>
      <c r="AS21336" s="19"/>
      <c r="AT21336" s="19"/>
      <c r="AU21336" s="19"/>
    </row>
    <row r="21337" spans="3:47">
      <c r="C21337" s="20"/>
      <c r="Z21337" s="20"/>
      <c r="AG21337" s="20"/>
      <c r="AQ21337" s="19"/>
      <c r="AR21337" s="19"/>
      <c r="AS21337" s="19"/>
      <c r="AT21337" s="19"/>
      <c r="AU21337" s="19"/>
    </row>
    <row r="21338" spans="3:47">
      <c r="C21338" s="20"/>
      <c r="Z21338" s="20"/>
      <c r="AG21338" s="20"/>
      <c r="AQ21338" s="19"/>
      <c r="AR21338" s="19"/>
      <c r="AS21338" s="19"/>
      <c r="AT21338" s="19"/>
      <c r="AU21338" s="19"/>
    </row>
    <row r="21339" spans="3:47">
      <c r="C21339" s="20"/>
      <c r="Z21339" s="20"/>
      <c r="AG21339" s="20"/>
      <c r="AQ21339" s="19"/>
      <c r="AR21339" s="19"/>
      <c r="AS21339" s="19"/>
      <c r="AT21339" s="19"/>
      <c r="AU21339" s="19"/>
    </row>
    <row r="21340" spans="3:47">
      <c r="C21340" s="20"/>
      <c r="Z21340" s="20"/>
      <c r="AG21340" s="20"/>
      <c r="AQ21340" s="19"/>
      <c r="AR21340" s="19"/>
      <c r="AS21340" s="19"/>
      <c r="AT21340" s="19"/>
      <c r="AU21340" s="19"/>
    </row>
    <row r="21341" spans="3:47">
      <c r="C21341" s="20"/>
      <c r="Z21341" s="20"/>
      <c r="AG21341" s="20"/>
      <c r="AQ21341" s="19"/>
      <c r="AR21341" s="19"/>
      <c r="AS21341" s="19"/>
      <c r="AT21341" s="19"/>
      <c r="AU21341" s="19"/>
    </row>
    <row r="21342" spans="3:47">
      <c r="C21342" s="20"/>
      <c r="Z21342" s="20"/>
      <c r="AG21342" s="20"/>
      <c r="AQ21342" s="19"/>
      <c r="AR21342" s="19"/>
      <c r="AS21342" s="19"/>
      <c r="AT21342" s="19"/>
      <c r="AU21342" s="19"/>
    </row>
    <row r="21343" spans="3:47">
      <c r="C21343" s="20"/>
      <c r="Z21343" s="20"/>
      <c r="AG21343" s="20"/>
      <c r="AQ21343" s="19"/>
      <c r="AR21343" s="19"/>
      <c r="AS21343" s="19"/>
      <c r="AT21343" s="19"/>
      <c r="AU21343" s="19"/>
    </row>
    <row r="21344" spans="3:47">
      <c r="C21344" s="20"/>
      <c r="Z21344" s="20"/>
      <c r="AG21344" s="20"/>
      <c r="AQ21344" s="19"/>
      <c r="AR21344" s="19"/>
      <c r="AS21344" s="19"/>
      <c r="AT21344" s="19"/>
      <c r="AU21344" s="19"/>
    </row>
    <row r="21345" spans="3:47">
      <c r="C21345" s="20"/>
      <c r="Z21345" s="20"/>
      <c r="AG21345" s="20"/>
      <c r="AQ21345" s="19"/>
      <c r="AR21345" s="19"/>
      <c r="AS21345" s="19"/>
      <c r="AT21345" s="19"/>
      <c r="AU21345" s="19"/>
    </row>
    <row r="21346" spans="3:47">
      <c r="C21346" s="20"/>
      <c r="Z21346" s="20"/>
      <c r="AG21346" s="20"/>
      <c r="AQ21346" s="19"/>
      <c r="AR21346" s="19"/>
      <c r="AS21346" s="19"/>
      <c r="AT21346" s="19"/>
      <c r="AU21346" s="19"/>
    </row>
    <row r="21347" spans="3:47">
      <c r="C21347" s="20"/>
      <c r="Z21347" s="20"/>
      <c r="AG21347" s="20"/>
      <c r="AQ21347" s="19"/>
      <c r="AR21347" s="19"/>
      <c r="AS21347" s="19"/>
      <c r="AT21347" s="19"/>
      <c r="AU21347" s="19"/>
    </row>
    <row r="21348" spans="3:47">
      <c r="C21348" s="20"/>
      <c r="Z21348" s="20"/>
      <c r="AG21348" s="20"/>
      <c r="AQ21348" s="19"/>
      <c r="AR21348" s="19"/>
      <c r="AS21348" s="19"/>
      <c r="AT21348" s="19"/>
      <c r="AU21348" s="19"/>
    </row>
    <row r="21349" spans="3:47">
      <c r="C21349" s="20"/>
      <c r="Z21349" s="20"/>
      <c r="AG21349" s="20"/>
      <c r="AQ21349" s="19"/>
      <c r="AR21349" s="19"/>
      <c r="AS21349" s="19"/>
      <c r="AT21349" s="19"/>
      <c r="AU21349" s="19"/>
    </row>
    <row r="21350" spans="3:47">
      <c r="C21350" s="20"/>
      <c r="Z21350" s="20"/>
      <c r="AG21350" s="20"/>
      <c r="AQ21350" s="19"/>
      <c r="AR21350" s="19"/>
      <c r="AS21350" s="19"/>
      <c r="AT21350" s="19"/>
      <c r="AU21350" s="19"/>
    </row>
    <row r="21351" spans="3:47">
      <c r="C21351" s="20"/>
      <c r="Z21351" s="20"/>
      <c r="AG21351" s="20"/>
      <c r="AQ21351" s="19"/>
      <c r="AR21351" s="19"/>
      <c r="AS21351" s="19"/>
      <c r="AT21351" s="19"/>
      <c r="AU21351" s="19"/>
    </row>
    <row r="21352" spans="3:47">
      <c r="C21352" s="20"/>
      <c r="Z21352" s="20"/>
      <c r="AG21352" s="20"/>
      <c r="AQ21352" s="19"/>
      <c r="AR21352" s="19"/>
      <c r="AS21352" s="19"/>
      <c r="AT21352" s="19"/>
      <c r="AU21352" s="19"/>
    </row>
    <row r="21353" spans="3:47">
      <c r="C21353" s="20"/>
      <c r="Z21353" s="20"/>
      <c r="AG21353" s="20"/>
      <c r="AQ21353" s="19"/>
      <c r="AR21353" s="19"/>
      <c r="AS21353" s="19"/>
      <c r="AT21353" s="19"/>
      <c r="AU21353" s="19"/>
    </row>
    <row r="21354" spans="3:47">
      <c r="C21354" s="20"/>
      <c r="Z21354" s="20"/>
      <c r="AG21354" s="20"/>
      <c r="AQ21354" s="19"/>
      <c r="AR21354" s="19"/>
      <c r="AS21354" s="19"/>
      <c r="AT21354" s="19"/>
      <c r="AU21354" s="19"/>
    </row>
    <row r="21355" spans="3:47">
      <c r="C21355" s="20"/>
      <c r="Z21355" s="20"/>
      <c r="AG21355" s="20"/>
      <c r="AQ21355" s="19"/>
      <c r="AR21355" s="19"/>
      <c r="AS21355" s="19"/>
      <c r="AT21355" s="19"/>
      <c r="AU21355" s="19"/>
    </row>
    <row r="21356" spans="3:47">
      <c r="C21356" s="20"/>
      <c r="Z21356" s="20"/>
      <c r="AG21356" s="20"/>
      <c r="AQ21356" s="19"/>
      <c r="AR21356" s="19"/>
      <c r="AS21356" s="19"/>
      <c r="AT21356" s="19"/>
      <c r="AU21356" s="19"/>
    </row>
    <row r="21357" spans="3:47">
      <c r="C21357" s="20"/>
      <c r="Z21357" s="20"/>
      <c r="AG21357" s="20"/>
      <c r="AQ21357" s="19"/>
      <c r="AR21357" s="19"/>
      <c r="AS21357" s="19"/>
      <c r="AT21357" s="19"/>
      <c r="AU21357" s="19"/>
    </row>
    <row r="21358" spans="3:47">
      <c r="C21358" s="20"/>
      <c r="Z21358" s="20"/>
      <c r="AG21358" s="20"/>
      <c r="AQ21358" s="19"/>
      <c r="AR21358" s="19"/>
      <c r="AS21358" s="19"/>
      <c r="AT21358" s="19"/>
      <c r="AU21358" s="19"/>
    </row>
    <row r="21359" spans="3:47">
      <c r="C21359" s="20"/>
      <c r="Z21359" s="20"/>
      <c r="AG21359" s="20"/>
      <c r="AQ21359" s="19"/>
      <c r="AR21359" s="19"/>
      <c r="AS21359" s="19"/>
      <c r="AT21359" s="19"/>
      <c r="AU21359" s="19"/>
    </row>
    <row r="21360" spans="3:47">
      <c r="C21360" s="20"/>
      <c r="Z21360" s="20"/>
      <c r="AG21360" s="20"/>
      <c r="AQ21360" s="19"/>
      <c r="AR21360" s="19"/>
      <c r="AS21360" s="19"/>
      <c r="AT21360" s="19"/>
      <c r="AU21360" s="19"/>
    </row>
    <row r="21361" spans="3:47">
      <c r="C21361" s="20"/>
      <c r="Z21361" s="20"/>
      <c r="AG21361" s="20"/>
      <c r="AQ21361" s="19"/>
      <c r="AR21361" s="19"/>
      <c r="AS21361" s="19"/>
      <c r="AT21361" s="19"/>
      <c r="AU21361" s="19"/>
    </row>
    <row r="21362" spans="3:47">
      <c r="C21362" s="20"/>
      <c r="Z21362" s="20"/>
      <c r="AG21362" s="20"/>
      <c r="AQ21362" s="19"/>
      <c r="AR21362" s="19"/>
      <c r="AS21362" s="19"/>
      <c r="AT21362" s="19"/>
      <c r="AU21362" s="19"/>
    </row>
    <row r="21363" spans="3:47">
      <c r="C21363" s="20"/>
      <c r="Z21363" s="20"/>
      <c r="AG21363" s="20"/>
      <c r="AQ21363" s="19"/>
      <c r="AR21363" s="19"/>
      <c r="AS21363" s="19"/>
      <c r="AT21363" s="19"/>
      <c r="AU21363" s="19"/>
    </row>
    <row r="21364" spans="3:47">
      <c r="C21364" s="20"/>
      <c r="Z21364" s="20"/>
      <c r="AG21364" s="20"/>
      <c r="AQ21364" s="19"/>
      <c r="AR21364" s="19"/>
      <c r="AS21364" s="19"/>
      <c r="AT21364" s="19"/>
      <c r="AU21364" s="19"/>
    </row>
    <row r="21365" spans="3:47">
      <c r="C21365" s="20"/>
      <c r="Z21365" s="20"/>
      <c r="AG21365" s="20"/>
      <c r="AQ21365" s="19"/>
      <c r="AR21365" s="19"/>
      <c r="AS21365" s="19"/>
      <c r="AT21365" s="19"/>
      <c r="AU21365" s="19"/>
    </row>
    <row r="21366" spans="3:47">
      <c r="C21366" s="20"/>
      <c r="Z21366" s="20"/>
      <c r="AG21366" s="20"/>
      <c r="AQ21366" s="19"/>
      <c r="AR21366" s="19"/>
      <c r="AS21366" s="19"/>
      <c r="AT21366" s="19"/>
      <c r="AU21366" s="19"/>
    </row>
    <row r="21367" spans="3:47">
      <c r="C21367" s="20"/>
      <c r="Z21367" s="20"/>
      <c r="AG21367" s="20"/>
      <c r="AQ21367" s="19"/>
      <c r="AR21367" s="19"/>
      <c r="AS21367" s="19"/>
      <c r="AT21367" s="19"/>
      <c r="AU21367" s="19"/>
    </row>
    <row r="21368" spans="3:47">
      <c r="C21368" s="20"/>
      <c r="Z21368" s="20"/>
      <c r="AG21368" s="20"/>
      <c r="AQ21368" s="19"/>
      <c r="AR21368" s="19"/>
      <c r="AS21368" s="19"/>
      <c r="AT21368" s="19"/>
      <c r="AU21368" s="19"/>
    </row>
    <row r="21369" spans="3:47">
      <c r="C21369" s="20"/>
      <c r="Z21369" s="20"/>
      <c r="AG21369" s="20"/>
      <c r="AQ21369" s="19"/>
      <c r="AR21369" s="19"/>
      <c r="AS21369" s="19"/>
      <c r="AT21369" s="19"/>
      <c r="AU21369" s="19"/>
    </row>
    <row r="21370" spans="3:47">
      <c r="C21370" s="20"/>
      <c r="Z21370" s="20"/>
      <c r="AG21370" s="20"/>
      <c r="AQ21370" s="19"/>
      <c r="AR21370" s="19"/>
      <c r="AS21370" s="19"/>
      <c r="AT21370" s="19"/>
      <c r="AU21370" s="19"/>
    </row>
    <row r="21371" spans="3:47">
      <c r="C21371" s="20"/>
      <c r="Z21371" s="20"/>
      <c r="AG21371" s="20"/>
      <c r="AQ21371" s="19"/>
      <c r="AR21371" s="19"/>
      <c r="AS21371" s="19"/>
      <c r="AT21371" s="19"/>
      <c r="AU21371" s="19"/>
    </row>
    <row r="21372" spans="3:47">
      <c r="C21372" s="20"/>
      <c r="Z21372" s="20"/>
      <c r="AG21372" s="20"/>
      <c r="AQ21372" s="19"/>
      <c r="AR21372" s="19"/>
      <c r="AS21372" s="19"/>
      <c r="AT21372" s="19"/>
      <c r="AU21372" s="19"/>
    </row>
    <row r="21373" spans="3:47">
      <c r="C21373" s="20"/>
      <c r="Z21373" s="20"/>
      <c r="AG21373" s="20"/>
      <c r="AQ21373" s="19"/>
      <c r="AR21373" s="19"/>
      <c r="AS21373" s="19"/>
      <c r="AT21373" s="19"/>
      <c r="AU21373" s="19"/>
    </row>
    <row r="21374" spans="3:47">
      <c r="C21374" s="20"/>
      <c r="Z21374" s="20"/>
      <c r="AG21374" s="20"/>
      <c r="AQ21374" s="19"/>
      <c r="AR21374" s="19"/>
      <c r="AS21374" s="19"/>
      <c r="AT21374" s="19"/>
      <c r="AU21374" s="19"/>
    </row>
    <row r="21375" spans="3:47">
      <c r="C21375" s="20"/>
      <c r="Z21375" s="20"/>
      <c r="AG21375" s="20"/>
      <c r="AQ21375" s="19"/>
      <c r="AR21375" s="19"/>
      <c r="AS21375" s="19"/>
      <c r="AT21375" s="19"/>
      <c r="AU21375" s="19"/>
    </row>
    <row r="21376" spans="3:47">
      <c r="C21376" s="20"/>
      <c r="Z21376" s="20"/>
      <c r="AG21376" s="20"/>
      <c r="AQ21376" s="19"/>
      <c r="AR21376" s="19"/>
      <c r="AS21376" s="19"/>
      <c r="AT21376" s="19"/>
      <c r="AU21376" s="19"/>
    </row>
    <row r="21377" spans="3:47">
      <c r="C21377" s="20"/>
      <c r="Z21377" s="20"/>
      <c r="AG21377" s="20"/>
      <c r="AQ21377" s="19"/>
      <c r="AR21377" s="19"/>
      <c r="AS21377" s="19"/>
      <c r="AT21377" s="19"/>
      <c r="AU21377" s="19"/>
    </row>
    <row r="21378" spans="3:47">
      <c r="C21378" s="20"/>
      <c r="Z21378" s="20"/>
      <c r="AG21378" s="20"/>
      <c r="AQ21378" s="19"/>
      <c r="AR21378" s="19"/>
      <c r="AS21378" s="19"/>
      <c r="AT21378" s="19"/>
      <c r="AU21378" s="19"/>
    </row>
    <row r="21379" spans="3:47">
      <c r="C21379" s="20"/>
      <c r="Z21379" s="20"/>
      <c r="AG21379" s="20"/>
      <c r="AQ21379" s="19"/>
      <c r="AR21379" s="19"/>
      <c r="AS21379" s="19"/>
      <c r="AT21379" s="19"/>
      <c r="AU21379" s="19"/>
    </row>
    <row r="21380" spans="3:47">
      <c r="C21380" s="20"/>
      <c r="Z21380" s="20"/>
      <c r="AG21380" s="20"/>
      <c r="AQ21380" s="19"/>
      <c r="AR21380" s="19"/>
      <c r="AS21380" s="19"/>
      <c r="AT21380" s="19"/>
      <c r="AU21380" s="19"/>
    </row>
    <row r="21381" spans="3:47">
      <c r="C21381" s="20"/>
      <c r="Z21381" s="20"/>
      <c r="AG21381" s="20"/>
      <c r="AQ21381" s="19"/>
      <c r="AR21381" s="19"/>
      <c r="AS21381" s="19"/>
      <c r="AT21381" s="19"/>
      <c r="AU21381" s="19"/>
    </row>
    <row r="21382" spans="3:47">
      <c r="C21382" s="20"/>
      <c r="Z21382" s="20"/>
      <c r="AG21382" s="20"/>
      <c r="AQ21382" s="19"/>
      <c r="AR21382" s="19"/>
      <c r="AS21382" s="19"/>
      <c r="AT21382" s="19"/>
      <c r="AU21382" s="19"/>
    </row>
    <row r="21383" spans="3:47">
      <c r="C21383" s="20"/>
      <c r="Z21383" s="20"/>
      <c r="AG21383" s="20"/>
      <c r="AQ21383" s="19"/>
      <c r="AR21383" s="19"/>
      <c r="AS21383" s="19"/>
      <c r="AT21383" s="19"/>
      <c r="AU21383" s="19"/>
    </row>
    <row r="21384" spans="3:47">
      <c r="C21384" s="20"/>
      <c r="Z21384" s="20"/>
      <c r="AG21384" s="20"/>
      <c r="AQ21384" s="19"/>
      <c r="AR21384" s="19"/>
      <c r="AS21384" s="19"/>
      <c r="AT21384" s="19"/>
      <c r="AU21384" s="19"/>
    </row>
    <row r="21385" spans="3:47">
      <c r="C21385" s="20"/>
      <c r="Z21385" s="20"/>
      <c r="AG21385" s="20"/>
      <c r="AQ21385" s="19"/>
      <c r="AR21385" s="19"/>
      <c r="AS21385" s="19"/>
      <c r="AT21385" s="19"/>
      <c r="AU21385" s="19"/>
    </row>
    <row r="21386" spans="3:47">
      <c r="C21386" s="20"/>
      <c r="Z21386" s="20"/>
      <c r="AG21386" s="20"/>
      <c r="AQ21386" s="19"/>
      <c r="AR21386" s="19"/>
      <c r="AS21386" s="19"/>
      <c r="AT21386" s="19"/>
      <c r="AU21386" s="19"/>
    </row>
    <row r="21387" spans="3:47">
      <c r="C21387" s="20"/>
      <c r="Z21387" s="20"/>
      <c r="AG21387" s="20"/>
      <c r="AQ21387" s="19"/>
      <c r="AR21387" s="19"/>
      <c r="AS21387" s="19"/>
      <c r="AT21387" s="19"/>
      <c r="AU21387" s="19"/>
    </row>
    <row r="21388" spans="3:47">
      <c r="C21388" s="20"/>
      <c r="Z21388" s="20"/>
      <c r="AG21388" s="20"/>
      <c r="AQ21388" s="19"/>
      <c r="AR21388" s="19"/>
      <c r="AS21388" s="19"/>
      <c r="AT21388" s="19"/>
      <c r="AU21388" s="19"/>
    </row>
    <row r="21389" spans="3:47">
      <c r="C21389" s="20"/>
      <c r="Z21389" s="20"/>
      <c r="AG21389" s="20"/>
      <c r="AQ21389" s="19"/>
      <c r="AR21389" s="19"/>
      <c r="AS21389" s="19"/>
      <c r="AT21389" s="19"/>
      <c r="AU21389" s="19"/>
    </row>
    <row r="21390" spans="3:47">
      <c r="C21390" s="20"/>
      <c r="Z21390" s="20"/>
      <c r="AG21390" s="20"/>
      <c r="AQ21390" s="19"/>
      <c r="AR21390" s="19"/>
      <c r="AS21390" s="19"/>
      <c r="AT21390" s="19"/>
      <c r="AU21390" s="19"/>
    </row>
    <row r="21391" spans="3:47">
      <c r="C21391" s="20"/>
      <c r="Z21391" s="20"/>
      <c r="AG21391" s="20"/>
      <c r="AQ21391" s="19"/>
      <c r="AR21391" s="19"/>
      <c r="AS21391" s="19"/>
      <c r="AT21391" s="19"/>
      <c r="AU21391" s="19"/>
    </row>
    <row r="21392" spans="3:47">
      <c r="C21392" s="20"/>
      <c r="Z21392" s="20"/>
      <c r="AG21392" s="20"/>
      <c r="AQ21392" s="19"/>
      <c r="AR21392" s="19"/>
      <c r="AS21392" s="19"/>
      <c r="AT21392" s="19"/>
      <c r="AU21392" s="19"/>
    </row>
    <row r="21393" spans="3:47">
      <c r="C21393" s="20"/>
      <c r="Z21393" s="20"/>
      <c r="AG21393" s="20"/>
      <c r="AQ21393" s="19"/>
      <c r="AR21393" s="19"/>
      <c r="AS21393" s="19"/>
      <c r="AT21393" s="19"/>
      <c r="AU21393" s="19"/>
    </row>
    <row r="21394" spans="3:47">
      <c r="C21394" s="20"/>
      <c r="Z21394" s="20"/>
      <c r="AG21394" s="20"/>
      <c r="AQ21394" s="19"/>
      <c r="AR21394" s="19"/>
      <c r="AS21394" s="19"/>
      <c r="AT21394" s="19"/>
      <c r="AU21394" s="19"/>
    </row>
    <row r="21395" spans="3:47">
      <c r="C21395" s="20"/>
      <c r="Z21395" s="20"/>
      <c r="AG21395" s="20"/>
      <c r="AQ21395" s="19"/>
      <c r="AR21395" s="19"/>
      <c r="AS21395" s="19"/>
      <c r="AT21395" s="19"/>
      <c r="AU21395" s="19"/>
    </row>
    <row r="21396" spans="3:47">
      <c r="C21396" s="20"/>
      <c r="Z21396" s="20"/>
      <c r="AG21396" s="20"/>
      <c r="AQ21396" s="19"/>
      <c r="AR21396" s="19"/>
      <c r="AS21396" s="19"/>
      <c r="AT21396" s="19"/>
      <c r="AU21396" s="19"/>
    </row>
    <row r="21397" spans="3:47">
      <c r="C21397" s="20"/>
      <c r="Z21397" s="20"/>
      <c r="AG21397" s="20"/>
      <c r="AQ21397" s="19"/>
      <c r="AR21397" s="19"/>
      <c r="AS21397" s="19"/>
      <c r="AT21397" s="19"/>
      <c r="AU21397" s="19"/>
    </row>
    <row r="21398" spans="3:47">
      <c r="C21398" s="20"/>
      <c r="Z21398" s="20"/>
      <c r="AG21398" s="20"/>
      <c r="AQ21398" s="19"/>
      <c r="AR21398" s="19"/>
      <c r="AS21398" s="19"/>
      <c r="AT21398" s="19"/>
      <c r="AU21398" s="19"/>
    </row>
    <row r="21399" spans="3:47">
      <c r="C21399" s="20"/>
      <c r="Z21399" s="20"/>
      <c r="AG21399" s="20"/>
      <c r="AQ21399" s="19"/>
      <c r="AR21399" s="19"/>
      <c r="AS21399" s="19"/>
      <c r="AT21399" s="19"/>
      <c r="AU21399" s="19"/>
    </row>
    <row r="21400" spans="3:47">
      <c r="C21400" s="20"/>
      <c r="Z21400" s="20"/>
      <c r="AG21400" s="20"/>
      <c r="AQ21400" s="19"/>
      <c r="AR21400" s="19"/>
      <c r="AS21400" s="19"/>
      <c r="AT21400" s="19"/>
      <c r="AU21400" s="19"/>
    </row>
    <row r="21401" spans="3:47">
      <c r="C21401" s="20"/>
      <c r="Z21401" s="20"/>
      <c r="AG21401" s="20"/>
      <c r="AQ21401" s="19"/>
      <c r="AR21401" s="19"/>
      <c r="AS21401" s="19"/>
      <c r="AT21401" s="19"/>
      <c r="AU21401" s="19"/>
    </row>
    <row r="21402" spans="3:47">
      <c r="C21402" s="20"/>
      <c r="Z21402" s="20"/>
      <c r="AG21402" s="20"/>
      <c r="AQ21402" s="19"/>
      <c r="AR21402" s="19"/>
      <c r="AS21402" s="19"/>
      <c r="AT21402" s="19"/>
      <c r="AU21402" s="19"/>
    </row>
    <row r="21403" spans="3:47">
      <c r="C21403" s="20"/>
      <c r="Z21403" s="20"/>
      <c r="AG21403" s="20"/>
      <c r="AQ21403" s="19"/>
      <c r="AR21403" s="19"/>
      <c r="AS21403" s="19"/>
      <c r="AT21403" s="19"/>
      <c r="AU21403" s="19"/>
    </row>
    <row r="21404" spans="3:47">
      <c r="C21404" s="20"/>
      <c r="Z21404" s="20"/>
      <c r="AG21404" s="20"/>
      <c r="AQ21404" s="19"/>
      <c r="AR21404" s="19"/>
      <c r="AS21404" s="19"/>
      <c r="AT21404" s="19"/>
      <c r="AU21404" s="19"/>
    </row>
    <row r="21405" spans="3:47">
      <c r="C21405" s="20"/>
      <c r="Z21405" s="20"/>
      <c r="AG21405" s="20"/>
      <c r="AQ21405" s="19"/>
      <c r="AR21405" s="19"/>
      <c r="AS21405" s="19"/>
      <c r="AT21405" s="19"/>
      <c r="AU21405" s="19"/>
    </row>
    <row r="21406" spans="3:47">
      <c r="C21406" s="20"/>
      <c r="Z21406" s="20"/>
      <c r="AG21406" s="20"/>
      <c r="AQ21406" s="19"/>
      <c r="AR21406" s="19"/>
      <c r="AS21406" s="19"/>
      <c r="AT21406" s="19"/>
      <c r="AU21406" s="19"/>
    </row>
    <row r="21407" spans="3:47">
      <c r="C21407" s="20"/>
      <c r="Z21407" s="20"/>
      <c r="AG21407" s="20"/>
      <c r="AQ21407" s="19"/>
      <c r="AR21407" s="19"/>
      <c r="AS21407" s="19"/>
      <c r="AT21407" s="19"/>
      <c r="AU21407" s="19"/>
    </row>
    <row r="21408" spans="3:47">
      <c r="C21408" s="20"/>
      <c r="Z21408" s="20"/>
      <c r="AG21408" s="20"/>
      <c r="AQ21408" s="19"/>
      <c r="AR21408" s="19"/>
      <c r="AS21408" s="19"/>
      <c r="AT21408" s="19"/>
      <c r="AU21408" s="19"/>
    </row>
    <row r="21409" spans="3:47">
      <c r="C21409" s="20"/>
      <c r="Z21409" s="20"/>
      <c r="AG21409" s="20"/>
      <c r="AQ21409" s="19"/>
      <c r="AR21409" s="19"/>
      <c r="AS21409" s="19"/>
      <c r="AT21409" s="19"/>
      <c r="AU21409" s="19"/>
    </row>
    <row r="21410" spans="3:47">
      <c r="C21410" s="20"/>
      <c r="Z21410" s="20"/>
      <c r="AG21410" s="20"/>
      <c r="AQ21410" s="19"/>
      <c r="AR21410" s="19"/>
      <c r="AS21410" s="19"/>
      <c r="AT21410" s="19"/>
      <c r="AU21410" s="19"/>
    </row>
    <row r="21411" spans="3:47">
      <c r="C21411" s="20"/>
      <c r="Z21411" s="20"/>
      <c r="AG21411" s="20"/>
      <c r="AQ21411" s="19"/>
      <c r="AR21411" s="19"/>
      <c r="AS21411" s="19"/>
      <c r="AT21411" s="19"/>
      <c r="AU21411" s="19"/>
    </row>
    <row r="21412" spans="3:47">
      <c r="C21412" s="20"/>
      <c r="Z21412" s="20"/>
      <c r="AG21412" s="20"/>
      <c r="AQ21412" s="19"/>
      <c r="AR21412" s="19"/>
      <c r="AS21412" s="19"/>
      <c r="AT21412" s="19"/>
      <c r="AU21412" s="19"/>
    </row>
    <row r="21413" spans="3:47">
      <c r="C21413" s="20"/>
      <c r="Z21413" s="20"/>
      <c r="AG21413" s="20"/>
      <c r="AQ21413" s="19"/>
      <c r="AR21413" s="19"/>
      <c r="AS21413" s="19"/>
      <c r="AT21413" s="19"/>
      <c r="AU21413" s="19"/>
    </row>
    <row r="21414" spans="3:47">
      <c r="C21414" s="20"/>
      <c r="Z21414" s="20"/>
      <c r="AG21414" s="20"/>
      <c r="AQ21414" s="19"/>
      <c r="AR21414" s="19"/>
      <c r="AS21414" s="19"/>
      <c r="AT21414" s="19"/>
      <c r="AU21414" s="19"/>
    </row>
    <row r="21415" spans="3:47">
      <c r="C21415" s="20"/>
      <c r="Z21415" s="20"/>
      <c r="AG21415" s="20"/>
      <c r="AQ21415" s="19"/>
      <c r="AR21415" s="19"/>
      <c r="AS21415" s="19"/>
      <c r="AT21415" s="19"/>
      <c r="AU21415" s="19"/>
    </row>
    <row r="21416" spans="3:47">
      <c r="C21416" s="20"/>
      <c r="Z21416" s="20"/>
      <c r="AG21416" s="20"/>
      <c r="AQ21416" s="19"/>
      <c r="AR21416" s="19"/>
      <c r="AS21416" s="19"/>
      <c r="AT21416" s="19"/>
      <c r="AU21416" s="19"/>
    </row>
    <row r="21417" spans="3:47">
      <c r="C21417" s="20"/>
      <c r="Z21417" s="20"/>
      <c r="AG21417" s="20"/>
      <c r="AQ21417" s="19"/>
      <c r="AR21417" s="19"/>
      <c r="AS21417" s="19"/>
      <c r="AT21417" s="19"/>
      <c r="AU21417" s="19"/>
    </row>
    <row r="21418" spans="3:47">
      <c r="C21418" s="20"/>
      <c r="Z21418" s="20"/>
      <c r="AG21418" s="20"/>
      <c r="AQ21418" s="19"/>
      <c r="AR21418" s="19"/>
      <c r="AS21418" s="19"/>
      <c r="AT21418" s="19"/>
      <c r="AU21418" s="19"/>
    </row>
    <row r="21419" spans="3:47">
      <c r="C21419" s="20"/>
      <c r="Z21419" s="20"/>
      <c r="AG21419" s="20"/>
      <c r="AQ21419" s="19"/>
      <c r="AR21419" s="19"/>
      <c r="AS21419" s="19"/>
      <c r="AT21419" s="19"/>
      <c r="AU21419" s="19"/>
    </row>
    <row r="21420" spans="3:47">
      <c r="C21420" s="20"/>
      <c r="Z21420" s="20"/>
      <c r="AG21420" s="20"/>
      <c r="AQ21420" s="19"/>
      <c r="AR21420" s="19"/>
      <c r="AS21420" s="19"/>
      <c r="AT21420" s="19"/>
      <c r="AU21420" s="19"/>
    </row>
    <row r="21421" spans="3:47">
      <c r="C21421" s="20"/>
      <c r="Z21421" s="20"/>
      <c r="AG21421" s="20"/>
      <c r="AQ21421" s="19"/>
      <c r="AR21421" s="19"/>
      <c r="AS21421" s="19"/>
      <c r="AT21421" s="19"/>
      <c r="AU21421" s="19"/>
    </row>
    <row r="21422" spans="3:47">
      <c r="C21422" s="20"/>
      <c r="Z21422" s="20"/>
      <c r="AG21422" s="20"/>
      <c r="AQ21422" s="19"/>
      <c r="AR21422" s="19"/>
      <c r="AS21422" s="19"/>
      <c r="AT21422" s="19"/>
      <c r="AU21422" s="19"/>
    </row>
    <row r="21423" spans="3:47">
      <c r="C21423" s="20"/>
      <c r="Z21423" s="20"/>
      <c r="AG21423" s="20"/>
      <c r="AQ21423" s="19"/>
      <c r="AR21423" s="19"/>
      <c r="AS21423" s="19"/>
      <c r="AT21423" s="19"/>
      <c r="AU21423" s="19"/>
    </row>
    <row r="21424" spans="3:47">
      <c r="C21424" s="20"/>
      <c r="Z21424" s="20"/>
      <c r="AG21424" s="20"/>
      <c r="AQ21424" s="19"/>
      <c r="AR21424" s="19"/>
      <c r="AS21424" s="19"/>
      <c r="AT21424" s="19"/>
      <c r="AU21424" s="19"/>
    </row>
    <row r="21425" spans="3:47">
      <c r="C21425" s="20"/>
      <c r="Z21425" s="20"/>
      <c r="AG21425" s="20"/>
      <c r="AQ21425" s="19"/>
      <c r="AR21425" s="19"/>
      <c r="AS21425" s="19"/>
      <c r="AT21425" s="19"/>
      <c r="AU21425" s="19"/>
    </row>
    <row r="21426" spans="3:47">
      <c r="C21426" s="20"/>
      <c r="Z21426" s="20"/>
      <c r="AG21426" s="20"/>
      <c r="AQ21426" s="19"/>
      <c r="AR21426" s="19"/>
      <c r="AS21426" s="19"/>
      <c r="AT21426" s="19"/>
      <c r="AU21426" s="19"/>
    </row>
    <row r="21427" spans="3:47">
      <c r="C21427" s="20"/>
      <c r="Z21427" s="20"/>
      <c r="AG21427" s="20"/>
      <c r="AQ21427" s="19"/>
      <c r="AR21427" s="19"/>
      <c r="AS21427" s="19"/>
      <c r="AT21427" s="19"/>
      <c r="AU21427" s="19"/>
    </row>
    <row r="21428" spans="3:47">
      <c r="C21428" s="20"/>
      <c r="Z21428" s="20"/>
      <c r="AG21428" s="20"/>
      <c r="AQ21428" s="19"/>
      <c r="AR21428" s="19"/>
      <c r="AS21428" s="19"/>
      <c r="AT21428" s="19"/>
      <c r="AU21428" s="19"/>
    </row>
    <row r="21429" spans="3:47">
      <c r="C21429" s="20"/>
      <c r="Z21429" s="20"/>
      <c r="AG21429" s="20"/>
      <c r="AQ21429" s="19"/>
      <c r="AR21429" s="19"/>
      <c r="AS21429" s="19"/>
      <c r="AT21429" s="19"/>
      <c r="AU21429" s="19"/>
    </row>
    <row r="21430" spans="3:47">
      <c r="C21430" s="20"/>
      <c r="Z21430" s="20"/>
      <c r="AG21430" s="20"/>
      <c r="AQ21430" s="19"/>
      <c r="AR21430" s="19"/>
      <c r="AS21430" s="19"/>
      <c r="AT21430" s="19"/>
      <c r="AU21430" s="19"/>
    </row>
    <row r="21431" spans="3:47">
      <c r="C21431" s="20"/>
      <c r="Z21431" s="20"/>
      <c r="AG21431" s="20"/>
      <c r="AQ21431" s="19"/>
      <c r="AR21431" s="19"/>
      <c r="AS21431" s="19"/>
      <c r="AT21431" s="19"/>
      <c r="AU21431" s="19"/>
    </row>
    <row r="21432" spans="3:47">
      <c r="C21432" s="20"/>
      <c r="Z21432" s="20"/>
      <c r="AG21432" s="20"/>
      <c r="AQ21432" s="19"/>
      <c r="AR21432" s="19"/>
      <c r="AS21432" s="19"/>
      <c r="AT21432" s="19"/>
      <c r="AU21432" s="19"/>
    </row>
    <row r="21433" spans="3:47">
      <c r="C21433" s="20"/>
      <c r="Z21433" s="20"/>
      <c r="AG21433" s="20"/>
      <c r="AQ21433" s="19"/>
      <c r="AR21433" s="19"/>
      <c r="AS21433" s="19"/>
      <c r="AT21433" s="19"/>
      <c r="AU21433" s="19"/>
    </row>
    <row r="21434" spans="3:47">
      <c r="C21434" s="20"/>
      <c r="Z21434" s="20"/>
      <c r="AG21434" s="20"/>
      <c r="AQ21434" s="19"/>
      <c r="AR21434" s="19"/>
      <c r="AS21434" s="19"/>
      <c r="AT21434" s="19"/>
      <c r="AU21434" s="19"/>
    </row>
    <row r="21435" spans="3:47">
      <c r="C21435" s="20"/>
      <c r="Z21435" s="20"/>
      <c r="AG21435" s="20"/>
      <c r="AQ21435" s="19"/>
      <c r="AR21435" s="19"/>
      <c r="AS21435" s="19"/>
      <c r="AT21435" s="19"/>
      <c r="AU21435" s="19"/>
    </row>
    <row r="21436" spans="3:47">
      <c r="C21436" s="20"/>
      <c r="Z21436" s="20"/>
      <c r="AG21436" s="20"/>
      <c r="AQ21436" s="19"/>
      <c r="AR21436" s="19"/>
      <c r="AS21436" s="19"/>
      <c r="AT21436" s="19"/>
      <c r="AU21436" s="19"/>
    </row>
    <row r="21437" spans="3:47">
      <c r="C21437" s="20"/>
      <c r="Z21437" s="20"/>
      <c r="AG21437" s="20"/>
      <c r="AQ21437" s="19"/>
      <c r="AR21437" s="19"/>
      <c r="AS21437" s="19"/>
      <c r="AT21437" s="19"/>
      <c r="AU21437" s="19"/>
    </row>
    <row r="21438" spans="3:47">
      <c r="C21438" s="20"/>
      <c r="Z21438" s="20"/>
      <c r="AG21438" s="20"/>
      <c r="AQ21438" s="19"/>
      <c r="AR21438" s="19"/>
      <c r="AS21438" s="19"/>
      <c r="AT21438" s="19"/>
      <c r="AU21438" s="19"/>
    </row>
    <row r="21439" spans="3:47">
      <c r="C21439" s="20"/>
      <c r="Z21439" s="20"/>
      <c r="AG21439" s="20"/>
      <c r="AQ21439" s="19"/>
      <c r="AR21439" s="19"/>
      <c r="AS21439" s="19"/>
      <c r="AT21439" s="19"/>
      <c r="AU21439" s="19"/>
    </row>
    <row r="21440" spans="3:47">
      <c r="C21440" s="20"/>
      <c r="Z21440" s="20"/>
      <c r="AG21440" s="20"/>
      <c r="AQ21440" s="19"/>
      <c r="AR21440" s="19"/>
      <c r="AS21440" s="19"/>
      <c r="AT21440" s="19"/>
      <c r="AU21440" s="19"/>
    </row>
    <row r="21441" spans="3:47">
      <c r="C21441" s="20"/>
      <c r="Z21441" s="20"/>
      <c r="AG21441" s="20"/>
      <c r="AQ21441" s="19"/>
      <c r="AR21441" s="19"/>
      <c r="AS21441" s="19"/>
      <c r="AT21441" s="19"/>
      <c r="AU21441" s="19"/>
    </row>
    <row r="21442" spans="3:47">
      <c r="C21442" s="20"/>
      <c r="Z21442" s="20"/>
      <c r="AG21442" s="20"/>
      <c r="AQ21442" s="19"/>
      <c r="AR21442" s="19"/>
      <c r="AS21442" s="19"/>
      <c r="AT21442" s="19"/>
      <c r="AU21442" s="19"/>
    </row>
    <row r="21443" spans="3:47">
      <c r="C21443" s="20"/>
      <c r="Z21443" s="20"/>
      <c r="AG21443" s="20"/>
      <c r="AQ21443" s="19"/>
      <c r="AR21443" s="19"/>
      <c r="AS21443" s="19"/>
      <c r="AT21443" s="19"/>
      <c r="AU21443" s="19"/>
    </row>
    <row r="21444" spans="3:47">
      <c r="C21444" s="20"/>
      <c r="Z21444" s="20"/>
      <c r="AG21444" s="20"/>
      <c r="AQ21444" s="19"/>
      <c r="AR21444" s="19"/>
      <c r="AS21444" s="19"/>
      <c r="AT21444" s="19"/>
      <c r="AU21444" s="19"/>
    </row>
    <row r="21445" spans="3:47">
      <c r="C21445" s="20"/>
      <c r="Z21445" s="20"/>
      <c r="AG21445" s="20"/>
      <c r="AQ21445" s="19"/>
      <c r="AR21445" s="19"/>
      <c r="AS21445" s="19"/>
      <c r="AT21445" s="19"/>
      <c r="AU21445" s="19"/>
    </row>
    <row r="21446" spans="3:47">
      <c r="C21446" s="20"/>
      <c r="Z21446" s="20"/>
      <c r="AG21446" s="20"/>
      <c r="AQ21446" s="19"/>
      <c r="AR21446" s="19"/>
      <c r="AS21446" s="19"/>
      <c r="AT21446" s="19"/>
      <c r="AU21446" s="19"/>
    </row>
    <row r="21447" spans="3:47">
      <c r="C21447" s="20"/>
      <c r="Z21447" s="20"/>
      <c r="AG21447" s="20"/>
      <c r="AQ21447" s="19"/>
      <c r="AR21447" s="19"/>
      <c r="AS21447" s="19"/>
      <c r="AT21447" s="19"/>
      <c r="AU21447" s="19"/>
    </row>
    <row r="21448" spans="3:47">
      <c r="C21448" s="20"/>
      <c r="Z21448" s="20"/>
      <c r="AG21448" s="20"/>
      <c r="AQ21448" s="19"/>
      <c r="AR21448" s="19"/>
      <c r="AS21448" s="19"/>
      <c r="AT21448" s="19"/>
      <c r="AU21448" s="19"/>
    </row>
    <row r="21449" spans="3:47">
      <c r="C21449" s="20"/>
      <c r="Z21449" s="20"/>
      <c r="AG21449" s="20"/>
      <c r="AQ21449" s="19"/>
      <c r="AR21449" s="19"/>
      <c r="AS21449" s="19"/>
      <c r="AT21449" s="19"/>
      <c r="AU21449" s="19"/>
    </row>
    <row r="21450" spans="3:47">
      <c r="C21450" s="20"/>
      <c r="Z21450" s="20"/>
      <c r="AG21450" s="20"/>
      <c r="AQ21450" s="19"/>
      <c r="AR21450" s="19"/>
      <c r="AS21450" s="19"/>
      <c r="AT21450" s="19"/>
      <c r="AU21450" s="19"/>
    </row>
    <row r="21451" spans="3:47">
      <c r="C21451" s="20"/>
      <c r="Z21451" s="20"/>
      <c r="AG21451" s="20"/>
      <c r="AQ21451" s="19"/>
      <c r="AR21451" s="19"/>
      <c r="AS21451" s="19"/>
      <c r="AT21451" s="19"/>
      <c r="AU21451" s="19"/>
    </row>
    <row r="21452" spans="3:47">
      <c r="C21452" s="20"/>
      <c r="Z21452" s="20"/>
      <c r="AG21452" s="20"/>
      <c r="AQ21452" s="19"/>
      <c r="AR21452" s="19"/>
      <c r="AS21452" s="19"/>
      <c r="AT21452" s="19"/>
      <c r="AU21452" s="19"/>
    </row>
    <row r="21453" spans="3:47">
      <c r="C21453" s="20"/>
      <c r="Z21453" s="20"/>
      <c r="AG21453" s="20"/>
      <c r="AQ21453" s="19"/>
      <c r="AR21453" s="19"/>
      <c r="AS21453" s="19"/>
      <c r="AT21453" s="19"/>
      <c r="AU21453" s="19"/>
    </row>
    <row r="21454" spans="3:47">
      <c r="C21454" s="20"/>
      <c r="Z21454" s="20"/>
      <c r="AG21454" s="20"/>
      <c r="AQ21454" s="19"/>
      <c r="AR21454" s="19"/>
      <c r="AS21454" s="19"/>
      <c r="AT21454" s="19"/>
      <c r="AU21454" s="19"/>
    </row>
    <row r="21455" spans="3:47">
      <c r="C21455" s="20"/>
      <c r="Z21455" s="20"/>
      <c r="AG21455" s="20"/>
      <c r="AQ21455" s="19"/>
      <c r="AR21455" s="19"/>
      <c r="AS21455" s="19"/>
      <c r="AT21455" s="19"/>
      <c r="AU21455" s="19"/>
    </row>
    <row r="21456" spans="3:47">
      <c r="C21456" s="20"/>
      <c r="Z21456" s="20"/>
      <c r="AG21456" s="20"/>
      <c r="AQ21456" s="19"/>
      <c r="AR21456" s="19"/>
      <c r="AS21456" s="19"/>
      <c r="AT21456" s="19"/>
      <c r="AU21456" s="19"/>
    </row>
    <row r="21457" spans="3:47">
      <c r="C21457" s="20"/>
      <c r="Z21457" s="20"/>
      <c r="AG21457" s="20"/>
      <c r="AQ21457" s="19"/>
      <c r="AR21457" s="19"/>
      <c r="AS21457" s="19"/>
      <c r="AT21457" s="19"/>
      <c r="AU21457" s="19"/>
    </row>
    <row r="21458" spans="3:47">
      <c r="C21458" s="20"/>
      <c r="Z21458" s="20"/>
      <c r="AG21458" s="20"/>
      <c r="AQ21458" s="19"/>
      <c r="AR21458" s="19"/>
      <c r="AS21458" s="19"/>
      <c r="AT21458" s="19"/>
      <c r="AU21458" s="19"/>
    </row>
    <row r="21459" spans="3:47">
      <c r="C21459" s="20"/>
      <c r="Z21459" s="20"/>
      <c r="AG21459" s="20"/>
      <c r="AQ21459" s="19"/>
      <c r="AR21459" s="19"/>
      <c r="AS21459" s="19"/>
      <c r="AT21459" s="19"/>
      <c r="AU21459" s="19"/>
    </row>
    <row r="21460" spans="3:47">
      <c r="C21460" s="20"/>
      <c r="Z21460" s="20"/>
      <c r="AG21460" s="20"/>
      <c r="AQ21460" s="19"/>
      <c r="AR21460" s="19"/>
      <c r="AS21460" s="19"/>
      <c r="AT21460" s="19"/>
      <c r="AU21460" s="19"/>
    </row>
    <row r="21461" spans="3:47">
      <c r="C21461" s="20"/>
      <c r="Z21461" s="20"/>
      <c r="AG21461" s="20"/>
      <c r="AQ21461" s="19"/>
      <c r="AR21461" s="19"/>
      <c r="AS21461" s="19"/>
      <c r="AT21461" s="19"/>
      <c r="AU21461" s="19"/>
    </row>
    <row r="21462" spans="3:47">
      <c r="C21462" s="20"/>
      <c r="Z21462" s="20"/>
      <c r="AG21462" s="20"/>
      <c r="AQ21462" s="19"/>
      <c r="AR21462" s="19"/>
      <c r="AS21462" s="19"/>
      <c r="AT21462" s="19"/>
      <c r="AU21462" s="19"/>
    </row>
    <row r="21463" spans="3:47">
      <c r="C21463" s="20"/>
      <c r="Z21463" s="20"/>
      <c r="AG21463" s="20"/>
      <c r="AQ21463" s="19"/>
      <c r="AR21463" s="19"/>
      <c r="AS21463" s="19"/>
      <c r="AT21463" s="19"/>
      <c r="AU21463" s="19"/>
    </row>
    <row r="21464" spans="3:47">
      <c r="C21464" s="20"/>
      <c r="Z21464" s="20"/>
      <c r="AG21464" s="20"/>
      <c r="AQ21464" s="19"/>
      <c r="AR21464" s="19"/>
      <c r="AS21464" s="19"/>
      <c r="AT21464" s="19"/>
      <c r="AU21464" s="19"/>
    </row>
    <row r="21465" spans="3:47">
      <c r="C21465" s="20"/>
      <c r="Z21465" s="20"/>
      <c r="AG21465" s="20"/>
      <c r="AQ21465" s="19"/>
      <c r="AR21465" s="19"/>
      <c r="AS21465" s="19"/>
      <c r="AT21465" s="19"/>
      <c r="AU21465" s="19"/>
    </row>
    <row r="21466" spans="3:47">
      <c r="C21466" s="20"/>
      <c r="Z21466" s="20"/>
      <c r="AG21466" s="20"/>
      <c r="AQ21466" s="19"/>
      <c r="AR21466" s="19"/>
      <c r="AS21466" s="19"/>
      <c r="AT21466" s="19"/>
      <c r="AU21466" s="19"/>
    </row>
    <row r="21467" spans="3:47">
      <c r="C21467" s="20"/>
      <c r="Z21467" s="20"/>
      <c r="AG21467" s="20"/>
      <c r="AQ21467" s="19"/>
      <c r="AR21467" s="19"/>
      <c r="AS21467" s="19"/>
      <c r="AT21467" s="19"/>
      <c r="AU21467" s="19"/>
    </row>
    <row r="21468" spans="3:47">
      <c r="C21468" s="20"/>
      <c r="Z21468" s="20"/>
      <c r="AG21468" s="20"/>
      <c r="AQ21468" s="19"/>
      <c r="AR21468" s="19"/>
      <c r="AS21468" s="19"/>
      <c r="AT21468" s="19"/>
      <c r="AU21468" s="19"/>
    </row>
    <row r="21469" spans="3:47">
      <c r="C21469" s="20"/>
      <c r="Z21469" s="20"/>
      <c r="AG21469" s="20"/>
      <c r="AQ21469" s="19"/>
      <c r="AR21469" s="19"/>
      <c r="AS21469" s="19"/>
      <c r="AT21469" s="19"/>
      <c r="AU21469" s="19"/>
    </row>
    <row r="21470" spans="3:47">
      <c r="C21470" s="20"/>
      <c r="Z21470" s="20"/>
      <c r="AG21470" s="20"/>
      <c r="AQ21470" s="19"/>
      <c r="AR21470" s="19"/>
      <c r="AS21470" s="19"/>
      <c r="AT21470" s="19"/>
      <c r="AU21470" s="19"/>
    </row>
    <row r="21471" spans="3:47">
      <c r="C21471" s="20"/>
      <c r="Z21471" s="20"/>
      <c r="AG21471" s="20"/>
      <c r="AQ21471" s="19"/>
      <c r="AR21471" s="19"/>
      <c r="AS21471" s="19"/>
      <c r="AT21471" s="19"/>
      <c r="AU21471" s="19"/>
    </row>
    <row r="21472" spans="3:47">
      <c r="C21472" s="20"/>
      <c r="Z21472" s="20"/>
      <c r="AG21472" s="20"/>
      <c r="AQ21472" s="19"/>
      <c r="AR21472" s="19"/>
      <c r="AS21472" s="19"/>
      <c r="AT21472" s="19"/>
      <c r="AU21472" s="19"/>
    </row>
    <row r="21473" spans="3:47">
      <c r="C21473" s="20"/>
      <c r="Z21473" s="20"/>
      <c r="AG21473" s="20"/>
      <c r="AQ21473" s="19"/>
      <c r="AR21473" s="19"/>
      <c r="AS21473" s="19"/>
      <c r="AT21473" s="19"/>
      <c r="AU21473" s="19"/>
    </row>
    <row r="21474" spans="3:47">
      <c r="C21474" s="20"/>
      <c r="Z21474" s="20"/>
      <c r="AG21474" s="20"/>
      <c r="AQ21474" s="19"/>
      <c r="AR21474" s="19"/>
      <c r="AS21474" s="19"/>
      <c r="AT21474" s="19"/>
      <c r="AU21474" s="19"/>
    </row>
    <row r="21475" spans="3:47">
      <c r="C21475" s="20"/>
      <c r="Z21475" s="20"/>
      <c r="AG21475" s="20"/>
      <c r="AQ21475" s="19"/>
      <c r="AR21475" s="19"/>
      <c r="AS21475" s="19"/>
      <c r="AT21475" s="19"/>
      <c r="AU21475" s="19"/>
    </row>
    <row r="21476" spans="3:47">
      <c r="C21476" s="20"/>
      <c r="Z21476" s="20"/>
      <c r="AG21476" s="20"/>
      <c r="AQ21476" s="19"/>
      <c r="AR21476" s="19"/>
      <c r="AS21476" s="19"/>
      <c r="AT21476" s="19"/>
      <c r="AU21476" s="19"/>
    </row>
    <row r="21477" spans="3:47">
      <c r="C21477" s="20"/>
      <c r="Z21477" s="20"/>
      <c r="AG21477" s="20"/>
      <c r="AQ21477" s="19"/>
      <c r="AR21477" s="19"/>
      <c r="AS21477" s="19"/>
      <c r="AT21477" s="19"/>
      <c r="AU21477" s="19"/>
    </row>
    <row r="21478" spans="3:47">
      <c r="C21478" s="20"/>
      <c r="Z21478" s="20"/>
      <c r="AG21478" s="20"/>
      <c r="AQ21478" s="19"/>
      <c r="AR21478" s="19"/>
      <c r="AS21478" s="19"/>
      <c r="AT21478" s="19"/>
      <c r="AU21478" s="19"/>
    </row>
    <row r="21479" spans="3:47">
      <c r="C21479" s="20"/>
      <c r="Z21479" s="20"/>
      <c r="AG21479" s="20"/>
      <c r="AQ21479" s="19"/>
      <c r="AR21479" s="19"/>
      <c r="AS21479" s="19"/>
      <c r="AT21479" s="19"/>
      <c r="AU21479" s="19"/>
    </row>
    <row r="21480" spans="3:47">
      <c r="C21480" s="20"/>
      <c r="Z21480" s="20"/>
      <c r="AG21480" s="20"/>
      <c r="AQ21480" s="19"/>
      <c r="AR21480" s="19"/>
      <c r="AS21480" s="19"/>
      <c r="AT21480" s="19"/>
      <c r="AU21480" s="19"/>
    </row>
    <row r="21481" spans="3:47">
      <c r="C21481" s="20"/>
      <c r="Z21481" s="20"/>
      <c r="AG21481" s="20"/>
      <c r="AQ21481" s="19"/>
      <c r="AR21481" s="19"/>
      <c r="AS21481" s="19"/>
      <c r="AT21481" s="19"/>
      <c r="AU21481" s="19"/>
    </row>
    <row r="21482" spans="3:47">
      <c r="C21482" s="20"/>
      <c r="Z21482" s="20"/>
      <c r="AG21482" s="20"/>
      <c r="AQ21482" s="19"/>
      <c r="AR21482" s="19"/>
      <c r="AS21482" s="19"/>
      <c r="AT21482" s="19"/>
      <c r="AU21482" s="19"/>
    </row>
    <row r="21483" spans="3:47">
      <c r="C21483" s="20"/>
      <c r="Z21483" s="20"/>
      <c r="AG21483" s="20"/>
      <c r="AQ21483" s="19"/>
      <c r="AR21483" s="19"/>
      <c r="AS21483" s="19"/>
      <c r="AT21483" s="19"/>
      <c r="AU21483" s="19"/>
    </row>
    <row r="21484" spans="3:47">
      <c r="C21484" s="20"/>
      <c r="Z21484" s="20"/>
      <c r="AG21484" s="20"/>
      <c r="AQ21484" s="19"/>
      <c r="AR21484" s="19"/>
      <c r="AS21484" s="19"/>
      <c r="AT21484" s="19"/>
      <c r="AU21484" s="19"/>
    </row>
    <row r="21485" spans="3:47">
      <c r="C21485" s="20"/>
      <c r="Z21485" s="20"/>
      <c r="AG21485" s="20"/>
      <c r="AQ21485" s="19"/>
      <c r="AR21485" s="19"/>
      <c r="AS21485" s="19"/>
      <c r="AT21485" s="19"/>
      <c r="AU21485" s="19"/>
    </row>
    <row r="21486" spans="3:47">
      <c r="C21486" s="20"/>
      <c r="Z21486" s="20"/>
      <c r="AG21486" s="20"/>
      <c r="AQ21486" s="19"/>
      <c r="AR21486" s="19"/>
      <c r="AS21486" s="19"/>
      <c r="AT21486" s="19"/>
      <c r="AU21486" s="19"/>
    </row>
    <row r="21487" spans="3:47">
      <c r="C21487" s="20"/>
      <c r="Z21487" s="20"/>
      <c r="AG21487" s="20"/>
      <c r="AQ21487" s="19"/>
      <c r="AR21487" s="19"/>
      <c r="AS21487" s="19"/>
      <c r="AT21487" s="19"/>
      <c r="AU21487" s="19"/>
    </row>
    <row r="21488" spans="3:47">
      <c r="C21488" s="20"/>
      <c r="Z21488" s="20"/>
      <c r="AG21488" s="20"/>
      <c r="AQ21488" s="19"/>
      <c r="AR21488" s="19"/>
      <c r="AS21488" s="19"/>
      <c r="AT21488" s="19"/>
      <c r="AU21488" s="19"/>
    </row>
    <row r="21489" spans="3:47">
      <c r="C21489" s="20"/>
      <c r="Z21489" s="20"/>
      <c r="AG21489" s="20"/>
      <c r="AQ21489" s="19"/>
      <c r="AR21489" s="19"/>
      <c r="AS21489" s="19"/>
      <c r="AT21489" s="19"/>
      <c r="AU21489" s="19"/>
    </row>
    <row r="21490" spans="3:47">
      <c r="C21490" s="20"/>
      <c r="Z21490" s="20"/>
      <c r="AG21490" s="20"/>
      <c r="AQ21490" s="19"/>
      <c r="AR21490" s="19"/>
      <c r="AS21490" s="19"/>
      <c r="AT21490" s="19"/>
      <c r="AU21490" s="19"/>
    </row>
    <row r="21491" spans="3:47">
      <c r="C21491" s="20"/>
      <c r="Z21491" s="20"/>
      <c r="AG21491" s="20"/>
      <c r="AQ21491" s="19"/>
      <c r="AR21491" s="19"/>
      <c r="AS21491" s="19"/>
      <c r="AT21491" s="19"/>
      <c r="AU21491" s="19"/>
    </row>
    <row r="21492" spans="3:47">
      <c r="C21492" s="20"/>
      <c r="Z21492" s="20"/>
      <c r="AG21492" s="20"/>
      <c r="AQ21492" s="19"/>
      <c r="AR21492" s="19"/>
      <c r="AS21492" s="19"/>
      <c r="AT21492" s="19"/>
      <c r="AU21492" s="19"/>
    </row>
    <row r="21493" spans="3:47">
      <c r="C21493" s="20"/>
      <c r="Z21493" s="20"/>
      <c r="AG21493" s="20"/>
      <c r="AQ21493" s="19"/>
      <c r="AR21493" s="19"/>
      <c r="AS21493" s="19"/>
      <c r="AT21493" s="19"/>
      <c r="AU21493" s="19"/>
    </row>
    <row r="21494" spans="3:47">
      <c r="C21494" s="20"/>
      <c r="Z21494" s="20"/>
      <c r="AG21494" s="20"/>
      <c r="AQ21494" s="19"/>
      <c r="AR21494" s="19"/>
      <c r="AS21494" s="19"/>
      <c r="AT21494" s="19"/>
      <c r="AU21494" s="19"/>
    </row>
    <row r="21495" spans="3:47">
      <c r="C21495" s="20"/>
      <c r="Z21495" s="20"/>
      <c r="AG21495" s="20"/>
      <c r="AQ21495" s="19"/>
      <c r="AR21495" s="19"/>
      <c r="AS21495" s="19"/>
      <c r="AT21495" s="19"/>
      <c r="AU21495" s="19"/>
    </row>
    <row r="21496" spans="3:47">
      <c r="C21496" s="20"/>
      <c r="Z21496" s="20"/>
      <c r="AG21496" s="20"/>
      <c r="AQ21496" s="19"/>
      <c r="AR21496" s="19"/>
      <c r="AS21496" s="19"/>
      <c r="AT21496" s="19"/>
      <c r="AU21496" s="19"/>
    </row>
    <row r="21497" spans="3:47">
      <c r="C21497" s="20"/>
      <c r="Z21497" s="20"/>
      <c r="AG21497" s="20"/>
      <c r="AQ21497" s="19"/>
      <c r="AR21497" s="19"/>
      <c r="AS21497" s="19"/>
      <c r="AT21497" s="19"/>
      <c r="AU21497" s="19"/>
    </row>
    <row r="21498" spans="3:47">
      <c r="C21498" s="20"/>
      <c r="Z21498" s="20"/>
      <c r="AG21498" s="20"/>
      <c r="AQ21498" s="19"/>
      <c r="AR21498" s="19"/>
      <c r="AS21498" s="19"/>
      <c r="AT21498" s="19"/>
      <c r="AU21498" s="19"/>
    </row>
    <row r="21499" spans="3:47">
      <c r="C21499" s="20"/>
      <c r="Z21499" s="20"/>
      <c r="AG21499" s="20"/>
      <c r="AQ21499" s="19"/>
      <c r="AR21499" s="19"/>
      <c r="AS21499" s="19"/>
      <c r="AT21499" s="19"/>
      <c r="AU21499" s="19"/>
    </row>
    <row r="21500" spans="3:47">
      <c r="C21500" s="20"/>
      <c r="Z21500" s="20"/>
      <c r="AG21500" s="20"/>
      <c r="AQ21500" s="19"/>
      <c r="AR21500" s="19"/>
      <c r="AS21500" s="19"/>
      <c r="AT21500" s="19"/>
      <c r="AU21500" s="19"/>
    </row>
    <row r="21501" spans="3:47">
      <c r="C21501" s="20"/>
      <c r="Z21501" s="20"/>
      <c r="AG21501" s="20"/>
      <c r="AQ21501" s="19"/>
      <c r="AR21501" s="19"/>
      <c r="AS21501" s="19"/>
      <c r="AT21501" s="19"/>
      <c r="AU21501" s="19"/>
    </row>
    <row r="21502" spans="3:47">
      <c r="C21502" s="20"/>
      <c r="Z21502" s="20"/>
      <c r="AG21502" s="20"/>
      <c r="AQ21502" s="19"/>
      <c r="AR21502" s="19"/>
      <c r="AS21502" s="19"/>
      <c r="AT21502" s="19"/>
      <c r="AU21502" s="19"/>
    </row>
    <row r="21503" spans="3:47">
      <c r="C21503" s="20"/>
      <c r="Z21503" s="20"/>
      <c r="AG21503" s="20"/>
      <c r="AQ21503" s="19"/>
      <c r="AR21503" s="19"/>
      <c r="AS21503" s="19"/>
      <c r="AT21503" s="19"/>
      <c r="AU21503" s="19"/>
    </row>
    <row r="21504" spans="3:47">
      <c r="C21504" s="20"/>
      <c r="Z21504" s="20"/>
      <c r="AG21504" s="20"/>
      <c r="AQ21504" s="19"/>
      <c r="AR21504" s="19"/>
      <c r="AS21504" s="19"/>
      <c r="AT21504" s="19"/>
      <c r="AU21504" s="19"/>
    </row>
    <row r="21505" spans="3:47">
      <c r="C21505" s="20"/>
      <c r="Z21505" s="20"/>
      <c r="AG21505" s="20"/>
      <c r="AQ21505" s="19"/>
      <c r="AR21505" s="19"/>
      <c r="AS21505" s="19"/>
      <c r="AT21505" s="19"/>
      <c r="AU21505" s="19"/>
    </row>
    <row r="21506" spans="3:47">
      <c r="C21506" s="20"/>
      <c r="Z21506" s="20"/>
      <c r="AG21506" s="20"/>
      <c r="AQ21506" s="19"/>
      <c r="AR21506" s="19"/>
      <c r="AS21506" s="19"/>
      <c r="AT21506" s="19"/>
      <c r="AU21506" s="19"/>
    </row>
    <row r="21507" spans="3:47">
      <c r="C21507" s="20"/>
      <c r="Z21507" s="20"/>
      <c r="AG21507" s="20"/>
      <c r="AQ21507" s="19"/>
      <c r="AR21507" s="19"/>
      <c r="AS21507" s="19"/>
      <c r="AT21507" s="19"/>
      <c r="AU21507" s="19"/>
    </row>
    <row r="21508" spans="3:47">
      <c r="C21508" s="20"/>
      <c r="Z21508" s="20"/>
      <c r="AG21508" s="20"/>
      <c r="AQ21508" s="19"/>
      <c r="AR21508" s="19"/>
      <c r="AS21508" s="19"/>
      <c r="AT21508" s="19"/>
      <c r="AU21508" s="19"/>
    </row>
    <row r="21509" spans="3:47">
      <c r="C21509" s="20"/>
      <c r="Z21509" s="20"/>
      <c r="AG21509" s="20"/>
      <c r="AQ21509" s="19"/>
      <c r="AR21509" s="19"/>
      <c r="AS21509" s="19"/>
      <c r="AT21509" s="19"/>
      <c r="AU21509" s="19"/>
    </row>
    <row r="21510" spans="3:47">
      <c r="C21510" s="20"/>
      <c r="Z21510" s="20"/>
      <c r="AG21510" s="20"/>
      <c r="AQ21510" s="19"/>
      <c r="AR21510" s="19"/>
      <c r="AS21510" s="19"/>
      <c r="AT21510" s="19"/>
      <c r="AU21510" s="19"/>
    </row>
    <row r="21511" spans="3:47">
      <c r="C21511" s="20"/>
      <c r="Z21511" s="20"/>
      <c r="AG21511" s="20"/>
      <c r="AQ21511" s="19"/>
      <c r="AR21511" s="19"/>
      <c r="AS21511" s="19"/>
      <c r="AT21511" s="19"/>
      <c r="AU21511" s="19"/>
    </row>
    <row r="21512" spans="3:47">
      <c r="C21512" s="20"/>
      <c r="Z21512" s="20"/>
      <c r="AG21512" s="20"/>
      <c r="AQ21512" s="19"/>
      <c r="AR21512" s="19"/>
      <c r="AS21512" s="19"/>
      <c r="AT21512" s="19"/>
      <c r="AU21512" s="19"/>
    </row>
    <row r="21513" spans="3:47">
      <c r="C21513" s="20"/>
      <c r="Z21513" s="20"/>
      <c r="AG21513" s="20"/>
      <c r="AQ21513" s="19"/>
      <c r="AR21513" s="19"/>
      <c r="AS21513" s="19"/>
      <c r="AT21513" s="19"/>
      <c r="AU21513" s="19"/>
    </row>
    <row r="21514" spans="3:47">
      <c r="C21514" s="20"/>
      <c r="Z21514" s="20"/>
      <c r="AG21514" s="20"/>
      <c r="AQ21514" s="19"/>
      <c r="AR21514" s="19"/>
      <c r="AS21514" s="19"/>
      <c r="AT21514" s="19"/>
      <c r="AU21514" s="19"/>
    </row>
    <row r="21515" spans="3:47">
      <c r="C21515" s="20"/>
      <c r="Z21515" s="20"/>
      <c r="AG21515" s="20"/>
      <c r="AQ21515" s="19"/>
      <c r="AR21515" s="19"/>
      <c r="AS21515" s="19"/>
      <c r="AT21515" s="19"/>
      <c r="AU21515" s="19"/>
    </row>
    <row r="21516" spans="3:47">
      <c r="C21516" s="20"/>
      <c r="Z21516" s="20"/>
      <c r="AG21516" s="20"/>
      <c r="AQ21516" s="19"/>
      <c r="AR21516" s="19"/>
      <c r="AS21516" s="19"/>
      <c r="AT21516" s="19"/>
      <c r="AU21516" s="19"/>
    </row>
    <row r="21517" spans="3:47">
      <c r="C21517" s="20"/>
      <c r="Z21517" s="20"/>
      <c r="AG21517" s="20"/>
      <c r="AQ21517" s="19"/>
      <c r="AR21517" s="19"/>
      <c r="AS21517" s="19"/>
      <c r="AT21517" s="19"/>
      <c r="AU21517" s="19"/>
    </row>
    <row r="21518" spans="3:47">
      <c r="C21518" s="20"/>
      <c r="Z21518" s="20"/>
      <c r="AG21518" s="20"/>
      <c r="AQ21518" s="19"/>
      <c r="AR21518" s="19"/>
      <c r="AS21518" s="19"/>
      <c r="AT21518" s="19"/>
      <c r="AU21518" s="19"/>
    </row>
    <row r="21519" spans="3:47">
      <c r="C21519" s="20"/>
      <c r="Z21519" s="20"/>
      <c r="AG21519" s="20"/>
      <c r="AQ21519" s="19"/>
      <c r="AR21519" s="19"/>
      <c r="AS21519" s="19"/>
      <c r="AT21519" s="19"/>
      <c r="AU21519" s="19"/>
    </row>
    <row r="21520" spans="3:47">
      <c r="C21520" s="20"/>
      <c r="Z21520" s="20"/>
      <c r="AG21520" s="20"/>
      <c r="AQ21520" s="19"/>
      <c r="AR21520" s="19"/>
      <c r="AS21520" s="19"/>
      <c r="AT21520" s="19"/>
      <c r="AU21520" s="19"/>
    </row>
    <row r="21521" spans="3:47">
      <c r="C21521" s="20"/>
      <c r="Z21521" s="20"/>
      <c r="AG21521" s="20"/>
      <c r="AQ21521" s="19"/>
      <c r="AR21521" s="19"/>
      <c r="AS21521" s="19"/>
      <c r="AT21521" s="19"/>
      <c r="AU21521" s="19"/>
    </row>
    <row r="21522" spans="3:47">
      <c r="C21522" s="20"/>
      <c r="Z21522" s="20"/>
      <c r="AG21522" s="20"/>
      <c r="AQ21522" s="19"/>
      <c r="AR21522" s="19"/>
      <c r="AS21522" s="19"/>
      <c r="AT21522" s="19"/>
      <c r="AU21522" s="19"/>
    </row>
    <row r="21523" spans="3:47">
      <c r="C21523" s="20"/>
      <c r="Z21523" s="20"/>
      <c r="AG21523" s="20"/>
      <c r="AQ21523" s="19"/>
      <c r="AR21523" s="19"/>
      <c r="AS21523" s="19"/>
      <c r="AT21523" s="19"/>
      <c r="AU21523" s="19"/>
    </row>
    <row r="21524" spans="3:47">
      <c r="C21524" s="20"/>
      <c r="Z21524" s="20"/>
      <c r="AG21524" s="20"/>
      <c r="AQ21524" s="19"/>
      <c r="AR21524" s="19"/>
      <c r="AS21524" s="19"/>
      <c r="AT21524" s="19"/>
      <c r="AU21524" s="19"/>
    </row>
    <row r="21525" spans="3:47">
      <c r="C21525" s="20"/>
      <c r="Z21525" s="20"/>
      <c r="AG21525" s="20"/>
      <c r="AQ21525" s="19"/>
      <c r="AR21525" s="19"/>
      <c r="AS21525" s="19"/>
      <c r="AT21525" s="19"/>
      <c r="AU21525" s="19"/>
    </row>
    <row r="21526" spans="3:47">
      <c r="C21526" s="20"/>
      <c r="Z21526" s="20"/>
      <c r="AG21526" s="20"/>
      <c r="AQ21526" s="19"/>
      <c r="AR21526" s="19"/>
      <c r="AS21526" s="19"/>
      <c r="AT21526" s="19"/>
      <c r="AU21526" s="19"/>
    </row>
    <row r="21527" spans="3:47">
      <c r="C21527" s="20"/>
      <c r="Z21527" s="20"/>
      <c r="AG21527" s="20"/>
      <c r="AQ21527" s="19"/>
      <c r="AR21527" s="19"/>
      <c r="AS21527" s="19"/>
      <c r="AT21527" s="19"/>
      <c r="AU21527" s="19"/>
    </row>
    <row r="21528" spans="3:47">
      <c r="C21528" s="20"/>
      <c r="Z21528" s="20"/>
      <c r="AG21528" s="20"/>
      <c r="AQ21528" s="19"/>
      <c r="AR21528" s="19"/>
      <c r="AS21528" s="19"/>
      <c r="AT21528" s="19"/>
      <c r="AU21528" s="19"/>
    </row>
    <row r="21529" spans="3:47">
      <c r="C21529" s="20"/>
      <c r="Z21529" s="20"/>
      <c r="AG21529" s="20"/>
      <c r="AQ21529" s="19"/>
      <c r="AR21529" s="19"/>
      <c r="AS21529" s="19"/>
      <c r="AT21529" s="19"/>
      <c r="AU21529" s="19"/>
    </row>
    <row r="21530" spans="3:47">
      <c r="C21530" s="20"/>
      <c r="Z21530" s="20"/>
      <c r="AG21530" s="20"/>
      <c r="AQ21530" s="19"/>
      <c r="AR21530" s="19"/>
      <c r="AS21530" s="19"/>
      <c r="AT21530" s="19"/>
      <c r="AU21530" s="19"/>
    </row>
    <row r="21531" spans="3:47">
      <c r="C21531" s="20"/>
      <c r="Z21531" s="20"/>
      <c r="AG21531" s="20"/>
      <c r="AQ21531" s="19"/>
      <c r="AR21531" s="19"/>
      <c r="AS21531" s="19"/>
      <c r="AT21531" s="19"/>
      <c r="AU21531" s="19"/>
    </row>
    <row r="21532" spans="3:47">
      <c r="C21532" s="20"/>
      <c r="Z21532" s="20"/>
      <c r="AG21532" s="20"/>
      <c r="AQ21532" s="19"/>
      <c r="AR21532" s="19"/>
      <c r="AS21532" s="19"/>
      <c r="AT21532" s="19"/>
      <c r="AU21532" s="19"/>
    </row>
    <row r="21533" spans="3:47">
      <c r="C21533" s="20"/>
      <c r="Z21533" s="20"/>
      <c r="AG21533" s="20"/>
      <c r="AQ21533" s="19"/>
      <c r="AR21533" s="19"/>
      <c r="AS21533" s="19"/>
      <c r="AT21533" s="19"/>
      <c r="AU21533" s="19"/>
    </row>
    <row r="21534" spans="3:47">
      <c r="C21534" s="20"/>
      <c r="Z21534" s="20"/>
      <c r="AG21534" s="20"/>
      <c r="AQ21534" s="19"/>
      <c r="AR21534" s="19"/>
      <c r="AS21534" s="19"/>
      <c r="AT21534" s="19"/>
      <c r="AU21534" s="19"/>
    </row>
    <row r="21535" spans="3:47">
      <c r="C21535" s="20"/>
      <c r="Z21535" s="20"/>
      <c r="AG21535" s="20"/>
      <c r="AQ21535" s="19"/>
      <c r="AR21535" s="19"/>
      <c r="AS21535" s="19"/>
      <c r="AT21535" s="19"/>
      <c r="AU21535" s="19"/>
    </row>
    <row r="21536" spans="3:47">
      <c r="C21536" s="20"/>
      <c r="Z21536" s="20"/>
      <c r="AG21536" s="20"/>
      <c r="AQ21536" s="19"/>
      <c r="AR21536" s="19"/>
      <c r="AS21536" s="19"/>
      <c r="AT21536" s="19"/>
      <c r="AU21536" s="19"/>
    </row>
    <row r="21537" spans="3:47">
      <c r="C21537" s="20"/>
      <c r="Z21537" s="20"/>
      <c r="AG21537" s="20"/>
      <c r="AQ21537" s="19"/>
      <c r="AR21537" s="19"/>
      <c r="AS21537" s="19"/>
      <c r="AT21537" s="19"/>
      <c r="AU21537" s="19"/>
    </row>
    <row r="21538" spans="3:47">
      <c r="C21538" s="20"/>
      <c r="Z21538" s="20"/>
      <c r="AG21538" s="20"/>
      <c r="AQ21538" s="19"/>
      <c r="AR21538" s="19"/>
      <c r="AS21538" s="19"/>
      <c r="AT21538" s="19"/>
      <c r="AU21538" s="19"/>
    </row>
    <row r="21539" spans="3:47">
      <c r="C21539" s="20"/>
      <c r="Z21539" s="20"/>
      <c r="AG21539" s="20"/>
      <c r="AQ21539" s="19"/>
      <c r="AR21539" s="19"/>
      <c r="AS21539" s="19"/>
      <c r="AT21539" s="19"/>
      <c r="AU21539" s="19"/>
    </row>
    <row r="21540" spans="3:47">
      <c r="C21540" s="20"/>
      <c r="Z21540" s="20"/>
      <c r="AG21540" s="20"/>
      <c r="AQ21540" s="19"/>
      <c r="AR21540" s="19"/>
      <c r="AS21540" s="19"/>
      <c r="AT21540" s="19"/>
      <c r="AU21540" s="19"/>
    </row>
    <row r="21541" spans="3:47">
      <c r="C21541" s="20"/>
      <c r="Z21541" s="20"/>
      <c r="AG21541" s="20"/>
      <c r="AQ21541" s="19"/>
      <c r="AR21541" s="19"/>
      <c r="AS21541" s="19"/>
      <c r="AT21541" s="19"/>
      <c r="AU21541" s="19"/>
    </row>
    <row r="21542" spans="3:47">
      <c r="C21542" s="20"/>
      <c r="Z21542" s="20"/>
      <c r="AG21542" s="20"/>
      <c r="AQ21542" s="19"/>
      <c r="AR21542" s="19"/>
      <c r="AS21542" s="19"/>
      <c r="AT21542" s="19"/>
      <c r="AU21542" s="19"/>
    </row>
    <row r="21543" spans="3:47">
      <c r="C21543" s="20"/>
      <c r="Z21543" s="20"/>
      <c r="AG21543" s="20"/>
      <c r="AQ21543" s="19"/>
      <c r="AR21543" s="19"/>
      <c r="AS21543" s="19"/>
      <c r="AT21543" s="19"/>
      <c r="AU21543" s="19"/>
    </row>
    <row r="21544" spans="3:47">
      <c r="C21544" s="20"/>
      <c r="Z21544" s="20"/>
      <c r="AG21544" s="20"/>
      <c r="AQ21544" s="19"/>
      <c r="AR21544" s="19"/>
      <c r="AS21544" s="19"/>
      <c r="AT21544" s="19"/>
      <c r="AU21544" s="19"/>
    </row>
    <row r="21545" spans="3:47">
      <c r="C21545" s="20"/>
      <c r="Z21545" s="20"/>
      <c r="AG21545" s="20"/>
      <c r="AQ21545" s="19"/>
      <c r="AR21545" s="19"/>
      <c r="AS21545" s="19"/>
      <c r="AT21545" s="19"/>
      <c r="AU21545" s="19"/>
    </row>
    <row r="21546" spans="3:47">
      <c r="C21546" s="20"/>
      <c r="Z21546" s="20"/>
      <c r="AG21546" s="20"/>
      <c r="AQ21546" s="19"/>
      <c r="AR21546" s="19"/>
      <c r="AS21546" s="19"/>
      <c r="AT21546" s="19"/>
      <c r="AU21546" s="19"/>
    </row>
    <row r="21547" spans="3:47">
      <c r="C21547" s="20"/>
      <c r="Z21547" s="20"/>
      <c r="AG21547" s="20"/>
      <c r="AQ21547" s="19"/>
      <c r="AR21547" s="19"/>
      <c r="AS21547" s="19"/>
      <c r="AT21547" s="19"/>
      <c r="AU21547" s="19"/>
    </row>
    <row r="21548" spans="3:47">
      <c r="C21548" s="20"/>
      <c r="Z21548" s="20"/>
      <c r="AG21548" s="20"/>
      <c r="AQ21548" s="19"/>
      <c r="AR21548" s="19"/>
      <c r="AS21548" s="19"/>
      <c r="AT21548" s="19"/>
      <c r="AU21548" s="19"/>
    </row>
    <row r="21549" spans="3:47">
      <c r="C21549" s="20"/>
      <c r="Z21549" s="20"/>
      <c r="AG21549" s="20"/>
      <c r="AQ21549" s="19"/>
      <c r="AR21549" s="19"/>
      <c r="AS21549" s="19"/>
      <c r="AT21549" s="19"/>
      <c r="AU21549" s="19"/>
    </row>
    <row r="21550" spans="3:47">
      <c r="C21550" s="20"/>
      <c r="Z21550" s="20"/>
      <c r="AG21550" s="20"/>
      <c r="AQ21550" s="19"/>
      <c r="AR21550" s="19"/>
      <c r="AS21550" s="19"/>
      <c r="AT21550" s="19"/>
      <c r="AU21550" s="19"/>
    </row>
    <row r="21551" spans="3:47">
      <c r="C21551" s="20"/>
      <c r="Z21551" s="20"/>
      <c r="AG21551" s="20"/>
      <c r="AQ21551" s="19"/>
      <c r="AR21551" s="19"/>
      <c r="AS21551" s="19"/>
      <c r="AT21551" s="19"/>
      <c r="AU21551" s="19"/>
    </row>
    <row r="21552" spans="3:47">
      <c r="C21552" s="20"/>
      <c r="Z21552" s="20"/>
      <c r="AG21552" s="20"/>
      <c r="AQ21552" s="19"/>
      <c r="AR21552" s="19"/>
      <c r="AS21552" s="19"/>
      <c r="AT21552" s="19"/>
      <c r="AU21552" s="19"/>
    </row>
    <row r="21553" spans="3:47">
      <c r="C21553" s="20"/>
      <c r="Z21553" s="20"/>
      <c r="AG21553" s="20"/>
      <c r="AQ21553" s="19"/>
      <c r="AR21553" s="19"/>
      <c r="AS21553" s="19"/>
      <c r="AT21553" s="19"/>
      <c r="AU21553" s="19"/>
    </row>
    <row r="21554" spans="3:47">
      <c r="C21554" s="20"/>
      <c r="Z21554" s="20"/>
      <c r="AG21554" s="20"/>
      <c r="AQ21554" s="19"/>
      <c r="AR21554" s="19"/>
      <c r="AS21554" s="19"/>
      <c r="AT21554" s="19"/>
      <c r="AU21554" s="19"/>
    </row>
    <row r="21555" spans="3:47">
      <c r="C21555" s="20"/>
      <c r="Z21555" s="20"/>
      <c r="AG21555" s="20"/>
      <c r="AQ21555" s="19"/>
      <c r="AR21555" s="19"/>
      <c r="AS21555" s="19"/>
      <c r="AT21555" s="19"/>
      <c r="AU21555" s="19"/>
    </row>
    <row r="21556" spans="3:47">
      <c r="C21556" s="20"/>
      <c r="Z21556" s="20"/>
      <c r="AG21556" s="20"/>
      <c r="AQ21556" s="19"/>
      <c r="AR21556" s="19"/>
      <c r="AS21556" s="19"/>
      <c r="AT21556" s="19"/>
      <c r="AU21556" s="19"/>
    </row>
    <row r="21557" spans="3:47">
      <c r="C21557" s="20"/>
      <c r="Z21557" s="20"/>
      <c r="AG21557" s="20"/>
      <c r="AQ21557" s="19"/>
      <c r="AR21557" s="19"/>
      <c r="AS21557" s="19"/>
      <c r="AT21557" s="19"/>
      <c r="AU21557" s="19"/>
    </row>
    <row r="21558" spans="3:47">
      <c r="C21558" s="20"/>
      <c r="Z21558" s="20"/>
      <c r="AG21558" s="20"/>
      <c r="AQ21558" s="19"/>
      <c r="AR21558" s="19"/>
      <c r="AS21558" s="19"/>
      <c r="AT21558" s="19"/>
      <c r="AU21558" s="19"/>
    </row>
    <row r="21559" spans="3:47">
      <c r="C21559" s="20"/>
      <c r="Z21559" s="20"/>
      <c r="AG21559" s="20"/>
      <c r="AQ21559" s="19"/>
      <c r="AR21559" s="19"/>
      <c r="AS21559" s="19"/>
      <c r="AT21559" s="19"/>
      <c r="AU21559" s="19"/>
    </row>
    <row r="21560" spans="3:47">
      <c r="C21560" s="20"/>
      <c r="Z21560" s="20"/>
      <c r="AG21560" s="20"/>
      <c r="AQ21560" s="19"/>
      <c r="AR21560" s="19"/>
      <c r="AS21560" s="19"/>
      <c r="AT21560" s="19"/>
      <c r="AU21560" s="19"/>
    </row>
    <row r="21561" spans="3:47">
      <c r="C21561" s="20"/>
      <c r="Z21561" s="20"/>
      <c r="AG21561" s="20"/>
      <c r="AQ21561" s="19"/>
      <c r="AR21561" s="19"/>
      <c r="AS21561" s="19"/>
      <c r="AT21561" s="19"/>
      <c r="AU21561" s="19"/>
    </row>
    <row r="21562" spans="3:47">
      <c r="C21562" s="20"/>
      <c r="Z21562" s="20"/>
      <c r="AG21562" s="20"/>
      <c r="AQ21562" s="19"/>
      <c r="AR21562" s="19"/>
      <c r="AS21562" s="19"/>
      <c r="AT21562" s="19"/>
      <c r="AU21562" s="19"/>
    </row>
    <row r="21563" spans="3:47">
      <c r="C21563" s="20"/>
      <c r="Z21563" s="20"/>
      <c r="AG21563" s="20"/>
      <c r="AQ21563" s="19"/>
      <c r="AR21563" s="19"/>
      <c r="AS21563" s="19"/>
      <c r="AT21563" s="19"/>
      <c r="AU21563" s="19"/>
    </row>
    <row r="21564" spans="3:47">
      <c r="C21564" s="20"/>
      <c r="Z21564" s="20"/>
      <c r="AG21564" s="20"/>
      <c r="AQ21564" s="19"/>
      <c r="AR21564" s="19"/>
      <c r="AS21564" s="19"/>
      <c r="AT21564" s="19"/>
      <c r="AU21564" s="19"/>
    </row>
    <row r="21565" spans="3:47">
      <c r="C21565" s="20"/>
      <c r="Z21565" s="20"/>
      <c r="AG21565" s="20"/>
      <c r="AQ21565" s="19"/>
      <c r="AR21565" s="19"/>
      <c r="AS21565" s="19"/>
      <c r="AT21565" s="19"/>
      <c r="AU21565" s="19"/>
    </row>
    <row r="21566" spans="3:47">
      <c r="C21566" s="20"/>
      <c r="Z21566" s="20"/>
      <c r="AG21566" s="20"/>
      <c r="AQ21566" s="19"/>
      <c r="AR21566" s="19"/>
      <c r="AS21566" s="19"/>
      <c r="AT21566" s="19"/>
      <c r="AU21566" s="19"/>
    </row>
    <row r="21567" spans="3:47">
      <c r="C21567" s="20"/>
      <c r="Z21567" s="20"/>
      <c r="AG21567" s="20"/>
      <c r="AQ21567" s="19"/>
      <c r="AR21567" s="19"/>
      <c r="AS21567" s="19"/>
      <c r="AT21567" s="19"/>
      <c r="AU21567" s="19"/>
    </row>
    <row r="21568" spans="3:47">
      <c r="C21568" s="20"/>
      <c r="Z21568" s="20"/>
      <c r="AG21568" s="20"/>
      <c r="AQ21568" s="19"/>
      <c r="AR21568" s="19"/>
      <c r="AS21568" s="19"/>
      <c r="AT21568" s="19"/>
      <c r="AU21568" s="19"/>
    </row>
    <row r="21569" spans="3:47">
      <c r="C21569" s="20"/>
      <c r="Z21569" s="20"/>
      <c r="AG21569" s="20"/>
      <c r="AQ21569" s="19"/>
      <c r="AR21569" s="19"/>
      <c r="AS21569" s="19"/>
      <c r="AT21569" s="19"/>
      <c r="AU21569" s="19"/>
    </row>
    <row r="21570" spans="3:47">
      <c r="C21570" s="20"/>
      <c r="Z21570" s="20"/>
      <c r="AG21570" s="20"/>
      <c r="AQ21570" s="19"/>
      <c r="AR21570" s="19"/>
      <c r="AS21570" s="19"/>
      <c r="AT21570" s="19"/>
      <c r="AU21570" s="19"/>
    </row>
    <row r="21571" spans="3:47">
      <c r="C21571" s="20"/>
      <c r="Z21571" s="20"/>
      <c r="AG21571" s="20"/>
      <c r="AQ21571" s="19"/>
      <c r="AR21571" s="19"/>
      <c r="AS21571" s="19"/>
      <c r="AT21571" s="19"/>
      <c r="AU21571" s="19"/>
    </row>
    <row r="21572" spans="3:47">
      <c r="C21572" s="20"/>
      <c r="Z21572" s="20"/>
      <c r="AG21572" s="20"/>
      <c r="AQ21572" s="19"/>
      <c r="AR21572" s="19"/>
      <c r="AS21572" s="19"/>
      <c r="AT21572" s="19"/>
      <c r="AU21572" s="19"/>
    </row>
    <row r="21573" spans="3:47">
      <c r="C21573" s="20"/>
      <c r="Z21573" s="20"/>
      <c r="AG21573" s="20"/>
      <c r="AQ21573" s="19"/>
      <c r="AR21573" s="19"/>
      <c r="AS21573" s="19"/>
      <c r="AT21573" s="19"/>
      <c r="AU21573" s="19"/>
    </row>
    <row r="21574" spans="3:47">
      <c r="C21574" s="20"/>
      <c r="Z21574" s="20"/>
      <c r="AG21574" s="20"/>
      <c r="AQ21574" s="19"/>
      <c r="AR21574" s="19"/>
      <c r="AS21574" s="19"/>
      <c r="AT21574" s="19"/>
      <c r="AU21574" s="19"/>
    </row>
    <row r="21575" spans="3:47">
      <c r="C21575" s="20"/>
      <c r="Z21575" s="20"/>
      <c r="AG21575" s="20"/>
      <c r="AQ21575" s="19"/>
      <c r="AR21575" s="19"/>
      <c r="AS21575" s="19"/>
      <c r="AT21575" s="19"/>
      <c r="AU21575" s="19"/>
    </row>
    <row r="21576" spans="3:47">
      <c r="C21576" s="20"/>
      <c r="Z21576" s="20"/>
      <c r="AG21576" s="20"/>
      <c r="AQ21576" s="19"/>
      <c r="AR21576" s="19"/>
      <c r="AS21576" s="19"/>
      <c r="AT21576" s="19"/>
      <c r="AU21576" s="19"/>
    </row>
    <row r="21577" spans="3:47">
      <c r="C21577" s="20"/>
      <c r="Z21577" s="20"/>
      <c r="AG21577" s="20"/>
      <c r="AQ21577" s="19"/>
      <c r="AR21577" s="19"/>
      <c r="AS21577" s="19"/>
      <c r="AT21577" s="19"/>
      <c r="AU21577" s="19"/>
    </row>
    <row r="21578" spans="3:47">
      <c r="C21578" s="20"/>
      <c r="Z21578" s="20"/>
      <c r="AG21578" s="20"/>
      <c r="AQ21578" s="19"/>
      <c r="AR21578" s="19"/>
      <c r="AS21578" s="19"/>
      <c r="AT21578" s="19"/>
      <c r="AU21578" s="19"/>
    </row>
    <row r="21579" spans="3:47">
      <c r="C21579" s="20"/>
      <c r="Z21579" s="20"/>
      <c r="AG21579" s="20"/>
      <c r="AQ21579" s="19"/>
      <c r="AR21579" s="19"/>
      <c r="AS21579" s="19"/>
      <c r="AT21579" s="19"/>
      <c r="AU21579" s="19"/>
    </row>
    <row r="21580" spans="3:47">
      <c r="C21580" s="20"/>
      <c r="Z21580" s="20"/>
      <c r="AG21580" s="20"/>
      <c r="AQ21580" s="19"/>
      <c r="AR21580" s="19"/>
      <c r="AS21580" s="19"/>
      <c r="AT21580" s="19"/>
      <c r="AU21580" s="19"/>
    </row>
    <row r="21581" spans="3:47">
      <c r="C21581" s="20"/>
      <c r="Z21581" s="20"/>
      <c r="AG21581" s="20"/>
      <c r="AQ21581" s="19"/>
      <c r="AR21581" s="19"/>
      <c r="AS21581" s="19"/>
      <c r="AT21581" s="19"/>
      <c r="AU21581" s="19"/>
    </row>
    <row r="21582" spans="3:47">
      <c r="C21582" s="20"/>
      <c r="Z21582" s="20"/>
      <c r="AG21582" s="20"/>
      <c r="AQ21582" s="19"/>
      <c r="AR21582" s="19"/>
      <c r="AS21582" s="19"/>
      <c r="AT21582" s="19"/>
      <c r="AU21582" s="19"/>
    </row>
    <row r="21583" spans="3:47">
      <c r="C21583" s="20"/>
      <c r="Z21583" s="20"/>
      <c r="AG21583" s="20"/>
      <c r="AQ21583" s="19"/>
      <c r="AR21583" s="19"/>
      <c r="AS21583" s="19"/>
      <c r="AT21583" s="19"/>
      <c r="AU21583" s="19"/>
    </row>
    <row r="21584" spans="3:47">
      <c r="C21584" s="20"/>
      <c r="Z21584" s="20"/>
      <c r="AG21584" s="20"/>
      <c r="AQ21584" s="19"/>
      <c r="AR21584" s="19"/>
      <c r="AS21584" s="19"/>
      <c r="AT21584" s="19"/>
      <c r="AU21584" s="19"/>
    </row>
    <row r="21585" spans="3:47">
      <c r="C21585" s="20"/>
      <c r="Z21585" s="20"/>
      <c r="AG21585" s="20"/>
      <c r="AQ21585" s="19"/>
      <c r="AR21585" s="19"/>
      <c r="AS21585" s="19"/>
      <c r="AT21585" s="19"/>
      <c r="AU21585" s="19"/>
    </row>
    <row r="21586" spans="3:47">
      <c r="C21586" s="20"/>
      <c r="Z21586" s="20"/>
      <c r="AG21586" s="20"/>
      <c r="AQ21586" s="19"/>
      <c r="AR21586" s="19"/>
      <c r="AS21586" s="19"/>
      <c r="AT21586" s="19"/>
      <c r="AU21586" s="19"/>
    </row>
    <row r="21587" spans="3:47">
      <c r="C21587" s="20"/>
      <c r="Z21587" s="20"/>
      <c r="AG21587" s="20"/>
      <c r="AQ21587" s="19"/>
      <c r="AR21587" s="19"/>
      <c r="AS21587" s="19"/>
      <c r="AT21587" s="19"/>
      <c r="AU21587" s="19"/>
    </row>
    <row r="21588" spans="3:47">
      <c r="C21588" s="20"/>
      <c r="Z21588" s="20"/>
      <c r="AG21588" s="20"/>
      <c r="AQ21588" s="19"/>
      <c r="AR21588" s="19"/>
      <c r="AS21588" s="19"/>
      <c r="AT21588" s="19"/>
      <c r="AU21588" s="19"/>
    </row>
    <row r="21589" spans="3:47">
      <c r="C21589" s="20"/>
      <c r="Z21589" s="20"/>
      <c r="AG21589" s="20"/>
      <c r="AQ21589" s="19"/>
      <c r="AR21589" s="19"/>
      <c r="AS21589" s="19"/>
      <c r="AT21589" s="19"/>
      <c r="AU21589" s="19"/>
    </row>
    <row r="21590" spans="3:47">
      <c r="C21590" s="20"/>
      <c r="Z21590" s="20"/>
      <c r="AG21590" s="20"/>
      <c r="AQ21590" s="19"/>
      <c r="AR21590" s="19"/>
      <c r="AS21590" s="19"/>
      <c r="AT21590" s="19"/>
      <c r="AU21590" s="19"/>
    </row>
    <row r="21591" spans="3:47">
      <c r="C21591" s="20"/>
      <c r="Z21591" s="20"/>
      <c r="AG21591" s="20"/>
      <c r="AQ21591" s="19"/>
      <c r="AR21591" s="19"/>
      <c r="AS21591" s="19"/>
      <c r="AT21591" s="19"/>
      <c r="AU21591" s="19"/>
    </row>
    <row r="21592" spans="3:47">
      <c r="C21592" s="20"/>
      <c r="Z21592" s="20"/>
      <c r="AG21592" s="20"/>
      <c r="AQ21592" s="19"/>
      <c r="AR21592" s="19"/>
      <c r="AS21592" s="19"/>
      <c r="AT21592" s="19"/>
      <c r="AU21592" s="19"/>
    </row>
    <row r="21593" spans="3:47">
      <c r="C21593" s="20"/>
      <c r="Z21593" s="20"/>
      <c r="AG21593" s="20"/>
      <c r="AQ21593" s="19"/>
      <c r="AR21593" s="19"/>
      <c r="AS21593" s="19"/>
      <c r="AT21593" s="19"/>
      <c r="AU21593" s="19"/>
    </row>
    <row r="21594" spans="3:47">
      <c r="C21594" s="20"/>
      <c r="Z21594" s="20"/>
      <c r="AG21594" s="20"/>
      <c r="AQ21594" s="19"/>
      <c r="AR21594" s="19"/>
      <c r="AS21594" s="19"/>
      <c r="AT21594" s="19"/>
      <c r="AU21594" s="19"/>
    </row>
    <row r="21595" spans="3:47">
      <c r="C21595" s="20"/>
      <c r="Z21595" s="20"/>
      <c r="AG21595" s="20"/>
      <c r="AQ21595" s="19"/>
      <c r="AR21595" s="19"/>
      <c r="AS21595" s="19"/>
      <c r="AT21595" s="19"/>
      <c r="AU21595" s="19"/>
    </row>
    <row r="21596" spans="3:47">
      <c r="C21596" s="20"/>
      <c r="Z21596" s="20"/>
      <c r="AG21596" s="20"/>
      <c r="AQ21596" s="19"/>
      <c r="AR21596" s="19"/>
      <c r="AS21596" s="19"/>
      <c r="AT21596" s="19"/>
      <c r="AU21596" s="19"/>
    </row>
    <row r="21597" spans="3:47">
      <c r="C21597" s="20"/>
      <c r="Z21597" s="20"/>
      <c r="AG21597" s="20"/>
      <c r="AQ21597" s="19"/>
      <c r="AR21597" s="19"/>
      <c r="AS21597" s="19"/>
      <c r="AT21597" s="19"/>
      <c r="AU21597" s="19"/>
    </row>
    <row r="21598" spans="3:47">
      <c r="C21598" s="20"/>
      <c r="Z21598" s="20"/>
      <c r="AG21598" s="20"/>
      <c r="AQ21598" s="19"/>
      <c r="AR21598" s="19"/>
      <c r="AS21598" s="19"/>
      <c r="AT21598" s="19"/>
      <c r="AU21598" s="19"/>
    </row>
    <row r="21599" spans="3:47">
      <c r="C21599" s="20"/>
      <c r="Z21599" s="20"/>
      <c r="AG21599" s="20"/>
      <c r="AQ21599" s="19"/>
      <c r="AR21599" s="19"/>
      <c r="AS21599" s="19"/>
      <c r="AT21599" s="19"/>
      <c r="AU21599" s="19"/>
    </row>
    <row r="21600" spans="3:47">
      <c r="C21600" s="20"/>
      <c r="Z21600" s="20"/>
      <c r="AG21600" s="20"/>
      <c r="AQ21600" s="19"/>
      <c r="AR21600" s="19"/>
      <c r="AS21600" s="19"/>
      <c r="AT21600" s="19"/>
      <c r="AU21600" s="19"/>
    </row>
    <row r="21601" spans="3:47">
      <c r="C21601" s="20"/>
      <c r="Z21601" s="20"/>
      <c r="AG21601" s="20"/>
      <c r="AQ21601" s="19"/>
      <c r="AR21601" s="19"/>
      <c r="AS21601" s="19"/>
      <c r="AT21601" s="19"/>
      <c r="AU21601" s="19"/>
    </row>
    <row r="21602" spans="3:47">
      <c r="C21602" s="20"/>
      <c r="Z21602" s="20"/>
      <c r="AG21602" s="20"/>
      <c r="AQ21602" s="19"/>
      <c r="AR21602" s="19"/>
      <c r="AS21602" s="19"/>
      <c r="AT21602" s="19"/>
      <c r="AU21602" s="19"/>
    </row>
    <row r="21603" spans="3:47">
      <c r="C21603" s="20"/>
      <c r="Z21603" s="20"/>
      <c r="AG21603" s="20"/>
      <c r="AQ21603" s="19"/>
      <c r="AR21603" s="19"/>
      <c r="AS21603" s="19"/>
      <c r="AT21603" s="19"/>
      <c r="AU21603" s="19"/>
    </row>
    <row r="21604" spans="3:47">
      <c r="C21604" s="20"/>
      <c r="Z21604" s="20"/>
      <c r="AG21604" s="20"/>
      <c r="AQ21604" s="19"/>
      <c r="AR21604" s="19"/>
      <c r="AS21604" s="19"/>
      <c r="AT21604" s="19"/>
      <c r="AU21604" s="19"/>
    </row>
    <row r="21605" spans="3:47">
      <c r="C21605" s="20"/>
      <c r="Z21605" s="20"/>
      <c r="AG21605" s="20"/>
      <c r="AQ21605" s="19"/>
      <c r="AR21605" s="19"/>
      <c r="AS21605" s="19"/>
      <c r="AT21605" s="19"/>
      <c r="AU21605" s="19"/>
    </row>
    <row r="21606" spans="3:47">
      <c r="C21606" s="20"/>
      <c r="Z21606" s="20"/>
      <c r="AG21606" s="20"/>
      <c r="AQ21606" s="19"/>
      <c r="AR21606" s="19"/>
      <c r="AS21606" s="19"/>
      <c r="AT21606" s="19"/>
      <c r="AU21606" s="19"/>
    </row>
    <row r="21607" spans="3:47">
      <c r="C21607" s="20"/>
      <c r="Z21607" s="20"/>
      <c r="AG21607" s="20"/>
      <c r="AQ21607" s="19"/>
      <c r="AR21607" s="19"/>
      <c r="AS21607" s="19"/>
      <c r="AT21607" s="19"/>
      <c r="AU21607" s="19"/>
    </row>
    <row r="21608" spans="3:47">
      <c r="C21608" s="20"/>
      <c r="Z21608" s="20"/>
      <c r="AG21608" s="20"/>
      <c r="AQ21608" s="19"/>
      <c r="AR21608" s="19"/>
      <c r="AS21608" s="19"/>
      <c r="AT21608" s="19"/>
      <c r="AU21608" s="19"/>
    </row>
    <row r="21609" spans="3:47">
      <c r="C21609" s="20"/>
      <c r="Z21609" s="20"/>
      <c r="AG21609" s="20"/>
      <c r="AQ21609" s="19"/>
      <c r="AR21609" s="19"/>
      <c r="AS21609" s="19"/>
      <c r="AT21609" s="19"/>
      <c r="AU21609" s="19"/>
    </row>
    <row r="21610" spans="3:47">
      <c r="C21610" s="20"/>
      <c r="Z21610" s="20"/>
      <c r="AG21610" s="20"/>
      <c r="AQ21610" s="19"/>
      <c r="AR21610" s="19"/>
      <c r="AS21610" s="19"/>
      <c r="AT21610" s="19"/>
      <c r="AU21610" s="19"/>
    </row>
    <row r="21611" spans="3:47">
      <c r="C21611" s="20"/>
      <c r="Z21611" s="20"/>
      <c r="AG21611" s="20"/>
      <c r="AQ21611" s="19"/>
      <c r="AR21611" s="19"/>
      <c r="AS21611" s="19"/>
      <c r="AT21611" s="19"/>
      <c r="AU21611" s="19"/>
    </row>
    <row r="21612" spans="3:47">
      <c r="C21612" s="20"/>
      <c r="Z21612" s="20"/>
      <c r="AG21612" s="20"/>
      <c r="AQ21612" s="19"/>
      <c r="AR21612" s="19"/>
      <c r="AS21612" s="19"/>
      <c r="AT21612" s="19"/>
      <c r="AU21612" s="19"/>
    </row>
    <row r="21613" spans="3:47">
      <c r="C21613" s="20"/>
      <c r="Z21613" s="20"/>
      <c r="AG21613" s="20"/>
      <c r="AQ21613" s="19"/>
      <c r="AR21613" s="19"/>
      <c r="AS21613" s="19"/>
      <c r="AT21613" s="19"/>
      <c r="AU21613" s="19"/>
    </row>
    <row r="21614" spans="3:47">
      <c r="C21614" s="20"/>
      <c r="Z21614" s="20"/>
      <c r="AG21614" s="20"/>
      <c r="AQ21614" s="19"/>
      <c r="AR21614" s="19"/>
      <c r="AS21614" s="19"/>
      <c r="AT21614" s="19"/>
      <c r="AU21614" s="19"/>
    </row>
    <row r="21615" spans="3:47">
      <c r="C21615" s="20"/>
      <c r="Z21615" s="20"/>
      <c r="AG21615" s="20"/>
      <c r="AQ21615" s="19"/>
      <c r="AR21615" s="19"/>
      <c r="AS21615" s="19"/>
      <c r="AT21615" s="19"/>
      <c r="AU21615" s="19"/>
    </row>
    <row r="21616" spans="3:47">
      <c r="C21616" s="20"/>
      <c r="Z21616" s="20"/>
      <c r="AG21616" s="20"/>
      <c r="AQ21616" s="19"/>
      <c r="AR21616" s="19"/>
      <c r="AS21616" s="19"/>
      <c r="AT21616" s="19"/>
      <c r="AU21616" s="19"/>
    </row>
    <row r="21617" spans="3:47">
      <c r="C21617" s="20"/>
      <c r="Z21617" s="20"/>
      <c r="AG21617" s="20"/>
      <c r="AQ21617" s="19"/>
      <c r="AR21617" s="19"/>
      <c r="AS21617" s="19"/>
      <c r="AT21617" s="19"/>
      <c r="AU21617" s="19"/>
    </row>
    <row r="21618" spans="3:47">
      <c r="C21618" s="20"/>
      <c r="Z21618" s="20"/>
      <c r="AG21618" s="20"/>
      <c r="AQ21618" s="19"/>
      <c r="AR21618" s="19"/>
      <c r="AS21618" s="19"/>
      <c r="AT21618" s="19"/>
      <c r="AU21618" s="19"/>
    </row>
    <row r="21619" spans="3:47">
      <c r="C21619" s="20"/>
      <c r="Z21619" s="20"/>
      <c r="AG21619" s="20"/>
      <c r="AQ21619" s="19"/>
      <c r="AR21619" s="19"/>
      <c r="AS21619" s="19"/>
      <c r="AT21619" s="19"/>
      <c r="AU21619" s="19"/>
    </row>
    <row r="21620" spans="3:47">
      <c r="C21620" s="20"/>
      <c r="Z21620" s="20"/>
      <c r="AG21620" s="20"/>
      <c r="AQ21620" s="19"/>
      <c r="AR21620" s="19"/>
      <c r="AS21620" s="19"/>
      <c r="AT21620" s="19"/>
      <c r="AU21620" s="19"/>
    </row>
    <row r="21621" spans="3:47">
      <c r="C21621" s="20"/>
      <c r="Z21621" s="20"/>
      <c r="AG21621" s="20"/>
      <c r="AQ21621" s="19"/>
      <c r="AR21621" s="19"/>
      <c r="AS21621" s="19"/>
      <c r="AT21621" s="19"/>
      <c r="AU21621" s="19"/>
    </row>
    <row r="21622" spans="3:47">
      <c r="C21622" s="20"/>
      <c r="Z21622" s="20"/>
      <c r="AG21622" s="20"/>
      <c r="AQ21622" s="19"/>
      <c r="AR21622" s="19"/>
      <c r="AS21622" s="19"/>
      <c r="AT21622" s="19"/>
      <c r="AU21622" s="19"/>
    </row>
    <row r="21623" spans="3:47">
      <c r="C21623" s="20"/>
      <c r="Z21623" s="20"/>
      <c r="AG21623" s="20"/>
      <c r="AQ21623" s="19"/>
      <c r="AR21623" s="19"/>
      <c r="AS21623" s="19"/>
      <c r="AT21623" s="19"/>
      <c r="AU21623" s="19"/>
    </row>
    <row r="21624" spans="3:47">
      <c r="C21624" s="20"/>
      <c r="Z21624" s="20"/>
      <c r="AG21624" s="20"/>
      <c r="AQ21624" s="19"/>
      <c r="AR21624" s="19"/>
      <c r="AS21624" s="19"/>
      <c r="AT21624" s="19"/>
      <c r="AU21624" s="19"/>
    </row>
    <row r="21625" spans="3:47">
      <c r="C21625" s="20"/>
      <c r="Z21625" s="20"/>
      <c r="AG21625" s="20"/>
      <c r="AQ21625" s="19"/>
      <c r="AR21625" s="19"/>
      <c r="AS21625" s="19"/>
      <c r="AT21625" s="19"/>
      <c r="AU21625" s="19"/>
    </row>
    <row r="21626" spans="3:47">
      <c r="C21626" s="20"/>
      <c r="Z21626" s="20"/>
      <c r="AG21626" s="20"/>
      <c r="AQ21626" s="19"/>
      <c r="AR21626" s="19"/>
      <c r="AS21626" s="19"/>
      <c r="AT21626" s="19"/>
      <c r="AU21626" s="19"/>
    </row>
    <row r="21627" spans="3:47">
      <c r="C21627" s="20"/>
      <c r="Z21627" s="20"/>
      <c r="AG21627" s="20"/>
      <c r="AQ21627" s="19"/>
      <c r="AR21627" s="19"/>
      <c r="AS21627" s="19"/>
      <c r="AT21627" s="19"/>
      <c r="AU21627" s="19"/>
    </row>
    <row r="21628" spans="3:47">
      <c r="C21628" s="20"/>
      <c r="Z21628" s="20"/>
      <c r="AG21628" s="20"/>
      <c r="AQ21628" s="19"/>
      <c r="AR21628" s="19"/>
      <c r="AS21628" s="19"/>
      <c r="AT21628" s="19"/>
      <c r="AU21628" s="19"/>
    </row>
    <row r="21629" spans="3:47">
      <c r="C21629" s="20"/>
      <c r="Z21629" s="20"/>
      <c r="AG21629" s="20"/>
      <c r="AQ21629" s="19"/>
      <c r="AR21629" s="19"/>
      <c r="AS21629" s="19"/>
      <c r="AT21629" s="19"/>
      <c r="AU21629" s="19"/>
    </row>
    <row r="21630" spans="3:47">
      <c r="C21630" s="20"/>
      <c r="Z21630" s="20"/>
      <c r="AG21630" s="20"/>
      <c r="AQ21630" s="19"/>
      <c r="AR21630" s="19"/>
      <c r="AS21630" s="19"/>
      <c r="AT21630" s="19"/>
      <c r="AU21630" s="19"/>
    </row>
    <row r="21631" spans="3:47">
      <c r="C21631" s="20"/>
      <c r="Z21631" s="20"/>
      <c r="AG21631" s="20"/>
      <c r="AQ21631" s="19"/>
      <c r="AR21631" s="19"/>
      <c r="AS21631" s="19"/>
      <c r="AT21631" s="19"/>
      <c r="AU21631" s="19"/>
    </row>
    <row r="21632" spans="3:47">
      <c r="C21632" s="20"/>
      <c r="Z21632" s="20"/>
      <c r="AG21632" s="20"/>
      <c r="AQ21632" s="19"/>
      <c r="AR21632" s="19"/>
      <c r="AS21632" s="19"/>
      <c r="AT21632" s="19"/>
      <c r="AU21632" s="19"/>
    </row>
    <row r="21633" spans="3:47">
      <c r="C21633" s="20"/>
      <c r="Z21633" s="20"/>
      <c r="AG21633" s="20"/>
      <c r="AQ21633" s="19"/>
      <c r="AR21633" s="19"/>
      <c r="AS21633" s="19"/>
      <c r="AT21633" s="19"/>
      <c r="AU21633" s="19"/>
    </row>
    <row r="21634" spans="3:47">
      <c r="C21634" s="20"/>
      <c r="Z21634" s="20"/>
      <c r="AG21634" s="20"/>
      <c r="AQ21634" s="19"/>
      <c r="AR21634" s="19"/>
      <c r="AS21634" s="19"/>
      <c r="AT21634" s="19"/>
      <c r="AU21634" s="19"/>
    </row>
    <row r="21635" spans="3:47">
      <c r="C21635" s="20"/>
      <c r="Z21635" s="20"/>
      <c r="AG21635" s="20"/>
      <c r="AQ21635" s="19"/>
      <c r="AR21635" s="19"/>
      <c r="AS21635" s="19"/>
      <c r="AT21635" s="19"/>
      <c r="AU21635" s="19"/>
    </row>
    <row r="21636" spans="3:47">
      <c r="C21636" s="20"/>
      <c r="Z21636" s="20"/>
      <c r="AG21636" s="20"/>
      <c r="AQ21636" s="19"/>
      <c r="AR21636" s="19"/>
      <c r="AS21636" s="19"/>
      <c r="AT21636" s="19"/>
      <c r="AU21636" s="19"/>
    </row>
    <row r="21637" spans="3:47">
      <c r="C21637" s="20"/>
      <c r="Z21637" s="20"/>
      <c r="AG21637" s="20"/>
      <c r="AQ21637" s="19"/>
      <c r="AR21637" s="19"/>
      <c r="AS21637" s="19"/>
      <c r="AT21637" s="19"/>
      <c r="AU21637" s="19"/>
    </row>
    <row r="21638" spans="3:47">
      <c r="C21638" s="20"/>
      <c r="Z21638" s="20"/>
      <c r="AG21638" s="20"/>
      <c r="AQ21638" s="19"/>
      <c r="AR21638" s="19"/>
      <c r="AS21638" s="19"/>
      <c r="AT21638" s="19"/>
      <c r="AU21638" s="19"/>
    </row>
    <row r="21639" spans="3:47">
      <c r="C21639" s="20"/>
      <c r="Z21639" s="20"/>
      <c r="AG21639" s="20"/>
      <c r="AQ21639" s="19"/>
      <c r="AR21639" s="19"/>
      <c r="AS21639" s="19"/>
      <c r="AT21639" s="19"/>
      <c r="AU21639" s="19"/>
    </row>
    <row r="21640" spans="3:47">
      <c r="C21640" s="20"/>
      <c r="Z21640" s="20"/>
      <c r="AG21640" s="20"/>
      <c r="AQ21640" s="19"/>
      <c r="AR21640" s="19"/>
      <c r="AS21640" s="19"/>
      <c r="AT21640" s="19"/>
      <c r="AU21640" s="19"/>
    </row>
    <row r="21641" spans="3:47">
      <c r="C21641" s="20"/>
      <c r="Z21641" s="20"/>
      <c r="AG21641" s="20"/>
      <c r="AQ21641" s="19"/>
      <c r="AR21641" s="19"/>
      <c r="AS21641" s="19"/>
      <c r="AT21641" s="19"/>
      <c r="AU21641" s="19"/>
    </row>
    <row r="21642" spans="3:47">
      <c r="C21642" s="20"/>
      <c r="Z21642" s="20"/>
      <c r="AG21642" s="20"/>
      <c r="AQ21642" s="19"/>
      <c r="AR21642" s="19"/>
      <c r="AS21642" s="19"/>
      <c r="AT21642" s="19"/>
      <c r="AU21642" s="19"/>
    </row>
    <row r="21643" spans="3:47">
      <c r="C21643" s="20"/>
      <c r="Z21643" s="20"/>
      <c r="AG21643" s="20"/>
      <c r="AQ21643" s="19"/>
      <c r="AR21643" s="19"/>
      <c r="AS21643" s="19"/>
      <c r="AT21643" s="19"/>
      <c r="AU21643" s="19"/>
    </row>
    <row r="21644" spans="3:47">
      <c r="C21644" s="20"/>
      <c r="Z21644" s="20"/>
      <c r="AG21644" s="20"/>
      <c r="AQ21644" s="19"/>
      <c r="AR21644" s="19"/>
      <c r="AS21644" s="19"/>
      <c r="AT21644" s="19"/>
      <c r="AU21644" s="19"/>
    </row>
    <row r="21645" spans="3:47">
      <c r="C21645" s="20"/>
      <c r="Z21645" s="20"/>
      <c r="AG21645" s="20"/>
      <c r="AQ21645" s="19"/>
      <c r="AR21645" s="19"/>
      <c r="AS21645" s="19"/>
      <c r="AT21645" s="19"/>
      <c r="AU21645" s="19"/>
    </row>
    <row r="21646" spans="3:47">
      <c r="C21646" s="20"/>
      <c r="Z21646" s="20"/>
      <c r="AG21646" s="20"/>
      <c r="AQ21646" s="19"/>
      <c r="AR21646" s="19"/>
      <c r="AS21646" s="19"/>
      <c r="AT21646" s="19"/>
      <c r="AU21646" s="19"/>
    </row>
    <row r="21647" spans="3:47">
      <c r="C21647" s="20"/>
      <c r="Z21647" s="20"/>
      <c r="AG21647" s="20"/>
      <c r="AQ21647" s="19"/>
      <c r="AR21647" s="19"/>
      <c r="AS21647" s="19"/>
      <c r="AT21647" s="19"/>
      <c r="AU21647" s="19"/>
    </row>
    <row r="21648" spans="3:47">
      <c r="C21648" s="20"/>
      <c r="Z21648" s="20"/>
      <c r="AG21648" s="20"/>
      <c r="AQ21648" s="19"/>
      <c r="AR21648" s="19"/>
      <c r="AS21648" s="19"/>
      <c r="AT21648" s="19"/>
      <c r="AU21648" s="19"/>
    </row>
    <row r="21649" spans="3:47">
      <c r="C21649" s="20"/>
      <c r="Z21649" s="20"/>
      <c r="AG21649" s="20"/>
      <c r="AQ21649" s="19"/>
      <c r="AR21649" s="19"/>
      <c r="AS21649" s="19"/>
      <c r="AT21649" s="19"/>
      <c r="AU21649" s="19"/>
    </row>
    <row r="21650" spans="3:47">
      <c r="C21650" s="20"/>
      <c r="Z21650" s="20"/>
      <c r="AG21650" s="20"/>
      <c r="AQ21650" s="19"/>
      <c r="AR21650" s="19"/>
      <c r="AS21650" s="19"/>
      <c r="AT21650" s="19"/>
      <c r="AU21650" s="19"/>
    </row>
    <row r="21651" spans="3:47">
      <c r="C21651" s="20"/>
      <c r="Z21651" s="20"/>
      <c r="AG21651" s="20"/>
      <c r="AQ21651" s="19"/>
      <c r="AR21651" s="19"/>
      <c r="AS21651" s="19"/>
      <c r="AT21651" s="19"/>
      <c r="AU21651" s="19"/>
    </row>
    <row r="21652" spans="3:47">
      <c r="C21652" s="20"/>
      <c r="Z21652" s="20"/>
      <c r="AG21652" s="20"/>
      <c r="AQ21652" s="19"/>
      <c r="AR21652" s="19"/>
      <c r="AS21652" s="19"/>
      <c r="AT21652" s="19"/>
      <c r="AU21652" s="19"/>
    </row>
    <row r="21653" spans="3:47">
      <c r="C21653" s="20"/>
      <c r="Z21653" s="20"/>
      <c r="AG21653" s="20"/>
      <c r="AQ21653" s="19"/>
      <c r="AR21653" s="19"/>
      <c r="AS21653" s="19"/>
      <c r="AT21653" s="19"/>
      <c r="AU21653" s="19"/>
    </row>
    <row r="21654" spans="3:47">
      <c r="C21654" s="20"/>
      <c r="Z21654" s="20"/>
      <c r="AG21654" s="20"/>
      <c r="AQ21654" s="19"/>
      <c r="AR21654" s="19"/>
      <c r="AS21654" s="19"/>
      <c r="AT21654" s="19"/>
      <c r="AU21654" s="19"/>
    </row>
    <row r="21655" spans="3:47">
      <c r="C21655" s="20"/>
      <c r="Z21655" s="20"/>
      <c r="AG21655" s="20"/>
      <c r="AQ21655" s="19"/>
      <c r="AR21655" s="19"/>
      <c r="AS21655" s="19"/>
      <c r="AT21655" s="19"/>
      <c r="AU21655" s="19"/>
    </row>
    <row r="21656" spans="3:47">
      <c r="C21656" s="20"/>
      <c r="Z21656" s="20"/>
      <c r="AG21656" s="20"/>
      <c r="AQ21656" s="19"/>
      <c r="AR21656" s="19"/>
      <c r="AS21656" s="19"/>
      <c r="AT21656" s="19"/>
      <c r="AU21656" s="19"/>
    </row>
    <row r="21657" spans="3:47">
      <c r="C21657" s="20"/>
      <c r="Z21657" s="20"/>
      <c r="AG21657" s="20"/>
      <c r="AQ21657" s="19"/>
      <c r="AR21657" s="19"/>
      <c r="AS21657" s="19"/>
      <c r="AT21657" s="19"/>
      <c r="AU21657" s="19"/>
    </row>
    <row r="21658" spans="3:47">
      <c r="C21658" s="20"/>
      <c r="Z21658" s="20"/>
      <c r="AG21658" s="20"/>
      <c r="AQ21658" s="19"/>
      <c r="AR21658" s="19"/>
      <c r="AS21658" s="19"/>
      <c r="AT21658" s="19"/>
      <c r="AU21658" s="19"/>
    </row>
    <row r="21659" spans="3:47">
      <c r="C21659" s="20"/>
      <c r="Z21659" s="20"/>
      <c r="AG21659" s="20"/>
      <c r="AQ21659" s="19"/>
      <c r="AR21659" s="19"/>
      <c r="AS21659" s="19"/>
      <c r="AT21659" s="19"/>
      <c r="AU21659" s="19"/>
    </row>
    <row r="21660" spans="3:47">
      <c r="C21660" s="20"/>
      <c r="Z21660" s="20"/>
      <c r="AG21660" s="20"/>
      <c r="AQ21660" s="19"/>
      <c r="AR21660" s="19"/>
      <c r="AS21660" s="19"/>
      <c r="AT21660" s="19"/>
      <c r="AU21660" s="19"/>
    </row>
    <row r="21661" spans="3:47">
      <c r="C21661" s="20"/>
      <c r="Z21661" s="20"/>
      <c r="AG21661" s="20"/>
      <c r="AQ21661" s="19"/>
      <c r="AR21661" s="19"/>
      <c r="AS21661" s="19"/>
      <c r="AT21661" s="19"/>
      <c r="AU21661" s="19"/>
    </row>
    <row r="21662" spans="3:47">
      <c r="C21662" s="20"/>
      <c r="Z21662" s="20"/>
      <c r="AG21662" s="20"/>
      <c r="AQ21662" s="19"/>
      <c r="AR21662" s="19"/>
      <c r="AS21662" s="19"/>
      <c r="AT21662" s="19"/>
      <c r="AU21662" s="19"/>
    </row>
    <row r="21663" spans="3:47">
      <c r="C21663" s="20"/>
      <c r="Z21663" s="20"/>
      <c r="AG21663" s="20"/>
      <c r="AQ21663" s="19"/>
      <c r="AR21663" s="19"/>
      <c r="AS21663" s="19"/>
      <c r="AT21663" s="19"/>
      <c r="AU21663" s="19"/>
    </row>
    <row r="21664" spans="3:47">
      <c r="C21664" s="20"/>
      <c r="Z21664" s="20"/>
      <c r="AG21664" s="20"/>
      <c r="AQ21664" s="19"/>
      <c r="AR21664" s="19"/>
      <c r="AS21664" s="19"/>
      <c r="AT21664" s="19"/>
      <c r="AU21664" s="19"/>
    </row>
    <row r="21665" spans="3:47">
      <c r="C21665" s="20"/>
      <c r="Z21665" s="20"/>
      <c r="AG21665" s="20"/>
      <c r="AQ21665" s="19"/>
      <c r="AR21665" s="19"/>
      <c r="AS21665" s="19"/>
      <c r="AT21665" s="19"/>
      <c r="AU21665" s="19"/>
    </row>
    <row r="21666" spans="3:47">
      <c r="C21666" s="20"/>
      <c r="Z21666" s="20"/>
      <c r="AG21666" s="20"/>
      <c r="AQ21666" s="19"/>
      <c r="AR21666" s="19"/>
      <c r="AS21666" s="19"/>
      <c r="AT21666" s="19"/>
      <c r="AU21666" s="19"/>
    </row>
    <row r="21667" spans="3:47">
      <c r="C21667" s="20"/>
      <c r="Z21667" s="20"/>
      <c r="AG21667" s="20"/>
      <c r="AQ21667" s="19"/>
      <c r="AR21667" s="19"/>
      <c r="AS21667" s="19"/>
      <c r="AT21667" s="19"/>
      <c r="AU21667" s="19"/>
    </row>
    <row r="21668" spans="3:47">
      <c r="C21668" s="20"/>
      <c r="Z21668" s="20"/>
      <c r="AG21668" s="20"/>
      <c r="AQ21668" s="19"/>
      <c r="AR21668" s="19"/>
      <c r="AS21668" s="19"/>
      <c r="AT21668" s="19"/>
      <c r="AU21668" s="19"/>
    </row>
    <row r="21669" spans="3:47">
      <c r="C21669" s="20"/>
      <c r="Z21669" s="20"/>
      <c r="AG21669" s="20"/>
      <c r="AQ21669" s="19"/>
      <c r="AR21669" s="19"/>
      <c r="AS21669" s="19"/>
      <c r="AT21669" s="19"/>
      <c r="AU21669" s="19"/>
    </row>
    <row r="21670" spans="3:47">
      <c r="C21670" s="20"/>
      <c r="Z21670" s="20"/>
      <c r="AG21670" s="20"/>
      <c r="AQ21670" s="19"/>
      <c r="AR21670" s="19"/>
      <c r="AS21670" s="19"/>
      <c r="AT21670" s="19"/>
      <c r="AU21670" s="19"/>
    </row>
    <row r="21671" spans="3:47">
      <c r="C21671" s="20"/>
      <c r="Z21671" s="20"/>
      <c r="AG21671" s="20"/>
      <c r="AQ21671" s="19"/>
      <c r="AR21671" s="19"/>
      <c r="AS21671" s="19"/>
      <c r="AT21671" s="19"/>
      <c r="AU21671" s="19"/>
    </row>
    <row r="21672" spans="3:47">
      <c r="C21672" s="20"/>
      <c r="Z21672" s="20"/>
      <c r="AG21672" s="20"/>
      <c r="AQ21672" s="19"/>
      <c r="AR21672" s="19"/>
      <c r="AS21672" s="19"/>
      <c r="AT21672" s="19"/>
      <c r="AU21672" s="19"/>
    </row>
    <row r="21673" spans="3:47">
      <c r="C21673" s="20"/>
      <c r="Z21673" s="20"/>
      <c r="AG21673" s="20"/>
      <c r="AQ21673" s="19"/>
      <c r="AR21673" s="19"/>
      <c r="AS21673" s="19"/>
      <c r="AT21673" s="19"/>
      <c r="AU21673" s="19"/>
    </row>
    <row r="21674" spans="3:47">
      <c r="C21674" s="20"/>
      <c r="Z21674" s="20"/>
      <c r="AG21674" s="20"/>
      <c r="AQ21674" s="19"/>
      <c r="AR21674" s="19"/>
      <c r="AS21674" s="19"/>
      <c r="AT21674" s="19"/>
      <c r="AU21674" s="19"/>
    </row>
    <row r="21675" spans="3:47">
      <c r="C21675" s="20"/>
      <c r="Z21675" s="20"/>
      <c r="AG21675" s="20"/>
      <c r="AQ21675" s="19"/>
      <c r="AR21675" s="19"/>
      <c r="AS21675" s="19"/>
      <c r="AT21675" s="19"/>
      <c r="AU21675" s="19"/>
    </row>
    <row r="21676" spans="3:47">
      <c r="C21676" s="20"/>
      <c r="Z21676" s="20"/>
      <c r="AG21676" s="20"/>
      <c r="AQ21676" s="19"/>
      <c r="AR21676" s="19"/>
      <c r="AS21676" s="19"/>
      <c r="AT21676" s="19"/>
      <c r="AU21676" s="19"/>
    </row>
    <row r="21677" spans="3:47">
      <c r="C21677" s="20"/>
      <c r="Z21677" s="20"/>
      <c r="AG21677" s="20"/>
      <c r="AQ21677" s="19"/>
      <c r="AR21677" s="19"/>
      <c r="AS21677" s="19"/>
      <c r="AT21677" s="19"/>
      <c r="AU21677" s="19"/>
    </row>
    <row r="21678" spans="3:47">
      <c r="C21678" s="20"/>
      <c r="Z21678" s="20"/>
      <c r="AG21678" s="20"/>
      <c r="AQ21678" s="19"/>
      <c r="AR21678" s="19"/>
      <c r="AS21678" s="19"/>
      <c r="AT21678" s="19"/>
      <c r="AU21678" s="19"/>
    </row>
    <row r="21679" spans="3:47">
      <c r="C21679" s="20"/>
      <c r="Z21679" s="20"/>
      <c r="AG21679" s="20"/>
      <c r="AQ21679" s="19"/>
      <c r="AR21679" s="19"/>
      <c r="AS21679" s="19"/>
      <c r="AT21679" s="19"/>
      <c r="AU21679" s="19"/>
    </row>
    <row r="21680" spans="3:47">
      <c r="C21680" s="20"/>
      <c r="Z21680" s="20"/>
      <c r="AG21680" s="20"/>
      <c r="AQ21680" s="19"/>
      <c r="AR21680" s="19"/>
      <c r="AS21680" s="19"/>
      <c r="AT21680" s="19"/>
      <c r="AU21680" s="19"/>
    </row>
    <row r="21681" spans="3:47">
      <c r="C21681" s="20"/>
      <c r="Z21681" s="20"/>
      <c r="AG21681" s="20"/>
      <c r="AQ21681" s="19"/>
      <c r="AR21681" s="19"/>
      <c r="AS21681" s="19"/>
      <c r="AT21681" s="19"/>
      <c r="AU21681" s="19"/>
    </row>
    <row r="21682" spans="3:47">
      <c r="C21682" s="20"/>
      <c r="Z21682" s="20"/>
      <c r="AG21682" s="20"/>
      <c r="AQ21682" s="19"/>
      <c r="AR21682" s="19"/>
      <c r="AS21682" s="19"/>
      <c r="AT21682" s="19"/>
      <c r="AU21682" s="19"/>
    </row>
    <row r="21683" spans="3:47">
      <c r="C21683" s="20"/>
      <c r="Z21683" s="20"/>
      <c r="AG21683" s="20"/>
      <c r="AQ21683" s="19"/>
      <c r="AR21683" s="19"/>
      <c r="AS21683" s="19"/>
      <c r="AT21683" s="19"/>
      <c r="AU21683" s="19"/>
    </row>
    <row r="21684" spans="3:47">
      <c r="C21684" s="20"/>
      <c r="Z21684" s="20"/>
      <c r="AG21684" s="20"/>
      <c r="AQ21684" s="19"/>
      <c r="AR21684" s="19"/>
      <c r="AS21684" s="19"/>
      <c r="AT21684" s="19"/>
      <c r="AU21684" s="19"/>
    </row>
    <row r="21685" spans="3:47">
      <c r="C21685" s="20"/>
      <c r="Z21685" s="20"/>
      <c r="AG21685" s="20"/>
      <c r="AQ21685" s="19"/>
      <c r="AR21685" s="19"/>
      <c r="AS21685" s="19"/>
      <c r="AT21685" s="19"/>
      <c r="AU21685" s="19"/>
    </row>
    <row r="21686" spans="3:47">
      <c r="C21686" s="20"/>
      <c r="Z21686" s="20"/>
      <c r="AG21686" s="20"/>
      <c r="AQ21686" s="19"/>
      <c r="AR21686" s="19"/>
      <c r="AS21686" s="19"/>
      <c r="AT21686" s="19"/>
      <c r="AU21686" s="19"/>
    </row>
    <row r="21687" spans="3:47">
      <c r="C21687" s="20"/>
      <c r="Z21687" s="20"/>
      <c r="AG21687" s="20"/>
      <c r="AQ21687" s="19"/>
      <c r="AR21687" s="19"/>
      <c r="AS21687" s="19"/>
      <c r="AT21687" s="19"/>
      <c r="AU21687" s="19"/>
    </row>
    <row r="21688" spans="3:47">
      <c r="C21688" s="20"/>
      <c r="Z21688" s="20"/>
      <c r="AG21688" s="20"/>
      <c r="AQ21688" s="19"/>
      <c r="AR21688" s="19"/>
      <c r="AS21688" s="19"/>
      <c r="AT21688" s="19"/>
      <c r="AU21688" s="19"/>
    </row>
    <row r="21689" spans="3:47">
      <c r="C21689" s="20"/>
      <c r="Z21689" s="20"/>
      <c r="AG21689" s="20"/>
      <c r="AQ21689" s="19"/>
      <c r="AR21689" s="19"/>
      <c r="AS21689" s="19"/>
      <c r="AT21689" s="19"/>
      <c r="AU21689" s="19"/>
    </row>
    <row r="21690" spans="3:47">
      <c r="C21690" s="20"/>
      <c r="Z21690" s="20"/>
      <c r="AG21690" s="20"/>
      <c r="AQ21690" s="19"/>
      <c r="AR21690" s="19"/>
      <c r="AS21690" s="19"/>
      <c r="AT21690" s="19"/>
      <c r="AU21690" s="19"/>
    </row>
    <row r="21691" spans="3:47">
      <c r="C21691" s="20"/>
      <c r="Z21691" s="20"/>
      <c r="AG21691" s="20"/>
      <c r="AQ21691" s="19"/>
      <c r="AR21691" s="19"/>
      <c r="AS21691" s="19"/>
      <c r="AT21691" s="19"/>
      <c r="AU21691" s="19"/>
    </row>
    <row r="21692" spans="3:47">
      <c r="C21692" s="20"/>
      <c r="Z21692" s="20"/>
      <c r="AG21692" s="20"/>
      <c r="AQ21692" s="19"/>
      <c r="AR21692" s="19"/>
      <c r="AS21692" s="19"/>
      <c r="AT21692" s="19"/>
      <c r="AU21692" s="19"/>
    </row>
    <row r="21693" spans="3:47">
      <c r="C21693" s="20"/>
      <c r="Z21693" s="20"/>
      <c r="AG21693" s="20"/>
      <c r="AQ21693" s="19"/>
      <c r="AR21693" s="19"/>
      <c r="AS21693" s="19"/>
      <c r="AT21693" s="19"/>
      <c r="AU21693" s="19"/>
    </row>
    <row r="21694" spans="3:47">
      <c r="C21694" s="20"/>
      <c r="Z21694" s="20"/>
      <c r="AG21694" s="20"/>
      <c r="AQ21694" s="19"/>
      <c r="AR21694" s="19"/>
      <c r="AS21694" s="19"/>
      <c r="AT21694" s="19"/>
      <c r="AU21694" s="19"/>
    </row>
    <row r="21695" spans="3:47">
      <c r="C21695" s="20"/>
      <c r="Z21695" s="20"/>
      <c r="AG21695" s="20"/>
      <c r="AQ21695" s="19"/>
      <c r="AR21695" s="19"/>
      <c r="AS21695" s="19"/>
      <c r="AT21695" s="19"/>
      <c r="AU21695" s="19"/>
    </row>
    <row r="21696" spans="3:47">
      <c r="C21696" s="20"/>
      <c r="Z21696" s="20"/>
      <c r="AG21696" s="20"/>
      <c r="AQ21696" s="19"/>
      <c r="AR21696" s="19"/>
      <c r="AS21696" s="19"/>
      <c r="AT21696" s="19"/>
      <c r="AU21696" s="19"/>
    </row>
    <row r="21697" spans="3:47">
      <c r="C21697" s="20"/>
      <c r="Z21697" s="20"/>
      <c r="AG21697" s="20"/>
      <c r="AQ21697" s="19"/>
      <c r="AR21697" s="19"/>
      <c r="AS21697" s="19"/>
      <c r="AT21697" s="19"/>
      <c r="AU21697" s="19"/>
    </row>
    <row r="21698" spans="3:47">
      <c r="C21698" s="20"/>
      <c r="Z21698" s="20"/>
      <c r="AG21698" s="20"/>
      <c r="AQ21698" s="19"/>
      <c r="AR21698" s="19"/>
      <c r="AS21698" s="19"/>
      <c r="AT21698" s="19"/>
      <c r="AU21698" s="19"/>
    </row>
    <row r="21699" spans="3:47">
      <c r="C21699" s="20"/>
      <c r="Z21699" s="20"/>
      <c r="AG21699" s="20"/>
      <c r="AQ21699" s="19"/>
      <c r="AR21699" s="19"/>
      <c r="AS21699" s="19"/>
      <c r="AT21699" s="19"/>
      <c r="AU21699" s="19"/>
    </row>
    <row r="21700" spans="3:47">
      <c r="C21700" s="20"/>
      <c r="Z21700" s="20"/>
      <c r="AG21700" s="20"/>
      <c r="AQ21700" s="19"/>
      <c r="AR21700" s="19"/>
      <c r="AS21700" s="19"/>
      <c r="AT21700" s="19"/>
      <c r="AU21700" s="19"/>
    </row>
    <row r="21701" spans="3:47">
      <c r="C21701" s="20"/>
      <c r="Z21701" s="20"/>
      <c r="AG21701" s="20"/>
      <c r="AQ21701" s="19"/>
      <c r="AR21701" s="19"/>
      <c r="AS21701" s="19"/>
      <c r="AT21701" s="19"/>
      <c r="AU21701" s="19"/>
    </row>
    <row r="21702" spans="3:47">
      <c r="C21702" s="20"/>
      <c r="Z21702" s="20"/>
      <c r="AG21702" s="20"/>
      <c r="AQ21702" s="19"/>
      <c r="AR21702" s="19"/>
      <c r="AS21702" s="19"/>
      <c r="AT21702" s="19"/>
      <c r="AU21702" s="19"/>
    </row>
    <row r="21703" spans="3:47">
      <c r="C21703" s="20"/>
      <c r="Z21703" s="20"/>
      <c r="AG21703" s="20"/>
      <c r="AQ21703" s="19"/>
      <c r="AR21703" s="19"/>
      <c r="AS21703" s="19"/>
      <c r="AT21703" s="19"/>
      <c r="AU21703" s="19"/>
    </row>
    <row r="21704" spans="3:47">
      <c r="C21704" s="20"/>
      <c r="Z21704" s="20"/>
      <c r="AG21704" s="20"/>
      <c r="AQ21704" s="19"/>
      <c r="AR21704" s="19"/>
      <c r="AS21704" s="19"/>
      <c r="AT21704" s="19"/>
      <c r="AU21704" s="19"/>
    </row>
    <row r="21705" spans="3:47">
      <c r="C21705" s="20"/>
      <c r="Z21705" s="20"/>
      <c r="AG21705" s="20"/>
      <c r="AQ21705" s="19"/>
      <c r="AR21705" s="19"/>
      <c r="AS21705" s="19"/>
      <c r="AT21705" s="19"/>
      <c r="AU21705" s="19"/>
    </row>
    <row r="21706" spans="3:47">
      <c r="C21706" s="20"/>
      <c r="Z21706" s="20"/>
      <c r="AG21706" s="20"/>
      <c r="AQ21706" s="19"/>
      <c r="AR21706" s="19"/>
      <c r="AS21706" s="19"/>
      <c r="AT21706" s="19"/>
      <c r="AU21706" s="19"/>
    </row>
    <row r="21707" spans="3:47">
      <c r="C21707" s="20"/>
      <c r="Z21707" s="20"/>
      <c r="AG21707" s="20"/>
      <c r="AQ21707" s="19"/>
      <c r="AR21707" s="19"/>
      <c r="AS21707" s="19"/>
      <c r="AT21707" s="19"/>
      <c r="AU21707" s="19"/>
    </row>
    <row r="21708" spans="3:47">
      <c r="C21708" s="20"/>
      <c r="Z21708" s="20"/>
      <c r="AG21708" s="20"/>
      <c r="AQ21708" s="19"/>
      <c r="AR21708" s="19"/>
      <c r="AS21708" s="19"/>
      <c r="AT21708" s="19"/>
      <c r="AU21708" s="19"/>
    </row>
    <row r="21709" spans="3:47">
      <c r="C21709" s="20"/>
      <c r="Z21709" s="20"/>
      <c r="AG21709" s="20"/>
      <c r="AQ21709" s="19"/>
      <c r="AR21709" s="19"/>
      <c r="AS21709" s="19"/>
      <c r="AT21709" s="19"/>
      <c r="AU21709" s="19"/>
    </row>
    <row r="21710" spans="3:47">
      <c r="C21710" s="20"/>
      <c r="Z21710" s="20"/>
      <c r="AG21710" s="20"/>
      <c r="AQ21710" s="19"/>
      <c r="AR21710" s="19"/>
      <c r="AS21710" s="19"/>
      <c r="AT21710" s="19"/>
      <c r="AU21710" s="19"/>
    </row>
    <row r="21711" spans="3:47">
      <c r="C21711" s="20"/>
      <c r="Z21711" s="20"/>
      <c r="AG21711" s="20"/>
      <c r="AQ21711" s="19"/>
      <c r="AR21711" s="19"/>
      <c r="AS21711" s="19"/>
      <c r="AT21711" s="19"/>
      <c r="AU21711" s="19"/>
    </row>
    <row r="21712" spans="3:47">
      <c r="C21712" s="20"/>
      <c r="Z21712" s="20"/>
      <c r="AG21712" s="20"/>
      <c r="AQ21712" s="19"/>
      <c r="AR21712" s="19"/>
      <c r="AS21712" s="19"/>
      <c r="AT21712" s="19"/>
      <c r="AU21712" s="19"/>
    </row>
    <row r="21713" spans="3:47">
      <c r="C21713" s="20"/>
      <c r="Z21713" s="20"/>
      <c r="AG21713" s="20"/>
      <c r="AQ21713" s="19"/>
      <c r="AR21713" s="19"/>
      <c r="AS21713" s="19"/>
      <c r="AT21713" s="19"/>
      <c r="AU21713" s="19"/>
    </row>
    <row r="21714" spans="3:47">
      <c r="C21714" s="20"/>
      <c r="Z21714" s="20"/>
      <c r="AG21714" s="20"/>
      <c r="AQ21714" s="19"/>
      <c r="AR21714" s="19"/>
      <c r="AS21714" s="19"/>
      <c r="AT21714" s="19"/>
      <c r="AU21714" s="19"/>
    </row>
    <row r="21715" spans="3:47">
      <c r="C21715" s="20"/>
      <c r="Z21715" s="20"/>
      <c r="AG21715" s="20"/>
      <c r="AQ21715" s="19"/>
      <c r="AR21715" s="19"/>
      <c r="AS21715" s="19"/>
      <c r="AT21715" s="19"/>
      <c r="AU21715" s="19"/>
    </row>
    <row r="21716" spans="3:47">
      <c r="C21716" s="20"/>
      <c r="Z21716" s="20"/>
      <c r="AG21716" s="20"/>
      <c r="AQ21716" s="19"/>
      <c r="AR21716" s="19"/>
      <c r="AS21716" s="19"/>
      <c r="AT21716" s="19"/>
      <c r="AU21716" s="19"/>
    </row>
    <row r="21717" spans="3:47">
      <c r="C21717" s="20"/>
      <c r="Z21717" s="20"/>
      <c r="AG21717" s="20"/>
      <c r="AQ21717" s="19"/>
      <c r="AR21717" s="19"/>
      <c r="AS21717" s="19"/>
      <c r="AT21717" s="19"/>
      <c r="AU21717" s="19"/>
    </row>
    <row r="21718" spans="3:47">
      <c r="C21718" s="20"/>
      <c r="Z21718" s="20"/>
      <c r="AG21718" s="20"/>
      <c r="AQ21718" s="19"/>
      <c r="AR21718" s="19"/>
      <c r="AS21718" s="19"/>
      <c r="AT21718" s="19"/>
      <c r="AU21718" s="19"/>
    </row>
    <row r="21719" spans="3:47">
      <c r="C21719" s="20"/>
      <c r="Z21719" s="20"/>
      <c r="AG21719" s="20"/>
      <c r="AQ21719" s="19"/>
      <c r="AR21719" s="19"/>
      <c r="AS21719" s="19"/>
      <c r="AT21719" s="19"/>
      <c r="AU21719" s="19"/>
    </row>
    <row r="21720" spans="3:47">
      <c r="C21720" s="20"/>
      <c r="Z21720" s="20"/>
      <c r="AG21720" s="20"/>
      <c r="AQ21720" s="19"/>
      <c r="AR21720" s="19"/>
      <c r="AS21720" s="19"/>
      <c r="AT21720" s="19"/>
      <c r="AU21720" s="19"/>
    </row>
    <row r="21721" spans="3:47">
      <c r="C21721" s="20"/>
      <c r="Z21721" s="20"/>
      <c r="AG21721" s="20"/>
      <c r="AQ21721" s="19"/>
      <c r="AR21721" s="19"/>
      <c r="AS21721" s="19"/>
      <c r="AT21721" s="19"/>
      <c r="AU21721" s="19"/>
    </row>
    <row r="21722" spans="3:47">
      <c r="C21722" s="20"/>
      <c r="Z21722" s="20"/>
      <c r="AG21722" s="20"/>
      <c r="AQ21722" s="19"/>
      <c r="AR21722" s="19"/>
      <c r="AS21722" s="19"/>
      <c r="AT21722" s="19"/>
      <c r="AU21722" s="19"/>
    </row>
    <row r="21723" spans="3:47">
      <c r="C21723" s="20"/>
      <c r="Z21723" s="20"/>
      <c r="AG21723" s="20"/>
      <c r="AQ21723" s="19"/>
      <c r="AR21723" s="19"/>
      <c r="AS21723" s="19"/>
      <c r="AT21723" s="19"/>
      <c r="AU21723" s="19"/>
    </row>
    <row r="21724" spans="3:47">
      <c r="C21724" s="20"/>
      <c r="Z21724" s="20"/>
      <c r="AG21724" s="20"/>
      <c r="AQ21724" s="19"/>
      <c r="AR21724" s="19"/>
      <c r="AS21724" s="19"/>
      <c r="AT21724" s="19"/>
      <c r="AU21724" s="19"/>
    </row>
    <row r="21725" spans="3:47">
      <c r="C21725" s="20"/>
      <c r="Z21725" s="20"/>
      <c r="AG21725" s="20"/>
      <c r="AQ21725" s="19"/>
      <c r="AR21725" s="19"/>
      <c r="AS21725" s="19"/>
      <c r="AT21725" s="19"/>
      <c r="AU21725" s="19"/>
    </row>
    <row r="21726" spans="3:47">
      <c r="C21726" s="20"/>
      <c r="Z21726" s="20"/>
      <c r="AG21726" s="20"/>
      <c r="AQ21726" s="19"/>
      <c r="AR21726" s="19"/>
      <c r="AS21726" s="19"/>
      <c r="AT21726" s="19"/>
      <c r="AU21726" s="19"/>
    </row>
    <row r="21727" spans="3:47">
      <c r="C21727" s="20"/>
      <c r="Z21727" s="20"/>
      <c r="AG21727" s="20"/>
      <c r="AQ21727" s="19"/>
      <c r="AR21727" s="19"/>
      <c r="AS21727" s="19"/>
      <c r="AT21727" s="19"/>
      <c r="AU21727" s="19"/>
    </row>
    <row r="21728" spans="3:47">
      <c r="C21728" s="20"/>
      <c r="Z21728" s="20"/>
      <c r="AG21728" s="20"/>
      <c r="AQ21728" s="19"/>
      <c r="AR21728" s="19"/>
      <c r="AS21728" s="19"/>
      <c r="AT21728" s="19"/>
      <c r="AU21728" s="19"/>
    </row>
    <row r="21729" spans="3:47">
      <c r="C21729" s="20"/>
      <c r="Z21729" s="20"/>
      <c r="AG21729" s="20"/>
      <c r="AQ21729" s="19"/>
      <c r="AR21729" s="19"/>
      <c r="AS21729" s="19"/>
      <c r="AT21729" s="19"/>
      <c r="AU21729" s="19"/>
    </row>
    <row r="21730" spans="3:47">
      <c r="C21730" s="20"/>
      <c r="Z21730" s="20"/>
      <c r="AG21730" s="20"/>
      <c r="AQ21730" s="19"/>
      <c r="AR21730" s="19"/>
      <c r="AS21730" s="19"/>
      <c r="AT21730" s="19"/>
      <c r="AU21730" s="19"/>
    </row>
    <row r="21731" spans="3:47">
      <c r="C21731" s="20"/>
      <c r="Z21731" s="20"/>
      <c r="AG21731" s="20"/>
      <c r="AQ21731" s="19"/>
      <c r="AR21731" s="19"/>
      <c r="AS21731" s="19"/>
      <c r="AT21731" s="19"/>
      <c r="AU21731" s="19"/>
    </row>
    <row r="21732" spans="3:47">
      <c r="C21732" s="20"/>
      <c r="Z21732" s="20"/>
      <c r="AG21732" s="20"/>
      <c r="AQ21732" s="19"/>
      <c r="AR21732" s="19"/>
      <c r="AS21732" s="19"/>
      <c r="AT21732" s="19"/>
      <c r="AU21732" s="19"/>
    </row>
    <row r="21733" spans="3:47">
      <c r="C21733" s="20"/>
      <c r="Z21733" s="20"/>
      <c r="AG21733" s="20"/>
      <c r="AQ21733" s="19"/>
      <c r="AR21733" s="19"/>
      <c r="AS21733" s="19"/>
      <c r="AT21733" s="19"/>
      <c r="AU21733" s="19"/>
    </row>
    <row r="21734" spans="3:47">
      <c r="C21734" s="20"/>
      <c r="Z21734" s="20"/>
      <c r="AG21734" s="20"/>
      <c r="AQ21734" s="19"/>
      <c r="AR21734" s="19"/>
      <c r="AS21734" s="19"/>
      <c r="AT21734" s="19"/>
      <c r="AU21734" s="19"/>
    </row>
    <row r="21735" spans="3:47">
      <c r="C21735" s="20"/>
      <c r="Z21735" s="20"/>
      <c r="AG21735" s="20"/>
      <c r="AQ21735" s="19"/>
      <c r="AR21735" s="19"/>
      <c r="AS21735" s="19"/>
      <c r="AT21735" s="19"/>
      <c r="AU21735" s="19"/>
    </row>
    <row r="21736" spans="3:47">
      <c r="C21736" s="20"/>
      <c r="Z21736" s="20"/>
      <c r="AG21736" s="20"/>
      <c r="AQ21736" s="19"/>
      <c r="AR21736" s="19"/>
      <c r="AS21736" s="19"/>
      <c r="AT21736" s="19"/>
      <c r="AU21736" s="19"/>
    </row>
    <row r="21737" spans="3:47">
      <c r="C21737" s="20"/>
      <c r="Z21737" s="20"/>
      <c r="AG21737" s="20"/>
      <c r="AQ21737" s="19"/>
      <c r="AR21737" s="19"/>
      <c r="AS21737" s="19"/>
      <c r="AT21737" s="19"/>
      <c r="AU21737" s="19"/>
    </row>
    <row r="21738" spans="3:47">
      <c r="C21738" s="20"/>
      <c r="Z21738" s="20"/>
      <c r="AG21738" s="20"/>
      <c r="AQ21738" s="19"/>
      <c r="AR21738" s="19"/>
      <c r="AS21738" s="19"/>
      <c r="AT21738" s="19"/>
      <c r="AU21738" s="19"/>
    </row>
    <row r="21739" spans="3:47">
      <c r="C21739" s="20"/>
      <c r="Z21739" s="20"/>
      <c r="AG21739" s="20"/>
      <c r="AQ21739" s="19"/>
      <c r="AR21739" s="19"/>
      <c r="AS21739" s="19"/>
      <c r="AT21739" s="19"/>
      <c r="AU21739" s="19"/>
    </row>
    <row r="21740" spans="3:47">
      <c r="C21740" s="20"/>
      <c r="Z21740" s="20"/>
      <c r="AG21740" s="20"/>
      <c r="AQ21740" s="19"/>
      <c r="AR21740" s="19"/>
      <c r="AS21740" s="19"/>
      <c r="AT21740" s="19"/>
      <c r="AU21740" s="19"/>
    </row>
    <row r="21741" spans="3:47">
      <c r="C21741" s="20"/>
      <c r="Z21741" s="20"/>
      <c r="AG21741" s="20"/>
      <c r="AQ21741" s="19"/>
      <c r="AR21741" s="19"/>
      <c r="AS21741" s="19"/>
      <c r="AT21741" s="19"/>
      <c r="AU21741" s="19"/>
    </row>
    <row r="21742" spans="3:47">
      <c r="C21742" s="20"/>
      <c r="Z21742" s="20"/>
      <c r="AG21742" s="20"/>
      <c r="AQ21742" s="19"/>
      <c r="AR21742" s="19"/>
      <c r="AS21742" s="19"/>
      <c r="AT21742" s="19"/>
      <c r="AU21742" s="19"/>
    </row>
    <row r="21743" spans="3:47">
      <c r="C21743" s="20"/>
      <c r="Z21743" s="20"/>
      <c r="AG21743" s="20"/>
      <c r="AQ21743" s="19"/>
      <c r="AR21743" s="19"/>
      <c r="AS21743" s="19"/>
      <c r="AT21743" s="19"/>
      <c r="AU21743" s="19"/>
    </row>
    <row r="21744" spans="3:47">
      <c r="C21744" s="20"/>
      <c r="Z21744" s="20"/>
      <c r="AG21744" s="20"/>
      <c r="AQ21744" s="19"/>
      <c r="AR21744" s="19"/>
      <c r="AS21744" s="19"/>
      <c r="AT21744" s="19"/>
      <c r="AU21744" s="19"/>
    </row>
    <row r="21745" spans="3:47">
      <c r="C21745" s="20"/>
      <c r="Z21745" s="20"/>
      <c r="AG21745" s="20"/>
      <c r="AQ21745" s="19"/>
      <c r="AR21745" s="19"/>
      <c r="AS21745" s="19"/>
      <c r="AT21745" s="19"/>
      <c r="AU21745" s="19"/>
    </row>
    <row r="21746" spans="3:47">
      <c r="C21746" s="20"/>
      <c r="Z21746" s="20"/>
      <c r="AG21746" s="20"/>
      <c r="AQ21746" s="19"/>
      <c r="AR21746" s="19"/>
      <c r="AS21746" s="19"/>
      <c r="AT21746" s="19"/>
      <c r="AU21746" s="19"/>
    </row>
    <row r="21747" spans="3:47">
      <c r="C21747" s="20"/>
      <c r="Z21747" s="20"/>
      <c r="AG21747" s="20"/>
      <c r="AQ21747" s="19"/>
      <c r="AR21747" s="19"/>
      <c r="AS21747" s="19"/>
      <c r="AT21747" s="19"/>
      <c r="AU21747" s="19"/>
    </row>
    <row r="21748" spans="3:47">
      <c r="C21748" s="20"/>
      <c r="Z21748" s="20"/>
      <c r="AG21748" s="20"/>
      <c r="AQ21748" s="19"/>
      <c r="AR21748" s="19"/>
      <c r="AS21748" s="19"/>
      <c r="AT21748" s="19"/>
      <c r="AU21748" s="19"/>
    </row>
    <row r="21749" spans="3:47">
      <c r="C21749" s="20"/>
      <c r="Z21749" s="20"/>
      <c r="AG21749" s="20"/>
      <c r="AQ21749" s="19"/>
      <c r="AR21749" s="19"/>
      <c r="AS21749" s="19"/>
      <c r="AT21749" s="19"/>
      <c r="AU21749" s="19"/>
    </row>
    <row r="21750" spans="3:47">
      <c r="C21750" s="20"/>
      <c r="Z21750" s="20"/>
      <c r="AG21750" s="20"/>
      <c r="AQ21750" s="19"/>
      <c r="AR21750" s="19"/>
      <c r="AS21750" s="19"/>
      <c r="AT21750" s="19"/>
      <c r="AU21750" s="19"/>
    </row>
    <row r="21751" spans="3:47">
      <c r="C21751" s="20"/>
      <c r="Z21751" s="20"/>
      <c r="AG21751" s="20"/>
      <c r="AQ21751" s="19"/>
      <c r="AR21751" s="19"/>
      <c r="AS21751" s="19"/>
      <c r="AT21751" s="19"/>
      <c r="AU21751" s="19"/>
    </row>
    <row r="21752" spans="3:47">
      <c r="C21752" s="20"/>
      <c r="Z21752" s="20"/>
      <c r="AG21752" s="20"/>
      <c r="AQ21752" s="19"/>
      <c r="AR21752" s="19"/>
      <c r="AS21752" s="19"/>
      <c r="AT21752" s="19"/>
      <c r="AU21752" s="19"/>
    </row>
    <row r="21753" spans="3:47">
      <c r="C21753" s="20"/>
      <c r="Z21753" s="20"/>
      <c r="AG21753" s="20"/>
      <c r="AQ21753" s="19"/>
      <c r="AR21753" s="19"/>
      <c r="AS21753" s="19"/>
      <c r="AT21753" s="19"/>
      <c r="AU21753" s="19"/>
    </row>
    <row r="21754" spans="3:47">
      <c r="C21754" s="20"/>
      <c r="Z21754" s="20"/>
      <c r="AG21754" s="20"/>
      <c r="AQ21754" s="19"/>
      <c r="AR21754" s="19"/>
      <c r="AS21754" s="19"/>
      <c r="AT21754" s="19"/>
      <c r="AU21754" s="19"/>
    </row>
    <row r="21755" spans="3:47">
      <c r="C21755" s="20"/>
      <c r="Z21755" s="20"/>
      <c r="AG21755" s="20"/>
      <c r="AQ21755" s="19"/>
      <c r="AR21755" s="19"/>
      <c r="AS21755" s="19"/>
      <c r="AT21755" s="19"/>
      <c r="AU21755" s="19"/>
    </row>
    <row r="21756" spans="3:47">
      <c r="C21756" s="20"/>
      <c r="Z21756" s="20"/>
      <c r="AG21756" s="20"/>
      <c r="AQ21756" s="19"/>
      <c r="AR21756" s="19"/>
      <c r="AS21756" s="19"/>
      <c r="AT21756" s="19"/>
      <c r="AU21756" s="19"/>
    </row>
    <row r="21757" spans="3:47">
      <c r="C21757" s="20"/>
      <c r="Z21757" s="20"/>
      <c r="AG21757" s="20"/>
      <c r="AQ21757" s="19"/>
      <c r="AR21757" s="19"/>
      <c r="AS21757" s="19"/>
      <c r="AT21757" s="19"/>
      <c r="AU21757" s="19"/>
    </row>
    <row r="21758" spans="3:47">
      <c r="C21758" s="20"/>
      <c r="Z21758" s="20"/>
      <c r="AG21758" s="20"/>
      <c r="AQ21758" s="19"/>
      <c r="AR21758" s="19"/>
      <c r="AS21758" s="19"/>
      <c r="AT21758" s="19"/>
      <c r="AU21758" s="19"/>
    </row>
    <row r="21759" spans="3:47">
      <c r="C21759" s="20"/>
      <c r="Z21759" s="20"/>
      <c r="AG21759" s="20"/>
      <c r="AQ21759" s="19"/>
      <c r="AR21759" s="19"/>
      <c r="AS21759" s="19"/>
      <c r="AT21759" s="19"/>
      <c r="AU21759" s="19"/>
    </row>
    <row r="21760" spans="3:47">
      <c r="C21760" s="20"/>
      <c r="Z21760" s="20"/>
      <c r="AG21760" s="20"/>
      <c r="AQ21760" s="19"/>
      <c r="AR21760" s="19"/>
      <c r="AS21760" s="19"/>
      <c r="AT21760" s="19"/>
      <c r="AU21760" s="19"/>
    </row>
    <row r="21761" spans="3:47">
      <c r="C21761" s="20"/>
      <c r="Z21761" s="20"/>
      <c r="AG21761" s="20"/>
      <c r="AQ21761" s="19"/>
      <c r="AR21761" s="19"/>
      <c r="AS21761" s="19"/>
      <c r="AT21761" s="19"/>
      <c r="AU21761" s="19"/>
    </row>
    <row r="21762" spans="3:47">
      <c r="C21762" s="20"/>
      <c r="Z21762" s="20"/>
      <c r="AG21762" s="20"/>
      <c r="AQ21762" s="19"/>
      <c r="AR21762" s="19"/>
      <c r="AS21762" s="19"/>
      <c r="AT21762" s="19"/>
      <c r="AU21762" s="19"/>
    </row>
    <row r="21763" spans="3:47">
      <c r="C21763" s="20"/>
      <c r="Z21763" s="20"/>
      <c r="AG21763" s="20"/>
      <c r="AQ21763" s="19"/>
      <c r="AR21763" s="19"/>
      <c r="AS21763" s="19"/>
      <c r="AT21763" s="19"/>
      <c r="AU21763" s="19"/>
    </row>
    <row r="21764" spans="3:47">
      <c r="C21764" s="20"/>
      <c r="Z21764" s="20"/>
      <c r="AG21764" s="20"/>
      <c r="AQ21764" s="19"/>
      <c r="AR21764" s="19"/>
      <c r="AS21764" s="19"/>
      <c r="AT21764" s="19"/>
      <c r="AU21764" s="19"/>
    </row>
    <row r="21765" spans="3:47">
      <c r="C21765" s="20"/>
      <c r="Z21765" s="20"/>
      <c r="AG21765" s="20"/>
      <c r="AQ21765" s="19"/>
      <c r="AR21765" s="19"/>
      <c r="AS21765" s="19"/>
      <c r="AT21765" s="19"/>
      <c r="AU21765" s="19"/>
    </row>
    <row r="21766" spans="3:47">
      <c r="C21766" s="20"/>
      <c r="Z21766" s="20"/>
      <c r="AG21766" s="20"/>
      <c r="AQ21766" s="19"/>
      <c r="AR21766" s="19"/>
      <c r="AS21766" s="19"/>
      <c r="AT21766" s="19"/>
      <c r="AU21766" s="19"/>
    </row>
    <row r="21767" spans="3:47">
      <c r="C21767" s="20"/>
      <c r="Z21767" s="20"/>
      <c r="AG21767" s="20"/>
      <c r="AQ21767" s="19"/>
      <c r="AR21767" s="19"/>
      <c r="AS21767" s="19"/>
      <c r="AT21767" s="19"/>
      <c r="AU21767" s="19"/>
    </row>
    <row r="21768" spans="3:47">
      <c r="C21768" s="20"/>
      <c r="Z21768" s="20"/>
      <c r="AG21768" s="20"/>
      <c r="AQ21768" s="19"/>
      <c r="AR21768" s="19"/>
      <c r="AS21768" s="19"/>
      <c r="AT21768" s="19"/>
      <c r="AU21768" s="19"/>
    </row>
    <row r="21769" spans="3:47">
      <c r="C21769" s="20"/>
      <c r="Z21769" s="20"/>
      <c r="AG21769" s="20"/>
      <c r="AQ21769" s="19"/>
      <c r="AR21769" s="19"/>
      <c r="AS21769" s="19"/>
      <c r="AT21769" s="19"/>
      <c r="AU21769" s="19"/>
    </row>
    <row r="21770" spans="3:47">
      <c r="C21770" s="20"/>
      <c r="Z21770" s="20"/>
      <c r="AG21770" s="20"/>
      <c r="AQ21770" s="19"/>
      <c r="AR21770" s="19"/>
      <c r="AS21770" s="19"/>
      <c r="AT21770" s="19"/>
      <c r="AU21770" s="19"/>
    </row>
    <row r="21771" spans="3:47">
      <c r="C21771" s="20"/>
      <c r="Z21771" s="20"/>
      <c r="AG21771" s="20"/>
      <c r="AQ21771" s="19"/>
      <c r="AR21771" s="19"/>
      <c r="AS21771" s="19"/>
      <c r="AT21771" s="19"/>
      <c r="AU21771" s="19"/>
    </row>
    <row r="21772" spans="3:47">
      <c r="C21772" s="20"/>
      <c r="Z21772" s="20"/>
      <c r="AG21772" s="20"/>
      <c r="AQ21772" s="19"/>
      <c r="AR21772" s="19"/>
      <c r="AS21772" s="19"/>
      <c r="AT21772" s="19"/>
      <c r="AU21772" s="19"/>
    </row>
    <row r="21773" spans="3:47">
      <c r="C21773" s="20"/>
      <c r="Z21773" s="20"/>
      <c r="AG21773" s="20"/>
      <c r="AQ21773" s="19"/>
      <c r="AR21773" s="19"/>
      <c r="AS21773" s="19"/>
      <c r="AT21773" s="19"/>
      <c r="AU21773" s="19"/>
    </row>
    <row r="21774" spans="3:47">
      <c r="C21774" s="20"/>
      <c r="Z21774" s="20"/>
      <c r="AG21774" s="20"/>
      <c r="AQ21774" s="19"/>
      <c r="AR21774" s="19"/>
      <c r="AS21774" s="19"/>
      <c r="AT21774" s="19"/>
      <c r="AU21774" s="19"/>
    </row>
    <row r="21775" spans="3:47">
      <c r="C21775" s="20"/>
      <c r="Z21775" s="20"/>
      <c r="AG21775" s="20"/>
      <c r="AQ21775" s="19"/>
      <c r="AR21775" s="19"/>
      <c r="AS21775" s="19"/>
      <c r="AT21775" s="19"/>
      <c r="AU21775" s="19"/>
    </row>
    <row r="21776" spans="3:47">
      <c r="C21776" s="20"/>
      <c r="Z21776" s="20"/>
      <c r="AG21776" s="20"/>
      <c r="AQ21776" s="19"/>
      <c r="AR21776" s="19"/>
      <c r="AS21776" s="19"/>
      <c r="AT21776" s="19"/>
      <c r="AU21776" s="19"/>
    </row>
    <row r="21777" spans="3:47">
      <c r="C21777" s="20"/>
      <c r="Z21777" s="20"/>
      <c r="AG21777" s="20"/>
      <c r="AQ21777" s="19"/>
      <c r="AR21777" s="19"/>
      <c r="AS21777" s="19"/>
      <c r="AT21777" s="19"/>
      <c r="AU21777" s="19"/>
    </row>
    <row r="21778" spans="3:47">
      <c r="C21778" s="20"/>
      <c r="Z21778" s="20"/>
      <c r="AG21778" s="20"/>
      <c r="AQ21778" s="19"/>
      <c r="AR21778" s="19"/>
      <c r="AS21778" s="19"/>
      <c r="AT21778" s="19"/>
      <c r="AU21778" s="19"/>
    </row>
    <row r="21779" spans="3:47">
      <c r="C21779" s="20"/>
      <c r="Z21779" s="20"/>
      <c r="AG21779" s="20"/>
      <c r="AQ21779" s="19"/>
      <c r="AR21779" s="19"/>
      <c r="AS21779" s="19"/>
      <c r="AT21779" s="19"/>
      <c r="AU21779" s="19"/>
    </row>
    <row r="21780" spans="3:47">
      <c r="C21780" s="20"/>
      <c r="Z21780" s="20"/>
      <c r="AG21780" s="20"/>
      <c r="AQ21780" s="19"/>
      <c r="AR21780" s="19"/>
      <c r="AS21780" s="19"/>
      <c r="AT21780" s="19"/>
      <c r="AU21780" s="19"/>
    </row>
    <row r="21781" spans="3:47">
      <c r="C21781" s="20"/>
      <c r="Z21781" s="20"/>
      <c r="AG21781" s="20"/>
      <c r="AQ21781" s="19"/>
      <c r="AR21781" s="19"/>
      <c r="AS21781" s="19"/>
      <c r="AT21781" s="19"/>
      <c r="AU21781" s="19"/>
    </row>
    <row r="21782" spans="3:47">
      <c r="C21782" s="20"/>
      <c r="Z21782" s="20"/>
      <c r="AG21782" s="20"/>
      <c r="AQ21782" s="19"/>
      <c r="AR21782" s="19"/>
      <c r="AS21782" s="19"/>
      <c r="AT21782" s="19"/>
      <c r="AU21782" s="19"/>
    </row>
    <row r="21783" spans="3:47">
      <c r="C21783" s="20"/>
      <c r="Z21783" s="20"/>
      <c r="AG21783" s="20"/>
      <c r="AQ21783" s="19"/>
      <c r="AR21783" s="19"/>
      <c r="AS21783" s="19"/>
      <c r="AT21783" s="19"/>
      <c r="AU21783" s="19"/>
    </row>
    <row r="21784" spans="3:47">
      <c r="C21784" s="20"/>
      <c r="Z21784" s="20"/>
      <c r="AG21784" s="20"/>
      <c r="AQ21784" s="19"/>
      <c r="AR21784" s="19"/>
      <c r="AS21784" s="19"/>
      <c r="AT21784" s="19"/>
      <c r="AU21784" s="19"/>
    </row>
    <row r="21785" spans="3:47">
      <c r="C21785" s="20"/>
      <c r="Z21785" s="20"/>
      <c r="AG21785" s="20"/>
      <c r="AQ21785" s="19"/>
      <c r="AR21785" s="19"/>
      <c r="AS21785" s="19"/>
      <c r="AT21785" s="19"/>
      <c r="AU21785" s="19"/>
    </row>
    <row r="21786" spans="3:47">
      <c r="C21786" s="20"/>
      <c r="Z21786" s="20"/>
      <c r="AG21786" s="20"/>
      <c r="AQ21786" s="19"/>
      <c r="AR21786" s="19"/>
      <c r="AS21786" s="19"/>
      <c r="AT21786" s="19"/>
      <c r="AU21786" s="19"/>
    </row>
    <row r="21787" spans="3:47">
      <c r="C21787" s="20"/>
      <c r="Z21787" s="20"/>
      <c r="AG21787" s="20"/>
      <c r="AQ21787" s="19"/>
      <c r="AR21787" s="19"/>
      <c r="AS21787" s="19"/>
      <c r="AT21787" s="19"/>
      <c r="AU21787" s="19"/>
    </row>
    <row r="21788" spans="3:47">
      <c r="C21788" s="20"/>
      <c r="Z21788" s="20"/>
      <c r="AG21788" s="20"/>
      <c r="AQ21788" s="19"/>
      <c r="AR21788" s="19"/>
      <c r="AS21788" s="19"/>
      <c r="AT21788" s="19"/>
      <c r="AU21788" s="19"/>
    </row>
    <row r="21789" spans="3:47">
      <c r="C21789" s="20"/>
      <c r="Z21789" s="20"/>
      <c r="AG21789" s="20"/>
      <c r="AQ21789" s="19"/>
      <c r="AR21789" s="19"/>
      <c r="AS21789" s="19"/>
      <c r="AT21789" s="19"/>
      <c r="AU21789" s="19"/>
    </row>
    <row r="21790" spans="3:47">
      <c r="C21790" s="20"/>
      <c r="Z21790" s="20"/>
      <c r="AG21790" s="20"/>
      <c r="AQ21790" s="19"/>
      <c r="AR21790" s="19"/>
      <c r="AS21790" s="19"/>
      <c r="AT21790" s="19"/>
      <c r="AU21790" s="19"/>
    </row>
    <row r="21791" spans="3:47">
      <c r="C21791" s="20"/>
      <c r="Z21791" s="20"/>
      <c r="AG21791" s="20"/>
      <c r="AQ21791" s="19"/>
      <c r="AR21791" s="19"/>
      <c r="AS21791" s="19"/>
      <c r="AT21791" s="19"/>
      <c r="AU21791" s="19"/>
    </row>
    <row r="21792" spans="3:47">
      <c r="C21792" s="20"/>
      <c r="Z21792" s="20"/>
      <c r="AG21792" s="20"/>
      <c r="AQ21792" s="19"/>
      <c r="AR21792" s="19"/>
      <c r="AS21792" s="19"/>
      <c r="AT21792" s="19"/>
      <c r="AU21792" s="19"/>
    </row>
    <row r="21793" spans="3:47">
      <c r="C21793" s="20"/>
      <c r="Z21793" s="20"/>
      <c r="AG21793" s="20"/>
      <c r="AQ21793" s="19"/>
      <c r="AR21793" s="19"/>
      <c r="AS21793" s="19"/>
      <c r="AT21793" s="19"/>
      <c r="AU21793" s="19"/>
    </row>
    <row r="21794" spans="3:47">
      <c r="C21794" s="20"/>
      <c r="Z21794" s="20"/>
      <c r="AG21794" s="20"/>
      <c r="AQ21794" s="19"/>
      <c r="AR21794" s="19"/>
      <c r="AS21794" s="19"/>
      <c r="AT21794" s="19"/>
      <c r="AU21794" s="19"/>
    </row>
    <row r="21795" spans="3:47">
      <c r="C21795" s="20"/>
      <c r="Z21795" s="20"/>
      <c r="AG21795" s="20"/>
      <c r="AQ21795" s="19"/>
      <c r="AR21795" s="19"/>
      <c r="AS21795" s="19"/>
      <c r="AT21795" s="19"/>
      <c r="AU21795" s="19"/>
    </row>
    <row r="21796" spans="3:47">
      <c r="C21796" s="20"/>
      <c r="Z21796" s="20"/>
      <c r="AG21796" s="20"/>
      <c r="AQ21796" s="19"/>
      <c r="AR21796" s="19"/>
      <c r="AS21796" s="19"/>
      <c r="AT21796" s="19"/>
      <c r="AU21796" s="19"/>
    </row>
    <row r="21797" spans="3:47">
      <c r="C21797" s="20"/>
      <c r="Z21797" s="20"/>
      <c r="AG21797" s="20"/>
      <c r="AQ21797" s="19"/>
      <c r="AR21797" s="19"/>
      <c r="AS21797" s="19"/>
      <c r="AT21797" s="19"/>
      <c r="AU21797" s="19"/>
    </row>
    <row r="21798" spans="3:47">
      <c r="C21798" s="20"/>
      <c r="Z21798" s="20"/>
      <c r="AG21798" s="20"/>
      <c r="AQ21798" s="19"/>
      <c r="AR21798" s="19"/>
      <c r="AS21798" s="19"/>
      <c r="AT21798" s="19"/>
      <c r="AU21798" s="19"/>
    </row>
    <row r="21799" spans="3:47">
      <c r="C21799" s="20"/>
      <c r="Z21799" s="20"/>
      <c r="AG21799" s="20"/>
      <c r="AQ21799" s="19"/>
      <c r="AR21799" s="19"/>
      <c r="AS21799" s="19"/>
      <c r="AT21799" s="19"/>
      <c r="AU21799" s="19"/>
    </row>
    <row r="21800" spans="3:47">
      <c r="C21800" s="20"/>
      <c r="Z21800" s="20"/>
      <c r="AG21800" s="20"/>
      <c r="AQ21800" s="19"/>
      <c r="AR21800" s="19"/>
      <c r="AS21800" s="19"/>
      <c r="AT21800" s="19"/>
      <c r="AU21800" s="19"/>
    </row>
    <row r="21801" spans="3:47">
      <c r="C21801" s="20"/>
      <c r="Z21801" s="20"/>
      <c r="AG21801" s="20"/>
      <c r="AQ21801" s="19"/>
      <c r="AR21801" s="19"/>
      <c r="AS21801" s="19"/>
      <c r="AT21801" s="19"/>
      <c r="AU21801" s="19"/>
    </row>
    <row r="21802" spans="3:47">
      <c r="C21802" s="20"/>
      <c r="Z21802" s="20"/>
      <c r="AG21802" s="20"/>
      <c r="AQ21802" s="19"/>
      <c r="AR21802" s="19"/>
      <c r="AS21802" s="19"/>
      <c r="AT21802" s="19"/>
      <c r="AU21802" s="19"/>
    </row>
    <row r="21803" spans="3:47">
      <c r="C21803" s="20"/>
      <c r="Z21803" s="20"/>
      <c r="AG21803" s="20"/>
      <c r="AQ21803" s="19"/>
      <c r="AR21803" s="19"/>
      <c r="AS21803" s="19"/>
      <c r="AT21803" s="19"/>
      <c r="AU21803" s="19"/>
    </row>
    <row r="21804" spans="3:47">
      <c r="C21804" s="20"/>
      <c r="Z21804" s="20"/>
      <c r="AG21804" s="20"/>
      <c r="AQ21804" s="19"/>
      <c r="AR21804" s="19"/>
      <c r="AS21804" s="19"/>
      <c r="AT21804" s="19"/>
      <c r="AU21804" s="19"/>
    </row>
    <row r="21805" spans="3:47">
      <c r="C21805" s="20"/>
      <c r="Z21805" s="20"/>
      <c r="AG21805" s="20"/>
      <c r="AQ21805" s="19"/>
      <c r="AR21805" s="19"/>
      <c r="AS21805" s="19"/>
      <c r="AT21805" s="19"/>
      <c r="AU21805" s="19"/>
    </row>
    <row r="21806" spans="3:47">
      <c r="C21806" s="20"/>
      <c r="Z21806" s="20"/>
      <c r="AG21806" s="20"/>
      <c r="AQ21806" s="19"/>
      <c r="AR21806" s="19"/>
      <c r="AS21806" s="19"/>
      <c r="AT21806" s="19"/>
      <c r="AU21806" s="19"/>
    </row>
    <row r="21807" spans="3:47">
      <c r="C21807" s="20"/>
      <c r="Z21807" s="20"/>
      <c r="AG21807" s="20"/>
      <c r="AQ21807" s="19"/>
      <c r="AR21807" s="19"/>
      <c r="AS21807" s="19"/>
      <c r="AT21807" s="19"/>
      <c r="AU21807" s="19"/>
    </row>
    <row r="21808" spans="3:47">
      <c r="C21808" s="20"/>
      <c r="Z21808" s="20"/>
      <c r="AG21808" s="20"/>
      <c r="AQ21808" s="19"/>
      <c r="AR21808" s="19"/>
      <c r="AS21808" s="19"/>
      <c r="AT21808" s="19"/>
      <c r="AU21808" s="19"/>
    </row>
    <row r="21809" spans="3:47">
      <c r="C21809" s="20"/>
      <c r="Z21809" s="20"/>
      <c r="AG21809" s="20"/>
      <c r="AQ21809" s="19"/>
      <c r="AR21809" s="19"/>
      <c r="AS21809" s="19"/>
      <c r="AT21809" s="19"/>
      <c r="AU21809" s="19"/>
    </row>
    <row r="21810" spans="3:47">
      <c r="C21810" s="20"/>
      <c r="Z21810" s="20"/>
      <c r="AG21810" s="20"/>
      <c r="AQ21810" s="19"/>
      <c r="AR21810" s="19"/>
      <c r="AS21810" s="19"/>
      <c r="AT21810" s="19"/>
      <c r="AU21810" s="19"/>
    </row>
    <row r="21811" spans="3:47">
      <c r="C21811" s="20"/>
      <c r="Z21811" s="20"/>
      <c r="AG21811" s="20"/>
      <c r="AQ21811" s="19"/>
      <c r="AR21811" s="19"/>
      <c r="AS21811" s="19"/>
      <c r="AT21811" s="19"/>
      <c r="AU21811" s="19"/>
    </row>
    <row r="21812" spans="3:47">
      <c r="C21812" s="20"/>
      <c r="Z21812" s="20"/>
      <c r="AG21812" s="20"/>
      <c r="AQ21812" s="19"/>
      <c r="AR21812" s="19"/>
      <c r="AS21812" s="19"/>
      <c r="AT21812" s="19"/>
      <c r="AU21812" s="19"/>
    </row>
    <row r="21813" spans="3:47">
      <c r="C21813" s="20"/>
      <c r="Z21813" s="20"/>
      <c r="AG21813" s="20"/>
      <c r="AQ21813" s="19"/>
      <c r="AR21813" s="19"/>
      <c r="AS21813" s="19"/>
      <c r="AT21813" s="19"/>
      <c r="AU21813" s="19"/>
    </row>
    <row r="21814" spans="3:47">
      <c r="C21814" s="20"/>
      <c r="Z21814" s="20"/>
      <c r="AG21814" s="20"/>
      <c r="AQ21814" s="19"/>
      <c r="AR21814" s="19"/>
      <c r="AS21814" s="19"/>
      <c r="AT21814" s="19"/>
      <c r="AU21814" s="19"/>
    </row>
    <row r="21815" spans="3:47">
      <c r="C21815" s="20"/>
      <c r="Z21815" s="20"/>
      <c r="AG21815" s="20"/>
      <c r="AQ21815" s="19"/>
      <c r="AR21815" s="19"/>
      <c r="AS21815" s="19"/>
      <c r="AT21815" s="19"/>
      <c r="AU21815" s="19"/>
    </row>
    <row r="21816" spans="3:47">
      <c r="C21816" s="20"/>
      <c r="Z21816" s="20"/>
      <c r="AG21816" s="20"/>
      <c r="AQ21816" s="19"/>
      <c r="AR21816" s="19"/>
      <c r="AS21816" s="19"/>
      <c r="AT21816" s="19"/>
      <c r="AU21816" s="19"/>
    </row>
    <row r="21817" spans="3:47">
      <c r="C21817" s="20"/>
      <c r="Z21817" s="20"/>
      <c r="AG21817" s="20"/>
      <c r="AQ21817" s="19"/>
      <c r="AR21817" s="19"/>
      <c r="AS21817" s="19"/>
      <c r="AT21817" s="19"/>
      <c r="AU21817" s="19"/>
    </row>
    <row r="21818" spans="3:47">
      <c r="C21818" s="20"/>
      <c r="Z21818" s="20"/>
      <c r="AG21818" s="20"/>
      <c r="AQ21818" s="19"/>
      <c r="AR21818" s="19"/>
      <c r="AS21818" s="19"/>
      <c r="AT21818" s="19"/>
      <c r="AU21818" s="19"/>
    </row>
    <row r="21819" spans="3:47">
      <c r="C21819" s="20"/>
      <c r="Z21819" s="20"/>
      <c r="AG21819" s="20"/>
      <c r="AQ21819" s="19"/>
      <c r="AR21819" s="19"/>
      <c r="AS21819" s="19"/>
      <c r="AT21819" s="19"/>
      <c r="AU21819" s="19"/>
    </row>
    <row r="21820" spans="3:47">
      <c r="C21820" s="20"/>
      <c r="Z21820" s="20"/>
      <c r="AG21820" s="20"/>
      <c r="AQ21820" s="19"/>
      <c r="AR21820" s="19"/>
      <c r="AS21820" s="19"/>
      <c r="AT21820" s="19"/>
      <c r="AU21820" s="19"/>
    </row>
    <row r="21821" spans="3:47">
      <c r="C21821" s="20"/>
      <c r="Z21821" s="20"/>
      <c r="AG21821" s="20"/>
      <c r="AQ21821" s="19"/>
      <c r="AR21821" s="19"/>
      <c r="AS21821" s="19"/>
      <c r="AT21821" s="19"/>
      <c r="AU21821" s="19"/>
    </row>
    <row r="21822" spans="3:47">
      <c r="C21822" s="20"/>
      <c r="Z21822" s="20"/>
      <c r="AG21822" s="20"/>
      <c r="AQ21822" s="19"/>
      <c r="AR21822" s="19"/>
      <c r="AS21822" s="19"/>
      <c r="AT21822" s="19"/>
      <c r="AU21822" s="19"/>
    </row>
    <row r="21823" spans="3:47">
      <c r="C21823" s="20"/>
      <c r="Z21823" s="20"/>
      <c r="AG21823" s="20"/>
      <c r="AQ21823" s="19"/>
      <c r="AR21823" s="19"/>
      <c r="AS21823" s="19"/>
      <c r="AT21823" s="19"/>
      <c r="AU21823" s="19"/>
    </row>
    <row r="21824" spans="3:47">
      <c r="C21824" s="20"/>
      <c r="Z21824" s="20"/>
      <c r="AG21824" s="20"/>
      <c r="AQ21824" s="19"/>
      <c r="AR21824" s="19"/>
      <c r="AS21824" s="19"/>
      <c r="AT21824" s="19"/>
      <c r="AU21824" s="19"/>
    </row>
    <row r="21825" spans="3:47">
      <c r="C21825" s="20"/>
      <c r="Z21825" s="20"/>
      <c r="AG21825" s="20"/>
      <c r="AQ21825" s="19"/>
      <c r="AR21825" s="19"/>
      <c r="AS21825" s="19"/>
      <c r="AT21825" s="19"/>
      <c r="AU21825" s="19"/>
    </row>
    <row r="21826" spans="3:47">
      <c r="C21826" s="20"/>
      <c r="Z21826" s="20"/>
      <c r="AG21826" s="20"/>
      <c r="AQ21826" s="19"/>
      <c r="AR21826" s="19"/>
      <c r="AS21826" s="19"/>
      <c r="AT21826" s="19"/>
      <c r="AU21826" s="19"/>
    </row>
    <row r="21827" spans="3:47">
      <c r="C21827" s="20"/>
      <c r="Z21827" s="20"/>
      <c r="AG21827" s="20"/>
      <c r="AQ21827" s="19"/>
      <c r="AR21827" s="19"/>
      <c r="AS21827" s="19"/>
      <c r="AT21827" s="19"/>
      <c r="AU21827" s="19"/>
    </row>
    <row r="21828" spans="3:47">
      <c r="C21828" s="20"/>
      <c r="Z21828" s="20"/>
      <c r="AG21828" s="20"/>
      <c r="AQ21828" s="19"/>
      <c r="AR21828" s="19"/>
      <c r="AS21828" s="19"/>
      <c r="AT21828" s="19"/>
      <c r="AU21828" s="19"/>
    </row>
    <row r="21829" spans="3:47">
      <c r="C21829" s="20"/>
      <c r="Z21829" s="20"/>
      <c r="AG21829" s="20"/>
      <c r="AQ21829" s="19"/>
      <c r="AR21829" s="19"/>
      <c r="AS21829" s="19"/>
      <c r="AT21829" s="19"/>
      <c r="AU21829" s="19"/>
    </row>
    <row r="21830" spans="3:47">
      <c r="C21830" s="20"/>
      <c r="Z21830" s="20"/>
      <c r="AG21830" s="20"/>
      <c r="AQ21830" s="19"/>
      <c r="AR21830" s="19"/>
      <c r="AS21830" s="19"/>
      <c r="AT21830" s="19"/>
      <c r="AU21830" s="19"/>
    </row>
    <row r="21831" spans="3:47">
      <c r="C21831" s="20"/>
      <c r="Z21831" s="20"/>
      <c r="AG21831" s="20"/>
      <c r="AQ21831" s="19"/>
      <c r="AR21831" s="19"/>
      <c r="AS21831" s="19"/>
      <c r="AT21831" s="19"/>
      <c r="AU21831" s="19"/>
    </row>
    <row r="21832" spans="3:47">
      <c r="C21832" s="20"/>
      <c r="Z21832" s="20"/>
      <c r="AG21832" s="20"/>
      <c r="AQ21832" s="19"/>
      <c r="AR21832" s="19"/>
      <c r="AS21832" s="19"/>
      <c r="AT21832" s="19"/>
      <c r="AU21832" s="19"/>
    </row>
    <row r="21833" spans="3:47">
      <c r="C21833" s="20"/>
      <c r="Z21833" s="20"/>
      <c r="AG21833" s="20"/>
      <c r="AQ21833" s="19"/>
      <c r="AR21833" s="19"/>
      <c r="AS21833" s="19"/>
      <c r="AT21833" s="19"/>
      <c r="AU21833" s="19"/>
    </row>
    <row r="21834" spans="3:47">
      <c r="C21834" s="20"/>
      <c r="Z21834" s="20"/>
      <c r="AG21834" s="20"/>
      <c r="AQ21834" s="19"/>
      <c r="AR21834" s="19"/>
      <c r="AS21834" s="19"/>
      <c r="AT21834" s="19"/>
      <c r="AU21834" s="19"/>
    </row>
    <row r="21835" spans="3:47">
      <c r="C21835" s="20"/>
      <c r="Z21835" s="20"/>
      <c r="AG21835" s="20"/>
      <c r="AQ21835" s="19"/>
      <c r="AR21835" s="19"/>
      <c r="AS21835" s="19"/>
      <c r="AT21835" s="19"/>
      <c r="AU21835" s="19"/>
    </row>
    <row r="21836" spans="3:47">
      <c r="C21836" s="20"/>
      <c r="Z21836" s="20"/>
      <c r="AG21836" s="20"/>
      <c r="AQ21836" s="19"/>
      <c r="AR21836" s="19"/>
      <c r="AS21836" s="19"/>
      <c r="AT21836" s="19"/>
      <c r="AU21836" s="19"/>
    </row>
    <row r="21837" spans="3:47">
      <c r="C21837" s="20"/>
      <c r="Z21837" s="20"/>
      <c r="AG21837" s="20"/>
      <c r="AQ21837" s="19"/>
      <c r="AR21837" s="19"/>
      <c r="AS21837" s="19"/>
      <c r="AT21837" s="19"/>
      <c r="AU21837" s="19"/>
    </row>
    <row r="21838" spans="3:47">
      <c r="C21838" s="20"/>
      <c r="Z21838" s="20"/>
      <c r="AG21838" s="20"/>
      <c r="AQ21838" s="19"/>
      <c r="AR21838" s="19"/>
      <c r="AS21838" s="19"/>
      <c r="AT21838" s="19"/>
      <c r="AU21838" s="19"/>
    </row>
    <row r="21839" spans="3:47">
      <c r="C21839" s="20"/>
      <c r="Z21839" s="20"/>
      <c r="AG21839" s="20"/>
      <c r="AQ21839" s="19"/>
      <c r="AR21839" s="19"/>
      <c r="AS21839" s="19"/>
      <c r="AT21839" s="19"/>
      <c r="AU21839" s="19"/>
    </row>
    <row r="21840" spans="3:47">
      <c r="C21840" s="20"/>
      <c r="Z21840" s="20"/>
      <c r="AG21840" s="20"/>
      <c r="AQ21840" s="19"/>
      <c r="AR21840" s="19"/>
      <c r="AS21840" s="19"/>
      <c r="AT21840" s="19"/>
      <c r="AU21840" s="19"/>
    </row>
    <row r="21841" spans="3:47">
      <c r="C21841" s="20"/>
      <c r="Z21841" s="20"/>
      <c r="AG21841" s="20"/>
      <c r="AQ21841" s="19"/>
      <c r="AR21841" s="19"/>
      <c r="AS21841" s="19"/>
      <c r="AT21841" s="19"/>
      <c r="AU21841" s="19"/>
    </row>
    <row r="21842" spans="3:47">
      <c r="C21842" s="20"/>
      <c r="Z21842" s="20"/>
      <c r="AG21842" s="20"/>
      <c r="AQ21842" s="19"/>
      <c r="AR21842" s="19"/>
      <c r="AS21842" s="19"/>
      <c r="AT21842" s="19"/>
      <c r="AU21842" s="19"/>
    </row>
    <row r="21843" spans="3:47">
      <c r="C21843" s="20"/>
      <c r="Z21843" s="20"/>
      <c r="AG21843" s="20"/>
      <c r="AQ21843" s="19"/>
      <c r="AR21843" s="19"/>
      <c r="AS21843" s="19"/>
      <c r="AT21843" s="19"/>
      <c r="AU21843" s="19"/>
    </row>
    <row r="21844" spans="3:47">
      <c r="C21844" s="20"/>
      <c r="Z21844" s="20"/>
      <c r="AG21844" s="20"/>
      <c r="AQ21844" s="19"/>
      <c r="AR21844" s="19"/>
      <c r="AS21844" s="19"/>
      <c r="AT21844" s="19"/>
      <c r="AU21844" s="19"/>
    </row>
    <row r="21845" spans="3:47">
      <c r="C21845" s="20"/>
      <c r="Z21845" s="20"/>
      <c r="AG21845" s="20"/>
      <c r="AQ21845" s="19"/>
      <c r="AR21845" s="19"/>
      <c r="AS21845" s="19"/>
      <c r="AT21845" s="19"/>
      <c r="AU21845" s="19"/>
    </row>
    <row r="21846" spans="3:47">
      <c r="C21846" s="20"/>
      <c r="Z21846" s="20"/>
      <c r="AG21846" s="20"/>
      <c r="AQ21846" s="19"/>
      <c r="AR21846" s="19"/>
      <c r="AS21846" s="19"/>
      <c r="AT21846" s="19"/>
      <c r="AU21846" s="19"/>
    </row>
    <row r="21847" spans="3:47">
      <c r="C21847" s="20"/>
      <c r="Z21847" s="20"/>
      <c r="AG21847" s="20"/>
      <c r="AQ21847" s="19"/>
      <c r="AR21847" s="19"/>
      <c r="AS21847" s="19"/>
      <c r="AT21847" s="19"/>
      <c r="AU21847" s="19"/>
    </row>
    <row r="21848" spans="3:47">
      <c r="C21848" s="20"/>
      <c r="Z21848" s="20"/>
      <c r="AG21848" s="20"/>
      <c r="AQ21848" s="19"/>
      <c r="AR21848" s="19"/>
      <c r="AS21848" s="19"/>
      <c r="AT21848" s="19"/>
      <c r="AU21848" s="19"/>
    </row>
    <row r="21849" spans="3:47">
      <c r="C21849" s="20"/>
      <c r="Z21849" s="20"/>
      <c r="AG21849" s="20"/>
      <c r="AQ21849" s="19"/>
      <c r="AR21849" s="19"/>
      <c r="AS21849" s="19"/>
      <c r="AT21849" s="19"/>
      <c r="AU21849" s="19"/>
    </row>
    <row r="21850" spans="3:47">
      <c r="C21850" s="20"/>
      <c r="Z21850" s="20"/>
      <c r="AG21850" s="20"/>
      <c r="AQ21850" s="19"/>
      <c r="AR21850" s="19"/>
      <c r="AS21850" s="19"/>
      <c r="AT21850" s="19"/>
      <c r="AU21850" s="19"/>
    </row>
    <row r="21851" spans="3:47">
      <c r="C21851" s="20"/>
      <c r="Z21851" s="20"/>
      <c r="AG21851" s="20"/>
      <c r="AQ21851" s="19"/>
      <c r="AR21851" s="19"/>
      <c r="AS21851" s="19"/>
      <c r="AT21851" s="19"/>
      <c r="AU21851" s="19"/>
    </row>
    <row r="21852" spans="3:47">
      <c r="C21852" s="20"/>
      <c r="Z21852" s="20"/>
      <c r="AG21852" s="20"/>
      <c r="AQ21852" s="19"/>
      <c r="AR21852" s="19"/>
      <c r="AS21852" s="19"/>
      <c r="AT21852" s="19"/>
      <c r="AU21852" s="19"/>
    </row>
    <row r="21853" spans="3:47">
      <c r="C21853" s="20"/>
      <c r="Z21853" s="20"/>
      <c r="AG21853" s="20"/>
      <c r="AQ21853" s="19"/>
      <c r="AR21853" s="19"/>
      <c r="AS21853" s="19"/>
      <c r="AT21853" s="19"/>
      <c r="AU21853" s="19"/>
    </row>
    <row r="21854" spans="3:47">
      <c r="C21854" s="20"/>
      <c r="Z21854" s="20"/>
      <c r="AG21854" s="20"/>
      <c r="AQ21854" s="19"/>
      <c r="AR21854" s="19"/>
      <c r="AS21854" s="19"/>
      <c r="AT21854" s="19"/>
      <c r="AU21854" s="19"/>
    </row>
    <row r="21855" spans="3:47">
      <c r="C21855" s="20"/>
      <c r="Z21855" s="20"/>
      <c r="AG21855" s="20"/>
      <c r="AQ21855" s="19"/>
      <c r="AR21855" s="19"/>
      <c r="AS21855" s="19"/>
      <c r="AT21855" s="19"/>
      <c r="AU21855" s="19"/>
    </row>
    <row r="21856" spans="3:47">
      <c r="C21856" s="20"/>
      <c r="Z21856" s="20"/>
      <c r="AG21856" s="20"/>
      <c r="AQ21856" s="19"/>
      <c r="AR21856" s="19"/>
      <c r="AS21856" s="19"/>
      <c r="AT21856" s="19"/>
      <c r="AU21856" s="19"/>
    </row>
    <row r="21857" spans="3:47">
      <c r="C21857" s="20"/>
      <c r="Z21857" s="20"/>
      <c r="AG21857" s="20"/>
      <c r="AQ21857" s="19"/>
      <c r="AR21857" s="19"/>
      <c r="AS21857" s="19"/>
      <c r="AT21857" s="19"/>
      <c r="AU21857" s="19"/>
    </row>
    <row r="21858" spans="3:47">
      <c r="C21858" s="20"/>
      <c r="Z21858" s="20"/>
      <c r="AG21858" s="20"/>
      <c r="AQ21858" s="19"/>
      <c r="AR21858" s="19"/>
      <c r="AS21858" s="19"/>
      <c r="AT21858" s="19"/>
      <c r="AU21858" s="19"/>
    </row>
    <row r="21859" spans="3:47">
      <c r="C21859" s="20"/>
      <c r="Z21859" s="20"/>
      <c r="AG21859" s="20"/>
      <c r="AQ21859" s="19"/>
      <c r="AR21859" s="19"/>
      <c r="AS21859" s="19"/>
      <c r="AT21859" s="19"/>
      <c r="AU21859" s="19"/>
    </row>
    <row r="21860" spans="3:47">
      <c r="C21860" s="20"/>
      <c r="Z21860" s="20"/>
      <c r="AG21860" s="20"/>
      <c r="AQ21860" s="19"/>
      <c r="AR21860" s="19"/>
      <c r="AS21860" s="19"/>
      <c r="AT21860" s="19"/>
      <c r="AU21860" s="19"/>
    </row>
    <row r="21861" spans="3:47">
      <c r="C21861" s="20"/>
      <c r="Z21861" s="20"/>
      <c r="AG21861" s="20"/>
      <c r="AQ21861" s="19"/>
      <c r="AR21861" s="19"/>
      <c r="AS21861" s="19"/>
      <c r="AT21861" s="19"/>
      <c r="AU21861" s="19"/>
    </row>
    <row r="21862" spans="3:47">
      <c r="C21862" s="20"/>
      <c r="Z21862" s="20"/>
      <c r="AG21862" s="20"/>
      <c r="AQ21862" s="19"/>
      <c r="AR21862" s="19"/>
      <c r="AS21862" s="19"/>
      <c r="AT21862" s="19"/>
      <c r="AU21862" s="19"/>
    </row>
    <row r="21863" spans="3:47">
      <c r="C21863" s="20"/>
      <c r="Z21863" s="20"/>
      <c r="AG21863" s="20"/>
      <c r="AQ21863" s="19"/>
      <c r="AR21863" s="19"/>
      <c r="AS21863" s="19"/>
      <c r="AT21863" s="19"/>
      <c r="AU21863" s="19"/>
    </row>
    <row r="21864" spans="3:47">
      <c r="C21864" s="20"/>
      <c r="Z21864" s="20"/>
      <c r="AG21864" s="20"/>
      <c r="AQ21864" s="19"/>
      <c r="AR21864" s="19"/>
      <c r="AS21864" s="19"/>
      <c r="AT21864" s="19"/>
      <c r="AU21864" s="19"/>
    </row>
    <row r="21865" spans="3:47">
      <c r="C21865" s="20"/>
      <c r="Z21865" s="20"/>
      <c r="AG21865" s="20"/>
      <c r="AQ21865" s="19"/>
      <c r="AR21865" s="19"/>
      <c r="AS21865" s="19"/>
      <c r="AT21865" s="19"/>
      <c r="AU21865" s="19"/>
    </row>
    <row r="21866" spans="3:47">
      <c r="C21866" s="20"/>
      <c r="Z21866" s="20"/>
      <c r="AG21866" s="20"/>
      <c r="AQ21866" s="19"/>
      <c r="AR21866" s="19"/>
      <c r="AS21866" s="19"/>
      <c r="AT21866" s="19"/>
      <c r="AU21866" s="19"/>
    </row>
    <row r="21867" spans="3:47">
      <c r="C21867" s="20"/>
      <c r="Z21867" s="20"/>
      <c r="AG21867" s="20"/>
      <c r="AQ21867" s="19"/>
      <c r="AR21867" s="19"/>
      <c r="AS21867" s="19"/>
      <c r="AT21867" s="19"/>
      <c r="AU21867" s="19"/>
    </row>
    <row r="21868" spans="3:47">
      <c r="C21868" s="20"/>
      <c r="Z21868" s="20"/>
      <c r="AG21868" s="20"/>
      <c r="AQ21868" s="19"/>
      <c r="AR21868" s="19"/>
      <c r="AS21868" s="19"/>
      <c r="AT21868" s="19"/>
      <c r="AU21868" s="19"/>
    </row>
    <row r="21869" spans="3:47">
      <c r="C21869" s="20"/>
      <c r="Z21869" s="20"/>
      <c r="AG21869" s="20"/>
      <c r="AQ21869" s="19"/>
      <c r="AR21869" s="19"/>
      <c r="AS21869" s="19"/>
      <c r="AT21869" s="19"/>
      <c r="AU21869" s="19"/>
    </row>
    <row r="21870" spans="3:47">
      <c r="C21870" s="20"/>
      <c r="Z21870" s="20"/>
      <c r="AG21870" s="20"/>
      <c r="AQ21870" s="19"/>
      <c r="AR21870" s="19"/>
      <c r="AS21870" s="19"/>
      <c r="AT21870" s="19"/>
      <c r="AU21870" s="19"/>
    </row>
    <row r="21871" spans="3:47">
      <c r="C21871" s="20"/>
      <c r="Z21871" s="20"/>
      <c r="AG21871" s="20"/>
      <c r="AQ21871" s="19"/>
      <c r="AR21871" s="19"/>
      <c r="AS21871" s="19"/>
      <c r="AT21871" s="19"/>
      <c r="AU21871" s="19"/>
    </row>
    <row r="21872" spans="3:47">
      <c r="C21872" s="20"/>
      <c r="Z21872" s="20"/>
      <c r="AG21872" s="20"/>
      <c r="AQ21872" s="19"/>
      <c r="AR21872" s="19"/>
      <c r="AS21872" s="19"/>
      <c r="AT21872" s="19"/>
      <c r="AU21872" s="19"/>
    </row>
    <row r="21873" spans="3:47">
      <c r="C21873" s="20"/>
      <c r="Z21873" s="20"/>
      <c r="AG21873" s="20"/>
      <c r="AQ21873" s="19"/>
      <c r="AR21873" s="19"/>
      <c r="AS21873" s="19"/>
      <c r="AT21873" s="19"/>
      <c r="AU21873" s="19"/>
    </row>
    <row r="21874" spans="3:47">
      <c r="C21874" s="20"/>
      <c r="Z21874" s="20"/>
      <c r="AG21874" s="20"/>
      <c r="AQ21874" s="19"/>
      <c r="AR21874" s="19"/>
      <c r="AS21874" s="19"/>
      <c r="AT21874" s="19"/>
      <c r="AU21874" s="19"/>
    </row>
    <row r="21875" spans="3:47">
      <c r="C21875" s="20"/>
      <c r="Z21875" s="20"/>
      <c r="AG21875" s="20"/>
      <c r="AQ21875" s="19"/>
      <c r="AR21875" s="19"/>
      <c r="AS21875" s="19"/>
      <c r="AT21875" s="19"/>
      <c r="AU21875" s="19"/>
    </row>
    <row r="21876" spans="3:47">
      <c r="C21876" s="20"/>
      <c r="Z21876" s="20"/>
      <c r="AG21876" s="20"/>
      <c r="AQ21876" s="19"/>
      <c r="AR21876" s="19"/>
      <c r="AS21876" s="19"/>
      <c r="AT21876" s="19"/>
      <c r="AU21876" s="19"/>
    </row>
    <row r="21877" spans="3:47">
      <c r="C21877" s="20"/>
      <c r="Z21877" s="20"/>
      <c r="AG21877" s="20"/>
      <c r="AQ21877" s="19"/>
      <c r="AR21877" s="19"/>
      <c r="AS21877" s="19"/>
      <c r="AT21877" s="19"/>
      <c r="AU21877" s="19"/>
    </row>
    <row r="21878" spans="3:47">
      <c r="C21878" s="20"/>
      <c r="Z21878" s="20"/>
      <c r="AG21878" s="20"/>
      <c r="AQ21878" s="19"/>
      <c r="AR21878" s="19"/>
      <c r="AS21878" s="19"/>
      <c r="AT21878" s="19"/>
      <c r="AU21878" s="19"/>
    </row>
    <row r="21879" spans="3:47">
      <c r="C21879" s="20"/>
      <c r="Z21879" s="20"/>
      <c r="AG21879" s="20"/>
      <c r="AQ21879" s="19"/>
      <c r="AR21879" s="19"/>
      <c r="AS21879" s="19"/>
      <c r="AT21879" s="19"/>
      <c r="AU21879" s="19"/>
    </row>
    <row r="21880" spans="3:47">
      <c r="C21880" s="20"/>
      <c r="Z21880" s="20"/>
      <c r="AG21880" s="20"/>
      <c r="AQ21880" s="19"/>
      <c r="AR21880" s="19"/>
      <c r="AS21880" s="19"/>
      <c r="AT21880" s="19"/>
      <c r="AU21880" s="19"/>
    </row>
    <row r="21881" spans="3:47">
      <c r="C21881" s="20"/>
      <c r="Z21881" s="20"/>
      <c r="AG21881" s="20"/>
      <c r="AQ21881" s="19"/>
      <c r="AR21881" s="19"/>
      <c r="AS21881" s="19"/>
      <c r="AT21881" s="19"/>
      <c r="AU21881" s="19"/>
    </row>
    <row r="21882" spans="3:47">
      <c r="C21882" s="20"/>
      <c r="Z21882" s="20"/>
      <c r="AG21882" s="20"/>
      <c r="AQ21882" s="19"/>
      <c r="AR21882" s="19"/>
      <c r="AS21882" s="19"/>
      <c r="AT21882" s="19"/>
      <c r="AU21882" s="19"/>
    </row>
    <row r="21883" spans="3:47">
      <c r="C21883" s="20"/>
      <c r="Z21883" s="20"/>
      <c r="AG21883" s="20"/>
      <c r="AQ21883" s="19"/>
      <c r="AR21883" s="19"/>
      <c r="AS21883" s="19"/>
      <c r="AT21883" s="19"/>
      <c r="AU21883" s="19"/>
    </row>
    <row r="21884" spans="3:47">
      <c r="C21884" s="20"/>
      <c r="Z21884" s="20"/>
      <c r="AG21884" s="20"/>
      <c r="AQ21884" s="19"/>
      <c r="AR21884" s="19"/>
      <c r="AS21884" s="19"/>
      <c r="AT21884" s="19"/>
      <c r="AU21884" s="19"/>
    </row>
    <row r="21885" spans="3:47">
      <c r="C21885" s="20"/>
      <c r="Z21885" s="20"/>
      <c r="AG21885" s="20"/>
      <c r="AQ21885" s="19"/>
      <c r="AR21885" s="19"/>
      <c r="AS21885" s="19"/>
      <c r="AT21885" s="19"/>
      <c r="AU21885" s="19"/>
    </row>
    <row r="21886" spans="3:47">
      <c r="C21886" s="20"/>
      <c r="Z21886" s="20"/>
      <c r="AG21886" s="20"/>
      <c r="AQ21886" s="19"/>
      <c r="AR21886" s="19"/>
      <c r="AS21886" s="19"/>
      <c r="AT21886" s="19"/>
      <c r="AU21886" s="19"/>
    </row>
    <row r="21887" spans="3:47">
      <c r="C21887" s="20"/>
      <c r="Z21887" s="20"/>
      <c r="AG21887" s="20"/>
      <c r="AQ21887" s="19"/>
      <c r="AR21887" s="19"/>
      <c r="AS21887" s="19"/>
      <c r="AT21887" s="19"/>
      <c r="AU21887" s="19"/>
    </row>
    <row r="21888" spans="3:47">
      <c r="C21888" s="20"/>
      <c r="Z21888" s="20"/>
      <c r="AG21888" s="20"/>
      <c r="AQ21888" s="19"/>
      <c r="AR21888" s="19"/>
      <c r="AS21888" s="19"/>
      <c r="AT21888" s="19"/>
      <c r="AU21888" s="19"/>
    </row>
    <row r="21889" spans="3:47">
      <c r="C21889" s="20"/>
      <c r="Z21889" s="20"/>
      <c r="AG21889" s="20"/>
      <c r="AQ21889" s="19"/>
      <c r="AR21889" s="19"/>
      <c r="AS21889" s="19"/>
      <c r="AT21889" s="19"/>
      <c r="AU21889" s="19"/>
    </row>
    <row r="21890" spans="3:47">
      <c r="C21890" s="20"/>
      <c r="Z21890" s="20"/>
      <c r="AG21890" s="20"/>
      <c r="AQ21890" s="19"/>
      <c r="AR21890" s="19"/>
      <c r="AS21890" s="19"/>
      <c r="AT21890" s="19"/>
      <c r="AU21890" s="19"/>
    </row>
    <row r="21891" spans="3:47">
      <c r="C21891" s="20"/>
      <c r="Z21891" s="20"/>
      <c r="AG21891" s="20"/>
      <c r="AQ21891" s="19"/>
      <c r="AR21891" s="19"/>
      <c r="AS21891" s="19"/>
      <c r="AT21891" s="19"/>
      <c r="AU21891" s="19"/>
    </row>
    <row r="21892" spans="3:47">
      <c r="C21892" s="20"/>
      <c r="Z21892" s="20"/>
      <c r="AG21892" s="20"/>
      <c r="AQ21892" s="19"/>
      <c r="AR21892" s="19"/>
      <c r="AS21892" s="19"/>
      <c r="AT21892" s="19"/>
      <c r="AU21892" s="19"/>
    </row>
    <row r="21893" spans="3:47">
      <c r="C21893" s="20"/>
      <c r="Z21893" s="20"/>
      <c r="AG21893" s="20"/>
      <c r="AQ21893" s="19"/>
      <c r="AR21893" s="19"/>
      <c r="AS21893" s="19"/>
      <c r="AT21893" s="19"/>
      <c r="AU21893" s="19"/>
    </row>
    <row r="21894" spans="3:47">
      <c r="C21894" s="20"/>
      <c r="Z21894" s="20"/>
      <c r="AG21894" s="20"/>
      <c r="AQ21894" s="19"/>
      <c r="AR21894" s="19"/>
      <c r="AS21894" s="19"/>
      <c r="AT21894" s="19"/>
      <c r="AU21894" s="19"/>
    </row>
    <row r="21895" spans="3:47">
      <c r="C21895" s="20"/>
      <c r="Z21895" s="20"/>
      <c r="AG21895" s="20"/>
      <c r="AQ21895" s="19"/>
      <c r="AR21895" s="19"/>
      <c r="AS21895" s="19"/>
      <c r="AT21895" s="19"/>
      <c r="AU21895" s="19"/>
    </row>
    <row r="21896" spans="3:47">
      <c r="C21896" s="20"/>
      <c r="Z21896" s="20"/>
      <c r="AG21896" s="20"/>
      <c r="AQ21896" s="19"/>
      <c r="AR21896" s="19"/>
      <c r="AS21896" s="19"/>
      <c r="AT21896" s="19"/>
      <c r="AU21896" s="19"/>
    </row>
    <row r="21897" spans="3:47">
      <c r="C21897" s="20"/>
      <c r="Z21897" s="20"/>
      <c r="AG21897" s="20"/>
      <c r="AQ21897" s="19"/>
      <c r="AR21897" s="19"/>
      <c r="AS21897" s="19"/>
      <c r="AT21897" s="19"/>
      <c r="AU21897" s="19"/>
    </row>
    <row r="21898" spans="3:47">
      <c r="C21898" s="20"/>
      <c r="Z21898" s="20"/>
      <c r="AG21898" s="20"/>
      <c r="AQ21898" s="19"/>
      <c r="AR21898" s="19"/>
      <c r="AS21898" s="19"/>
      <c r="AT21898" s="19"/>
      <c r="AU21898" s="19"/>
    </row>
    <row r="21899" spans="3:47">
      <c r="C21899" s="20"/>
      <c r="Z21899" s="20"/>
      <c r="AG21899" s="20"/>
      <c r="AQ21899" s="19"/>
      <c r="AR21899" s="19"/>
      <c r="AS21899" s="19"/>
      <c r="AT21899" s="19"/>
      <c r="AU21899" s="19"/>
    </row>
    <row r="21900" spans="3:47">
      <c r="C21900" s="20"/>
      <c r="Z21900" s="20"/>
      <c r="AG21900" s="20"/>
      <c r="AQ21900" s="19"/>
      <c r="AR21900" s="19"/>
      <c r="AS21900" s="19"/>
      <c r="AT21900" s="19"/>
      <c r="AU21900" s="19"/>
    </row>
    <row r="21901" spans="3:47">
      <c r="C21901" s="20"/>
      <c r="Z21901" s="20"/>
      <c r="AG21901" s="20"/>
      <c r="AQ21901" s="19"/>
      <c r="AR21901" s="19"/>
      <c r="AS21901" s="19"/>
      <c r="AT21901" s="19"/>
      <c r="AU21901" s="19"/>
    </row>
    <row r="21902" spans="3:47">
      <c r="C21902" s="20"/>
      <c r="Z21902" s="20"/>
      <c r="AG21902" s="20"/>
      <c r="AQ21902" s="19"/>
      <c r="AR21902" s="19"/>
      <c r="AS21902" s="19"/>
      <c r="AT21902" s="19"/>
      <c r="AU21902" s="19"/>
    </row>
    <row r="21903" spans="3:47">
      <c r="C21903" s="20"/>
      <c r="Z21903" s="20"/>
      <c r="AG21903" s="20"/>
      <c r="AQ21903" s="19"/>
      <c r="AR21903" s="19"/>
      <c r="AS21903" s="19"/>
      <c r="AT21903" s="19"/>
      <c r="AU21903" s="19"/>
    </row>
    <row r="21904" spans="3:47">
      <c r="C21904" s="20"/>
      <c r="Z21904" s="20"/>
      <c r="AG21904" s="20"/>
      <c r="AQ21904" s="19"/>
      <c r="AR21904" s="19"/>
      <c r="AS21904" s="19"/>
      <c r="AT21904" s="19"/>
      <c r="AU21904" s="19"/>
    </row>
    <row r="21905" spans="3:47">
      <c r="C21905" s="20"/>
      <c r="Z21905" s="20"/>
      <c r="AG21905" s="20"/>
      <c r="AQ21905" s="19"/>
      <c r="AR21905" s="19"/>
      <c r="AS21905" s="19"/>
      <c r="AT21905" s="19"/>
      <c r="AU21905" s="19"/>
    </row>
    <row r="21906" spans="3:47">
      <c r="C21906" s="20"/>
      <c r="Z21906" s="20"/>
      <c r="AG21906" s="20"/>
      <c r="AQ21906" s="19"/>
      <c r="AR21906" s="19"/>
      <c r="AS21906" s="19"/>
      <c r="AT21906" s="19"/>
      <c r="AU21906" s="19"/>
    </row>
    <row r="21907" spans="3:47">
      <c r="C21907" s="20"/>
      <c r="Z21907" s="20"/>
      <c r="AG21907" s="20"/>
      <c r="AQ21907" s="19"/>
      <c r="AR21907" s="19"/>
      <c r="AS21907" s="19"/>
      <c r="AT21907" s="19"/>
      <c r="AU21907" s="19"/>
    </row>
    <row r="21908" spans="3:47">
      <c r="C21908" s="20"/>
      <c r="Z21908" s="20"/>
      <c r="AG21908" s="20"/>
      <c r="AQ21908" s="19"/>
      <c r="AR21908" s="19"/>
      <c r="AS21908" s="19"/>
      <c r="AT21908" s="19"/>
      <c r="AU21908" s="19"/>
    </row>
    <row r="21909" spans="3:47">
      <c r="C21909" s="20"/>
      <c r="Z21909" s="20"/>
      <c r="AG21909" s="20"/>
      <c r="AQ21909" s="19"/>
      <c r="AR21909" s="19"/>
      <c r="AS21909" s="19"/>
      <c r="AT21909" s="19"/>
      <c r="AU21909" s="19"/>
    </row>
    <row r="21910" spans="3:47">
      <c r="C21910" s="20"/>
      <c r="Z21910" s="20"/>
      <c r="AG21910" s="20"/>
      <c r="AQ21910" s="19"/>
      <c r="AR21910" s="19"/>
      <c r="AS21910" s="19"/>
      <c r="AT21910" s="19"/>
      <c r="AU21910" s="19"/>
    </row>
    <row r="21911" spans="3:47">
      <c r="C21911" s="20"/>
      <c r="Z21911" s="20"/>
      <c r="AG21911" s="20"/>
      <c r="AQ21911" s="19"/>
      <c r="AR21911" s="19"/>
      <c r="AS21911" s="19"/>
      <c r="AT21911" s="19"/>
      <c r="AU21911" s="19"/>
    </row>
    <row r="21912" spans="3:47">
      <c r="C21912" s="20"/>
      <c r="Z21912" s="20"/>
      <c r="AG21912" s="20"/>
      <c r="AQ21912" s="19"/>
      <c r="AR21912" s="19"/>
      <c r="AS21912" s="19"/>
      <c r="AT21912" s="19"/>
      <c r="AU21912" s="19"/>
    </row>
    <row r="21913" spans="3:47">
      <c r="C21913" s="20"/>
      <c r="Z21913" s="20"/>
      <c r="AG21913" s="20"/>
      <c r="AQ21913" s="19"/>
      <c r="AR21913" s="19"/>
      <c r="AS21913" s="19"/>
      <c r="AT21913" s="19"/>
      <c r="AU21913" s="19"/>
    </row>
    <row r="21914" spans="3:47">
      <c r="C21914" s="20"/>
      <c r="Z21914" s="20"/>
      <c r="AG21914" s="20"/>
      <c r="AQ21914" s="19"/>
      <c r="AR21914" s="19"/>
      <c r="AS21914" s="19"/>
      <c r="AT21914" s="19"/>
      <c r="AU21914" s="19"/>
    </row>
    <row r="21915" spans="3:47">
      <c r="C21915" s="20"/>
      <c r="Z21915" s="20"/>
      <c r="AG21915" s="20"/>
      <c r="AQ21915" s="19"/>
      <c r="AR21915" s="19"/>
      <c r="AS21915" s="19"/>
      <c r="AT21915" s="19"/>
      <c r="AU21915" s="19"/>
    </row>
    <row r="21916" spans="3:47">
      <c r="C21916" s="20"/>
      <c r="Z21916" s="20"/>
      <c r="AG21916" s="20"/>
      <c r="AQ21916" s="19"/>
      <c r="AR21916" s="19"/>
      <c r="AS21916" s="19"/>
      <c r="AT21916" s="19"/>
      <c r="AU21916" s="19"/>
    </row>
    <row r="21917" spans="3:47">
      <c r="C21917" s="20"/>
      <c r="Z21917" s="20"/>
      <c r="AG21917" s="20"/>
      <c r="AQ21917" s="19"/>
      <c r="AR21917" s="19"/>
      <c r="AS21917" s="19"/>
      <c r="AT21917" s="19"/>
      <c r="AU21917" s="19"/>
    </row>
    <row r="21918" spans="3:47">
      <c r="C21918" s="20"/>
      <c r="Z21918" s="20"/>
      <c r="AG21918" s="20"/>
      <c r="AQ21918" s="19"/>
      <c r="AR21918" s="19"/>
      <c r="AS21918" s="19"/>
      <c r="AT21918" s="19"/>
      <c r="AU21918" s="19"/>
    </row>
    <row r="21919" spans="3:47">
      <c r="C21919" s="20"/>
      <c r="Z21919" s="20"/>
      <c r="AG21919" s="20"/>
      <c r="AQ21919" s="19"/>
      <c r="AR21919" s="19"/>
      <c r="AS21919" s="19"/>
      <c r="AT21919" s="19"/>
      <c r="AU21919" s="19"/>
    </row>
    <row r="21920" spans="3:47">
      <c r="C21920" s="20"/>
      <c r="Z21920" s="20"/>
      <c r="AG21920" s="20"/>
      <c r="AQ21920" s="19"/>
      <c r="AR21920" s="19"/>
      <c r="AS21920" s="19"/>
      <c r="AT21920" s="19"/>
      <c r="AU21920" s="19"/>
    </row>
    <row r="21921" spans="3:47">
      <c r="C21921" s="20"/>
      <c r="Z21921" s="20"/>
      <c r="AG21921" s="20"/>
      <c r="AQ21921" s="19"/>
      <c r="AR21921" s="19"/>
      <c r="AS21921" s="19"/>
      <c r="AT21921" s="19"/>
      <c r="AU21921" s="19"/>
    </row>
    <row r="21922" spans="3:47">
      <c r="C21922" s="20"/>
      <c r="Z21922" s="20"/>
      <c r="AG21922" s="20"/>
      <c r="AQ21922" s="19"/>
      <c r="AR21922" s="19"/>
      <c r="AS21922" s="19"/>
      <c r="AT21922" s="19"/>
      <c r="AU21922" s="19"/>
    </row>
    <row r="21923" spans="3:47">
      <c r="C21923" s="20"/>
      <c r="Z21923" s="20"/>
      <c r="AG21923" s="20"/>
      <c r="AQ21923" s="19"/>
      <c r="AR21923" s="19"/>
      <c r="AS21923" s="19"/>
      <c r="AT21923" s="19"/>
      <c r="AU21923" s="19"/>
    </row>
    <row r="21924" spans="3:47">
      <c r="C21924" s="20"/>
      <c r="Z21924" s="20"/>
      <c r="AG21924" s="20"/>
      <c r="AQ21924" s="19"/>
      <c r="AR21924" s="19"/>
      <c r="AS21924" s="19"/>
      <c r="AT21924" s="19"/>
      <c r="AU21924" s="19"/>
    </row>
    <row r="21925" spans="3:47">
      <c r="C21925" s="20"/>
      <c r="Z21925" s="20"/>
      <c r="AG21925" s="20"/>
      <c r="AQ21925" s="19"/>
      <c r="AR21925" s="19"/>
      <c r="AS21925" s="19"/>
      <c r="AT21925" s="19"/>
      <c r="AU21925" s="19"/>
    </row>
    <row r="21926" spans="3:47">
      <c r="C21926" s="20"/>
      <c r="Z21926" s="20"/>
      <c r="AG21926" s="20"/>
      <c r="AQ21926" s="19"/>
      <c r="AR21926" s="19"/>
      <c r="AS21926" s="19"/>
      <c r="AT21926" s="19"/>
      <c r="AU21926" s="19"/>
    </row>
    <row r="21927" spans="3:47">
      <c r="C21927" s="20"/>
      <c r="Z21927" s="20"/>
      <c r="AG21927" s="20"/>
      <c r="AQ21927" s="19"/>
      <c r="AR21927" s="19"/>
      <c r="AS21927" s="19"/>
      <c r="AT21927" s="19"/>
      <c r="AU21927" s="19"/>
    </row>
    <row r="21928" spans="3:47">
      <c r="C21928" s="20"/>
      <c r="Z21928" s="20"/>
      <c r="AG21928" s="20"/>
      <c r="AQ21928" s="19"/>
      <c r="AR21928" s="19"/>
      <c r="AS21928" s="19"/>
      <c r="AT21928" s="19"/>
      <c r="AU21928" s="19"/>
    </row>
    <row r="21929" spans="3:47">
      <c r="C21929" s="20"/>
      <c r="Z21929" s="20"/>
      <c r="AG21929" s="20"/>
      <c r="AQ21929" s="19"/>
      <c r="AR21929" s="19"/>
      <c r="AS21929" s="19"/>
      <c r="AT21929" s="19"/>
      <c r="AU21929" s="19"/>
    </row>
    <row r="21930" spans="3:47">
      <c r="C21930" s="20"/>
      <c r="Z21930" s="20"/>
      <c r="AG21930" s="20"/>
      <c r="AQ21930" s="19"/>
      <c r="AR21930" s="19"/>
      <c r="AS21930" s="19"/>
      <c r="AT21930" s="19"/>
      <c r="AU21930" s="19"/>
    </row>
    <row r="21931" spans="3:47">
      <c r="C21931" s="20"/>
      <c r="Z21931" s="20"/>
      <c r="AG21931" s="20"/>
      <c r="AQ21931" s="19"/>
      <c r="AR21931" s="19"/>
      <c r="AS21931" s="19"/>
      <c r="AT21931" s="19"/>
      <c r="AU21931" s="19"/>
    </row>
    <row r="21932" spans="3:47">
      <c r="C21932" s="20"/>
      <c r="Z21932" s="20"/>
      <c r="AG21932" s="20"/>
      <c r="AQ21932" s="19"/>
      <c r="AR21932" s="19"/>
      <c r="AS21932" s="19"/>
      <c r="AT21932" s="19"/>
      <c r="AU21932" s="19"/>
    </row>
    <row r="21933" spans="3:47">
      <c r="C21933" s="20"/>
      <c r="Z21933" s="20"/>
      <c r="AG21933" s="20"/>
      <c r="AQ21933" s="19"/>
      <c r="AR21933" s="19"/>
      <c r="AS21933" s="19"/>
      <c r="AT21933" s="19"/>
      <c r="AU21933" s="19"/>
    </row>
    <row r="21934" spans="3:47">
      <c r="C21934" s="20"/>
      <c r="Z21934" s="20"/>
      <c r="AG21934" s="20"/>
      <c r="AQ21934" s="19"/>
      <c r="AR21934" s="19"/>
      <c r="AS21934" s="19"/>
      <c r="AT21934" s="19"/>
      <c r="AU21934" s="19"/>
    </row>
    <row r="21935" spans="3:47">
      <c r="C21935" s="20"/>
      <c r="Z21935" s="20"/>
      <c r="AG21935" s="20"/>
      <c r="AQ21935" s="19"/>
      <c r="AR21935" s="19"/>
      <c r="AS21935" s="19"/>
      <c r="AT21935" s="19"/>
      <c r="AU21935" s="19"/>
    </row>
    <row r="21936" spans="3:47">
      <c r="C21936" s="20"/>
      <c r="Z21936" s="20"/>
      <c r="AG21936" s="20"/>
      <c r="AQ21936" s="19"/>
      <c r="AR21936" s="19"/>
      <c r="AS21936" s="19"/>
      <c r="AT21936" s="19"/>
      <c r="AU21936" s="19"/>
    </row>
    <row r="21937" spans="3:47">
      <c r="C21937" s="20"/>
      <c r="Z21937" s="20"/>
      <c r="AG21937" s="20"/>
      <c r="AQ21937" s="19"/>
      <c r="AR21937" s="19"/>
      <c r="AS21937" s="19"/>
      <c r="AT21937" s="19"/>
      <c r="AU21937" s="19"/>
    </row>
    <row r="21938" spans="3:47">
      <c r="C21938" s="20"/>
      <c r="Z21938" s="20"/>
      <c r="AG21938" s="20"/>
      <c r="AQ21938" s="19"/>
      <c r="AR21938" s="19"/>
      <c r="AS21938" s="19"/>
      <c r="AT21938" s="19"/>
      <c r="AU21938" s="19"/>
    </row>
    <row r="21939" spans="3:47">
      <c r="C21939" s="20"/>
      <c r="Z21939" s="20"/>
      <c r="AG21939" s="20"/>
      <c r="AQ21939" s="19"/>
      <c r="AR21939" s="19"/>
      <c r="AS21939" s="19"/>
      <c r="AT21939" s="19"/>
      <c r="AU21939" s="19"/>
    </row>
    <row r="21940" spans="3:47">
      <c r="C21940" s="20"/>
      <c r="Z21940" s="20"/>
      <c r="AG21940" s="20"/>
      <c r="AQ21940" s="19"/>
      <c r="AR21940" s="19"/>
      <c r="AS21940" s="19"/>
      <c r="AT21940" s="19"/>
      <c r="AU21940" s="19"/>
    </row>
    <row r="21941" spans="3:47">
      <c r="C21941" s="20"/>
      <c r="Z21941" s="20"/>
      <c r="AG21941" s="20"/>
      <c r="AQ21941" s="19"/>
      <c r="AR21941" s="19"/>
      <c r="AS21941" s="19"/>
      <c r="AT21941" s="19"/>
      <c r="AU21941" s="19"/>
    </row>
    <row r="21942" spans="3:47">
      <c r="C21942" s="20"/>
      <c r="Z21942" s="20"/>
      <c r="AG21942" s="20"/>
      <c r="AQ21942" s="19"/>
      <c r="AR21942" s="19"/>
      <c r="AS21942" s="19"/>
      <c r="AT21942" s="19"/>
      <c r="AU21942" s="19"/>
    </row>
    <row r="21943" spans="3:47">
      <c r="C21943" s="20"/>
      <c r="Z21943" s="20"/>
      <c r="AG21943" s="20"/>
      <c r="AQ21943" s="19"/>
      <c r="AR21943" s="19"/>
      <c r="AS21943" s="19"/>
      <c r="AT21943" s="19"/>
      <c r="AU21943" s="19"/>
    </row>
    <row r="21944" spans="3:47">
      <c r="C21944" s="20"/>
      <c r="Z21944" s="20"/>
      <c r="AG21944" s="20"/>
      <c r="AQ21944" s="19"/>
      <c r="AR21944" s="19"/>
      <c r="AS21944" s="19"/>
      <c r="AT21944" s="19"/>
      <c r="AU21944" s="19"/>
    </row>
    <row r="21945" spans="3:47">
      <c r="C21945" s="20"/>
      <c r="Z21945" s="20"/>
      <c r="AG21945" s="20"/>
      <c r="AQ21945" s="19"/>
      <c r="AR21945" s="19"/>
      <c r="AS21945" s="19"/>
      <c r="AT21945" s="19"/>
      <c r="AU21945" s="19"/>
    </row>
    <row r="21946" spans="3:47">
      <c r="C21946" s="20"/>
      <c r="Z21946" s="20"/>
      <c r="AG21946" s="20"/>
      <c r="AQ21946" s="19"/>
      <c r="AR21946" s="19"/>
      <c r="AS21946" s="19"/>
      <c r="AT21946" s="19"/>
      <c r="AU21946" s="19"/>
    </row>
    <row r="21947" spans="3:47">
      <c r="C21947" s="20"/>
      <c r="Z21947" s="20"/>
      <c r="AG21947" s="20"/>
      <c r="AQ21947" s="19"/>
      <c r="AR21947" s="19"/>
      <c r="AS21947" s="19"/>
      <c r="AT21947" s="19"/>
      <c r="AU21947" s="19"/>
    </row>
    <row r="21948" spans="3:47">
      <c r="C21948" s="20"/>
      <c r="Z21948" s="20"/>
      <c r="AG21948" s="20"/>
      <c r="AQ21948" s="19"/>
      <c r="AR21948" s="19"/>
      <c r="AS21948" s="19"/>
      <c r="AT21948" s="19"/>
      <c r="AU21948" s="19"/>
    </row>
    <row r="21949" spans="3:47">
      <c r="C21949" s="20"/>
      <c r="Z21949" s="20"/>
      <c r="AG21949" s="20"/>
      <c r="AQ21949" s="19"/>
      <c r="AR21949" s="19"/>
      <c r="AS21949" s="19"/>
      <c r="AT21949" s="19"/>
      <c r="AU21949" s="19"/>
    </row>
    <row r="21950" spans="3:47">
      <c r="C21950" s="20"/>
      <c r="Z21950" s="20"/>
      <c r="AG21950" s="20"/>
      <c r="AQ21950" s="19"/>
      <c r="AR21950" s="19"/>
      <c r="AS21950" s="19"/>
      <c r="AT21950" s="19"/>
      <c r="AU21950" s="19"/>
    </row>
    <row r="21951" spans="3:47">
      <c r="C21951" s="20"/>
      <c r="Z21951" s="20"/>
      <c r="AG21951" s="20"/>
      <c r="AQ21951" s="19"/>
      <c r="AR21951" s="19"/>
      <c r="AS21951" s="19"/>
      <c r="AT21951" s="19"/>
      <c r="AU21951" s="19"/>
    </row>
    <row r="21952" spans="3:47">
      <c r="C21952" s="20"/>
      <c r="Z21952" s="20"/>
      <c r="AG21952" s="20"/>
      <c r="AQ21952" s="19"/>
      <c r="AR21952" s="19"/>
      <c r="AS21952" s="19"/>
      <c r="AT21952" s="19"/>
      <c r="AU21952" s="19"/>
    </row>
    <row r="21953" spans="3:47">
      <c r="C21953" s="20"/>
      <c r="Z21953" s="20"/>
      <c r="AG21953" s="20"/>
      <c r="AQ21953" s="19"/>
      <c r="AR21953" s="19"/>
      <c r="AS21953" s="19"/>
      <c r="AT21953" s="19"/>
      <c r="AU21953" s="19"/>
    </row>
    <row r="21954" spans="3:47">
      <c r="C21954" s="20"/>
      <c r="Z21954" s="20"/>
      <c r="AG21954" s="20"/>
      <c r="AQ21954" s="19"/>
      <c r="AR21954" s="19"/>
      <c r="AS21954" s="19"/>
      <c r="AT21954" s="19"/>
      <c r="AU21954" s="19"/>
    </row>
    <row r="21955" spans="3:47">
      <c r="C21955" s="20"/>
      <c r="Z21955" s="20"/>
      <c r="AG21955" s="20"/>
      <c r="AQ21955" s="19"/>
      <c r="AR21955" s="19"/>
      <c r="AS21955" s="19"/>
      <c r="AT21955" s="19"/>
      <c r="AU21955" s="19"/>
    </row>
    <row r="21956" spans="3:47">
      <c r="C21956" s="20"/>
      <c r="Z21956" s="20"/>
      <c r="AG21956" s="20"/>
      <c r="AQ21956" s="19"/>
      <c r="AR21956" s="19"/>
      <c r="AS21956" s="19"/>
      <c r="AT21956" s="19"/>
      <c r="AU21956" s="19"/>
    </row>
    <row r="21957" spans="3:47">
      <c r="C21957" s="20"/>
      <c r="Z21957" s="20"/>
      <c r="AG21957" s="20"/>
      <c r="AQ21957" s="19"/>
      <c r="AR21957" s="19"/>
      <c r="AS21957" s="19"/>
      <c r="AT21957" s="19"/>
      <c r="AU21957" s="19"/>
    </row>
    <row r="21958" spans="3:47">
      <c r="C21958" s="20"/>
      <c r="Z21958" s="20"/>
      <c r="AG21958" s="20"/>
      <c r="AQ21958" s="19"/>
      <c r="AR21958" s="19"/>
      <c r="AS21958" s="19"/>
      <c r="AT21958" s="19"/>
      <c r="AU21958" s="19"/>
    </row>
    <row r="21959" spans="3:47">
      <c r="C21959" s="20"/>
      <c r="Z21959" s="20"/>
      <c r="AG21959" s="20"/>
      <c r="AQ21959" s="19"/>
      <c r="AR21959" s="19"/>
      <c r="AS21959" s="19"/>
      <c r="AT21959" s="19"/>
      <c r="AU21959" s="19"/>
    </row>
    <row r="21960" spans="3:47">
      <c r="C21960" s="20"/>
      <c r="Z21960" s="20"/>
      <c r="AG21960" s="20"/>
      <c r="AQ21960" s="19"/>
      <c r="AR21960" s="19"/>
      <c r="AS21960" s="19"/>
      <c r="AT21960" s="19"/>
      <c r="AU21960" s="19"/>
    </row>
    <row r="21961" spans="3:47">
      <c r="C21961" s="20"/>
      <c r="Z21961" s="20"/>
      <c r="AG21961" s="20"/>
      <c r="AQ21961" s="19"/>
      <c r="AR21961" s="19"/>
      <c r="AS21961" s="19"/>
      <c r="AT21961" s="19"/>
      <c r="AU21961" s="19"/>
    </row>
    <row r="21962" spans="3:47">
      <c r="C21962" s="20"/>
      <c r="Z21962" s="20"/>
      <c r="AG21962" s="20"/>
      <c r="AQ21962" s="19"/>
      <c r="AR21962" s="19"/>
      <c r="AS21962" s="19"/>
      <c r="AT21962" s="19"/>
      <c r="AU21962" s="19"/>
    </row>
    <row r="21963" spans="3:47">
      <c r="C21963" s="20"/>
      <c r="Z21963" s="20"/>
      <c r="AG21963" s="20"/>
      <c r="AQ21963" s="19"/>
      <c r="AR21963" s="19"/>
      <c r="AS21963" s="19"/>
      <c r="AT21963" s="19"/>
      <c r="AU21963" s="19"/>
    </row>
    <row r="21964" spans="3:47">
      <c r="C21964" s="20"/>
      <c r="Z21964" s="20"/>
      <c r="AG21964" s="20"/>
      <c r="AQ21964" s="19"/>
      <c r="AR21964" s="19"/>
      <c r="AS21964" s="19"/>
      <c r="AT21964" s="19"/>
      <c r="AU21964" s="19"/>
    </row>
    <row r="21965" spans="3:47">
      <c r="C21965" s="20"/>
      <c r="Z21965" s="20"/>
      <c r="AG21965" s="20"/>
      <c r="AQ21965" s="19"/>
      <c r="AR21965" s="19"/>
      <c r="AS21965" s="19"/>
      <c r="AT21965" s="19"/>
      <c r="AU21965" s="19"/>
    </row>
    <row r="21966" spans="3:47">
      <c r="C21966" s="20"/>
      <c r="Z21966" s="20"/>
      <c r="AG21966" s="20"/>
      <c r="AQ21966" s="19"/>
      <c r="AR21966" s="19"/>
      <c r="AS21966" s="19"/>
      <c r="AT21966" s="19"/>
      <c r="AU21966" s="19"/>
    </row>
    <row r="21967" spans="3:47">
      <c r="C21967" s="20"/>
      <c r="Z21967" s="20"/>
      <c r="AG21967" s="20"/>
      <c r="AQ21967" s="19"/>
      <c r="AR21967" s="19"/>
      <c r="AS21967" s="19"/>
      <c r="AT21967" s="19"/>
      <c r="AU21967" s="19"/>
    </row>
    <row r="21968" spans="3:47">
      <c r="C21968" s="20"/>
      <c r="Z21968" s="20"/>
      <c r="AG21968" s="20"/>
      <c r="AQ21968" s="19"/>
      <c r="AR21968" s="19"/>
      <c r="AS21968" s="19"/>
      <c r="AT21968" s="19"/>
      <c r="AU21968" s="19"/>
    </row>
    <row r="21969" spans="3:47">
      <c r="C21969" s="20"/>
      <c r="Z21969" s="20"/>
      <c r="AG21969" s="20"/>
      <c r="AQ21969" s="19"/>
      <c r="AR21969" s="19"/>
      <c r="AS21969" s="19"/>
      <c r="AT21969" s="19"/>
      <c r="AU21969" s="19"/>
    </row>
    <row r="21970" spans="3:47">
      <c r="C21970" s="20"/>
      <c r="Z21970" s="20"/>
      <c r="AG21970" s="20"/>
      <c r="AQ21970" s="19"/>
      <c r="AR21970" s="19"/>
      <c r="AS21970" s="19"/>
      <c r="AT21970" s="19"/>
      <c r="AU21970" s="19"/>
    </row>
    <row r="21971" spans="3:47">
      <c r="C21971" s="20"/>
      <c r="Z21971" s="20"/>
      <c r="AG21971" s="20"/>
      <c r="AQ21971" s="19"/>
      <c r="AR21971" s="19"/>
      <c r="AS21971" s="19"/>
      <c r="AT21971" s="19"/>
      <c r="AU21971" s="19"/>
    </row>
    <row r="21972" spans="3:47">
      <c r="C21972" s="20"/>
      <c r="Z21972" s="20"/>
      <c r="AG21972" s="20"/>
      <c r="AQ21972" s="19"/>
      <c r="AR21972" s="19"/>
      <c r="AS21972" s="19"/>
      <c r="AT21972" s="19"/>
      <c r="AU21972" s="19"/>
    </row>
    <row r="21973" spans="3:47">
      <c r="C21973" s="20"/>
      <c r="Z21973" s="20"/>
      <c r="AG21973" s="20"/>
      <c r="AQ21973" s="19"/>
      <c r="AR21973" s="19"/>
      <c r="AS21973" s="19"/>
      <c r="AT21973" s="19"/>
      <c r="AU21973" s="19"/>
    </row>
    <row r="21974" spans="3:47">
      <c r="C21974" s="20"/>
      <c r="Z21974" s="20"/>
      <c r="AG21974" s="20"/>
      <c r="AQ21974" s="19"/>
      <c r="AR21974" s="19"/>
      <c r="AS21974" s="19"/>
      <c r="AT21974" s="19"/>
      <c r="AU21974" s="19"/>
    </row>
    <row r="21975" spans="3:47">
      <c r="C21975" s="20"/>
      <c r="Z21975" s="20"/>
      <c r="AG21975" s="20"/>
      <c r="AQ21975" s="19"/>
      <c r="AR21975" s="19"/>
      <c r="AS21975" s="19"/>
      <c r="AT21975" s="19"/>
      <c r="AU21975" s="19"/>
    </row>
    <row r="21976" spans="3:47">
      <c r="C21976" s="20"/>
      <c r="Z21976" s="20"/>
      <c r="AG21976" s="20"/>
      <c r="AQ21976" s="19"/>
      <c r="AR21976" s="19"/>
      <c r="AS21976" s="19"/>
      <c r="AT21976" s="19"/>
      <c r="AU21976" s="19"/>
    </row>
    <row r="21977" spans="3:47">
      <c r="C21977" s="20"/>
      <c r="Z21977" s="20"/>
      <c r="AG21977" s="20"/>
      <c r="AQ21977" s="19"/>
      <c r="AR21977" s="19"/>
      <c r="AS21977" s="19"/>
      <c r="AT21977" s="19"/>
      <c r="AU21977" s="19"/>
    </row>
    <row r="21978" spans="3:47">
      <c r="C21978" s="20"/>
      <c r="Z21978" s="20"/>
      <c r="AG21978" s="20"/>
      <c r="AQ21978" s="19"/>
      <c r="AR21978" s="19"/>
      <c r="AS21978" s="19"/>
      <c r="AT21978" s="19"/>
      <c r="AU21978" s="19"/>
    </row>
    <row r="21979" spans="3:47">
      <c r="C21979" s="20"/>
      <c r="Z21979" s="20"/>
      <c r="AG21979" s="20"/>
      <c r="AQ21979" s="19"/>
      <c r="AR21979" s="19"/>
      <c r="AS21979" s="19"/>
      <c r="AT21979" s="19"/>
      <c r="AU21979" s="19"/>
    </row>
    <row r="21980" spans="3:47">
      <c r="C21980" s="20"/>
      <c r="Z21980" s="20"/>
      <c r="AG21980" s="20"/>
      <c r="AQ21980" s="19"/>
      <c r="AR21980" s="19"/>
      <c r="AS21980" s="19"/>
      <c r="AT21980" s="19"/>
      <c r="AU21980" s="19"/>
    </row>
    <row r="21981" spans="3:47">
      <c r="C21981" s="20"/>
      <c r="Z21981" s="20"/>
      <c r="AG21981" s="20"/>
      <c r="AQ21981" s="19"/>
      <c r="AR21981" s="19"/>
      <c r="AS21981" s="19"/>
      <c r="AT21981" s="19"/>
      <c r="AU21981" s="19"/>
    </row>
    <row r="21982" spans="3:47">
      <c r="C21982" s="20"/>
      <c r="Z21982" s="20"/>
      <c r="AG21982" s="20"/>
      <c r="AQ21982" s="19"/>
      <c r="AR21982" s="19"/>
      <c r="AS21982" s="19"/>
      <c r="AT21982" s="19"/>
      <c r="AU21982" s="19"/>
    </row>
    <row r="21983" spans="3:47">
      <c r="C21983" s="20"/>
      <c r="Z21983" s="20"/>
      <c r="AG21983" s="20"/>
      <c r="AQ21983" s="19"/>
      <c r="AR21983" s="19"/>
      <c r="AS21983" s="19"/>
      <c r="AT21983" s="19"/>
      <c r="AU21983" s="19"/>
    </row>
    <row r="21984" spans="3:47">
      <c r="C21984" s="20"/>
      <c r="Z21984" s="20"/>
      <c r="AG21984" s="20"/>
      <c r="AQ21984" s="19"/>
      <c r="AR21984" s="19"/>
      <c r="AS21984" s="19"/>
      <c r="AT21984" s="19"/>
      <c r="AU21984" s="19"/>
    </row>
    <row r="21985" spans="3:47">
      <c r="C21985" s="20"/>
      <c r="Z21985" s="20"/>
      <c r="AG21985" s="20"/>
      <c r="AQ21985" s="19"/>
      <c r="AR21985" s="19"/>
      <c r="AS21985" s="19"/>
      <c r="AT21985" s="19"/>
      <c r="AU21985" s="19"/>
    </row>
    <row r="21986" spans="3:47">
      <c r="C21986" s="20"/>
      <c r="Z21986" s="20"/>
      <c r="AG21986" s="20"/>
      <c r="AQ21986" s="19"/>
      <c r="AR21986" s="19"/>
      <c r="AS21986" s="19"/>
      <c r="AT21986" s="19"/>
      <c r="AU21986" s="19"/>
    </row>
    <row r="21987" spans="3:47">
      <c r="C21987" s="20"/>
      <c r="Z21987" s="20"/>
      <c r="AG21987" s="20"/>
      <c r="AQ21987" s="19"/>
      <c r="AR21987" s="19"/>
      <c r="AS21987" s="19"/>
      <c r="AT21987" s="19"/>
      <c r="AU21987" s="19"/>
    </row>
    <row r="21988" spans="3:47">
      <c r="C21988" s="20"/>
      <c r="Z21988" s="20"/>
      <c r="AG21988" s="20"/>
      <c r="AQ21988" s="19"/>
      <c r="AR21988" s="19"/>
      <c r="AS21988" s="19"/>
      <c r="AT21988" s="19"/>
      <c r="AU21988" s="19"/>
    </row>
    <row r="21989" spans="3:47">
      <c r="C21989" s="20"/>
      <c r="Z21989" s="20"/>
      <c r="AG21989" s="20"/>
      <c r="AQ21989" s="19"/>
      <c r="AR21989" s="19"/>
      <c r="AS21989" s="19"/>
      <c r="AT21989" s="19"/>
      <c r="AU21989" s="19"/>
    </row>
    <row r="21990" spans="3:47">
      <c r="C21990" s="20"/>
      <c r="Z21990" s="20"/>
      <c r="AG21990" s="20"/>
      <c r="AQ21990" s="19"/>
      <c r="AR21990" s="19"/>
      <c r="AS21990" s="19"/>
      <c r="AT21990" s="19"/>
      <c r="AU21990" s="19"/>
    </row>
    <row r="21991" spans="3:47">
      <c r="C21991" s="20"/>
      <c r="Z21991" s="20"/>
      <c r="AG21991" s="20"/>
      <c r="AQ21991" s="19"/>
      <c r="AR21991" s="19"/>
      <c r="AS21991" s="19"/>
      <c r="AT21991" s="19"/>
      <c r="AU21991" s="19"/>
    </row>
    <row r="21992" spans="3:47">
      <c r="C21992" s="20"/>
      <c r="Z21992" s="20"/>
      <c r="AG21992" s="20"/>
      <c r="AQ21992" s="19"/>
      <c r="AR21992" s="19"/>
      <c r="AS21992" s="19"/>
      <c r="AT21992" s="19"/>
      <c r="AU21992" s="19"/>
    </row>
    <row r="21993" spans="3:47">
      <c r="C21993" s="20"/>
      <c r="Z21993" s="20"/>
      <c r="AG21993" s="20"/>
      <c r="AQ21993" s="19"/>
      <c r="AR21993" s="19"/>
      <c r="AS21993" s="19"/>
      <c r="AT21993" s="19"/>
      <c r="AU21993" s="19"/>
    </row>
    <row r="21994" spans="3:47">
      <c r="C21994" s="20"/>
      <c r="Z21994" s="20"/>
      <c r="AG21994" s="20"/>
      <c r="AQ21994" s="19"/>
      <c r="AR21994" s="19"/>
      <c r="AS21994" s="19"/>
      <c r="AT21994" s="19"/>
      <c r="AU21994" s="19"/>
    </row>
    <row r="21995" spans="3:47">
      <c r="C21995" s="20"/>
      <c r="Z21995" s="20"/>
      <c r="AG21995" s="20"/>
      <c r="AQ21995" s="19"/>
      <c r="AR21995" s="19"/>
      <c r="AS21995" s="19"/>
      <c r="AT21995" s="19"/>
      <c r="AU21995" s="19"/>
    </row>
    <row r="21996" spans="3:47">
      <c r="C21996" s="20"/>
      <c r="Z21996" s="20"/>
      <c r="AG21996" s="20"/>
      <c r="AQ21996" s="19"/>
      <c r="AR21996" s="19"/>
      <c r="AS21996" s="19"/>
      <c r="AT21996" s="19"/>
      <c r="AU21996" s="19"/>
    </row>
    <row r="21997" spans="3:47">
      <c r="C21997" s="20"/>
      <c r="Z21997" s="20"/>
      <c r="AG21997" s="20"/>
      <c r="AQ21997" s="19"/>
      <c r="AR21997" s="19"/>
      <c r="AS21997" s="19"/>
      <c r="AT21997" s="19"/>
      <c r="AU21997" s="19"/>
    </row>
    <row r="21998" spans="3:47">
      <c r="C21998" s="20"/>
      <c r="Z21998" s="20"/>
      <c r="AG21998" s="20"/>
      <c r="AQ21998" s="19"/>
      <c r="AR21998" s="19"/>
      <c r="AS21998" s="19"/>
      <c r="AT21998" s="19"/>
      <c r="AU21998" s="19"/>
    </row>
    <row r="21999" spans="3:47">
      <c r="C21999" s="20"/>
      <c r="Z21999" s="20"/>
      <c r="AG21999" s="20"/>
      <c r="AQ21999" s="19"/>
      <c r="AR21999" s="19"/>
      <c r="AS21999" s="19"/>
      <c r="AT21999" s="19"/>
      <c r="AU21999" s="19"/>
    </row>
    <row r="22000" spans="3:47">
      <c r="C22000" s="20"/>
      <c r="Z22000" s="20"/>
      <c r="AG22000" s="20"/>
      <c r="AQ22000" s="19"/>
      <c r="AR22000" s="19"/>
      <c r="AS22000" s="19"/>
      <c r="AT22000" s="19"/>
      <c r="AU22000" s="19"/>
    </row>
    <row r="22001" spans="3:47">
      <c r="C22001" s="20"/>
      <c r="Z22001" s="20"/>
      <c r="AG22001" s="20"/>
      <c r="AQ22001" s="19"/>
      <c r="AR22001" s="19"/>
      <c r="AS22001" s="19"/>
      <c r="AT22001" s="19"/>
      <c r="AU22001" s="19"/>
    </row>
    <row r="22002" spans="3:47">
      <c r="C22002" s="20"/>
      <c r="Z22002" s="20"/>
      <c r="AG22002" s="20"/>
      <c r="AQ22002" s="19"/>
      <c r="AR22002" s="19"/>
      <c r="AS22002" s="19"/>
      <c r="AT22002" s="19"/>
      <c r="AU22002" s="19"/>
    </row>
    <row r="22003" spans="3:47">
      <c r="C22003" s="20"/>
      <c r="Z22003" s="20"/>
      <c r="AG22003" s="20"/>
      <c r="AQ22003" s="19"/>
      <c r="AR22003" s="19"/>
      <c r="AS22003" s="19"/>
      <c r="AT22003" s="19"/>
      <c r="AU22003" s="19"/>
    </row>
    <row r="22004" spans="3:47">
      <c r="C22004" s="20"/>
      <c r="Z22004" s="20"/>
      <c r="AG22004" s="20"/>
      <c r="AQ22004" s="19"/>
      <c r="AR22004" s="19"/>
      <c r="AS22004" s="19"/>
      <c r="AT22004" s="19"/>
      <c r="AU22004" s="19"/>
    </row>
    <row r="22005" spans="3:47">
      <c r="C22005" s="20"/>
      <c r="Z22005" s="20"/>
      <c r="AG22005" s="20"/>
      <c r="AQ22005" s="19"/>
      <c r="AR22005" s="19"/>
      <c r="AS22005" s="19"/>
      <c r="AT22005" s="19"/>
      <c r="AU22005" s="19"/>
    </row>
    <row r="22006" spans="3:47">
      <c r="C22006" s="20"/>
      <c r="Z22006" s="20"/>
      <c r="AG22006" s="20"/>
      <c r="AQ22006" s="19"/>
      <c r="AR22006" s="19"/>
      <c r="AS22006" s="19"/>
      <c r="AT22006" s="19"/>
      <c r="AU22006" s="19"/>
    </row>
    <row r="22007" spans="3:47">
      <c r="C22007" s="20"/>
      <c r="Z22007" s="20"/>
      <c r="AG22007" s="20"/>
      <c r="AQ22007" s="19"/>
      <c r="AR22007" s="19"/>
      <c r="AS22007" s="19"/>
      <c r="AT22007" s="19"/>
      <c r="AU22007" s="19"/>
    </row>
    <row r="22008" spans="3:47">
      <c r="C22008" s="20"/>
      <c r="Z22008" s="20"/>
      <c r="AG22008" s="20"/>
      <c r="AQ22008" s="19"/>
      <c r="AR22008" s="19"/>
      <c r="AS22008" s="19"/>
      <c r="AT22008" s="19"/>
      <c r="AU22008" s="19"/>
    </row>
    <row r="22009" spans="3:47">
      <c r="C22009" s="20"/>
      <c r="Z22009" s="20"/>
      <c r="AG22009" s="20"/>
      <c r="AQ22009" s="19"/>
      <c r="AR22009" s="19"/>
      <c r="AS22009" s="19"/>
      <c r="AT22009" s="19"/>
      <c r="AU22009" s="19"/>
    </row>
    <row r="22010" spans="3:47">
      <c r="C22010" s="20"/>
      <c r="Z22010" s="20"/>
      <c r="AG22010" s="20"/>
      <c r="AQ22010" s="19"/>
      <c r="AR22010" s="19"/>
      <c r="AS22010" s="19"/>
      <c r="AT22010" s="19"/>
      <c r="AU22010" s="19"/>
    </row>
    <row r="22011" spans="3:47">
      <c r="C22011" s="20"/>
      <c r="Z22011" s="20"/>
      <c r="AG22011" s="20"/>
      <c r="AQ22011" s="19"/>
      <c r="AR22011" s="19"/>
      <c r="AS22011" s="19"/>
      <c r="AT22011" s="19"/>
      <c r="AU22011" s="19"/>
    </row>
    <row r="22012" spans="3:47">
      <c r="C22012" s="20"/>
      <c r="Z22012" s="20"/>
      <c r="AG22012" s="20"/>
      <c r="AQ22012" s="19"/>
      <c r="AR22012" s="19"/>
      <c r="AS22012" s="19"/>
      <c r="AT22012" s="19"/>
      <c r="AU22012" s="19"/>
    </row>
    <row r="22013" spans="3:47">
      <c r="C22013" s="20"/>
      <c r="Z22013" s="20"/>
      <c r="AG22013" s="20"/>
      <c r="AQ22013" s="19"/>
      <c r="AR22013" s="19"/>
      <c r="AS22013" s="19"/>
      <c r="AT22013" s="19"/>
      <c r="AU22013" s="19"/>
    </row>
    <row r="22014" spans="3:47">
      <c r="C22014" s="20"/>
      <c r="Z22014" s="20"/>
      <c r="AG22014" s="20"/>
      <c r="AQ22014" s="19"/>
      <c r="AR22014" s="19"/>
      <c r="AS22014" s="19"/>
      <c r="AT22014" s="19"/>
      <c r="AU22014" s="19"/>
    </row>
    <row r="22015" spans="3:47">
      <c r="C22015" s="20"/>
      <c r="Z22015" s="20"/>
      <c r="AG22015" s="20"/>
      <c r="AQ22015" s="19"/>
      <c r="AR22015" s="19"/>
      <c r="AS22015" s="19"/>
      <c r="AT22015" s="19"/>
      <c r="AU22015" s="19"/>
    </row>
    <row r="22016" spans="3:47">
      <c r="C22016" s="20"/>
      <c r="Z22016" s="20"/>
      <c r="AG22016" s="20"/>
      <c r="AQ22016" s="19"/>
      <c r="AR22016" s="19"/>
      <c r="AS22016" s="19"/>
      <c r="AT22016" s="19"/>
      <c r="AU22016" s="19"/>
    </row>
    <row r="22017" spans="3:47">
      <c r="C22017" s="20"/>
      <c r="Z22017" s="20"/>
      <c r="AG22017" s="20"/>
      <c r="AQ22017" s="19"/>
      <c r="AR22017" s="19"/>
      <c r="AS22017" s="19"/>
      <c r="AT22017" s="19"/>
      <c r="AU22017" s="19"/>
    </row>
    <row r="22018" spans="3:47">
      <c r="C22018" s="20"/>
      <c r="Z22018" s="20"/>
      <c r="AG22018" s="20"/>
      <c r="AQ22018" s="19"/>
      <c r="AR22018" s="19"/>
      <c r="AS22018" s="19"/>
      <c r="AT22018" s="19"/>
      <c r="AU22018" s="19"/>
    </row>
    <row r="22019" spans="3:47">
      <c r="C22019" s="20"/>
      <c r="Z22019" s="20"/>
      <c r="AG22019" s="20"/>
      <c r="AQ22019" s="19"/>
      <c r="AR22019" s="19"/>
      <c r="AS22019" s="19"/>
      <c r="AT22019" s="19"/>
      <c r="AU22019" s="19"/>
    </row>
    <row r="22020" spans="3:47">
      <c r="C22020" s="20"/>
      <c r="Z22020" s="20"/>
      <c r="AG22020" s="20"/>
      <c r="AQ22020" s="19"/>
      <c r="AR22020" s="19"/>
      <c r="AS22020" s="19"/>
      <c r="AT22020" s="19"/>
      <c r="AU22020" s="19"/>
    </row>
    <row r="22021" spans="3:47">
      <c r="C22021" s="20"/>
      <c r="Z22021" s="20"/>
      <c r="AG22021" s="20"/>
      <c r="AQ22021" s="19"/>
      <c r="AR22021" s="19"/>
      <c r="AS22021" s="19"/>
      <c r="AT22021" s="19"/>
      <c r="AU22021" s="19"/>
    </row>
    <row r="22022" spans="3:47">
      <c r="C22022" s="20"/>
      <c r="Z22022" s="20"/>
      <c r="AG22022" s="20"/>
      <c r="AQ22022" s="19"/>
      <c r="AR22022" s="19"/>
      <c r="AS22022" s="19"/>
      <c r="AT22022" s="19"/>
      <c r="AU22022" s="19"/>
    </row>
    <row r="22023" spans="3:47">
      <c r="C22023" s="20"/>
      <c r="Z22023" s="20"/>
      <c r="AG22023" s="20"/>
      <c r="AQ22023" s="19"/>
      <c r="AR22023" s="19"/>
      <c r="AS22023" s="19"/>
      <c r="AT22023" s="19"/>
      <c r="AU22023" s="19"/>
    </row>
    <row r="22024" spans="3:47">
      <c r="C22024" s="20"/>
      <c r="Z22024" s="20"/>
      <c r="AG22024" s="20"/>
      <c r="AQ22024" s="19"/>
      <c r="AR22024" s="19"/>
      <c r="AS22024" s="19"/>
      <c r="AT22024" s="19"/>
      <c r="AU22024" s="19"/>
    </row>
    <row r="22025" spans="3:47">
      <c r="C22025" s="20"/>
      <c r="Z22025" s="20"/>
      <c r="AG22025" s="20"/>
      <c r="AQ22025" s="19"/>
      <c r="AR22025" s="19"/>
      <c r="AS22025" s="19"/>
      <c r="AT22025" s="19"/>
      <c r="AU22025" s="19"/>
    </row>
    <row r="22026" spans="3:47">
      <c r="C22026" s="20"/>
      <c r="Z22026" s="20"/>
      <c r="AG22026" s="20"/>
      <c r="AQ22026" s="19"/>
      <c r="AR22026" s="19"/>
      <c r="AS22026" s="19"/>
      <c r="AT22026" s="19"/>
      <c r="AU22026" s="19"/>
    </row>
    <row r="22027" spans="3:47">
      <c r="C22027" s="20"/>
      <c r="Z22027" s="20"/>
      <c r="AG22027" s="20"/>
      <c r="AQ22027" s="19"/>
      <c r="AR22027" s="19"/>
      <c r="AS22027" s="19"/>
      <c r="AT22027" s="19"/>
      <c r="AU22027" s="19"/>
    </row>
    <row r="22028" spans="3:47">
      <c r="C22028" s="20"/>
      <c r="Z22028" s="20"/>
      <c r="AG22028" s="20"/>
      <c r="AQ22028" s="19"/>
      <c r="AR22028" s="19"/>
      <c r="AS22028" s="19"/>
      <c r="AT22028" s="19"/>
      <c r="AU22028" s="19"/>
    </row>
    <row r="22029" spans="3:47">
      <c r="C22029" s="20"/>
      <c r="Z22029" s="20"/>
      <c r="AG22029" s="20"/>
      <c r="AQ22029" s="19"/>
      <c r="AR22029" s="19"/>
      <c r="AS22029" s="19"/>
      <c r="AT22029" s="19"/>
      <c r="AU22029" s="19"/>
    </row>
    <row r="22030" spans="3:47">
      <c r="C22030" s="20"/>
      <c r="Z22030" s="20"/>
      <c r="AG22030" s="20"/>
      <c r="AQ22030" s="19"/>
      <c r="AR22030" s="19"/>
      <c r="AS22030" s="19"/>
      <c r="AT22030" s="19"/>
      <c r="AU22030" s="19"/>
    </row>
    <row r="22031" spans="3:47">
      <c r="C22031" s="20"/>
      <c r="Z22031" s="20"/>
      <c r="AG22031" s="20"/>
      <c r="AQ22031" s="19"/>
      <c r="AR22031" s="19"/>
      <c r="AS22031" s="19"/>
      <c r="AT22031" s="19"/>
      <c r="AU22031" s="19"/>
    </row>
    <row r="22032" spans="3:47">
      <c r="C22032" s="20"/>
      <c r="Z22032" s="20"/>
      <c r="AG22032" s="20"/>
      <c r="AQ22032" s="19"/>
      <c r="AR22032" s="19"/>
      <c r="AS22032" s="19"/>
      <c r="AT22032" s="19"/>
      <c r="AU22032" s="19"/>
    </row>
    <row r="22033" spans="3:47">
      <c r="C22033" s="20"/>
      <c r="Z22033" s="20"/>
      <c r="AG22033" s="20"/>
      <c r="AQ22033" s="19"/>
      <c r="AR22033" s="19"/>
      <c r="AS22033" s="19"/>
      <c r="AT22033" s="19"/>
      <c r="AU22033" s="19"/>
    </row>
    <row r="22034" spans="3:47">
      <c r="C22034" s="20"/>
      <c r="Z22034" s="20"/>
      <c r="AG22034" s="20"/>
      <c r="AQ22034" s="19"/>
      <c r="AR22034" s="19"/>
      <c r="AS22034" s="19"/>
      <c r="AT22034" s="19"/>
      <c r="AU22034" s="19"/>
    </row>
    <row r="22035" spans="3:47">
      <c r="C22035" s="20"/>
      <c r="Z22035" s="20"/>
      <c r="AG22035" s="20"/>
      <c r="AQ22035" s="19"/>
      <c r="AR22035" s="19"/>
      <c r="AS22035" s="19"/>
      <c r="AT22035" s="19"/>
      <c r="AU22035" s="19"/>
    </row>
    <row r="22036" spans="3:47">
      <c r="C22036" s="20"/>
      <c r="Z22036" s="20"/>
      <c r="AG22036" s="20"/>
      <c r="AQ22036" s="19"/>
      <c r="AR22036" s="19"/>
      <c r="AS22036" s="19"/>
      <c r="AT22036" s="19"/>
      <c r="AU22036" s="19"/>
    </row>
    <row r="22037" spans="3:47">
      <c r="C22037" s="20"/>
      <c r="Z22037" s="20"/>
      <c r="AG22037" s="20"/>
      <c r="AQ22037" s="19"/>
      <c r="AR22037" s="19"/>
      <c r="AS22037" s="19"/>
      <c r="AT22037" s="19"/>
      <c r="AU22037" s="19"/>
    </row>
    <row r="22038" spans="3:47">
      <c r="C22038" s="20"/>
      <c r="Z22038" s="20"/>
      <c r="AG22038" s="20"/>
      <c r="AQ22038" s="19"/>
      <c r="AR22038" s="19"/>
      <c r="AS22038" s="19"/>
      <c r="AT22038" s="19"/>
      <c r="AU22038" s="19"/>
    </row>
    <row r="22039" spans="3:47">
      <c r="C22039" s="20"/>
      <c r="Z22039" s="20"/>
      <c r="AG22039" s="20"/>
      <c r="AQ22039" s="19"/>
      <c r="AR22039" s="19"/>
      <c r="AS22039" s="19"/>
      <c r="AT22039" s="19"/>
      <c r="AU22039" s="19"/>
    </row>
    <row r="22040" spans="3:47">
      <c r="C22040" s="20"/>
      <c r="Z22040" s="20"/>
      <c r="AG22040" s="20"/>
      <c r="AQ22040" s="19"/>
      <c r="AR22040" s="19"/>
      <c r="AS22040" s="19"/>
      <c r="AT22040" s="19"/>
      <c r="AU22040" s="19"/>
    </row>
    <row r="22041" spans="3:47">
      <c r="C22041" s="20"/>
      <c r="Z22041" s="20"/>
      <c r="AG22041" s="20"/>
      <c r="AQ22041" s="19"/>
      <c r="AR22041" s="19"/>
      <c r="AS22041" s="19"/>
      <c r="AT22041" s="19"/>
      <c r="AU22041" s="19"/>
    </row>
    <row r="22042" spans="3:47">
      <c r="C22042" s="20"/>
      <c r="Z22042" s="20"/>
      <c r="AG22042" s="20"/>
      <c r="AQ22042" s="19"/>
      <c r="AR22042" s="19"/>
      <c r="AS22042" s="19"/>
      <c r="AT22042" s="19"/>
      <c r="AU22042" s="19"/>
    </row>
    <row r="22043" spans="3:47">
      <c r="C22043" s="20"/>
      <c r="Z22043" s="20"/>
      <c r="AG22043" s="20"/>
      <c r="AQ22043" s="19"/>
      <c r="AR22043" s="19"/>
      <c r="AS22043" s="19"/>
      <c r="AT22043" s="19"/>
      <c r="AU22043" s="19"/>
    </row>
    <row r="22044" spans="3:47">
      <c r="C22044" s="20"/>
      <c r="Z22044" s="20"/>
      <c r="AG22044" s="20"/>
      <c r="AQ22044" s="19"/>
      <c r="AR22044" s="19"/>
      <c r="AS22044" s="19"/>
      <c r="AT22044" s="19"/>
      <c r="AU22044" s="19"/>
    </row>
    <row r="22045" spans="3:47">
      <c r="C22045" s="20"/>
      <c r="Z22045" s="20"/>
      <c r="AG22045" s="20"/>
      <c r="AQ22045" s="19"/>
      <c r="AR22045" s="19"/>
      <c r="AS22045" s="19"/>
      <c r="AT22045" s="19"/>
      <c r="AU22045" s="19"/>
    </row>
    <row r="22046" spans="3:47">
      <c r="C22046" s="20"/>
      <c r="Z22046" s="20"/>
      <c r="AG22046" s="20"/>
      <c r="AQ22046" s="19"/>
      <c r="AR22046" s="19"/>
      <c r="AS22046" s="19"/>
      <c r="AT22046" s="19"/>
      <c r="AU22046" s="19"/>
    </row>
    <row r="22047" spans="3:47">
      <c r="C22047" s="20"/>
      <c r="Z22047" s="20"/>
      <c r="AG22047" s="20"/>
      <c r="AQ22047" s="19"/>
      <c r="AR22047" s="19"/>
      <c r="AS22047" s="19"/>
      <c r="AT22047" s="19"/>
      <c r="AU22047" s="19"/>
    </row>
    <row r="22048" spans="3:47">
      <c r="C22048" s="20"/>
      <c r="Z22048" s="20"/>
      <c r="AG22048" s="20"/>
      <c r="AQ22048" s="19"/>
      <c r="AR22048" s="19"/>
      <c r="AS22048" s="19"/>
      <c r="AT22048" s="19"/>
      <c r="AU22048" s="19"/>
    </row>
    <row r="22049" spans="3:47">
      <c r="C22049" s="20"/>
      <c r="Z22049" s="20"/>
      <c r="AG22049" s="20"/>
      <c r="AQ22049" s="19"/>
      <c r="AR22049" s="19"/>
      <c r="AS22049" s="19"/>
      <c r="AT22049" s="19"/>
      <c r="AU22049" s="19"/>
    </row>
    <row r="22050" spans="3:47">
      <c r="C22050" s="20"/>
      <c r="Z22050" s="20"/>
      <c r="AG22050" s="20"/>
      <c r="AQ22050" s="19"/>
      <c r="AR22050" s="19"/>
      <c r="AS22050" s="19"/>
      <c r="AT22050" s="19"/>
      <c r="AU22050" s="19"/>
    </row>
    <row r="22051" spans="3:47">
      <c r="C22051" s="20"/>
      <c r="Z22051" s="20"/>
      <c r="AG22051" s="20"/>
      <c r="AQ22051" s="19"/>
      <c r="AR22051" s="19"/>
      <c r="AS22051" s="19"/>
      <c r="AT22051" s="19"/>
      <c r="AU22051" s="19"/>
    </row>
    <row r="22052" spans="3:47">
      <c r="C22052" s="20"/>
      <c r="Z22052" s="20"/>
      <c r="AG22052" s="20"/>
      <c r="AQ22052" s="19"/>
      <c r="AR22052" s="19"/>
      <c r="AS22052" s="19"/>
      <c r="AT22052" s="19"/>
      <c r="AU22052" s="19"/>
    </row>
    <row r="22053" spans="3:47">
      <c r="C22053" s="20"/>
      <c r="Z22053" s="20"/>
      <c r="AG22053" s="20"/>
      <c r="AQ22053" s="19"/>
      <c r="AR22053" s="19"/>
      <c r="AS22053" s="19"/>
      <c r="AT22053" s="19"/>
      <c r="AU22053" s="19"/>
    </row>
    <row r="22054" spans="3:47">
      <c r="C22054" s="20"/>
      <c r="Z22054" s="20"/>
      <c r="AG22054" s="20"/>
      <c r="AQ22054" s="19"/>
      <c r="AR22054" s="19"/>
      <c r="AS22054" s="19"/>
      <c r="AT22054" s="19"/>
      <c r="AU22054" s="19"/>
    </row>
    <row r="22055" spans="3:47">
      <c r="C22055" s="20"/>
      <c r="Z22055" s="20"/>
      <c r="AG22055" s="20"/>
      <c r="AQ22055" s="19"/>
      <c r="AR22055" s="19"/>
      <c r="AS22055" s="19"/>
      <c r="AT22055" s="19"/>
      <c r="AU22055" s="19"/>
    </row>
    <row r="22056" spans="3:47">
      <c r="C22056" s="20"/>
      <c r="Z22056" s="20"/>
      <c r="AG22056" s="20"/>
      <c r="AQ22056" s="19"/>
      <c r="AR22056" s="19"/>
      <c r="AS22056" s="19"/>
      <c r="AT22056" s="19"/>
      <c r="AU22056" s="19"/>
    </row>
    <row r="22057" spans="3:47">
      <c r="C22057" s="20"/>
      <c r="Z22057" s="17"/>
      <c r="AG22057" s="20"/>
      <c r="AQ22057" s="19"/>
      <c r="AR22057" s="19"/>
      <c r="AS22057" s="19"/>
      <c r="AT22057" s="19"/>
      <c r="AU22057" s="19"/>
    </row>
  </sheetData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>
      <selection activeCell="E18" sqref="E18"/>
    </sheetView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workbookViewId="0">
      <selection activeCell="H23" sqref="H23"/>
    </sheetView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B1:C19"/>
  <sheetViews>
    <sheetView workbookViewId="0">
      <selection activeCell="H16" sqref="G15:H16"/>
    </sheetView>
  </sheetViews>
  <sheetFormatPr baseColWidth="10" defaultColWidth="8.83203125" defaultRowHeight="14" x14ac:dyDescent="0"/>
  <cols>
    <col min="2" max="2" width="10.83203125" bestFit="1" customWidth="1"/>
    <col min="3" max="3" width="12" customWidth="1"/>
  </cols>
  <sheetData>
    <row r="1" spans="2:3">
      <c r="B1" s="27" t="s">
        <v>167</v>
      </c>
      <c r="C1" s="28" t="s">
        <v>168</v>
      </c>
    </row>
    <row r="2" spans="2:3">
      <c r="B2" s="31">
        <v>115</v>
      </c>
      <c r="C2" s="32" t="s">
        <v>159</v>
      </c>
    </row>
    <row r="3" spans="2:3">
      <c r="B3" s="31">
        <v>125</v>
      </c>
      <c r="C3" s="32" t="s">
        <v>160</v>
      </c>
    </row>
    <row r="4" spans="2:3">
      <c r="B4" s="31">
        <v>135</v>
      </c>
      <c r="C4" s="32" t="s">
        <v>161</v>
      </c>
    </row>
    <row r="5" spans="2:3">
      <c r="B5" s="33">
        <v>145</v>
      </c>
      <c r="C5" s="34" t="s">
        <v>162</v>
      </c>
    </row>
    <row r="7" spans="2:3">
      <c r="B7" s="27" t="s">
        <v>170</v>
      </c>
      <c r="C7" s="28" t="s">
        <v>169</v>
      </c>
    </row>
    <row r="8" spans="2:3">
      <c r="B8" s="29">
        <v>6</v>
      </c>
      <c r="C8" s="30" t="s">
        <v>171</v>
      </c>
    </row>
    <row r="9" spans="2:3">
      <c r="B9" s="31">
        <v>60</v>
      </c>
      <c r="C9" s="32" t="s">
        <v>164</v>
      </c>
    </row>
    <row r="10" spans="2:3">
      <c r="B10" s="31">
        <v>180</v>
      </c>
      <c r="C10" s="32" t="s">
        <v>165</v>
      </c>
    </row>
    <row r="11" spans="2:3">
      <c r="B11" s="31">
        <v>192</v>
      </c>
      <c r="C11" s="32" t="s">
        <v>166</v>
      </c>
    </row>
    <row r="12" spans="2:3">
      <c r="B12" s="31">
        <v>9999</v>
      </c>
      <c r="C12" s="32" t="s">
        <v>172</v>
      </c>
    </row>
    <row r="13" spans="2:3">
      <c r="B13" s="33"/>
      <c r="C13" s="34"/>
    </row>
    <row r="15" spans="2:3">
      <c r="B15" t="s">
        <v>173</v>
      </c>
    </row>
    <row r="16" spans="2:3">
      <c r="B16">
        <f>COUNTA('import 1'!A:A)</f>
        <v>3</v>
      </c>
    </row>
    <row r="18" spans="2:2">
      <c r="B18" s="17" t="s">
        <v>174</v>
      </c>
    </row>
    <row r="19" spans="2:2">
      <c r="B19">
        <f>COUNTA(import2!B:B)</f>
        <v>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(Config)</vt:lpstr>
      <vt:lpstr>Setup</vt:lpstr>
      <vt:lpstr>import 1</vt:lpstr>
      <vt:lpstr>import2</vt:lpstr>
      <vt:lpstr>Overview</vt:lpstr>
      <vt:lpstr>Admissions</vt:lpstr>
      <vt:lpstr>Consult </vt:lpstr>
      <vt:lpstr>exit</vt:lpstr>
      <vt:lpstr>origine</vt:lpstr>
      <vt:lpstr>aggregated table</vt:lpstr>
      <vt:lpstr>pivot</vt:lpstr>
      <vt:lpstr>lists</vt:lpstr>
    </vt:vector>
  </TitlesOfParts>
  <Company>Medecins Sans Frontieres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Van Laeken</dc:creator>
  <cp:lastModifiedBy>Pascal Polleunus</cp:lastModifiedBy>
  <dcterms:created xsi:type="dcterms:W3CDTF">2018-01-17T12:49:50Z</dcterms:created>
  <dcterms:modified xsi:type="dcterms:W3CDTF">2018-01-18T17:08:52Z</dcterms:modified>
</cp:coreProperties>
</file>